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ropbox\PP-Data\"/>
    </mc:Choice>
  </mc:AlternateContent>
  <xr:revisionPtr revIDLastSave="0" documentId="13_ncr:1_{FF33E5EE-2C73-49F3-8189-7C403328442E}" xr6:coauthVersionLast="47" xr6:coauthVersionMax="47" xr10:uidLastSave="{00000000-0000-0000-0000-000000000000}"/>
  <bookViews>
    <workbookView xWindow="-120" yWindow="-120" windowWidth="29040" windowHeight="15840" activeTab="1" xr2:uid="{F6A2092A-C8A5-4BF8-A62D-4153D45B91E1}"/>
  </bookViews>
  <sheets>
    <sheet name="PP F.G ROLL" sheetId="2" r:id="rId1"/>
    <sheet name="PP ROLL STOCK" sheetId="1" r:id="rId2"/>
    <sheet name="Sheet3" sheetId="3" r:id="rId3"/>
    <sheet name="LD F.G ROLL" sheetId="4" r:id="rId4"/>
    <sheet name="Sheet2" sheetId="5" r:id="rId5"/>
    <sheet name="SAP CODE" sheetId="6" r:id="rId6"/>
  </sheets>
  <externalReferences>
    <externalReference r:id="rId7"/>
    <externalReference r:id="rId8"/>
  </externalReferences>
  <definedNames>
    <definedName name="_xlnm._FilterDatabase" localSheetId="3" hidden="1">'LD F.G ROLL'!$A$1:$T$234</definedName>
    <definedName name="_xlnm._FilterDatabase" localSheetId="0" hidden="1">'PP F.G ROLL'!$A$1:$R$492</definedName>
    <definedName name="_xlnm._FilterDatabase" localSheetId="1" hidden="1">'PP ROLL STOCK'!$B$1:$S$300</definedName>
    <definedName name="_xlnm._FilterDatabase" localSheetId="5" hidden="1">'SAP CODE'!$A$1:$F$154</definedName>
    <definedName name="_xlnm._FilterDatabase" localSheetId="4" hidden="1">Sheet2!$B$1:$S$300</definedName>
    <definedName name="_xlnm._FilterDatabase" localSheetId="2" hidden="1">Sheet3!$A$2:$G$79</definedName>
  </definedNames>
  <calcPr calcId="191029"/>
  <pivotCaches>
    <pivotCache cacheId="11" r:id="rId9"/>
    <pivotCache cacheId="1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06" i="2" l="1"/>
  <c r="A1007" i="2"/>
  <c r="A1008" i="2"/>
  <c r="A1009" i="2"/>
  <c r="A1010" i="2"/>
  <c r="A1011" i="2"/>
  <c r="A1012" i="2"/>
  <c r="A1013" i="2"/>
  <c r="A1014" i="2"/>
  <c r="A1015" i="2"/>
  <c r="A1016" i="2"/>
  <c r="C110" i="1"/>
  <c r="E110" i="1" s="1" a="1"/>
  <c r="E110" i="1" s="1"/>
  <c r="C111" i="1"/>
  <c r="E111" i="1" s="1" a="1"/>
  <c r="E111" i="1" s="1"/>
  <c r="O111" i="1"/>
  <c r="C112" i="1"/>
  <c r="I112" i="1" s="1"/>
  <c r="E112" i="1" a="1"/>
  <c r="E112" i="1" s="1"/>
  <c r="O112" i="1"/>
  <c r="C113" i="1"/>
  <c r="E113" i="1" s="1" a="1"/>
  <c r="E113" i="1" s="1"/>
  <c r="O113" i="1"/>
  <c r="C114" i="1"/>
  <c r="O114" i="1"/>
  <c r="C115" i="1"/>
  <c r="I115" i="1" s="1"/>
  <c r="E115" i="1" a="1"/>
  <c r="E115" i="1" s="1"/>
  <c r="N115" i="1"/>
  <c r="O115" i="1"/>
  <c r="C116" i="1"/>
  <c r="N116" i="1" s="1"/>
  <c r="K116" i="1"/>
  <c r="O116" i="1"/>
  <c r="C117" i="1"/>
  <c r="E117" i="1" s="1" a="1"/>
  <c r="E117" i="1" s="1"/>
  <c r="J117" i="1"/>
  <c r="O117" i="1"/>
  <c r="C118" i="1"/>
  <c r="E118" i="1" s="1" a="1"/>
  <c r="E118" i="1" s="1"/>
  <c r="C119" i="1"/>
  <c r="E119" i="1" s="1" a="1"/>
  <c r="E119" i="1" s="1"/>
  <c r="C120" i="1"/>
  <c r="E120" i="1" s="1" a="1"/>
  <c r="E120" i="1" s="1"/>
  <c r="O120" i="1"/>
  <c r="C121" i="1"/>
  <c r="E121" i="1" s="1" a="1"/>
  <c r="E121" i="1" s="1"/>
  <c r="O121" i="1"/>
  <c r="C122" i="1"/>
  <c r="E122" i="1" s="1" a="1"/>
  <c r="E122" i="1" s="1"/>
  <c r="K122" i="1"/>
  <c r="C123" i="1"/>
  <c r="O123" i="1" s="1"/>
  <c r="C124" i="1"/>
  <c r="O124" i="1" s="1"/>
  <c r="N124" i="1"/>
  <c r="C125" i="1"/>
  <c r="E125" i="1" s="1" a="1"/>
  <c r="E125" i="1" s="1"/>
  <c r="C126" i="1"/>
  <c r="E126" i="1" s="1" a="1"/>
  <c r="E126" i="1" s="1"/>
  <c r="C127" i="1"/>
  <c r="E127" i="1" s="1" a="1"/>
  <c r="E127" i="1" s="1"/>
  <c r="C128" i="1"/>
  <c r="J128" i="1" s="1"/>
  <c r="K128" i="1"/>
  <c r="O128" i="1"/>
  <c r="C129" i="1"/>
  <c r="E129" i="1" s="1" a="1"/>
  <c r="E129" i="1" s="1"/>
  <c r="J129" i="1"/>
  <c r="O129" i="1"/>
  <c r="C130" i="1"/>
  <c r="E130" i="1" s="1" a="1"/>
  <c r="E130" i="1" s="1"/>
  <c r="C131" i="1"/>
  <c r="E131" i="1" s="1" a="1"/>
  <c r="E131" i="1" s="1"/>
  <c r="C132" i="1"/>
  <c r="J132" i="1" s="1"/>
  <c r="H132" i="1"/>
  <c r="N132" i="1"/>
  <c r="C133" i="1"/>
  <c r="E133" i="1" s="1" a="1"/>
  <c r="E133" i="1" s="1"/>
  <c r="C134" i="1"/>
  <c r="E134" i="1" s="1" a="1"/>
  <c r="E134" i="1" s="1"/>
  <c r="K134" i="1"/>
  <c r="C135" i="1"/>
  <c r="O135" i="1" s="1"/>
  <c r="J135" i="1"/>
  <c r="C136" i="1"/>
  <c r="J136" i="1" s="1"/>
  <c r="E136" i="1" a="1"/>
  <c r="E136" i="1" s="1"/>
  <c r="H136" i="1"/>
  <c r="K136" i="1"/>
  <c r="N136" i="1"/>
  <c r="O136" i="1"/>
  <c r="C137" i="1"/>
  <c r="E137" i="1" s="1" a="1"/>
  <c r="E137" i="1" s="1"/>
  <c r="J137" i="1"/>
  <c r="O137" i="1"/>
  <c r="C138" i="1"/>
  <c r="E138" i="1" s="1" a="1"/>
  <c r="E138" i="1" s="1"/>
  <c r="C139" i="1"/>
  <c r="E139" i="1" s="1" a="1"/>
  <c r="E139" i="1" s="1"/>
  <c r="C140" i="1"/>
  <c r="J140" i="1" s="1"/>
  <c r="N140" i="1"/>
  <c r="C141" i="1"/>
  <c r="E141" i="1" s="1" a="1"/>
  <c r="E141" i="1" s="1"/>
  <c r="O141" i="1"/>
  <c r="C142" i="1"/>
  <c r="D142" i="1" s="1"/>
  <c r="I142" i="1"/>
  <c r="J142" i="1"/>
  <c r="C143" i="1"/>
  <c r="K143" i="1" s="1"/>
  <c r="C144" i="1"/>
  <c r="K144" i="1" s="1"/>
  <c r="N144" i="1"/>
  <c r="C145" i="1"/>
  <c r="K145" i="1" s="1"/>
  <c r="E145" i="1" a="1"/>
  <c r="E145" i="1" s="1"/>
  <c r="H145" i="1"/>
  <c r="J145" i="1"/>
  <c r="L145" i="1" s="1"/>
  <c r="N145" i="1"/>
  <c r="C146" i="1"/>
  <c r="K146" i="1" s="1"/>
  <c r="H146" i="1"/>
  <c r="N146" i="1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639" i="2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280" i="4"/>
  <c r="A633" i="2"/>
  <c r="A634" i="2"/>
  <c r="A635" i="2"/>
  <c r="A636" i="2"/>
  <c r="A637" i="2"/>
  <c r="A63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N520" i="2"/>
  <c r="H110" i="1" l="1"/>
  <c r="E146" i="1" a="1"/>
  <c r="E146" i="1" s="1"/>
  <c r="J144" i="1"/>
  <c r="J141" i="1"/>
  <c r="K140" i="1"/>
  <c r="O132" i="1"/>
  <c r="E132" i="1" a="1"/>
  <c r="E132" i="1" s="1"/>
  <c r="K130" i="1"/>
  <c r="E128" i="1" a="1"/>
  <c r="E128" i="1" s="1"/>
  <c r="O125" i="1"/>
  <c r="E124" i="1" a="1"/>
  <c r="E124" i="1" s="1"/>
  <c r="N120" i="1"/>
  <c r="E116" i="1" a="1"/>
  <c r="E116" i="1" s="1"/>
  <c r="N111" i="1"/>
  <c r="O110" i="1"/>
  <c r="H140" i="1"/>
  <c r="K138" i="1"/>
  <c r="O133" i="1"/>
  <c r="H120" i="1"/>
  <c r="I111" i="1"/>
  <c r="N110" i="1"/>
  <c r="J146" i="1"/>
  <c r="N143" i="1"/>
  <c r="O140" i="1"/>
  <c r="E140" i="1" a="1"/>
  <c r="E140" i="1" s="1"/>
  <c r="J138" i="1"/>
  <c r="J133" i="1"/>
  <c r="K132" i="1"/>
  <c r="J131" i="1"/>
  <c r="N128" i="1"/>
  <c r="K110" i="1"/>
  <c r="J127" i="1"/>
  <c r="J124" i="1"/>
  <c r="K118" i="1"/>
  <c r="H116" i="1"/>
  <c r="H115" i="1"/>
  <c r="J113" i="1"/>
  <c r="H111" i="1"/>
  <c r="J110" i="1"/>
  <c r="L110" i="1" s="1"/>
  <c r="H128" i="1"/>
  <c r="J125" i="1"/>
  <c r="K124" i="1"/>
  <c r="J123" i="1"/>
  <c r="J120" i="1"/>
  <c r="K115" i="1"/>
  <c r="M115" i="1" s="1"/>
  <c r="I114" i="1"/>
  <c r="I113" i="1"/>
  <c r="K112" i="1"/>
  <c r="M112" i="1" s="1"/>
  <c r="D112" i="1"/>
  <c r="K111" i="1"/>
  <c r="M111" i="1" s="1"/>
  <c r="I110" i="1"/>
  <c r="K126" i="1"/>
  <c r="H124" i="1"/>
  <c r="J121" i="1"/>
  <c r="K120" i="1"/>
  <c r="J119" i="1"/>
  <c r="J116" i="1"/>
  <c r="J115" i="1"/>
  <c r="D115" i="1"/>
  <c r="D114" i="1"/>
  <c r="D113" i="1"/>
  <c r="J112" i="1"/>
  <c r="H112" i="1"/>
  <c r="J111" i="1"/>
  <c r="L111" i="1" s="1"/>
  <c r="D111" i="1"/>
  <c r="J126" i="1"/>
  <c r="N114" i="1"/>
  <c r="H114" i="1"/>
  <c r="J134" i="1"/>
  <c r="J122" i="1"/>
  <c r="H144" i="1"/>
  <c r="L144" i="1" s="1"/>
  <c r="J143" i="1"/>
  <c r="N142" i="1"/>
  <c r="H142" i="1"/>
  <c r="L142" i="1" s="1"/>
  <c r="O138" i="1"/>
  <c r="H138" i="1"/>
  <c r="L138" i="1" s="1"/>
  <c r="O134" i="1"/>
  <c r="H134" i="1"/>
  <c r="L134" i="1" s="1"/>
  <c r="O130" i="1"/>
  <c r="H130" i="1"/>
  <c r="O126" i="1"/>
  <c r="H126" i="1"/>
  <c r="L126" i="1" s="1"/>
  <c r="O122" i="1"/>
  <c r="H122" i="1"/>
  <c r="L122" i="1" s="1"/>
  <c r="O118" i="1"/>
  <c r="H118" i="1"/>
  <c r="L118" i="1" s="1"/>
  <c r="L115" i="1"/>
  <c r="K114" i="1"/>
  <c r="M114" i="1" s="1"/>
  <c r="E114" i="1" a="1"/>
  <c r="E114" i="1" s="1"/>
  <c r="N113" i="1"/>
  <c r="H113" i="1"/>
  <c r="J130" i="1"/>
  <c r="J118" i="1"/>
  <c r="L112" i="1"/>
  <c r="L146" i="1"/>
  <c r="E144" i="1" a="1"/>
  <c r="E144" i="1" s="1"/>
  <c r="H143" i="1"/>
  <c r="E142" i="1" a="1"/>
  <c r="E142" i="1" s="1"/>
  <c r="O139" i="1"/>
  <c r="N138" i="1"/>
  <c r="N134" i="1"/>
  <c r="O131" i="1"/>
  <c r="N130" i="1"/>
  <c r="O127" i="1"/>
  <c r="N126" i="1"/>
  <c r="N122" i="1"/>
  <c r="O119" i="1"/>
  <c r="N118" i="1"/>
  <c r="J114" i="1"/>
  <c r="L114" i="1" s="1"/>
  <c r="K113" i="1"/>
  <c r="M113" i="1" s="1"/>
  <c r="N112" i="1"/>
  <c r="M110" i="1"/>
  <c r="D110" i="1"/>
  <c r="E143" i="1" a="1"/>
  <c r="E143" i="1" s="1"/>
  <c r="L140" i="1"/>
  <c r="J139" i="1"/>
  <c r="L136" i="1"/>
  <c r="L132" i="1"/>
  <c r="L128" i="1"/>
  <c r="L124" i="1"/>
  <c r="L120" i="1"/>
  <c r="L116" i="1"/>
  <c r="L113" i="1"/>
  <c r="D135" i="1"/>
  <c r="I135" i="1"/>
  <c r="D123" i="1"/>
  <c r="I123" i="1"/>
  <c r="I146" i="1"/>
  <c r="M146" i="1" s="1"/>
  <c r="D146" i="1"/>
  <c r="I145" i="1"/>
  <c r="M145" i="1" s="1"/>
  <c r="D145" i="1"/>
  <c r="I144" i="1"/>
  <c r="M144" i="1" s="1"/>
  <c r="D144" i="1"/>
  <c r="I143" i="1"/>
  <c r="M143" i="1" s="1"/>
  <c r="D143" i="1"/>
  <c r="K141" i="1"/>
  <c r="N139" i="1"/>
  <c r="H139" i="1"/>
  <c r="L139" i="1" s="1"/>
  <c r="D138" i="1"/>
  <c r="I138" i="1"/>
  <c r="M138" i="1" s="1"/>
  <c r="K137" i="1"/>
  <c r="N135" i="1"/>
  <c r="H135" i="1"/>
  <c r="L135" i="1" s="1"/>
  <c r="D134" i="1"/>
  <c r="I134" i="1"/>
  <c r="M134" i="1" s="1"/>
  <c r="K133" i="1"/>
  <c r="N131" i="1"/>
  <c r="H131" i="1"/>
  <c r="L131" i="1" s="1"/>
  <c r="D130" i="1"/>
  <c r="I130" i="1"/>
  <c r="M130" i="1" s="1"/>
  <c r="K129" i="1"/>
  <c r="N127" i="1"/>
  <c r="H127" i="1"/>
  <c r="L127" i="1" s="1"/>
  <c r="D126" i="1"/>
  <c r="I126" i="1"/>
  <c r="M126" i="1" s="1"/>
  <c r="K125" i="1"/>
  <c r="N123" i="1"/>
  <c r="H123" i="1"/>
  <c r="L123" i="1" s="1"/>
  <c r="D122" i="1"/>
  <c r="I122" i="1"/>
  <c r="M122" i="1" s="1"/>
  <c r="K121" i="1"/>
  <c r="N119" i="1"/>
  <c r="H119" i="1"/>
  <c r="L119" i="1" s="1"/>
  <c r="D118" i="1"/>
  <c r="I118" i="1"/>
  <c r="M118" i="1" s="1"/>
  <c r="K117" i="1"/>
  <c r="D137" i="1"/>
  <c r="I137" i="1"/>
  <c r="M137" i="1" s="1"/>
  <c r="D121" i="1"/>
  <c r="I121" i="1"/>
  <c r="M121" i="1" s="1"/>
  <c r="D141" i="1"/>
  <c r="I141" i="1"/>
  <c r="M141" i="1" s="1"/>
  <c r="D133" i="1"/>
  <c r="I133" i="1"/>
  <c r="M133" i="1" s="1"/>
  <c r="D129" i="1"/>
  <c r="I129" i="1"/>
  <c r="M129" i="1" s="1"/>
  <c r="D125" i="1"/>
  <c r="I125" i="1"/>
  <c r="M125" i="1" s="1"/>
  <c r="D117" i="1"/>
  <c r="I117" i="1"/>
  <c r="O146" i="1"/>
  <c r="O145" i="1"/>
  <c r="O144" i="1"/>
  <c r="O143" i="1"/>
  <c r="O142" i="1"/>
  <c r="K142" i="1"/>
  <c r="M142" i="1" s="1"/>
  <c r="N141" i="1"/>
  <c r="H141" i="1"/>
  <c r="L141" i="1" s="1"/>
  <c r="D140" i="1"/>
  <c r="I140" i="1"/>
  <c r="M140" i="1" s="1"/>
  <c r="K139" i="1"/>
  <c r="N137" i="1"/>
  <c r="H137" i="1"/>
  <c r="L137" i="1" s="1"/>
  <c r="D136" i="1"/>
  <c r="I136" i="1"/>
  <c r="M136" i="1" s="1"/>
  <c r="K135" i="1"/>
  <c r="E135" i="1" a="1"/>
  <c r="E135" i="1" s="1"/>
  <c r="N133" i="1"/>
  <c r="H133" i="1"/>
  <c r="L133" i="1" s="1"/>
  <c r="D132" i="1"/>
  <c r="I132" i="1"/>
  <c r="M132" i="1" s="1"/>
  <c r="K131" i="1"/>
  <c r="N129" i="1"/>
  <c r="H129" i="1"/>
  <c r="L129" i="1" s="1"/>
  <c r="D128" i="1"/>
  <c r="I128" i="1"/>
  <c r="M128" i="1" s="1"/>
  <c r="K127" i="1"/>
  <c r="N125" i="1"/>
  <c r="H125" i="1"/>
  <c r="L125" i="1" s="1"/>
  <c r="D124" i="1"/>
  <c r="I124" i="1"/>
  <c r="M124" i="1" s="1"/>
  <c r="K123" i="1"/>
  <c r="E123" i="1" a="1"/>
  <c r="E123" i="1" s="1"/>
  <c r="N121" i="1"/>
  <c r="H121" i="1"/>
  <c r="L121" i="1" s="1"/>
  <c r="D120" i="1"/>
  <c r="I120" i="1"/>
  <c r="M120" i="1" s="1"/>
  <c r="K119" i="1"/>
  <c r="N117" i="1"/>
  <c r="H117" i="1"/>
  <c r="L117" i="1" s="1"/>
  <c r="D116" i="1"/>
  <c r="I116" i="1"/>
  <c r="M116" i="1" s="1"/>
  <c r="D139" i="1"/>
  <c r="I139" i="1"/>
  <c r="M139" i="1" s="1"/>
  <c r="D131" i="1"/>
  <c r="I131" i="1"/>
  <c r="M131" i="1" s="1"/>
  <c r="D127" i="1"/>
  <c r="I127" i="1"/>
  <c r="M127" i="1" s="1"/>
  <c r="D119" i="1"/>
  <c r="I119" i="1"/>
  <c r="M119" i="1" s="1"/>
  <c r="A519" i="2"/>
  <c r="A518" i="2"/>
  <c r="A509" i="2"/>
  <c r="A510" i="2"/>
  <c r="A511" i="2"/>
  <c r="A512" i="2"/>
  <c r="A513" i="2"/>
  <c r="A514" i="2"/>
  <c r="A515" i="2"/>
  <c r="A516" i="2"/>
  <c r="A517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272" i="4"/>
  <c r="A273" i="4"/>
  <c r="A274" i="4"/>
  <c r="A275" i="4"/>
  <c r="A276" i="4"/>
  <c r="A277" i="4"/>
  <c r="A278" i="4"/>
  <c r="A279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T83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21" i="4"/>
  <c r="A222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01" i="4"/>
  <c r="N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30" i="2"/>
  <c r="A200" i="4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30" i="4"/>
  <c r="A173" i="4"/>
  <c r="A174" i="4"/>
  <c r="A175" i="4"/>
  <c r="C102" i="1"/>
  <c r="C103" i="1"/>
  <c r="C104" i="1"/>
  <c r="C105" i="1"/>
  <c r="C106" i="1"/>
  <c r="C107" i="1"/>
  <c r="C108" i="1"/>
  <c r="C109" i="1"/>
  <c r="A420" i="2"/>
  <c r="A421" i="2"/>
  <c r="A422" i="2"/>
  <c r="A423" i="2"/>
  <c r="A424" i="2"/>
  <c r="A425" i="2"/>
  <c r="A426" i="2"/>
  <c r="A427" i="2"/>
  <c r="A428" i="2"/>
  <c r="A429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382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C49" i="5"/>
  <c r="C50" i="5"/>
  <c r="C51" i="5"/>
  <c r="C52" i="5"/>
  <c r="C53" i="5"/>
  <c r="C54" i="5"/>
  <c r="C55" i="5"/>
  <c r="C56" i="5"/>
  <c r="C57" i="5"/>
  <c r="C58" i="5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00" i="4"/>
  <c r="C98" i="1"/>
  <c r="C99" i="1"/>
  <c r="C100" i="1"/>
  <c r="C101" i="1"/>
  <c r="A348" i="2"/>
  <c r="A344" i="2"/>
  <c r="A345" i="2"/>
  <c r="A346" i="2"/>
  <c r="A347" i="2"/>
  <c r="A340" i="2"/>
  <c r="A341" i="2"/>
  <c r="A342" i="2"/>
  <c r="A343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27" i="2"/>
  <c r="C46" i="5"/>
  <c r="C47" i="5"/>
  <c r="C48" i="5"/>
  <c r="N91" i="4"/>
  <c r="N92" i="4"/>
  <c r="N93" i="4"/>
  <c r="N94" i="4"/>
  <c r="N95" i="4"/>
  <c r="N96" i="4"/>
  <c r="N97" i="4"/>
  <c r="N98" i="4"/>
  <c r="N99" i="4"/>
  <c r="N90" i="4"/>
  <c r="M135" i="1" l="1"/>
  <c r="L130" i="1"/>
  <c r="M117" i="1"/>
  <c r="M123" i="1"/>
  <c r="L143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A324" i="2"/>
  <c r="A325" i="2"/>
  <c r="A326" i="2"/>
  <c r="A321" i="2"/>
  <c r="A322" i="2"/>
  <c r="A323" i="2"/>
  <c r="A313" i="2"/>
  <c r="A314" i="2"/>
  <c r="A315" i="2"/>
  <c r="A316" i="2"/>
  <c r="A317" i="2"/>
  <c r="A318" i="2"/>
  <c r="A319" i="2"/>
  <c r="A320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N300" i="2"/>
  <c r="N301" i="2"/>
  <c r="N302" i="2"/>
  <c r="N303" i="2"/>
  <c r="N304" i="2"/>
  <c r="N305" i="2"/>
  <c r="N306" i="2"/>
  <c r="N307" i="2"/>
  <c r="N309" i="2"/>
  <c r="N310" i="2"/>
  <c r="N311" i="2"/>
  <c r="N312" i="2"/>
  <c r="N299" i="2"/>
  <c r="A296" i="2"/>
  <c r="A297" i="2"/>
  <c r="A298" i="2"/>
  <c r="A293" i="2"/>
  <c r="A294" i="2"/>
  <c r="A295" i="2"/>
  <c r="A290" i="2"/>
  <c r="A291" i="2"/>
  <c r="A292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76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P3" i="5" l="1"/>
  <c r="R2" i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2" i="6"/>
  <c r="A74" i="2"/>
  <c r="K49" i="2"/>
  <c r="L49" i="2"/>
  <c r="C90" i="1"/>
  <c r="C91" i="1"/>
  <c r="C92" i="1"/>
  <c r="C93" i="1"/>
  <c r="C94" i="1"/>
  <c r="C95" i="1"/>
  <c r="C96" i="1"/>
  <c r="C97" i="1"/>
  <c r="A270" i="2"/>
  <c r="A271" i="2"/>
  <c r="A272" i="2"/>
  <c r="A273" i="2"/>
  <c r="A274" i="2"/>
  <c r="A275" i="2"/>
  <c r="A265" i="2"/>
  <c r="A266" i="2"/>
  <c r="A267" i="2"/>
  <c r="A268" i="2"/>
  <c r="A269" i="2"/>
  <c r="N264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50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L43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48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29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" i="4"/>
  <c r="N97" i="1" l="1"/>
  <c r="N96" i="1"/>
  <c r="N95" i="1"/>
  <c r="N94" i="1"/>
  <c r="N93" i="1"/>
  <c r="N92" i="1"/>
  <c r="N91" i="1"/>
  <c r="N90" i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2" i="4"/>
  <c r="I60" i="5" l="1"/>
  <c r="I62" i="5"/>
  <c r="J64" i="5"/>
  <c r="E66" i="5" a="1"/>
  <c r="E66" i="5" s="1"/>
  <c r="H68" i="5"/>
  <c r="H71" i="5"/>
  <c r="J72" i="5"/>
  <c r="E74" i="5" a="1"/>
  <c r="E74" i="5" s="1"/>
  <c r="E78" i="5" a="1"/>
  <c r="E78" i="5" s="1"/>
  <c r="I78" i="5"/>
  <c r="I66" i="5"/>
  <c r="D68" i="5"/>
  <c r="J70" i="5"/>
  <c r="J74" i="5"/>
  <c r="E76" i="5" a="1"/>
  <c r="E76" i="5" s="1"/>
  <c r="J78" i="5"/>
  <c r="J66" i="5"/>
  <c r="D74" i="5"/>
  <c r="J76" i="5"/>
  <c r="H59" i="5"/>
  <c r="J62" i="5"/>
  <c r="H66" i="5"/>
  <c r="I68" i="5"/>
  <c r="I70" i="5"/>
  <c r="I74" i="5"/>
  <c r="D76" i="5"/>
  <c r="H77" i="5"/>
  <c r="K61" i="5"/>
  <c r="J68" i="5"/>
  <c r="D72" i="5"/>
  <c r="D66" i="5"/>
  <c r="E68" i="5" a="1"/>
  <c r="E68" i="5" s="1"/>
  <c r="I72" i="5"/>
  <c r="D78" i="5"/>
  <c r="J59" i="5"/>
  <c r="K60" i="5"/>
  <c r="K74" i="5"/>
  <c r="K68" i="5"/>
  <c r="K64" i="5"/>
  <c r="D59" i="5"/>
  <c r="E70" i="5" a="1"/>
  <c r="E70" i="5" s="1"/>
  <c r="H61" i="5"/>
  <c r="E72" i="5" a="1"/>
  <c r="E72" i="5" s="1"/>
  <c r="E64" i="5" a="1"/>
  <c r="E64" i="5" s="1"/>
  <c r="E59" i="5" a="1"/>
  <c r="E59" i="5" s="1"/>
  <c r="J77" i="5"/>
  <c r="J75" i="5"/>
  <c r="E65" i="5" a="1"/>
  <c r="E65" i="5" s="1"/>
  <c r="E63" i="5" a="1"/>
  <c r="E63" i="5" s="1"/>
  <c r="I67" i="5"/>
  <c r="D73" i="5"/>
  <c r="K73" i="5"/>
  <c r="J71" i="5"/>
  <c r="E69" i="5" a="1"/>
  <c r="E69" i="5" s="1"/>
  <c r="H78" i="5"/>
  <c r="H62" i="5"/>
  <c r="I59" i="5"/>
  <c r="H75" i="5"/>
  <c r="H65" i="5"/>
  <c r="H60" i="5"/>
  <c r="D62" i="5"/>
  <c r="D77" i="5"/>
  <c r="K77" i="5"/>
  <c r="K65" i="5"/>
  <c r="J63" i="5"/>
  <c r="D71" i="5"/>
  <c r="J69" i="5"/>
  <c r="J61" i="5"/>
  <c r="H73" i="5"/>
  <c r="K76" i="5"/>
  <c r="I76" i="5"/>
  <c r="I77" i="5"/>
  <c r="D75" i="5"/>
  <c r="D63" i="5"/>
  <c r="J67" i="5"/>
  <c r="I71" i="5"/>
  <c r="K69" i="5"/>
  <c r="E61" i="5" a="1"/>
  <c r="E61" i="5" s="1"/>
  <c r="K78" i="5"/>
  <c r="K72" i="5"/>
  <c r="H69" i="5"/>
  <c r="K70" i="5"/>
  <c r="H72" i="5"/>
  <c r="L72" i="5" s="1"/>
  <c r="E62" i="5" a="1"/>
  <c r="E62" i="5" s="1"/>
  <c r="H74" i="5"/>
  <c r="L74" i="5" s="1"/>
  <c r="K59" i="5"/>
  <c r="D60" i="5"/>
  <c r="E77" i="5" a="1"/>
  <c r="E77" i="5" s="1"/>
  <c r="I75" i="5"/>
  <c r="J65" i="5"/>
  <c r="I63" i="5"/>
  <c r="D67" i="5"/>
  <c r="K67" i="5"/>
  <c r="J73" i="5"/>
  <c r="E71" i="5" a="1"/>
  <c r="E71" i="5" s="1"/>
  <c r="I69" i="5"/>
  <c r="H67" i="5"/>
  <c r="H70" i="5"/>
  <c r="I61" i="5"/>
  <c r="K66" i="5"/>
  <c r="H63" i="5"/>
  <c r="D70" i="5"/>
  <c r="D64" i="5"/>
  <c r="K75" i="5"/>
  <c r="D65" i="5"/>
  <c r="E67" i="5" a="1"/>
  <c r="E67" i="5" s="1"/>
  <c r="I73" i="5"/>
  <c r="K71" i="5"/>
  <c r="H64" i="5"/>
  <c r="L64" i="5" s="1"/>
  <c r="K62" i="5"/>
  <c r="D61" i="5"/>
  <c r="I64" i="5"/>
  <c r="E60" i="5" a="1"/>
  <c r="E60" i="5" s="1"/>
  <c r="J60" i="5"/>
  <c r="E75" i="5" a="1"/>
  <c r="E75" i="5" s="1"/>
  <c r="I65" i="5"/>
  <c r="M65" i="5" s="1"/>
  <c r="K63" i="5"/>
  <c r="E73" i="5" a="1"/>
  <c r="E73" i="5" s="1"/>
  <c r="D69" i="5"/>
  <c r="H76" i="5"/>
  <c r="D50" i="5"/>
  <c r="E51" i="5" a="1"/>
  <c r="E51" i="5" s="1"/>
  <c r="H53" i="5"/>
  <c r="H54" i="5"/>
  <c r="K55" i="5"/>
  <c r="I56" i="5"/>
  <c r="D58" i="5"/>
  <c r="J58" i="5"/>
  <c r="J49" i="5"/>
  <c r="J51" i="5"/>
  <c r="E56" i="5" a="1"/>
  <c r="E56" i="5" s="1"/>
  <c r="H58" i="5"/>
  <c r="J55" i="5"/>
  <c r="I58" i="5"/>
  <c r="H49" i="5"/>
  <c r="H50" i="5"/>
  <c r="H51" i="5"/>
  <c r="H52" i="5"/>
  <c r="J53" i="5"/>
  <c r="E58" i="5" a="1"/>
  <c r="E58" i="5" s="1"/>
  <c r="I50" i="5"/>
  <c r="I52" i="5"/>
  <c r="E55" i="5" a="1"/>
  <c r="E55" i="5" s="1"/>
  <c r="H57" i="5"/>
  <c r="K51" i="5"/>
  <c r="D54" i="5"/>
  <c r="H56" i="5"/>
  <c r="E48" i="5" a="1"/>
  <c r="E48" i="5" s="1"/>
  <c r="D57" i="5"/>
  <c r="D51" i="5"/>
  <c r="D49" i="5"/>
  <c r="H55" i="5"/>
  <c r="D52" i="5"/>
  <c r="E57" i="5" a="1"/>
  <c r="E57" i="5" s="1"/>
  <c r="I53" i="5"/>
  <c r="I49" i="5"/>
  <c r="K58" i="5"/>
  <c r="K56" i="5"/>
  <c r="E47" i="5" a="1"/>
  <c r="E47" i="5" s="1"/>
  <c r="I54" i="5"/>
  <c r="K49" i="5"/>
  <c r="I57" i="5"/>
  <c r="K52" i="5"/>
  <c r="J54" i="5"/>
  <c r="L54" i="5" s="1"/>
  <c r="E50" i="5" a="1"/>
  <c r="E50" i="5" s="1"/>
  <c r="D55" i="5"/>
  <c r="E54" i="5" a="1"/>
  <c r="E54" i="5" s="1"/>
  <c r="J56" i="5"/>
  <c r="K53" i="5"/>
  <c r="E49" i="5" a="1"/>
  <c r="E49" i="5" s="1"/>
  <c r="I55" i="5"/>
  <c r="I51" i="5"/>
  <c r="J52" i="5"/>
  <c r="E46" i="5" a="1"/>
  <c r="E46" i="5" s="1"/>
  <c r="D53" i="5"/>
  <c r="E52" i="5" a="1"/>
  <c r="E52" i="5" s="1"/>
  <c r="D56" i="5"/>
  <c r="E53" i="5" a="1"/>
  <c r="E53" i="5" s="1"/>
  <c r="K57" i="5"/>
  <c r="J57" i="5"/>
  <c r="K54" i="5"/>
  <c r="K50" i="5"/>
  <c r="J50" i="5"/>
  <c r="K46" i="5"/>
  <c r="I47" i="5"/>
  <c r="H48" i="5"/>
  <c r="H47" i="5"/>
  <c r="J48" i="5"/>
  <c r="H46" i="5"/>
  <c r="D47" i="5"/>
  <c r="K48" i="5"/>
  <c r="J46" i="5"/>
  <c r="D46" i="5"/>
  <c r="I46" i="5"/>
  <c r="D48" i="5"/>
  <c r="J47" i="5"/>
  <c r="I48" i="5"/>
  <c r="K47" i="5"/>
  <c r="K4" i="5"/>
  <c r="J4" i="5"/>
  <c r="K45" i="5"/>
  <c r="K43" i="5"/>
  <c r="K41" i="5"/>
  <c r="K39" i="5"/>
  <c r="K37" i="5"/>
  <c r="K35" i="5"/>
  <c r="K33" i="5"/>
  <c r="K31" i="5"/>
  <c r="K29" i="5"/>
  <c r="K26" i="5"/>
  <c r="K24" i="5"/>
  <c r="K22" i="5"/>
  <c r="K20" i="5"/>
  <c r="K18" i="5"/>
  <c r="K16" i="5"/>
  <c r="K14" i="5"/>
  <c r="K12" i="5"/>
  <c r="K10" i="5"/>
  <c r="K8" i="5"/>
  <c r="K6" i="5"/>
  <c r="K5" i="5"/>
  <c r="J3" i="5"/>
  <c r="I2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I4" i="5"/>
  <c r="I3" i="5"/>
  <c r="J2" i="5"/>
  <c r="I45" i="5"/>
  <c r="I44" i="5"/>
  <c r="I43" i="5"/>
  <c r="M43" i="5" s="1"/>
  <c r="I42" i="5"/>
  <c r="I41" i="5"/>
  <c r="I40" i="5"/>
  <c r="I39" i="5"/>
  <c r="I38" i="5"/>
  <c r="I37" i="5"/>
  <c r="I36" i="5"/>
  <c r="I35" i="5"/>
  <c r="M35" i="5" s="1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M20" i="5" s="1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H4" i="5"/>
  <c r="H3" i="5"/>
  <c r="K44" i="5"/>
  <c r="K42" i="5"/>
  <c r="K40" i="5"/>
  <c r="K38" i="5"/>
  <c r="K36" i="5"/>
  <c r="K34" i="5"/>
  <c r="K32" i="5"/>
  <c r="K30" i="5"/>
  <c r="K28" i="5"/>
  <c r="K27" i="5"/>
  <c r="K25" i="5"/>
  <c r="K23" i="5"/>
  <c r="K21" i="5"/>
  <c r="K19" i="5"/>
  <c r="K17" i="5"/>
  <c r="K15" i="5"/>
  <c r="K13" i="5"/>
  <c r="K11" i="5"/>
  <c r="K9" i="5"/>
  <c r="K7" i="5"/>
  <c r="K2" i="5"/>
  <c r="M2" i="5" s="1"/>
  <c r="H45" i="5"/>
  <c r="L45" i="5" s="1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L23" i="5" s="1"/>
  <c r="H22" i="5"/>
  <c r="L22" i="5" s="1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K3" i="5"/>
  <c r="H2" i="5"/>
  <c r="D2" i="5"/>
  <c r="E45" i="5" a="1"/>
  <c r="E2" i="5" a="1"/>
  <c r="D45" i="5"/>
  <c r="D43" i="5"/>
  <c r="D41" i="5"/>
  <c r="D39" i="5"/>
  <c r="D37" i="5"/>
  <c r="D35" i="5"/>
  <c r="E33" i="5" a="1"/>
  <c r="E31" i="5" a="1"/>
  <c r="E29" i="5" a="1"/>
  <c r="E27" i="5" a="1"/>
  <c r="E25" i="5" a="1"/>
  <c r="E24" i="5" a="1"/>
  <c r="D22" i="5"/>
  <c r="D19" i="5"/>
  <c r="D17" i="5"/>
  <c r="D15" i="5"/>
  <c r="D13" i="5"/>
  <c r="E11" i="5" a="1"/>
  <c r="E10" i="5" a="1"/>
  <c r="D7" i="5"/>
  <c r="E5" i="5" a="1"/>
  <c r="D4" i="5"/>
  <c r="D44" i="5"/>
  <c r="D42" i="5"/>
  <c r="D40" i="5"/>
  <c r="D38" i="5"/>
  <c r="D36" i="5"/>
  <c r="D33" i="5"/>
  <c r="D31" i="5"/>
  <c r="D29" i="5"/>
  <c r="D27" i="5"/>
  <c r="D25" i="5"/>
  <c r="E23" i="5" a="1"/>
  <c r="E22" i="5" a="1"/>
  <c r="D20" i="5"/>
  <c r="D18" i="5"/>
  <c r="D16" i="5"/>
  <c r="D14" i="5"/>
  <c r="D11" i="5"/>
  <c r="E9" i="5" a="1"/>
  <c r="D8" i="5"/>
  <c r="D5" i="5"/>
  <c r="E4" i="5" a="1"/>
  <c r="E44" i="5" a="1"/>
  <c r="E42" i="5" a="1"/>
  <c r="E40" i="5" a="1"/>
  <c r="E38" i="5" a="1"/>
  <c r="E36" i="5" a="1"/>
  <c r="D34" i="5"/>
  <c r="D32" i="5"/>
  <c r="D30" i="5"/>
  <c r="D28" i="5"/>
  <c r="D26" i="5"/>
  <c r="D23" i="5"/>
  <c r="E21" i="5" a="1"/>
  <c r="E20" i="5" a="1"/>
  <c r="E18" i="5" a="1"/>
  <c r="E16" i="5" a="1"/>
  <c r="E14" i="5" a="1"/>
  <c r="D12" i="5"/>
  <c r="D9" i="5"/>
  <c r="E8" i="5" a="1"/>
  <c r="D6" i="5"/>
  <c r="E43" i="5" a="1"/>
  <c r="E41" i="5" a="1"/>
  <c r="E39" i="5" a="1"/>
  <c r="E37" i="5" a="1"/>
  <c r="E35" i="5" a="1"/>
  <c r="E34" i="5" a="1"/>
  <c r="E32" i="5" a="1"/>
  <c r="E30" i="5" a="1"/>
  <c r="E28" i="5" a="1"/>
  <c r="E26" i="5" a="1"/>
  <c r="D24" i="5"/>
  <c r="D21" i="5"/>
  <c r="E19" i="5" a="1"/>
  <c r="E17" i="5" a="1"/>
  <c r="E15" i="5" a="1"/>
  <c r="E13" i="5" a="1"/>
  <c r="E12" i="5" a="1"/>
  <c r="D10" i="5"/>
  <c r="E7" i="5" a="1"/>
  <c r="E6" i="5" a="1"/>
  <c r="D3" i="5"/>
  <c r="E3" i="5" a="1"/>
  <c r="E3" i="5" s="1"/>
  <c r="L10" i="5" l="1"/>
  <c r="M76" i="5"/>
  <c r="L76" i="5"/>
  <c r="M64" i="5"/>
  <c r="L71" i="5"/>
  <c r="L78" i="5"/>
  <c r="L61" i="5"/>
  <c r="L75" i="5"/>
  <c r="M59" i="5"/>
  <c r="M68" i="5"/>
  <c r="M75" i="5"/>
  <c r="L67" i="5"/>
  <c r="M77" i="5"/>
  <c r="M72" i="5"/>
  <c r="M70" i="5"/>
  <c r="L59" i="5"/>
  <c r="L63" i="5"/>
  <c r="M69" i="5"/>
  <c r="M71" i="5"/>
  <c r="L62" i="5"/>
  <c r="M73" i="5"/>
  <c r="M61" i="5"/>
  <c r="M63" i="5"/>
  <c r="L69" i="5"/>
  <c r="M66" i="5"/>
  <c r="L60" i="5"/>
  <c r="L70" i="5"/>
  <c r="L73" i="5"/>
  <c r="L65" i="5"/>
  <c r="M67" i="5"/>
  <c r="L77" i="5"/>
  <c r="L66" i="5"/>
  <c r="M78" i="5"/>
  <c r="M62" i="5"/>
  <c r="M74" i="5"/>
  <c r="L68" i="5"/>
  <c r="M60" i="5"/>
  <c r="M55" i="5"/>
  <c r="M45" i="5"/>
  <c r="L21" i="5"/>
  <c r="L57" i="5"/>
  <c r="M51" i="5"/>
  <c r="L56" i="5"/>
  <c r="M49" i="5"/>
  <c r="L55" i="5"/>
  <c r="L52" i="5"/>
  <c r="L49" i="5"/>
  <c r="M47" i="5"/>
  <c r="M52" i="5"/>
  <c r="M50" i="5"/>
  <c r="L58" i="5"/>
  <c r="M4" i="5"/>
  <c r="L50" i="5"/>
  <c r="M53" i="5"/>
  <c r="L53" i="5"/>
  <c r="M57" i="5"/>
  <c r="M58" i="5"/>
  <c r="L51" i="5"/>
  <c r="M56" i="5"/>
  <c r="L4" i="5"/>
  <c r="M54" i="5"/>
  <c r="M46" i="5"/>
  <c r="L46" i="5"/>
  <c r="M41" i="5"/>
  <c r="M48" i="5"/>
  <c r="L47" i="5"/>
  <c r="L48" i="5"/>
  <c r="E45" i="5"/>
  <c r="P45" i="5"/>
  <c r="M39" i="5"/>
  <c r="M14" i="5"/>
  <c r="M36" i="5"/>
  <c r="E17" i="5"/>
  <c r="P17" i="5"/>
  <c r="E34" i="5"/>
  <c r="P34" i="5"/>
  <c r="E40" i="5"/>
  <c r="P40" i="5"/>
  <c r="E11" i="5"/>
  <c r="P11" i="5"/>
  <c r="E2" i="5"/>
  <c r="P2" i="5"/>
  <c r="E12" i="5"/>
  <c r="P12" i="5"/>
  <c r="E19" i="5"/>
  <c r="P19" i="5"/>
  <c r="E28" i="5"/>
  <c r="P28" i="5"/>
  <c r="E35" i="5"/>
  <c r="P35" i="5"/>
  <c r="E43" i="5"/>
  <c r="P43" i="5"/>
  <c r="E18" i="5"/>
  <c r="P18" i="5"/>
  <c r="E42" i="5"/>
  <c r="P42" i="5"/>
  <c r="E23" i="5"/>
  <c r="P23" i="5"/>
  <c r="E5" i="5"/>
  <c r="P5" i="5"/>
  <c r="E29" i="5"/>
  <c r="P29" i="5"/>
  <c r="E22" i="5"/>
  <c r="P22" i="5"/>
  <c r="E6" i="5"/>
  <c r="P6" i="5"/>
  <c r="E13" i="5"/>
  <c r="P13" i="5"/>
  <c r="E30" i="5"/>
  <c r="P30" i="5"/>
  <c r="E37" i="5"/>
  <c r="P37" i="5"/>
  <c r="E24" i="5"/>
  <c r="P24" i="5"/>
  <c r="E31" i="5"/>
  <c r="P31" i="5"/>
  <c r="E26" i="5"/>
  <c r="P26" i="5"/>
  <c r="E41" i="5"/>
  <c r="P41" i="5"/>
  <c r="E8" i="5"/>
  <c r="P8" i="5"/>
  <c r="E16" i="5"/>
  <c r="P16" i="5"/>
  <c r="E27" i="5"/>
  <c r="P27" i="5"/>
  <c r="E20" i="5"/>
  <c r="P20" i="5"/>
  <c r="E36" i="5"/>
  <c r="P36" i="5"/>
  <c r="E44" i="5"/>
  <c r="P44" i="5"/>
  <c r="E9" i="5"/>
  <c r="P9" i="5"/>
  <c r="E7" i="5"/>
  <c r="P7" i="5"/>
  <c r="E15" i="5"/>
  <c r="P15" i="5"/>
  <c r="E32" i="5"/>
  <c r="P32" i="5"/>
  <c r="E39" i="5"/>
  <c r="P39" i="5"/>
  <c r="E14" i="5"/>
  <c r="P14" i="5"/>
  <c r="E21" i="5"/>
  <c r="P21" i="5"/>
  <c r="E38" i="5"/>
  <c r="P38" i="5"/>
  <c r="E4" i="5"/>
  <c r="P4" i="5"/>
  <c r="E10" i="5"/>
  <c r="P10" i="5"/>
  <c r="E25" i="5"/>
  <c r="P25" i="5"/>
  <c r="E33" i="5"/>
  <c r="P33" i="5"/>
  <c r="M7" i="5"/>
  <c r="M37" i="5"/>
  <c r="M38" i="5"/>
  <c r="M44" i="5"/>
  <c r="M15" i="5"/>
  <c r="M3" i="5"/>
  <c r="M19" i="5"/>
  <c r="M13" i="5"/>
  <c r="M17" i="5"/>
  <c r="M21" i="5"/>
  <c r="L5" i="5"/>
  <c r="M24" i="5"/>
  <c r="L29" i="5"/>
  <c r="L32" i="5"/>
  <c r="M6" i="5"/>
  <c r="M11" i="5"/>
  <c r="L14" i="5"/>
  <c r="L19" i="5"/>
  <c r="M27" i="5"/>
  <c r="M30" i="5"/>
  <c r="L35" i="5"/>
  <c r="L38" i="5"/>
  <c r="L43" i="5"/>
  <c r="L24" i="5"/>
  <c r="M18" i="5"/>
  <c r="M42" i="5"/>
  <c r="L3" i="5"/>
  <c r="L2" i="5"/>
  <c r="L6" i="5"/>
  <c r="L11" i="5"/>
  <c r="L27" i="5"/>
  <c r="L30" i="5"/>
  <c r="M12" i="5"/>
  <c r="L17" i="5"/>
  <c r="L20" i="5"/>
  <c r="M25" i="5"/>
  <c r="M28" i="5"/>
  <c r="M33" i="5"/>
  <c r="L36" i="5"/>
  <c r="L41" i="5"/>
  <c r="L44" i="5"/>
  <c r="M22" i="5"/>
  <c r="M9" i="5"/>
  <c r="L12" i="5"/>
  <c r="L25" i="5"/>
  <c r="L28" i="5"/>
  <c r="L33" i="5"/>
  <c r="L7" i="5"/>
  <c r="L15" i="5"/>
  <c r="L18" i="5"/>
  <c r="M26" i="5"/>
  <c r="M31" i="5"/>
  <c r="M34" i="5"/>
  <c r="L39" i="5"/>
  <c r="L42" i="5"/>
  <c r="M8" i="5"/>
  <c r="M16" i="5"/>
  <c r="M40" i="5"/>
  <c r="L9" i="5"/>
  <c r="M10" i="5"/>
  <c r="M23" i="5"/>
  <c r="L26" i="5"/>
  <c r="L31" i="5"/>
  <c r="L34" i="5"/>
  <c r="M5" i="5"/>
  <c r="L8" i="5"/>
  <c r="L13" i="5"/>
  <c r="L16" i="5"/>
  <c r="M29" i="5"/>
  <c r="M32" i="5"/>
  <c r="L37" i="5"/>
  <c r="L40" i="5"/>
  <c r="N2" i="5" l="1" a="1"/>
  <c r="N2" i="5" s="1"/>
  <c r="K83" i="2"/>
  <c r="K16" i="2"/>
  <c r="A239" i="2"/>
  <c r="A240" i="2"/>
  <c r="A241" i="2"/>
  <c r="A242" i="2"/>
  <c r="A243" i="2"/>
  <c r="A244" i="2"/>
  <c r="A245" i="2"/>
  <c r="A246" i="2"/>
  <c r="A247" i="2"/>
  <c r="A248" i="2"/>
  <c r="A249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181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180" i="2" l="1"/>
  <c r="C85" i="1"/>
  <c r="C86" i="1"/>
  <c r="C87" i="1"/>
  <c r="C88" i="1"/>
  <c r="C89" i="1"/>
  <c r="A168" i="2"/>
  <c r="A169" i="2"/>
  <c r="A170" i="2"/>
  <c r="A171" i="2"/>
  <c r="A172" i="2"/>
  <c r="A173" i="2"/>
  <c r="A174" i="2"/>
  <c r="A175" i="2"/>
  <c r="A176" i="2"/>
  <c r="A177" i="2"/>
  <c r="A178" i="2"/>
  <c r="A179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04" i="2"/>
  <c r="A105" i="2"/>
  <c r="A106" i="2"/>
  <c r="N73" i="3"/>
  <c r="N72" i="3"/>
  <c r="N71" i="3"/>
  <c r="N70" i="3"/>
  <c r="N69" i="3"/>
  <c r="N68" i="3"/>
  <c r="N67" i="3"/>
  <c r="N65" i="3"/>
  <c r="N63" i="3"/>
  <c r="N62" i="3"/>
  <c r="N60" i="3"/>
  <c r="N59" i="3"/>
  <c r="N57" i="3"/>
  <c r="N55" i="3"/>
  <c r="N54" i="3"/>
  <c r="N52" i="3"/>
  <c r="N51" i="3"/>
  <c r="N50" i="3"/>
  <c r="N49" i="3"/>
  <c r="N48" i="3"/>
  <c r="N47" i="3"/>
  <c r="N46" i="3"/>
  <c r="N44" i="3"/>
  <c r="N41" i="3"/>
  <c r="N36" i="3"/>
  <c r="N35" i="3"/>
  <c r="N34" i="3"/>
  <c r="N33" i="3"/>
  <c r="N32" i="3"/>
  <c r="N31" i="3"/>
  <c r="N30" i="3"/>
  <c r="N29" i="3"/>
  <c r="N28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36" i="2"/>
  <c r="M27" i="2"/>
  <c r="N87" i="1" l="1"/>
  <c r="N89" i="1"/>
  <c r="N88" i="1"/>
  <c r="N85" i="1"/>
  <c r="N86" i="1"/>
  <c r="M59" i="2"/>
  <c r="C76" i="1" l="1"/>
  <c r="C77" i="1"/>
  <c r="C78" i="1"/>
  <c r="C79" i="1"/>
  <c r="C80" i="1"/>
  <c r="C81" i="1"/>
  <c r="C82" i="1"/>
  <c r="C83" i="1"/>
  <c r="C84" i="1"/>
  <c r="V100" i="2"/>
  <c r="V101" i="2"/>
  <c r="V102" i="2"/>
  <c r="V103" i="2"/>
  <c r="V99" i="2"/>
  <c r="T98" i="2"/>
  <c r="T97" i="2"/>
  <c r="T96" i="2"/>
  <c r="T95" i="2"/>
  <c r="T93" i="2"/>
  <c r="T92" i="2"/>
  <c r="T91" i="2"/>
  <c r="T90" i="2"/>
  <c r="T89" i="2"/>
  <c r="T88" i="2"/>
  <c r="T87" i="2"/>
  <c r="L86" i="2"/>
  <c r="N86" i="2" s="1"/>
  <c r="L85" i="2"/>
  <c r="N85" i="2" s="1"/>
  <c r="L84" i="2"/>
  <c r="N84" i="2" s="1"/>
  <c r="M83" i="2"/>
  <c r="M82" i="2"/>
  <c r="L82" i="2"/>
  <c r="M81" i="2"/>
  <c r="L81" i="2"/>
  <c r="K81" i="2"/>
  <c r="M80" i="2"/>
  <c r="L80" i="2"/>
  <c r="M79" i="2"/>
  <c r="L79" i="2"/>
  <c r="M78" i="2"/>
  <c r="L78" i="2"/>
  <c r="M77" i="2"/>
  <c r="L77" i="2"/>
  <c r="M76" i="2"/>
  <c r="L76" i="2"/>
  <c r="M75" i="2"/>
  <c r="L75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2" i="2"/>
  <c r="D109" i="1" l="1"/>
  <c r="D105" i="1"/>
  <c r="D102" i="1"/>
  <c r="H106" i="1"/>
  <c r="K107" i="1"/>
  <c r="K103" i="1"/>
  <c r="J107" i="1"/>
  <c r="E106" i="1" a="1"/>
  <c r="E106" i="1" s="1"/>
  <c r="J103" i="1"/>
  <c r="E102" i="1" a="1"/>
  <c r="E102" i="1" s="1"/>
  <c r="K108" i="1"/>
  <c r="K104" i="1"/>
  <c r="I109" i="1"/>
  <c r="I105" i="1"/>
  <c r="D103" i="1"/>
  <c r="H104" i="1"/>
  <c r="J109" i="1"/>
  <c r="E108" i="1" a="1"/>
  <c r="E108" i="1" s="1"/>
  <c r="E104" i="1" a="1"/>
  <c r="E104" i="1" s="1"/>
  <c r="K106" i="1"/>
  <c r="I107" i="1"/>
  <c r="M107" i="1" s="1"/>
  <c r="H105" i="1"/>
  <c r="H109" i="1"/>
  <c r="O104" i="1"/>
  <c r="J106" i="1"/>
  <c r="K109" i="1"/>
  <c r="K102" i="1"/>
  <c r="I102" i="1"/>
  <c r="D108" i="1"/>
  <c r="D106" i="1"/>
  <c r="H102" i="1"/>
  <c r="H103" i="1"/>
  <c r="O106" i="1"/>
  <c r="J108" i="1"/>
  <c r="E107" i="1" a="1"/>
  <c r="E107" i="1" s="1"/>
  <c r="J104" i="1"/>
  <c r="E103" i="1" a="1"/>
  <c r="E103" i="1" s="1"/>
  <c r="H108" i="1"/>
  <c r="O107" i="1"/>
  <c r="O103" i="1"/>
  <c r="I104" i="1"/>
  <c r="D107" i="1"/>
  <c r="O109" i="1"/>
  <c r="K105" i="1"/>
  <c r="J105" i="1"/>
  <c r="H107" i="1"/>
  <c r="O102" i="1"/>
  <c r="I103" i="1"/>
  <c r="D104" i="1"/>
  <c r="O108" i="1"/>
  <c r="E109" i="1" a="1"/>
  <c r="E109" i="1" s="1"/>
  <c r="E105" i="1" a="1"/>
  <c r="E105" i="1" s="1"/>
  <c r="J102" i="1"/>
  <c r="O105" i="1"/>
  <c r="I106" i="1"/>
  <c r="O99" i="1"/>
  <c r="O101" i="1"/>
  <c r="O100" i="1"/>
  <c r="K98" i="1"/>
  <c r="O98" i="1"/>
  <c r="D99" i="1"/>
  <c r="K101" i="1"/>
  <c r="H100" i="1"/>
  <c r="J101" i="1"/>
  <c r="E100" i="1" a="1"/>
  <c r="E100" i="1" s="1"/>
  <c r="I100" i="1"/>
  <c r="D100" i="1"/>
  <c r="K100" i="1"/>
  <c r="H99" i="1"/>
  <c r="E101" i="1" a="1"/>
  <c r="E101" i="1" s="1"/>
  <c r="J98" i="1"/>
  <c r="D101" i="1"/>
  <c r="K99" i="1"/>
  <c r="H98" i="1"/>
  <c r="J99" i="1"/>
  <c r="E98" i="1" a="1"/>
  <c r="E98" i="1" s="1"/>
  <c r="I98" i="1"/>
  <c r="D98" i="1"/>
  <c r="H101" i="1"/>
  <c r="J100" i="1"/>
  <c r="E99" i="1" a="1"/>
  <c r="E99" i="1" s="1"/>
  <c r="I101" i="1"/>
  <c r="I83" i="1"/>
  <c r="I93" i="1"/>
  <c r="I96" i="1"/>
  <c r="I92" i="1"/>
  <c r="I94" i="1"/>
  <c r="I90" i="1"/>
  <c r="I85" i="1"/>
  <c r="I86" i="1"/>
  <c r="I89" i="1"/>
  <c r="I87" i="1"/>
  <c r="I88" i="1"/>
  <c r="I78" i="1"/>
  <c r="I77" i="1"/>
  <c r="I82" i="1"/>
  <c r="I84" i="1"/>
  <c r="I80" i="1"/>
  <c r="D97" i="1"/>
  <c r="D93" i="1"/>
  <c r="O97" i="1"/>
  <c r="O93" i="1"/>
  <c r="K97" i="1"/>
  <c r="K93" i="1"/>
  <c r="H97" i="1"/>
  <c r="H93" i="1"/>
  <c r="J96" i="1"/>
  <c r="E95" i="1" a="1"/>
  <c r="J92" i="1"/>
  <c r="E91" i="1" a="1"/>
  <c r="D92" i="1"/>
  <c r="D96" i="1"/>
  <c r="O96" i="1"/>
  <c r="O92" i="1"/>
  <c r="K96" i="1"/>
  <c r="K92" i="1"/>
  <c r="H96" i="1"/>
  <c r="H92" i="1"/>
  <c r="J97" i="1"/>
  <c r="E96" i="1" a="1"/>
  <c r="J93" i="1"/>
  <c r="E92" i="1" a="1"/>
  <c r="D95" i="1"/>
  <c r="D94" i="1"/>
  <c r="O95" i="1"/>
  <c r="O91" i="1"/>
  <c r="K95" i="1"/>
  <c r="K91" i="1"/>
  <c r="H95" i="1"/>
  <c r="H91" i="1"/>
  <c r="E97" i="1" a="1"/>
  <c r="J94" i="1"/>
  <c r="E93" i="1" a="1"/>
  <c r="J90" i="1"/>
  <c r="D91" i="1"/>
  <c r="D90" i="1"/>
  <c r="O94" i="1"/>
  <c r="O90" i="1"/>
  <c r="K94" i="1"/>
  <c r="K90" i="1"/>
  <c r="H94" i="1"/>
  <c r="H90" i="1"/>
  <c r="J95" i="1"/>
  <c r="E94" i="1" a="1"/>
  <c r="J91" i="1"/>
  <c r="E90" i="1" a="1"/>
  <c r="N80" i="2"/>
  <c r="K86" i="1"/>
  <c r="J87" i="1"/>
  <c r="K88" i="1"/>
  <c r="E89" i="1" a="1"/>
  <c r="E87" i="1" a="1"/>
  <c r="H88" i="1"/>
  <c r="H87" i="1"/>
  <c r="O87" i="1"/>
  <c r="J88" i="1"/>
  <c r="J85" i="1"/>
  <c r="K87" i="1"/>
  <c r="E88" i="1" a="1"/>
  <c r="H89" i="1"/>
  <c r="O89" i="1"/>
  <c r="K85" i="1"/>
  <c r="O88" i="1"/>
  <c r="J89" i="1"/>
  <c r="K89" i="1"/>
  <c r="D89" i="1"/>
  <c r="D85" i="1"/>
  <c r="E86" i="1" a="1"/>
  <c r="D86" i="1"/>
  <c r="J86" i="1"/>
  <c r="E85" i="1" a="1"/>
  <c r="D87" i="1"/>
  <c r="O85" i="1"/>
  <c r="O86" i="1"/>
  <c r="D88" i="1"/>
  <c r="H85" i="1"/>
  <c r="H86" i="1"/>
  <c r="N81" i="2"/>
  <c r="N75" i="2"/>
  <c r="N79" i="2"/>
  <c r="N76" i="2"/>
  <c r="N82" i="2"/>
  <c r="N77" i="2"/>
  <c r="H82" i="1"/>
  <c r="D79" i="1"/>
  <c r="D84" i="1"/>
  <c r="D81" i="1"/>
  <c r="D78" i="1"/>
  <c r="N78" i="2"/>
  <c r="D83" i="1"/>
  <c r="H80" i="1"/>
  <c r="D77" i="1"/>
  <c r="D82" i="1"/>
  <c r="D80" i="1"/>
  <c r="D76" i="1"/>
  <c r="O76" i="1"/>
  <c r="H84" i="1"/>
  <c r="H83" i="1"/>
  <c r="H81" i="1"/>
  <c r="H79" i="1"/>
  <c r="K76" i="1"/>
  <c r="H77" i="1"/>
  <c r="H76" i="1"/>
  <c r="H78" i="1"/>
  <c r="O84" i="1"/>
  <c r="K84" i="1"/>
  <c r="O83" i="1"/>
  <c r="K83" i="1"/>
  <c r="O82" i="1"/>
  <c r="K82" i="1"/>
  <c r="O81" i="1"/>
  <c r="K81" i="1"/>
  <c r="O80" i="1"/>
  <c r="K80" i="1"/>
  <c r="O79" i="1"/>
  <c r="K79" i="1"/>
  <c r="O78" i="1"/>
  <c r="K78" i="1"/>
  <c r="O77" i="1"/>
  <c r="K77" i="1"/>
  <c r="N84" i="1"/>
  <c r="J84" i="1"/>
  <c r="E84" i="1" a="1"/>
  <c r="N83" i="1"/>
  <c r="J83" i="1"/>
  <c r="E83" i="1" a="1"/>
  <c r="N82" i="1"/>
  <c r="J82" i="1"/>
  <c r="E82" i="1" a="1"/>
  <c r="N81" i="1"/>
  <c r="J81" i="1"/>
  <c r="E81" i="1" a="1"/>
  <c r="N80" i="1"/>
  <c r="J80" i="1"/>
  <c r="E80" i="1" a="1"/>
  <c r="N79" i="1"/>
  <c r="J79" i="1"/>
  <c r="E79" i="1" a="1"/>
  <c r="N78" i="1"/>
  <c r="J78" i="1"/>
  <c r="E78" i="1" a="1"/>
  <c r="N77" i="1"/>
  <c r="J77" i="1"/>
  <c r="E77" i="1" a="1"/>
  <c r="N76" i="1"/>
  <c r="J76" i="1"/>
  <c r="E76" i="1" a="1"/>
  <c r="C3" i="1"/>
  <c r="C4" i="1"/>
  <c r="C5" i="1"/>
  <c r="C6" i="1"/>
  <c r="C7" i="1"/>
  <c r="C8" i="1"/>
  <c r="I8" i="1" s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I74" i="1" s="1"/>
  <c r="C75" i="1"/>
  <c r="C2" i="1"/>
  <c r="I2" i="1" s="1"/>
  <c r="M73" i="2"/>
  <c r="L73" i="2"/>
  <c r="M72" i="2"/>
  <c r="L72" i="2"/>
  <c r="M71" i="2"/>
  <c r="M70" i="2"/>
  <c r="L70" i="2"/>
  <c r="M69" i="2"/>
  <c r="L69" i="2"/>
  <c r="M68" i="2"/>
  <c r="M67" i="2"/>
  <c r="L67" i="2"/>
  <c r="M66" i="2"/>
  <c r="L66" i="2"/>
  <c r="N65" i="2"/>
  <c r="M64" i="2"/>
  <c r="L64" i="2"/>
  <c r="N44" i="2"/>
  <c r="M43" i="2"/>
  <c r="L43" i="2"/>
  <c r="N42" i="2"/>
  <c r="N41" i="2"/>
  <c r="M40" i="2"/>
  <c r="L40" i="2"/>
  <c r="N39" i="2"/>
  <c r="N63" i="2"/>
  <c r="N38" i="2"/>
  <c r="N37" i="2"/>
  <c r="M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62" i="2"/>
  <c r="L62" i="2"/>
  <c r="M28" i="2"/>
  <c r="L28" i="2"/>
  <c r="L27" i="2"/>
  <c r="N26" i="2"/>
  <c r="N25" i="2"/>
  <c r="M61" i="2"/>
  <c r="L61" i="2"/>
  <c r="M24" i="2"/>
  <c r="L24" i="2"/>
  <c r="N60" i="2"/>
  <c r="M23" i="2"/>
  <c r="L23" i="2"/>
  <c r="M22" i="2"/>
  <c r="L22" i="2"/>
  <c r="M21" i="2"/>
  <c r="L21" i="2"/>
  <c r="L59" i="2"/>
  <c r="M20" i="2"/>
  <c r="M19" i="2"/>
  <c r="L19" i="2"/>
  <c r="M18" i="2"/>
  <c r="L18" i="2"/>
  <c r="M17" i="2"/>
  <c r="L17" i="2"/>
  <c r="M16" i="2"/>
  <c r="M58" i="2"/>
  <c r="L58" i="2"/>
  <c r="N57" i="2"/>
  <c r="M56" i="2"/>
  <c r="L56" i="2"/>
  <c r="M55" i="2"/>
  <c r="N55" i="2" s="1"/>
  <c r="M54" i="2"/>
  <c r="L54" i="2"/>
  <c r="L53" i="2"/>
  <c r="N53" i="2" s="1"/>
  <c r="M52" i="2"/>
  <c r="N52" i="2" s="1"/>
  <c r="M51" i="2"/>
  <c r="L51" i="2"/>
  <c r="M50" i="2"/>
  <c r="L50" i="2"/>
  <c r="M49" i="2"/>
  <c r="M48" i="2"/>
  <c r="L48" i="2"/>
  <c r="M47" i="2"/>
  <c r="L47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M6" i="2"/>
  <c r="L6" i="2"/>
  <c r="M46" i="2"/>
  <c r="L46" i="2"/>
  <c r="M45" i="2"/>
  <c r="L45" i="2"/>
  <c r="M5" i="2"/>
  <c r="L5" i="2"/>
  <c r="M4" i="2"/>
  <c r="L4" i="2"/>
  <c r="M3" i="2"/>
  <c r="L3" i="2"/>
  <c r="M2" i="2"/>
  <c r="L2" i="2"/>
  <c r="L104" i="1" l="1"/>
  <c r="L108" i="1"/>
  <c r="L103" i="1"/>
  <c r="L105" i="1"/>
  <c r="L101" i="1"/>
  <c r="M106" i="1"/>
  <c r="L107" i="1"/>
  <c r="L109" i="1"/>
  <c r="M101" i="1"/>
  <c r="M102" i="1"/>
  <c r="L106" i="1"/>
  <c r="M93" i="1"/>
  <c r="M103" i="1"/>
  <c r="L102" i="1"/>
  <c r="M104" i="1"/>
  <c r="M105" i="1"/>
  <c r="M109" i="1"/>
  <c r="L89" i="1"/>
  <c r="M96" i="1"/>
  <c r="M100" i="1"/>
  <c r="M88" i="1"/>
  <c r="M98" i="1"/>
  <c r="L100" i="1"/>
  <c r="L98" i="1"/>
  <c r="L99" i="1"/>
  <c r="M90" i="1"/>
  <c r="M87" i="1"/>
  <c r="L97" i="1"/>
  <c r="M92" i="1"/>
  <c r="M94" i="1"/>
  <c r="L95" i="1"/>
  <c r="I64" i="1"/>
  <c r="M89" i="1"/>
  <c r="E94" i="1"/>
  <c r="R94" i="1"/>
  <c r="E96" i="1"/>
  <c r="R96" i="1"/>
  <c r="E95" i="1"/>
  <c r="R95" i="1"/>
  <c r="E97" i="1"/>
  <c r="R97" i="1"/>
  <c r="H72" i="1"/>
  <c r="D68" i="1"/>
  <c r="D60" i="1"/>
  <c r="H56" i="1"/>
  <c r="D52" i="1"/>
  <c r="J48" i="1"/>
  <c r="D44" i="1"/>
  <c r="D36" i="1"/>
  <c r="I36" i="1"/>
  <c r="J32" i="1"/>
  <c r="D28" i="1"/>
  <c r="D20" i="1"/>
  <c r="J16" i="1"/>
  <c r="I16" i="1"/>
  <c r="D12" i="1"/>
  <c r="D4" i="1"/>
  <c r="O75" i="1"/>
  <c r="I75" i="1"/>
  <c r="O71" i="1"/>
  <c r="O67" i="1"/>
  <c r="O63" i="1"/>
  <c r="O59" i="1"/>
  <c r="O55" i="1"/>
  <c r="O51" i="1"/>
  <c r="O47" i="1"/>
  <c r="O43" i="1"/>
  <c r="O39" i="1"/>
  <c r="I39" i="1"/>
  <c r="O35" i="1"/>
  <c r="I35" i="1"/>
  <c r="O31" i="1"/>
  <c r="O27" i="1"/>
  <c r="O23" i="1"/>
  <c r="O19" i="1"/>
  <c r="O15" i="1"/>
  <c r="O11" i="1"/>
  <c r="O7" i="1"/>
  <c r="O3" i="1"/>
  <c r="H70" i="1"/>
  <c r="K62" i="1"/>
  <c r="H54" i="1"/>
  <c r="K46" i="1"/>
  <c r="K42" i="1"/>
  <c r="J38" i="1"/>
  <c r="I38" i="1"/>
  <c r="J34" i="1"/>
  <c r="I34" i="1"/>
  <c r="J30" i="1"/>
  <c r="K26" i="1"/>
  <c r="I26" i="1"/>
  <c r="J22" i="1"/>
  <c r="K18" i="1"/>
  <c r="K14" i="1"/>
  <c r="K10" i="1"/>
  <c r="H6" i="1"/>
  <c r="O73" i="1"/>
  <c r="I73" i="1"/>
  <c r="H69" i="1"/>
  <c r="O57" i="1"/>
  <c r="K53" i="1"/>
  <c r="H49" i="1"/>
  <c r="H41" i="1"/>
  <c r="I41" i="1"/>
  <c r="H37" i="1"/>
  <c r="E33" i="1" a="1"/>
  <c r="E33" i="1" s="1"/>
  <c r="J29" i="1"/>
  <c r="O25" i="1"/>
  <c r="I25" i="1"/>
  <c r="K21" i="1"/>
  <c r="H17" i="1"/>
  <c r="O9" i="1"/>
  <c r="J5" i="1"/>
  <c r="L90" i="1"/>
  <c r="E77" i="1"/>
  <c r="R77" i="1"/>
  <c r="E81" i="1"/>
  <c r="R81" i="1"/>
  <c r="E91" i="1"/>
  <c r="R91" i="1"/>
  <c r="E76" i="1"/>
  <c r="R76" i="1"/>
  <c r="E80" i="1"/>
  <c r="R80" i="1"/>
  <c r="E84" i="1"/>
  <c r="R84" i="1"/>
  <c r="E93" i="1"/>
  <c r="R93" i="1"/>
  <c r="E79" i="1"/>
  <c r="R79" i="1"/>
  <c r="E83" i="1"/>
  <c r="R83" i="1"/>
  <c r="E85" i="1"/>
  <c r="R85" i="1"/>
  <c r="E86" i="1"/>
  <c r="R86" i="1"/>
  <c r="E87" i="1"/>
  <c r="R87" i="1"/>
  <c r="E90" i="1"/>
  <c r="R90" i="1"/>
  <c r="E92" i="1"/>
  <c r="R92" i="1"/>
  <c r="E78" i="1"/>
  <c r="R78" i="1"/>
  <c r="E82" i="1"/>
  <c r="R82" i="1"/>
  <c r="E88" i="1"/>
  <c r="R88" i="1"/>
  <c r="E89" i="1"/>
  <c r="R89" i="1"/>
  <c r="M82" i="1"/>
  <c r="L92" i="1"/>
  <c r="L94" i="1"/>
  <c r="L91" i="1"/>
  <c r="L93" i="1"/>
  <c r="L96" i="1"/>
  <c r="M85" i="1"/>
  <c r="L87" i="1"/>
  <c r="M86" i="1"/>
  <c r="L88" i="1"/>
  <c r="L86" i="1"/>
  <c r="L85" i="1"/>
  <c r="L81" i="1"/>
  <c r="L82" i="1"/>
  <c r="L84" i="1"/>
  <c r="M78" i="1"/>
  <c r="L83" i="1"/>
  <c r="M80" i="1"/>
  <c r="M84" i="1"/>
  <c r="L77" i="1"/>
  <c r="M77" i="1"/>
  <c r="L76" i="1"/>
  <c r="L80" i="1"/>
  <c r="M83" i="1"/>
  <c r="L79" i="1"/>
  <c r="L78" i="1"/>
  <c r="O41" i="1"/>
  <c r="J46" i="1"/>
  <c r="K67" i="1"/>
  <c r="H23" i="1"/>
  <c r="H71" i="1"/>
  <c r="J66" i="1"/>
  <c r="J24" i="1"/>
  <c r="K61" i="1"/>
  <c r="H45" i="1"/>
  <c r="H66" i="1"/>
  <c r="H50" i="1"/>
  <c r="K72" i="1"/>
  <c r="J67" i="1"/>
  <c r="K56" i="1"/>
  <c r="J51" i="1"/>
  <c r="J35" i="1"/>
  <c r="J3" i="1"/>
  <c r="H68" i="1"/>
  <c r="H52" i="1"/>
  <c r="H24" i="1"/>
  <c r="K66" i="1"/>
  <c r="J61" i="1"/>
  <c r="K50" i="1"/>
  <c r="J45" i="1"/>
  <c r="J25" i="1"/>
  <c r="K49" i="1"/>
  <c r="J60" i="1"/>
  <c r="H57" i="1"/>
  <c r="J50" i="1"/>
  <c r="H75" i="1"/>
  <c r="K19" i="1"/>
  <c r="K59" i="1"/>
  <c r="J70" i="1"/>
  <c r="H47" i="1"/>
  <c r="K47" i="1"/>
  <c r="K71" i="1"/>
  <c r="K45" i="1"/>
  <c r="H53" i="1"/>
  <c r="K3" i="1"/>
  <c r="H62" i="1"/>
  <c r="H46" i="1"/>
  <c r="J71" i="1"/>
  <c r="K60" i="1"/>
  <c r="J55" i="1"/>
  <c r="K44" i="1"/>
  <c r="K24" i="1"/>
  <c r="J8" i="1"/>
  <c r="H64" i="1"/>
  <c r="H48" i="1"/>
  <c r="H8" i="1"/>
  <c r="K70" i="1"/>
  <c r="J65" i="1"/>
  <c r="K54" i="1"/>
  <c r="J49" i="1"/>
  <c r="K25" i="1"/>
  <c r="J52" i="1"/>
  <c r="K73" i="1"/>
  <c r="H65" i="1"/>
  <c r="K55" i="1"/>
  <c r="J74" i="1"/>
  <c r="J64" i="1"/>
  <c r="K51" i="1"/>
  <c r="J62" i="1"/>
  <c r="H55" i="1"/>
  <c r="H51" i="1"/>
  <c r="J72" i="1"/>
  <c r="H61" i="1"/>
  <c r="H74" i="1"/>
  <c r="H58" i="1"/>
  <c r="J75" i="1"/>
  <c r="K64" i="1"/>
  <c r="J59" i="1"/>
  <c r="K48" i="1"/>
  <c r="J43" i="1"/>
  <c r="J19" i="1"/>
  <c r="H60" i="1"/>
  <c r="H44" i="1"/>
  <c r="K74" i="1"/>
  <c r="J69" i="1"/>
  <c r="K58" i="1"/>
  <c r="J53" i="1"/>
  <c r="J41" i="1"/>
  <c r="J9" i="1"/>
  <c r="J44" i="1"/>
  <c r="K65" i="1"/>
  <c r="H9" i="1"/>
  <c r="H73" i="1"/>
  <c r="J58" i="1"/>
  <c r="H43" i="1"/>
  <c r="K69" i="1"/>
  <c r="K43" i="1"/>
  <c r="J54" i="1"/>
  <c r="K75" i="1"/>
  <c r="H63" i="1"/>
  <c r="H67" i="1"/>
  <c r="J56" i="1"/>
  <c r="H29" i="1"/>
  <c r="K68" i="1"/>
  <c r="J63" i="1"/>
  <c r="K52" i="1"/>
  <c r="J47" i="1"/>
  <c r="K40" i="1"/>
  <c r="K8" i="1"/>
  <c r="H40" i="1"/>
  <c r="J73" i="1"/>
  <c r="J57" i="1"/>
  <c r="K57" i="1"/>
  <c r="J68" i="1"/>
  <c r="K63" i="1"/>
  <c r="H59" i="1"/>
  <c r="H38" i="1"/>
  <c r="K30" i="1"/>
  <c r="J14" i="1"/>
  <c r="K35" i="1"/>
  <c r="H7" i="1"/>
  <c r="H39" i="1"/>
  <c r="H19" i="1"/>
  <c r="K13" i="1"/>
  <c r="H5" i="1"/>
  <c r="K11" i="1"/>
  <c r="J6" i="1"/>
  <c r="E38" i="1" a="1"/>
  <c r="H30" i="1"/>
  <c r="H14" i="1"/>
  <c r="K32" i="1"/>
  <c r="J27" i="1"/>
  <c r="K16" i="1"/>
  <c r="J11" i="1"/>
  <c r="E39" i="1" a="1"/>
  <c r="K5" i="1"/>
  <c r="E40" i="1" a="1"/>
  <c r="H32" i="1"/>
  <c r="H16" i="1"/>
  <c r="K2" i="1"/>
  <c r="K38" i="1"/>
  <c r="J33" i="1"/>
  <c r="K22" i="1"/>
  <c r="J17" i="1"/>
  <c r="K6" i="1"/>
  <c r="E37" i="1" a="1"/>
  <c r="J20" i="1"/>
  <c r="K41" i="1"/>
  <c r="H25" i="1"/>
  <c r="K15" i="1"/>
  <c r="J26" i="1"/>
  <c r="K27" i="1"/>
  <c r="H15" i="1"/>
  <c r="J42" i="1"/>
  <c r="H35" i="1"/>
  <c r="J40" i="1"/>
  <c r="H21" i="1"/>
  <c r="J10" i="1"/>
  <c r="H42" i="1"/>
  <c r="H26" i="1"/>
  <c r="H10" i="1"/>
  <c r="K36" i="1"/>
  <c r="J31" i="1"/>
  <c r="K20" i="1"/>
  <c r="J15" i="1"/>
  <c r="K4" i="1"/>
  <c r="K9" i="1"/>
  <c r="J4" i="1"/>
  <c r="H2" i="1"/>
  <c r="H28" i="1"/>
  <c r="H12" i="1"/>
  <c r="J37" i="1"/>
  <c r="J21" i="1"/>
  <c r="E41" i="1" a="1"/>
  <c r="K33" i="1"/>
  <c r="J2" i="1"/>
  <c r="H33" i="1"/>
  <c r="J18" i="1"/>
  <c r="K39" i="1"/>
  <c r="H11" i="1"/>
  <c r="H22" i="1"/>
  <c r="K31" i="1"/>
  <c r="H27" i="1"/>
  <c r="K37" i="1"/>
  <c r="H13" i="1"/>
  <c r="J36" i="1"/>
  <c r="H31" i="1"/>
  <c r="H3" i="1"/>
  <c r="K29" i="1"/>
  <c r="K7" i="1"/>
  <c r="E34" i="1" a="1"/>
  <c r="H34" i="1"/>
  <c r="H18" i="1"/>
  <c r="J39" i="1"/>
  <c r="K28" i="1"/>
  <c r="J23" i="1"/>
  <c r="K12" i="1"/>
  <c r="J7" i="1"/>
  <c r="E35" i="1" a="1"/>
  <c r="E36" i="1" a="1"/>
  <c r="H36" i="1"/>
  <c r="H20" i="1"/>
  <c r="H4" i="1"/>
  <c r="K34" i="1"/>
  <c r="J13" i="1"/>
  <c r="K17" i="1"/>
  <c r="J28" i="1"/>
  <c r="K23" i="1"/>
  <c r="J12" i="1"/>
  <c r="N2" i="2"/>
  <c r="I3" i="1" s="1"/>
  <c r="N4" i="2"/>
  <c r="I5" i="1" s="1"/>
  <c r="N6" i="2"/>
  <c r="I7" i="1" s="1"/>
  <c r="N12" i="2"/>
  <c r="I13" i="1" s="1"/>
  <c r="N14" i="2"/>
  <c r="I15" i="1" s="1"/>
  <c r="N47" i="2"/>
  <c r="I44" i="1" s="1"/>
  <c r="N31" i="2"/>
  <c r="I29" i="1" s="1"/>
  <c r="D2" i="1"/>
  <c r="N47" i="1"/>
  <c r="E3" i="1" a="1"/>
  <c r="N31" i="1"/>
  <c r="E51" i="1" a="1"/>
  <c r="N15" i="1"/>
  <c r="E67" i="1" a="1"/>
  <c r="N63" i="1"/>
  <c r="E19" i="1" a="1"/>
  <c r="D74" i="1"/>
  <c r="O74" i="1"/>
  <c r="E74" i="1" a="1"/>
  <c r="N74" i="1"/>
  <c r="D66" i="1"/>
  <c r="O66" i="1"/>
  <c r="E66" i="1" a="1"/>
  <c r="N66" i="1"/>
  <c r="D54" i="1"/>
  <c r="O54" i="1"/>
  <c r="E54" i="1" a="1"/>
  <c r="N54" i="1"/>
  <c r="D22" i="1"/>
  <c r="O22" i="1"/>
  <c r="E22" i="1" a="1"/>
  <c r="N22" i="1"/>
  <c r="D58" i="1"/>
  <c r="O58" i="1"/>
  <c r="E58" i="1" a="1"/>
  <c r="N58" i="1"/>
  <c r="D46" i="1"/>
  <c r="O46" i="1"/>
  <c r="E46" i="1" a="1"/>
  <c r="N46" i="1"/>
  <c r="D38" i="1"/>
  <c r="O38" i="1"/>
  <c r="N38" i="1"/>
  <c r="D30" i="1"/>
  <c r="O30" i="1"/>
  <c r="E30" i="1" a="1"/>
  <c r="N30" i="1"/>
  <c r="D18" i="1"/>
  <c r="O18" i="1"/>
  <c r="E18" i="1" a="1"/>
  <c r="N18" i="1"/>
  <c r="D14" i="1"/>
  <c r="O14" i="1"/>
  <c r="E14" i="1" a="1"/>
  <c r="N14" i="1"/>
  <c r="D10" i="1"/>
  <c r="O10" i="1"/>
  <c r="E10" i="1" a="1"/>
  <c r="N10" i="1"/>
  <c r="D70" i="1"/>
  <c r="O70" i="1"/>
  <c r="E70" i="1" a="1"/>
  <c r="N70" i="1"/>
  <c r="D62" i="1"/>
  <c r="O62" i="1"/>
  <c r="E62" i="1" a="1"/>
  <c r="N62" i="1"/>
  <c r="D50" i="1"/>
  <c r="O50" i="1"/>
  <c r="E50" i="1" a="1"/>
  <c r="N50" i="1"/>
  <c r="D42" i="1"/>
  <c r="O42" i="1"/>
  <c r="E42" i="1" a="1"/>
  <c r="N42" i="1"/>
  <c r="D34" i="1"/>
  <c r="O34" i="1"/>
  <c r="N34" i="1"/>
  <c r="D26" i="1"/>
  <c r="O26" i="1"/>
  <c r="E26" i="1" a="1"/>
  <c r="N26" i="1"/>
  <c r="D6" i="1"/>
  <c r="O6" i="1"/>
  <c r="E6" i="1" a="1"/>
  <c r="N6" i="1"/>
  <c r="D73" i="1"/>
  <c r="E73" i="1" a="1"/>
  <c r="N73" i="1"/>
  <c r="D69" i="1"/>
  <c r="E69" i="1" a="1"/>
  <c r="N69" i="1"/>
  <c r="D65" i="1"/>
  <c r="E65" i="1" a="1"/>
  <c r="N65" i="1"/>
  <c r="D61" i="1"/>
  <c r="E61" i="1" a="1"/>
  <c r="N61" i="1"/>
  <c r="D57" i="1"/>
  <c r="E57" i="1" a="1"/>
  <c r="N57" i="1"/>
  <c r="D53" i="1"/>
  <c r="E53" i="1" a="1"/>
  <c r="N53" i="1"/>
  <c r="D49" i="1"/>
  <c r="E49" i="1" a="1"/>
  <c r="N49" i="1"/>
  <c r="D45" i="1"/>
  <c r="E45" i="1" a="1"/>
  <c r="N45" i="1"/>
  <c r="D41" i="1"/>
  <c r="N41" i="1"/>
  <c r="D37" i="1"/>
  <c r="N37" i="1"/>
  <c r="D33" i="1"/>
  <c r="N33" i="1"/>
  <c r="D29" i="1"/>
  <c r="E29" i="1" a="1"/>
  <c r="N29" i="1"/>
  <c r="D25" i="1"/>
  <c r="E25" i="1" a="1"/>
  <c r="N25" i="1"/>
  <c r="D21" i="1"/>
  <c r="E21" i="1" a="1"/>
  <c r="N21" i="1"/>
  <c r="D17" i="1"/>
  <c r="E17" i="1" a="1"/>
  <c r="N17" i="1"/>
  <c r="D13" i="1"/>
  <c r="E13" i="1" a="1"/>
  <c r="N13" i="1"/>
  <c r="D9" i="1"/>
  <c r="E9" i="1" a="1"/>
  <c r="N9" i="1"/>
  <c r="D5" i="1"/>
  <c r="E5" i="1" a="1"/>
  <c r="N5" i="1"/>
  <c r="D75" i="1"/>
  <c r="D67" i="1"/>
  <c r="D59" i="1"/>
  <c r="D51" i="1"/>
  <c r="D43" i="1"/>
  <c r="D35" i="1"/>
  <c r="D27" i="1"/>
  <c r="D19" i="1"/>
  <c r="D11" i="1"/>
  <c r="D3" i="1"/>
  <c r="N75" i="1"/>
  <c r="N59" i="1"/>
  <c r="N43" i="1"/>
  <c r="N27" i="1"/>
  <c r="N11" i="1"/>
  <c r="O69" i="1"/>
  <c r="O53" i="1"/>
  <c r="O37" i="1"/>
  <c r="O21" i="1"/>
  <c r="O5" i="1"/>
  <c r="E63" i="1" a="1"/>
  <c r="E47" i="1" a="1"/>
  <c r="E31" i="1" a="1"/>
  <c r="E15" i="1" a="1"/>
  <c r="E2" i="1" a="1"/>
  <c r="E2" i="1" s="1"/>
  <c r="N2" i="1"/>
  <c r="O2" i="1"/>
  <c r="E72" i="1" a="1"/>
  <c r="N72" i="1"/>
  <c r="O72" i="1"/>
  <c r="E68" i="1" a="1"/>
  <c r="N68" i="1"/>
  <c r="O68" i="1"/>
  <c r="E64" i="1" a="1"/>
  <c r="N64" i="1"/>
  <c r="O64" i="1"/>
  <c r="E60" i="1" a="1"/>
  <c r="N60" i="1"/>
  <c r="O60" i="1"/>
  <c r="E56" i="1" a="1"/>
  <c r="N56" i="1"/>
  <c r="O56" i="1"/>
  <c r="E52" i="1" a="1"/>
  <c r="N52" i="1"/>
  <c r="O52" i="1"/>
  <c r="E48" i="1" a="1"/>
  <c r="N48" i="1"/>
  <c r="O48" i="1"/>
  <c r="E44" i="1" a="1"/>
  <c r="N44" i="1"/>
  <c r="O44" i="1"/>
  <c r="N40" i="1"/>
  <c r="O40" i="1"/>
  <c r="N36" i="1"/>
  <c r="O36" i="1"/>
  <c r="E32" i="1" a="1"/>
  <c r="N32" i="1"/>
  <c r="O32" i="1"/>
  <c r="E28" i="1" a="1"/>
  <c r="N28" i="1"/>
  <c r="O28" i="1"/>
  <c r="E24" i="1" a="1"/>
  <c r="N24" i="1"/>
  <c r="O24" i="1"/>
  <c r="E20" i="1" a="1"/>
  <c r="N20" i="1"/>
  <c r="O20" i="1"/>
  <c r="E16" i="1" a="1"/>
  <c r="N16" i="1"/>
  <c r="O16" i="1"/>
  <c r="E12" i="1" a="1"/>
  <c r="N12" i="1"/>
  <c r="O12" i="1"/>
  <c r="E8" i="1" a="1"/>
  <c r="N8" i="1"/>
  <c r="O8" i="1"/>
  <c r="E4" i="1" a="1"/>
  <c r="N4" i="1"/>
  <c r="O4" i="1"/>
  <c r="D72" i="1"/>
  <c r="D64" i="1"/>
  <c r="D56" i="1"/>
  <c r="D48" i="1"/>
  <c r="D40" i="1"/>
  <c r="D32" i="1"/>
  <c r="D24" i="1"/>
  <c r="D16" i="1"/>
  <c r="D8" i="1"/>
  <c r="N71" i="1"/>
  <c r="N55" i="1"/>
  <c r="N39" i="1"/>
  <c r="N23" i="1"/>
  <c r="N7" i="1"/>
  <c r="O65" i="1"/>
  <c r="O49" i="1"/>
  <c r="O33" i="1"/>
  <c r="O17" i="1"/>
  <c r="E75" i="1" a="1"/>
  <c r="E59" i="1" a="1"/>
  <c r="E43" i="1" a="1"/>
  <c r="E27" i="1" a="1"/>
  <c r="E11" i="1" a="1"/>
  <c r="D71" i="1"/>
  <c r="D63" i="1"/>
  <c r="D55" i="1"/>
  <c r="D47" i="1"/>
  <c r="D39" i="1"/>
  <c r="D31" i="1"/>
  <c r="D23" i="1"/>
  <c r="D15" i="1"/>
  <c r="D7" i="1"/>
  <c r="L52" i="1"/>
  <c r="N67" i="1"/>
  <c r="N51" i="1"/>
  <c r="N35" i="1"/>
  <c r="N19" i="1"/>
  <c r="N3" i="1"/>
  <c r="O61" i="1"/>
  <c r="O45" i="1"/>
  <c r="O29" i="1"/>
  <c r="O13" i="1"/>
  <c r="E71" i="1" a="1"/>
  <c r="E55" i="1" a="1"/>
  <c r="E23" i="1" a="1"/>
  <c r="E7" i="1" a="1"/>
  <c r="N43" i="2"/>
  <c r="I40" i="1" s="1"/>
  <c r="N61" i="2"/>
  <c r="N23" i="2"/>
  <c r="I23" i="1" s="1"/>
  <c r="N62" i="2"/>
  <c r="I58" i="1" s="1"/>
  <c r="N22" i="2"/>
  <c r="I22" i="1" s="1"/>
  <c r="N3" i="2"/>
  <c r="I4" i="1" s="1"/>
  <c r="N13" i="2"/>
  <c r="I14" i="1" s="1"/>
  <c r="N48" i="2"/>
  <c r="N17" i="2"/>
  <c r="I18" i="1" s="1"/>
  <c r="N28" i="2"/>
  <c r="I27" i="1" s="1"/>
  <c r="N59" i="2"/>
  <c r="N34" i="2"/>
  <c r="I32" i="1" s="1"/>
  <c r="N72" i="2"/>
  <c r="N5" i="2"/>
  <c r="I6" i="1" s="1"/>
  <c r="N10" i="2"/>
  <c r="I11" i="1" s="1"/>
  <c r="N54" i="2"/>
  <c r="I48" i="1" s="1"/>
  <c r="N18" i="2"/>
  <c r="I19" i="1" s="1"/>
  <c r="N33" i="2"/>
  <c r="I31" i="1" s="1"/>
  <c r="N35" i="2"/>
  <c r="I33" i="1" s="1"/>
  <c r="N69" i="2"/>
  <c r="I62" i="1" s="1"/>
  <c r="N50" i="2"/>
  <c r="I91" i="1" s="1"/>
  <c r="M91" i="1" s="1"/>
  <c r="I17" i="1"/>
  <c r="N27" i="2"/>
  <c r="I71" i="1" s="1"/>
  <c r="N40" i="2"/>
  <c r="I37" i="1" s="1"/>
  <c r="N67" i="2"/>
  <c r="N45" i="2"/>
  <c r="I42" i="1" s="1"/>
  <c r="N9" i="2"/>
  <c r="I10" i="1" s="1"/>
  <c r="N11" i="2"/>
  <c r="I12" i="1" s="1"/>
  <c r="N51" i="2"/>
  <c r="I47" i="1" s="1"/>
  <c r="N58" i="2"/>
  <c r="N21" i="2"/>
  <c r="I21" i="1" s="1"/>
  <c r="N24" i="2"/>
  <c r="I24" i="1" s="1"/>
  <c r="N30" i="2"/>
  <c r="I28" i="1" s="1"/>
  <c r="N32" i="2"/>
  <c r="I30" i="1" s="1"/>
  <c r="N66" i="2"/>
  <c r="N73" i="2"/>
  <c r="N46" i="2"/>
  <c r="N8" i="2"/>
  <c r="I9" i="1" s="1"/>
  <c r="N15" i="2"/>
  <c r="N56" i="2"/>
  <c r="N19" i="2"/>
  <c r="I20" i="1" s="1"/>
  <c r="N29" i="2"/>
  <c r="I72" i="1" s="1"/>
  <c r="N64" i="2"/>
  <c r="N70" i="2"/>
  <c r="I63" i="1" s="1"/>
  <c r="I65" i="1" l="1"/>
  <c r="I59" i="1"/>
  <c r="I50" i="1"/>
  <c r="M50" i="1" s="1"/>
  <c r="I66" i="1"/>
  <c r="M66" i="1" s="1"/>
  <c r="I76" i="1"/>
  <c r="M76" i="1" s="1"/>
  <c r="I55" i="1"/>
  <c r="I67" i="1"/>
  <c r="I45" i="1"/>
  <c r="M45" i="1" s="1"/>
  <c r="I52" i="1"/>
  <c r="I108" i="1"/>
  <c r="M108" i="1" s="1"/>
  <c r="I99" i="1"/>
  <c r="M99" i="1" s="1"/>
  <c r="I79" i="1"/>
  <c r="M79" i="1" s="1"/>
  <c r="I69" i="1"/>
  <c r="I68" i="1"/>
  <c r="I54" i="1"/>
  <c r="M54" i="1" s="1"/>
  <c r="I57" i="1"/>
  <c r="M57" i="1" s="1"/>
  <c r="I61" i="1"/>
  <c r="I95" i="1"/>
  <c r="M95" i="1" s="1"/>
  <c r="I53" i="1"/>
  <c r="M53" i="1" s="1"/>
  <c r="I51" i="1"/>
  <c r="M51" i="1" s="1"/>
  <c r="I56" i="1"/>
  <c r="M56" i="1" s="1"/>
  <c r="I49" i="1"/>
  <c r="M49" i="1" s="1"/>
  <c r="I60" i="1"/>
  <c r="M60" i="1" s="1"/>
  <c r="M3" i="1"/>
  <c r="I46" i="1"/>
  <c r="M46" i="1" s="1"/>
  <c r="I97" i="1"/>
  <c r="M97" i="1" s="1"/>
  <c r="I70" i="1"/>
  <c r="M70" i="1" s="1"/>
  <c r="I43" i="1"/>
  <c r="M43" i="1" s="1"/>
  <c r="R33" i="1"/>
  <c r="I81" i="1"/>
  <c r="M81" i="1" s="1"/>
  <c r="M13" i="1"/>
  <c r="M9" i="1"/>
  <c r="M63" i="1"/>
  <c r="L58" i="1"/>
  <c r="M41" i="1"/>
  <c r="L10" i="1"/>
  <c r="E7" i="1"/>
  <c r="R7" i="1"/>
  <c r="E23" i="1"/>
  <c r="R23" i="1"/>
  <c r="E55" i="1"/>
  <c r="R55" i="1"/>
  <c r="E71" i="1"/>
  <c r="R71" i="1"/>
  <c r="E11" i="1"/>
  <c r="R11" i="1"/>
  <c r="E27" i="1"/>
  <c r="R27" i="1"/>
  <c r="E43" i="1"/>
  <c r="R43" i="1"/>
  <c r="E59" i="1"/>
  <c r="R59" i="1"/>
  <c r="E75" i="1"/>
  <c r="R75" i="1"/>
  <c r="E4" i="1"/>
  <c r="R4" i="1"/>
  <c r="E8" i="1"/>
  <c r="R8" i="1"/>
  <c r="E12" i="1"/>
  <c r="R12" i="1"/>
  <c r="E16" i="1"/>
  <c r="R16" i="1"/>
  <c r="E20" i="1"/>
  <c r="R20" i="1"/>
  <c r="E24" i="1"/>
  <c r="R24" i="1"/>
  <c r="E28" i="1"/>
  <c r="R28" i="1"/>
  <c r="E32" i="1"/>
  <c r="R32" i="1"/>
  <c r="E44" i="1"/>
  <c r="R44" i="1"/>
  <c r="E48" i="1"/>
  <c r="R48" i="1"/>
  <c r="E52" i="1"/>
  <c r="R52" i="1"/>
  <c r="E56" i="1"/>
  <c r="R56" i="1"/>
  <c r="E60" i="1"/>
  <c r="R60" i="1"/>
  <c r="E64" i="1"/>
  <c r="R64" i="1"/>
  <c r="E68" i="1"/>
  <c r="R68" i="1"/>
  <c r="E72" i="1"/>
  <c r="R72" i="1"/>
  <c r="E15" i="1"/>
  <c r="R15" i="1"/>
  <c r="E31" i="1"/>
  <c r="R31" i="1"/>
  <c r="E47" i="1"/>
  <c r="R47" i="1"/>
  <c r="E63" i="1"/>
  <c r="R63" i="1"/>
  <c r="E5" i="1"/>
  <c r="R5" i="1"/>
  <c r="E9" i="1"/>
  <c r="R9" i="1"/>
  <c r="E13" i="1"/>
  <c r="R13" i="1"/>
  <c r="E17" i="1"/>
  <c r="R17" i="1"/>
  <c r="E21" i="1"/>
  <c r="R21" i="1"/>
  <c r="E25" i="1"/>
  <c r="R25" i="1"/>
  <c r="E29" i="1"/>
  <c r="R29" i="1"/>
  <c r="E45" i="1"/>
  <c r="R45" i="1"/>
  <c r="E49" i="1"/>
  <c r="R49" i="1"/>
  <c r="E53" i="1"/>
  <c r="R53" i="1"/>
  <c r="E57" i="1"/>
  <c r="R57" i="1"/>
  <c r="E61" i="1"/>
  <c r="R61" i="1"/>
  <c r="E65" i="1"/>
  <c r="R65" i="1"/>
  <c r="E69" i="1"/>
  <c r="R69" i="1"/>
  <c r="E73" i="1"/>
  <c r="R73" i="1"/>
  <c r="E6" i="1"/>
  <c r="R6" i="1"/>
  <c r="E26" i="1"/>
  <c r="R26" i="1"/>
  <c r="E42" i="1"/>
  <c r="R42" i="1"/>
  <c r="E50" i="1"/>
  <c r="R50" i="1"/>
  <c r="E62" i="1"/>
  <c r="R62" i="1"/>
  <c r="E70" i="1"/>
  <c r="R70" i="1"/>
  <c r="E10" i="1"/>
  <c r="R10" i="1"/>
  <c r="E14" i="1"/>
  <c r="R14" i="1"/>
  <c r="E18" i="1"/>
  <c r="R18" i="1"/>
  <c r="E30" i="1"/>
  <c r="R30" i="1"/>
  <c r="E46" i="1"/>
  <c r="R46" i="1"/>
  <c r="E58" i="1"/>
  <c r="R58" i="1"/>
  <c r="E22" i="1"/>
  <c r="R22" i="1"/>
  <c r="E54" i="1"/>
  <c r="R54" i="1"/>
  <c r="E66" i="1"/>
  <c r="R66" i="1"/>
  <c r="E74" i="1"/>
  <c r="R74" i="1"/>
  <c r="E19" i="1"/>
  <c r="R19" i="1"/>
  <c r="E67" i="1"/>
  <c r="R67" i="1"/>
  <c r="E51" i="1"/>
  <c r="R51" i="1"/>
  <c r="E3" i="1"/>
  <c r="R3" i="1"/>
  <c r="E36" i="1"/>
  <c r="R36" i="1"/>
  <c r="E35" i="1"/>
  <c r="R35" i="1"/>
  <c r="E34" i="1"/>
  <c r="R34" i="1"/>
  <c r="E41" i="1"/>
  <c r="R41" i="1"/>
  <c r="E37" i="1"/>
  <c r="R37" i="1"/>
  <c r="E40" i="1"/>
  <c r="R40" i="1"/>
  <c r="E39" i="1"/>
  <c r="R39" i="1"/>
  <c r="E38" i="1"/>
  <c r="R38" i="1"/>
  <c r="M59" i="1"/>
  <c r="M7" i="1"/>
  <c r="L60" i="1"/>
  <c r="M25" i="1"/>
  <c r="M15" i="1"/>
  <c r="M19" i="1"/>
  <c r="M75" i="1"/>
  <c r="M61" i="1"/>
  <c r="L26" i="1"/>
  <c r="M5" i="1"/>
  <c r="M67" i="1"/>
  <c r="L44" i="1"/>
  <c r="M73" i="1"/>
  <c r="L20" i="1"/>
  <c r="M27" i="1"/>
  <c r="M23" i="1"/>
  <c r="M29" i="1"/>
  <c r="M31" i="1"/>
  <c r="M37" i="1"/>
  <c r="L69" i="1"/>
  <c r="L18" i="1"/>
  <c r="L50" i="1"/>
  <c r="M47" i="1"/>
  <c r="L4" i="1"/>
  <c r="M71" i="1"/>
  <c r="M17" i="1"/>
  <c r="L32" i="1"/>
  <c r="L42" i="1"/>
  <c r="M6" i="1"/>
  <c r="M30" i="1"/>
  <c r="M22" i="1"/>
  <c r="L12" i="1"/>
  <c r="L28" i="1"/>
  <c r="M33" i="1"/>
  <c r="M14" i="1"/>
  <c r="M38" i="1"/>
  <c r="M11" i="1"/>
  <c r="M55" i="1"/>
  <c r="M39" i="1"/>
  <c r="M35" i="1"/>
  <c r="M65" i="1"/>
  <c r="L14" i="1"/>
  <c r="L22" i="1"/>
  <c r="L30" i="1"/>
  <c r="L46" i="1"/>
  <c r="L54" i="1"/>
  <c r="L62" i="1"/>
  <c r="L70" i="1"/>
  <c r="M10" i="1"/>
  <c r="M18" i="1"/>
  <c r="M26" i="1"/>
  <c r="M34" i="1"/>
  <c r="M42" i="1"/>
  <c r="M58" i="1"/>
  <c r="M74" i="1"/>
  <c r="L36" i="1"/>
  <c r="L8" i="1"/>
  <c r="L16" i="1"/>
  <c r="L40" i="1"/>
  <c r="L48" i="1"/>
  <c r="M4" i="1"/>
  <c r="M12" i="1"/>
  <c r="M20" i="1"/>
  <c r="M28" i="1"/>
  <c r="M36" i="1"/>
  <c r="M44" i="1"/>
  <c r="M52" i="1"/>
  <c r="M21" i="1"/>
  <c r="M69" i="1"/>
  <c r="L6" i="1"/>
  <c r="L5" i="1"/>
  <c r="L29" i="1"/>
  <c r="L53" i="1"/>
  <c r="L24" i="1"/>
  <c r="L56" i="1"/>
  <c r="L64" i="1"/>
  <c r="L72" i="1"/>
  <c r="M68" i="1"/>
  <c r="L2" i="1"/>
  <c r="L7" i="1"/>
  <c r="L15" i="1"/>
  <c r="L23" i="1"/>
  <c r="L31" i="1"/>
  <c r="L39" i="1"/>
  <c r="L47" i="1"/>
  <c r="L55" i="1"/>
  <c r="L63" i="1"/>
  <c r="L71" i="1"/>
  <c r="L38" i="1"/>
  <c r="L21" i="1"/>
  <c r="L45" i="1"/>
  <c r="L34" i="1"/>
  <c r="L66" i="1"/>
  <c r="L74" i="1"/>
  <c r="M62" i="1"/>
  <c r="L9" i="1"/>
  <c r="L17" i="1"/>
  <c r="L25" i="1"/>
  <c r="L33" i="1"/>
  <c r="L41" i="1"/>
  <c r="L49" i="1"/>
  <c r="L57" i="1"/>
  <c r="L65" i="1"/>
  <c r="L73" i="1"/>
  <c r="L13" i="1"/>
  <c r="L37" i="1"/>
  <c r="L61" i="1"/>
  <c r="L68" i="1"/>
  <c r="M2" i="1"/>
  <c r="M8" i="1"/>
  <c r="M16" i="1"/>
  <c r="M24" i="1"/>
  <c r="M32" i="1"/>
  <c r="M40" i="1"/>
  <c r="M48" i="1"/>
  <c r="M64" i="1"/>
  <c r="M72" i="1"/>
  <c r="L3" i="1"/>
  <c r="L11" i="1"/>
  <c r="L19" i="1"/>
  <c r="L27" i="1"/>
  <c r="L35" i="1"/>
  <c r="L43" i="1"/>
  <c r="L51" i="1"/>
  <c r="L59" i="1"/>
  <c r="L67" i="1"/>
  <c r="L75" i="1"/>
  <c r="P2" i="1" l="1" a="1"/>
  <c r="P2" i="1" l="1"/>
  <c r="F57" i="3" l="1"/>
  <c r="F46" i="3"/>
  <c r="F13" i="3"/>
  <c r="F27" i="3"/>
  <c r="F3" i="3"/>
  <c r="F56" i="3" l="1"/>
  <c r="F38" i="3"/>
  <c r="F51" i="3"/>
  <c r="F72" i="3"/>
  <c r="F40" i="3"/>
  <c r="F36" i="3"/>
  <c r="F28" i="3"/>
  <c r="F76" i="3"/>
  <c r="F8" i="3"/>
  <c r="F60" i="3"/>
  <c r="F71" i="3"/>
  <c r="F78" i="3"/>
  <c r="F31" i="3"/>
  <c r="F67" i="3"/>
  <c r="F22" i="3"/>
  <c r="F74" i="3"/>
  <c r="F26" i="3"/>
  <c r="F42" i="3"/>
  <c r="F66" i="3"/>
  <c r="F49" i="3"/>
  <c r="F20" i="3"/>
  <c r="F73" i="3"/>
  <c r="D69" i="3"/>
  <c r="D14" i="3"/>
  <c r="F44" i="3"/>
  <c r="F64" i="3"/>
  <c r="F43" i="3"/>
  <c r="F52" i="3"/>
  <c r="F9" i="3"/>
  <c r="F24" i="3"/>
  <c r="F63" i="3"/>
  <c r="F77" i="3"/>
  <c r="F34" i="3"/>
  <c r="F39" i="3"/>
  <c r="F23" i="3"/>
  <c r="F70" i="3"/>
  <c r="F65" i="3"/>
  <c r="F54" i="3"/>
  <c r="F6" i="3"/>
  <c r="F41" i="3"/>
  <c r="F32" i="3"/>
  <c r="F68" i="3"/>
  <c r="F7" i="3"/>
  <c r="F75" i="3"/>
  <c r="D24" i="3"/>
  <c r="D29" i="3"/>
  <c r="D50" i="3"/>
  <c r="D75" i="3"/>
  <c r="D3" i="3"/>
  <c r="D11" i="3"/>
  <c r="D16" i="3"/>
  <c r="D8" i="3"/>
  <c r="D21" i="3"/>
  <c r="D35" i="3"/>
  <c r="D17" i="3"/>
  <c r="D48" i="3"/>
  <c r="D7" i="3"/>
  <c r="D52" i="3"/>
  <c r="D6" i="3"/>
  <c r="D64" i="3"/>
  <c r="F53" i="3" l="1"/>
  <c r="F61" i="3"/>
  <c r="F59" i="3"/>
  <c r="F14" i="3"/>
  <c r="F5" i="3"/>
  <c r="F62" i="3"/>
  <c r="F55" i="3"/>
  <c r="F47" i="3"/>
  <c r="F16" i="3"/>
  <c r="F33" i="3"/>
  <c r="F45" i="3"/>
  <c r="F21" i="3"/>
  <c r="F10" i="3"/>
  <c r="F29" i="3"/>
  <c r="F17" i="3"/>
  <c r="F12" i="3"/>
  <c r="F15" i="3"/>
  <c r="F19" i="3"/>
  <c r="F69" i="3"/>
  <c r="F48" i="3"/>
  <c r="F25" i="3"/>
  <c r="F50" i="3"/>
  <c r="D9" i="3"/>
  <c r="D68" i="3"/>
  <c r="D67" i="3"/>
  <c r="D42" i="3"/>
  <c r="F37" i="3"/>
  <c r="F58" i="3"/>
  <c r="F11" i="3"/>
  <c r="D18" i="3"/>
  <c r="D41" i="3"/>
  <c r="D77" i="3"/>
  <c r="D20" i="3"/>
  <c r="D37" i="3"/>
  <c r="D79" i="3"/>
  <c r="D4" i="3"/>
  <c r="F18" i="3"/>
  <c r="F30" i="3"/>
  <c r="F35" i="3"/>
  <c r="F4" i="3"/>
  <c r="D65" i="3"/>
  <c r="D59" i="3"/>
  <c r="D51" i="3"/>
  <c r="D61" i="3"/>
  <c r="D43" i="3" l="1"/>
  <c r="D25" i="3"/>
  <c r="D70" i="3"/>
  <c r="D27" i="3"/>
  <c r="D10" i="3"/>
  <c r="D23" i="3"/>
  <c r="D73" i="3"/>
  <c r="D5" i="3"/>
  <c r="D13" i="3"/>
  <c r="D76" i="3"/>
  <c r="D15" i="3"/>
  <c r="D46" i="3"/>
  <c r="D39" i="3"/>
  <c r="D66" i="3"/>
  <c r="D63" i="3"/>
  <c r="D49" i="3"/>
  <c r="D45" i="3"/>
  <c r="D34" i="3"/>
  <c r="D31" i="3"/>
  <c r="D54" i="3"/>
  <c r="D33" i="3"/>
  <c r="D47" i="3"/>
  <c r="D19" i="3"/>
  <c r="D60" i="3"/>
  <c r="D38" i="3"/>
  <c r="D44" i="3"/>
  <c r="D78" i="3"/>
  <c r="E36" i="3"/>
  <c r="G36" i="3" s="1"/>
  <c r="E69" i="3"/>
  <c r="G69" i="3" s="1"/>
  <c r="E16" i="3"/>
  <c r="G16" i="3" s="1"/>
  <c r="E70" i="3"/>
  <c r="G70" i="3" s="1"/>
  <c r="E11" i="3"/>
  <c r="G11" i="3" s="1"/>
  <c r="E33" i="3"/>
  <c r="G33" i="3" s="1"/>
  <c r="E28" i="3"/>
  <c r="G28" i="3" s="1"/>
  <c r="E67" i="3"/>
  <c r="G67" i="3" s="1"/>
  <c r="E56" i="3"/>
  <c r="G56" i="3" s="1"/>
  <c r="E5" i="3"/>
  <c r="G5" i="3" s="1"/>
  <c r="E40" i="3"/>
  <c r="G40" i="3" s="1"/>
  <c r="E13" i="3"/>
  <c r="G13" i="3" s="1"/>
  <c r="E74" i="3"/>
  <c r="G74" i="3" s="1"/>
  <c r="E58" i="3"/>
  <c r="G58" i="3" s="1"/>
  <c r="E7" i="3"/>
  <c r="G7" i="3" s="1"/>
  <c r="E39" i="3"/>
  <c r="G39" i="3" s="1"/>
  <c r="E66" i="3"/>
  <c r="G66" i="3" s="1"/>
  <c r="E43" i="3"/>
  <c r="G43" i="3" s="1"/>
  <c r="D72" i="3"/>
  <c r="D32" i="3"/>
  <c r="D62" i="3"/>
  <c r="D74" i="3"/>
  <c r="D28" i="3"/>
  <c r="D53" i="3"/>
  <c r="D56" i="3"/>
  <c r="D12" i="3"/>
  <c r="D22" i="3"/>
  <c r="D36" i="3"/>
  <c r="D71" i="3"/>
  <c r="D57" i="3"/>
  <c r="D26" i="3"/>
  <c r="D58" i="3"/>
  <c r="D30" i="3"/>
  <c r="D40" i="3"/>
  <c r="D55" i="3"/>
  <c r="E68" i="3"/>
  <c r="G68" i="3" s="1"/>
  <c r="E37" i="3"/>
  <c r="G37" i="3" s="1"/>
  <c r="E55" i="3"/>
  <c r="G55" i="3" s="1"/>
  <c r="E27" i="3"/>
  <c r="G27" i="3" s="1"/>
  <c r="E21" i="3"/>
  <c r="G21" i="3" s="1"/>
  <c r="E25" i="3"/>
  <c r="G25" i="3" s="1"/>
  <c r="E41" i="3"/>
  <c r="G41" i="3" s="1"/>
  <c r="E45" i="3"/>
  <c r="G45" i="3" s="1"/>
  <c r="E20" i="3"/>
  <c r="G20" i="3" s="1"/>
  <c r="E14" i="3"/>
  <c r="G14" i="3" s="1"/>
  <c r="E12" i="3"/>
  <c r="G12" i="3" s="1"/>
  <c r="E17" i="3"/>
  <c r="G17" i="3" s="1"/>
  <c r="E57" i="3"/>
  <c r="G57" i="3" s="1"/>
  <c r="E52" i="3"/>
  <c r="G52" i="3" s="1"/>
  <c r="E62" i="3"/>
  <c r="G62" i="3" s="1"/>
  <c r="E50" i="3"/>
  <c r="G50" i="3" s="1"/>
  <c r="E60" i="3"/>
  <c r="G60" i="3" s="1"/>
  <c r="E34" i="3"/>
  <c r="G34" i="3" s="1"/>
  <c r="E38" i="3"/>
  <c r="G38" i="3" s="1"/>
  <c r="E19" i="3"/>
  <c r="G19" i="3" s="1"/>
  <c r="E30" i="3"/>
  <c r="G30" i="3" s="1"/>
  <c r="E53" i="3"/>
  <c r="G53" i="3" s="1"/>
  <c r="E49" i="3"/>
  <c r="G49" i="3" s="1"/>
  <c r="E61" i="3"/>
  <c r="G61" i="3" s="1"/>
  <c r="E78" i="3"/>
  <c r="G78" i="3" s="1"/>
  <c r="E59" i="3"/>
  <c r="G59" i="3" s="1"/>
  <c r="E31" i="3"/>
  <c r="G31" i="3" s="1"/>
  <c r="E3" i="3"/>
  <c r="G3" i="3" s="1"/>
  <c r="E4" i="3"/>
  <c r="G4" i="3" s="1"/>
  <c r="E32" i="3"/>
  <c r="G32" i="3" s="1"/>
  <c r="E29" i="3"/>
  <c r="G29" i="3" s="1"/>
  <c r="E51" i="3"/>
  <c r="G51" i="3" s="1"/>
  <c r="E77" i="3"/>
  <c r="G77" i="3" s="1"/>
  <c r="E22" i="3"/>
  <c r="G22" i="3" s="1"/>
  <c r="E15" i="3"/>
  <c r="G15" i="3" s="1"/>
  <c r="E63" i="3"/>
  <c r="G63" i="3" s="1"/>
  <c r="E54" i="3"/>
  <c r="G54" i="3" s="1"/>
  <c r="E26" i="3"/>
  <c r="G26" i="3" s="1"/>
  <c r="E18" i="3"/>
  <c r="G18" i="3" s="1"/>
  <c r="F79" i="3"/>
  <c r="E71" i="3"/>
  <c r="G71" i="3" s="1"/>
  <c r="E46" i="3"/>
  <c r="G46" i="3" s="1"/>
  <c r="E35" i="3"/>
  <c r="G35" i="3" s="1"/>
  <c r="E23" i="3"/>
  <c r="G23" i="3" s="1"/>
  <c r="E65" i="3"/>
  <c r="G65" i="3" s="1"/>
  <c r="E47" i="3"/>
  <c r="G47" i="3" s="1"/>
  <c r="E79" i="3"/>
  <c r="G79" i="3" s="1"/>
  <c r="E64" i="3"/>
  <c r="G64" i="3" s="1"/>
  <c r="E42" i="3"/>
  <c r="G42" i="3" s="1"/>
  <c r="E10" i="3"/>
  <c r="G10" i="3" s="1"/>
  <c r="E75" i="3"/>
  <c r="G75" i="3" s="1"/>
  <c r="E24" i="3"/>
  <c r="G24" i="3" s="1"/>
  <c r="E72" i="3"/>
  <c r="G72" i="3" s="1"/>
  <c r="E44" i="3"/>
  <c r="G44" i="3" s="1"/>
  <c r="E9" i="3"/>
  <c r="G9" i="3" s="1"/>
  <c r="E6" i="3"/>
  <c r="G6" i="3" s="1"/>
  <c r="E48" i="3"/>
  <c r="G48" i="3" s="1"/>
  <c r="E8" i="3"/>
  <c r="G8" i="3" s="1"/>
  <c r="E73" i="3"/>
  <c r="G73" i="3" s="1"/>
  <c r="E76" i="3"/>
  <c r="G76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<sst xmlns="http://schemas.openxmlformats.org/spreadsheetml/2006/main" count="8934" uniqueCount="1165">
  <si>
    <t>SO#</t>
  </si>
  <si>
    <t>PO#</t>
  </si>
  <si>
    <t>Party Name</t>
  </si>
  <si>
    <t>Job Name</t>
  </si>
  <si>
    <t>Guage</t>
  </si>
  <si>
    <t>5.5-6</t>
  </si>
  <si>
    <t>STOCK</t>
  </si>
  <si>
    <t>SIZE</t>
  </si>
  <si>
    <t>GAUGE</t>
  </si>
  <si>
    <t>WEIGHT</t>
  </si>
  <si>
    <t>CORE</t>
  </si>
  <si>
    <t>NET WEIGHT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</si>
  <si>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</si>
  <si>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</si>
  <si>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</si>
  <si>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</si>
  <si>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</si>
  <si>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</si>
  <si>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</si>
  <si>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</si>
  <si>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</si>
  <si>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15</t>
  </si>
  <si>
    <t>18</t>
  </si>
  <si>
    <t>2</t>
  </si>
  <si>
    <t>1.5</t>
  </si>
  <si>
    <t>2.5</t>
  </si>
  <si>
    <t>4</t>
  </si>
  <si>
    <t>3</t>
  </si>
  <si>
    <t>16</t>
  </si>
  <si>
    <t>26</t>
  </si>
  <si>
    <t>27</t>
  </si>
  <si>
    <t>28</t>
  </si>
  <si>
    <t>24</t>
  </si>
  <si>
    <t>20</t>
  </si>
  <si>
    <t>19</t>
  </si>
  <si>
    <t>17</t>
  </si>
  <si>
    <t>22</t>
  </si>
  <si>
    <t>10-11</t>
  </si>
  <si>
    <t>21</t>
  </si>
  <si>
    <t>23</t>
  </si>
  <si>
    <t>5</t>
  </si>
  <si>
    <t>5-5.5</t>
  </si>
  <si>
    <t>3.5</t>
  </si>
  <si>
    <t>4.5</t>
  </si>
  <si>
    <t>4.5-5</t>
  </si>
  <si>
    <t>DATE</t>
  </si>
  <si>
    <t>MATERIAL</t>
  </si>
  <si>
    <t>Seal</t>
  </si>
  <si>
    <t>Section IN</t>
  </si>
  <si>
    <t>TR #</t>
  </si>
  <si>
    <t>I.BAGS</t>
  </si>
  <si>
    <t>TO Section OUT</t>
  </si>
  <si>
    <t>BILL #</t>
  </si>
  <si>
    <t>DATE 2</t>
  </si>
  <si>
    <t>O.KGS</t>
  </si>
  <si>
    <t>OPENING</t>
  </si>
  <si>
    <t>Roll Size</t>
  </si>
  <si>
    <t>O.ROLLS</t>
  </si>
  <si>
    <t>FORMULA</t>
  </si>
  <si>
    <t>SO</t>
  </si>
  <si>
    <t>Order Date</t>
  </si>
  <si>
    <t>PARTY NAME</t>
  </si>
  <si>
    <t>INN BAGS</t>
  </si>
  <si>
    <t>INN KGS</t>
  </si>
  <si>
    <t>OUT BAGS</t>
  </si>
  <si>
    <t>OUT KGS</t>
  </si>
  <si>
    <t>STOCK BAGS</t>
  </si>
  <si>
    <t>STOCK KGS</t>
  </si>
  <si>
    <t>Group</t>
  </si>
  <si>
    <t>QUALITY</t>
  </si>
  <si>
    <t>SAP CODE</t>
  </si>
  <si>
    <t>SAP SIZE</t>
  </si>
  <si>
    <t>SAP BALANCE</t>
  </si>
  <si>
    <t>Row Labels</t>
  </si>
  <si>
    <t>(blank)</t>
  </si>
  <si>
    <t>Grand Total</t>
  </si>
  <si>
    <t>PP</t>
  </si>
  <si>
    <t>Size</t>
  </si>
  <si>
    <t>Opening</t>
  </si>
  <si>
    <t>Production INN</t>
  </si>
  <si>
    <t xml:space="preserve">Guage </t>
  </si>
  <si>
    <t>BOTTOM</t>
  </si>
  <si>
    <t>SIDE</t>
  </si>
  <si>
    <t>جیلانی پولی سٹاک</t>
  </si>
  <si>
    <t>سٹاک</t>
  </si>
  <si>
    <t>Jilani plastic</t>
  </si>
  <si>
    <t>العمر پلاسٹک گوجرانوالہ</t>
  </si>
  <si>
    <t>بلال ازعظم مال کینٹ</t>
  </si>
  <si>
    <t>PP DEPT</t>
  </si>
  <si>
    <t>Cakes and Bakes Lahore</t>
  </si>
  <si>
    <t>عثمان امین لاہور</t>
  </si>
  <si>
    <t>B.S</t>
  </si>
  <si>
    <t>ریفلیکٹ پیک لاہور</t>
  </si>
  <si>
    <t>فہیم پلاسٹک ملتان</t>
  </si>
  <si>
    <t>P.S</t>
  </si>
  <si>
    <t>14/5</t>
  </si>
  <si>
    <t>13/5</t>
  </si>
  <si>
    <t>12/5</t>
  </si>
  <si>
    <t>11/5</t>
  </si>
  <si>
    <t>8/5</t>
  </si>
  <si>
    <t>7/5</t>
  </si>
  <si>
    <t>6/5</t>
  </si>
  <si>
    <t>14/6.5</t>
  </si>
  <si>
    <t>15/6</t>
  </si>
  <si>
    <t>18/4</t>
  </si>
  <si>
    <t>7/4</t>
  </si>
  <si>
    <t>8/4</t>
  </si>
  <si>
    <t>9/4</t>
  </si>
  <si>
    <t>2/5.5-6</t>
  </si>
  <si>
    <t>24/5</t>
  </si>
  <si>
    <t>20/5</t>
  </si>
  <si>
    <t>19/5</t>
  </si>
  <si>
    <t>17/5</t>
  </si>
  <si>
    <t>18/5</t>
  </si>
  <si>
    <t>16/5</t>
  </si>
  <si>
    <t>15/5</t>
  </si>
  <si>
    <t>2/6.5</t>
  </si>
  <si>
    <t>19/4</t>
  </si>
  <si>
    <t>24/4</t>
  </si>
  <si>
    <t>6/4</t>
  </si>
  <si>
    <t>12/6.5</t>
  </si>
  <si>
    <t>17/7</t>
  </si>
  <si>
    <t>15/4</t>
  </si>
  <si>
    <t>16/8</t>
  </si>
  <si>
    <t>15/7</t>
  </si>
  <si>
    <t>8/6.5</t>
  </si>
  <si>
    <t>18/7</t>
  </si>
  <si>
    <t>8/10</t>
  </si>
  <si>
    <t>9/10</t>
  </si>
  <si>
    <t>16/7</t>
  </si>
  <si>
    <t>20/12</t>
  </si>
  <si>
    <t>22/15</t>
  </si>
  <si>
    <t>18/10</t>
  </si>
  <si>
    <t>7/15</t>
  </si>
  <si>
    <t>10/5</t>
  </si>
  <si>
    <t>9/5</t>
  </si>
  <si>
    <t>1.5/5.5-6</t>
  </si>
  <si>
    <t>14/4</t>
  </si>
  <si>
    <t>16/4</t>
  </si>
  <si>
    <t>12/4</t>
  </si>
  <si>
    <t>26/5</t>
  </si>
  <si>
    <t>27/5</t>
  </si>
  <si>
    <t>28/5</t>
  </si>
  <si>
    <t>28/4</t>
  </si>
  <si>
    <t>27/6</t>
  </si>
  <si>
    <t>16/6</t>
  </si>
  <si>
    <t>14/10-11</t>
  </si>
  <si>
    <t>21/6.5</t>
  </si>
  <si>
    <t>23/5</t>
  </si>
  <si>
    <t>8/8</t>
  </si>
  <si>
    <t>5/4.5</t>
  </si>
  <si>
    <t>4.5/4.5-5</t>
  </si>
  <si>
    <t>3.5/5.5-6</t>
  </si>
  <si>
    <t>20/6</t>
  </si>
  <si>
    <t>10/8</t>
  </si>
  <si>
    <t>22/6</t>
  </si>
  <si>
    <t>4/5</t>
  </si>
  <si>
    <t>2.5/5</t>
  </si>
  <si>
    <t>11/7</t>
  </si>
  <si>
    <t>13/7</t>
  </si>
  <si>
    <t>PREV SOCK</t>
  </si>
  <si>
    <t>بلال سویاں سرگودھا</t>
  </si>
  <si>
    <t>اصف پلاسٹک سرگودھا</t>
  </si>
  <si>
    <t>Usman Amin</t>
  </si>
  <si>
    <t>Usman Arif Butt Gujranwala</t>
  </si>
  <si>
    <t>ایم عمران پاکستان مارکیٹ</t>
  </si>
  <si>
    <t>ہیڈ افس سٹاک لاہور</t>
  </si>
  <si>
    <t>خذیفہ پلاسٹک اعظم مارکیٹ</t>
  </si>
  <si>
    <t>محبوب مقبول گوجرانوالہ</t>
  </si>
  <si>
    <t>شاہد رمضان اوکاڑہ</t>
  </si>
  <si>
    <t>زوہیب پلاسٹک عارف والا</t>
  </si>
  <si>
    <t>8.5-9</t>
  </si>
  <si>
    <t>Atlas Honda LTD (SKP)</t>
  </si>
  <si>
    <t>LDN</t>
  </si>
  <si>
    <t>اسد بلال بہاورلپور</t>
  </si>
  <si>
    <t>4.5/5</t>
  </si>
  <si>
    <t>3.5/4.5</t>
  </si>
  <si>
    <t>21/24</t>
  </si>
  <si>
    <t>17/5.5-6</t>
  </si>
  <si>
    <t>20/10</t>
  </si>
  <si>
    <t>19/7</t>
  </si>
  <si>
    <t>23/7</t>
  </si>
  <si>
    <t>28/5-5.5</t>
  </si>
  <si>
    <t>2/5</t>
  </si>
  <si>
    <t>18/4.5</t>
  </si>
  <si>
    <t>26/8.5-9</t>
  </si>
  <si>
    <t>PRINTING</t>
  </si>
  <si>
    <t>اسد پلاسٹک ملتان</t>
  </si>
  <si>
    <t>ایم دین پنڈی</t>
  </si>
  <si>
    <t>حسین پلاسٹک بہاولپور</t>
  </si>
  <si>
    <t>اصف سرگودھا</t>
  </si>
  <si>
    <t>آصف پلاسٹک سرگودھا</t>
  </si>
  <si>
    <t>6.5-7</t>
  </si>
  <si>
    <t>لیاقت -لنڈا بازار</t>
  </si>
  <si>
    <t>18/6</t>
  </si>
  <si>
    <t>14/10</t>
  </si>
  <si>
    <t>14/4.5</t>
  </si>
  <si>
    <t>10/15</t>
  </si>
  <si>
    <t>12/6.5-7</t>
  </si>
  <si>
    <t>/</t>
  </si>
  <si>
    <t>15-16</t>
  </si>
  <si>
    <t>12-13</t>
  </si>
  <si>
    <t>23-23.5</t>
  </si>
  <si>
    <t>70 GRAM</t>
  </si>
  <si>
    <t>20" شیٹ</t>
  </si>
  <si>
    <t>7-7.5/14-15</t>
  </si>
  <si>
    <t>20 شیٹ</t>
  </si>
  <si>
    <t>8-8.5</t>
  </si>
  <si>
    <t>6-6.5/12-13</t>
  </si>
  <si>
    <t>432 MM</t>
  </si>
  <si>
    <t>428 MM</t>
  </si>
  <si>
    <t>LDM</t>
  </si>
  <si>
    <t>PT MILKY</t>
  </si>
  <si>
    <t>DW Organic Dairy Farms Kasur</t>
  </si>
  <si>
    <t xml:space="preserve">Moazmi Plastic Sahiwal </t>
  </si>
  <si>
    <t>GOGA PLASTIC GJW</t>
  </si>
  <si>
    <t>HONDA ATLAS (CARS) LTD</t>
  </si>
  <si>
    <t>MATCO FOOD</t>
  </si>
  <si>
    <t>Khurshid Hmaidi Foam Afghanstan</t>
  </si>
  <si>
    <t>Shafi Foam Lahore</t>
  </si>
  <si>
    <t>Waqas Wollan Mills Gujranwala</t>
  </si>
  <si>
    <t>Service Industry Gujrat</t>
  </si>
  <si>
    <t>LD PRO</t>
  </si>
  <si>
    <t>17-18</t>
  </si>
  <si>
    <t>7-7.5</t>
  </si>
  <si>
    <t>14-15</t>
  </si>
  <si>
    <t>7.7.5</t>
  </si>
  <si>
    <t>12.5-13</t>
  </si>
  <si>
    <t>13-14</t>
  </si>
  <si>
    <t>Irfan SB Azam Market LHR</t>
  </si>
  <si>
    <t>LD گولڈن پیلا</t>
  </si>
  <si>
    <t>The Kids Mall Lahore</t>
  </si>
  <si>
    <t>LD DISPATCH</t>
  </si>
  <si>
    <t>SALE</t>
  </si>
  <si>
    <t>19/12</t>
  </si>
  <si>
    <t>8/15-16</t>
  </si>
  <si>
    <t>7/20</t>
  </si>
  <si>
    <t>5/9</t>
  </si>
  <si>
    <t>30/12-13</t>
  </si>
  <si>
    <t>23-23.5/70 GRAM</t>
  </si>
  <si>
    <t>20" شیٹ/7-7.5/14-15</t>
  </si>
  <si>
    <t>20 شیٹ/7-7.5/14-15</t>
  </si>
  <si>
    <t>13/8-8.5</t>
  </si>
  <si>
    <t>16/14</t>
  </si>
  <si>
    <t>20 شیٹ/6-6.5/12-13</t>
  </si>
  <si>
    <t>432 MM/17-18</t>
  </si>
  <si>
    <t>428 MM/17-18</t>
  </si>
  <si>
    <t>17/7-7.5</t>
  </si>
  <si>
    <t>15/12</t>
  </si>
  <si>
    <t>19.5/14-15</t>
  </si>
  <si>
    <t>19/7.7.5</t>
  </si>
  <si>
    <t>18.5/15-16</t>
  </si>
  <si>
    <t>14.5/12.5-13</t>
  </si>
  <si>
    <t>13/12.5-13</t>
  </si>
  <si>
    <t>14/13-14</t>
  </si>
  <si>
    <t>13.5-14</t>
  </si>
  <si>
    <t>13-14/26-28</t>
  </si>
  <si>
    <t>Jilani Poly Stock</t>
  </si>
  <si>
    <t>HD وائیٹ</t>
  </si>
  <si>
    <t>HD بلیک</t>
  </si>
  <si>
    <t>PACKING ROLL</t>
  </si>
  <si>
    <t>16/13.5-14</t>
  </si>
  <si>
    <t>14.25/13-14/26-28</t>
  </si>
  <si>
    <t>30/</t>
  </si>
  <si>
    <t>7.5-8</t>
  </si>
  <si>
    <t>24-25</t>
  </si>
  <si>
    <t>4/8</t>
  </si>
  <si>
    <t>70 G+-1</t>
  </si>
  <si>
    <t>10-10.5</t>
  </si>
  <si>
    <t>Chezo Cheez Lahore</t>
  </si>
  <si>
    <t>Shafique Khan SB Sheikhupura</t>
  </si>
  <si>
    <t>Umair PP Adda Crown C/O Majest Plastic LHR</t>
  </si>
  <si>
    <t>Fixit Tile Band Lahore</t>
  </si>
  <si>
    <t>Ramada Multan</t>
  </si>
  <si>
    <t>Ibraheem Filter Industry (SMC.PVT.LTD)</t>
  </si>
  <si>
    <t>Wazirstan Tex Azam Market LHR</t>
  </si>
  <si>
    <t>11/18</t>
  </si>
  <si>
    <t>7/7.5-8</t>
  </si>
  <si>
    <t>18/12-13</t>
  </si>
  <si>
    <t>6.5/7.5-8</t>
  </si>
  <si>
    <t>15/24-25</t>
  </si>
  <si>
    <t>16/12-13</t>
  </si>
  <si>
    <t>17/8</t>
  </si>
  <si>
    <t>27.5/4/8</t>
  </si>
  <si>
    <t>23-23.5/70 G+-1</t>
  </si>
  <si>
    <t>27/4/8</t>
  </si>
  <si>
    <t>36/10-10.5</t>
  </si>
  <si>
    <t>36/4/8</t>
  </si>
  <si>
    <t>37/4/8</t>
  </si>
  <si>
    <t>P.B</t>
  </si>
  <si>
    <t>3 P</t>
  </si>
  <si>
    <t>7252/1</t>
  </si>
  <si>
    <t>8/1</t>
  </si>
  <si>
    <t>7251/2</t>
  </si>
  <si>
    <t>12/1</t>
  </si>
  <si>
    <t>7244/2</t>
  </si>
  <si>
    <t>7222/2</t>
  </si>
  <si>
    <t>7244/1</t>
  </si>
  <si>
    <t>11/2</t>
  </si>
  <si>
    <t>1416/1</t>
  </si>
  <si>
    <t>7222/1</t>
  </si>
  <si>
    <t>7222/4</t>
  </si>
  <si>
    <t>7222/6</t>
  </si>
  <si>
    <t>7228/1</t>
  </si>
  <si>
    <t>12/4.5</t>
  </si>
  <si>
    <t>11/6.5-7</t>
  </si>
  <si>
    <t>11/5-5.5</t>
  </si>
  <si>
    <t>3.5/5</t>
  </si>
  <si>
    <t>7254/2</t>
  </si>
  <si>
    <t>4046 J</t>
  </si>
  <si>
    <t>7192/1</t>
  </si>
  <si>
    <t>7244/3</t>
  </si>
  <si>
    <t>16/15</t>
  </si>
  <si>
    <t>SL</t>
  </si>
  <si>
    <t>FGPT:PP</t>
  </si>
  <si>
    <t>PPR</t>
  </si>
  <si>
    <t>FGPT:SL</t>
  </si>
  <si>
    <t>MKM1-PLAIN</t>
  </si>
  <si>
    <t>10.5+2.75+2.75</t>
  </si>
  <si>
    <t>10+2.5+2.5</t>
  </si>
  <si>
    <t>10+3+3</t>
  </si>
  <si>
    <t>11+3+3</t>
  </si>
  <si>
    <t>12+3+3</t>
  </si>
  <si>
    <t>39-MKM</t>
  </si>
  <si>
    <t>8+2.5+2.5</t>
  </si>
  <si>
    <t>20+5.5+5.5</t>
  </si>
  <si>
    <t>24+8+8</t>
  </si>
  <si>
    <t>28.50-MKM</t>
  </si>
  <si>
    <t>30+5+5</t>
  </si>
  <si>
    <t>31+7+7</t>
  </si>
  <si>
    <t>FGPTPL0000034</t>
  </si>
  <si>
    <t>FGPTPL0000066</t>
  </si>
  <si>
    <t>FGPTPL0000067</t>
  </si>
  <si>
    <t>FGPTPL0000068</t>
  </si>
  <si>
    <t>FGPTPL0000053</t>
  </si>
  <si>
    <t>FGPTPL0000015</t>
  </si>
  <si>
    <t>FGPTPL0000029</t>
  </si>
  <si>
    <t>FGPTPL0000058</t>
  </si>
  <si>
    <t>FGPTPL0000026</t>
  </si>
  <si>
    <t>FGPTPL0000032</t>
  </si>
  <si>
    <t>FGPTPL0000019</t>
  </si>
  <si>
    <t>FGPTPPR000032</t>
  </si>
  <si>
    <t>FGPTPPR000026</t>
  </si>
  <si>
    <t>FGPTPPR000025</t>
  </si>
  <si>
    <t>FGPTPPR000031</t>
  </si>
  <si>
    <t>FGPTPPR000028</t>
  </si>
  <si>
    <t>FGPTPPR000027</t>
  </si>
  <si>
    <t>FGPTPPR000029</t>
  </si>
  <si>
    <t>FGPTPPR000002</t>
  </si>
  <si>
    <t>FGPTPPR000004</t>
  </si>
  <si>
    <t>FGPTPPR000005</t>
  </si>
  <si>
    <t>FGPTPPR000037</t>
  </si>
  <si>
    <t>FGPTPPR000006</t>
  </si>
  <si>
    <t>FGPTPPR000007</t>
  </si>
  <si>
    <t>FGPTPPR000008</t>
  </si>
  <si>
    <t>FGPTPPR000036</t>
  </si>
  <si>
    <t>FGPTPPR000009</t>
  </si>
  <si>
    <t>FGPTPPR000010</t>
  </si>
  <si>
    <t>FGPTPPR000034</t>
  </si>
  <si>
    <t>FGPTPPR000011</t>
  </si>
  <si>
    <t>FGPTPPR000038</t>
  </si>
  <si>
    <t>FGPTPPR000012</t>
  </si>
  <si>
    <t>FGPTPPR000035</t>
  </si>
  <si>
    <t>FGPTPPR000014</t>
  </si>
  <si>
    <t>FGPTPPR000022</t>
  </si>
  <si>
    <t>FGPTSLR000623</t>
  </si>
  <si>
    <t>MKM0071</t>
  </si>
  <si>
    <t>MKM0077</t>
  </si>
  <si>
    <t>MKM0892</t>
  </si>
  <si>
    <t>MKM0080</t>
  </si>
  <si>
    <t>MKM0414</t>
  </si>
  <si>
    <t>MKM0089</t>
  </si>
  <si>
    <t>MKM0479</t>
  </si>
  <si>
    <t>MKM0334</t>
  </si>
  <si>
    <t>MKM0091</t>
  </si>
  <si>
    <t>MKM0060</t>
  </si>
  <si>
    <t>MKM0058</t>
  </si>
  <si>
    <t>MKM0075</t>
  </si>
  <si>
    <t>MKM0430</t>
  </si>
  <si>
    <t>MKM0057</t>
  </si>
  <si>
    <t>MKM0274</t>
  </si>
  <si>
    <t>MKM0084</t>
  </si>
  <si>
    <t>MKM0056</t>
  </si>
  <si>
    <t>MKM0052</t>
  </si>
  <si>
    <t>MKM0062</t>
  </si>
  <si>
    <t>MKM0068</t>
  </si>
  <si>
    <t>MKM0150</t>
  </si>
  <si>
    <t>MKM0076</t>
  </si>
  <si>
    <t>MKM0054</t>
  </si>
  <si>
    <t>MKM0752</t>
  </si>
  <si>
    <t>MKM0064</t>
  </si>
  <si>
    <t>MKM0330</t>
  </si>
  <si>
    <t>MKM0086</t>
  </si>
  <si>
    <t>MKM0380</t>
  </si>
  <si>
    <t>MKM0061</t>
  </si>
  <si>
    <t>MKM0067</t>
  </si>
  <si>
    <t>MKM0307</t>
  </si>
  <si>
    <t>MKM0527</t>
  </si>
  <si>
    <t>MKM0437</t>
  </si>
  <si>
    <t>MKM0223</t>
  </si>
  <si>
    <t>MKM0110</t>
  </si>
  <si>
    <t>MKM0109</t>
  </si>
  <si>
    <t>MKM0139</t>
  </si>
  <si>
    <t>MKM0111</t>
  </si>
  <si>
    <t>MKM0113</t>
  </si>
  <si>
    <t>MKM0403</t>
  </si>
  <si>
    <t>MKM0112</t>
  </si>
  <si>
    <t>MKM0117</t>
  </si>
  <si>
    <t>MKM0133</t>
  </si>
  <si>
    <t>MKM0226</t>
  </si>
  <si>
    <t>MKM0098</t>
  </si>
  <si>
    <t>MKM0902</t>
  </si>
  <si>
    <t>MKM0345</t>
  </si>
  <si>
    <t>MKM0217</t>
  </si>
  <si>
    <t>MKM0100</t>
  </si>
  <si>
    <t>MKM0099</t>
  </si>
  <si>
    <t>MKM0901</t>
  </si>
  <si>
    <t>MKM0114</t>
  </si>
  <si>
    <t>MKM0807</t>
  </si>
  <si>
    <t>MKM0897</t>
  </si>
  <si>
    <t>MKM0147</t>
  </si>
  <si>
    <t>MKM0115</t>
  </si>
  <si>
    <t>MKM0894</t>
  </si>
  <si>
    <t>MKM0105</t>
  </si>
  <si>
    <t>MKM0118</t>
  </si>
  <si>
    <t>MKM0905</t>
  </si>
  <si>
    <t>MKM0102</t>
  </si>
  <si>
    <t>MKM0103</t>
  </si>
  <si>
    <t>MKM0907</t>
  </si>
  <si>
    <t>MKM0910</t>
  </si>
  <si>
    <t>MKM0104</t>
  </si>
  <si>
    <t>MKM0143</t>
  </si>
  <si>
    <t>MKM0900</t>
  </si>
  <si>
    <t>MKM0096</t>
  </si>
  <si>
    <t>MKM0140</t>
  </si>
  <si>
    <t>MKM0106</t>
  </si>
  <si>
    <t>MKM0107</t>
  </si>
  <si>
    <t>MKM0365</t>
  </si>
  <si>
    <t>MKM0909</t>
  </si>
  <si>
    <t>MKM0906</t>
  </si>
  <si>
    <t>MKM0108</t>
  </si>
  <si>
    <t>MKM0878</t>
  </si>
  <si>
    <t>MKM0830</t>
  </si>
  <si>
    <t>MKM0134</t>
  </si>
  <si>
    <t>MKM0222</t>
  </si>
  <si>
    <t>MKM0673</t>
  </si>
  <si>
    <t>MKM0101</t>
  </si>
  <si>
    <t>MKM0116</t>
  </si>
  <si>
    <t>MKM0327</t>
  </si>
  <si>
    <t>MKM0567</t>
  </si>
  <si>
    <t>MKM0123</t>
  </si>
  <si>
    <t>MKM0318</t>
  </si>
  <si>
    <t>MKM0701</t>
  </si>
  <si>
    <t>MKM0126</t>
  </si>
  <si>
    <t>MKM0746</t>
  </si>
  <si>
    <t>MKM0122</t>
  </si>
  <si>
    <t>MKM0138</t>
  </si>
  <si>
    <t>MKM0885</t>
  </si>
  <si>
    <t>MKM0129</t>
  </si>
  <si>
    <t>MKM0131</t>
  </si>
  <si>
    <t>MKM0010</t>
  </si>
  <si>
    <t>MKM0011</t>
  </si>
  <si>
    <t>MKM0012</t>
  </si>
  <si>
    <t>MKM0818</t>
  </si>
  <si>
    <t>MKM0903</t>
  </si>
  <si>
    <t>MKM0001</t>
  </si>
  <si>
    <t>MKM0013</t>
  </si>
  <si>
    <t>MKM0003</t>
  </si>
  <si>
    <t>MKM0014</t>
  </si>
  <si>
    <t>MKM0007</t>
  </si>
  <si>
    <t>MKM0008</t>
  </si>
  <si>
    <t>MKM0002</t>
  </si>
  <si>
    <t>MKM0904</t>
  </si>
  <si>
    <t>MKM0006</t>
  </si>
  <si>
    <t>MKM0005</t>
  </si>
  <si>
    <t>MKM0908</t>
  </si>
  <si>
    <t>MKM0023</t>
  </si>
  <si>
    <t>MKM0516</t>
  </si>
  <si>
    <t>MKM0030</t>
  </si>
  <si>
    <t>MKM0303</t>
  </si>
  <si>
    <t>ROLLS FOR MAKING</t>
  </si>
  <si>
    <t>LDM PLAIN</t>
  </si>
  <si>
    <t>LDN PLAIN</t>
  </si>
  <si>
    <t>GUAGE</t>
  </si>
  <si>
    <t>LDM ROLLS</t>
  </si>
  <si>
    <t>LDN ROLLS</t>
  </si>
  <si>
    <t>PP ROLLS</t>
  </si>
  <si>
    <t>ROLL NAME</t>
  </si>
  <si>
    <t>SIZE/GUAGE</t>
  </si>
  <si>
    <t>2114 F</t>
  </si>
  <si>
    <t>8/2</t>
  </si>
  <si>
    <t>7/3</t>
  </si>
  <si>
    <t>7251/1</t>
  </si>
  <si>
    <t>10/2</t>
  </si>
  <si>
    <t>7254/1</t>
  </si>
  <si>
    <t>1418/1</t>
  </si>
  <si>
    <t>7222/5</t>
  </si>
  <si>
    <t>3719 J</t>
  </si>
  <si>
    <t>3966 J</t>
  </si>
  <si>
    <t>2102 F</t>
  </si>
  <si>
    <t>2092 F</t>
  </si>
  <si>
    <t>4056 J</t>
  </si>
  <si>
    <t>4055 J</t>
  </si>
  <si>
    <t>4088 J</t>
  </si>
  <si>
    <t>4054 J</t>
  </si>
  <si>
    <t>4005 J</t>
  </si>
  <si>
    <t>ایم بلال وحدت روڈ</t>
  </si>
  <si>
    <t>2 P</t>
  </si>
  <si>
    <t>7222/7</t>
  </si>
  <si>
    <t>7194/9</t>
  </si>
  <si>
    <t>7268/1</t>
  </si>
  <si>
    <t>10/3</t>
  </si>
  <si>
    <t>14/2</t>
  </si>
  <si>
    <t>94 P</t>
  </si>
  <si>
    <t>75 P</t>
  </si>
  <si>
    <t>7255/1</t>
  </si>
  <si>
    <t>124 P</t>
  </si>
  <si>
    <t>83 P</t>
  </si>
  <si>
    <t>31 P</t>
  </si>
  <si>
    <t>7248/8</t>
  </si>
  <si>
    <t>7248/9</t>
  </si>
  <si>
    <t>4/4.5</t>
  </si>
  <si>
    <t>17/8.5-9</t>
  </si>
  <si>
    <t>3/5</t>
  </si>
  <si>
    <t>Bundu Khan Lahore</t>
  </si>
  <si>
    <t>LD پیلا</t>
  </si>
  <si>
    <t>LD بلو</t>
  </si>
  <si>
    <t>14-14.5</t>
  </si>
  <si>
    <t>4062 J</t>
  </si>
  <si>
    <t>4156 J</t>
  </si>
  <si>
    <t>3970 J</t>
  </si>
  <si>
    <t>3969 J</t>
  </si>
  <si>
    <t>3984 J</t>
  </si>
  <si>
    <t>2787/1</t>
  </si>
  <si>
    <t>4139 J</t>
  </si>
  <si>
    <t>4149 J</t>
  </si>
  <si>
    <t>4140 J</t>
  </si>
  <si>
    <t>16/10-10.5</t>
  </si>
  <si>
    <t>16/8-8.5</t>
  </si>
  <si>
    <t>22/12.5-13</t>
  </si>
  <si>
    <t>21/14-14.5</t>
  </si>
  <si>
    <t>Ibtsam Traders Sheikhupura</t>
  </si>
  <si>
    <t>4/2</t>
  </si>
  <si>
    <t>4032 J</t>
  </si>
  <si>
    <t>3993 J</t>
  </si>
  <si>
    <t>7246/19</t>
  </si>
  <si>
    <t>PB</t>
  </si>
  <si>
    <t>1218/1</t>
  </si>
  <si>
    <t>720/1</t>
  </si>
  <si>
    <t>7223/1</t>
  </si>
  <si>
    <t>PS</t>
  </si>
  <si>
    <t>2098 F</t>
  </si>
  <si>
    <t>8/7.5-8</t>
  </si>
  <si>
    <t>6/7.5-8</t>
  </si>
  <si>
    <t>6/4.5</t>
  </si>
  <si>
    <t>4060 J</t>
  </si>
  <si>
    <t>2116 F</t>
  </si>
  <si>
    <t>3980 J</t>
  </si>
  <si>
    <t>3979 J</t>
  </si>
  <si>
    <t>3983 J</t>
  </si>
  <si>
    <t>3987 J</t>
  </si>
  <si>
    <t>4147 J</t>
  </si>
  <si>
    <t>2118 F</t>
  </si>
  <si>
    <t>4146 J</t>
  </si>
  <si>
    <t>2117 F</t>
  </si>
  <si>
    <t>PAKING ROLL</t>
  </si>
  <si>
    <t>JOB NAME</t>
  </si>
  <si>
    <t>4100 J</t>
  </si>
  <si>
    <t>3991 J</t>
  </si>
  <si>
    <t>4070 J</t>
  </si>
  <si>
    <t>2093 F</t>
  </si>
  <si>
    <t>11/8-8.5</t>
  </si>
  <si>
    <t>15/8-8.5</t>
  </si>
  <si>
    <t>15/10-10.5</t>
  </si>
  <si>
    <t>22/8.5-9</t>
  </si>
  <si>
    <t>26.5/7</t>
  </si>
  <si>
    <t>24/7</t>
  </si>
  <si>
    <t>Alam Bakers HafizAbad</t>
  </si>
  <si>
    <t>6-6.5</t>
  </si>
  <si>
    <t>عائشہ ٹریڈرز دادیددز</t>
  </si>
  <si>
    <t>M. Imran Pakistan Market Lahore</t>
  </si>
  <si>
    <t>-</t>
  </si>
  <si>
    <t>RMC C/O NADEEM SB</t>
  </si>
  <si>
    <t>ہیڈ افس سٹاک لاہور(شہباز اعظم مارکیٹ)</t>
  </si>
  <si>
    <t>3.5/1</t>
  </si>
  <si>
    <t>9/1</t>
  </si>
  <si>
    <t>4128 J</t>
  </si>
  <si>
    <t>7265/1</t>
  </si>
  <si>
    <t>4067 J</t>
  </si>
  <si>
    <t>4192 J</t>
  </si>
  <si>
    <t>26/2</t>
  </si>
  <si>
    <t>11/1</t>
  </si>
  <si>
    <t>9/2</t>
  </si>
  <si>
    <t>2789/1</t>
  </si>
  <si>
    <t>26/1</t>
  </si>
  <si>
    <t>7271/1</t>
  </si>
  <si>
    <t>7278/1</t>
  </si>
  <si>
    <t>4193 J</t>
  </si>
  <si>
    <t>12/3</t>
  </si>
  <si>
    <t>ایم ار یس   سرگودحا</t>
  </si>
  <si>
    <t>رفیق پلاسٹک اوکازہ</t>
  </si>
  <si>
    <t>فرحان پلاسٹک اوکاڑہ</t>
  </si>
  <si>
    <t>احمد ضیاٗ گجراںوالہ</t>
  </si>
  <si>
    <t>خرم پلاسٹک لالہ موسہ</t>
  </si>
  <si>
    <t>ایم زبیر پلاسٹک سرگودھا</t>
  </si>
  <si>
    <t>نادر پلاسٹک سرگودھا</t>
  </si>
  <si>
    <t>913/1</t>
  </si>
  <si>
    <t>918/1</t>
  </si>
  <si>
    <t>916/1</t>
  </si>
  <si>
    <t>7263/4</t>
  </si>
  <si>
    <t>4108 J</t>
  </si>
  <si>
    <t>7235/2</t>
  </si>
  <si>
    <t>7242/6</t>
  </si>
  <si>
    <t>1622/1</t>
  </si>
  <si>
    <t>7260/2</t>
  </si>
  <si>
    <t>7262/3</t>
  </si>
  <si>
    <t>44/1</t>
  </si>
  <si>
    <t>7237/4</t>
  </si>
  <si>
    <t>1116/2</t>
  </si>
  <si>
    <t>7217/7</t>
  </si>
  <si>
    <t>7260/1</t>
  </si>
  <si>
    <t>1022/1</t>
  </si>
  <si>
    <t>7248/5</t>
  </si>
  <si>
    <t>ایم سلمان پاکستان مارکیٹ</t>
  </si>
  <si>
    <t>7264/1</t>
  </si>
  <si>
    <t>7270/2</t>
  </si>
  <si>
    <t>7270/10</t>
  </si>
  <si>
    <t>7279/3</t>
  </si>
  <si>
    <t>7279/2</t>
  </si>
  <si>
    <t>7279/1</t>
  </si>
  <si>
    <t>3993 j</t>
  </si>
  <si>
    <t>4032 j</t>
  </si>
  <si>
    <t>7194/7</t>
  </si>
  <si>
    <t>19/6-6.5</t>
  </si>
  <si>
    <t>26/10</t>
  </si>
  <si>
    <t>16/6-6.5</t>
  </si>
  <si>
    <t>18/5-5.5</t>
  </si>
  <si>
    <t>5/5</t>
  </si>
  <si>
    <t>Pizza Bank And Fast Food Kamoki</t>
  </si>
  <si>
    <t>12-12.5</t>
  </si>
  <si>
    <t>10.5-11</t>
  </si>
  <si>
    <t>Super Diamond Food Kamoki</t>
  </si>
  <si>
    <t>M.K.B PESAHAR</t>
  </si>
  <si>
    <t>Cakes and Bakes Lahore Dairy Unit</t>
  </si>
  <si>
    <t>7.5-8/15-16</t>
  </si>
  <si>
    <t>4145 J</t>
  </si>
  <si>
    <t>4000 J</t>
  </si>
  <si>
    <t>3997 J</t>
  </si>
  <si>
    <t>3998 J</t>
  </si>
  <si>
    <t>3999 J</t>
  </si>
  <si>
    <t>3986 J</t>
  </si>
  <si>
    <t>3982 J</t>
  </si>
  <si>
    <t>3981 J</t>
  </si>
  <si>
    <t>2113 F</t>
  </si>
  <si>
    <t>2060 F</t>
  </si>
  <si>
    <t>2133 F</t>
  </si>
  <si>
    <t>2134 F</t>
  </si>
  <si>
    <t>2127 F</t>
  </si>
  <si>
    <t>4103 J</t>
  </si>
  <si>
    <t>4232 J</t>
  </si>
  <si>
    <t>4138 J</t>
  </si>
  <si>
    <t>4141 J</t>
  </si>
  <si>
    <t>4143 J</t>
  </si>
  <si>
    <t>4090 J</t>
  </si>
  <si>
    <t>4064 J</t>
  </si>
  <si>
    <t>4144 J</t>
  </si>
  <si>
    <t>4091 J</t>
  </si>
  <si>
    <t>4089 J</t>
  </si>
  <si>
    <t>3985 J</t>
  </si>
  <si>
    <t>3978 J</t>
  </si>
  <si>
    <t>4059 J</t>
  </si>
  <si>
    <t>2136 F</t>
  </si>
  <si>
    <t>2135 F</t>
  </si>
  <si>
    <t>4072 J</t>
  </si>
  <si>
    <t>4065 J</t>
  </si>
  <si>
    <t>4071 J</t>
  </si>
  <si>
    <t>4057 J</t>
  </si>
  <si>
    <t>4058 J</t>
  </si>
  <si>
    <t>4063 J</t>
  </si>
  <si>
    <t>4142 J</t>
  </si>
  <si>
    <t>9/8.5-9</t>
  </si>
  <si>
    <t>8/12-12.5</t>
  </si>
  <si>
    <t>18/10-10.5</t>
  </si>
  <si>
    <t>23/8-8.5</t>
  </si>
  <si>
    <t>28/12</t>
  </si>
  <si>
    <t>15/10.5-11</t>
  </si>
  <si>
    <t>22/7.5-8</t>
  </si>
  <si>
    <t>16/14-14.5</t>
  </si>
  <si>
    <t>16/12.5-13</t>
  </si>
  <si>
    <t>12/8.5-9</t>
  </si>
  <si>
    <t>5.5/8-8.5</t>
  </si>
  <si>
    <t>8/8.5-9</t>
  </si>
  <si>
    <t>8/7</t>
  </si>
  <si>
    <t>12/8-8.5</t>
  </si>
  <si>
    <t>12/10-10.5</t>
  </si>
  <si>
    <t>15/7.7.5</t>
  </si>
  <si>
    <t>17/12</t>
  </si>
  <si>
    <t>20/6-6.5</t>
  </si>
  <si>
    <t>24/5.5-6</t>
  </si>
  <si>
    <t>22/6-6.5</t>
  </si>
  <si>
    <t>20+5.5+5.5/7.5-8/15-16</t>
  </si>
  <si>
    <t>4077 J</t>
  </si>
  <si>
    <t>ADJ</t>
  </si>
  <si>
    <t>7277/2</t>
  </si>
  <si>
    <t>7277/1</t>
  </si>
  <si>
    <t>7235/5</t>
  </si>
  <si>
    <t>7269/6</t>
  </si>
  <si>
    <t>7262/7</t>
  </si>
  <si>
    <t>7269/4</t>
  </si>
  <si>
    <t>10/4</t>
  </si>
  <si>
    <t>1118/2</t>
  </si>
  <si>
    <t>814/1</t>
  </si>
  <si>
    <t>1216/1</t>
  </si>
  <si>
    <t>1024/1</t>
  </si>
  <si>
    <t>1020/1</t>
  </si>
  <si>
    <t>45/1</t>
  </si>
  <si>
    <t>218/1</t>
  </si>
  <si>
    <t>4/5-5.5</t>
  </si>
  <si>
    <t>9/5-5.5</t>
  </si>
  <si>
    <t>20/8</t>
  </si>
  <si>
    <t>22/8</t>
  </si>
  <si>
    <t>12/10</t>
  </si>
  <si>
    <t>14/5-5.5</t>
  </si>
  <si>
    <t>Hammad Plastic Gujranwala</t>
  </si>
  <si>
    <t>Farooq Textile Lahore</t>
  </si>
  <si>
    <t>AK And HBCO Lahore</t>
  </si>
  <si>
    <t>Irfan Chemical PVT (LTD)</t>
  </si>
  <si>
    <t>Khwaja Watch Center Lahore</t>
  </si>
  <si>
    <t>LDگولڈن یلو</t>
  </si>
  <si>
    <t>29" شیٹ</t>
  </si>
  <si>
    <t>Fancy Garments Kamoki</t>
  </si>
  <si>
    <t>LD ڈارک کریم</t>
  </si>
  <si>
    <t>14+4+4</t>
  </si>
  <si>
    <t>Meezan Foom (PVT) LTD</t>
  </si>
  <si>
    <t>13-13.5</t>
  </si>
  <si>
    <t>SUPER AGRO PAKISTAN</t>
  </si>
  <si>
    <t>28-28.5</t>
  </si>
  <si>
    <t>95±1</t>
  </si>
  <si>
    <t>4068 J</t>
  </si>
  <si>
    <t>4160 J</t>
  </si>
  <si>
    <t>4167 J</t>
  </si>
  <si>
    <t>4080 J</t>
  </si>
  <si>
    <t>4163 J</t>
  </si>
  <si>
    <t>4104 J</t>
  </si>
  <si>
    <t>4225 J</t>
  </si>
  <si>
    <t>2139 F</t>
  </si>
  <si>
    <t>4130 J</t>
  </si>
  <si>
    <t>2790/1</t>
  </si>
  <si>
    <t>4157 J</t>
  </si>
  <si>
    <t>4061 J</t>
  </si>
  <si>
    <t>Jilani Plastic</t>
  </si>
  <si>
    <t>3956 J</t>
  </si>
  <si>
    <t>RETURN</t>
  </si>
  <si>
    <t>5/5.5-6</t>
  </si>
  <si>
    <t>10/8-8.5</t>
  </si>
  <si>
    <t>14/5.5-6</t>
  </si>
  <si>
    <t>14/7.5-8</t>
  </si>
  <si>
    <t>4/10</t>
  </si>
  <si>
    <t>15/6-6.5</t>
  </si>
  <si>
    <t>7/10-10.5</t>
  </si>
  <si>
    <t>29" شیٹ/7.5-8/15-16</t>
  </si>
  <si>
    <t>14+4+4/6-6.5/12-13</t>
  </si>
  <si>
    <t>22/12</t>
  </si>
  <si>
    <t>18/13-13.5</t>
  </si>
  <si>
    <t>28-28.5/95±1</t>
  </si>
  <si>
    <t>8.5-9/26</t>
  </si>
  <si>
    <t>7-7.5/6</t>
  </si>
  <si>
    <t>Al Burak Deparmental Store Lahore</t>
  </si>
  <si>
    <t>Bolan Pastry Shop Quita</t>
  </si>
  <si>
    <t>ریفلیکٹ پیک</t>
  </si>
  <si>
    <t>18-19</t>
  </si>
  <si>
    <t>Milk Man Dairies PVT (LTD)</t>
  </si>
  <si>
    <t>Rathore Dairy Solution</t>
  </si>
  <si>
    <t>Niswar Canter Butkhela</t>
  </si>
  <si>
    <t>Ramada Gulbarg Lahore</t>
  </si>
  <si>
    <t>Mozami Plastice Sahiwal</t>
  </si>
  <si>
    <t>Bawa Towels Lahore</t>
  </si>
  <si>
    <t>Nehar Kiara Harbanspura Lahore</t>
  </si>
  <si>
    <t>20"شیٹ</t>
  </si>
  <si>
    <t>5.5-6/11-12</t>
  </si>
  <si>
    <t>Afghan Perfum Perhawar</t>
  </si>
  <si>
    <t>21-22</t>
  </si>
  <si>
    <t>Usman Ghani Textile Mills Sheikhpura</t>
  </si>
  <si>
    <t>21+4+4</t>
  </si>
  <si>
    <t>4284 J</t>
  </si>
  <si>
    <t>4209 J</t>
  </si>
  <si>
    <t>4205 J</t>
  </si>
  <si>
    <t>4246 J</t>
  </si>
  <si>
    <t>4247 J</t>
  </si>
  <si>
    <t>4166 J</t>
  </si>
  <si>
    <t>2132 F</t>
  </si>
  <si>
    <t>261 R</t>
  </si>
  <si>
    <t>4283 J</t>
  </si>
  <si>
    <t>4251 J</t>
  </si>
  <si>
    <t>4159 J</t>
  </si>
  <si>
    <t>4204 J</t>
  </si>
  <si>
    <t>4259 J</t>
  </si>
  <si>
    <t>4245 J</t>
  </si>
  <si>
    <t>4105 J</t>
  </si>
  <si>
    <t>4286 J</t>
  </si>
  <si>
    <t>4285 J</t>
  </si>
  <si>
    <t>4107 J</t>
  </si>
  <si>
    <t>4120 J</t>
  </si>
  <si>
    <t>4111 J</t>
  </si>
  <si>
    <t>4182 J</t>
  </si>
  <si>
    <t>4183 J</t>
  </si>
  <si>
    <t>4260 J</t>
  </si>
  <si>
    <t>1</t>
  </si>
  <si>
    <t>1.1</t>
  </si>
  <si>
    <t>740</t>
  </si>
  <si>
    <t>741</t>
  </si>
  <si>
    <t>2.5/1</t>
  </si>
  <si>
    <t>5/2</t>
  </si>
  <si>
    <t>4 P</t>
  </si>
  <si>
    <t>7194/10</t>
  </si>
  <si>
    <t>7262/6</t>
  </si>
  <si>
    <t>8/3</t>
  </si>
  <si>
    <t>7247/1</t>
  </si>
  <si>
    <t>810/1</t>
  </si>
  <si>
    <t>1426/1</t>
  </si>
  <si>
    <t>418/1</t>
  </si>
  <si>
    <t>1218/2</t>
  </si>
  <si>
    <t>55/1</t>
  </si>
  <si>
    <t>7269/5</t>
  </si>
  <si>
    <t>بلال جاوید فیصل اباد</t>
  </si>
  <si>
    <t>Alam Bakers Shahdra</t>
  </si>
  <si>
    <t>شمس القمر سٹال اعظم مارکیٹ</t>
  </si>
  <si>
    <t>REFLECT PACK</t>
  </si>
  <si>
    <t>7262/5</t>
  </si>
  <si>
    <t>7287/4</t>
  </si>
  <si>
    <t>7269/7</t>
  </si>
  <si>
    <t>4237 J</t>
  </si>
  <si>
    <t>7291/1</t>
  </si>
  <si>
    <t>11/3</t>
  </si>
  <si>
    <t>3/1</t>
  </si>
  <si>
    <t>7282/1</t>
  </si>
  <si>
    <t>4292 J</t>
  </si>
  <si>
    <t>14/3</t>
  </si>
  <si>
    <t>7245/3</t>
  </si>
  <si>
    <t>7246/21</t>
  </si>
  <si>
    <t>7246/10</t>
  </si>
  <si>
    <t>7246/7</t>
  </si>
  <si>
    <t>7287/3</t>
  </si>
  <si>
    <t>7246/1</t>
  </si>
  <si>
    <t>7245/1</t>
  </si>
  <si>
    <t>2792/1</t>
  </si>
  <si>
    <t>7309/4</t>
  </si>
  <si>
    <t>7309/1</t>
  </si>
  <si>
    <t>عمران علی بہاولپور</t>
  </si>
  <si>
    <t>612/1</t>
  </si>
  <si>
    <t>814/2</t>
  </si>
  <si>
    <t>914/2</t>
  </si>
  <si>
    <t>7285/1</t>
  </si>
  <si>
    <t>7286/6</t>
  </si>
  <si>
    <t>68/2</t>
  </si>
  <si>
    <t>1422/1</t>
  </si>
  <si>
    <t>7286/3</t>
  </si>
  <si>
    <t>7276/2</t>
  </si>
  <si>
    <t>7287/1</t>
  </si>
  <si>
    <t>1318/1</t>
  </si>
  <si>
    <t>2.59/1</t>
  </si>
  <si>
    <t>7276/3</t>
  </si>
  <si>
    <t>7303/1</t>
  </si>
  <si>
    <t>7306/1</t>
  </si>
  <si>
    <t>عمران مشتاق پتوکی</t>
  </si>
  <si>
    <t>7294/1</t>
  </si>
  <si>
    <t>نذیر پلاسٹک ملتان</t>
  </si>
  <si>
    <t>7275/1</t>
  </si>
  <si>
    <t>7275/2</t>
  </si>
  <si>
    <t>Lahore Regency Hospitality Lahore</t>
  </si>
  <si>
    <t>9-9.5</t>
  </si>
  <si>
    <t>Wazir Suiting Center Lahore</t>
  </si>
  <si>
    <t>Imtiaz Super Market LHR (Karachi)</t>
  </si>
  <si>
    <t>HDN</t>
  </si>
  <si>
    <t xml:space="preserve">M. Boota Plastic Azam Market Lahore </t>
  </si>
  <si>
    <t>Alam bread Shahdrah</t>
  </si>
  <si>
    <t>28 شیٹ</t>
  </si>
  <si>
    <t>4-4.5/8-9</t>
  </si>
  <si>
    <t>32 شیٹ</t>
  </si>
  <si>
    <t>Alam Baker Hafizabad</t>
  </si>
  <si>
    <t>34 SHEET</t>
  </si>
  <si>
    <t>3.3.25/6.6.5</t>
  </si>
  <si>
    <t>Ghousia Collection Lahore</t>
  </si>
  <si>
    <t>28+5.5+5.5</t>
  </si>
  <si>
    <t>28-28.5/56-57</t>
  </si>
  <si>
    <t>Karss Paint Industry Pvt LTD</t>
  </si>
  <si>
    <t>11-11.5</t>
  </si>
  <si>
    <t>PT-01</t>
  </si>
  <si>
    <t>LD سرخ</t>
  </si>
  <si>
    <t>Alam Printers Butkhela</t>
  </si>
  <si>
    <t>Arshad Lafafa Muchant Gujar Khan</t>
  </si>
  <si>
    <t>8-2.5-2.5</t>
  </si>
  <si>
    <t>8+2+2</t>
  </si>
  <si>
    <t>5-5.5/10-11</t>
  </si>
  <si>
    <t>H A Industry Peshawar</t>
  </si>
  <si>
    <t>Shoaib Auto RWP</t>
  </si>
  <si>
    <t>15.5-16</t>
  </si>
  <si>
    <t>K.D Auto Parts LHR</t>
  </si>
  <si>
    <t>New Shareefi Jewalars and Shoes Lahore</t>
  </si>
  <si>
    <t>Umair PP  Adda Crown C/O Majistice Plastice</t>
  </si>
  <si>
    <t>Jazz Hattari Lahore</t>
  </si>
  <si>
    <t>Khuram Cloth House Multan</t>
  </si>
  <si>
    <t>13+3+3</t>
  </si>
  <si>
    <t>9.5-10/19-20</t>
  </si>
  <si>
    <t>PT-02 (HAZRAT ALI MINGORA)</t>
  </si>
  <si>
    <t>LD MILKY</t>
  </si>
  <si>
    <t>Kotal Mart and Bakers Kohat</t>
  </si>
  <si>
    <t>5.5.5</t>
  </si>
  <si>
    <t>ENGRO ZARKHEZ</t>
  </si>
  <si>
    <t>24-24.5</t>
  </si>
  <si>
    <t>60±1</t>
  </si>
  <si>
    <t>International Industries (LTD)</t>
  </si>
  <si>
    <t>300 MM</t>
  </si>
  <si>
    <t>48-50</t>
  </si>
  <si>
    <t>4206 J</t>
  </si>
  <si>
    <t>4208 J</t>
  </si>
  <si>
    <t>4207 J</t>
  </si>
  <si>
    <t>4162 J</t>
  </si>
  <si>
    <t>4212 J</t>
  </si>
  <si>
    <t>4221 J</t>
  </si>
  <si>
    <t>4202 J</t>
  </si>
  <si>
    <t>4203 J</t>
  </si>
  <si>
    <t>4228 J</t>
  </si>
  <si>
    <t>4250 J</t>
  </si>
  <si>
    <t>4235 J</t>
  </si>
  <si>
    <t>4236 J</t>
  </si>
  <si>
    <t>4129 J</t>
  </si>
  <si>
    <t>2154 F</t>
  </si>
  <si>
    <t>4122 J</t>
  </si>
  <si>
    <t>4161 J</t>
  </si>
  <si>
    <t>2147 F</t>
  </si>
  <si>
    <t>4282 J</t>
  </si>
  <si>
    <t>2783/1</t>
  </si>
  <si>
    <t>4254 J</t>
  </si>
  <si>
    <t>4220 J</t>
  </si>
  <si>
    <t>4256 J</t>
  </si>
  <si>
    <t>4223 J</t>
  </si>
  <si>
    <t>4257 J</t>
  </si>
  <si>
    <t>4224 J</t>
  </si>
  <si>
    <t>4288 J</t>
  </si>
  <si>
    <t>4287 J</t>
  </si>
  <si>
    <t>4289 J</t>
  </si>
  <si>
    <t>4290 J</t>
  </si>
  <si>
    <t>4181 J</t>
  </si>
  <si>
    <t>4124 J</t>
  </si>
  <si>
    <t>4125 J</t>
  </si>
  <si>
    <t>4222 J</t>
  </si>
  <si>
    <t>4296 J</t>
  </si>
  <si>
    <t>4330 J</t>
  </si>
  <si>
    <t>4329 J</t>
  </si>
  <si>
    <t>MISS</t>
  </si>
  <si>
    <t>4258 J</t>
  </si>
  <si>
    <t>2156 F</t>
  </si>
  <si>
    <t>2791/3</t>
  </si>
  <si>
    <t>2791/4</t>
  </si>
  <si>
    <t>4352 J</t>
  </si>
  <si>
    <t>4351 J</t>
  </si>
  <si>
    <t>4353 J</t>
  </si>
  <si>
    <t>4354 J</t>
  </si>
  <si>
    <t>2161 F</t>
  </si>
  <si>
    <t>2160 F</t>
  </si>
  <si>
    <t>2146 F</t>
  </si>
  <si>
    <t>2158 F</t>
  </si>
  <si>
    <t>2150 F</t>
  </si>
  <si>
    <t>2795/1</t>
  </si>
  <si>
    <t>262 R</t>
  </si>
  <si>
    <t>2791/2</t>
  </si>
  <si>
    <t>2791/1</t>
  </si>
  <si>
    <t>4240 J</t>
  </si>
  <si>
    <t>4081 J</t>
  </si>
  <si>
    <t>2091 F</t>
  </si>
  <si>
    <t>4164 J</t>
  </si>
  <si>
    <t>آصف پلاسٹک سرگوھا</t>
  </si>
  <si>
    <t>ملک خالد سلیم فیصل آباد</t>
  </si>
  <si>
    <t>اے ایس کلاتھ -اعظم مارکیٹ</t>
  </si>
  <si>
    <t>ہجویری ٹریڈرز اردو بازار</t>
  </si>
  <si>
    <t>05</t>
  </si>
  <si>
    <t>زوالقرنین Pکامونکی</t>
  </si>
  <si>
    <t>اکرام بلو خانپور</t>
  </si>
  <si>
    <t>ہیڈ افس لاہور</t>
  </si>
  <si>
    <t>حذیفہ پلاسٹک اعظم مارکیٹ</t>
  </si>
  <si>
    <t>اسلم پلاسٹک ملتان</t>
  </si>
  <si>
    <t>خواجہ فرقان ٹمبر مارکیٹ</t>
  </si>
  <si>
    <t>5-6</t>
  </si>
  <si>
    <t>2.5-5</t>
  </si>
  <si>
    <t>7245/2</t>
  </si>
  <si>
    <t>7245/4</t>
  </si>
  <si>
    <t>7246/13</t>
  </si>
  <si>
    <t>6/3</t>
  </si>
  <si>
    <t>6/2</t>
  </si>
  <si>
    <t>7304/1</t>
  </si>
  <si>
    <t>7296/2</t>
  </si>
  <si>
    <t>18/1</t>
  </si>
  <si>
    <t>3714 J</t>
  </si>
  <si>
    <t>7309/3</t>
  </si>
  <si>
    <t>7295/1</t>
  </si>
  <si>
    <t>7302/21</t>
  </si>
  <si>
    <t>7287/2</t>
  </si>
  <si>
    <t>7313/1</t>
  </si>
  <si>
    <t>7316/1</t>
  </si>
  <si>
    <t>4300 J</t>
  </si>
  <si>
    <t>4021 J</t>
  </si>
  <si>
    <t>4409 J</t>
  </si>
  <si>
    <t>7246/9</t>
  </si>
  <si>
    <t>7313A/1</t>
  </si>
  <si>
    <t>7327/1</t>
  </si>
  <si>
    <t>7302/20</t>
  </si>
  <si>
    <t>7297/1</t>
  </si>
  <si>
    <t>7315/2</t>
  </si>
  <si>
    <t>4313 J</t>
  </si>
  <si>
    <t>4/3</t>
  </si>
  <si>
    <t>7246/12</t>
  </si>
  <si>
    <t>7322/1</t>
  </si>
  <si>
    <t>7322/2</t>
  </si>
  <si>
    <t>2.5/2</t>
  </si>
  <si>
    <t>7246/2</t>
  </si>
  <si>
    <t>24/1</t>
  </si>
  <si>
    <t>4394 J</t>
  </si>
  <si>
    <t>4440 J</t>
  </si>
  <si>
    <t>7246/3</t>
  </si>
  <si>
    <t>7318/1</t>
  </si>
  <si>
    <t>28/1</t>
  </si>
  <si>
    <t>7309/2</t>
  </si>
  <si>
    <t>7314/1</t>
  </si>
  <si>
    <t>7295/4</t>
  </si>
  <si>
    <t>11/4</t>
  </si>
  <si>
    <t>4196 J</t>
  </si>
  <si>
    <t>7319/1</t>
  </si>
  <si>
    <t>7321/5</t>
  </si>
  <si>
    <t>7321/6</t>
  </si>
  <si>
    <t>16/2</t>
  </si>
  <si>
    <t>4408 J</t>
  </si>
  <si>
    <t>4501 J</t>
  </si>
  <si>
    <t>4502 J</t>
  </si>
  <si>
    <t>عبدالرشید اسلام ٓاباد</t>
  </si>
  <si>
    <t>نواب جیلانی لیٰہ</t>
  </si>
  <si>
    <t>Pak Electron LTD</t>
  </si>
  <si>
    <t>ڈولفن انڈسٹری  سیالکوٹ</t>
  </si>
  <si>
    <t>ہیڈ افس لاہورC/O رانا صاحب</t>
  </si>
  <si>
    <t>اسد پلاسٹک صادق ٓاباد</t>
  </si>
  <si>
    <t>شعیب بھکر میر پور ازان کشمیر</t>
  </si>
  <si>
    <t>07</t>
  </si>
  <si>
    <t>08</t>
  </si>
  <si>
    <t>68/1</t>
  </si>
  <si>
    <t>7272/2</t>
  </si>
  <si>
    <t>812/4</t>
  </si>
  <si>
    <t>1016/1</t>
  </si>
  <si>
    <t>1118/1</t>
  </si>
  <si>
    <t>23/1</t>
  </si>
  <si>
    <t>7286/1</t>
  </si>
  <si>
    <t>69/1</t>
  </si>
  <si>
    <t>7302/19</t>
  </si>
  <si>
    <t>716/2</t>
  </si>
  <si>
    <t>7261/2</t>
  </si>
  <si>
    <t>4327 J</t>
  </si>
  <si>
    <t>7302/4</t>
  </si>
  <si>
    <t>1214/1</t>
  </si>
  <si>
    <t>7246/25</t>
  </si>
  <si>
    <t>1214/2</t>
  </si>
  <si>
    <t>7302/1</t>
  </si>
  <si>
    <t>1014/2</t>
  </si>
  <si>
    <t>810/3</t>
  </si>
  <si>
    <t>7296/3</t>
  </si>
  <si>
    <t>7295/5</t>
  </si>
  <si>
    <t>7296/1</t>
  </si>
  <si>
    <t>7302/6</t>
  </si>
  <si>
    <t>7302/13</t>
  </si>
  <si>
    <t>7302/8</t>
  </si>
  <si>
    <t>7300/1</t>
  </si>
  <si>
    <t>7317/1</t>
  </si>
  <si>
    <t>711/2</t>
  </si>
  <si>
    <t>7302/7</t>
  </si>
  <si>
    <t>7321/3</t>
  </si>
  <si>
    <t>7321/1</t>
  </si>
  <si>
    <t>7283/13</t>
  </si>
  <si>
    <t>7324/1</t>
  </si>
  <si>
    <t>7283/1</t>
  </si>
  <si>
    <t>84 P</t>
  </si>
  <si>
    <t>7295/3</t>
  </si>
  <si>
    <t>68 P</t>
  </si>
  <si>
    <t>47 P</t>
  </si>
  <si>
    <t>7320/4</t>
  </si>
  <si>
    <t>7283/12</t>
  </si>
  <si>
    <t>1830/1</t>
  </si>
  <si>
    <t>150 P</t>
  </si>
  <si>
    <t>7302/10</t>
  </si>
  <si>
    <t>7246/8</t>
  </si>
  <si>
    <t>716/1</t>
  </si>
  <si>
    <t>45/2</t>
  </si>
  <si>
    <t>2.53.5/1</t>
  </si>
  <si>
    <t>7302/12</t>
  </si>
  <si>
    <t>7302/15</t>
  </si>
  <si>
    <t>914/1</t>
  </si>
  <si>
    <t>7228/2</t>
  </si>
  <si>
    <t>7320/17</t>
  </si>
  <si>
    <t>7302/14</t>
  </si>
  <si>
    <t>2448/1</t>
  </si>
  <si>
    <t>1116/1</t>
  </si>
  <si>
    <t>7295/2</t>
  </si>
  <si>
    <t>1014/3</t>
  </si>
  <si>
    <t>1420/2</t>
  </si>
  <si>
    <t>812/5</t>
  </si>
  <si>
    <t>06</t>
  </si>
  <si>
    <t>عبدالباری وہاڑی</t>
  </si>
  <si>
    <t>وہاڑی پلاسٹک وہاڑی</t>
  </si>
  <si>
    <t>حاجی اسماعیل وہاڑی</t>
  </si>
  <si>
    <t>4-4.5</t>
  </si>
  <si>
    <t>7298/1</t>
  </si>
  <si>
    <t>7299/1</t>
  </si>
  <si>
    <t>7298/2</t>
  </si>
  <si>
    <t>7310/1</t>
  </si>
  <si>
    <t>7323/1</t>
  </si>
  <si>
    <t>7329/1</t>
  </si>
  <si>
    <t>7301/1</t>
  </si>
  <si>
    <t>7320/21</t>
  </si>
  <si>
    <t>7320/22</t>
  </si>
  <si>
    <t>7339/1</t>
  </si>
  <si>
    <t>7332/1</t>
  </si>
  <si>
    <t>جیلانی پلاسٹک</t>
  </si>
  <si>
    <t>7309/5</t>
  </si>
  <si>
    <t>3714 j</t>
  </si>
  <si>
    <t>4021 j</t>
  </si>
  <si>
    <t>4195 J</t>
  </si>
  <si>
    <t>3988 J</t>
  </si>
  <si>
    <t>3988 j</t>
  </si>
  <si>
    <t>2119 J</t>
  </si>
  <si>
    <t>2.5/5.5-6</t>
  </si>
  <si>
    <t>3/5.5-6</t>
  </si>
  <si>
    <t>9/5.5</t>
  </si>
  <si>
    <t>15/6.5</t>
  </si>
  <si>
    <t>5.5/10</t>
  </si>
  <si>
    <t>26/14</t>
  </si>
  <si>
    <t>24/5-5.5</t>
  </si>
  <si>
    <t>4.5/4.5</t>
  </si>
  <si>
    <t>7/4.5</t>
  </si>
  <si>
    <t>9/4.5</t>
  </si>
  <si>
    <t>14/7</t>
  </si>
  <si>
    <t>13/6.5</t>
  </si>
  <si>
    <t>6/5-5.5</t>
  </si>
  <si>
    <t>10/4.5</t>
  </si>
  <si>
    <t>10/14</t>
  </si>
  <si>
    <t>10/7</t>
  </si>
  <si>
    <t>10/5-5.5</t>
  </si>
  <si>
    <t>16/5.5-6</t>
  </si>
  <si>
    <t>6/6</t>
  </si>
  <si>
    <t>20/5-5.5</t>
  </si>
  <si>
    <t>16/5-6</t>
  </si>
  <si>
    <t>16/4.5</t>
  </si>
  <si>
    <t>2/12</t>
  </si>
  <si>
    <t>05/14</t>
  </si>
  <si>
    <t>9/7</t>
  </si>
  <si>
    <t>16/4.5-5</t>
  </si>
  <si>
    <t>16/5-5.5</t>
  </si>
  <si>
    <t>8/4.5</t>
  </si>
  <si>
    <t>11/6.5</t>
  </si>
  <si>
    <t>11/4.5</t>
  </si>
  <si>
    <t>10.5/2.5-5</t>
  </si>
  <si>
    <t>17/7-7.5/14-15</t>
  </si>
  <si>
    <t>16/7-7.5/14-15</t>
  </si>
  <si>
    <t>07/5</t>
  </si>
  <si>
    <t>08/5</t>
  </si>
  <si>
    <t>05/5</t>
  </si>
  <si>
    <t>06/5</t>
  </si>
  <si>
    <t>12/4-4.5</t>
  </si>
  <si>
    <t>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</si>
</sst>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409]dd/mmm/yy;@"/>
  </numFmts>
  <fonts count="10" x14ac:knownFonts="1"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color rgb="FF002060"/>
      <name val="Arabic Typesetting"/>
      <family val="4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164" fontId="3" fillId="0" borderId="0" applyFont="0" applyFill="0" applyBorder="0" applyAlignment="0" applyProtection="0"/>
  </cellStyleXfs>
  <cellXfs count="73">
    <xf numFmtId="0" fontId="0" fillId="0" borderId="0" xfId="0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0" fillId="0" borderId="3" xfId="0" applyBorder="1"/>
    <xf numFmtId="0" fontId="2" fillId="0" borderId="3" xfId="0" applyFont="1" applyBorder="1"/>
    <xf numFmtId="0" fontId="0" fillId="0" borderId="0" xfId="0" applyAlignment="1">
      <alignment horizontal="left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165" fontId="4" fillId="4" borderId="9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/>
    <xf numFmtId="0" fontId="5" fillId="0" borderId="1" xfId="0" applyFont="1" applyBorder="1"/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14" fontId="6" fillId="3" borderId="5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6" fillId="3" borderId="4" xfId="0" applyNumberFormat="1" applyFont="1" applyFill="1" applyBorder="1" applyAlignment="1">
      <alignment horizontal="center" vertical="center"/>
    </xf>
    <xf numFmtId="0" fontId="0" fillId="0" borderId="2" xfId="0" pivotButton="1" applyBorder="1"/>
    <xf numFmtId="14" fontId="0" fillId="0" borderId="0" xfId="0" applyNumberFormat="1"/>
    <xf numFmtId="0" fontId="7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6" borderId="0" xfId="0" applyFont="1" applyFill="1"/>
    <xf numFmtId="0" fontId="1" fillId="0" borderId="12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13" xfId="0" applyBorder="1"/>
    <xf numFmtId="0" fontId="2" fillId="0" borderId="1" xfId="0" applyNumberFormat="1" applyFont="1" applyBorder="1" applyAlignment="1">
      <alignment horizontal="center"/>
    </xf>
    <xf numFmtId="0" fontId="0" fillId="0" borderId="0" xfId="0" pivotButton="1"/>
    <xf numFmtId="0" fontId="4" fillId="4" borderId="14" xfId="0" applyFont="1" applyFill="1" applyBorder="1" applyAlignment="1">
      <alignment horizontal="center" vertical="center"/>
    </xf>
    <xf numFmtId="165" fontId="4" fillId="4" borderId="1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vertical="top"/>
    </xf>
    <xf numFmtId="3" fontId="0" fillId="0" borderId="0" xfId="0" applyNumberFormat="1" applyAlignment="1">
      <alignment vertical="top"/>
    </xf>
    <xf numFmtId="14" fontId="0" fillId="0" borderId="0" xfId="0" applyNumberFormat="1" applyAlignment="1">
      <alignment horizontal="center"/>
    </xf>
    <xf numFmtId="14" fontId="9" fillId="0" borderId="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0" fillId="0" borderId="1" xfId="0" applyNumberFormat="1" applyBorder="1"/>
    <xf numFmtId="0" fontId="6" fillId="3" borderId="8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/>
    <xf numFmtId="0" fontId="0" fillId="0" borderId="0" xfId="0" applyBorder="1"/>
    <xf numFmtId="49" fontId="0" fillId="0" borderId="1" xfId="0" applyNumberFormat="1" applyBorder="1"/>
    <xf numFmtId="0" fontId="0" fillId="0" borderId="16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</cellXfs>
  <cellStyles count="3">
    <cellStyle name="Comma 2" xfId="2" xr:uid="{3399AAE2-BB93-4DD7-9E88-A0943BA8B001}"/>
    <cellStyle name="Normal" xfId="0" builtinId="0"/>
    <cellStyle name="Normal 2" xfId="1" xr:uid="{A6067EF2-6B41-406C-AC6F-499DEFC19FA8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COOO%20-SALE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P%20&amp;%20PT%20DASHBOARD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X SALE ORDER"/>
      <sheetName val="NON REG CARDS"/>
      <sheetName val="REGULAR"/>
      <sheetName val="SEALLING"/>
      <sheetName val="EXTRUSTION"/>
      <sheetName val="EXTRUSION CARD"/>
      <sheetName val="STOCK SIZES"/>
      <sheetName val="NON REG CARDS "/>
      <sheetName val="SO"/>
      <sheetName val="PP ORDERS (2)"/>
      <sheetName val="Sheet4"/>
    </sheetNames>
    <sheetDataSet>
      <sheetData sheetId="0" refreshError="1">
        <row r="1">
          <cell r="A1" t="str">
            <v>SO #</v>
          </cell>
          <cell r="B1" t="str">
            <v>PO#</v>
          </cell>
          <cell r="C1" t="str">
            <v>Date</v>
          </cell>
          <cell r="D1" t="str">
            <v>GROUPS</v>
          </cell>
          <cell r="E1" t="str">
            <v>Party Name</v>
          </cell>
        </row>
        <row r="2">
          <cell r="A2">
            <v>4884</v>
          </cell>
          <cell r="B2"/>
          <cell r="C2">
            <v>44869</v>
          </cell>
          <cell r="D2" t="str">
            <v>یونس صاحب</v>
          </cell>
          <cell r="E2" t="str">
            <v>جیلانی پولی سٹاک</v>
          </cell>
        </row>
        <row r="3">
          <cell r="A3">
            <v>4885</v>
          </cell>
          <cell r="B3"/>
          <cell r="C3">
            <v>44869</v>
          </cell>
          <cell r="D3" t="str">
            <v>یونس صاحب</v>
          </cell>
          <cell r="E3" t="str">
            <v>جیلانی پولی سٹاک</v>
          </cell>
        </row>
        <row r="4">
          <cell r="A4">
            <v>4886</v>
          </cell>
          <cell r="B4"/>
          <cell r="C4">
            <v>44869</v>
          </cell>
          <cell r="D4" t="str">
            <v>یونس صاحب</v>
          </cell>
          <cell r="E4" t="str">
            <v>جیلانی پولی سٹاک</v>
          </cell>
        </row>
        <row r="5">
          <cell r="A5">
            <v>4887</v>
          </cell>
          <cell r="B5"/>
          <cell r="C5">
            <v>44869</v>
          </cell>
          <cell r="D5" t="str">
            <v>یونس صاحب</v>
          </cell>
          <cell r="E5" t="str">
            <v>جیلانی پولی سٹاک</v>
          </cell>
        </row>
        <row r="6">
          <cell r="A6">
            <v>4888</v>
          </cell>
          <cell r="B6"/>
          <cell r="C6">
            <v>44869</v>
          </cell>
          <cell r="D6" t="str">
            <v>یونس صاحب</v>
          </cell>
          <cell r="E6" t="str">
            <v>جیلانی پولی سٹاک</v>
          </cell>
        </row>
        <row r="7">
          <cell r="A7">
            <v>4889</v>
          </cell>
          <cell r="B7"/>
          <cell r="C7">
            <v>44869</v>
          </cell>
          <cell r="D7" t="str">
            <v>یونس صاحب</v>
          </cell>
          <cell r="E7" t="str">
            <v>جیلانی پولی سٹاک</v>
          </cell>
        </row>
        <row r="8">
          <cell r="A8">
            <v>4890</v>
          </cell>
          <cell r="B8"/>
          <cell r="C8">
            <v>44869</v>
          </cell>
          <cell r="D8" t="str">
            <v>یونس صاحب</v>
          </cell>
          <cell r="E8" t="str">
            <v>جیلانی پولی سٹاک</v>
          </cell>
        </row>
        <row r="9">
          <cell r="A9">
            <v>4891</v>
          </cell>
          <cell r="B9"/>
          <cell r="C9">
            <v>44869</v>
          </cell>
          <cell r="D9" t="str">
            <v>یونس صاحب</v>
          </cell>
          <cell r="E9" t="str">
            <v>جیلانی پولی سٹاک</v>
          </cell>
        </row>
        <row r="10">
          <cell r="A10">
            <v>4892</v>
          </cell>
          <cell r="B10"/>
          <cell r="C10">
            <v>44869</v>
          </cell>
          <cell r="D10" t="str">
            <v>یونس صاحب</v>
          </cell>
          <cell r="E10" t="str">
            <v>جیلانی پولی سٹاک</v>
          </cell>
        </row>
        <row r="11">
          <cell r="A11">
            <v>4893</v>
          </cell>
          <cell r="B11"/>
          <cell r="C11">
            <v>44869</v>
          </cell>
          <cell r="D11" t="str">
            <v>یونس صاحب</v>
          </cell>
          <cell r="E11" t="str">
            <v>جیلانی پولی سٹاک</v>
          </cell>
        </row>
        <row r="12">
          <cell r="A12">
            <v>4894</v>
          </cell>
          <cell r="B12"/>
          <cell r="C12">
            <v>44869</v>
          </cell>
          <cell r="D12" t="str">
            <v>یونس صاحب</v>
          </cell>
          <cell r="E12" t="str">
            <v>جیلانی پولی سٹاک</v>
          </cell>
        </row>
        <row r="13">
          <cell r="A13">
            <v>4895</v>
          </cell>
          <cell r="B13"/>
          <cell r="C13">
            <v>44869</v>
          </cell>
          <cell r="D13" t="str">
            <v>یونس صاحب</v>
          </cell>
          <cell r="E13" t="str">
            <v>جیلانی پولی سٹاک</v>
          </cell>
        </row>
        <row r="14">
          <cell r="A14">
            <v>4896</v>
          </cell>
          <cell r="B14"/>
          <cell r="C14">
            <v>44869</v>
          </cell>
          <cell r="D14" t="str">
            <v>یونس صاحب</v>
          </cell>
          <cell r="E14" t="str">
            <v>جیلانی پولی سٹاک</v>
          </cell>
        </row>
        <row r="15">
          <cell r="A15">
            <v>4897</v>
          </cell>
          <cell r="B15"/>
          <cell r="C15">
            <v>44869</v>
          </cell>
          <cell r="D15" t="str">
            <v>یونس صاحب</v>
          </cell>
          <cell r="E15" t="str">
            <v>جیلانی پولی سٹاک</v>
          </cell>
        </row>
        <row r="16">
          <cell r="A16">
            <v>4898</v>
          </cell>
          <cell r="B16"/>
          <cell r="C16">
            <v>44869</v>
          </cell>
          <cell r="D16" t="str">
            <v>یونس صاحب</v>
          </cell>
          <cell r="E16" t="str">
            <v>جیلانی پولی سٹاک</v>
          </cell>
        </row>
        <row r="17">
          <cell r="A17">
            <v>4899</v>
          </cell>
          <cell r="B17"/>
          <cell r="C17">
            <v>44869</v>
          </cell>
          <cell r="D17" t="str">
            <v>یونس صاحب</v>
          </cell>
          <cell r="E17" t="str">
            <v>جیلانی پولی سٹاک</v>
          </cell>
        </row>
        <row r="18">
          <cell r="A18">
            <v>4900</v>
          </cell>
          <cell r="B18"/>
          <cell r="C18">
            <v>44869</v>
          </cell>
          <cell r="D18" t="str">
            <v>یونس صاحب</v>
          </cell>
          <cell r="E18" t="str">
            <v>جیلانی پولی سٹاک</v>
          </cell>
        </row>
        <row r="19">
          <cell r="A19">
            <v>4901</v>
          </cell>
          <cell r="B19"/>
          <cell r="C19">
            <v>44869</v>
          </cell>
          <cell r="D19" t="str">
            <v>یونس صاحب</v>
          </cell>
          <cell r="E19" t="str">
            <v>جیلانی پولی سٹاک</v>
          </cell>
        </row>
        <row r="20">
          <cell r="A20">
            <v>4902</v>
          </cell>
          <cell r="B20"/>
          <cell r="C20">
            <v>44869</v>
          </cell>
          <cell r="D20" t="str">
            <v>یونس صاحب</v>
          </cell>
          <cell r="E20" t="str">
            <v>جیلانی پولی سٹاک</v>
          </cell>
        </row>
        <row r="21">
          <cell r="A21">
            <v>4903</v>
          </cell>
          <cell r="B21"/>
          <cell r="C21">
            <v>44869</v>
          </cell>
          <cell r="D21" t="str">
            <v>یونس صاحب</v>
          </cell>
          <cell r="E21" t="str">
            <v>جیلانی پولی سٹاک</v>
          </cell>
        </row>
        <row r="22">
          <cell r="A22">
            <v>4904</v>
          </cell>
          <cell r="B22"/>
          <cell r="C22">
            <v>44869</v>
          </cell>
          <cell r="D22" t="str">
            <v>یونس صاحب</v>
          </cell>
          <cell r="E22" t="str">
            <v>جیلانی پولی سٹاک</v>
          </cell>
        </row>
        <row r="23">
          <cell r="A23">
            <v>4905</v>
          </cell>
          <cell r="B23"/>
          <cell r="C23">
            <v>44869</v>
          </cell>
          <cell r="D23" t="str">
            <v>یونس صاحب</v>
          </cell>
          <cell r="E23" t="str">
            <v>جیلانی پولی سٹاک</v>
          </cell>
        </row>
        <row r="24">
          <cell r="A24">
            <v>4906</v>
          </cell>
          <cell r="B24"/>
          <cell r="C24">
            <v>44869</v>
          </cell>
          <cell r="D24" t="str">
            <v>یونس صاحب</v>
          </cell>
          <cell r="E24" t="str">
            <v>جیلانی پولی سٹاک</v>
          </cell>
        </row>
        <row r="25">
          <cell r="A25">
            <v>4907</v>
          </cell>
          <cell r="B25"/>
          <cell r="C25">
            <v>44869</v>
          </cell>
          <cell r="D25" t="str">
            <v>یونس صاحب</v>
          </cell>
          <cell r="E25" t="str">
            <v>جیلانی پولی سٹاک</v>
          </cell>
        </row>
        <row r="26">
          <cell r="A26">
            <v>4908</v>
          </cell>
          <cell r="B26"/>
          <cell r="C26">
            <v>44869</v>
          </cell>
          <cell r="D26" t="str">
            <v>یونس صاحب</v>
          </cell>
          <cell r="E26" t="str">
            <v>جیلانی پولی سٹاک</v>
          </cell>
        </row>
        <row r="27">
          <cell r="A27">
            <v>4909</v>
          </cell>
          <cell r="B27"/>
          <cell r="C27">
            <v>44869</v>
          </cell>
          <cell r="D27" t="str">
            <v>یونس صاحب</v>
          </cell>
          <cell r="E27" t="str">
            <v>جیلانی پولی سٹاک</v>
          </cell>
        </row>
        <row r="28">
          <cell r="A28">
            <v>4910</v>
          </cell>
          <cell r="B28"/>
          <cell r="C28">
            <v>44869</v>
          </cell>
          <cell r="D28" t="str">
            <v>یونس صاحب</v>
          </cell>
          <cell r="E28" t="str">
            <v>جیلانی پولی سٹاک</v>
          </cell>
        </row>
        <row r="29">
          <cell r="A29">
            <v>4911</v>
          </cell>
          <cell r="B29"/>
          <cell r="C29">
            <v>44869</v>
          </cell>
          <cell r="D29" t="str">
            <v>یونس صاحب</v>
          </cell>
          <cell r="E29" t="str">
            <v>جیلانی پولی سٹاک</v>
          </cell>
        </row>
        <row r="30">
          <cell r="A30">
            <v>4912</v>
          </cell>
          <cell r="B30"/>
          <cell r="C30">
            <v>44869</v>
          </cell>
          <cell r="D30" t="str">
            <v>یونس صاحب</v>
          </cell>
          <cell r="E30" t="str">
            <v>جیلانی پولی سٹاک</v>
          </cell>
        </row>
        <row r="31">
          <cell r="A31">
            <v>4913</v>
          </cell>
          <cell r="B31"/>
          <cell r="C31">
            <v>44869</v>
          </cell>
          <cell r="D31" t="str">
            <v>یونس صاحب</v>
          </cell>
          <cell r="E31" t="str">
            <v>جیلانی پولی سٹاک</v>
          </cell>
        </row>
        <row r="32">
          <cell r="A32">
            <v>4914</v>
          </cell>
          <cell r="B32"/>
          <cell r="C32">
            <v>44869</v>
          </cell>
          <cell r="D32" t="str">
            <v>یونس صاحب</v>
          </cell>
          <cell r="E32" t="str">
            <v>جیلانی پولی سٹاک</v>
          </cell>
        </row>
        <row r="33">
          <cell r="A33">
            <v>4915</v>
          </cell>
          <cell r="B33"/>
          <cell r="C33">
            <v>44869</v>
          </cell>
          <cell r="D33" t="str">
            <v>یونس صاحب</v>
          </cell>
          <cell r="E33" t="str">
            <v>جیلانی پولی سٹاک</v>
          </cell>
        </row>
        <row r="34">
          <cell r="A34">
            <v>4916</v>
          </cell>
          <cell r="B34"/>
          <cell r="C34">
            <v>44869</v>
          </cell>
          <cell r="D34" t="str">
            <v>یونس صاحب</v>
          </cell>
          <cell r="E34" t="str">
            <v>جیلانی پولی سٹاک</v>
          </cell>
        </row>
        <row r="35">
          <cell r="A35">
            <v>4917</v>
          </cell>
          <cell r="B35"/>
          <cell r="C35">
            <v>44869</v>
          </cell>
          <cell r="D35" t="str">
            <v>یونس صاحب</v>
          </cell>
          <cell r="E35" t="str">
            <v>جیلانی پولی سٹاک</v>
          </cell>
        </row>
        <row r="36">
          <cell r="A36">
            <v>4918</v>
          </cell>
          <cell r="B36"/>
          <cell r="C36">
            <v>44869</v>
          </cell>
          <cell r="D36" t="str">
            <v>یونس صاحب</v>
          </cell>
          <cell r="E36" t="str">
            <v>جیلانی پولی سٹاک</v>
          </cell>
        </row>
        <row r="37">
          <cell r="A37">
            <v>4919</v>
          </cell>
          <cell r="B37"/>
          <cell r="C37">
            <v>44869</v>
          </cell>
          <cell r="D37" t="str">
            <v>یونس صاحب</v>
          </cell>
          <cell r="E37" t="str">
            <v>جیلانی پولی سٹاک</v>
          </cell>
        </row>
        <row r="38">
          <cell r="A38">
            <v>4920</v>
          </cell>
          <cell r="B38"/>
          <cell r="C38">
            <v>44869</v>
          </cell>
          <cell r="D38" t="str">
            <v>یونس صاحب</v>
          </cell>
          <cell r="E38" t="str">
            <v>جیلانی پولی سٹاک</v>
          </cell>
        </row>
        <row r="39">
          <cell r="A39">
            <v>4921</v>
          </cell>
          <cell r="B39"/>
          <cell r="C39">
            <v>44869</v>
          </cell>
          <cell r="D39" t="str">
            <v>یونس صاحب</v>
          </cell>
          <cell r="E39" t="str">
            <v>جیلانی پولی سٹاک</v>
          </cell>
        </row>
        <row r="40">
          <cell r="A40">
            <v>4922</v>
          </cell>
          <cell r="B40"/>
          <cell r="C40">
            <v>44869</v>
          </cell>
          <cell r="D40" t="str">
            <v>یونس صاحب</v>
          </cell>
          <cell r="E40" t="str">
            <v>جیلانی پولی سٹاک</v>
          </cell>
        </row>
        <row r="41">
          <cell r="A41">
            <v>4923</v>
          </cell>
          <cell r="B41"/>
          <cell r="C41">
            <v>44869</v>
          </cell>
          <cell r="D41" t="str">
            <v>یونس صاحب</v>
          </cell>
          <cell r="E41" t="str">
            <v>جیلانی پولی سٹاک</v>
          </cell>
        </row>
        <row r="42">
          <cell r="A42">
            <v>4924</v>
          </cell>
          <cell r="B42"/>
          <cell r="C42">
            <v>44869</v>
          </cell>
          <cell r="D42" t="str">
            <v>یونس صاحب</v>
          </cell>
          <cell r="E42" t="str">
            <v>جیلانی پولی سٹاک</v>
          </cell>
        </row>
        <row r="43">
          <cell r="A43">
            <v>4925</v>
          </cell>
          <cell r="B43"/>
          <cell r="C43">
            <v>44869</v>
          </cell>
          <cell r="D43" t="str">
            <v>یونس صاحب</v>
          </cell>
          <cell r="E43" t="str">
            <v>جیلانی پولی سٹاک</v>
          </cell>
        </row>
        <row r="44">
          <cell r="A44">
            <v>4926</v>
          </cell>
          <cell r="B44"/>
          <cell r="C44">
            <v>44869</v>
          </cell>
          <cell r="D44" t="str">
            <v>یونس صاحب</v>
          </cell>
          <cell r="E44" t="str">
            <v>جیلانی پولی سٹاک</v>
          </cell>
        </row>
        <row r="45">
          <cell r="A45">
            <v>4927</v>
          </cell>
          <cell r="B45"/>
          <cell r="C45">
            <v>44869</v>
          </cell>
          <cell r="D45" t="str">
            <v>یونس صاحب</v>
          </cell>
          <cell r="E45" t="str">
            <v>جیلانی پولی سٹاک</v>
          </cell>
        </row>
        <row r="46">
          <cell r="A46">
            <v>4928</v>
          </cell>
          <cell r="B46"/>
          <cell r="C46">
            <v>44869</v>
          </cell>
          <cell r="D46" t="str">
            <v>یونس صاحب</v>
          </cell>
          <cell r="E46" t="str">
            <v>جیلانی پولی سٹاک</v>
          </cell>
        </row>
        <row r="47">
          <cell r="A47">
            <v>4929</v>
          </cell>
          <cell r="B47"/>
          <cell r="C47">
            <v>44869</v>
          </cell>
          <cell r="D47" t="str">
            <v>یونس صاحب</v>
          </cell>
          <cell r="E47" t="str">
            <v>جیلانی پولی سٹاک</v>
          </cell>
        </row>
        <row r="48">
          <cell r="A48">
            <v>4930</v>
          </cell>
          <cell r="B48"/>
          <cell r="C48">
            <v>44869</v>
          </cell>
          <cell r="D48" t="str">
            <v>یونس صاحب</v>
          </cell>
          <cell r="E48" t="str">
            <v>جیلانی پولی سٹاک</v>
          </cell>
        </row>
        <row r="49">
          <cell r="A49">
            <v>4931</v>
          </cell>
          <cell r="B49"/>
          <cell r="C49">
            <v>44869</v>
          </cell>
          <cell r="D49" t="str">
            <v>یونس صاحب</v>
          </cell>
          <cell r="E49" t="str">
            <v>جیلانی پولی سٹاک</v>
          </cell>
        </row>
        <row r="50">
          <cell r="A50">
            <v>4932</v>
          </cell>
          <cell r="B50"/>
          <cell r="C50">
            <v>44869</v>
          </cell>
          <cell r="D50" t="str">
            <v>یونس صاحب</v>
          </cell>
          <cell r="E50" t="str">
            <v>جیلانی پولی سٹاک</v>
          </cell>
        </row>
        <row r="51">
          <cell r="A51">
            <v>4933</v>
          </cell>
          <cell r="B51"/>
          <cell r="C51">
            <v>44869</v>
          </cell>
          <cell r="D51" t="str">
            <v>یونس صاحب</v>
          </cell>
          <cell r="E51" t="str">
            <v>جیلانی پولی سٹاک</v>
          </cell>
        </row>
        <row r="52">
          <cell r="A52">
            <v>4934</v>
          </cell>
          <cell r="B52"/>
          <cell r="C52">
            <v>44869</v>
          </cell>
          <cell r="D52" t="str">
            <v>یونس صاحب</v>
          </cell>
          <cell r="E52" t="str">
            <v>جیلانی پولی سٹاک</v>
          </cell>
        </row>
        <row r="53">
          <cell r="A53">
            <v>4935</v>
          </cell>
          <cell r="B53"/>
          <cell r="C53">
            <v>44869</v>
          </cell>
          <cell r="D53" t="str">
            <v>یونس صاحب</v>
          </cell>
          <cell r="E53" t="str">
            <v>جیلانی پولی سٹاک</v>
          </cell>
        </row>
        <row r="54">
          <cell r="A54">
            <v>4936</v>
          </cell>
          <cell r="B54"/>
          <cell r="C54">
            <v>44869</v>
          </cell>
          <cell r="D54" t="str">
            <v>یونس صاحب</v>
          </cell>
          <cell r="E54" t="str">
            <v>جیلانی پولی سٹاک</v>
          </cell>
        </row>
        <row r="55">
          <cell r="A55">
            <v>4937</v>
          </cell>
          <cell r="B55"/>
          <cell r="C55">
            <v>44869</v>
          </cell>
          <cell r="D55" t="str">
            <v>یونس صاحب</v>
          </cell>
          <cell r="E55" t="str">
            <v>جیلانی پولی سٹاک</v>
          </cell>
        </row>
        <row r="56">
          <cell r="A56">
            <v>4938</v>
          </cell>
          <cell r="B56"/>
          <cell r="C56">
            <v>44869</v>
          </cell>
          <cell r="D56" t="str">
            <v>یونس صاحب</v>
          </cell>
          <cell r="E56" t="str">
            <v>جیلانی پولی سٹاک</v>
          </cell>
        </row>
        <row r="57">
          <cell r="A57">
            <v>4939</v>
          </cell>
          <cell r="B57"/>
          <cell r="C57">
            <v>44869</v>
          </cell>
          <cell r="D57" t="str">
            <v>یونس صاحب</v>
          </cell>
          <cell r="E57" t="str">
            <v>جیلانی پولی سٹاک</v>
          </cell>
        </row>
        <row r="58">
          <cell r="A58">
            <v>4940</v>
          </cell>
          <cell r="B58"/>
          <cell r="C58">
            <v>44869</v>
          </cell>
          <cell r="D58" t="str">
            <v>یونس صاحب</v>
          </cell>
          <cell r="E58" t="str">
            <v>جیلانی پولی سٹاک</v>
          </cell>
        </row>
        <row r="59">
          <cell r="A59">
            <v>4941</v>
          </cell>
          <cell r="B59"/>
          <cell r="C59">
            <v>44869</v>
          </cell>
          <cell r="D59" t="str">
            <v>یونس صاحب</v>
          </cell>
          <cell r="E59" t="str">
            <v>جیلانی پولی سٹاک</v>
          </cell>
        </row>
        <row r="60">
          <cell r="A60">
            <v>4942</v>
          </cell>
          <cell r="B60"/>
          <cell r="C60">
            <v>44869</v>
          </cell>
          <cell r="D60" t="str">
            <v>یونس صاحب</v>
          </cell>
          <cell r="E60" t="str">
            <v>جیلانی پولی سٹاک</v>
          </cell>
        </row>
        <row r="61">
          <cell r="A61">
            <v>4943</v>
          </cell>
          <cell r="B61"/>
          <cell r="C61">
            <v>44869</v>
          </cell>
          <cell r="D61" t="str">
            <v>یونس صاحب</v>
          </cell>
          <cell r="E61" t="str">
            <v>جیلانی پولی سٹاک</v>
          </cell>
        </row>
        <row r="62">
          <cell r="A62">
            <v>4944</v>
          </cell>
          <cell r="B62"/>
          <cell r="C62">
            <v>44869</v>
          </cell>
          <cell r="D62" t="str">
            <v>یونس صاحب</v>
          </cell>
          <cell r="E62" t="str">
            <v>جیلانی پولی سٹاک</v>
          </cell>
        </row>
        <row r="63">
          <cell r="A63">
            <v>4945</v>
          </cell>
          <cell r="B63"/>
          <cell r="C63">
            <v>44869</v>
          </cell>
          <cell r="D63" t="str">
            <v>یونس صاحب</v>
          </cell>
          <cell r="E63" t="str">
            <v>جیلانی پولی سٹاک</v>
          </cell>
        </row>
        <row r="64">
          <cell r="A64">
            <v>4946</v>
          </cell>
          <cell r="B64"/>
          <cell r="C64">
            <v>44869</v>
          </cell>
          <cell r="D64" t="str">
            <v>یونس صاحب</v>
          </cell>
          <cell r="E64" t="str">
            <v>جیلانی پولی سٹاک</v>
          </cell>
        </row>
        <row r="65">
          <cell r="A65">
            <v>4947</v>
          </cell>
          <cell r="B65"/>
          <cell r="C65">
            <v>44869</v>
          </cell>
          <cell r="D65" t="str">
            <v>یونس صاحب</v>
          </cell>
          <cell r="E65" t="str">
            <v>جیلانی پولی سٹاک</v>
          </cell>
        </row>
        <row r="66">
          <cell r="A66">
            <v>4948</v>
          </cell>
          <cell r="B66"/>
          <cell r="C66">
            <v>44869</v>
          </cell>
          <cell r="D66" t="str">
            <v>یونس صاحب</v>
          </cell>
          <cell r="E66" t="str">
            <v>جیلانی پولی سٹاک</v>
          </cell>
        </row>
        <row r="67">
          <cell r="A67">
            <v>4949</v>
          </cell>
          <cell r="B67"/>
          <cell r="C67">
            <v>44869</v>
          </cell>
          <cell r="D67" t="str">
            <v>یونس صاحب</v>
          </cell>
          <cell r="E67" t="str">
            <v>جیلانی پولی سٹاک</v>
          </cell>
        </row>
        <row r="68">
          <cell r="A68">
            <v>4950</v>
          </cell>
          <cell r="B68"/>
          <cell r="C68">
            <v>44869</v>
          </cell>
          <cell r="D68" t="str">
            <v>یونس صاحب</v>
          </cell>
          <cell r="E68" t="str">
            <v>جیلانی پولی سٹاک</v>
          </cell>
        </row>
        <row r="69">
          <cell r="A69">
            <v>4951</v>
          </cell>
          <cell r="B69"/>
          <cell r="C69">
            <v>44869</v>
          </cell>
          <cell r="D69" t="str">
            <v>یونس صاحب</v>
          </cell>
          <cell r="E69" t="str">
            <v>جیلانی پولی سٹاک</v>
          </cell>
        </row>
        <row r="70">
          <cell r="A70">
            <v>4952</v>
          </cell>
          <cell r="B70"/>
          <cell r="C70">
            <v>44869</v>
          </cell>
          <cell r="D70" t="str">
            <v>یونس صاحب</v>
          </cell>
          <cell r="E70" t="str">
            <v>جیلانی پولی سٹاک</v>
          </cell>
        </row>
        <row r="71">
          <cell r="A71">
            <v>4953</v>
          </cell>
          <cell r="B71"/>
          <cell r="C71">
            <v>44869</v>
          </cell>
          <cell r="D71" t="str">
            <v>یونس صاحب</v>
          </cell>
          <cell r="E71" t="str">
            <v>جیلانی پولی سٹاک</v>
          </cell>
        </row>
        <row r="72">
          <cell r="A72">
            <v>4954</v>
          </cell>
          <cell r="B72"/>
          <cell r="C72">
            <v>44869</v>
          </cell>
          <cell r="D72" t="str">
            <v>یونس صاحب</v>
          </cell>
          <cell r="E72" t="str">
            <v>جیلانی پولی سٹاک</v>
          </cell>
        </row>
        <row r="73">
          <cell r="A73">
            <v>4955</v>
          </cell>
          <cell r="B73"/>
          <cell r="C73">
            <v>44869</v>
          </cell>
          <cell r="D73" t="str">
            <v>یونس صاحب</v>
          </cell>
          <cell r="E73" t="str">
            <v>جیلانی پولی سٹاک</v>
          </cell>
        </row>
        <row r="74">
          <cell r="A74">
            <v>4956</v>
          </cell>
          <cell r="B74"/>
          <cell r="C74">
            <v>44869</v>
          </cell>
          <cell r="D74" t="str">
            <v>یونس صاحب</v>
          </cell>
          <cell r="E74" t="str">
            <v>جیلانی پولی سٹاک</v>
          </cell>
        </row>
        <row r="75">
          <cell r="A75">
            <v>4957</v>
          </cell>
          <cell r="B75"/>
          <cell r="C75">
            <v>44869</v>
          </cell>
          <cell r="D75" t="str">
            <v>یونس صاحب</v>
          </cell>
          <cell r="E75" t="str">
            <v>جیلانی پولی سٹاک</v>
          </cell>
        </row>
        <row r="76">
          <cell r="A76">
            <v>4958</v>
          </cell>
          <cell r="B76"/>
          <cell r="C76">
            <v>44869</v>
          </cell>
          <cell r="D76" t="str">
            <v>یونس صاحب</v>
          </cell>
          <cell r="E76" t="str">
            <v>جیلانی پولی سٹاک</v>
          </cell>
        </row>
        <row r="77">
          <cell r="A77">
            <v>4959</v>
          </cell>
          <cell r="B77"/>
          <cell r="C77">
            <v>44869</v>
          </cell>
          <cell r="D77" t="str">
            <v>یونس صاحب</v>
          </cell>
          <cell r="E77" t="str">
            <v>جیلانی پولی سٹاک</v>
          </cell>
        </row>
        <row r="78">
          <cell r="A78">
            <v>4960</v>
          </cell>
          <cell r="B78"/>
          <cell r="C78">
            <v>44869</v>
          </cell>
          <cell r="D78" t="str">
            <v>یونس صاحب</v>
          </cell>
          <cell r="E78" t="str">
            <v>جیلانی پولی سٹاک</v>
          </cell>
        </row>
        <row r="79">
          <cell r="A79">
            <v>4961</v>
          </cell>
          <cell r="B79"/>
          <cell r="C79">
            <v>44869</v>
          </cell>
          <cell r="D79" t="str">
            <v>یونس صاحب</v>
          </cell>
          <cell r="E79" t="str">
            <v>جیلانی پولی سٹاک</v>
          </cell>
        </row>
        <row r="80">
          <cell r="A80">
            <v>4962</v>
          </cell>
          <cell r="B80"/>
          <cell r="C80">
            <v>44869</v>
          </cell>
          <cell r="D80" t="str">
            <v>یونس صاحب</v>
          </cell>
          <cell r="E80" t="str">
            <v>جیلانی پولی سٹاک</v>
          </cell>
        </row>
        <row r="81">
          <cell r="A81">
            <v>4963</v>
          </cell>
          <cell r="B81"/>
          <cell r="C81">
            <v>44869</v>
          </cell>
          <cell r="D81" t="str">
            <v>یونس صاحب</v>
          </cell>
          <cell r="E81" t="str">
            <v>جیلانی پولی سٹاک</v>
          </cell>
        </row>
        <row r="82">
          <cell r="A82">
            <v>4964</v>
          </cell>
          <cell r="B82"/>
          <cell r="C82">
            <v>44869</v>
          </cell>
          <cell r="D82" t="str">
            <v>یونس صاحب</v>
          </cell>
          <cell r="E82" t="str">
            <v>جیلانی پولی سٹاک</v>
          </cell>
        </row>
        <row r="83">
          <cell r="A83">
            <v>4965</v>
          </cell>
          <cell r="B83"/>
          <cell r="C83">
            <v>44869</v>
          </cell>
          <cell r="D83" t="str">
            <v>یونس صاحب</v>
          </cell>
          <cell r="E83" t="str">
            <v>جیلانی پولی سٹاک</v>
          </cell>
        </row>
        <row r="84">
          <cell r="A84">
            <v>4966</v>
          </cell>
          <cell r="B84"/>
          <cell r="C84">
            <v>44869</v>
          </cell>
          <cell r="D84" t="str">
            <v>یونس صاحب</v>
          </cell>
          <cell r="E84" t="str">
            <v>جیلانی پولی سٹاک</v>
          </cell>
        </row>
        <row r="85">
          <cell r="A85">
            <v>4967</v>
          </cell>
          <cell r="B85"/>
          <cell r="C85">
            <v>44869</v>
          </cell>
          <cell r="D85" t="str">
            <v>یونس صاحب</v>
          </cell>
          <cell r="E85" t="str">
            <v>جیلانی پولی سٹاک</v>
          </cell>
        </row>
        <row r="86">
          <cell r="A86">
            <v>4968</v>
          </cell>
          <cell r="B86"/>
          <cell r="C86">
            <v>44869</v>
          </cell>
          <cell r="D86" t="str">
            <v>یونس صاحب</v>
          </cell>
          <cell r="E86" t="str">
            <v>جیلانی پولی سٹاک</v>
          </cell>
        </row>
        <row r="87">
          <cell r="A87">
            <v>4969</v>
          </cell>
          <cell r="B87"/>
          <cell r="C87">
            <v>44869</v>
          </cell>
          <cell r="D87" t="str">
            <v>یونس صاحب</v>
          </cell>
          <cell r="E87" t="str">
            <v>جیلانی پولی سٹاک</v>
          </cell>
        </row>
        <row r="88">
          <cell r="A88">
            <v>4970</v>
          </cell>
          <cell r="B88"/>
          <cell r="C88">
            <v>44869</v>
          </cell>
          <cell r="D88" t="str">
            <v>یونس صاحب</v>
          </cell>
          <cell r="E88" t="str">
            <v>جیلانی پولی سٹاک</v>
          </cell>
        </row>
        <row r="89">
          <cell r="A89">
            <v>4971</v>
          </cell>
          <cell r="B89"/>
          <cell r="C89">
            <v>44869</v>
          </cell>
          <cell r="D89" t="str">
            <v>یونس صاحب</v>
          </cell>
          <cell r="E89" t="str">
            <v>جیلانی پولی سٹاک</v>
          </cell>
        </row>
        <row r="90">
          <cell r="A90">
            <v>4972</v>
          </cell>
          <cell r="B90"/>
          <cell r="C90">
            <v>44869</v>
          </cell>
          <cell r="D90" t="str">
            <v>یونس صاحب</v>
          </cell>
          <cell r="E90" t="str">
            <v>جیلانی پولی سٹاک</v>
          </cell>
        </row>
        <row r="91">
          <cell r="A91">
            <v>4973</v>
          </cell>
          <cell r="B91"/>
          <cell r="C91">
            <v>44869</v>
          </cell>
          <cell r="D91" t="str">
            <v>یونس صاحب</v>
          </cell>
          <cell r="E91" t="str">
            <v>جیلانی پولی سٹاک</v>
          </cell>
        </row>
        <row r="92">
          <cell r="A92">
            <v>4974</v>
          </cell>
          <cell r="B92"/>
          <cell r="C92">
            <v>44869</v>
          </cell>
          <cell r="D92" t="str">
            <v>یونس صاحب</v>
          </cell>
          <cell r="E92" t="str">
            <v>جیلانی پولی سٹاک</v>
          </cell>
        </row>
        <row r="93">
          <cell r="A93">
            <v>4975</v>
          </cell>
          <cell r="B93"/>
          <cell r="C93">
            <v>44869</v>
          </cell>
          <cell r="D93" t="str">
            <v>یونس صاحب</v>
          </cell>
          <cell r="E93" t="str">
            <v>جیلانی پولی سٹاک</v>
          </cell>
        </row>
        <row r="94">
          <cell r="A94">
            <v>4976</v>
          </cell>
          <cell r="B94"/>
          <cell r="C94">
            <v>44869</v>
          </cell>
          <cell r="D94" t="str">
            <v>یونس صاحب</v>
          </cell>
          <cell r="E94" t="str">
            <v>جیلانی پولی سٹاک</v>
          </cell>
        </row>
        <row r="95">
          <cell r="A95">
            <v>4977</v>
          </cell>
          <cell r="B95"/>
          <cell r="C95">
            <v>44869</v>
          </cell>
          <cell r="D95" t="str">
            <v>یونس صاحب</v>
          </cell>
          <cell r="E95" t="str">
            <v>جیلانی پولی سٹاک</v>
          </cell>
        </row>
        <row r="96">
          <cell r="A96">
            <v>4978</v>
          </cell>
          <cell r="B96"/>
          <cell r="C96">
            <v>44869</v>
          </cell>
          <cell r="D96" t="str">
            <v>یونس صاحب</v>
          </cell>
          <cell r="E96" t="str">
            <v>جیلانی پولی سٹاک</v>
          </cell>
        </row>
        <row r="97">
          <cell r="A97">
            <v>4979</v>
          </cell>
          <cell r="B97"/>
          <cell r="C97">
            <v>44869</v>
          </cell>
          <cell r="D97" t="str">
            <v>یونس صاحب</v>
          </cell>
          <cell r="E97" t="str">
            <v>جیلانی پولی سٹاک</v>
          </cell>
        </row>
        <row r="98">
          <cell r="A98">
            <v>4980</v>
          </cell>
          <cell r="B98"/>
          <cell r="C98">
            <v>44869</v>
          </cell>
          <cell r="D98" t="str">
            <v>یونس صاحب</v>
          </cell>
          <cell r="E98" t="str">
            <v>جیلانی پولی سٹاک</v>
          </cell>
        </row>
        <row r="99">
          <cell r="A99">
            <v>4981</v>
          </cell>
          <cell r="B99"/>
          <cell r="C99">
            <v>44869</v>
          </cell>
          <cell r="D99" t="str">
            <v>یونس صاحب</v>
          </cell>
          <cell r="E99" t="str">
            <v>جیلانی پولی سٹاک</v>
          </cell>
        </row>
        <row r="100">
          <cell r="A100">
            <v>4982</v>
          </cell>
          <cell r="B100"/>
          <cell r="C100">
            <v>44869</v>
          </cell>
          <cell r="D100" t="str">
            <v>یونس صاحب</v>
          </cell>
          <cell r="E100" t="str">
            <v>جیلانی پولی سٹاک</v>
          </cell>
        </row>
        <row r="101">
          <cell r="A101">
            <v>4983</v>
          </cell>
          <cell r="B101"/>
          <cell r="C101">
            <v>44869</v>
          </cell>
          <cell r="D101" t="str">
            <v>یونس صاحب</v>
          </cell>
          <cell r="E101" t="str">
            <v>جیلانی پولی سٹاک</v>
          </cell>
        </row>
        <row r="102">
          <cell r="A102">
            <v>4984</v>
          </cell>
          <cell r="B102"/>
          <cell r="C102">
            <v>44869</v>
          </cell>
          <cell r="D102" t="str">
            <v>یونس صاحب</v>
          </cell>
          <cell r="E102" t="str">
            <v>جیلانی پولی سٹاک</v>
          </cell>
        </row>
        <row r="103">
          <cell r="A103">
            <v>4985</v>
          </cell>
          <cell r="B103"/>
          <cell r="C103">
            <v>44869</v>
          </cell>
          <cell r="D103" t="str">
            <v>یونس صاحب</v>
          </cell>
          <cell r="E103" t="str">
            <v>جیلانی پولی سٹاک</v>
          </cell>
        </row>
        <row r="104">
          <cell r="A104">
            <v>4986</v>
          </cell>
          <cell r="B104"/>
          <cell r="C104">
            <v>44869</v>
          </cell>
          <cell r="D104" t="str">
            <v>یونس صاحب</v>
          </cell>
          <cell r="E104" t="str">
            <v>جیلانی پولی سٹاک</v>
          </cell>
        </row>
        <row r="105">
          <cell r="A105">
            <v>4987</v>
          </cell>
          <cell r="B105"/>
          <cell r="C105">
            <v>44869</v>
          </cell>
          <cell r="D105" t="str">
            <v>یونس صاحب</v>
          </cell>
          <cell r="E105" t="str">
            <v>جیلانی پولی سٹاک</v>
          </cell>
        </row>
        <row r="106">
          <cell r="A106">
            <v>4988</v>
          </cell>
          <cell r="B106"/>
          <cell r="C106">
            <v>44869</v>
          </cell>
          <cell r="D106" t="str">
            <v>یونس صاحب</v>
          </cell>
          <cell r="E106" t="str">
            <v>جیلانی پولی سٹاک</v>
          </cell>
        </row>
        <row r="107">
          <cell r="A107">
            <v>4989</v>
          </cell>
          <cell r="B107"/>
          <cell r="C107">
            <v>44869</v>
          </cell>
          <cell r="D107" t="str">
            <v>یونس صاحب</v>
          </cell>
          <cell r="E107" t="str">
            <v>جیلانی پولی سٹاک</v>
          </cell>
        </row>
        <row r="108">
          <cell r="A108">
            <v>4990</v>
          </cell>
          <cell r="B108"/>
          <cell r="C108">
            <v>44869</v>
          </cell>
          <cell r="D108" t="str">
            <v>یونس صاحب</v>
          </cell>
          <cell r="E108" t="str">
            <v>جیلانی پولی سٹاک</v>
          </cell>
        </row>
        <row r="109">
          <cell r="A109">
            <v>4991</v>
          </cell>
          <cell r="B109"/>
          <cell r="C109">
            <v>44869</v>
          </cell>
          <cell r="D109" t="str">
            <v>یونس صاحب</v>
          </cell>
          <cell r="E109" t="str">
            <v>جیلانی پولی سٹاک</v>
          </cell>
        </row>
        <row r="110">
          <cell r="A110">
            <v>4992</v>
          </cell>
          <cell r="B110"/>
          <cell r="C110">
            <v>44869</v>
          </cell>
          <cell r="D110" t="str">
            <v>یونس صاحب</v>
          </cell>
          <cell r="E110" t="str">
            <v>جیلانی پولی سٹاک</v>
          </cell>
        </row>
        <row r="111">
          <cell r="A111">
            <v>4993</v>
          </cell>
          <cell r="B111"/>
          <cell r="C111">
            <v>44869</v>
          </cell>
          <cell r="D111" t="str">
            <v>یونس صاحب</v>
          </cell>
          <cell r="E111" t="str">
            <v>جیلانی پولی سٹاک</v>
          </cell>
        </row>
        <row r="112">
          <cell r="A112">
            <v>4994</v>
          </cell>
          <cell r="B112"/>
          <cell r="C112">
            <v>44869</v>
          </cell>
          <cell r="D112" t="str">
            <v>یونس صاحب</v>
          </cell>
          <cell r="E112" t="str">
            <v>جیلانی پولی سٹاک</v>
          </cell>
        </row>
        <row r="113">
          <cell r="A113">
            <v>4995</v>
          </cell>
          <cell r="B113"/>
          <cell r="C113">
            <v>44869</v>
          </cell>
          <cell r="D113" t="str">
            <v>یونس صاحب</v>
          </cell>
          <cell r="E113" t="str">
            <v>جیلانی پولی سٹاک</v>
          </cell>
        </row>
        <row r="114">
          <cell r="A114">
            <v>4996</v>
          </cell>
          <cell r="B114"/>
          <cell r="C114">
            <v>44869</v>
          </cell>
          <cell r="D114" t="str">
            <v>یونس صاحب</v>
          </cell>
          <cell r="E114" t="str">
            <v>جیلانی پولی سٹاک</v>
          </cell>
        </row>
        <row r="115">
          <cell r="A115">
            <v>4997</v>
          </cell>
          <cell r="B115"/>
          <cell r="C115">
            <v>44869</v>
          </cell>
          <cell r="D115" t="str">
            <v>یونس صاحب</v>
          </cell>
          <cell r="E115" t="str">
            <v>جیلانی پولی سٹاک</v>
          </cell>
        </row>
        <row r="116">
          <cell r="A116">
            <v>4998</v>
          </cell>
          <cell r="B116"/>
          <cell r="C116">
            <v>44869</v>
          </cell>
          <cell r="D116" t="str">
            <v>یونس صاحب</v>
          </cell>
          <cell r="E116" t="str">
            <v>جیلانی پولی سٹاک</v>
          </cell>
        </row>
        <row r="117">
          <cell r="A117">
            <v>4999</v>
          </cell>
          <cell r="B117"/>
          <cell r="C117">
            <v>44869</v>
          </cell>
          <cell r="D117" t="str">
            <v>یونس صاحب</v>
          </cell>
          <cell r="E117" t="str">
            <v>جیلانی پولی سٹاک</v>
          </cell>
        </row>
        <row r="118">
          <cell r="A118">
            <v>5000</v>
          </cell>
          <cell r="B118"/>
          <cell r="C118">
            <v>44869</v>
          </cell>
          <cell r="D118" t="str">
            <v>یونس صاحب</v>
          </cell>
          <cell r="E118" t="str">
            <v>جیلانی پولی سٹاک</v>
          </cell>
        </row>
        <row r="119">
          <cell r="A119">
            <v>5001</v>
          </cell>
          <cell r="B119"/>
          <cell r="C119">
            <v>44869</v>
          </cell>
          <cell r="D119" t="str">
            <v>یونس صاحب</v>
          </cell>
          <cell r="E119" t="str">
            <v>جیلانی پولی سٹاک</v>
          </cell>
        </row>
        <row r="120">
          <cell r="A120">
            <v>5002</v>
          </cell>
          <cell r="B120"/>
          <cell r="C120">
            <v>44869</v>
          </cell>
          <cell r="D120" t="str">
            <v>یونس صاحب</v>
          </cell>
          <cell r="E120" t="str">
            <v>جیلانی پولی سٹاک</v>
          </cell>
        </row>
        <row r="121">
          <cell r="A121">
            <v>5003</v>
          </cell>
          <cell r="B121"/>
          <cell r="C121">
            <v>44869</v>
          </cell>
          <cell r="D121" t="str">
            <v>یونس صاحب</v>
          </cell>
          <cell r="E121" t="str">
            <v>جیلانی پولی سٹاک</v>
          </cell>
        </row>
        <row r="122">
          <cell r="A122">
            <v>5004</v>
          </cell>
          <cell r="B122"/>
          <cell r="C122">
            <v>44869</v>
          </cell>
          <cell r="D122" t="str">
            <v>یونس صاحب</v>
          </cell>
          <cell r="E122" t="str">
            <v>جیلانی پولی سٹاک</v>
          </cell>
        </row>
        <row r="123">
          <cell r="A123">
            <v>5005</v>
          </cell>
          <cell r="B123"/>
          <cell r="C123">
            <v>44869</v>
          </cell>
          <cell r="D123" t="str">
            <v>یونس صاحب</v>
          </cell>
          <cell r="E123" t="str">
            <v>جیلانی پولی سٹاک</v>
          </cell>
        </row>
        <row r="124">
          <cell r="A124">
            <v>5006</v>
          </cell>
          <cell r="B124"/>
          <cell r="C124">
            <v>44869</v>
          </cell>
          <cell r="D124" t="str">
            <v>یونس صاحب</v>
          </cell>
          <cell r="E124" t="str">
            <v>جیلانی پولی سٹاک</v>
          </cell>
        </row>
        <row r="125">
          <cell r="A125">
            <v>5007</v>
          </cell>
          <cell r="B125"/>
          <cell r="C125">
            <v>44869</v>
          </cell>
          <cell r="D125" t="str">
            <v>یونس صاحب</v>
          </cell>
          <cell r="E125" t="str">
            <v>جیلانی پولی سٹاک</v>
          </cell>
        </row>
        <row r="126">
          <cell r="A126">
            <v>5008</v>
          </cell>
          <cell r="B126"/>
          <cell r="C126">
            <v>44869</v>
          </cell>
          <cell r="D126" t="str">
            <v>یونس صاحب</v>
          </cell>
          <cell r="E126" t="str">
            <v>جیلانی پولی سٹاک</v>
          </cell>
        </row>
        <row r="127">
          <cell r="A127">
            <v>5009</v>
          </cell>
          <cell r="B127"/>
          <cell r="C127">
            <v>44869</v>
          </cell>
          <cell r="D127" t="str">
            <v>یونس صاحب</v>
          </cell>
          <cell r="E127" t="str">
            <v>جیلانی پولی سٹاک</v>
          </cell>
        </row>
        <row r="128">
          <cell r="A128">
            <v>5010</v>
          </cell>
          <cell r="B128"/>
          <cell r="C128">
            <v>44869</v>
          </cell>
          <cell r="D128" t="str">
            <v>یونس صاحب</v>
          </cell>
          <cell r="E128" t="str">
            <v>جیلانی پولی سٹاک</v>
          </cell>
        </row>
        <row r="129">
          <cell r="A129">
            <v>5011</v>
          </cell>
          <cell r="B129"/>
          <cell r="C129">
            <v>44869</v>
          </cell>
          <cell r="D129" t="str">
            <v>یونس صاحب</v>
          </cell>
          <cell r="E129" t="str">
            <v>جیلانی پولی سٹاک</v>
          </cell>
        </row>
        <row r="130">
          <cell r="A130">
            <v>5012</v>
          </cell>
          <cell r="B130"/>
          <cell r="C130">
            <v>44869</v>
          </cell>
          <cell r="D130" t="str">
            <v>یونس صاحب</v>
          </cell>
          <cell r="E130" t="str">
            <v>جیلانی پولی سٹاک</v>
          </cell>
        </row>
        <row r="131">
          <cell r="A131">
            <v>5013</v>
          </cell>
          <cell r="B131"/>
          <cell r="C131">
            <v>44869</v>
          </cell>
          <cell r="D131" t="str">
            <v>یونس صاحب</v>
          </cell>
          <cell r="E131" t="str">
            <v>جیلانی پولی سٹاک</v>
          </cell>
        </row>
        <row r="132">
          <cell r="A132">
            <v>5014</v>
          </cell>
          <cell r="B132"/>
          <cell r="C132">
            <v>44869</v>
          </cell>
          <cell r="D132" t="str">
            <v>یونس صاحب</v>
          </cell>
          <cell r="E132" t="str">
            <v>جیلانی پولی سٹاک</v>
          </cell>
        </row>
        <row r="133">
          <cell r="A133">
            <v>5015</v>
          </cell>
          <cell r="B133"/>
          <cell r="C133">
            <v>44869</v>
          </cell>
          <cell r="D133" t="str">
            <v>یونس صاحب</v>
          </cell>
          <cell r="E133" t="str">
            <v>جیلانی پولی سٹاک</v>
          </cell>
        </row>
        <row r="134">
          <cell r="A134">
            <v>5016</v>
          </cell>
          <cell r="B134"/>
          <cell r="C134">
            <v>44869</v>
          </cell>
          <cell r="D134" t="str">
            <v>یونس صاحب</v>
          </cell>
          <cell r="E134" t="str">
            <v>جیلانی پولی سٹاک</v>
          </cell>
        </row>
        <row r="135">
          <cell r="A135">
            <v>5017</v>
          </cell>
          <cell r="B135"/>
          <cell r="C135">
            <v>44869</v>
          </cell>
          <cell r="D135" t="str">
            <v>یونس صاحب</v>
          </cell>
          <cell r="E135" t="str">
            <v>جیلانی پولی سٹاک</v>
          </cell>
        </row>
        <row r="136">
          <cell r="A136">
            <v>5018</v>
          </cell>
          <cell r="B136"/>
          <cell r="C136">
            <v>44869</v>
          </cell>
          <cell r="D136" t="str">
            <v>یونس صاحب</v>
          </cell>
          <cell r="E136" t="str">
            <v>جیلانی پولی سٹاک</v>
          </cell>
        </row>
        <row r="137">
          <cell r="A137">
            <v>5019</v>
          </cell>
          <cell r="B137"/>
          <cell r="C137">
            <v>44869</v>
          </cell>
          <cell r="D137" t="str">
            <v>یونس صاحب</v>
          </cell>
          <cell r="E137" t="str">
            <v>جیلانی پولی سٹاک</v>
          </cell>
        </row>
        <row r="138">
          <cell r="A138">
            <v>5020</v>
          </cell>
          <cell r="B138"/>
          <cell r="C138">
            <v>44869</v>
          </cell>
          <cell r="D138" t="str">
            <v>یونس صاحب</v>
          </cell>
          <cell r="E138" t="str">
            <v>جیلانی پولی سٹاک</v>
          </cell>
        </row>
        <row r="139">
          <cell r="A139">
            <v>5021</v>
          </cell>
          <cell r="B139"/>
          <cell r="C139">
            <v>44869</v>
          </cell>
          <cell r="D139" t="str">
            <v>یونس صاحب</v>
          </cell>
          <cell r="E139" t="str">
            <v>جیلانی پولی سٹاک</v>
          </cell>
        </row>
        <row r="140">
          <cell r="A140">
            <v>5022</v>
          </cell>
          <cell r="B140"/>
          <cell r="C140">
            <v>44869</v>
          </cell>
          <cell r="D140" t="str">
            <v>یونس صاحب</v>
          </cell>
          <cell r="E140" t="str">
            <v>جیلانی پولی سٹاک</v>
          </cell>
        </row>
        <row r="141">
          <cell r="A141">
            <v>5023</v>
          </cell>
          <cell r="B141"/>
          <cell r="C141">
            <v>44869</v>
          </cell>
          <cell r="D141" t="str">
            <v>یونس صاحب</v>
          </cell>
          <cell r="E141" t="str">
            <v>جیلانی پولی سٹاک</v>
          </cell>
        </row>
        <row r="142">
          <cell r="A142">
            <v>5024</v>
          </cell>
          <cell r="B142"/>
          <cell r="C142">
            <v>44869</v>
          </cell>
          <cell r="D142" t="str">
            <v>یونس صاحب</v>
          </cell>
          <cell r="E142" t="str">
            <v>جیلانی پولی سٹاک</v>
          </cell>
        </row>
        <row r="143">
          <cell r="A143">
            <v>5025</v>
          </cell>
          <cell r="B143"/>
          <cell r="C143">
            <v>44869</v>
          </cell>
          <cell r="D143" t="str">
            <v>یونس صاحب</v>
          </cell>
          <cell r="E143" t="str">
            <v>جیلانی پولی سٹاک</v>
          </cell>
        </row>
        <row r="144">
          <cell r="A144">
            <v>5026</v>
          </cell>
          <cell r="B144"/>
          <cell r="C144">
            <v>44869</v>
          </cell>
          <cell r="D144" t="str">
            <v>یونس صاحب</v>
          </cell>
          <cell r="E144" t="str">
            <v>جیلانی پولی سٹاک</v>
          </cell>
        </row>
        <row r="145">
          <cell r="A145">
            <v>5027</v>
          </cell>
          <cell r="B145"/>
          <cell r="C145">
            <v>44869</v>
          </cell>
          <cell r="D145" t="str">
            <v>یونس صاحب</v>
          </cell>
          <cell r="E145" t="str">
            <v>جیلانی پولی سٹاک</v>
          </cell>
        </row>
        <row r="146">
          <cell r="A146">
            <v>5028</v>
          </cell>
          <cell r="B146"/>
          <cell r="C146">
            <v>44869</v>
          </cell>
          <cell r="D146" t="str">
            <v>یونس صاحب</v>
          </cell>
          <cell r="E146" t="str">
            <v>جیلانی پولی سٹاک</v>
          </cell>
        </row>
        <row r="147">
          <cell r="A147">
            <v>5029</v>
          </cell>
          <cell r="B147"/>
          <cell r="C147">
            <v>44869</v>
          </cell>
          <cell r="D147" t="str">
            <v>یونس صاحب</v>
          </cell>
          <cell r="E147" t="str">
            <v>جیلانی پولی سٹاک</v>
          </cell>
        </row>
        <row r="148">
          <cell r="A148">
            <v>5030</v>
          </cell>
          <cell r="B148"/>
          <cell r="C148">
            <v>44869</v>
          </cell>
          <cell r="D148" t="str">
            <v>یونس صاحب</v>
          </cell>
          <cell r="E148" t="str">
            <v>جیلانی پولی سٹاک</v>
          </cell>
        </row>
        <row r="149">
          <cell r="A149">
            <v>5031</v>
          </cell>
          <cell r="B149"/>
          <cell r="C149">
            <v>44869</v>
          </cell>
          <cell r="D149" t="str">
            <v>یونس صاحب</v>
          </cell>
          <cell r="E149" t="str">
            <v>جیلانی پولی سٹاک</v>
          </cell>
        </row>
        <row r="150">
          <cell r="A150">
            <v>5032</v>
          </cell>
          <cell r="B150"/>
          <cell r="C150">
            <v>44869</v>
          </cell>
          <cell r="D150" t="str">
            <v>یونس صاحب</v>
          </cell>
          <cell r="E150" t="str">
            <v>جیلانی پولی سٹاک</v>
          </cell>
        </row>
        <row r="151">
          <cell r="A151">
            <v>5033</v>
          </cell>
          <cell r="B151"/>
          <cell r="C151">
            <v>44869</v>
          </cell>
          <cell r="D151" t="str">
            <v>یونس صاحب</v>
          </cell>
          <cell r="E151" t="str">
            <v>جیلانی پولی سٹاک</v>
          </cell>
        </row>
        <row r="152">
          <cell r="A152">
            <v>5034</v>
          </cell>
          <cell r="B152"/>
          <cell r="C152">
            <v>44869</v>
          </cell>
          <cell r="D152" t="str">
            <v>یونس صاحب</v>
          </cell>
          <cell r="E152" t="str">
            <v>جیلانی پولی سٹاک</v>
          </cell>
        </row>
        <row r="153">
          <cell r="A153">
            <v>5035</v>
          </cell>
          <cell r="B153"/>
          <cell r="C153">
            <v>44869</v>
          </cell>
          <cell r="D153" t="str">
            <v>یونس صاحب</v>
          </cell>
          <cell r="E153" t="str">
            <v>جیلانی پولی سٹاک</v>
          </cell>
        </row>
        <row r="154">
          <cell r="A154">
            <v>5036</v>
          </cell>
          <cell r="B154"/>
          <cell r="C154">
            <v>44869</v>
          </cell>
          <cell r="D154" t="str">
            <v>یونس صاحب</v>
          </cell>
          <cell r="E154" t="str">
            <v>جیلانی پولی سٹاک</v>
          </cell>
        </row>
        <row r="155">
          <cell r="A155">
            <v>5037</v>
          </cell>
          <cell r="B155"/>
          <cell r="C155">
            <v>44869</v>
          </cell>
          <cell r="D155" t="str">
            <v>یونس صاحب</v>
          </cell>
          <cell r="E155" t="str">
            <v>جیلانی پولی سٹاک</v>
          </cell>
        </row>
        <row r="156">
          <cell r="A156">
            <v>5038</v>
          </cell>
          <cell r="B156"/>
          <cell r="C156">
            <v>44869</v>
          </cell>
          <cell r="D156" t="str">
            <v>یونس صاحب</v>
          </cell>
          <cell r="E156" t="str">
            <v>جیلانی پولی سٹاک</v>
          </cell>
        </row>
        <row r="157">
          <cell r="A157">
            <v>5039</v>
          </cell>
          <cell r="B157"/>
          <cell r="C157">
            <v>44869</v>
          </cell>
          <cell r="D157" t="str">
            <v>یونس صاحب</v>
          </cell>
          <cell r="E157" t="str">
            <v>جیلانی پولی سٹاک</v>
          </cell>
        </row>
        <row r="158">
          <cell r="A158">
            <v>5040</v>
          </cell>
          <cell r="B158"/>
          <cell r="C158">
            <v>44869</v>
          </cell>
          <cell r="D158" t="str">
            <v>یونس صاحب</v>
          </cell>
          <cell r="E158" t="str">
            <v>جیلانی پولی سٹاک</v>
          </cell>
        </row>
        <row r="159">
          <cell r="A159">
            <v>5041</v>
          </cell>
          <cell r="B159"/>
          <cell r="C159">
            <v>44869</v>
          </cell>
          <cell r="D159" t="str">
            <v>یونس صاحب</v>
          </cell>
          <cell r="E159" t="str">
            <v>جیلانی پولی سٹاک</v>
          </cell>
        </row>
        <row r="160">
          <cell r="A160">
            <v>5042</v>
          </cell>
          <cell r="B160"/>
          <cell r="C160">
            <v>44869</v>
          </cell>
          <cell r="D160" t="str">
            <v>یونس صاحب</v>
          </cell>
          <cell r="E160" t="str">
            <v>جیلانی پولی سٹاک</v>
          </cell>
        </row>
        <row r="161">
          <cell r="A161">
            <v>5043</v>
          </cell>
          <cell r="B161"/>
          <cell r="C161">
            <v>44869</v>
          </cell>
          <cell r="D161" t="str">
            <v>یونس صاحب</v>
          </cell>
          <cell r="E161" t="str">
            <v>جیلانی پولی سٹاک</v>
          </cell>
        </row>
        <row r="162">
          <cell r="A162">
            <v>5044</v>
          </cell>
          <cell r="B162"/>
          <cell r="C162">
            <v>44869</v>
          </cell>
          <cell r="D162" t="str">
            <v>یونس صاحب</v>
          </cell>
          <cell r="E162" t="str">
            <v>جیلانی پولی سٹاک</v>
          </cell>
        </row>
        <row r="163">
          <cell r="A163">
            <v>5045</v>
          </cell>
          <cell r="B163"/>
          <cell r="C163">
            <v>44869</v>
          </cell>
          <cell r="D163" t="str">
            <v>یونس صاحب</v>
          </cell>
          <cell r="E163" t="str">
            <v>جیلانی پولی سٹاک</v>
          </cell>
        </row>
        <row r="164">
          <cell r="A164">
            <v>5046</v>
          </cell>
          <cell r="B164"/>
          <cell r="C164">
            <v>44869</v>
          </cell>
          <cell r="D164" t="str">
            <v>یونس صاحب</v>
          </cell>
          <cell r="E164" t="str">
            <v>جیلانی پولی سٹاک</v>
          </cell>
        </row>
        <row r="165">
          <cell r="A165">
            <v>5047</v>
          </cell>
          <cell r="B165"/>
          <cell r="C165">
            <v>44869</v>
          </cell>
          <cell r="D165" t="str">
            <v>یونس صاحب</v>
          </cell>
          <cell r="E165" t="str">
            <v>جیلانی پولی سٹاک</v>
          </cell>
        </row>
        <row r="166">
          <cell r="A166">
            <v>5048</v>
          </cell>
          <cell r="B166"/>
          <cell r="C166">
            <v>44869</v>
          </cell>
          <cell r="D166" t="str">
            <v>یونس صاحب</v>
          </cell>
          <cell r="E166" t="str">
            <v>جیلانی پولی سٹاک</v>
          </cell>
        </row>
        <row r="167">
          <cell r="A167">
            <v>5049</v>
          </cell>
          <cell r="B167"/>
          <cell r="C167">
            <v>44869</v>
          </cell>
          <cell r="D167" t="str">
            <v>یونس صاحب</v>
          </cell>
          <cell r="E167" t="str">
            <v>جیلانی پولی سٹاک</v>
          </cell>
        </row>
        <row r="168">
          <cell r="A168">
            <v>5050</v>
          </cell>
          <cell r="B168"/>
          <cell r="C168">
            <v>44869</v>
          </cell>
          <cell r="D168" t="str">
            <v>یونس صاحب</v>
          </cell>
          <cell r="E168" t="str">
            <v>جیلانی پولی سٹاک</v>
          </cell>
        </row>
        <row r="169">
          <cell r="A169">
            <v>5051</v>
          </cell>
          <cell r="B169"/>
          <cell r="C169">
            <v>44869</v>
          </cell>
          <cell r="D169" t="str">
            <v>یونس صاحب</v>
          </cell>
          <cell r="E169" t="str">
            <v>جیلانی پولی سٹاک</v>
          </cell>
        </row>
        <row r="170">
          <cell r="A170">
            <v>5052</v>
          </cell>
          <cell r="B170"/>
          <cell r="C170">
            <v>44869</v>
          </cell>
          <cell r="D170" t="str">
            <v>یونس صاحب</v>
          </cell>
          <cell r="E170" t="str">
            <v>جیلانی پولی سٹاک</v>
          </cell>
        </row>
        <row r="171">
          <cell r="A171">
            <v>5053</v>
          </cell>
          <cell r="B171"/>
          <cell r="C171">
            <v>44869</v>
          </cell>
          <cell r="D171" t="str">
            <v>یونس صاحب</v>
          </cell>
          <cell r="E171" t="str">
            <v>جیلانی پولی سٹاک</v>
          </cell>
        </row>
        <row r="172">
          <cell r="A172">
            <v>5054</v>
          </cell>
          <cell r="B172"/>
          <cell r="C172">
            <v>44869</v>
          </cell>
          <cell r="D172" t="str">
            <v>یونس صاحب</v>
          </cell>
          <cell r="E172" t="str">
            <v>جیلانی پولی سٹاک</v>
          </cell>
        </row>
        <row r="173">
          <cell r="A173">
            <v>5055</v>
          </cell>
          <cell r="B173"/>
          <cell r="C173">
            <v>44869</v>
          </cell>
          <cell r="D173" t="str">
            <v>یونس صاحب</v>
          </cell>
          <cell r="E173" t="str">
            <v>جیلانی پولی سٹاک</v>
          </cell>
        </row>
        <row r="174">
          <cell r="A174">
            <v>5056</v>
          </cell>
          <cell r="B174"/>
          <cell r="C174">
            <v>44869</v>
          </cell>
          <cell r="D174" t="str">
            <v>یونس صاحب</v>
          </cell>
          <cell r="E174" t="str">
            <v>جیلانی پولی سٹاک</v>
          </cell>
        </row>
        <row r="175">
          <cell r="A175">
            <v>5057</v>
          </cell>
          <cell r="B175"/>
          <cell r="C175">
            <v>44869</v>
          </cell>
          <cell r="D175" t="str">
            <v>یونس صاحب</v>
          </cell>
          <cell r="E175" t="str">
            <v>جیلانی پولی سٹاک</v>
          </cell>
        </row>
        <row r="176">
          <cell r="A176">
            <v>5058</v>
          </cell>
          <cell r="B176"/>
          <cell r="C176">
            <v>44869</v>
          </cell>
          <cell r="D176" t="str">
            <v>یونس صاحب</v>
          </cell>
          <cell r="E176" t="str">
            <v>جیلانی پولی سٹاک</v>
          </cell>
        </row>
        <row r="177">
          <cell r="A177">
            <v>5059</v>
          </cell>
          <cell r="B177"/>
          <cell r="C177">
            <v>44869</v>
          </cell>
          <cell r="D177" t="str">
            <v>یونس صاحب</v>
          </cell>
          <cell r="E177" t="str">
            <v>جیلانی پولی سٹاک</v>
          </cell>
        </row>
        <row r="178">
          <cell r="A178">
            <v>5060</v>
          </cell>
          <cell r="B178"/>
          <cell r="C178">
            <v>44869</v>
          </cell>
          <cell r="D178" t="str">
            <v>یونس صاحب</v>
          </cell>
          <cell r="E178" t="str">
            <v>جیلانی پولی سٹاک</v>
          </cell>
        </row>
        <row r="179">
          <cell r="A179">
            <v>5061</v>
          </cell>
          <cell r="B179"/>
          <cell r="C179">
            <v>44869</v>
          </cell>
          <cell r="D179" t="str">
            <v>یونس صاحب</v>
          </cell>
          <cell r="E179" t="str">
            <v>جیلانی پولی سٹاک</v>
          </cell>
        </row>
        <row r="180">
          <cell r="A180">
            <v>5062</v>
          </cell>
          <cell r="B180"/>
          <cell r="C180">
            <v>44869</v>
          </cell>
          <cell r="D180" t="str">
            <v>یونس صاحب</v>
          </cell>
          <cell r="E180" t="str">
            <v>جیلانی پولی سٹاک</v>
          </cell>
        </row>
        <row r="181">
          <cell r="A181">
            <v>5063</v>
          </cell>
          <cell r="B181"/>
          <cell r="C181">
            <v>44869</v>
          </cell>
          <cell r="D181" t="str">
            <v>یونس صاحب</v>
          </cell>
          <cell r="E181" t="str">
            <v>جیلانی پولی سٹاک</v>
          </cell>
        </row>
        <row r="182">
          <cell r="A182">
            <v>5064</v>
          </cell>
          <cell r="B182"/>
          <cell r="C182">
            <v>44869</v>
          </cell>
          <cell r="D182" t="str">
            <v>یونس صاحب</v>
          </cell>
          <cell r="E182" t="str">
            <v>جیلانی پولی سٹاک</v>
          </cell>
        </row>
        <row r="183">
          <cell r="A183">
            <v>5065</v>
          </cell>
          <cell r="B183"/>
          <cell r="C183">
            <v>44869</v>
          </cell>
          <cell r="D183" t="str">
            <v>یونس صاحب</v>
          </cell>
          <cell r="E183" t="str">
            <v>جیلانی پولی سٹاک</v>
          </cell>
        </row>
        <row r="184">
          <cell r="A184">
            <v>5066</v>
          </cell>
          <cell r="B184"/>
          <cell r="C184">
            <v>44869</v>
          </cell>
          <cell r="D184" t="str">
            <v>یونس صاحب</v>
          </cell>
          <cell r="E184" t="str">
            <v>جیلانی پولی سٹاک</v>
          </cell>
        </row>
        <row r="185">
          <cell r="A185">
            <v>5067</v>
          </cell>
          <cell r="B185"/>
          <cell r="C185">
            <v>44869</v>
          </cell>
          <cell r="D185" t="str">
            <v>یونس صاحب</v>
          </cell>
          <cell r="E185" t="str">
            <v>جیلانی پولی سٹاک</v>
          </cell>
        </row>
        <row r="186">
          <cell r="A186">
            <v>5068</v>
          </cell>
          <cell r="B186"/>
          <cell r="C186">
            <v>44869</v>
          </cell>
          <cell r="D186" t="str">
            <v>یونس صاحب</v>
          </cell>
          <cell r="E186" t="str">
            <v>جیلانی پولی سٹاک</v>
          </cell>
        </row>
        <row r="187">
          <cell r="A187">
            <v>5069</v>
          </cell>
          <cell r="B187"/>
          <cell r="C187">
            <v>44869</v>
          </cell>
          <cell r="D187" t="str">
            <v>یونس صاحب</v>
          </cell>
          <cell r="E187" t="str">
            <v>جیلانی پولی سٹاک</v>
          </cell>
        </row>
        <row r="188">
          <cell r="A188">
            <v>5070</v>
          </cell>
          <cell r="B188"/>
          <cell r="C188">
            <v>44869</v>
          </cell>
          <cell r="D188" t="str">
            <v>یونس صاحب</v>
          </cell>
          <cell r="E188" t="str">
            <v>جیلانی پولی سٹاک</v>
          </cell>
        </row>
        <row r="189">
          <cell r="A189">
            <v>5071</v>
          </cell>
          <cell r="B189"/>
          <cell r="C189">
            <v>44869</v>
          </cell>
          <cell r="D189" t="str">
            <v>یونس صاحب</v>
          </cell>
          <cell r="E189" t="str">
            <v>جیلانی پولی سٹاک</v>
          </cell>
        </row>
        <row r="190">
          <cell r="A190">
            <v>5072</v>
          </cell>
          <cell r="B190"/>
          <cell r="C190">
            <v>44869</v>
          </cell>
          <cell r="D190" t="str">
            <v>یونس صاحب</v>
          </cell>
          <cell r="E190" t="str">
            <v>جیلانی پولی سٹاک</v>
          </cell>
        </row>
        <row r="191">
          <cell r="A191">
            <v>5073</v>
          </cell>
          <cell r="B191"/>
          <cell r="C191">
            <v>44869</v>
          </cell>
          <cell r="D191" t="str">
            <v>یونس صاحب</v>
          </cell>
          <cell r="E191" t="str">
            <v>جیلانی پولی سٹاک</v>
          </cell>
        </row>
        <row r="192">
          <cell r="A192">
            <v>5074</v>
          </cell>
          <cell r="B192"/>
          <cell r="C192">
            <v>44869</v>
          </cell>
          <cell r="D192" t="str">
            <v>یونس صاحب</v>
          </cell>
          <cell r="E192" t="str">
            <v>جیلانی پولی سٹاک</v>
          </cell>
        </row>
        <row r="193">
          <cell r="A193">
            <v>5075</v>
          </cell>
          <cell r="B193"/>
          <cell r="C193">
            <v>44869</v>
          </cell>
          <cell r="D193" t="str">
            <v>یونس صاحب</v>
          </cell>
          <cell r="E193" t="str">
            <v>جیلانی پولی سٹاک</v>
          </cell>
        </row>
        <row r="194">
          <cell r="A194">
            <v>5076</v>
          </cell>
          <cell r="B194"/>
          <cell r="C194">
            <v>44869</v>
          </cell>
          <cell r="D194" t="str">
            <v>یونس صاحب</v>
          </cell>
          <cell r="E194" t="str">
            <v>جیلانی پولی سٹاک</v>
          </cell>
        </row>
        <row r="195">
          <cell r="A195">
            <v>5077</v>
          </cell>
          <cell r="B195"/>
          <cell r="C195">
            <v>44869</v>
          </cell>
          <cell r="D195" t="str">
            <v>یونس صاحب</v>
          </cell>
          <cell r="E195" t="str">
            <v>جیلانی پولی سٹاک</v>
          </cell>
        </row>
        <row r="196">
          <cell r="A196">
            <v>5078</v>
          </cell>
          <cell r="B196"/>
          <cell r="C196">
            <v>44869</v>
          </cell>
          <cell r="D196" t="str">
            <v>یونس صاحب</v>
          </cell>
          <cell r="E196" t="str">
            <v>جیلانی پولی سٹاک</v>
          </cell>
        </row>
        <row r="197">
          <cell r="A197">
            <v>5079</v>
          </cell>
          <cell r="B197"/>
          <cell r="C197">
            <v>44869</v>
          </cell>
          <cell r="D197" t="str">
            <v>یونس صاحب</v>
          </cell>
          <cell r="E197" t="str">
            <v>جیلانی پولی سٹاک</v>
          </cell>
        </row>
        <row r="198">
          <cell r="A198">
            <v>5080</v>
          </cell>
          <cell r="B198"/>
          <cell r="C198">
            <v>44869</v>
          </cell>
          <cell r="D198" t="str">
            <v>یونس صاحب</v>
          </cell>
          <cell r="E198" t="str">
            <v>جیلانی پولی سٹاک</v>
          </cell>
        </row>
        <row r="199">
          <cell r="A199">
            <v>5081</v>
          </cell>
          <cell r="B199"/>
          <cell r="C199">
            <v>44869</v>
          </cell>
          <cell r="D199" t="str">
            <v>یونس صاحب</v>
          </cell>
          <cell r="E199" t="str">
            <v>جیلانی پولی سٹاک</v>
          </cell>
        </row>
        <row r="200">
          <cell r="A200">
            <v>5082</v>
          </cell>
          <cell r="B200"/>
          <cell r="C200">
            <v>44869</v>
          </cell>
          <cell r="D200" t="str">
            <v>یونس صاحب</v>
          </cell>
          <cell r="E200" t="str">
            <v>جیلانی پولی سٹاک</v>
          </cell>
        </row>
        <row r="201">
          <cell r="A201">
            <v>5083</v>
          </cell>
          <cell r="B201"/>
          <cell r="C201">
            <v>44869</v>
          </cell>
          <cell r="D201" t="str">
            <v>یونس صاحب</v>
          </cell>
          <cell r="E201" t="str">
            <v>جیلانی پولی سٹاک</v>
          </cell>
        </row>
        <row r="202">
          <cell r="A202">
            <v>5084</v>
          </cell>
          <cell r="B202"/>
          <cell r="C202">
            <v>44869</v>
          </cell>
          <cell r="D202" t="str">
            <v>یونس صاحب</v>
          </cell>
          <cell r="E202" t="str">
            <v>جیلانی پولی سٹاک</v>
          </cell>
        </row>
        <row r="203">
          <cell r="A203">
            <v>5085</v>
          </cell>
          <cell r="B203"/>
          <cell r="C203">
            <v>44869</v>
          </cell>
          <cell r="D203" t="str">
            <v>یونس صاحب</v>
          </cell>
          <cell r="E203" t="str">
            <v>جیلانی پولی سٹاک</v>
          </cell>
        </row>
        <row r="204">
          <cell r="A204">
            <v>5086</v>
          </cell>
          <cell r="B204"/>
          <cell r="C204">
            <v>44869</v>
          </cell>
          <cell r="D204" t="str">
            <v>یونس صاحب</v>
          </cell>
          <cell r="E204" t="str">
            <v>جیلانی پولی سٹاک</v>
          </cell>
        </row>
        <row r="205">
          <cell r="A205">
            <v>5087</v>
          </cell>
          <cell r="B205"/>
          <cell r="C205">
            <v>44869</v>
          </cell>
          <cell r="D205" t="str">
            <v>یونس صاحب</v>
          </cell>
          <cell r="E205" t="str">
            <v>جیلانی پولی سٹاک</v>
          </cell>
        </row>
        <row r="206">
          <cell r="A206">
            <v>5088</v>
          </cell>
          <cell r="B206"/>
          <cell r="C206">
            <v>44869</v>
          </cell>
          <cell r="D206" t="str">
            <v>یونس صاحب</v>
          </cell>
          <cell r="E206" t="str">
            <v>جیلانی پولی سٹاک</v>
          </cell>
        </row>
        <row r="207">
          <cell r="A207">
            <v>5089</v>
          </cell>
          <cell r="B207"/>
          <cell r="C207">
            <v>44869</v>
          </cell>
          <cell r="D207" t="str">
            <v>یونس صاحب</v>
          </cell>
          <cell r="E207" t="str">
            <v>جیلانی پولی سٹاک</v>
          </cell>
        </row>
        <row r="208">
          <cell r="A208">
            <v>5090</v>
          </cell>
          <cell r="B208"/>
          <cell r="C208">
            <v>44869</v>
          </cell>
          <cell r="D208" t="str">
            <v>یونس صاحب</v>
          </cell>
          <cell r="E208" t="str">
            <v>جیلانی پولی سٹاک</v>
          </cell>
        </row>
        <row r="209">
          <cell r="A209">
            <v>5091</v>
          </cell>
          <cell r="B209"/>
          <cell r="C209">
            <v>44869</v>
          </cell>
          <cell r="D209" t="str">
            <v>یونس صاحب</v>
          </cell>
          <cell r="E209" t="str">
            <v>جیلانی پولی سٹاک</v>
          </cell>
        </row>
        <row r="210">
          <cell r="A210">
            <v>5092</v>
          </cell>
          <cell r="B210"/>
          <cell r="C210">
            <v>44869</v>
          </cell>
          <cell r="D210" t="str">
            <v>یونس صاحب</v>
          </cell>
          <cell r="E210" t="str">
            <v>جیلانی پولی سٹاک</v>
          </cell>
        </row>
        <row r="211">
          <cell r="A211">
            <v>5093</v>
          </cell>
          <cell r="B211"/>
          <cell r="C211">
            <v>44869</v>
          </cell>
          <cell r="D211" t="str">
            <v>یونس صاحب</v>
          </cell>
          <cell r="E211" t="str">
            <v>جیلانی پولی سٹاک</v>
          </cell>
        </row>
        <row r="212">
          <cell r="A212">
            <v>5094</v>
          </cell>
          <cell r="B212"/>
          <cell r="C212">
            <v>44869</v>
          </cell>
          <cell r="D212" t="str">
            <v>یونس صاحب</v>
          </cell>
          <cell r="E212" t="str">
            <v>جیلانی پولی سٹاک</v>
          </cell>
        </row>
        <row r="213">
          <cell r="A213">
            <v>5095</v>
          </cell>
          <cell r="B213"/>
          <cell r="C213">
            <v>44869</v>
          </cell>
          <cell r="D213" t="str">
            <v>یونس صاحب</v>
          </cell>
          <cell r="E213" t="str">
            <v>جیلانی پولی سٹاک</v>
          </cell>
        </row>
        <row r="214">
          <cell r="A214">
            <v>5096</v>
          </cell>
          <cell r="B214"/>
          <cell r="C214">
            <v>44869</v>
          </cell>
          <cell r="D214" t="str">
            <v>یونس صاحب</v>
          </cell>
          <cell r="E214" t="str">
            <v>جیلانی پولی سٹاک</v>
          </cell>
        </row>
        <row r="215">
          <cell r="A215">
            <v>5097</v>
          </cell>
          <cell r="B215"/>
          <cell r="C215">
            <v>44869</v>
          </cell>
          <cell r="D215" t="str">
            <v>یونس صاحب</v>
          </cell>
          <cell r="E215" t="str">
            <v>جیلانی پولی سٹاک</v>
          </cell>
        </row>
        <row r="216">
          <cell r="A216">
            <v>5098</v>
          </cell>
          <cell r="B216"/>
          <cell r="C216">
            <v>44869</v>
          </cell>
          <cell r="D216" t="str">
            <v>یونس صاحب</v>
          </cell>
          <cell r="E216" t="str">
            <v>جیلانی پولی سٹاک</v>
          </cell>
        </row>
        <row r="217">
          <cell r="A217">
            <v>5099</v>
          </cell>
          <cell r="B217"/>
          <cell r="C217">
            <v>44869</v>
          </cell>
          <cell r="D217" t="str">
            <v>یونس صاحب</v>
          </cell>
          <cell r="E217" t="str">
            <v>جیلانی پولی سٹاک</v>
          </cell>
        </row>
        <row r="218">
          <cell r="A218">
            <v>5100</v>
          </cell>
          <cell r="B218"/>
          <cell r="C218">
            <v>44869</v>
          </cell>
          <cell r="D218" t="str">
            <v>یونس صاحب</v>
          </cell>
          <cell r="E218" t="str">
            <v>جیلانی پولی سٹاک</v>
          </cell>
        </row>
        <row r="219">
          <cell r="A219">
            <v>5101</v>
          </cell>
          <cell r="B219"/>
          <cell r="C219">
            <v>44869</v>
          </cell>
          <cell r="D219" t="str">
            <v>یونس صاحب</v>
          </cell>
          <cell r="E219" t="str">
            <v>جیلانی پولی سٹاک</v>
          </cell>
        </row>
        <row r="220">
          <cell r="A220">
            <v>5102</v>
          </cell>
          <cell r="B220"/>
          <cell r="C220">
            <v>44869</v>
          </cell>
          <cell r="D220" t="str">
            <v>یونس صاحب</v>
          </cell>
          <cell r="E220" t="str">
            <v>جیلانی پولی سٹاک</v>
          </cell>
        </row>
        <row r="221">
          <cell r="A221">
            <v>5103</v>
          </cell>
          <cell r="B221"/>
          <cell r="C221">
            <v>44869</v>
          </cell>
          <cell r="D221" t="str">
            <v>یونس صاحب</v>
          </cell>
          <cell r="E221" t="str">
            <v>جیلانی پولی سٹاک</v>
          </cell>
        </row>
        <row r="222">
          <cell r="A222">
            <v>5104</v>
          </cell>
          <cell r="B222"/>
          <cell r="C222">
            <v>44869</v>
          </cell>
          <cell r="D222" t="str">
            <v>یونس صاحب</v>
          </cell>
          <cell r="E222" t="str">
            <v>جیلانی پولی سٹاک</v>
          </cell>
        </row>
        <row r="223">
          <cell r="A223">
            <v>5105</v>
          </cell>
          <cell r="B223"/>
          <cell r="C223">
            <v>44869</v>
          </cell>
          <cell r="D223" t="str">
            <v>یونس صاحب</v>
          </cell>
          <cell r="E223" t="str">
            <v>جیلانی پولی سٹاک</v>
          </cell>
        </row>
        <row r="224">
          <cell r="A224">
            <v>5106</v>
          </cell>
          <cell r="B224"/>
          <cell r="C224">
            <v>44869</v>
          </cell>
          <cell r="D224" t="str">
            <v>یونس صاحب</v>
          </cell>
          <cell r="E224" t="str">
            <v>جیلانی پولی سٹاک</v>
          </cell>
        </row>
        <row r="225">
          <cell r="A225">
            <v>5107</v>
          </cell>
          <cell r="B225"/>
          <cell r="C225">
            <v>44869</v>
          </cell>
          <cell r="D225" t="str">
            <v>یونس صاحب</v>
          </cell>
          <cell r="E225" t="str">
            <v>جیلانی پولی سٹاک</v>
          </cell>
        </row>
        <row r="226">
          <cell r="A226">
            <v>5108</v>
          </cell>
          <cell r="B226"/>
          <cell r="C226">
            <v>44869</v>
          </cell>
          <cell r="D226" t="str">
            <v>یونس صاحب</v>
          </cell>
          <cell r="E226" t="str">
            <v>جیلانی پولی سٹاک</v>
          </cell>
        </row>
        <row r="227">
          <cell r="A227">
            <v>5109</v>
          </cell>
          <cell r="B227"/>
          <cell r="C227">
            <v>44869</v>
          </cell>
          <cell r="D227" t="str">
            <v>یونس صاحب</v>
          </cell>
          <cell r="E227" t="str">
            <v>جیلانی پولی سٹاک</v>
          </cell>
        </row>
        <row r="228">
          <cell r="A228">
            <v>5110</v>
          </cell>
          <cell r="B228"/>
          <cell r="C228">
            <v>44869</v>
          </cell>
          <cell r="D228" t="str">
            <v>یونس صاحب</v>
          </cell>
          <cell r="E228" t="str">
            <v>جیلانی پولی سٹاک</v>
          </cell>
        </row>
        <row r="229">
          <cell r="A229">
            <v>5111</v>
          </cell>
          <cell r="B229"/>
          <cell r="C229">
            <v>44869</v>
          </cell>
          <cell r="D229" t="str">
            <v>یونس صاحب</v>
          </cell>
          <cell r="E229" t="str">
            <v>جیلانی پولی سٹاک</v>
          </cell>
        </row>
        <row r="230">
          <cell r="A230">
            <v>5112</v>
          </cell>
          <cell r="B230"/>
          <cell r="C230">
            <v>44869</v>
          </cell>
          <cell r="D230" t="str">
            <v>یونس صاحب</v>
          </cell>
          <cell r="E230" t="str">
            <v>جیلانی پولی سٹاک</v>
          </cell>
        </row>
        <row r="231">
          <cell r="A231">
            <v>5113</v>
          </cell>
          <cell r="B231"/>
          <cell r="C231">
            <v>44869</v>
          </cell>
          <cell r="D231" t="str">
            <v>یونس صاحب</v>
          </cell>
          <cell r="E231" t="str">
            <v>جیلانی پولی سٹاک</v>
          </cell>
        </row>
        <row r="232">
          <cell r="A232">
            <v>5114</v>
          </cell>
          <cell r="B232"/>
          <cell r="C232">
            <v>44869</v>
          </cell>
          <cell r="D232" t="str">
            <v>یونس صاحب</v>
          </cell>
          <cell r="E232" t="str">
            <v>جیلانی پولی سٹاک</v>
          </cell>
        </row>
        <row r="233">
          <cell r="A233">
            <v>5115</v>
          </cell>
          <cell r="B233"/>
          <cell r="C233">
            <v>44869</v>
          </cell>
          <cell r="D233" t="str">
            <v>یونس صاحب</v>
          </cell>
          <cell r="E233" t="str">
            <v>جیلانی پولی سٹاک</v>
          </cell>
        </row>
        <row r="234">
          <cell r="A234">
            <v>5116</v>
          </cell>
          <cell r="B234"/>
          <cell r="C234">
            <v>44869</v>
          </cell>
          <cell r="D234" t="str">
            <v>یونس صاحب</v>
          </cell>
          <cell r="E234" t="str">
            <v>جیلانی پولی سٹاک</v>
          </cell>
        </row>
        <row r="235">
          <cell r="A235">
            <v>5117</v>
          </cell>
          <cell r="B235"/>
          <cell r="C235">
            <v>44869</v>
          </cell>
          <cell r="D235" t="str">
            <v>یونس صاحب</v>
          </cell>
          <cell r="E235" t="str">
            <v>جیلانی پولی سٹاک</v>
          </cell>
        </row>
        <row r="236">
          <cell r="A236">
            <v>5118</v>
          </cell>
          <cell r="B236"/>
          <cell r="C236">
            <v>44869</v>
          </cell>
          <cell r="D236" t="str">
            <v>یونس صاحب</v>
          </cell>
          <cell r="E236" t="str">
            <v>جیلانی پولی سٹاک</v>
          </cell>
        </row>
        <row r="237">
          <cell r="A237">
            <v>5119</v>
          </cell>
          <cell r="B237"/>
          <cell r="C237">
            <v>44869</v>
          </cell>
          <cell r="D237" t="str">
            <v>یونس صاحب</v>
          </cell>
          <cell r="E237" t="str">
            <v>جیلانی پولی سٹاک</v>
          </cell>
        </row>
        <row r="238">
          <cell r="A238">
            <v>5120</v>
          </cell>
          <cell r="B238"/>
          <cell r="C238">
            <v>44869</v>
          </cell>
          <cell r="D238" t="str">
            <v>یونس صاحب</v>
          </cell>
          <cell r="E238" t="str">
            <v>جیلانی پولی سٹاک</v>
          </cell>
        </row>
        <row r="239">
          <cell r="A239">
            <v>5121</v>
          </cell>
          <cell r="B239"/>
          <cell r="C239">
            <v>44869</v>
          </cell>
          <cell r="D239" t="str">
            <v>یونس صاحب</v>
          </cell>
          <cell r="E239" t="str">
            <v>جیلانی پولی سٹاک</v>
          </cell>
        </row>
        <row r="240">
          <cell r="A240">
            <v>5122</v>
          </cell>
          <cell r="B240"/>
          <cell r="C240">
            <v>44869</v>
          </cell>
          <cell r="D240" t="str">
            <v>یونس صاحب</v>
          </cell>
          <cell r="E240" t="str">
            <v>جیلانی پولی سٹاک</v>
          </cell>
        </row>
        <row r="241">
          <cell r="A241">
            <v>5123</v>
          </cell>
          <cell r="B241"/>
          <cell r="C241">
            <v>44869</v>
          </cell>
          <cell r="D241" t="str">
            <v>یونس صاحب</v>
          </cell>
          <cell r="E241" t="str">
            <v>جیلانی پولی سٹاک</v>
          </cell>
        </row>
        <row r="242">
          <cell r="A242">
            <v>5124</v>
          </cell>
          <cell r="B242"/>
          <cell r="C242">
            <v>44869</v>
          </cell>
          <cell r="D242" t="str">
            <v>یونس صاحب</v>
          </cell>
          <cell r="E242" t="str">
            <v>جیلانی پولی سٹاک</v>
          </cell>
        </row>
        <row r="243">
          <cell r="A243">
            <v>5125</v>
          </cell>
          <cell r="B243"/>
          <cell r="C243">
            <v>44869</v>
          </cell>
          <cell r="D243" t="str">
            <v>یونس صاحب</v>
          </cell>
          <cell r="E243" t="str">
            <v>جیلانی پولی سٹاک</v>
          </cell>
        </row>
        <row r="244">
          <cell r="A244">
            <v>5126</v>
          </cell>
          <cell r="B244"/>
          <cell r="C244">
            <v>44869</v>
          </cell>
          <cell r="D244" t="str">
            <v>یونس صاحب</v>
          </cell>
          <cell r="E244" t="str">
            <v>جیلانی پولی سٹاک</v>
          </cell>
        </row>
        <row r="245">
          <cell r="A245">
            <v>5127</v>
          </cell>
          <cell r="B245"/>
          <cell r="C245">
            <v>44869</v>
          </cell>
          <cell r="D245" t="str">
            <v>یونس صاحب</v>
          </cell>
          <cell r="E245" t="str">
            <v>جیلانی پولی سٹاک</v>
          </cell>
        </row>
        <row r="246">
          <cell r="A246">
            <v>5128</v>
          </cell>
          <cell r="B246"/>
          <cell r="C246">
            <v>44869</v>
          </cell>
          <cell r="D246" t="str">
            <v>یونس صاحب</v>
          </cell>
          <cell r="E246" t="str">
            <v>جیلانی پولی سٹاک</v>
          </cell>
        </row>
        <row r="247">
          <cell r="A247">
            <v>5129</v>
          </cell>
          <cell r="B247"/>
          <cell r="C247">
            <v>44869</v>
          </cell>
          <cell r="D247" t="str">
            <v>یونس صاحب</v>
          </cell>
          <cell r="E247" t="str">
            <v>جیلانی پولی سٹاک</v>
          </cell>
        </row>
        <row r="248">
          <cell r="A248">
            <v>5130</v>
          </cell>
          <cell r="B248"/>
          <cell r="C248">
            <v>44869</v>
          </cell>
          <cell r="D248" t="str">
            <v>یونس صاحب</v>
          </cell>
          <cell r="E248" t="str">
            <v>جیلانی پولی سٹاک</v>
          </cell>
        </row>
        <row r="249">
          <cell r="A249">
            <v>5131</v>
          </cell>
          <cell r="B249"/>
          <cell r="C249">
            <v>44869</v>
          </cell>
          <cell r="D249" t="str">
            <v>یونس صاحب</v>
          </cell>
          <cell r="E249" t="str">
            <v>جیلانی پولی سٹاک</v>
          </cell>
        </row>
        <row r="250">
          <cell r="A250">
            <v>5132</v>
          </cell>
          <cell r="B250"/>
          <cell r="C250">
            <v>44869</v>
          </cell>
          <cell r="D250" t="str">
            <v>یونس صاحب</v>
          </cell>
          <cell r="E250" t="str">
            <v>جیلانی پولی سٹاک</v>
          </cell>
        </row>
        <row r="251">
          <cell r="A251">
            <v>5133</v>
          </cell>
          <cell r="B251"/>
          <cell r="C251">
            <v>44869</v>
          </cell>
          <cell r="D251" t="str">
            <v>یونس صاحب</v>
          </cell>
          <cell r="E251" t="str">
            <v>جیلانی پولی سٹاک</v>
          </cell>
        </row>
        <row r="252">
          <cell r="A252">
            <v>5134</v>
          </cell>
          <cell r="B252"/>
          <cell r="C252">
            <v>44869</v>
          </cell>
          <cell r="D252" t="str">
            <v>یونس صاحب</v>
          </cell>
          <cell r="E252" t="str">
            <v>جیلانی پولی سٹاک</v>
          </cell>
        </row>
        <row r="253">
          <cell r="A253">
            <v>5135</v>
          </cell>
          <cell r="B253"/>
          <cell r="C253">
            <v>44869</v>
          </cell>
          <cell r="D253" t="str">
            <v>یونس صاحب</v>
          </cell>
          <cell r="E253" t="str">
            <v>جیلانی پولی سٹاک</v>
          </cell>
        </row>
        <row r="254">
          <cell r="A254">
            <v>5136</v>
          </cell>
          <cell r="B254"/>
          <cell r="C254">
            <v>44869</v>
          </cell>
          <cell r="D254" t="str">
            <v>یونس صاحب</v>
          </cell>
          <cell r="E254" t="str">
            <v>جیلانی پولی سٹاک</v>
          </cell>
        </row>
        <row r="255">
          <cell r="A255">
            <v>5137</v>
          </cell>
          <cell r="B255"/>
          <cell r="C255">
            <v>44869</v>
          </cell>
          <cell r="D255" t="str">
            <v>یونس صاحب</v>
          </cell>
          <cell r="E255" t="str">
            <v>جیلانی پولی سٹاک</v>
          </cell>
        </row>
        <row r="256">
          <cell r="A256">
            <v>5138</v>
          </cell>
          <cell r="B256"/>
          <cell r="C256">
            <v>44869</v>
          </cell>
          <cell r="D256" t="str">
            <v>یونس صاحب</v>
          </cell>
          <cell r="E256" t="str">
            <v>جیلانی پولی سٹاک</v>
          </cell>
        </row>
        <row r="257">
          <cell r="A257">
            <v>5139</v>
          </cell>
          <cell r="B257"/>
          <cell r="C257">
            <v>44869</v>
          </cell>
          <cell r="D257" t="str">
            <v>یونس صاحب</v>
          </cell>
          <cell r="E257" t="str">
            <v>جیلانی پولی سٹاک</v>
          </cell>
        </row>
        <row r="258">
          <cell r="A258">
            <v>5140</v>
          </cell>
          <cell r="B258"/>
          <cell r="C258">
            <v>44869</v>
          </cell>
          <cell r="D258" t="str">
            <v>یونس صاحب</v>
          </cell>
          <cell r="E258" t="str">
            <v>جیلانی پولی سٹاک</v>
          </cell>
        </row>
        <row r="259">
          <cell r="A259">
            <v>5141</v>
          </cell>
          <cell r="B259"/>
          <cell r="C259">
            <v>44869</v>
          </cell>
          <cell r="D259" t="str">
            <v>یونس صاحب</v>
          </cell>
          <cell r="E259" t="str">
            <v>جیلانی پولی سٹاک</v>
          </cell>
        </row>
        <row r="260">
          <cell r="A260">
            <v>5142</v>
          </cell>
          <cell r="B260"/>
          <cell r="C260">
            <v>44869</v>
          </cell>
          <cell r="D260" t="str">
            <v>یونس صاحب</v>
          </cell>
          <cell r="E260" t="str">
            <v>جیلانی پولی سٹاک</v>
          </cell>
        </row>
        <row r="261">
          <cell r="A261">
            <v>5143</v>
          </cell>
          <cell r="B261"/>
          <cell r="C261">
            <v>44869</v>
          </cell>
          <cell r="D261" t="str">
            <v>یونس صاحب</v>
          </cell>
          <cell r="E261" t="str">
            <v>جیلانی پولی سٹاک</v>
          </cell>
        </row>
        <row r="262">
          <cell r="A262">
            <v>5144</v>
          </cell>
          <cell r="B262"/>
          <cell r="C262">
            <v>44869</v>
          </cell>
          <cell r="D262" t="str">
            <v>یونس صاحب</v>
          </cell>
          <cell r="E262" t="str">
            <v>جیلانی پولی سٹاک</v>
          </cell>
        </row>
        <row r="263">
          <cell r="A263">
            <v>5145</v>
          </cell>
          <cell r="B263"/>
          <cell r="C263">
            <v>44869</v>
          </cell>
          <cell r="D263" t="str">
            <v>یونس صاحب</v>
          </cell>
          <cell r="E263" t="str">
            <v>جیلانی پولی سٹاک</v>
          </cell>
        </row>
        <row r="264">
          <cell r="A264">
            <v>5146</v>
          </cell>
          <cell r="B264"/>
          <cell r="C264">
            <v>44869</v>
          </cell>
          <cell r="D264" t="str">
            <v>یونس صاحب</v>
          </cell>
          <cell r="E264" t="str">
            <v>جیلانی پولی سٹاک</v>
          </cell>
        </row>
        <row r="265">
          <cell r="A265">
            <v>5147</v>
          </cell>
          <cell r="B265"/>
          <cell r="C265">
            <v>44869</v>
          </cell>
          <cell r="D265" t="str">
            <v>یونس صاحب</v>
          </cell>
          <cell r="E265" t="str">
            <v>جیلانی پولی سٹاک</v>
          </cell>
        </row>
        <row r="266">
          <cell r="A266">
            <v>5148</v>
          </cell>
          <cell r="B266"/>
          <cell r="C266">
            <v>44869</v>
          </cell>
          <cell r="D266" t="str">
            <v>یونس صاحب</v>
          </cell>
          <cell r="E266" t="str">
            <v>جیلانی پولی سٹاک</v>
          </cell>
        </row>
        <row r="267">
          <cell r="A267">
            <v>5149</v>
          </cell>
          <cell r="B267"/>
          <cell r="C267">
            <v>44869</v>
          </cell>
          <cell r="D267" t="str">
            <v>یونس صاحب</v>
          </cell>
          <cell r="E267" t="str">
            <v>جیلانی پولی سٹاک</v>
          </cell>
        </row>
        <row r="268">
          <cell r="A268">
            <v>5150</v>
          </cell>
          <cell r="B268"/>
          <cell r="C268">
            <v>44869</v>
          </cell>
          <cell r="D268" t="str">
            <v>یونس صاحب</v>
          </cell>
          <cell r="E268" t="str">
            <v>جیلانی پولی سٹاک</v>
          </cell>
        </row>
        <row r="269">
          <cell r="A269">
            <v>5151</v>
          </cell>
          <cell r="B269"/>
          <cell r="C269">
            <v>44869</v>
          </cell>
          <cell r="D269" t="str">
            <v>یونس صاحب</v>
          </cell>
          <cell r="E269" t="str">
            <v>جیلانی پولی سٹاک</v>
          </cell>
        </row>
        <row r="270">
          <cell r="A270">
            <v>5152</v>
          </cell>
          <cell r="B270"/>
          <cell r="C270">
            <v>44869</v>
          </cell>
          <cell r="D270" t="str">
            <v>یونس صاحب</v>
          </cell>
          <cell r="E270" t="str">
            <v>جیلانی پولی سٹاک</v>
          </cell>
        </row>
        <row r="271">
          <cell r="A271">
            <v>5153</v>
          </cell>
          <cell r="B271"/>
          <cell r="C271">
            <v>44869</v>
          </cell>
          <cell r="D271" t="str">
            <v>یونس صاحب</v>
          </cell>
          <cell r="E271" t="str">
            <v>جیلانی پولی سٹاک</v>
          </cell>
        </row>
        <row r="272">
          <cell r="A272">
            <v>5154</v>
          </cell>
          <cell r="B272"/>
          <cell r="C272">
            <v>44869</v>
          </cell>
          <cell r="D272" t="str">
            <v>یونس صاحب</v>
          </cell>
          <cell r="E272" t="str">
            <v>جیلانی پولی سٹاک</v>
          </cell>
        </row>
        <row r="273">
          <cell r="A273">
            <v>5155</v>
          </cell>
          <cell r="B273"/>
          <cell r="C273">
            <v>44869</v>
          </cell>
          <cell r="D273" t="str">
            <v>یونس صاحب</v>
          </cell>
          <cell r="E273" t="str">
            <v>جیلانی پولی سٹاک</v>
          </cell>
        </row>
        <row r="274">
          <cell r="A274">
            <v>5156</v>
          </cell>
          <cell r="B274"/>
          <cell r="C274">
            <v>44869</v>
          </cell>
          <cell r="D274" t="str">
            <v>یونس صاحب</v>
          </cell>
          <cell r="E274" t="str">
            <v>جیلانی پولی سٹاک</v>
          </cell>
        </row>
        <row r="275">
          <cell r="A275">
            <v>5157</v>
          </cell>
          <cell r="B275"/>
          <cell r="C275">
            <v>44869</v>
          </cell>
          <cell r="D275" t="str">
            <v>یونس صاحب</v>
          </cell>
          <cell r="E275" t="str">
            <v>جیلانی پولی سٹاک</v>
          </cell>
        </row>
        <row r="276">
          <cell r="A276">
            <v>5158</v>
          </cell>
          <cell r="B276"/>
          <cell r="C276">
            <v>44869</v>
          </cell>
          <cell r="D276" t="str">
            <v>یونس صاحب</v>
          </cell>
          <cell r="E276" t="str">
            <v>جیلانی پولی سٹاک</v>
          </cell>
        </row>
        <row r="277">
          <cell r="A277">
            <v>5159</v>
          </cell>
          <cell r="B277"/>
          <cell r="C277">
            <v>44869</v>
          </cell>
          <cell r="D277" t="str">
            <v>یونس صاحب</v>
          </cell>
          <cell r="E277" t="str">
            <v>جیلانی پولی سٹاک</v>
          </cell>
        </row>
        <row r="278">
          <cell r="A278">
            <v>5160</v>
          </cell>
          <cell r="B278"/>
          <cell r="C278">
            <v>44869</v>
          </cell>
          <cell r="D278" t="str">
            <v>یونس صاحب</v>
          </cell>
          <cell r="E278" t="str">
            <v>جیلانی پولی سٹاک</v>
          </cell>
        </row>
        <row r="279">
          <cell r="A279">
            <v>5161</v>
          </cell>
          <cell r="B279"/>
          <cell r="C279">
            <v>44869</v>
          </cell>
          <cell r="D279" t="str">
            <v>یونس صاحب</v>
          </cell>
          <cell r="E279" t="str">
            <v>جیلانی پولی سٹاک</v>
          </cell>
        </row>
        <row r="280">
          <cell r="A280">
            <v>5162</v>
          </cell>
          <cell r="B280"/>
          <cell r="C280">
            <v>44869</v>
          </cell>
          <cell r="D280" t="str">
            <v>یونس صاحب</v>
          </cell>
          <cell r="E280" t="str">
            <v>جیلانی پولی سٹاک</v>
          </cell>
        </row>
        <row r="281">
          <cell r="A281">
            <v>5163</v>
          </cell>
          <cell r="B281"/>
          <cell r="C281">
            <v>44869</v>
          </cell>
          <cell r="D281" t="str">
            <v>یونس صاحب</v>
          </cell>
          <cell r="E281" t="str">
            <v>جیلانی پولی سٹاک</v>
          </cell>
        </row>
        <row r="282">
          <cell r="A282">
            <v>5164</v>
          </cell>
          <cell r="B282"/>
          <cell r="C282">
            <v>44869</v>
          </cell>
          <cell r="D282" t="str">
            <v>یونس صاحب</v>
          </cell>
          <cell r="E282" t="str">
            <v>جیلانی پولی سٹاک</v>
          </cell>
        </row>
        <row r="283">
          <cell r="A283">
            <v>5165</v>
          </cell>
          <cell r="B283"/>
          <cell r="C283">
            <v>44869</v>
          </cell>
          <cell r="D283" t="str">
            <v>یونس صاحب</v>
          </cell>
          <cell r="E283" t="str">
            <v>جیلانی پولی سٹاک</v>
          </cell>
        </row>
        <row r="284">
          <cell r="A284">
            <v>5166</v>
          </cell>
          <cell r="B284"/>
          <cell r="C284">
            <v>44869</v>
          </cell>
          <cell r="D284" t="str">
            <v>یونس صاحب</v>
          </cell>
          <cell r="E284" t="str">
            <v>جیلانی پولی سٹاک</v>
          </cell>
        </row>
        <row r="285">
          <cell r="A285">
            <v>5167</v>
          </cell>
          <cell r="B285"/>
          <cell r="C285">
            <v>44869</v>
          </cell>
          <cell r="D285" t="str">
            <v>یونس صاحب</v>
          </cell>
          <cell r="E285" t="str">
            <v>جیلانی پولی سٹاک</v>
          </cell>
        </row>
        <row r="286">
          <cell r="A286">
            <v>5168</v>
          </cell>
          <cell r="B286"/>
          <cell r="C286">
            <v>44869</v>
          </cell>
          <cell r="D286" t="str">
            <v>یونس صاحب</v>
          </cell>
          <cell r="E286" t="str">
            <v>جیلانی پولی سٹاک</v>
          </cell>
        </row>
        <row r="287">
          <cell r="A287">
            <v>5169</v>
          </cell>
          <cell r="B287"/>
          <cell r="C287">
            <v>44869</v>
          </cell>
          <cell r="D287" t="str">
            <v>یونس صاحب</v>
          </cell>
          <cell r="E287" t="str">
            <v>جیلانی پولی سٹاک</v>
          </cell>
        </row>
        <row r="288">
          <cell r="A288">
            <v>5170</v>
          </cell>
          <cell r="B288"/>
          <cell r="C288">
            <v>44869</v>
          </cell>
          <cell r="D288" t="str">
            <v>یونس صاحب</v>
          </cell>
          <cell r="E288" t="str">
            <v>جیلانی پولی سٹاک</v>
          </cell>
        </row>
        <row r="289">
          <cell r="A289">
            <v>5171</v>
          </cell>
          <cell r="B289"/>
          <cell r="C289">
            <v>44869</v>
          </cell>
          <cell r="D289" t="str">
            <v>یونس صاحب</v>
          </cell>
          <cell r="E289" t="str">
            <v>جیلانی پولی سٹاک</v>
          </cell>
        </row>
        <row r="290">
          <cell r="A290">
            <v>5172</v>
          </cell>
          <cell r="B290"/>
          <cell r="C290">
            <v>44869</v>
          </cell>
          <cell r="D290" t="str">
            <v>یونس صاحب</v>
          </cell>
          <cell r="E290" t="str">
            <v>جیلانی پولی سٹاک</v>
          </cell>
        </row>
        <row r="291">
          <cell r="A291">
            <v>5173</v>
          </cell>
          <cell r="B291"/>
          <cell r="C291">
            <v>44869</v>
          </cell>
          <cell r="D291" t="str">
            <v>یونس صاحب</v>
          </cell>
          <cell r="E291" t="str">
            <v>جیلانی پولی سٹاک</v>
          </cell>
        </row>
        <row r="292">
          <cell r="A292">
            <v>5174</v>
          </cell>
          <cell r="B292"/>
          <cell r="C292">
            <v>44869</v>
          </cell>
          <cell r="D292" t="str">
            <v>یونس صاحب</v>
          </cell>
          <cell r="E292" t="str">
            <v>جیلانی پولی سٹاک</v>
          </cell>
        </row>
        <row r="293">
          <cell r="A293">
            <v>5175</v>
          </cell>
          <cell r="B293"/>
          <cell r="C293">
            <v>44869</v>
          </cell>
          <cell r="D293" t="str">
            <v>یونس صاحب</v>
          </cell>
          <cell r="E293" t="str">
            <v>جیلانی پولی سٹاک</v>
          </cell>
        </row>
        <row r="294">
          <cell r="A294">
            <v>5176</v>
          </cell>
          <cell r="B294"/>
          <cell r="C294">
            <v>44869</v>
          </cell>
          <cell r="D294" t="str">
            <v>یونس صاحب</v>
          </cell>
          <cell r="E294" t="str">
            <v>جیلانی پولی سٹاک</v>
          </cell>
        </row>
        <row r="295">
          <cell r="A295">
            <v>5177</v>
          </cell>
          <cell r="B295"/>
          <cell r="C295">
            <v>45884</v>
          </cell>
          <cell r="D295" t="str">
            <v>یونس صاحب</v>
          </cell>
          <cell r="E295" t="str">
            <v>جیلانی پولی سٹاک</v>
          </cell>
        </row>
        <row r="296">
          <cell r="A296" t="str">
            <v>1 P</v>
          </cell>
          <cell r="B296"/>
          <cell r="C296">
            <v>45536</v>
          </cell>
          <cell r="D296" t="str">
            <v>یونس صاحب</v>
          </cell>
          <cell r="E296" t="str">
            <v>جیلانی پولی سٹاک</v>
          </cell>
        </row>
        <row r="297">
          <cell r="A297" t="str">
            <v>2 P</v>
          </cell>
          <cell r="B297"/>
          <cell r="C297">
            <v>45536</v>
          </cell>
          <cell r="D297" t="str">
            <v>یونس صاحب</v>
          </cell>
          <cell r="E297" t="str">
            <v>جیلانی پولی سٹاک</v>
          </cell>
        </row>
        <row r="298">
          <cell r="A298" t="str">
            <v>3 P</v>
          </cell>
          <cell r="B298"/>
          <cell r="C298">
            <v>45536</v>
          </cell>
          <cell r="D298" t="str">
            <v>یونس صاحب</v>
          </cell>
          <cell r="E298" t="str">
            <v>جیلانی پولی سٹاک</v>
          </cell>
        </row>
        <row r="299">
          <cell r="A299" t="str">
            <v>4 P</v>
          </cell>
          <cell r="B299"/>
          <cell r="C299">
            <v>45536</v>
          </cell>
          <cell r="D299" t="str">
            <v>یونس صاحب</v>
          </cell>
          <cell r="E299" t="str">
            <v>جیلانی پولی سٹاک</v>
          </cell>
        </row>
        <row r="300">
          <cell r="A300" t="str">
            <v>5 P</v>
          </cell>
          <cell r="B300"/>
          <cell r="C300">
            <v>45536</v>
          </cell>
          <cell r="D300" t="str">
            <v>یونس صاحب</v>
          </cell>
          <cell r="E300" t="str">
            <v>جیلانی پولی سٹاک</v>
          </cell>
        </row>
        <row r="301">
          <cell r="A301" t="str">
            <v>6 P</v>
          </cell>
          <cell r="B301"/>
          <cell r="C301">
            <v>45536</v>
          </cell>
          <cell r="D301" t="str">
            <v>یونس صاحب</v>
          </cell>
          <cell r="E301" t="str">
            <v>جیلانی پولی سٹاک</v>
          </cell>
        </row>
        <row r="302">
          <cell r="A302" t="str">
            <v>7 P</v>
          </cell>
          <cell r="B302"/>
          <cell r="C302">
            <v>45536</v>
          </cell>
          <cell r="D302" t="str">
            <v>یونس صاحب</v>
          </cell>
          <cell r="E302" t="str">
            <v>جیلانی پولی سٹاک</v>
          </cell>
        </row>
        <row r="303">
          <cell r="A303" t="str">
            <v>8 P</v>
          </cell>
          <cell r="B303"/>
          <cell r="C303">
            <v>45536</v>
          </cell>
          <cell r="D303" t="str">
            <v>یونس صاحب</v>
          </cell>
          <cell r="E303" t="str">
            <v>جیلانی پولی سٹاک</v>
          </cell>
        </row>
        <row r="304">
          <cell r="A304" t="str">
            <v>9 P</v>
          </cell>
          <cell r="B304"/>
          <cell r="C304">
            <v>45536</v>
          </cell>
          <cell r="D304" t="str">
            <v>یونس صاحب</v>
          </cell>
          <cell r="E304" t="str">
            <v>جیلانی پولی سٹاک</v>
          </cell>
        </row>
        <row r="305">
          <cell r="A305" t="str">
            <v>10 P</v>
          </cell>
          <cell r="B305"/>
          <cell r="C305">
            <v>45536</v>
          </cell>
          <cell r="D305" t="str">
            <v>یونس صاحب</v>
          </cell>
          <cell r="E305" t="str">
            <v>جیلانی پولی سٹاک</v>
          </cell>
        </row>
        <row r="306">
          <cell r="A306" t="str">
            <v>11 P</v>
          </cell>
          <cell r="B306"/>
          <cell r="C306">
            <v>45536</v>
          </cell>
          <cell r="D306" t="str">
            <v>یونس صاحب</v>
          </cell>
          <cell r="E306" t="str">
            <v>جیلانی پولی سٹاک</v>
          </cell>
        </row>
        <row r="307">
          <cell r="A307" t="str">
            <v>12 P</v>
          </cell>
          <cell r="B307"/>
          <cell r="C307">
            <v>45536</v>
          </cell>
          <cell r="D307" t="str">
            <v>یونس صاحب</v>
          </cell>
          <cell r="E307" t="str">
            <v>جیلانی پولی سٹاک</v>
          </cell>
        </row>
        <row r="308">
          <cell r="A308" t="str">
            <v>13 P</v>
          </cell>
          <cell r="B308"/>
          <cell r="C308">
            <v>45536</v>
          </cell>
          <cell r="D308" t="str">
            <v>یونس صاحب</v>
          </cell>
          <cell r="E308" t="str">
            <v>جیلانی پولی سٹاک</v>
          </cell>
        </row>
        <row r="309">
          <cell r="A309" t="str">
            <v>14 P</v>
          </cell>
          <cell r="B309"/>
          <cell r="C309">
            <v>45536</v>
          </cell>
          <cell r="D309" t="str">
            <v>یونس صاحب</v>
          </cell>
          <cell r="E309" t="str">
            <v>جیلانی پولی سٹاک</v>
          </cell>
        </row>
        <row r="310">
          <cell r="A310" t="str">
            <v>15 P</v>
          </cell>
          <cell r="B310"/>
          <cell r="C310">
            <v>45536</v>
          </cell>
          <cell r="D310" t="str">
            <v>یونس صاحب</v>
          </cell>
          <cell r="E310" t="str">
            <v>جیلانی پولی سٹاک</v>
          </cell>
        </row>
        <row r="311">
          <cell r="A311" t="str">
            <v>16 P</v>
          </cell>
          <cell r="B311"/>
          <cell r="C311">
            <v>45536</v>
          </cell>
          <cell r="D311" t="str">
            <v>یونس صاحب</v>
          </cell>
          <cell r="E311" t="str">
            <v>جیلانی پولی سٹاک</v>
          </cell>
        </row>
        <row r="312">
          <cell r="A312" t="str">
            <v>17 P</v>
          </cell>
          <cell r="B312"/>
          <cell r="C312">
            <v>45536</v>
          </cell>
          <cell r="D312" t="str">
            <v>یونس صاحب</v>
          </cell>
          <cell r="E312" t="str">
            <v>جیلانی پولی سٹاک</v>
          </cell>
        </row>
        <row r="313">
          <cell r="A313" t="str">
            <v>18 P</v>
          </cell>
          <cell r="B313"/>
          <cell r="C313">
            <v>45536</v>
          </cell>
          <cell r="D313" t="str">
            <v>یونس صاحب</v>
          </cell>
          <cell r="E313" t="str">
            <v>جیلانی پولی سٹاک</v>
          </cell>
        </row>
        <row r="314">
          <cell r="A314" t="str">
            <v>19 P</v>
          </cell>
          <cell r="B314"/>
          <cell r="C314">
            <v>45536</v>
          </cell>
          <cell r="D314" t="str">
            <v>یونس صاحب</v>
          </cell>
          <cell r="E314" t="str">
            <v>جیلانی پولی سٹاک</v>
          </cell>
        </row>
        <row r="315">
          <cell r="A315" t="str">
            <v>20 P</v>
          </cell>
          <cell r="B315"/>
          <cell r="C315">
            <v>45536</v>
          </cell>
          <cell r="D315" t="str">
            <v>یونس صاحب</v>
          </cell>
          <cell r="E315" t="str">
            <v>جیلانی پولی سٹاک</v>
          </cell>
        </row>
        <row r="316">
          <cell r="A316" t="str">
            <v>21 P</v>
          </cell>
          <cell r="B316"/>
          <cell r="C316">
            <v>45536</v>
          </cell>
          <cell r="D316" t="str">
            <v>یونس صاحب</v>
          </cell>
          <cell r="E316" t="str">
            <v>جیلانی پولی سٹاک</v>
          </cell>
        </row>
        <row r="317">
          <cell r="A317" t="str">
            <v>22 P</v>
          </cell>
          <cell r="B317"/>
          <cell r="C317">
            <v>45536</v>
          </cell>
          <cell r="D317" t="str">
            <v>یونس صاحب</v>
          </cell>
          <cell r="E317" t="str">
            <v>جیلانی پولی سٹاک</v>
          </cell>
        </row>
        <row r="318">
          <cell r="A318" t="str">
            <v>23 P</v>
          </cell>
          <cell r="B318"/>
          <cell r="C318">
            <v>45536</v>
          </cell>
          <cell r="D318" t="str">
            <v>یونس صاحب</v>
          </cell>
          <cell r="E318" t="str">
            <v>جیلانی پولی سٹاک</v>
          </cell>
        </row>
        <row r="319">
          <cell r="A319" t="str">
            <v>24 P</v>
          </cell>
          <cell r="B319"/>
          <cell r="C319">
            <v>45536</v>
          </cell>
          <cell r="D319" t="str">
            <v>یونس صاحب</v>
          </cell>
          <cell r="E319" t="str">
            <v>جیلانی پولی سٹاک</v>
          </cell>
        </row>
        <row r="320">
          <cell r="A320" t="str">
            <v>25 P</v>
          </cell>
          <cell r="B320"/>
          <cell r="C320">
            <v>45536</v>
          </cell>
          <cell r="D320" t="str">
            <v>یونس صاحب</v>
          </cell>
          <cell r="E320" t="str">
            <v>جیلانی پولی سٹاک</v>
          </cell>
        </row>
        <row r="321">
          <cell r="A321" t="str">
            <v>26 P</v>
          </cell>
          <cell r="B321"/>
          <cell r="C321">
            <v>45536</v>
          </cell>
          <cell r="D321" t="str">
            <v>یونس صاحب</v>
          </cell>
          <cell r="E321" t="str">
            <v>جیلانی پولی سٹاک</v>
          </cell>
        </row>
        <row r="322">
          <cell r="A322" t="str">
            <v>27 P</v>
          </cell>
          <cell r="B322"/>
          <cell r="C322">
            <v>45536</v>
          </cell>
          <cell r="D322" t="str">
            <v>یونس صاحب</v>
          </cell>
          <cell r="E322" t="str">
            <v>جیلانی پولی سٹاک</v>
          </cell>
        </row>
        <row r="323">
          <cell r="A323" t="str">
            <v>28 P</v>
          </cell>
          <cell r="B323"/>
          <cell r="C323">
            <v>44869</v>
          </cell>
          <cell r="D323" t="str">
            <v>یونس صاحب</v>
          </cell>
          <cell r="E323" t="str">
            <v>جیلانی پولی سٹاک</v>
          </cell>
        </row>
        <row r="324">
          <cell r="A324" t="str">
            <v>29 P</v>
          </cell>
          <cell r="B324"/>
          <cell r="C324">
            <v>44869</v>
          </cell>
          <cell r="D324" t="str">
            <v>یونس صاحب</v>
          </cell>
          <cell r="E324" t="str">
            <v>جیلانی پولی سٹاک</v>
          </cell>
        </row>
        <row r="325">
          <cell r="A325" t="str">
            <v>30 P</v>
          </cell>
          <cell r="B325"/>
          <cell r="C325">
            <v>44869</v>
          </cell>
          <cell r="D325" t="str">
            <v>یونس صاحب</v>
          </cell>
          <cell r="E325" t="str">
            <v>جیلانی پولی سٹاک</v>
          </cell>
        </row>
        <row r="326">
          <cell r="A326" t="str">
            <v>31 P</v>
          </cell>
          <cell r="B326"/>
          <cell r="C326">
            <v>44869</v>
          </cell>
          <cell r="D326" t="str">
            <v>یونس صاحب</v>
          </cell>
          <cell r="E326" t="str">
            <v>جیلانی پولی سٹاک</v>
          </cell>
        </row>
        <row r="327">
          <cell r="A327" t="str">
            <v>32 P</v>
          </cell>
          <cell r="B327"/>
          <cell r="C327">
            <v>44869</v>
          </cell>
          <cell r="D327" t="str">
            <v>یونس صاحب</v>
          </cell>
          <cell r="E327" t="str">
            <v>جیلانی پولی سٹاک</v>
          </cell>
        </row>
        <row r="328">
          <cell r="A328" t="str">
            <v>33 P</v>
          </cell>
          <cell r="B328"/>
          <cell r="C328">
            <v>44869</v>
          </cell>
          <cell r="D328" t="str">
            <v>یونس صاحب</v>
          </cell>
          <cell r="E328" t="str">
            <v>جیلانی پولی سٹاک</v>
          </cell>
        </row>
        <row r="329">
          <cell r="A329" t="str">
            <v>34 P</v>
          </cell>
          <cell r="B329"/>
          <cell r="C329">
            <v>44869</v>
          </cell>
          <cell r="D329" t="str">
            <v>یونس صاحب</v>
          </cell>
          <cell r="E329" t="str">
            <v>جیلانی پولی سٹاک</v>
          </cell>
        </row>
        <row r="330">
          <cell r="A330" t="str">
            <v>35 P</v>
          </cell>
          <cell r="B330"/>
          <cell r="C330">
            <v>44869</v>
          </cell>
          <cell r="D330" t="str">
            <v>یونس صاحب</v>
          </cell>
          <cell r="E330" t="str">
            <v>جیلانی پولی سٹاک</v>
          </cell>
        </row>
        <row r="331">
          <cell r="A331" t="str">
            <v>36 P</v>
          </cell>
          <cell r="B331"/>
          <cell r="C331">
            <v>44869</v>
          </cell>
          <cell r="D331" t="str">
            <v>یونس صاحب</v>
          </cell>
          <cell r="E331" t="str">
            <v>جیلانی پولی سٹاک</v>
          </cell>
        </row>
        <row r="332">
          <cell r="A332" t="str">
            <v>37 P</v>
          </cell>
          <cell r="B332"/>
          <cell r="C332">
            <v>44869</v>
          </cell>
          <cell r="D332" t="str">
            <v>یونس صاحب</v>
          </cell>
          <cell r="E332" t="str">
            <v>جیلانی پولی سٹاک</v>
          </cell>
        </row>
        <row r="333">
          <cell r="A333" t="str">
            <v>38 P</v>
          </cell>
          <cell r="B333"/>
          <cell r="C333">
            <v>44869</v>
          </cell>
          <cell r="D333" t="str">
            <v>یونس صاحب</v>
          </cell>
          <cell r="E333" t="str">
            <v>جیلانی پولی سٹاک</v>
          </cell>
        </row>
        <row r="334">
          <cell r="A334" t="str">
            <v>39 P</v>
          </cell>
          <cell r="B334"/>
          <cell r="C334">
            <v>44869</v>
          </cell>
          <cell r="D334" t="str">
            <v>یونس صاحب</v>
          </cell>
          <cell r="E334" t="str">
            <v>جیلانی پولی سٹاک</v>
          </cell>
        </row>
        <row r="335">
          <cell r="A335" t="str">
            <v>40 P</v>
          </cell>
          <cell r="B335"/>
          <cell r="C335">
            <v>44869</v>
          </cell>
          <cell r="D335" t="str">
            <v>یونس صاحب</v>
          </cell>
          <cell r="E335" t="str">
            <v>جیلانی پولی سٹاک</v>
          </cell>
        </row>
        <row r="336">
          <cell r="A336" t="str">
            <v>41 P</v>
          </cell>
          <cell r="B336"/>
          <cell r="C336">
            <v>44869</v>
          </cell>
          <cell r="D336" t="str">
            <v>یونس صاحب</v>
          </cell>
          <cell r="E336" t="str">
            <v>جیلانی پولی سٹاک</v>
          </cell>
        </row>
        <row r="337">
          <cell r="A337" t="str">
            <v>42 P</v>
          </cell>
          <cell r="B337"/>
          <cell r="C337">
            <v>44869</v>
          </cell>
          <cell r="D337" t="str">
            <v>یونس صاحب</v>
          </cell>
          <cell r="E337" t="str">
            <v>جیلانی پولی سٹاک</v>
          </cell>
        </row>
        <row r="338">
          <cell r="A338" t="str">
            <v>43 P</v>
          </cell>
          <cell r="B338"/>
          <cell r="C338">
            <v>44869</v>
          </cell>
          <cell r="D338" t="str">
            <v>یونس صاحب</v>
          </cell>
          <cell r="E338" t="str">
            <v>جیلانی پولی سٹاک</v>
          </cell>
        </row>
        <row r="339">
          <cell r="A339" t="str">
            <v>44 P</v>
          </cell>
          <cell r="B339"/>
          <cell r="C339">
            <v>44869</v>
          </cell>
          <cell r="D339" t="str">
            <v>یونس صاحب</v>
          </cell>
          <cell r="E339" t="str">
            <v>جیلانی پولی سٹاک</v>
          </cell>
        </row>
        <row r="340">
          <cell r="A340" t="str">
            <v>45 P</v>
          </cell>
          <cell r="B340"/>
          <cell r="C340">
            <v>44869</v>
          </cell>
          <cell r="D340" t="str">
            <v>یونس صاحب</v>
          </cell>
          <cell r="E340" t="str">
            <v>جیلانی پولی سٹاک</v>
          </cell>
        </row>
        <row r="341">
          <cell r="A341" t="str">
            <v>46 P</v>
          </cell>
          <cell r="B341"/>
          <cell r="C341">
            <v>44869</v>
          </cell>
          <cell r="D341" t="str">
            <v>یونس صاحب</v>
          </cell>
          <cell r="E341" t="str">
            <v>جیلانی پولی سٹاک</v>
          </cell>
        </row>
        <row r="342">
          <cell r="A342" t="str">
            <v>47 P</v>
          </cell>
          <cell r="B342"/>
          <cell r="C342">
            <v>44869</v>
          </cell>
          <cell r="D342" t="str">
            <v>یونس صاحب</v>
          </cell>
          <cell r="E342" t="str">
            <v>جیلانی پولی سٹاک</v>
          </cell>
        </row>
        <row r="343">
          <cell r="A343" t="str">
            <v>48 P</v>
          </cell>
          <cell r="B343"/>
          <cell r="C343">
            <v>44869</v>
          </cell>
          <cell r="D343" t="str">
            <v>یونس صاحب</v>
          </cell>
          <cell r="E343" t="str">
            <v>جیلانی پولی سٹاک</v>
          </cell>
        </row>
        <row r="344">
          <cell r="A344" t="str">
            <v>49 P</v>
          </cell>
          <cell r="B344"/>
          <cell r="C344">
            <v>44869</v>
          </cell>
          <cell r="D344" t="str">
            <v>یونس صاحب</v>
          </cell>
          <cell r="E344" t="str">
            <v>جیلانی پولی سٹاک</v>
          </cell>
        </row>
        <row r="345">
          <cell r="A345" t="str">
            <v>50 P</v>
          </cell>
          <cell r="B345"/>
          <cell r="C345">
            <v>44869</v>
          </cell>
          <cell r="D345" t="str">
            <v>یونس صاحب</v>
          </cell>
          <cell r="E345" t="str">
            <v>جیلانی پولی سٹاک</v>
          </cell>
        </row>
        <row r="346">
          <cell r="A346" t="str">
            <v>51 P</v>
          </cell>
          <cell r="B346"/>
          <cell r="C346">
            <v>44869</v>
          </cell>
          <cell r="D346" t="str">
            <v>یونس صاحب</v>
          </cell>
          <cell r="E346" t="str">
            <v>جیلانی پولی سٹاک</v>
          </cell>
        </row>
        <row r="347">
          <cell r="A347" t="str">
            <v>52 P</v>
          </cell>
          <cell r="B347"/>
          <cell r="C347">
            <v>44869</v>
          </cell>
          <cell r="D347" t="str">
            <v>یونس صاحب</v>
          </cell>
          <cell r="E347" t="str">
            <v>جیلانی پولی سٹاک</v>
          </cell>
        </row>
        <row r="348">
          <cell r="A348" t="str">
            <v>53 P</v>
          </cell>
          <cell r="B348"/>
          <cell r="C348">
            <v>44869</v>
          </cell>
          <cell r="D348" t="str">
            <v>یونس صاحب</v>
          </cell>
          <cell r="E348" t="str">
            <v>جیلانی پولی سٹاک</v>
          </cell>
        </row>
        <row r="349">
          <cell r="A349" t="str">
            <v>54 P</v>
          </cell>
          <cell r="B349"/>
          <cell r="C349">
            <v>44869</v>
          </cell>
          <cell r="D349" t="str">
            <v>یونس صاحب</v>
          </cell>
          <cell r="E349" t="str">
            <v>جیلانی پولی سٹاک</v>
          </cell>
        </row>
        <row r="350">
          <cell r="A350" t="str">
            <v>55 P</v>
          </cell>
          <cell r="B350"/>
          <cell r="C350">
            <v>44869</v>
          </cell>
          <cell r="D350" t="str">
            <v>یونس صاحب</v>
          </cell>
          <cell r="E350" t="str">
            <v>جیلانی پولی سٹاک</v>
          </cell>
        </row>
        <row r="351">
          <cell r="A351" t="str">
            <v>56 P</v>
          </cell>
          <cell r="B351"/>
          <cell r="C351">
            <v>44869</v>
          </cell>
          <cell r="D351" t="str">
            <v>یونس صاحب</v>
          </cell>
          <cell r="E351" t="str">
            <v>جیلانی پولی سٹاک</v>
          </cell>
        </row>
        <row r="352">
          <cell r="A352" t="str">
            <v>57 P</v>
          </cell>
          <cell r="B352"/>
          <cell r="C352">
            <v>44869</v>
          </cell>
          <cell r="D352" t="str">
            <v>یونس صاحب</v>
          </cell>
          <cell r="E352" t="str">
            <v>جیلانی پولی سٹاک</v>
          </cell>
        </row>
        <row r="353">
          <cell r="A353" t="str">
            <v>58 P</v>
          </cell>
          <cell r="B353"/>
          <cell r="C353">
            <v>44869</v>
          </cell>
          <cell r="D353" t="str">
            <v>یونس صاحب</v>
          </cell>
          <cell r="E353" t="str">
            <v>جیلانی پولی سٹاک</v>
          </cell>
        </row>
        <row r="354">
          <cell r="A354" t="str">
            <v>59 P</v>
          </cell>
          <cell r="B354"/>
          <cell r="C354">
            <v>44869</v>
          </cell>
          <cell r="D354" t="str">
            <v>یونس صاحب</v>
          </cell>
          <cell r="E354" t="str">
            <v>جیلانی پولی سٹاک</v>
          </cell>
        </row>
        <row r="355">
          <cell r="A355" t="str">
            <v>60 P</v>
          </cell>
          <cell r="B355"/>
          <cell r="C355">
            <v>44869</v>
          </cell>
          <cell r="D355" t="str">
            <v>یونس صاحب</v>
          </cell>
          <cell r="E355" t="str">
            <v>جیلانی پولی سٹاک</v>
          </cell>
        </row>
        <row r="356">
          <cell r="A356" t="str">
            <v>61 P</v>
          </cell>
          <cell r="B356"/>
          <cell r="C356">
            <v>44869</v>
          </cell>
          <cell r="D356" t="str">
            <v>یونس صاحب</v>
          </cell>
          <cell r="E356" t="str">
            <v>جیلانی پولی سٹاک</v>
          </cell>
        </row>
        <row r="357">
          <cell r="A357" t="str">
            <v>62 P</v>
          </cell>
          <cell r="B357"/>
          <cell r="C357">
            <v>44869</v>
          </cell>
          <cell r="D357" t="str">
            <v>یونس صاحب</v>
          </cell>
          <cell r="E357" t="str">
            <v>جیلانی پولی سٹاک</v>
          </cell>
        </row>
        <row r="358">
          <cell r="A358" t="str">
            <v>63 P</v>
          </cell>
          <cell r="B358"/>
          <cell r="C358">
            <v>44869</v>
          </cell>
          <cell r="D358" t="str">
            <v>یونس صاحب</v>
          </cell>
          <cell r="E358" t="str">
            <v>جیلانی پولی سٹاک</v>
          </cell>
        </row>
        <row r="359">
          <cell r="A359" t="str">
            <v>64 P</v>
          </cell>
          <cell r="B359"/>
          <cell r="C359">
            <v>44869</v>
          </cell>
          <cell r="D359" t="str">
            <v>یونس صاحب</v>
          </cell>
          <cell r="E359" t="str">
            <v>جیلانی پولی سٹاک</v>
          </cell>
        </row>
        <row r="360">
          <cell r="A360" t="str">
            <v>65 P</v>
          </cell>
          <cell r="B360"/>
          <cell r="C360">
            <v>44869</v>
          </cell>
          <cell r="D360" t="str">
            <v>یونس صاحب</v>
          </cell>
          <cell r="E360" t="str">
            <v>جیلانی پولی سٹاک</v>
          </cell>
        </row>
        <row r="361">
          <cell r="A361" t="str">
            <v>66 P</v>
          </cell>
          <cell r="B361"/>
          <cell r="C361">
            <v>44869</v>
          </cell>
          <cell r="D361" t="str">
            <v>یونس صاحب</v>
          </cell>
          <cell r="E361" t="str">
            <v>جیلانی پولی سٹاک</v>
          </cell>
        </row>
        <row r="362">
          <cell r="A362" t="str">
            <v>67 P</v>
          </cell>
          <cell r="B362"/>
          <cell r="C362">
            <v>44869</v>
          </cell>
          <cell r="D362" t="str">
            <v>یونس صاحب</v>
          </cell>
          <cell r="E362" t="str">
            <v>جیلانی پولی سٹاک</v>
          </cell>
        </row>
        <row r="363">
          <cell r="A363" t="str">
            <v>68 P</v>
          </cell>
          <cell r="B363"/>
          <cell r="C363">
            <v>44869</v>
          </cell>
          <cell r="D363" t="str">
            <v>یونس صاحب</v>
          </cell>
          <cell r="E363" t="str">
            <v>جیلانی پولی سٹاک</v>
          </cell>
        </row>
        <row r="364">
          <cell r="A364" t="str">
            <v>69 P</v>
          </cell>
          <cell r="B364"/>
          <cell r="C364">
            <v>44869</v>
          </cell>
          <cell r="D364" t="str">
            <v>یونس صاحب</v>
          </cell>
          <cell r="E364" t="str">
            <v>جیلانی پولی سٹاک</v>
          </cell>
        </row>
        <row r="365">
          <cell r="A365" t="str">
            <v>70 P</v>
          </cell>
          <cell r="B365"/>
          <cell r="C365">
            <v>44869</v>
          </cell>
          <cell r="D365" t="str">
            <v>یونس صاحب</v>
          </cell>
          <cell r="E365" t="str">
            <v>جیلانی پولی سٹاک</v>
          </cell>
        </row>
        <row r="366">
          <cell r="A366" t="str">
            <v>71 P</v>
          </cell>
          <cell r="B366"/>
          <cell r="C366">
            <v>44869</v>
          </cell>
          <cell r="D366" t="str">
            <v>یونس صاحب</v>
          </cell>
          <cell r="E366" t="str">
            <v>جیلانی پولی سٹاک</v>
          </cell>
        </row>
        <row r="367">
          <cell r="A367" t="str">
            <v>72 P</v>
          </cell>
          <cell r="B367"/>
          <cell r="C367">
            <v>44869</v>
          </cell>
          <cell r="D367" t="str">
            <v>یونس صاحب</v>
          </cell>
          <cell r="E367" t="str">
            <v>جیلانی پولی سٹاک</v>
          </cell>
        </row>
        <row r="368">
          <cell r="A368" t="str">
            <v>73 P</v>
          </cell>
          <cell r="B368"/>
          <cell r="C368">
            <v>44869</v>
          </cell>
          <cell r="D368" t="str">
            <v>یونس صاحب</v>
          </cell>
          <cell r="E368" t="str">
            <v>جیلانی پولی سٹاک</v>
          </cell>
        </row>
        <row r="369">
          <cell r="A369" t="str">
            <v>74 P</v>
          </cell>
          <cell r="B369"/>
          <cell r="C369">
            <v>44869</v>
          </cell>
          <cell r="D369" t="str">
            <v>یونس صاحب</v>
          </cell>
          <cell r="E369" t="str">
            <v>جیلانی پولی سٹاک</v>
          </cell>
        </row>
        <row r="370">
          <cell r="A370" t="str">
            <v>75 P</v>
          </cell>
          <cell r="B370"/>
          <cell r="C370">
            <v>44869</v>
          </cell>
          <cell r="D370" t="str">
            <v>یونس صاحب</v>
          </cell>
          <cell r="E370" t="str">
            <v>جیلانی پولی سٹاک</v>
          </cell>
        </row>
        <row r="371">
          <cell r="A371" t="str">
            <v>76 P</v>
          </cell>
          <cell r="B371"/>
          <cell r="C371">
            <v>44869</v>
          </cell>
          <cell r="D371" t="str">
            <v>یونس صاحب</v>
          </cell>
          <cell r="E371" t="str">
            <v>جیلانی پولی سٹاک</v>
          </cell>
        </row>
        <row r="372">
          <cell r="A372" t="str">
            <v>77 P</v>
          </cell>
          <cell r="B372"/>
          <cell r="C372">
            <v>44869</v>
          </cell>
          <cell r="D372" t="str">
            <v>یونس صاحب</v>
          </cell>
          <cell r="E372" t="str">
            <v>جیلانی پولی سٹاک</v>
          </cell>
        </row>
        <row r="373">
          <cell r="A373" t="str">
            <v>78 P</v>
          </cell>
          <cell r="B373"/>
          <cell r="C373">
            <v>44869</v>
          </cell>
          <cell r="D373" t="str">
            <v>یونس صاحب</v>
          </cell>
          <cell r="E373" t="str">
            <v>جیلانی پولی سٹاک</v>
          </cell>
        </row>
        <row r="374">
          <cell r="A374" t="str">
            <v>79 P</v>
          </cell>
          <cell r="B374"/>
          <cell r="C374">
            <v>44869</v>
          </cell>
          <cell r="D374" t="str">
            <v>یونس صاحب</v>
          </cell>
          <cell r="E374" t="str">
            <v>جیلانی پولی سٹاک</v>
          </cell>
        </row>
        <row r="375">
          <cell r="A375" t="str">
            <v>80 P</v>
          </cell>
          <cell r="B375"/>
          <cell r="C375">
            <v>44869</v>
          </cell>
          <cell r="D375" t="str">
            <v>یونس صاحب</v>
          </cell>
          <cell r="E375" t="str">
            <v>جیلانی پولی سٹاک</v>
          </cell>
        </row>
        <row r="376">
          <cell r="A376" t="str">
            <v>81 P</v>
          </cell>
          <cell r="B376"/>
          <cell r="C376">
            <v>44869</v>
          </cell>
          <cell r="D376" t="str">
            <v>یونس صاحب</v>
          </cell>
          <cell r="E376" t="str">
            <v>جیلانی پولی سٹاک</v>
          </cell>
        </row>
        <row r="377">
          <cell r="A377" t="str">
            <v>82 P</v>
          </cell>
          <cell r="B377"/>
          <cell r="C377">
            <v>44869</v>
          </cell>
          <cell r="D377" t="str">
            <v>یونس صاحب</v>
          </cell>
          <cell r="E377" t="str">
            <v>جیلانی پولی سٹاک</v>
          </cell>
        </row>
        <row r="378">
          <cell r="A378" t="str">
            <v>83 P</v>
          </cell>
          <cell r="B378"/>
          <cell r="C378">
            <v>44869</v>
          </cell>
          <cell r="D378" t="str">
            <v>یونس صاحب</v>
          </cell>
          <cell r="E378" t="str">
            <v>جیلانی پولی سٹاک</v>
          </cell>
        </row>
        <row r="379">
          <cell r="A379" t="str">
            <v>84 P</v>
          </cell>
          <cell r="B379"/>
          <cell r="C379">
            <v>44869</v>
          </cell>
          <cell r="D379" t="str">
            <v>یونس صاحب</v>
          </cell>
          <cell r="E379" t="str">
            <v>جیلانی پولی سٹاک</v>
          </cell>
        </row>
        <row r="380">
          <cell r="A380" t="str">
            <v>85 P</v>
          </cell>
          <cell r="B380"/>
          <cell r="C380">
            <v>44869</v>
          </cell>
          <cell r="D380" t="str">
            <v>یونس صاحب</v>
          </cell>
          <cell r="E380" t="str">
            <v>جیلانی پولی سٹاک</v>
          </cell>
        </row>
        <row r="381">
          <cell r="A381" t="str">
            <v>86 P</v>
          </cell>
          <cell r="B381"/>
          <cell r="C381">
            <v>44869</v>
          </cell>
          <cell r="D381" t="str">
            <v>یونس صاحب</v>
          </cell>
          <cell r="E381" t="str">
            <v>جیلانی پولی سٹاک</v>
          </cell>
        </row>
        <row r="382">
          <cell r="A382" t="str">
            <v>87 P</v>
          </cell>
          <cell r="B382"/>
          <cell r="C382">
            <v>44869</v>
          </cell>
          <cell r="D382" t="str">
            <v>یونس صاحب</v>
          </cell>
          <cell r="E382" t="str">
            <v>جیلانی پولی سٹاک</v>
          </cell>
        </row>
        <row r="383">
          <cell r="A383" t="str">
            <v>88 P</v>
          </cell>
          <cell r="B383"/>
          <cell r="C383">
            <v>44869</v>
          </cell>
          <cell r="D383" t="str">
            <v>یونس صاحب</v>
          </cell>
          <cell r="E383" t="str">
            <v>جیلانی پولی سٹاک</v>
          </cell>
        </row>
        <row r="384">
          <cell r="A384" t="str">
            <v>89 P</v>
          </cell>
          <cell r="B384"/>
          <cell r="C384">
            <v>44869</v>
          </cell>
          <cell r="D384" t="str">
            <v>یونس صاحب</v>
          </cell>
          <cell r="E384" t="str">
            <v>جیلانی پولی سٹاک</v>
          </cell>
        </row>
        <row r="385">
          <cell r="A385" t="str">
            <v>90 P</v>
          </cell>
          <cell r="B385"/>
          <cell r="C385">
            <v>44869</v>
          </cell>
          <cell r="D385" t="str">
            <v>یونس صاحب</v>
          </cell>
          <cell r="E385" t="str">
            <v>جیلانی پولی سٹاک</v>
          </cell>
        </row>
        <row r="386">
          <cell r="A386" t="str">
            <v>91 P</v>
          </cell>
          <cell r="B386"/>
          <cell r="C386">
            <v>44869</v>
          </cell>
          <cell r="D386" t="str">
            <v>یونس صاحب</v>
          </cell>
          <cell r="E386" t="str">
            <v>جیلانی پولی سٹاک</v>
          </cell>
        </row>
        <row r="387">
          <cell r="A387" t="str">
            <v>92 P</v>
          </cell>
          <cell r="B387"/>
          <cell r="C387">
            <v>44869</v>
          </cell>
          <cell r="D387" t="str">
            <v>یونس صاحب</v>
          </cell>
          <cell r="E387" t="str">
            <v>جیلانی پولی سٹاک</v>
          </cell>
        </row>
        <row r="388">
          <cell r="A388" t="str">
            <v>93 P</v>
          </cell>
          <cell r="B388"/>
          <cell r="C388">
            <v>44869</v>
          </cell>
          <cell r="D388" t="str">
            <v>یونس صاحب</v>
          </cell>
          <cell r="E388" t="str">
            <v>جیلانی پولی سٹاک</v>
          </cell>
        </row>
        <row r="389">
          <cell r="A389" t="str">
            <v>94 P</v>
          </cell>
          <cell r="B389"/>
          <cell r="C389">
            <v>44869</v>
          </cell>
          <cell r="D389" t="str">
            <v>یونس صاحب</v>
          </cell>
          <cell r="E389" t="str">
            <v>جیلانی پولی سٹاک</v>
          </cell>
        </row>
        <row r="390">
          <cell r="A390" t="str">
            <v>95 P</v>
          </cell>
          <cell r="B390"/>
          <cell r="C390">
            <v>44869</v>
          </cell>
          <cell r="D390" t="str">
            <v>یونس صاحب</v>
          </cell>
          <cell r="E390" t="str">
            <v>جیلانی پولی سٹاک</v>
          </cell>
        </row>
        <row r="391">
          <cell r="A391" t="str">
            <v>96 P</v>
          </cell>
          <cell r="B391"/>
          <cell r="C391">
            <v>44869</v>
          </cell>
          <cell r="D391" t="str">
            <v>یونس صاحب</v>
          </cell>
          <cell r="E391" t="str">
            <v>جیلانی پولی سٹاک</v>
          </cell>
        </row>
        <row r="392">
          <cell r="A392" t="str">
            <v>97 P</v>
          </cell>
          <cell r="B392"/>
          <cell r="C392">
            <v>44869</v>
          </cell>
          <cell r="D392" t="str">
            <v>یونس صاحب</v>
          </cell>
          <cell r="E392" t="str">
            <v>جیلانی پولی سٹاک</v>
          </cell>
        </row>
        <row r="393">
          <cell r="A393" t="str">
            <v>98 P</v>
          </cell>
          <cell r="B393"/>
          <cell r="C393">
            <v>44869</v>
          </cell>
          <cell r="D393" t="str">
            <v>یونس صاحب</v>
          </cell>
          <cell r="E393" t="str">
            <v>جیلانی پولی سٹاک</v>
          </cell>
        </row>
        <row r="394">
          <cell r="A394" t="str">
            <v>99 P</v>
          </cell>
          <cell r="B394"/>
          <cell r="C394">
            <v>44869</v>
          </cell>
          <cell r="D394" t="str">
            <v>یونس صاحب</v>
          </cell>
          <cell r="E394" t="str">
            <v>جیلانی پولی سٹاک</v>
          </cell>
        </row>
        <row r="395">
          <cell r="A395" t="str">
            <v>100 P</v>
          </cell>
          <cell r="B395"/>
          <cell r="C395">
            <v>44869</v>
          </cell>
          <cell r="D395" t="str">
            <v>یونس صاحب</v>
          </cell>
          <cell r="E395" t="str">
            <v>جیلانی پولی سٹاک</v>
          </cell>
        </row>
        <row r="396">
          <cell r="A396" t="str">
            <v>101 P</v>
          </cell>
          <cell r="B396"/>
          <cell r="C396">
            <v>44869</v>
          </cell>
          <cell r="D396" t="str">
            <v>یونس صاحب</v>
          </cell>
          <cell r="E396" t="str">
            <v>جیلانی پولی سٹاک</v>
          </cell>
        </row>
        <row r="397">
          <cell r="A397" t="str">
            <v>102 P</v>
          </cell>
          <cell r="B397"/>
          <cell r="C397">
            <v>44869</v>
          </cell>
          <cell r="D397" t="str">
            <v>یونس صاحب</v>
          </cell>
          <cell r="E397" t="str">
            <v>جیلانی پولی سٹاک</v>
          </cell>
        </row>
        <row r="398">
          <cell r="A398" t="str">
            <v>103 P</v>
          </cell>
          <cell r="B398"/>
          <cell r="C398">
            <v>44869</v>
          </cell>
          <cell r="D398" t="str">
            <v>یونس صاحب</v>
          </cell>
          <cell r="E398" t="str">
            <v>جیلانی پولی سٹاک</v>
          </cell>
        </row>
        <row r="399">
          <cell r="A399" t="str">
            <v>104 P</v>
          </cell>
          <cell r="B399"/>
          <cell r="C399">
            <v>44869</v>
          </cell>
          <cell r="D399" t="str">
            <v>یونس صاحب</v>
          </cell>
          <cell r="E399" t="str">
            <v>جیلانی پولی سٹاک</v>
          </cell>
        </row>
        <row r="400">
          <cell r="A400" t="str">
            <v>105 P</v>
          </cell>
          <cell r="B400"/>
          <cell r="C400">
            <v>44869</v>
          </cell>
          <cell r="D400" t="str">
            <v>یونس صاحب</v>
          </cell>
          <cell r="E400" t="str">
            <v>جیلانی پولی سٹاک</v>
          </cell>
        </row>
        <row r="401">
          <cell r="A401" t="str">
            <v>106 P</v>
          </cell>
          <cell r="B401"/>
          <cell r="C401">
            <v>44869</v>
          </cell>
          <cell r="D401" t="str">
            <v>یونس صاحب</v>
          </cell>
          <cell r="E401" t="str">
            <v>جیلانی پولی سٹاک</v>
          </cell>
        </row>
        <row r="402">
          <cell r="A402" t="str">
            <v>107 P</v>
          </cell>
          <cell r="B402"/>
          <cell r="C402">
            <v>44869</v>
          </cell>
          <cell r="D402" t="str">
            <v>یونس صاحب</v>
          </cell>
          <cell r="E402" t="str">
            <v>جیلانی پولی سٹاک</v>
          </cell>
        </row>
        <row r="403">
          <cell r="A403" t="str">
            <v>108 P</v>
          </cell>
          <cell r="B403"/>
          <cell r="C403">
            <v>44869</v>
          </cell>
          <cell r="D403" t="str">
            <v>یونس صاحب</v>
          </cell>
          <cell r="E403" t="str">
            <v>جیلانی پولی سٹاک</v>
          </cell>
        </row>
        <row r="404">
          <cell r="A404" t="str">
            <v>109 P</v>
          </cell>
          <cell r="B404"/>
          <cell r="C404">
            <v>44869</v>
          </cell>
          <cell r="D404" t="str">
            <v>یونس صاحب</v>
          </cell>
          <cell r="E404" t="str">
            <v>جیلانی پولی سٹاک</v>
          </cell>
        </row>
        <row r="405">
          <cell r="A405" t="str">
            <v>110 P</v>
          </cell>
          <cell r="B405"/>
          <cell r="C405">
            <v>44869</v>
          </cell>
          <cell r="D405" t="str">
            <v>یونس صاحب</v>
          </cell>
          <cell r="E405" t="str">
            <v>جیلانی پولی سٹاک</v>
          </cell>
        </row>
        <row r="406">
          <cell r="A406" t="str">
            <v>111 P</v>
          </cell>
          <cell r="B406"/>
          <cell r="C406">
            <v>44869</v>
          </cell>
          <cell r="D406" t="str">
            <v>یونس صاحب</v>
          </cell>
          <cell r="E406" t="str">
            <v>جیلانی پولی سٹاک</v>
          </cell>
        </row>
        <row r="407">
          <cell r="A407" t="str">
            <v>112 P</v>
          </cell>
          <cell r="B407"/>
          <cell r="C407">
            <v>44869</v>
          </cell>
          <cell r="D407" t="str">
            <v>یونس صاحب</v>
          </cell>
          <cell r="E407" t="str">
            <v>جیلانی پولی سٹاک</v>
          </cell>
        </row>
        <row r="408">
          <cell r="A408" t="str">
            <v>113 P</v>
          </cell>
          <cell r="B408"/>
          <cell r="C408">
            <v>44869</v>
          </cell>
          <cell r="D408" t="str">
            <v>یونس صاحب</v>
          </cell>
          <cell r="E408" t="str">
            <v>جیلانی پولی سٹاک</v>
          </cell>
        </row>
        <row r="409">
          <cell r="A409" t="str">
            <v>114 P</v>
          </cell>
          <cell r="B409"/>
          <cell r="C409">
            <v>44869</v>
          </cell>
          <cell r="D409" t="str">
            <v>یونس صاحب</v>
          </cell>
          <cell r="E409" t="str">
            <v>جیلانی پولی سٹاک</v>
          </cell>
        </row>
        <row r="410">
          <cell r="A410" t="str">
            <v>115 P</v>
          </cell>
          <cell r="B410"/>
          <cell r="C410">
            <v>44869</v>
          </cell>
          <cell r="D410" t="str">
            <v>یونس صاحب</v>
          </cell>
          <cell r="E410" t="str">
            <v>جیلانی پولی سٹاک</v>
          </cell>
        </row>
        <row r="411">
          <cell r="A411" t="str">
            <v>116 P</v>
          </cell>
          <cell r="B411"/>
          <cell r="C411">
            <v>44869</v>
          </cell>
          <cell r="D411" t="str">
            <v>یونس صاحب</v>
          </cell>
          <cell r="E411" t="str">
            <v>جیلانی پولی سٹاک</v>
          </cell>
        </row>
        <row r="412">
          <cell r="A412" t="str">
            <v>117 P</v>
          </cell>
          <cell r="B412"/>
          <cell r="C412">
            <v>44869</v>
          </cell>
          <cell r="D412" t="str">
            <v>یونس صاحب</v>
          </cell>
          <cell r="E412" t="str">
            <v>جیلانی پولی سٹاک</v>
          </cell>
        </row>
        <row r="413">
          <cell r="A413" t="str">
            <v>118 P</v>
          </cell>
          <cell r="B413"/>
          <cell r="C413">
            <v>44869</v>
          </cell>
          <cell r="D413" t="str">
            <v>یونس صاحب</v>
          </cell>
          <cell r="E413" t="str">
            <v>جیلانی پولی سٹاک</v>
          </cell>
        </row>
        <row r="414">
          <cell r="A414" t="str">
            <v>119 P</v>
          </cell>
          <cell r="B414"/>
          <cell r="C414">
            <v>44869</v>
          </cell>
          <cell r="D414" t="str">
            <v>یونس صاحب</v>
          </cell>
          <cell r="E414" t="str">
            <v>جیلانی پولی سٹاک</v>
          </cell>
        </row>
        <row r="415">
          <cell r="A415" t="str">
            <v>120 P</v>
          </cell>
          <cell r="B415"/>
          <cell r="C415">
            <v>44869</v>
          </cell>
          <cell r="D415" t="str">
            <v>یونس صاحب</v>
          </cell>
          <cell r="E415" t="str">
            <v>جیلانی پولی سٹاک</v>
          </cell>
        </row>
        <row r="416">
          <cell r="A416" t="str">
            <v>121 P</v>
          </cell>
          <cell r="B416"/>
          <cell r="C416">
            <v>44869</v>
          </cell>
          <cell r="D416" t="str">
            <v>یونس صاحب</v>
          </cell>
          <cell r="E416" t="str">
            <v>جیلانی پولی سٹاک</v>
          </cell>
        </row>
        <row r="417">
          <cell r="A417" t="str">
            <v>122 P</v>
          </cell>
          <cell r="B417"/>
          <cell r="C417">
            <v>44869</v>
          </cell>
          <cell r="D417" t="str">
            <v>یونس صاحب</v>
          </cell>
          <cell r="E417" t="str">
            <v>جیلانی پولی سٹاک</v>
          </cell>
        </row>
        <row r="418">
          <cell r="A418" t="str">
            <v>123 P</v>
          </cell>
          <cell r="B418"/>
          <cell r="C418">
            <v>44869</v>
          </cell>
          <cell r="D418" t="str">
            <v>یونس صاحب</v>
          </cell>
          <cell r="E418" t="str">
            <v>جیلانی پولی سٹاک</v>
          </cell>
        </row>
        <row r="419">
          <cell r="A419" t="str">
            <v>124 P</v>
          </cell>
          <cell r="B419"/>
          <cell r="C419">
            <v>44869</v>
          </cell>
          <cell r="D419" t="str">
            <v>یونس صاحب</v>
          </cell>
          <cell r="E419" t="str">
            <v>جیلانی پولی سٹاک</v>
          </cell>
        </row>
        <row r="420">
          <cell r="A420" t="str">
            <v>125 P</v>
          </cell>
          <cell r="B420"/>
          <cell r="C420">
            <v>44869</v>
          </cell>
          <cell r="D420" t="str">
            <v>یونس صاحب</v>
          </cell>
          <cell r="E420" t="str">
            <v>جیلانی پولی سٹاک</v>
          </cell>
        </row>
        <row r="421">
          <cell r="A421" t="str">
            <v>126 P</v>
          </cell>
          <cell r="B421"/>
          <cell r="C421">
            <v>44869</v>
          </cell>
          <cell r="D421" t="str">
            <v>یونس صاحب</v>
          </cell>
          <cell r="E421" t="str">
            <v>جیلانی پولی سٹاک</v>
          </cell>
        </row>
        <row r="422">
          <cell r="A422" t="str">
            <v>127 P</v>
          </cell>
          <cell r="B422"/>
          <cell r="C422">
            <v>44869</v>
          </cell>
          <cell r="D422" t="str">
            <v>یونس صاحب</v>
          </cell>
          <cell r="E422" t="str">
            <v>جیلانی پولی سٹاک</v>
          </cell>
        </row>
        <row r="423">
          <cell r="A423" t="str">
            <v>128 P</v>
          </cell>
          <cell r="B423"/>
          <cell r="C423">
            <v>44869</v>
          </cell>
          <cell r="D423" t="str">
            <v>یونس صاحب</v>
          </cell>
          <cell r="E423" t="str">
            <v>جیلانی پولی سٹاک</v>
          </cell>
        </row>
        <row r="424">
          <cell r="A424" t="str">
            <v>129 P</v>
          </cell>
          <cell r="B424"/>
          <cell r="C424">
            <v>44869</v>
          </cell>
          <cell r="D424" t="str">
            <v>یونس صاحب</v>
          </cell>
          <cell r="E424" t="str">
            <v>جیلانی پولی سٹاک</v>
          </cell>
        </row>
        <row r="425">
          <cell r="A425" t="str">
            <v>130 P</v>
          </cell>
          <cell r="B425"/>
          <cell r="C425">
            <v>44869</v>
          </cell>
          <cell r="D425" t="str">
            <v>یونس صاحب</v>
          </cell>
          <cell r="E425" t="str">
            <v>جیلانی پولی سٹاک</v>
          </cell>
        </row>
        <row r="426">
          <cell r="A426" t="str">
            <v>131 P</v>
          </cell>
          <cell r="B426"/>
          <cell r="C426">
            <v>44869</v>
          </cell>
          <cell r="D426" t="str">
            <v>یونس صاحب</v>
          </cell>
          <cell r="E426" t="str">
            <v>جیلانی پولی سٹاک</v>
          </cell>
        </row>
        <row r="427">
          <cell r="A427" t="str">
            <v>132 P</v>
          </cell>
          <cell r="B427"/>
          <cell r="C427">
            <v>44869</v>
          </cell>
          <cell r="D427" t="str">
            <v>یونس صاحب</v>
          </cell>
          <cell r="E427" t="str">
            <v>جیلانی پولی سٹاک</v>
          </cell>
        </row>
        <row r="428">
          <cell r="A428" t="str">
            <v>133 P</v>
          </cell>
          <cell r="B428"/>
          <cell r="C428">
            <v>44869</v>
          </cell>
          <cell r="D428" t="str">
            <v>یونس صاحب</v>
          </cell>
          <cell r="E428" t="str">
            <v>جیلانی پولی سٹاک</v>
          </cell>
        </row>
        <row r="429">
          <cell r="A429" t="str">
            <v>134 P</v>
          </cell>
          <cell r="B429"/>
          <cell r="C429">
            <v>44869</v>
          </cell>
          <cell r="D429" t="str">
            <v>یونس صاحب</v>
          </cell>
          <cell r="E429" t="str">
            <v>جیلانی پولی سٹاک</v>
          </cell>
        </row>
        <row r="430">
          <cell r="A430" t="str">
            <v>135 P</v>
          </cell>
          <cell r="B430"/>
          <cell r="C430">
            <v>44869</v>
          </cell>
          <cell r="D430" t="str">
            <v>یونس صاحب</v>
          </cell>
          <cell r="E430" t="str">
            <v>جیلانی پولی سٹاک</v>
          </cell>
        </row>
        <row r="431">
          <cell r="A431" t="str">
            <v>136 P</v>
          </cell>
          <cell r="B431"/>
          <cell r="C431">
            <v>44869</v>
          </cell>
          <cell r="D431" t="str">
            <v>یونس صاحب</v>
          </cell>
          <cell r="E431" t="str">
            <v>جیلانی پولی سٹاک</v>
          </cell>
        </row>
        <row r="432">
          <cell r="A432" t="str">
            <v>137 P</v>
          </cell>
          <cell r="B432"/>
          <cell r="C432">
            <v>44869</v>
          </cell>
          <cell r="D432" t="str">
            <v>یونس صاحب</v>
          </cell>
          <cell r="E432" t="str">
            <v>جیلانی پولی سٹاک</v>
          </cell>
        </row>
        <row r="433">
          <cell r="A433" t="str">
            <v>138 P</v>
          </cell>
          <cell r="B433"/>
          <cell r="C433">
            <v>44869</v>
          </cell>
          <cell r="D433" t="str">
            <v>یونس صاحب</v>
          </cell>
          <cell r="E433" t="str">
            <v>جیلانی پولی سٹاک</v>
          </cell>
        </row>
        <row r="434">
          <cell r="A434" t="str">
            <v>139 P</v>
          </cell>
          <cell r="B434"/>
          <cell r="C434">
            <v>44869</v>
          </cell>
          <cell r="D434" t="str">
            <v>یونس صاحب</v>
          </cell>
          <cell r="E434" t="str">
            <v>جیلانی پولی سٹاک</v>
          </cell>
        </row>
        <row r="435">
          <cell r="A435" t="str">
            <v>140 P</v>
          </cell>
          <cell r="B435"/>
          <cell r="C435">
            <v>44869</v>
          </cell>
          <cell r="D435" t="str">
            <v>یونس صاحب</v>
          </cell>
          <cell r="E435" t="str">
            <v>جیلانی پولی سٹاک</v>
          </cell>
        </row>
        <row r="436">
          <cell r="A436" t="str">
            <v>141 P</v>
          </cell>
          <cell r="B436"/>
          <cell r="C436">
            <v>44869</v>
          </cell>
          <cell r="D436" t="str">
            <v>یونس صاحب</v>
          </cell>
          <cell r="E436" t="str">
            <v>جیلانی پولی سٹاک</v>
          </cell>
        </row>
        <row r="437">
          <cell r="A437" t="str">
            <v>142 P</v>
          </cell>
          <cell r="B437"/>
          <cell r="C437">
            <v>44869</v>
          </cell>
          <cell r="D437" t="str">
            <v>یونس صاحب</v>
          </cell>
          <cell r="E437" t="str">
            <v>جیلانی پولی سٹاک</v>
          </cell>
        </row>
        <row r="438">
          <cell r="A438" t="str">
            <v>143 P</v>
          </cell>
          <cell r="B438"/>
          <cell r="C438">
            <v>44869</v>
          </cell>
          <cell r="D438" t="str">
            <v>یونس صاحب</v>
          </cell>
          <cell r="E438" t="str">
            <v>جیلانی پولی سٹاک</v>
          </cell>
        </row>
        <row r="439">
          <cell r="A439" t="str">
            <v>144 P</v>
          </cell>
          <cell r="B439"/>
          <cell r="C439">
            <v>44869</v>
          </cell>
          <cell r="D439" t="str">
            <v>یونس صاحب</v>
          </cell>
          <cell r="E439" t="str">
            <v>جیلانی پولی سٹاک</v>
          </cell>
        </row>
        <row r="440">
          <cell r="A440" t="str">
            <v>145 P</v>
          </cell>
          <cell r="B440"/>
          <cell r="C440">
            <v>44869</v>
          </cell>
          <cell r="D440" t="str">
            <v>یونس صاحب</v>
          </cell>
          <cell r="E440" t="str">
            <v>جیلانی پولی سٹاک</v>
          </cell>
        </row>
        <row r="441">
          <cell r="A441" t="str">
            <v>146 P</v>
          </cell>
          <cell r="B441"/>
          <cell r="C441">
            <v>44869</v>
          </cell>
          <cell r="D441" t="str">
            <v>یونس صاحب</v>
          </cell>
          <cell r="E441" t="str">
            <v>جیلانی پولی سٹاک</v>
          </cell>
        </row>
        <row r="442">
          <cell r="A442" t="str">
            <v>147 P</v>
          </cell>
          <cell r="B442"/>
          <cell r="C442">
            <v>44869</v>
          </cell>
          <cell r="D442" t="str">
            <v>یونس صاحب</v>
          </cell>
          <cell r="E442" t="str">
            <v>جیلانی پولی سٹاک</v>
          </cell>
        </row>
        <row r="443">
          <cell r="A443" t="str">
            <v>148 P</v>
          </cell>
          <cell r="B443"/>
          <cell r="C443">
            <v>44869</v>
          </cell>
          <cell r="D443" t="str">
            <v>یونس صاحب</v>
          </cell>
          <cell r="E443" t="str">
            <v>جیلانی پولی سٹاک</v>
          </cell>
        </row>
        <row r="444">
          <cell r="A444" t="str">
            <v>149 P</v>
          </cell>
          <cell r="B444"/>
          <cell r="C444">
            <v>44869</v>
          </cell>
          <cell r="D444" t="str">
            <v>یونس صاحب</v>
          </cell>
          <cell r="E444" t="str">
            <v>جیلانی پولی سٹاک</v>
          </cell>
        </row>
        <row r="445">
          <cell r="A445" t="str">
            <v>150 P</v>
          </cell>
          <cell r="B445"/>
          <cell r="C445">
            <v>44869</v>
          </cell>
          <cell r="D445" t="str">
            <v>یونس صاحب</v>
          </cell>
          <cell r="E445" t="str">
            <v>جیلانی پولی سٹاک</v>
          </cell>
        </row>
        <row r="446">
          <cell r="A446" t="str">
            <v>151 P</v>
          </cell>
          <cell r="B446"/>
          <cell r="C446">
            <v>44869</v>
          </cell>
          <cell r="D446" t="str">
            <v>یونس صاحب</v>
          </cell>
          <cell r="E446" t="str">
            <v>جیلانی پولی سٹاک</v>
          </cell>
        </row>
        <row r="447">
          <cell r="A447" t="str">
            <v>152 P</v>
          </cell>
          <cell r="B447"/>
          <cell r="C447">
            <v>44869</v>
          </cell>
          <cell r="D447" t="str">
            <v>یونس صاحب</v>
          </cell>
          <cell r="E447" t="str">
            <v>جیلانی پولی سٹاک</v>
          </cell>
        </row>
        <row r="448">
          <cell r="A448" t="str">
            <v>153 P</v>
          </cell>
          <cell r="B448"/>
          <cell r="C448">
            <v>44869</v>
          </cell>
          <cell r="D448" t="str">
            <v>یونس صاحب</v>
          </cell>
          <cell r="E448" t="str">
            <v>جیلانی پولی سٹاک</v>
          </cell>
        </row>
        <row r="449">
          <cell r="A449" t="str">
            <v>154 P</v>
          </cell>
          <cell r="B449"/>
          <cell r="C449">
            <v>44869</v>
          </cell>
          <cell r="D449" t="str">
            <v>یونس صاحب</v>
          </cell>
          <cell r="E449" t="str">
            <v>جیلانی پولی سٹاک</v>
          </cell>
        </row>
        <row r="450">
          <cell r="A450" t="str">
            <v>155 P</v>
          </cell>
          <cell r="B450"/>
          <cell r="C450">
            <v>44869</v>
          </cell>
          <cell r="D450" t="str">
            <v>یونس صاحب</v>
          </cell>
          <cell r="E450" t="str">
            <v>جیلانی پولی سٹاک</v>
          </cell>
        </row>
        <row r="451">
          <cell r="A451" t="str">
            <v>156 P</v>
          </cell>
          <cell r="B451"/>
          <cell r="C451">
            <v>44869</v>
          </cell>
          <cell r="D451" t="str">
            <v>یونس صاحب</v>
          </cell>
          <cell r="E451" t="str">
            <v>جیلانی پولی سٹاک</v>
          </cell>
        </row>
        <row r="452">
          <cell r="A452" t="str">
            <v>157 P</v>
          </cell>
          <cell r="B452"/>
          <cell r="C452">
            <v>44869</v>
          </cell>
          <cell r="D452" t="str">
            <v>یونس صاحب</v>
          </cell>
          <cell r="E452" t="str">
            <v>جیلانی پولی سٹاک</v>
          </cell>
        </row>
        <row r="453">
          <cell r="A453" t="str">
            <v>158 P</v>
          </cell>
          <cell r="B453"/>
          <cell r="C453">
            <v>44869</v>
          </cell>
          <cell r="D453" t="str">
            <v>یونس صاحب</v>
          </cell>
          <cell r="E453" t="str">
            <v>جیلانی پولی سٹاک</v>
          </cell>
        </row>
        <row r="454">
          <cell r="A454" t="str">
            <v>159 P</v>
          </cell>
          <cell r="B454"/>
          <cell r="C454">
            <v>44869</v>
          </cell>
          <cell r="D454" t="str">
            <v>یونس صاحب</v>
          </cell>
          <cell r="E454" t="str">
            <v>جیلانی پولی سٹاک</v>
          </cell>
        </row>
        <row r="455">
          <cell r="A455" t="str">
            <v>160 P</v>
          </cell>
          <cell r="B455"/>
          <cell r="C455">
            <v>44869</v>
          </cell>
          <cell r="D455" t="str">
            <v>یونس صاحب</v>
          </cell>
          <cell r="E455" t="str">
            <v>جیلانی پولی سٹاک</v>
          </cell>
        </row>
        <row r="456">
          <cell r="A456" t="str">
            <v>161 P</v>
          </cell>
          <cell r="B456"/>
          <cell r="C456">
            <v>44869</v>
          </cell>
          <cell r="D456" t="str">
            <v>یونس صاحب</v>
          </cell>
          <cell r="E456" t="str">
            <v>جیلانی پولی سٹاک</v>
          </cell>
        </row>
        <row r="457">
          <cell r="A457" t="str">
            <v>162 P</v>
          </cell>
          <cell r="B457"/>
          <cell r="C457">
            <v>44869</v>
          </cell>
          <cell r="D457" t="str">
            <v>یونس صاحب</v>
          </cell>
          <cell r="E457" t="str">
            <v>جیلانی پولی سٹاک</v>
          </cell>
        </row>
        <row r="458">
          <cell r="A458" t="str">
            <v>163 P</v>
          </cell>
          <cell r="B458"/>
          <cell r="C458">
            <v>44869</v>
          </cell>
          <cell r="D458" t="str">
            <v>یونس صاحب</v>
          </cell>
          <cell r="E458" t="str">
            <v>جیلانی پولی سٹاک</v>
          </cell>
        </row>
        <row r="459">
          <cell r="A459" t="str">
            <v>164 P</v>
          </cell>
          <cell r="B459"/>
          <cell r="C459">
            <v>44869</v>
          </cell>
          <cell r="D459" t="str">
            <v>یونس صاحب</v>
          </cell>
          <cell r="E459" t="str">
            <v>جیلانی پولی سٹاک</v>
          </cell>
        </row>
        <row r="460">
          <cell r="A460" t="str">
            <v>165 P</v>
          </cell>
          <cell r="B460"/>
          <cell r="C460">
            <v>44869</v>
          </cell>
          <cell r="D460" t="str">
            <v>یونس صاحب</v>
          </cell>
          <cell r="E460" t="str">
            <v>جیلانی پولی سٹاک</v>
          </cell>
        </row>
        <row r="461">
          <cell r="A461" t="str">
            <v>166 P</v>
          </cell>
          <cell r="B461"/>
          <cell r="C461">
            <v>44869</v>
          </cell>
          <cell r="D461" t="str">
            <v>یونس صاحب</v>
          </cell>
          <cell r="E461" t="str">
            <v>جیلانی پولی سٹاک</v>
          </cell>
        </row>
        <row r="462">
          <cell r="A462" t="str">
            <v>167 P</v>
          </cell>
          <cell r="B462"/>
          <cell r="C462">
            <v>44869</v>
          </cell>
          <cell r="D462" t="str">
            <v>یونس صاحب</v>
          </cell>
          <cell r="E462" t="str">
            <v>جیلانی پولی سٹاک</v>
          </cell>
        </row>
        <row r="463">
          <cell r="A463" t="str">
            <v>168 P</v>
          </cell>
          <cell r="B463"/>
          <cell r="C463">
            <v>44869</v>
          </cell>
          <cell r="D463" t="str">
            <v>یونس صاحب</v>
          </cell>
          <cell r="E463" t="str">
            <v>جیلانی پولی سٹاک</v>
          </cell>
        </row>
        <row r="464">
          <cell r="A464" t="str">
            <v>169 P</v>
          </cell>
          <cell r="B464"/>
          <cell r="C464">
            <v>44869</v>
          </cell>
          <cell r="D464" t="str">
            <v>یونس صاحب</v>
          </cell>
          <cell r="E464" t="str">
            <v>جیلانی پولی سٹاک</v>
          </cell>
        </row>
        <row r="465">
          <cell r="A465" t="str">
            <v>170 P</v>
          </cell>
          <cell r="B465"/>
          <cell r="C465">
            <v>44869</v>
          </cell>
          <cell r="D465" t="str">
            <v>یونس صاحب</v>
          </cell>
          <cell r="E465" t="str">
            <v>جیلانی پولی سٹاک</v>
          </cell>
        </row>
        <row r="466">
          <cell r="A466" t="str">
            <v>171 P</v>
          </cell>
          <cell r="B466"/>
          <cell r="C466">
            <v>44869</v>
          </cell>
          <cell r="D466" t="str">
            <v>یونس صاحب</v>
          </cell>
          <cell r="E466" t="str">
            <v>جیلانی پولی سٹاک</v>
          </cell>
        </row>
        <row r="467">
          <cell r="A467" t="str">
            <v>172 P</v>
          </cell>
          <cell r="B467"/>
          <cell r="C467">
            <v>44869</v>
          </cell>
          <cell r="D467" t="str">
            <v>یونس صاحب</v>
          </cell>
          <cell r="E467" t="str">
            <v>جیلانی پولی سٹاک</v>
          </cell>
        </row>
        <row r="468">
          <cell r="A468" t="str">
            <v>173 P</v>
          </cell>
          <cell r="B468"/>
          <cell r="C468">
            <v>44869</v>
          </cell>
          <cell r="D468" t="str">
            <v>یونس صاحب</v>
          </cell>
          <cell r="E468" t="str">
            <v>جیلانی پولی سٹاک</v>
          </cell>
        </row>
        <row r="469">
          <cell r="A469" t="str">
            <v>174 P</v>
          </cell>
          <cell r="B469"/>
          <cell r="C469">
            <v>44869</v>
          </cell>
          <cell r="D469" t="str">
            <v>یونس صاحب</v>
          </cell>
          <cell r="E469" t="str">
            <v>جیلانی پولی سٹاک</v>
          </cell>
        </row>
        <row r="470">
          <cell r="A470" t="str">
            <v>175 P</v>
          </cell>
          <cell r="B470"/>
          <cell r="C470">
            <v>44869</v>
          </cell>
          <cell r="D470" t="str">
            <v>یونس صاحب</v>
          </cell>
          <cell r="E470" t="str">
            <v>جیلانی پولی سٹاک</v>
          </cell>
        </row>
        <row r="471">
          <cell r="A471" t="str">
            <v>176 P</v>
          </cell>
          <cell r="B471"/>
          <cell r="C471">
            <v>44869</v>
          </cell>
          <cell r="D471" t="str">
            <v>یونس صاحب</v>
          </cell>
          <cell r="E471" t="str">
            <v>جیلانی پولی سٹاک</v>
          </cell>
        </row>
        <row r="472">
          <cell r="A472" t="str">
            <v>177 P</v>
          </cell>
          <cell r="B472"/>
          <cell r="C472">
            <v>44869</v>
          </cell>
          <cell r="D472" t="str">
            <v>یونس صاحب</v>
          </cell>
          <cell r="E472" t="str">
            <v>جیلانی پولی سٹاک</v>
          </cell>
        </row>
        <row r="473">
          <cell r="A473" t="str">
            <v>178 P</v>
          </cell>
          <cell r="B473"/>
          <cell r="C473">
            <v>44869</v>
          </cell>
          <cell r="D473" t="str">
            <v>یونس صاحب</v>
          </cell>
          <cell r="E473" t="str">
            <v>جیلانی پولی سٹاک</v>
          </cell>
        </row>
        <row r="474">
          <cell r="A474" t="str">
            <v>179 P</v>
          </cell>
          <cell r="B474"/>
          <cell r="C474">
            <v>44869</v>
          </cell>
          <cell r="D474" t="str">
            <v>یونس صاحب</v>
          </cell>
          <cell r="E474" t="str">
            <v>جیلانی پولی سٹاک</v>
          </cell>
        </row>
        <row r="475">
          <cell r="A475" t="str">
            <v>180 P</v>
          </cell>
          <cell r="B475"/>
          <cell r="C475">
            <v>44869</v>
          </cell>
          <cell r="D475" t="str">
            <v>یونس صاحب</v>
          </cell>
          <cell r="E475" t="str">
            <v>جیلانی پولی سٹاک</v>
          </cell>
        </row>
        <row r="476">
          <cell r="A476" t="str">
            <v>181 P</v>
          </cell>
          <cell r="B476"/>
          <cell r="C476">
            <v>44869</v>
          </cell>
          <cell r="D476" t="str">
            <v>یونس صاحب</v>
          </cell>
          <cell r="E476" t="str">
            <v>جیلانی پولی سٹاک</v>
          </cell>
        </row>
        <row r="477">
          <cell r="A477" t="str">
            <v>182 P</v>
          </cell>
          <cell r="B477"/>
          <cell r="C477">
            <v>44869</v>
          </cell>
          <cell r="D477" t="str">
            <v>یونس صاحب</v>
          </cell>
          <cell r="E477" t="str">
            <v>جیلانی پولی سٹاک</v>
          </cell>
        </row>
        <row r="478">
          <cell r="A478" t="str">
            <v>183 P</v>
          </cell>
          <cell r="B478"/>
          <cell r="C478">
            <v>44869</v>
          </cell>
          <cell r="D478" t="str">
            <v>یونس صاحب</v>
          </cell>
          <cell r="E478" t="str">
            <v>جیلانی پولی سٹاک</v>
          </cell>
        </row>
        <row r="479">
          <cell r="A479" t="str">
            <v>184 P</v>
          </cell>
          <cell r="B479"/>
          <cell r="C479">
            <v>44869</v>
          </cell>
          <cell r="D479" t="str">
            <v>یونس صاحب</v>
          </cell>
          <cell r="E479" t="str">
            <v>جیلانی پولی سٹاک</v>
          </cell>
        </row>
        <row r="480">
          <cell r="A480" t="str">
            <v>185 P</v>
          </cell>
          <cell r="B480"/>
          <cell r="C480">
            <v>44869</v>
          </cell>
          <cell r="D480" t="str">
            <v>یونس صاحب</v>
          </cell>
          <cell r="E480" t="str">
            <v>جیلانی پولی سٹاک</v>
          </cell>
        </row>
        <row r="481">
          <cell r="A481" t="str">
            <v>186 P</v>
          </cell>
          <cell r="B481"/>
          <cell r="C481">
            <v>44869</v>
          </cell>
          <cell r="D481" t="str">
            <v>یونس صاحب</v>
          </cell>
          <cell r="E481" t="str">
            <v>جیلانی پولی سٹاک</v>
          </cell>
        </row>
        <row r="482">
          <cell r="A482" t="str">
            <v>187 P</v>
          </cell>
          <cell r="B482"/>
          <cell r="C482">
            <v>44869</v>
          </cell>
          <cell r="D482" t="str">
            <v>یونس صاحب</v>
          </cell>
          <cell r="E482" t="str">
            <v>جیلانی پولی سٹاک</v>
          </cell>
        </row>
        <row r="483">
          <cell r="A483" t="str">
            <v>188 P</v>
          </cell>
          <cell r="B483"/>
          <cell r="C483">
            <v>44869</v>
          </cell>
          <cell r="D483" t="str">
            <v>یونس صاحب</v>
          </cell>
          <cell r="E483" t="str">
            <v>جیلانی پولی سٹاک</v>
          </cell>
        </row>
        <row r="484">
          <cell r="A484" t="str">
            <v>189 P</v>
          </cell>
          <cell r="B484"/>
          <cell r="C484">
            <v>44869</v>
          </cell>
          <cell r="D484" t="str">
            <v>یونس صاحب</v>
          </cell>
          <cell r="E484" t="str">
            <v>جیلانی پولی سٹاک</v>
          </cell>
        </row>
        <row r="485">
          <cell r="A485" t="str">
            <v>190 P</v>
          </cell>
          <cell r="B485"/>
          <cell r="C485">
            <v>44869</v>
          </cell>
          <cell r="D485" t="str">
            <v>یونس صاحب</v>
          </cell>
          <cell r="E485" t="str">
            <v>جیلانی پولی سٹاک</v>
          </cell>
        </row>
        <row r="486">
          <cell r="A486" t="str">
            <v>878 F</v>
          </cell>
          <cell r="B486"/>
          <cell r="C486">
            <v>45660</v>
          </cell>
          <cell r="D486" t="str">
            <v>فینا</v>
          </cell>
          <cell r="E486" t="str">
            <v>عثمان امین</v>
          </cell>
        </row>
        <row r="487">
          <cell r="A487" t="str">
            <v>879 F</v>
          </cell>
          <cell r="B487"/>
          <cell r="C487">
            <v>45660</v>
          </cell>
          <cell r="D487" t="str">
            <v>فینا</v>
          </cell>
          <cell r="E487" t="str">
            <v>عثمان امین</v>
          </cell>
        </row>
        <row r="488">
          <cell r="A488" t="str">
            <v>880 F</v>
          </cell>
          <cell r="B488"/>
          <cell r="C488">
            <v>45660</v>
          </cell>
          <cell r="D488" t="str">
            <v>فینا</v>
          </cell>
          <cell r="E488" t="str">
            <v>عثمان امین</v>
          </cell>
        </row>
        <row r="489">
          <cell r="A489" t="str">
            <v>881 F</v>
          </cell>
          <cell r="B489"/>
          <cell r="C489">
            <v>45660</v>
          </cell>
          <cell r="D489" t="str">
            <v>فینا</v>
          </cell>
          <cell r="E489" t="str">
            <v>عثمان امین</v>
          </cell>
        </row>
        <row r="490">
          <cell r="A490" t="str">
            <v>882 F</v>
          </cell>
          <cell r="B490"/>
          <cell r="C490">
            <v>45660</v>
          </cell>
          <cell r="D490" t="str">
            <v>فینا</v>
          </cell>
          <cell r="E490" t="str">
            <v>عثمان امین</v>
          </cell>
        </row>
        <row r="491">
          <cell r="A491" t="str">
            <v>883 F</v>
          </cell>
          <cell r="B491"/>
          <cell r="C491">
            <v>45660</v>
          </cell>
          <cell r="D491" t="str">
            <v>فینا</v>
          </cell>
          <cell r="E491" t="str">
            <v>عثمان امین</v>
          </cell>
        </row>
        <row r="492">
          <cell r="A492" t="str">
            <v>884 F</v>
          </cell>
          <cell r="B492"/>
          <cell r="C492">
            <v>45660</v>
          </cell>
          <cell r="D492" t="str">
            <v>فینا</v>
          </cell>
          <cell r="E492" t="str">
            <v>عثمان امین</v>
          </cell>
        </row>
        <row r="493">
          <cell r="A493" t="str">
            <v>885 F</v>
          </cell>
          <cell r="B493"/>
          <cell r="C493">
            <v>45660</v>
          </cell>
          <cell r="D493" t="str">
            <v>فینا</v>
          </cell>
          <cell r="E493" t="str">
            <v>عثمان امین</v>
          </cell>
        </row>
        <row r="494">
          <cell r="A494" t="str">
            <v>886 F</v>
          </cell>
          <cell r="B494"/>
          <cell r="C494">
            <v>45660</v>
          </cell>
          <cell r="D494" t="str">
            <v>فینا</v>
          </cell>
          <cell r="E494" t="str">
            <v>عثمان امین</v>
          </cell>
        </row>
        <row r="495">
          <cell r="A495" t="str">
            <v>887 F</v>
          </cell>
          <cell r="B495"/>
          <cell r="C495">
            <v>45660</v>
          </cell>
          <cell r="D495" t="str">
            <v>فینا</v>
          </cell>
          <cell r="E495" t="str">
            <v>عثمان امین</v>
          </cell>
        </row>
        <row r="496">
          <cell r="A496" t="str">
            <v>888 F</v>
          </cell>
          <cell r="B496"/>
          <cell r="C496">
            <v>45660</v>
          </cell>
          <cell r="D496" t="str">
            <v>فینا</v>
          </cell>
          <cell r="E496" t="str">
            <v>عثمان امین</v>
          </cell>
        </row>
        <row r="497">
          <cell r="A497" t="str">
            <v>889 F</v>
          </cell>
          <cell r="B497"/>
          <cell r="C497">
            <v>45660</v>
          </cell>
          <cell r="D497" t="str">
            <v>فینا</v>
          </cell>
          <cell r="E497" t="str">
            <v>عثمان امین</v>
          </cell>
        </row>
        <row r="498">
          <cell r="A498" t="str">
            <v>890 F</v>
          </cell>
          <cell r="B498"/>
          <cell r="C498">
            <v>45660</v>
          </cell>
          <cell r="D498" t="str">
            <v>فینا</v>
          </cell>
          <cell r="E498" t="str">
            <v>عثمان امین</v>
          </cell>
        </row>
        <row r="499">
          <cell r="A499" t="str">
            <v>96 J</v>
          </cell>
          <cell r="B499">
            <v>10885</v>
          </cell>
          <cell r="C499">
            <v>45994</v>
          </cell>
          <cell r="D499" t="str">
            <v>JILANI</v>
          </cell>
          <cell r="E499" t="str">
            <v>عالم بیکرز شاہدرہ</v>
          </cell>
        </row>
        <row r="500">
          <cell r="A500" t="str">
            <v>97 J</v>
          </cell>
          <cell r="B500">
            <v>10885</v>
          </cell>
          <cell r="C500">
            <v>45994</v>
          </cell>
          <cell r="D500" t="str">
            <v>JILANI</v>
          </cell>
          <cell r="E500" t="str">
            <v>عالم بیکرز شاہدرہ</v>
          </cell>
        </row>
        <row r="501">
          <cell r="A501" t="str">
            <v>98 J</v>
          </cell>
          <cell r="B501">
            <v>10886</v>
          </cell>
          <cell r="C501">
            <v>45994</v>
          </cell>
          <cell r="D501" t="str">
            <v>JILANI</v>
          </cell>
          <cell r="E501" t="str">
            <v>جی جی اسنیکس لاہور</v>
          </cell>
        </row>
        <row r="502">
          <cell r="A502" t="str">
            <v>99 J</v>
          </cell>
          <cell r="B502">
            <v>10887</v>
          </cell>
          <cell r="C502">
            <v>45994</v>
          </cell>
          <cell r="D502" t="str">
            <v>JILANI</v>
          </cell>
          <cell r="E502" t="str">
            <v>ایم کے بی پشاور</v>
          </cell>
        </row>
        <row r="503">
          <cell r="A503" t="str">
            <v>100 J</v>
          </cell>
          <cell r="B503">
            <v>10888</v>
          </cell>
          <cell r="C503">
            <v>45994</v>
          </cell>
          <cell r="D503" t="str">
            <v>JILANI</v>
          </cell>
          <cell r="E503" t="str">
            <v>معظمی پلاسٹک ساہیوال</v>
          </cell>
        </row>
        <row r="504">
          <cell r="A504" t="str">
            <v>101 J</v>
          </cell>
          <cell r="B504">
            <v>10889</v>
          </cell>
          <cell r="C504">
            <v>45994</v>
          </cell>
          <cell r="D504" t="str">
            <v>JILANI</v>
          </cell>
          <cell r="E504" t="str">
            <v>ریحان بٹ انار کلی</v>
          </cell>
        </row>
        <row r="505">
          <cell r="A505" t="str">
            <v>102 J</v>
          </cell>
          <cell r="B505">
            <v>10889</v>
          </cell>
          <cell r="C505">
            <v>45994</v>
          </cell>
          <cell r="D505" t="str">
            <v>JILANI</v>
          </cell>
          <cell r="E505" t="str">
            <v>ریحان بٹ انار کلی</v>
          </cell>
        </row>
        <row r="506">
          <cell r="A506" t="str">
            <v>103 J</v>
          </cell>
          <cell r="B506">
            <v>10890</v>
          </cell>
          <cell r="C506">
            <v>45994</v>
          </cell>
          <cell r="D506" t="str">
            <v>JILANI</v>
          </cell>
          <cell r="E506" t="str">
            <v>عثمان عارف بٹ گوجرانولہ</v>
          </cell>
        </row>
        <row r="507">
          <cell r="A507" t="str">
            <v>104 J</v>
          </cell>
          <cell r="B507">
            <v>10891</v>
          </cell>
          <cell r="C507">
            <v>45994</v>
          </cell>
          <cell r="D507" t="str">
            <v>JILANI</v>
          </cell>
          <cell r="E507" t="str">
            <v>عثمان عارف بٹ گوجرانولہ</v>
          </cell>
        </row>
        <row r="508">
          <cell r="A508" t="str">
            <v>105 J</v>
          </cell>
          <cell r="B508">
            <v>10891</v>
          </cell>
          <cell r="C508">
            <v>45994</v>
          </cell>
          <cell r="D508" t="str">
            <v>JILANI</v>
          </cell>
          <cell r="E508" t="str">
            <v>عثمان عارف بٹ گوجرانولہ</v>
          </cell>
        </row>
        <row r="509">
          <cell r="A509" t="str">
            <v>106 J</v>
          </cell>
          <cell r="B509">
            <v>10892</v>
          </cell>
          <cell r="C509">
            <v>45994</v>
          </cell>
          <cell r="D509" t="str">
            <v>JILANI</v>
          </cell>
          <cell r="E509" t="str">
            <v>عرفان صاحب اعظم مارکیٹ</v>
          </cell>
        </row>
        <row r="510">
          <cell r="A510" t="str">
            <v>107 J</v>
          </cell>
          <cell r="B510">
            <v>10892</v>
          </cell>
          <cell r="C510">
            <v>45994</v>
          </cell>
          <cell r="D510" t="str">
            <v>JILANI</v>
          </cell>
          <cell r="E510" t="str">
            <v>عرفان صاحب اعظم مارکیٹ</v>
          </cell>
        </row>
        <row r="511">
          <cell r="A511" t="str">
            <v>108 J</v>
          </cell>
          <cell r="B511">
            <v>10893</v>
          </cell>
          <cell r="C511">
            <v>45994</v>
          </cell>
          <cell r="D511" t="str">
            <v>JILANI</v>
          </cell>
          <cell r="E511" t="str">
            <v>پولی پلاسٹک اچھرہ</v>
          </cell>
        </row>
        <row r="512">
          <cell r="A512" t="str">
            <v>109 J</v>
          </cell>
          <cell r="B512">
            <v>10894</v>
          </cell>
          <cell r="C512">
            <v>45994</v>
          </cell>
          <cell r="D512" t="str">
            <v>JILANI</v>
          </cell>
          <cell r="E512" t="str">
            <v>وقاص وولن ملز گوجرانوالہ</v>
          </cell>
        </row>
        <row r="513">
          <cell r="A513" t="str">
            <v>110 J</v>
          </cell>
          <cell r="B513">
            <v>10895</v>
          </cell>
          <cell r="C513">
            <v>45994</v>
          </cell>
          <cell r="D513" t="str">
            <v>JILANI</v>
          </cell>
          <cell r="E513" t="str">
            <v>وقاص وولن ملز گوجرانوالہ</v>
          </cell>
        </row>
        <row r="514">
          <cell r="A514" t="str">
            <v>111 J</v>
          </cell>
          <cell r="B514">
            <v>10896</v>
          </cell>
          <cell r="C514">
            <v>45994</v>
          </cell>
          <cell r="D514" t="str">
            <v>JILANI</v>
          </cell>
          <cell r="E514" t="str">
            <v>جاز ہٹاری لاہور</v>
          </cell>
        </row>
        <row r="515">
          <cell r="A515" t="str">
            <v>891 F</v>
          </cell>
          <cell r="B515"/>
          <cell r="C515">
            <v>45661</v>
          </cell>
          <cell r="D515" t="str">
            <v>فینا</v>
          </cell>
          <cell r="E515" t="str">
            <v>عثمان امین</v>
          </cell>
        </row>
        <row r="516">
          <cell r="A516" t="str">
            <v>892 F</v>
          </cell>
          <cell r="B516"/>
          <cell r="C516">
            <v>45661</v>
          </cell>
          <cell r="D516" t="str">
            <v>فینا</v>
          </cell>
          <cell r="E516" t="str">
            <v>عثمان امین</v>
          </cell>
        </row>
        <row r="517">
          <cell r="A517" t="str">
            <v>893 F</v>
          </cell>
          <cell r="B517"/>
          <cell r="C517">
            <v>45661</v>
          </cell>
          <cell r="D517" t="str">
            <v>فینا</v>
          </cell>
          <cell r="E517" t="str">
            <v>عثمان امین</v>
          </cell>
        </row>
        <row r="518">
          <cell r="A518" t="str">
            <v>894 F</v>
          </cell>
          <cell r="B518"/>
          <cell r="C518">
            <v>45661</v>
          </cell>
          <cell r="D518" t="str">
            <v>فینا</v>
          </cell>
          <cell r="E518" t="str">
            <v>عثمان امین</v>
          </cell>
        </row>
        <row r="519">
          <cell r="A519" t="str">
            <v>895 F</v>
          </cell>
          <cell r="B519"/>
          <cell r="C519">
            <v>45661</v>
          </cell>
          <cell r="D519" t="str">
            <v>فینا</v>
          </cell>
          <cell r="E519" t="str">
            <v>عثمان امین</v>
          </cell>
        </row>
        <row r="520">
          <cell r="A520" t="str">
            <v>896 F</v>
          </cell>
          <cell r="B520"/>
          <cell r="C520">
            <v>45663</v>
          </cell>
          <cell r="D520" t="str">
            <v>فینا</v>
          </cell>
          <cell r="E520" t="str">
            <v>عثمان امین</v>
          </cell>
        </row>
        <row r="521">
          <cell r="A521" t="str">
            <v>8408 A</v>
          </cell>
          <cell r="B521">
            <v>1574</v>
          </cell>
          <cell r="C521">
            <v>45559</v>
          </cell>
          <cell r="D521" t="str">
            <v>OTHERS</v>
          </cell>
          <cell r="E521" t="str">
            <v>زمیندار فوڈ کمپنی بنوں</v>
          </cell>
        </row>
        <row r="522">
          <cell r="A522" t="str">
            <v>8409 A</v>
          </cell>
          <cell r="B522">
            <v>1574</v>
          </cell>
          <cell r="C522">
            <v>45559</v>
          </cell>
          <cell r="D522" t="str">
            <v>OTHERS</v>
          </cell>
          <cell r="E522" t="str">
            <v>زمیندار فوڈ کمپنی بنوں</v>
          </cell>
        </row>
        <row r="523">
          <cell r="A523" t="str">
            <v>8410 A</v>
          </cell>
          <cell r="B523">
            <v>1574</v>
          </cell>
          <cell r="C523">
            <v>45559</v>
          </cell>
          <cell r="D523" t="str">
            <v>OTHERS</v>
          </cell>
          <cell r="E523" t="str">
            <v>زمیندار فوڈ کمپنی بنوں</v>
          </cell>
        </row>
        <row r="524">
          <cell r="A524" t="str">
            <v>112 J</v>
          </cell>
          <cell r="B524"/>
          <cell r="C524">
            <v>45995</v>
          </cell>
          <cell r="D524" t="str">
            <v>OTHERS</v>
          </cell>
          <cell r="E524" t="str">
            <v>جیلانی پولی سٹاک</v>
          </cell>
        </row>
        <row r="525">
          <cell r="A525" t="str">
            <v>113 J</v>
          </cell>
          <cell r="B525"/>
          <cell r="C525">
            <v>45995</v>
          </cell>
          <cell r="D525" t="str">
            <v>OTHERS</v>
          </cell>
          <cell r="E525" t="str">
            <v>جیلانی پلاسٹک</v>
          </cell>
        </row>
        <row r="526">
          <cell r="A526" t="str">
            <v>114 J</v>
          </cell>
          <cell r="B526">
            <v>10897</v>
          </cell>
          <cell r="C526">
            <v>45661</v>
          </cell>
          <cell r="D526" t="str">
            <v>JILANI</v>
          </cell>
          <cell r="E526" t="str">
            <v>امر پاک ڈرائی کلینرز لاہور</v>
          </cell>
        </row>
        <row r="527">
          <cell r="A527" t="str">
            <v>115 J</v>
          </cell>
          <cell r="B527">
            <v>10898</v>
          </cell>
          <cell r="C527">
            <v>45995</v>
          </cell>
          <cell r="D527" t="str">
            <v>JILANI</v>
          </cell>
          <cell r="E527" t="str">
            <v>اشفاق علی اینڈ سنز شاہ عالم مارکیٹ لاہور</v>
          </cell>
        </row>
        <row r="528">
          <cell r="A528" t="str">
            <v>116 J</v>
          </cell>
          <cell r="B528">
            <v>10899</v>
          </cell>
          <cell r="C528">
            <v>45995</v>
          </cell>
          <cell r="D528" t="str">
            <v>JILANI</v>
          </cell>
          <cell r="E528" t="str">
            <v>نشاط زرعی مرکز لاہور</v>
          </cell>
        </row>
        <row r="529">
          <cell r="A529" t="str">
            <v>117 J</v>
          </cell>
          <cell r="B529">
            <v>10900</v>
          </cell>
          <cell r="C529">
            <v>45995</v>
          </cell>
          <cell r="D529" t="str">
            <v>JILANI</v>
          </cell>
          <cell r="E529" t="str">
            <v>نشاط زرعی مرکز لاہور</v>
          </cell>
        </row>
        <row r="530">
          <cell r="A530" t="str">
            <v>118 J</v>
          </cell>
          <cell r="B530">
            <v>10901</v>
          </cell>
          <cell r="C530">
            <v>45995</v>
          </cell>
          <cell r="D530" t="str">
            <v>JILANI</v>
          </cell>
          <cell r="E530" t="str">
            <v>نشاط زرعی مرکز لاہور</v>
          </cell>
        </row>
        <row r="531">
          <cell r="A531" t="str">
            <v>119 J</v>
          </cell>
          <cell r="B531">
            <v>10902</v>
          </cell>
          <cell r="C531">
            <v>45995</v>
          </cell>
          <cell r="D531" t="str">
            <v>JILANI</v>
          </cell>
          <cell r="E531" t="str">
            <v>نشاط زرعی مرکز لاہور</v>
          </cell>
        </row>
        <row r="532">
          <cell r="A532" t="str">
            <v>120 J</v>
          </cell>
          <cell r="B532">
            <v>10903</v>
          </cell>
          <cell r="C532">
            <v>45997</v>
          </cell>
          <cell r="D532" t="str">
            <v>JILANI</v>
          </cell>
          <cell r="E532" t="str">
            <v>توصیف بٹ گوجرانوالہ</v>
          </cell>
        </row>
        <row r="533">
          <cell r="A533" t="str">
            <v>121 J</v>
          </cell>
          <cell r="B533">
            <v>10903</v>
          </cell>
          <cell r="C533">
            <v>45997</v>
          </cell>
          <cell r="D533" t="str">
            <v>JILANI</v>
          </cell>
          <cell r="E533" t="str">
            <v>توصیف بٹ گوجرانوالہ</v>
          </cell>
        </row>
        <row r="534">
          <cell r="A534" t="str">
            <v>122 J</v>
          </cell>
          <cell r="B534">
            <v>10903</v>
          </cell>
          <cell r="C534">
            <v>45997</v>
          </cell>
          <cell r="D534" t="str">
            <v>JILANI</v>
          </cell>
          <cell r="E534" t="str">
            <v>توصیف بٹ گوجرانوالہ</v>
          </cell>
        </row>
        <row r="535">
          <cell r="A535" t="str">
            <v>123 J</v>
          </cell>
          <cell r="B535">
            <v>10904</v>
          </cell>
          <cell r="C535">
            <v>45997</v>
          </cell>
          <cell r="D535" t="str">
            <v>JILANI</v>
          </cell>
          <cell r="E535" t="str">
            <v>بولان پیسٹری کوئٹہ</v>
          </cell>
        </row>
        <row r="536">
          <cell r="A536" t="str">
            <v>124 J</v>
          </cell>
          <cell r="B536">
            <v>10904</v>
          </cell>
          <cell r="C536">
            <v>45997</v>
          </cell>
          <cell r="D536" t="str">
            <v>JILANI</v>
          </cell>
          <cell r="E536" t="str">
            <v>بولان پیسٹری کوئٹہ</v>
          </cell>
        </row>
        <row r="537">
          <cell r="A537" t="str">
            <v>125 J</v>
          </cell>
          <cell r="B537">
            <v>10905</v>
          </cell>
          <cell r="C537">
            <v>45997</v>
          </cell>
          <cell r="D537" t="str">
            <v>JILANI</v>
          </cell>
          <cell r="E537" t="str">
            <v>شیخ اصغر علی اینڈ سنز سرگودھا</v>
          </cell>
        </row>
        <row r="538">
          <cell r="A538" t="str">
            <v>126 J</v>
          </cell>
          <cell r="B538">
            <v>10905</v>
          </cell>
          <cell r="C538">
            <v>45997</v>
          </cell>
          <cell r="D538" t="str">
            <v>JILANI</v>
          </cell>
          <cell r="E538" t="str">
            <v>شیخ اصغر علی اینڈ سنز سرگودھا</v>
          </cell>
        </row>
        <row r="539">
          <cell r="A539" t="str">
            <v>127 J</v>
          </cell>
          <cell r="B539">
            <v>10906</v>
          </cell>
          <cell r="C539">
            <v>45997</v>
          </cell>
          <cell r="D539" t="str">
            <v>JILANI</v>
          </cell>
          <cell r="E539" t="str">
            <v>عالم پرنٹرز بٹ خیلہ</v>
          </cell>
        </row>
        <row r="540">
          <cell r="A540" t="str">
            <v>128 J</v>
          </cell>
          <cell r="B540">
            <v>10906</v>
          </cell>
          <cell r="C540">
            <v>45997</v>
          </cell>
          <cell r="D540" t="str">
            <v>JILANI</v>
          </cell>
          <cell r="E540" t="str">
            <v>عالم پرنٹرز بٹ خیلہ</v>
          </cell>
        </row>
        <row r="541">
          <cell r="A541" t="str">
            <v>129 J</v>
          </cell>
          <cell r="B541">
            <v>10906</v>
          </cell>
          <cell r="C541">
            <v>45997</v>
          </cell>
          <cell r="D541" t="str">
            <v>JILANI</v>
          </cell>
          <cell r="E541" t="str">
            <v>عالم پرنٹرز بٹ خیلہ</v>
          </cell>
        </row>
        <row r="542">
          <cell r="A542" t="str">
            <v>130 J</v>
          </cell>
          <cell r="B542">
            <v>10907</v>
          </cell>
          <cell r="C542">
            <v>45997</v>
          </cell>
          <cell r="D542" t="str">
            <v>JILANI</v>
          </cell>
          <cell r="E542" t="str">
            <v>عالم پرنٹرز بٹ خیلہ</v>
          </cell>
        </row>
        <row r="543">
          <cell r="A543" t="str">
            <v>131 J</v>
          </cell>
          <cell r="B543">
            <v>10908</v>
          </cell>
          <cell r="C543">
            <v>45997</v>
          </cell>
          <cell r="D543" t="str">
            <v>JILANI</v>
          </cell>
          <cell r="E543" t="str">
            <v>شفعی فوم لاہور</v>
          </cell>
        </row>
        <row r="544">
          <cell r="A544" t="str">
            <v>132 J</v>
          </cell>
          <cell r="B544">
            <v>10909</v>
          </cell>
          <cell r="C544">
            <v>45997</v>
          </cell>
          <cell r="D544" t="str">
            <v>JILANI</v>
          </cell>
          <cell r="E544" t="str">
            <v>فاروق ٹیکسٹائل لاہور</v>
          </cell>
        </row>
        <row r="545">
          <cell r="A545" t="str">
            <v>133 J</v>
          </cell>
          <cell r="B545">
            <v>10910</v>
          </cell>
          <cell r="C545">
            <v>45997</v>
          </cell>
          <cell r="D545" t="str">
            <v>JILANI</v>
          </cell>
          <cell r="E545" t="str">
            <v>عثمان عارف بٹ گوجرانولہ</v>
          </cell>
        </row>
        <row r="546">
          <cell r="A546" t="str">
            <v>134 J</v>
          </cell>
          <cell r="B546">
            <v>10911</v>
          </cell>
          <cell r="C546">
            <v>45997</v>
          </cell>
          <cell r="D546" t="str">
            <v>JILANI</v>
          </cell>
          <cell r="E546" t="str">
            <v>وسیم شاپر ہاوس اعظم مارکیٹ</v>
          </cell>
        </row>
        <row r="547">
          <cell r="A547" t="str">
            <v>135 J</v>
          </cell>
          <cell r="B547">
            <v>10912</v>
          </cell>
          <cell r="C547">
            <v>45997</v>
          </cell>
          <cell r="D547" t="str">
            <v>JILANI</v>
          </cell>
          <cell r="E547" t="str">
            <v>وسیم شاپر ہاوس اعظم مارکیٹ</v>
          </cell>
        </row>
        <row r="548">
          <cell r="A548" t="str">
            <v>136 J</v>
          </cell>
          <cell r="B548">
            <v>10912</v>
          </cell>
          <cell r="C548">
            <v>45997</v>
          </cell>
          <cell r="D548" t="str">
            <v>JILANI</v>
          </cell>
          <cell r="E548" t="str">
            <v>وسیم شاپر ہاوس اعظم مارکیٹ</v>
          </cell>
        </row>
        <row r="549">
          <cell r="A549" t="str">
            <v>137 J</v>
          </cell>
          <cell r="B549">
            <v>10913</v>
          </cell>
          <cell r="C549">
            <v>45997</v>
          </cell>
          <cell r="D549" t="str">
            <v>JILANI</v>
          </cell>
          <cell r="E549" t="str">
            <v>عالم بیکرز شیخوپورہ</v>
          </cell>
        </row>
        <row r="550">
          <cell r="A550" t="str">
            <v>138 J</v>
          </cell>
          <cell r="B550">
            <v>10913</v>
          </cell>
          <cell r="C550">
            <v>45997</v>
          </cell>
          <cell r="D550" t="str">
            <v>JILANI</v>
          </cell>
          <cell r="E550" t="str">
            <v>عالم بیکرز شیخوپورہ</v>
          </cell>
        </row>
        <row r="551">
          <cell r="A551" t="str">
            <v>139 J</v>
          </cell>
          <cell r="B551">
            <v>10913</v>
          </cell>
          <cell r="C551">
            <v>45997</v>
          </cell>
          <cell r="D551" t="str">
            <v>JILANI</v>
          </cell>
          <cell r="E551" t="str">
            <v>عالم بیکرز شیخوپورہ</v>
          </cell>
        </row>
        <row r="552">
          <cell r="A552" t="str">
            <v>140 J</v>
          </cell>
          <cell r="B552">
            <v>10914</v>
          </cell>
          <cell r="C552">
            <v>45997</v>
          </cell>
          <cell r="D552" t="str">
            <v>JILANI</v>
          </cell>
          <cell r="E552" t="str">
            <v>چوہدری ملک سویٹس اینڈ بیکرز جھنگ</v>
          </cell>
        </row>
        <row r="553">
          <cell r="A553" t="str">
            <v>141 J</v>
          </cell>
          <cell r="B553">
            <v>10915</v>
          </cell>
          <cell r="C553">
            <v>45997</v>
          </cell>
          <cell r="D553" t="str">
            <v>JILANI</v>
          </cell>
          <cell r="E553" t="str">
            <v>احمد پلاسٹک بلال گنج لاہور</v>
          </cell>
        </row>
        <row r="554">
          <cell r="A554" t="str">
            <v>142 J</v>
          </cell>
          <cell r="B554"/>
          <cell r="C554">
            <v>45664</v>
          </cell>
          <cell r="D554" t="str">
            <v>OTHERS</v>
          </cell>
          <cell r="E554" t="str">
            <v>جیلانی پلاسٹک</v>
          </cell>
        </row>
        <row r="555">
          <cell r="A555" t="str">
            <v>143 J</v>
          </cell>
          <cell r="B555"/>
          <cell r="C555">
            <v>45664</v>
          </cell>
          <cell r="D555" t="str">
            <v>OTHERS</v>
          </cell>
          <cell r="E555" t="str">
            <v>جیلانی پلاسٹک</v>
          </cell>
        </row>
        <row r="556">
          <cell r="A556" t="str">
            <v>144 J</v>
          </cell>
          <cell r="B556"/>
          <cell r="C556">
            <v>45664</v>
          </cell>
          <cell r="D556" t="str">
            <v>OTHERS</v>
          </cell>
          <cell r="E556" t="str">
            <v>جیلانی پلاسٹک</v>
          </cell>
        </row>
        <row r="557">
          <cell r="A557" t="str">
            <v>897 F</v>
          </cell>
          <cell r="B557"/>
          <cell r="C557">
            <v>45664</v>
          </cell>
          <cell r="D557" t="str">
            <v>فینا</v>
          </cell>
          <cell r="E557" t="str">
            <v>عثمان امین</v>
          </cell>
        </row>
        <row r="558">
          <cell r="A558" t="str">
            <v>898 F</v>
          </cell>
          <cell r="B558"/>
          <cell r="C558">
            <v>45664</v>
          </cell>
          <cell r="D558" t="str">
            <v>فینا</v>
          </cell>
          <cell r="E558" t="str">
            <v>عثمان امین</v>
          </cell>
        </row>
        <row r="559">
          <cell r="A559" t="str">
            <v>899 F</v>
          </cell>
          <cell r="B559"/>
          <cell r="C559">
            <v>45664</v>
          </cell>
          <cell r="D559" t="str">
            <v>فینا</v>
          </cell>
          <cell r="E559" t="str">
            <v>عثمان امین</v>
          </cell>
        </row>
        <row r="560">
          <cell r="A560" t="str">
            <v>900 F</v>
          </cell>
          <cell r="B560"/>
          <cell r="C560">
            <v>45664</v>
          </cell>
          <cell r="D560" t="str">
            <v>فینا</v>
          </cell>
          <cell r="E560" t="str">
            <v>عثمان امین</v>
          </cell>
        </row>
        <row r="561">
          <cell r="A561" t="str">
            <v>239 R</v>
          </cell>
          <cell r="B561">
            <v>587</v>
          </cell>
          <cell r="C561">
            <v>46018</v>
          </cell>
          <cell r="D561" t="str">
            <v>REFLECTPACK</v>
          </cell>
          <cell r="E561" t="str">
            <v>ریفلیکٹ پیک</v>
          </cell>
        </row>
        <row r="562">
          <cell r="A562" t="str">
            <v>240 R</v>
          </cell>
          <cell r="B562">
            <v>597</v>
          </cell>
          <cell r="C562">
            <v>45663</v>
          </cell>
          <cell r="D562" t="str">
            <v>REFLECTPACK</v>
          </cell>
          <cell r="E562" t="str">
            <v>ریفلیکٹ پیک</v>
          </cell>
        </row>
        <row r="563">
          <cell r="A563">
            <v>2683</v>
          </cell>
          <cell r="B563">
            <v>17295</v>
          </cell>
          <cell r="C563">
            <v>45656</v>
          </cell>
          <cell r="D563"/>
          <cell r="E563" t="str">
            <v>LONG LIFE P LAHORE</v>
          </cell>
        </row>
        <row r="564">
          <cell r="A564" t="str">
            <v>901 F</v>
          </cell>
          <cell r="B564"/>
          <cell r="C564">
            <v>45665</v>
          </cell>
          <cell r="D564" t="str">
            <v>فینا</v>
          </cell>
          <cell r="E564" t="str">
            <v>عثمان امین</v>
          </cell>
        </row>
        <row r="565">
          <cell r="A565" t="str">
            <v>902 F</v>
          </cell>
          <cell r="B565"/>
          <cell r="C565">
            <v>45665</v>
          </cell>
          <cell r="D565" t="str">
            <v>فینا</v>
          </cell>
          <cell r="E565" t="str">
            <v>عثمان امین</v>
          </cell>
        </row>
        <row r="566">
          <cell r="A566" t="str">
            <v>903 F</v>
          </cell>
          <cell r="B566"/>
          <cell r="C566">
            <v>45665</v>
          </cell>
          <cell r="D566" t="str">
            <v>فینا</v>
          </cell>
          <cell r="E566" t="str">
            <v>عثمان امین</v>
          </cell>
        </row>
        <row r="567">
          <cell r="A567" t="str">
            <v>904 F</v>
          </cell>
          <cell r="B567"/>
          <cell r="C567">
            <v>45665</v>
          </cell>
          <cell r="D567" t="str">
            <v>فینا</v>
          </cell>
          <cell r="E567" t="str">
            <v>عثمان امین</v>
          </cell>
        </row>
        <row r="568">
          <cell r="A568" t="str">
            <v>905 F</v>
          </cell>
          <cell r="B568"/>
          <cell r="C568">
            <v>45665</v>
          </cell>
          <cell r="D568" t="str">
            <v>فینا</v>
          </cell>
          <cell r="E568" t="str">
            <v>عثمان امین</v>
          </cell>
        </row>
        <row r="569">
          <cell r="A569" t="str">
            <v>906 F</v>
          </cell>
          <cell r="B569"/>
          <cell r="C569">
            <v>45665</v>
          </cell>
          <cell r="D569" t="str">
            <v>فینا</v>
          </cell>
          <cell r="E569" t="str">
            <v>عثمان امین</v>
          </cell>
        </row>
        <row r="570">
          <cell r="A570" t="str">
            <v>907 F</v>
          </cell>
          <cell r="B570"/>
          <cell r="C570">
            <v>45665</v>
          </cell>
          <cell r="D570" t="str">
            <v>فینا</v>
          </cell>
          <cell r="E570" t="str">
            <v>عثمان امین</v>
          </cell>
        </row>
        <row r="571">
          <cell r="A571" t="str">
            <v>908 F</v>
          </cell>
          <cell r="B571"/>
          <cell r="C571">
            <v>45665</v>
          </cell>
          <cell r="D571" t="str">
            <v>فینا</v>
          </cell>
          <cell r="E571" t="str">
            <v>عثمان امین</v>
          </cell>
        </row>
        <row r="572">
          <cell r="A572" t="str">
            <v>909 F</v>
          </cell>
          <cell r="B572"/>
          <cell r="C572">
            <v>45665</v>
          </cell>
          <cell r="D572" t="str">
            <v>فینا</v>
          </cell>
          <cell r="E572" t="str">
            <v>عثمان امین</v>
          </cell>
        </row>
        <row r="573">
          <cell r="A573" t="str">
            <v>145 J</v>
          </cell>
          <cell r="B573"/>
          <cell r="C573">
            <v>45664</v>
          </cell>
          <cell r="D573" t="str">
            <v>OTHERS</v>
          </cell>
          <cell r="E573" t="str">
            <v>جیلانی پولی سٹاک</v>
          </cell>
        </row>
        <row r="574">
          <cell r="A574" t="str">
            <v>146 J</v>
          </cell>
          <cell r="B574"/>
          <cell r="C574">
            <v>45664</v>
          </cell>
          <cell r="D574" t="str">
            <v>OTHERS</v>
          </cell>
          <cell r="E574" t="str">
            <v>جیلانی پلاسٹک</v>
          </cell>
        </row>
        <row r="575">
          <cell r="A575" t="str">
            <v>147 J</v>
          </cell>
          <cell r="B575">
            <v>10916</v>
          </cell>
          <cell r="C575">
            <v>45664</v>
          </cell>
          <cell r="D575" t="str">
            <v>JILANI</v>
          </cell>
          <cell r="E575" t="str">
            <v>کشمیر شال ہاوس مین مارکیٹ گلبرگ</v>
          </cell>
        </row>
        <row r="576">
          <cell r="A576" t="str">
            <v>148 J</v>
          </cell>
          <cell r="B576">
            <v>10917</v>
          </cell>
          <cell r="C576">
            <v>45664</v>
          </cell>
          <cell r="D576" t="str">
            <v>JILANI</v>
          </cell>
          <cell r="E576" t="str">
            <v>کشمیر شال ہاوس مین مارکیٹ گلبرگ</v>
          </cell>
        </row>
        <row r="577">
          <cell r="A577" t="str">
            <v>149 J</v>
          </cell>
          <cell r="B577">
            <v>10918</v>
          </cell>
          <cell r="C577">
            <v>45664</v>
          </cell>
          <cell r="D577" t="str">
            <v>JILANI</v>
          </cell>
          <cell r="E577" t="str">
            <v>پرفیکٹ فوڈ لاہور</v>
          </cell>
        </row>
        <row r="578">
          <cell r="A578" t="str">
            <v>150 J</v>
          </cell>
          <cell r="B578">
            <v>10919</v>
          </cell>
          <cell r="C578">
            <v>45664</v>
          </cell>
          <cell r="D578" t="str">
            <v>JILANI</v>
          </cell>
          <cell r="E578" t="str">
            <v>ابوبکر بٹ لاہور</v>
          </cell>
        </row>
        <row r="579">
          <cell r="A579" t="str">
            <v>151 J</v>
          </cell>
          <cell r="B579">
            <v>10919</v>
          </cell>
          <cell r="C579">
            <v>45664</v>
          </cell>
          <cell r="D579" t="str">
            <v>JILANI</v>
          </cell>
          <cell r="E579" t="str">
            <v>ابوبکر بٹ لاہور</v>
          </cell>
        </row>
        <row r="580">
          <cell r="A580" t="str">
            <v>152 J</v>
          </cell>
          <cell r="B580">
            <v>10920</v>
          </cell>
          <cell r="C580">
            <v>45664</v>
          </cell>
          <cell r="D580" t="str">
            <v>JILANI</v>
          </cell>
          <cell r="E580" t="str">
            <v>پرفیکٹ فوڈ لاہور</v>
          </cell>
        </row>
        <row r="581">
          <cell r="A581" t="str">
            <v>153 J</v>
          </cell>
          <cell r="B581">
            <v>10921</v>
          </cell>
          <cell r="C581">
            <v>45664</v>
          </cell>
          <cell r="D581" t="str">
            <v>JILANI</v>
          </cell>
          <cell r="E581" t="str">
            <v>ہدایت خان پشاور</v>
          </cell>
        </row>
        <row r="582">
          <cell r="A582" t="str">
            <v>154 J</v>
          </cell>
          <cell r="B582">
            <v>10921</v>
          </cell>
          <cell r="C582">
            <v>45664</v>
          </cell>
          <cell r="D582" t="str">
            <v>JILANI</v>
          </cell>
          <cell r="E582" t="str">
            <v>ہدایت خان پشاور</v>
          </cell>
        </row>
        <row r="583">
          <cell r="A583" t="str">
            <v>155 J</v>
          </cell>
          <cell r="B583">
            <v>10921</v>
          </cell>
          <cell r="C583">
            <v>45664</v>
          </cell>
          <cell r="D583" t="str">
            <v>JILANI</v>
          </cell>
          <cell r="E583" t="str">
            <v>ہدایت خان پشاور</v>
          </cell>
        </row>
        <row r="584">
          <cell r="A584" t="str">
            <v>156 J</v>
          </cell>
          <cell r="B584">
            <v>10922</v>
          </cell>
          <cell r="C584">
            <v>45664</v>
          </cell>
          <cell r="D584" t="str">
            <v>JILANI</v>
          </cell>
          <cell r="E584" t="str">
            <v>نواب جیلانی پلاسٹک لیہ</v>
          </cell>
        </row>
        <row r="585">
          <cell r="A585" t="str">
            <v>157 J</v>
          </cell>
          <cell r="B585">
            <v>10923</v>
          </cell>
          <cell r="C585">
            <v>45664</v>
          </cell>
          <cell r="D585" t="str">
            <v>JILANI</v>
          </cell>
          <cell r="E585" t="str">
            <v>نواب جیلانی پلاسٹک لیہ</v>
          </cell>
        </row>
        <row r="586">
          <cell r="A586" t="str">
            <v>158 J</v>
          </cell>
          <cell r="B586">
            <v>10924</v>
          </cell>
          <cell r="C586">
            <v>45664</v>
          </cell>
          <cell r="D586" t="str">
            <v>JILANI</v>
          </cell>
          <cell r="E586" t="str">
            <v>عالم پرنٹرز بٹ خیلہ</v>
          </cell>
        </row>
        <row r="587">
          <cell r="A587" t="str">
            <v>159 J</v>
          </cell>
          <cell r="B587">
            <v>10925</v>
          </cell>
          <cell r="C587">
            <v>45664</v>
          </cell>
          <cell r="D587" t="str">
            <v>JILANI</v>
          </cell>
          <cell r="E587" t="str">
            <v>عالم پرنٹرز بٹ خیلہ</v>
          </cell>
        </row>
        <row r="588">
          <cell r="A588" t="str">
            <v>160 J</v>
          </cell>
          <cell r="B588">
            <v>10926</v>
          </cell>
          <cell r="C588">
            <v>45664</v>
          </cell>
          <cell r="D588" t="str">
            <v>JILANI</v>
          </cell>
          <cell r="E588" t="str">
            <v>الکرم فارمیسی ڈنگہ</v>
          </cell>
        </row>
        <row r="589">
          <cell r="A589" t="str">
            <v>161 J</v>
          </cell>
          <cell r="B589">
            <v>10926</v>
          </cell>
          <cell r="C589">
            <v>45664</v>
          </cell>
          <cell r="D589" t="str">
            <v>JILANI</v>
          </cell>
          <cell r="E589" t="str">
            <v>الکرم فارمیسی ڈنگہ</v>
          </cell>
        </row>
        <row r="590">
          <cell r="A590" t="str">
            <v>162 J</v>
          </cell>
          <cell r="B590">
            <v>10927</v>
          </cell>
          <cell r="C590">
            <v>45664</v>
          </cell>
          <cell r="D590" t="str">
            <v>JILANI</v>
          </cell>
          <cell r="E590" t="str">
            <v>شاکر کمیونیکیشن بنوں</v>
          </cell>
        </row>
        <row r="591">
          <cell r="A591" t="str">
            <v>163 J</v>
          </cell>
          <cell r="B591">
            <v>10928</v>
          </cell>
          <cell r="C591">
            <v>45664</v>
          </cell>
          <cell r="D591" t="str">
            <v>JILANI</v>
          </cell>
          <cell r="E591" t="str">
            <v xml:space="preserve">پاک الیکٹرون لیمیٹڈ  </v>
          </cell>
        </row>
        <row r="592">
          <cell r="A592" t="str">
            <v>164 J</v>
          </cell>
          <cell r="B592">
            <v>10929</v>
          </cell>
          <cell r="C592">
            <v>45666</v>
          </cell>
          <cell r="D592" t="str">
            <v>JILANI</v>
          </cell>
          <cell r="E592" t="str">
            <v>گولڈن پرل کاسمیٹکس لاہور</v>
          </cell>
        </row>
        <row r="593">
          <cell r="A593" t="str">
            <v>165 J</v>
          </cell>
          <cell r="B593">
            <v>10929</v>
          </cell>
          <cell r="C593">
            <v>45666</v>
          </cell>
          <cell r="D593" t="str">
            <v>JILANI</v>
          </cell>
          <cell r="E593" t="str">
            <v>گولڈن پرل کاسمیٹکس لاہور</v>
          </cell>
        </row>
        <row r="594">
          <cell r="A594" t="str">
            <v>166 J</v>
          </cell>
          <cell r="B594">
            <v>10930</v>
          </cell>
          <cell r="C594">
            <v>45666</v>
          </cell>
          <cell r="D594" t="str">
            <v>JILANI</v>
          </cell>
          <cell r="E594" t="str">
            <v>اعجاز شیر صوابی</v>
          </cell>
        </row>
        <row r="595">
          <cell r="A595" t="str">
            <v>167 J</v>
          </cell>
          <cell r="B595">
            <v>10931</v>
          </cell>
          <cell r="C595">
            <v>45666</v>
          </cell>
          <cell r="D595" t="str">
            <v>JILANI</v>
          </cell>
          <cell r="E595" t="str">
            <v>عالم بیکرز شیخوپورہ</v>
          </cell>
        </row>
        <row r="596">
          <cell r="A596" t="str">
            <v>168 J</v>
          </cell>
          <cell r="B596">
            <v>10931</v>
          </cell>
          <cell r="C596">
            <v>45666</v>
          </cell>
          <cell r="D596" t="str">
            <v>JILANI</v>
          </cell>
          <cell r="E596" t="str">
            <v>عالم بیکرز شیخوپورہ</v>
          </cell>
        </row>
        <row r="597">
          <cell r="A597" t="str">
            <v>169 J</v>
          </cell>
          <cell r="B597">
            <v>10931</v>
          </cell>
          <cell r="C597">
            <v>45666</v>
          </cell>
          <cell r="D597" t="str">
            <v>JILANI</v>
          </cell>
          <cell r="E597" t="str">
            <v>عالم بیکرز شیخوپورہ</v>
          </cell>
        </row>
        <row r="598">
          <cell r="A598" t="str">
            <v>170 J</v>
          </cell>
          <cell r="B598">
            <v>10932</v>
          </cell>
          <cell r="C598">
            <v>45666</v>
          </cell>
          <cell r="D598" t="str">
            <v>JILANI</v>
          </cell>
          <cell r="E598" t="str">
            <v>عالم بیکرز شیخوپورہ</v>
          </cell>
        </row>
        <row r="599">
          <cell r="A599" t="str">
            <v>171 J</v>
          </cell>
          <cell r="B599">
            <v>10932</v>
          </cell>
          <cell r="C599">
            <v>45666</v>
          </cell>
          <cell r="D599" t="str">
            <v>JILANI</v>
          </cell>
          <cell r="E599" t="str">
            <v>عالم بیکرز شیخوپورہ</v>
          </cell>
        </row>
        <row r="600">
          <cell r="A600" t="str">
            <v>172 J</v>
          </cell>
          <cell r="B600">
            <v>10932</v>
          </cell>
          <cell r="C600">
            <v>45666</v>
          </cell>
          <cell r="D600" t="str">
            <v>JILANI</v>
          </cell>
          <cell r="E600" t="str">
            <v>عالم بیکرز شیخوپورہ</v>
          </cell>
        </row>
        <row r="601">
          <cell r="A601" t="str">
            <v>173 J</v>
          </cell>
          <cell r="B601">
            <v>10933</v>
          </cell>
          <cell r="C601">
            <v>45666</v>
          </cell>
          <cell r="D601" t="str">
            <v>JILANI</v>
          </cell>
          <cell r="E601" t="str">
            <v>عنائیت خان ڈرائی فوڈ کرشن نگر لاہور</v>
          </cell>
        </row>
        <row r="602">
          <cell r="A602" t="str">
            <v>174 J</v>
          </cell>
          <cell r="B602">
            <v>10933</v>
          </cell>
          <cell r="C602">
            <v>45666</v>
          </cell>
          <cell r="D602" t="str">
            <v>JILANI</v>
          </cell>
          <cell r="E602" t="str">
            <v>عنائیت خان ڈرائی فوڈ کرشن نگر لاہور</v>
          </cell>
        </row>
        <row r="603">
          <cell r="A603" t="str">
            <v>175 J</v>
          </cell>
          <cell r="B603">
            <v>10933</v>
          </cell>
          <cell r="C603">
            <v>45666</v>
          </cell>
          <cell r="D603" t="str">
            <v>JILANI</v>
          </cell>
          <cell r="E603" t="str">
            <v>عنائیت خان ڈرائی فوڈ کرشن نگر لاہور</v>
          </cell>
        </row>
        <row r="604">
          <cell r="A604" t="str">
            <v>176 J</v>
          </cell>
          <cell r="B604">
            <v>10934</v>
          </cell>
          <cell r="C604">
            <v>45666</v>
          </cell>
          <cell r="D604" t="str">
            <v>JILANI</v>
          </cell>
          <cell r="E604" t="str">
            <v>بلال سویٹس اینڈ بیکرز شیخوپورہ</v>
          </cell>
        </row>
        <row r="605">
          <cell r="A605" t="str">
            <v>177 J</v>
          </cell>
          <cell r="B605">
            <v>10934</v>
          </cell>
          <cell r="C605">
            <v>45666</v>
          </cell>
          <cell r="D605" t="str">
            <v>JILANI</v>
          </cell>
          <cell r="E605" t="str">
            <v>بلال سویٹس اینڈ بیکرز شیخوپورہ</v>
          </cell>
        </row>
        <row r="606">
          <cell r="A606" t="str">
            <v>178 J</v>
          </cell>
          <cell r="B606">
            <v>10935</v>
          </cell>
          <cell r="C606">
            <v>45666</v>
          </cell>
          <cell r="D606" t="str">
            <v>JILANI</v>
          </cell>
          <cell r="E606" t="str">
            <v>سیالکوٹ سویٹس گوجرانوالہ</v>
          </cell>
        </row>
        <row r="607">
          <cell r="A607" t="str">
            <v>179 J</v>
          </cell>
          <cell r="B607">
            <v>10936</v>
          </cell>
          <cell r="C607">
            <v>45666</v>
          </cell>
          <cell r="D607" t="str">
            <v>JILANI</v>
          </cell>
          <cell r="E607" t="str">
            <v>امارات پلاسٹک ٹھوکر نیاز بیگ</v>
          </cell>
        </row>
        <row r="608">
          <cell r="A608" t="str">
            <v>180 J</v>
          </cell>
          <cell r="B608">
            <v>10936</v>
          </cell>
          <cell r="C608">
            <v>45666</v>
          </cell>
          <cell r="D608" t="str">
            <v>JILANI</v>
          </cell>
          <cell r="E608" t="str">
            <v>امارات پلاسٹک ٹھوکر نیاز بیگ</v>
          </cell>
        </row>
        <row r="609">
          <cell r="A609" t="str">
            <v>181 J</v>
          </cell>
          <cell r="B609">
            <v>10937</v>
          </cell>
          <cell r="C609">
            <v>45666</v>
          </cell>
          <cell r="D609" t="str">
            <v>JILANI</v>
          </cell>
          <cell r="E609" t="str">
            <v>انٹرنیشنل انڈسٹری لیمیٹڈ</v>
          </cell>
        </row>
        <row r="610">
          <cell r="A610" t="str">
            <v>182 J</v>
          </cell>
          <cell r="B610">
            <v>10938</v>
          </cell>
          <cell r="C610">
            <v>45666</v>
          </cell>
          <cell r="D610" t="str">
            <v>JILANI</v>
          </cell>
          <cell r="E610" t="str">
            <v>سروس انڈسٹری گجرات</v>
          </cell>
        </row>
        <row r="611">
          <cell r="A611" t="str">
            <v>183 J</v>
          </cell>
          <cell r="B611">
            <v>10939</v>
          </cell>
          <cell r="C611">
            <v>45666</v>
          </cell>
          <cell r="D611" t="str">
            <v>JILANI</v>
          </cell>
          <cell r="E611" t="str">
            <v>سروس انڈسٹری گجرات</v>
          </cell>
        </row>
        <row r="612">
          <cell r="A612" t="str">
            <v>184 J</v>
          </cell>
          <cell r="B612">
            <v>10940</v>
          </cell>
          <cell r="C612">
            <v>45666</v>
          </cell>
          <cell r="D612" t="str">
            <v>JILANI</v>
          </cell>
          <cell r="E612" t="str">
            <v>سروس انڈسٹری گجرات</v>
          </cell>
        </row>
        <row r="613">
          <cell r="A613" t="str">
            <v>185 J</v>
          </cell>
          <cell r="B613">
            <v>10941</v>
          </cell>
          <cell r="C613">
            <v>45666</v>
          </cell>
          <cell r="D613" t="str">
            <v>JILANI</v>
          </cell>
          <cell r="E613" t="str">
            <v>اٹلس ہنڈا لمیٹڈ شیخوپورہ</v>
          </cell>
        </row>
        <row r="614">
          <cell r="A614" t="str">
            <v>186 J</v>
          </cell>
          <cell r="B614">
            <v>10942</v>
          </cell>
          <cell r="C614">
            <v>45666</v>
          </cell>
          <cell r="D614" t="str">
            <v>JILANI</v>
          </cell>
          <cell r="E614" t="str">
            <v>اٹلس ہنڈا لمیٹڈ شیخوپورہ</v>
          </cell>
        </row>
        <row r="615">
          <cell r="A615" t="str">
            <v>187 J</v>
          </cell>
          <cell r="B615">
            <v>10943</v>
          </cell>
          <cell r="C615">
            <v>45666</v>
          </cell>
          <cell r="D615" t="str">
            <v>JILANI</v>
          </cell>
          <cell r="E615" t="str">
            <v>اٹلس ہنڈا لمیٹڈ شیخوپورہ</v>
          </cell>
        </row>
        <row r="616">
          <cell r="A616" t="str">
            <v>188 J</v>
          </cell>
          <cell r="B616">
            <v>10944</v>
          </cell>
          <cell r="C616">
            <v>45666</v>
          </cell>
          <cell r="D616" t="str">
            <v>JILANI</v>
          </cell>
          <cell r="E616" t="str">
            <v>اٹلس ہنڈا لمیٹڈ شیخوپورہ</v>
          </cell>
        </row>
        <row r="617">
          <cell r="A617" t="str">
            <v>189 J</v>
          </cell>
          <cell r="B617">
            <v>10945</v>
          </cell>
          <cell r="C617">
            <v>45666</v>
          </cell>
          <cell r="D617" t="str">
            <v>JILANI</v>
          </cell>
          <cell r="E617" t="str">
            <v>اٹلس ہنڈا لمیٹڈ شیخوپورہ</v>
          </cell>
        </row>
        <row r="618">
          <cell r="A618" t="str">
            <v>190 J</v>
          </cell>
          <cell r="B618">
            <v>10946</v>
          </cell>
          <cell r="C618">
            <v>45666</v>
          </cell>
          <cell r="D618" t="str">
            <v>JILANI</v>
          </cell>
          <cell r="E618" t="str">
            <v>اٹلس ہنڈا لمیٹڈ شیخوپورہ</v>
          </cell>
        </row>
        <row r="619">
          <cell r="A619" t="str">
            <v>191 J</v>
          </cell>
          <cell r="B619">
            <v>10947</v>
          </cell>
          <cell r="C619">
            <v>45666</v>
          </cell>
          <cell r="D619" t="str">
            <v>JILANI</v>
          </cell>
          <cell r="E619" t="str">
            <v>اٹلس ہنڈا لمیٹڈ شیخوپورہ</v>
          </cell>
        </row>
        <row r="620">
          <cell r="A620" t="str">
            <v>192 J</v>
          </cell>
          <cell r="B620">
            <v>10948</v>
          </cell>
          <cell r="C620">
            <v>45666</v>
          </cell>
          <cell r="D620" t="str">
            <v>JILANI</v>
          </cell>
          <cell r="E620" t="str">
            <v>اٹلس ہنڈا لمیٹڈ شیخوپورہ</v>
          </cell>
        </row>
        <row r="621">
          <cell r="A621" t="str">
            <v>193 J</v>
          </cell>
          <cell r="B621">
            <v>10949</v>
          </cell>
          <cell r="C621">
            <v>45666</v>
          </cell>
          <cell r="D621" t="str">
            <v>JILANI</v>
          </cell>
          <cell r="E621" t="str">
            <v>اٹلس ہنڈا لمیٹڈ شیخوپورہ</v>
          </cell>
        </row>
        <row r="622">
          <cell r="A622" t="str">
            <v>194 J</v>
          </cell>
          <cell r="B622">
            <v>10950</v>
          </cell>
          <cell r="C622">
            <v>45666</v>
          </cell>
          <cell r="D622" t="str">
            <v>JILANI</v>
          </cell>
          <cell r="E622" t="str">
            <v>اٹلس ہنڈا لمیٹڈ شیخوپورہ</v>
          </cell>
        </row>
        <row r="623">
          <cell r="A623" t="str">
            <v>195 J</v>
          </cell>
          <cell r="B623">
            <v>10951</v>
          </cell>
          <cell r="C623">
            <v>45666</v>
          </cell>
          <cell r="D623" t="str">
            <v>JILANI</v>
          </cell>
          <cell r="E623" t="str">
            <v>شفعی ٹیکسل لمیٹڈ</v>
          </cell>
        </row>
        <row r="624">
          <cell r="A624" t="str">
            <v>196 J</v>
          </cell>
          <cell r="B624">
            <v>10952</v>
          </cell>
          <cell r="C624">
            <v>45666</v>
          </cell>
          <cell r="D624" t="str">
            <v>JILANI</v>
          </cell>
          <cell r="E624" t="str">
            <v>شریفی جیولرز اینڈ شوز لاہور</v>
          </cell>
        </row>
        <row r="625">
          <cell r="A625" t="str">
            <v>910 F</v>
          </cell>
          <cell r="B625"/>
          <cell r="C625">
            <v>45666</v>
          </cell>
          <cell r="D625" t="str">
            <v>فینا</v>
          </cell>
          <cell r="E625" t="str">
            <v>عثمان امین</v>
          </cell>
        </row>
        <row r="626">
          <cell r="A626">
            <v>2684</v>
          </cell>
          <cell r="B626"/>
          <cell r="C626">
            <v>45666</v>
          </cell>
          <cell r="D626"/>
          <cell r="E626" t="str">
            <v>ENGRO ZARKHEZ</v>
          </cell>
        </row>
        <row r="627">
          <cell r="A627" t="str">
            <v>911 F</v>
          </cell>
          <cell r="B627"/>
          <cell r="C627">
            <v>45667</v>
          </cell>
          <cell r="D627" t="str">
            <v>فینا</v>
          </cell>
          <cell r="E627" t="str">
            <v>عثمان امین</v>
          </cell>
        </row>
        <row r="628">
          <cell r="A628" t="str">
            <v>912 F</v>
          </cell>
          <cell r="B628"/>
          <cell r="C628">
            <v>45667</v>
          </cell>
          <cell r="D628" t="str">
            <v>فینا</v>
          </cell>
          <cell r="E628" t="str">
            <v>عثمان امین</v>
          </cell>
        </row>
        <row r="629">
          <cell r="A629" t="str">
            <v>913 F</v>
          </cell>
          <cell r="B629"/>
          <cell r="C629">
            <v>45667</v>
          </cell>
          <cell r="D629" t="str">
            <v>فینا</v>
          </cell>
          <cell r="E629" t="str">
            <v>عثمان امین</v>
          </cell>
        </row>
        <row r="630">
          <cell r="A630" t="str">
            <v>914 F</v>
          </cell>
          <cell r="B630"/>
          <cell r="C630">
            <v>45667</v>
          </cell>
          <cell r="D630" t="str">
            <v>فینا</v>
          </cell>
          <cell r="E630" t="str">
            <v>عثمان امین</v>
          </cell>
        </row>
        <row r="631">
          <cell r="A631" t="str">
            <v>915 F</v>
          </cell>
          <cell r="B631"/>
          <cell r="C631">
            <v>45668</v>
          </cell>
          <cell r="D631" t="str">
            <v>فینا</v>
          </cell>
          <cell r="E631" t="str">
            <v>عثمان امین</v>
          </cell>
        </row>
        <row r="632">
          <cell r="A632" t="str">
            <v>916 F</v>
          </cell>
          <cell r="B632"/>
          <cell r="C632">
            <v>45668</v>
          </cell>
          <cell r="D632" t="str">
            <v>فینا</v>
          </cell>
          <cell r="E632" t="str">
            <v>عثمان امین</v>
          </cell>
        </row>
        <row r="633">
          <cell r="A633" t="str">
            <v>917 F</v>
          </cell>
          <cell r="B633"/>
          <cell r="C633">
            <v>45668</v>
          </cell>
          <cell r="D633" t="str">
            <v>فینا</v>
          </cell>
          <cell r="E633" t="str">
            <v>عثمان امین</v>
          </cell>
        </row>
        <row r="634">
          <cell r="A634" t="str">
            <v>918 F</v>
          </cell>
          <cell r="B634"/>
          <cell r="C634">
            <v>45668</v>
          </cell>
          <cell r="D634" t="str">
            <v>فینا</v>
          </cell>
          <cell r="E634" t="str">
            <v>عثمان امین</v>
          </cell>
        </row>
        <row r="635">
          <cell r="A635" t="str">
            <v>919 F</v>
          </cell>
          <cell r="B635"/>
          <cell r="C635">
            <v>45668</v>
          </cell>
          <cell r="D635" t="str">
            <v>فینا</v>
          </cell>
          <cell r="E635" t="str">
            <v>عثمان امین</v>
          </cell>
        </row>
        <row r="636">
          <cell r="A636" t="str">
            <v>197 J</v>
          </cell>
          <cell r="B636"/>
          <cell r="C636">
            <v>45667</v>
          </cell>
          <cell r="D636" t="str">
            <v>JILANI</v>
          </cell>
          <cell r="E636" t="str">
            <v>جیلانی پولی سٹاک</v>
          </cell>
        </row>
        <row r="637">
          <cell r="A637" t="str">
            <v>198 J</v>
          </cell>
          <cell r="B637"/>
          <cell r="C637">
            <v>45667</v>
          </cell>
          <cell r="D637" t="str">
            <v>JILANI</v>
          </cell>
          <cell r="E637" t="str">
            <v>جیلانی پلاسٹک</v>
          </cell>
        </row>
        <row r="638">
          <cell r="A638" t="str">
            <v>199 J</v>
          </cell>
          <cell r="B638">
            <v>10953</v>
          </cell>
          <cell r="C638">
            <v>45667</v>
          </cell>
          <cell r="D638" t="str">
            <v>JILANI</v>
          </cell>
          <cell r="E638" t="str">
            <v>ہیڈ آفس لاہور</v>
          </cell>
        </row>
        <row r="639">
          <cell r="A639" t="str">
            <v>200 J</v>
          </cell>
          <cell r="B639">
            <v>10953</v>
          </cell>
          <cell r="C639">
            <v>45667</v>
          </cell>
          <cell r="D639" t="str">
            <v>JILANI</v>
          </cell>
          <cell r="E639" t="str">
            <v>ہیڈ آفس لاہور</v>
          </cell>
        </row>
        <row r="640">
          <cell r="A640" t="str">
            <v>201 J</v>
          </cell>
          <cell r="B640">
            <v>10953</v>
          </cell>
          <cell r="C640">
            <v>45667</v>
          </cell>
          <cell r="D640" t="str">
            <v>JILANI</v>
          </cell>
          <cell r="E640" t="str">
            <v>ہیڈ آفس لاہور</v>
          </cell>
        </row>
        <row r="641">
          <cell r="A641" t="str">
            <v>202 J</v>
          </cell>
          <cell r="B641">
            <v>10953</v>
          </cell>
          <cell r="C641">
            <v>45667</v>
          </cell>
          <cell r="D641" t="str">
            <v>JILANI</v>
          </cell>
          <cell r="E641" t="str">
            <v>ہیڈ آفس لاہور</v>
          </cell>
        </row>
        <row r="642">
          <cell r="A642" t="str">
            <v>203 J</v>
          </cell>
          <cell r="B642">
            <v>10954</v>
          </cell>
          <cell r="C642">
            <v>45667</v>
          </cell>
          <cell r="D642" t="str">
            <v>JILANI</v>
          </cell>
          <cell r="E642" t="str">
            <v>فاسٹ کیبل لاہور</v>
          </cell>
        </row>
        <row r="643">
          <cell r="A643" t="str">
            <v>204 J</v>
          </cell>
          <cell r="B643">
            <v>10955</v>
          </cell>
          <cell r="C643">
            <v>45667</v>
          </cell>
          <cell r="D643" t="str">
            <v>JILANI</v>
          </cell>
          <cell r="E643" t="str">
            <v>عرفان صاحب اعظم مارکیٹ لاہور</v>
          </cell>
        </row>
        <row r="644">
          <cell r="A644" t="str">
            <v>205 J</v>
          </cell>
          <cell r="B644">
            <v>10956</v>
          </cell>
          <cell r="C644">
            <v>45667</v>
          </cell>
          <cell r="D644" t="str">
            <v>JILANI</v>
          </cell>
          <cell r="E644" t="str">
            <v>معاز کلاتھ ہاؤس دجال</v>
          </cell>
        </row>
        <row r="645">
          <cell r="A645" t="str">
            <v>206 J</v>
          </cell>
          <cell r="B645">
            <v>10956</v>
          </cell>
          <cell r="C645">
            <v>45667</v>
          </cell>
          <cell r="D645" t="str">
            <v>JILANI</v>
          </cell>
          <cell r="E645" t="str">
            <v>معاز کلاتھ ہاؤس دجال</v>
          </cell>
        </row>
        <row r="646">
          <cell r="A646" t="str">
            <v>207 J</v>
          </cell>
          <cell r="B646">
            <v>10957</v>
          </cell>
          <cell r="C646">
            <v>45667</v>
          </cell>
          <cell r="D646" t="str">
            <v>JILANI</v>
          </cell>
          <cell r="E646" t="str">
            <v>اے کے اينڈ ايچ بی سی او لاہور</v>
          </cell>
        </row>
        <row r="647">
          <cell r="A647" t="str">
            <v>208 J</v>
          </cell>
          <cell r="B647">
            <v>10958</v>
          </cell>
          <cell r="C647">
            <v>45667</v>
          </cell>
          <cell r="D647" t="str">
            <v>JILANI</v>
          </cell>
          <cell r="E647" t="str">
            <v>عجب گل کلاتھ ہاؤس نوشہرہ ورکاں</v>
          </cell>
        </row>
        <row r="648">
          <cell r="A648" t="str">
            <v>209 J</v>
          </cell>
          <cell r="B648">
            <v>10959</v>
          </cell>
          <cell r="C648">
            <v>45667</v>
          </cell>
          <cell r="D648" t="str">
            <v>JILANI</v>
          </cell>
          <cell r="E648" t="str">
            <v>مدنی پرنٹنگ پریس نارنگ منڈی</v>
          </cell>
        </row>
        <row r="649">
          <cell r="A649" t="str">
            <v>210 J</v>
          </cell>
          <cell r="B649">
            <v>10959</v>
          </cell>
          <cell r="C649">
            <v>45667</v>
          </cell>
          <cell r="D649" t="str">
            <v>JILANI</v>
          </cell>
          <cell r="E649" t="str">
            <v>مدنی پرنٹنگ پریس نارنگ منڈی</v>
          </cell>
        </row>
        <row r="650">
          <cell r="A650" t="str">
            <v>211 J</v>
          </cell>
          <cell r="B650">
            <v>10960</v>
          </cell>
          <cell r="C650">
            <v>45667</v>
          </cell>
          <cell r="D650" t="str">
            <v>JILANI</v>
          </cell>
          <cell r="E650" t="str">
            <v>سناز فیشن  لاہور</v>
          </cell>
        </row>
        <row r="651">
          <cell r="A651" t="str">
            <v>212 J</v>
          </cell>
          <cell r="B651">
            <v>10961</v>
          </cell>
          <cell r="C651">
            <v>45667</v>
          </cell>
          <cell r="D651" t="str">
            <v>JILANI</v>
          </cell>
          <cell r="E651" t="str">
            <v>عرفان صاحب اعظم مارکیٹ</v>
          </cell>
        </row>
        <row r="652">
          <cell r="A652" t="str">
            <v>213 J</v>
          </cell>
          <cell r="B652">
            <v>10962</v>
          </cell>
          <cell r="C652">
            <v>45667</v>
          </cell>
          <cell r="D652" t="str">
            <v>JILANI</v>
          </cell>
          <cell r="E652" t="str">
            <v>عالم پرنٹرز بٹ خیلہ</v>
          </cell>
        </row>
        <row r="653">
          <cell r="A653" t="str">
            <v>214 J</v>
          </cell>
          <cell r="B653">
            <v>10963</v>
          </cell>
          <cell r="C653">
            <v>45667</v>
          </cell>
          <cell r="D653" t="str">
            <v>JILANI</v>
          </cell>
          <cell r="E653" t="str">
            <v>رانیال سینتھٹک پرائیویٹ لیمیٹڈ</v>
          </cell>
        </row>
        <row r="654">
          <cell r="A654" t="str">
            <v>215 J</v>
          </cell>
          <cell r="B654"/>
          <cell r="C654">
            <v>45667</v>
          </cell>
          <cell r="D654" t="str">
            <v>OTHERS</v>
          </cell>
          <cell r="E654" t="str">
            <v>جیلانی پولی سٹاک</v>
          </cell>
        </row>
        <row r="655">
          <cell r="A655" t="str">
            <v>216 J</v>
          </cell>
          <cell r="B655"/>
          <cell r="C655">
            <v>45667</v>
          </cell>
          <cell r="D655" t="str">
            <v>OTHERS</v>
          </cell>
          <cell r="E655" t="str">
            <v>جیلانی پولی سٹاک</v>
          </cell>
        </row>
        <row r="656">
          <cell r="A656" t="str">
            <v>6470/1</v>
          </cell>
          <cell r="B656">
            <v>6470</v>
          </cell>
          <cell r="C656">
            <v>45658</v>
          </cell>
          <cell r="D656" t="str">
            <v>یونس صاحب</v>
          </cell>
          <cell r="E656" t="str">
            <v>ریفلکٹ پیک</v>
          </cell>
        </row>
        <row r="657">
          <cell r="A657" t="str">
            <v>6471/1</v>
          </cell>
          <cell r="B657">
            <v>6471</v>
          </cell>
          <cell r="C657">
            <v>45658</v>
          </cell>
          <cell r="D657" t="str">
            <v>یونس صاحب</v>
          </cell>
          <cell r="E657" t="str">
            <v>عبدالغنی رنگ والے کمالیہ</v>
          </cell>
        </row>
        <row r="658">
          <cell r="A658" t="str">
            <v>6472/1</v>
          </cell>
          <cell r="B658">
            <v>6472</v>
          </cell>
          <cell r="C658">
            <v>45658</v>
          </cell>
          <cell r="D658" t="str">
            <v>یونس صاحب</v>
          </cell>
          <cell r="E658" t="str">
            <v>آصف پلاسٹک سرگودھا</v>
          </cell>
        </row>
        <row r="659">
          <cell r="A659" t="str">
            <v>6472/2</v>
          </cell>
          <cell r="B659">
            <v>6472</v>
          </cell>
          <cell r="C659">
            <v>45658</v>
          </cell>
          <cell r="D659" t="str">
            <v>یونس صاحب</v>
          </cell>
          <cell r="E659" t="str">
            <v>آصف پلاسٹک سرگودھا</v>
          </cell>
        </row>
        <row r="660">
          <cell r="A660" t="str">
            <v>6472/3</v>
          </cell>
          <cell r="B660">
            <v>6472</v>
          </cell>
          <cell r="C660">
            <v>45658</v>
          </cell>
          <cell r="D660" t="str">
            <v>یونس صاحب</v>
          </cell>
          <cell r="E660" t="str">
            <v>آصف پلاسٹک سرگودھا</v>
          </cell>
        </row>
        <row r="661">
          <cell r="A661" t="str">
            <v>6472/4</v>
          </cell>
          <cell r="B661">
            <v>6472</v>
          </cell>
          <cell r="C661">
            <v>45658</v>
          </cell>
          <cell r="D661" t="str">
            <v>یونس صاحب</v>
          </cell>
          <cell r="E661" t="str">
            <v>آصف پلاسٹک سرگودھا</v>
          </cell>
        </row>
        <row r="662">
          <cell r="A662" t="str">
            <v>6472/5</v>
          </cell>
          <cell r="B662">
            <v>6472</v>
          </cell>
          <cell r="C662">
            <v>45658</v>
          </cell>
          <cell r="D662" t="str">
            <v>یونس صاحب</v>
          </cell>
          <cell r="E662" t="str">
            <v>آصف پلاسٹک سرگودھا</v>
          </cell>
        </row>
        <row r="663">
          <cell r="A663" t="str">
            <v>6473/1</v>
          </cell>
          <cell r="B663">
            <v>6473</v>
          </cell>
          <cell r="C663">
            <v>45659</v>
          </cell>
          <cell r="D663" t="str">
            <v>یونس صاحب</v>
          </cell>
          <cell r="E663" t="str">
            <v>فیصل پلاسٹک فیصل آباد</v>
          </cell>
        </row>
        <row r="664">
          <cell r="A664" t="str">
            <v>6474/1</v>
          </cell>
          <cell r="B664">
            <v>6474</v>
          </cell>
          <cell r="C664">
            <v>45659</v>
          </cell>
          <cell r="D664" t="str">
            <v>یونس صاحب</v>
          </cell>
          <cell r="E664" t="str">
            <v>عرفان احمد اعظم مارکیٹ</v>
          </cell>
        </row>
        <row r="665">
          <cell r="A665" t="str">
            <v>6475/1</v>
          </cell>
          <cell r="B665">
            <v>6475</v>
          </cell>
          <cell r="C665">
            <v>45659</v>
          </cell>
          <cell r="D665" t="str">
            <v>یونس صاحب</v>
          </cell>
          <cell r="E665" t="str">
            <v>عرفان احمد اعظم مارکیٹ</v>
          </cell>
        </row>
        <row r="666">
          <cell r="A666" t="str">
            <v>6475/2</v>
          </cell>
          <cell r="B666">
            <v>6475</v>
          </cell>
          <cell r="C666">
            <v>45659</v>
          </cell>
          <cell r="D666" t="str">
            <v>یونس صاحب</v>
          </cell>
          <cell r="E666" t="str">
            <v>عرفان احمد اعظم مارکیٹ</v>
          </cell>
        </row>
        <row r="667">
          <cell r="A667" t="str">
            <v>6475/3</v>
          </cell>
          <cell r="B667">
            <v>6475</v>
          </cell>
          <cell r="C667">
            <v>45659</v>
          </cell>
          <cell r="D667" t="str">
            <v>یونس صاحب</v>
          </cell>
          <cell r="E667" t="str">
            <v>عرفان احمد اعظم مارکیٹ</v>
          </cell>
        </row>
        <row r="668">
          <cell r="A668" t="str">
            <v>6475/4</v>
          </cell>
          <cell r="B668">
            <v>6475</v>
          </cell>
          <cell r="C668">
            <v>45659</v>
          </cell>
          <cell r="D668" t="str">
            <v>یونس صاحب</v>
          </cell>
          <cell r="E668" t="str">
            <v>عرفان احمد اعظم مارکیٹ</v>
          </cell>
        </row>
        <row r="669">
          <cell r="A669" t="str">
            <v>6475/5</v>
          </cell>
          <cell r="B669">
            <v>6475</v>
          </cell>
          <cell r="C669">
            <v>45659</v>
          </cell>
          <cell r="D669" t="str">
            <v>یونس صاحب</v>
          </cell>
          <cell r="E669" t="str">
            <v>عرفان احمد اعظم مارکیٹ</v>
          </cell>
        </row>
        <row r="670">
          <cell r="A670" t="str">
            <v>6476/1</v>
          </cell>
          <cell r="B670">
            <v>6476</v>
          </cell>
          <cell r="C670">
            <v>45659</v>
          </cell>
          <cell r="D670" t="str">
            <v>یونس صاحب</v>
          </cell>
          <cell r="E670" t="str">
            <v>ریفلکٹ پیک</v>
          </cell>
        </row>
        <row r="671">
          <cell r="A671" t="str">
            <v>6477/1</v>
          </cell>
          <cell r="B671">
            <v>6477</v>
          </cell>
          <cell r="C671">
            <v>45660</v>
          </cell>
          <cell r="D671" t="str">
            <v>یونس صاحب</v>
          </cell>
          <cell r="E671" t="str">
            <v>حنان پلاسٹک فیصل آباد</v>
          </cell>
        </row>
        <row r="672">
          <cell r="A672" t="str">
            <v>6477/2</v>
          </cell>
          <cell r="B672">
            <v>6477</v>
          </cell>
          <cell r="C672">
            <v>45660</v>
          </cell>
          <cell r="D672" t="str">
            <v>یونس صاحب</v>
          </cell>
          <cell r="E672" t="str">
            <v>حنان پلاسٹک فیصل آباد</v>
          </cell>
        </row>
        <row r="673">
          <cell r="A673" t="str">
            <v>6477/3</v>
          </cell>
          <cell r="B673">
            <v>6477</v>
          </cell>
          <cell r="C673">
            <v>45660</v>
          </cell>
          <cell r="D673" t="str">
            <v>یونس صاحب</v>
          </cell>
          <cell r="E673" t="str">
            <v>حنان پلاسٹک فیصل آباد</v>
          </cell>
        </row>
        <row r="674">
          <cell r="A674" t="str">
            <v>6477/4</v>
          </cell>
          <cell r="B674">
            <v>6477</v>
          </cell>
          <cell r="C674">
            <v>45660</v>
          </cell>
          <cell r="D674" t="str">
            <v>یونس صاحب</v>
          </cell>
          <cell r="E674" t="str">
            <v>حنان پلاسٹک فیصل آباد</v>
          </cell>
        </row>
        <row r="675">
          <cell r="A675" t="str">
            <v>6477/5</v>
          </cell>
          <cell r="B675">
            <v>6477</v>
          </cell>
          <cell r="C675">
            <v>45660</v>
          </cell>
          <cell r="D675" t="str">
            <v>یونس صاحب</v>
          </cell>
          <cell r="E675" t="str">
            <v>حنان پلاسٹک فیصل آباد</v>
          </cell>
        </row>
        <row r="676">
          <cell r="A676" t="str">
            <v>6477/6</v>
          </cell>
          <cell r="B676">
            <v>6477</v>
          </cell>
          <cell r="C676">
            <v>45660</v>
          </cell>
          <cell r="D676" t="str">
            <v>یونس صاحب</v>
          </cell>
          <cell r="E676" t="str">
            <v>حنان پلاسٹک فیصل آباد</v>
          </cell>
        </row>
        <row r="677">
          <cell r="A677" t="str">
            <v>6477/7</v>
          </cell>
          <cell r="B677">
            <v>6477</v>
          </cell>
          <cell r="C677">
            <v>45660</v>
          </cell>
          <cell r="D677" t="str">
            <v>یونس صاحب</v>
          </cell>
          <cell r="E677" t="str">
            <v>حنان پلاسٹک فیصل آباد</v>
          </cell>
        </row>
        <row r="678">
          <cell r="A678" t="str">
            <v>6477/8</v>
          </cell>
          <cell r="B678">
            <v>6477</v>
          </cell>
          <cell r="C678">
            <v>45660</v>
          </cell>
          <cell r="D678" t="str">
            <v>یونس صاحب</v>
          </cell>
          <cell r="E678" t="str">
            <v>حنان پلاسٹک فیصل آباد</v>
          </cell>
        </row>
        <row r="679">
          <cell r="A679" t="str">
            <v>6477/9</v>
          </cell>
          <cell r="B679">
            <v>6477</v>
          </cell>
          <cell r="C679">
            <v>45660</v>
          </cell>
          <cell r="D679" t="str">
            <v>یونس صاحب</v>
          </cell>
          <cell r="E679" t="str">
            <v>حنان پلاسٹک فیصل آباد</v>
          </cell>
        </row>
        <row r="680">
          <cell r="A680" t="str">
            <v>6477/10</v>
          </cell>
          <cell r="B680">
            <v>6477</v>
          </cell>
          <cell r="C680">
            <v>45660</v>
          </cell>
          <cell r="D680" t="str">
            <v>یونس صاحب</v>
          </cell>
          <cell r="E680" t="str">
            <v>حنان پلاسٹک فیصل آباد</v>
          </cell>
        </row>
        <row r="681">
          <cell r="A681" t="str">
            <v>6477/11</v>
          </cell>
          <cell r="B681">
            <v>6477</v>
          </cell>
          <cell r="C681">
            <v>45660</v>
          </cell>
          <cell r="D681" t="str">
            <v>یونس صاحب</v>
          </cell>
          <cell r="E681" t="str">
            <v>حنان پلاسٹک فیصل آباد</v>
          </cell>
        </row>
        <row r="682">
          <cell r="A682" t="str">
            <v>6477/12</v>
          </cell>
          <cell r="B682">
            <v>6477</v>
          </cell>
          <cell r="C682">
            <v>45660</v>
          </cell>
          <cell r="D682" t="str">
            <v>یونس صاحب</v>
          </cell>
          <cell r="E682" t="str">
            <v>حنان پلاسٹک فیصل آباد</v>
          </cell>
        </row>
        <row r="683">
          <cell r="A683" t="str">
            <v>6477/13</v>
          </cell>
          <cell r="B683">
            <v>6477</v>
          </cell>
          <cell r="C683">
            <v>45660</v>
          </cell>
          <cell r="D683" t="str">
            <v>یونس صاحب</v>
          </cell>
          <cell r="E683" t="str">
            <v>حنان پلاسٹک فیصل آباد</v>
          </cell>
        </row>
        <row r="684">
          <cell r="A684" t="str">
            <v>6477/14</v>
          </cell>
          <cell r="B684">
            <v>6477</v>
          </cell>
          <cell r="C684">
            <v>45660</v>
          </cell>
          <cell r="D684" t="str">
            <v>یونس صاحب</v>
          </cell>
          <cell r="E684" t="str">
            <v>حنان پلاسٹک فیصل آباد</v>
          </cell>
        </row>
        <row r="685">
          <cell r="A685" t="str">
            <v>6477/15</v>
          </cell>
          <cell r="B685">
            <v>6477</v>
          </cell>
          <cell r="C685">
            <v>45660</v>
          </cell>
          <cell r="D685" t="str">
            <v>یونس صاحب</v>
          </cell>
          <cell r="E685" t="str">
            <v>حنان پلاسٹک فیصل آباد</v>
          </cell>
        </row>
        <row r="686">
          <cell r="A686" t="str">
            <v>6477/16</v>
          </cell>
          <cell r="B686">
            <v>6477</v>
          </cell>
          <cell r="C686">
            <v>45660</v>
          </cell>
          <cell r="D686" t="str">
            <v>یونس صاحب</v>
          </cell>
          <cell r="E686" t="str">
            <v>حنان پلاسٹک فیصل آباد</v>
          </cell>
        </row>
        <row r="687">
          <cell r="A687" t="str">
            <v>6477/17</v>
          </cell>
          <cell r="B687">
            <v>6477</v>
          </cell>
          <cell r="C687">
            <v>45660</v>
          </cell>
          <cell r="D687" t="str">
            <v>یونس صاحب</v>
          </cell>
          <cell r="E687" t="str">
            <v>حنان پلاسٹک فیصل آباد</v>
          </cell>
        </row>
        <row r="688">
          <cell r="A688" t="str">
            <v>6477/18</v>
          </cell>
          <cell r="B688">
            <v>6477</v>
          </cell>
          <cell r="C688">
            <v>45660</v>
          </cell>
          <cell r="D688" t="str">
            <v>یونس صاحب</v>
          </cell>
          <cell r="E688" t="str">
            <v>حنان پلاسٹک فیصل آباد</v>
          </cell>
        </row>
        <row r="689">
          <cell r="A689" t="str">
            <v>6478/1</v>
          </cell>
          <cell r="B689">
            <v>6478</v>
          </cell>
          <cell r="C689">
            <v>45660</v>
          </cell>
          <cell r="D689" t="str">
            <v>یونس صاحب</v>
          </cell>
          <cell r="E689" t="str">
            <v>مقبول پرنٹر ہری پور</v>
          </cell>
        </row>
        <row r="690">
          <cell r="A690" t="str">
            <v>6478/2</v>
          </cell>
          <cell r="B690">
            <v>6478</v>
          </cell>
          <cell r="C690">
            <v>45660</v>
          </cell>
          <cell r="D690" t="str">
            <v>یونس صاحب</v>
          </cell>
          <cell r="E690" t="str">
            <v>مقبول پرنٹر ہری پور</v>
          </cell>
        </row>
        <row r="691">
          <cell r="A691" t="str">
            <v>6479/1</v>
          </cell>
          <cell r="B691">
            <v>6479</v>
          </cell>
          <cell r="C691">
            <v>45660</v>
          </cell>
          <cell r="D691" t="str">
            <v>یونس صاحب</v>
          </cell>
          <cell r="E691" t="str">
            <v>ہیڈآفس لاہور</v>
          </cell>
        </row>
        <row r="692">
          <cell r="A692" t="str">
            <v>6480/1</v>
          </cell>
          <cell r="B692">
            <v>6480</v>
          </cell>
          <cell r="C692">
            <v>45660</v>
          </cell>
          <cell r="D692" t="str">
            <v>یونس صاحب</v>
          </cell>
          <cell r="E692" t="str">
            <v>اسد بلال بہاولپور</v>
          </cell>
        </row>
        <row r="693">
          <cell r="A693" t="str">
            <v>6480/2</v>
          </cell>
          <cell r="B693">
            <v>6480</v>
          </cell>
          <cell r="C693">
            <v>45660</v>
          </cell>
          <cell r="D693" t="str">
            <v>یونس صاحب</v>
          </cell>
          <cell r="E693" t="str">
            <v>اسد بلال بہاولپور</v>
          </cell>
        </row>
        <row r="694">
          <cell r="A694" t="str">
            <v>6480/3</v>
          </cell>
          <cell r="B694">
            <v>6480</v>
          </cell>
          <cell r="C694">
            <v>45660</v>
          </cell>
          <cell r="D694" t="str">
            <v>یونس صاحب</v>
          </cell>
          <cell r="E694" t="str">
            <v>اسد بلال بہاولپور</v>
          </cell>
        </row>
        <row r="695">
          <cell r="A695" t="str">
            <v>6480/4</v>
          </cell>
          <cell r="B695">
            <v>6480</v>
          </cell>
          <cell r="C695">
            <v>45660</v>
          </cell>
          <cell r="D695" t="str">
            <v>یونس صاحب</v>
          </cell>
          <cell r="E695" t="str">
            <v>اسد بلال بہاولپور</v>
          </cell>
        </row>
        <row r="696">
          <cell r="A696" t="str">
            <v>6480/5</v>
          </cell>
          <cell r="B696">
            <v>6480</v>
          </cell>
          <cell r="C696">
            <v>45660</v>
          </cell>
          <cell r="D696" t="str">
            <v>یونس صاحب</v>
          </cell>
          <cell r="E696" t="str">
            <v>اسد بلال بہاولپور</v>
          </cell>
        </row>
        <row r="697">
          <cell r="A697" t="str">
            <v>6480/6</v>
          </cell>
          <cell r="B697">
            <v>6480</v>
          </cell>
          <cell r="C697">
            <v>45660</v>
          </cell>
          <cell r="D697" t="str">
            <v>یونس صاحب</v>
          </cell>
          <cell r="E697" t="str">
            <v>اسد بلال بہاولپور</v>
          </cell>
        </row>
        <row r="698">
          <cell r="A698" t="str">
            <v>6480/7</v>
          </cell>
          <cell r="B698">
            <v>6480</v>
          </cell>
          <cell r="C698">
            <v>45660</v>
          </cell>
          <cell r="D698" t="str">
            <v>یونس صاحب</v>
          </cell>
          <cell r="E698" t="str">
            <v>اسد بلال بہاولپور</v>
          </cell>
        </row>
        <row r="699">
          <cell r="A699" t="str">
            <v>6480/8</v>
          </cell>
          <cell r="B699">
            <v>6480</v>
          </cell>
          <cell r="C699">
            <v>45660</v>
          </cell>
          <cell r="D699" t="str">
            <v>یونس صاحب</v>
          </cell>
          <cell r="E699" t="str">
            <v>اسد بلال بہاولپور</v>
          </cell>
        </row>
        <row r="700">
          <cell r="A700" t="str">
            <v>6480/9</v>
          </cell>
          <cell r="B700">
            <v>6480</v>
          </cell>
          <cell r="C700">
            <v>45660</v>
          </cell>
          <cell r="D700" t="str">
            <v>یونس صاحب</v>
          </cell>
          <cell r="E700" t="str">
            <v>اسد بلال بہاولپور</v>
          </cell>
        </row>
        <row r="701">
          <cell r="A701" t="str">
            <v>6480/10</v>
          </cell>
          <cell r="B701">
            <v>6480</v>
          </cell>
          <cell r="C701">
            <v>45660</v>
          </cell>
          <cell r="D701" t="str">
            <v>یونس صاحب</v>
          </cell>
          <cell r="E701" t="str">
            <v>اسد بلال بہاولپور</v>
          </cell>
        </row>
        <row r="702">
          <cell r="A702" t="str">
            <v>6480/11</v>
          </cell>
          <cell r="B702">
            <v>6480</v>
          </cell>
          <cell r="C702">
            <v>45660</v>
          </cell>
          <cell r="D702" t="str">
            <v>یونس صاحب</v>
          </cell>
          <cell r="E702" t="str">
            <v>اسد بلال بہاولپور</v>
          </cell>
        </row>
        <row r="703">
          <cell r="A703" t="str">
            <v>6480/12</v>
          </cell>
          <cell r="B703">
            <v>6480</v>
          </cell>
          <cell r="C703">
            <v>45660</v>
          </cell>
          <cell r="D703" t="str">
            <v>یونس صاحب</v>
          </cell>
          <cell r="E703" t="str">
            <v>اسد بلال بہاولپور</v>
          </cell>
        </row>
        <row r="704">
          <cell r="A704" t="str">
            <v>6480/13</v>
          </cell>
          <cell r="B704">
            <v>6480</v>
          </cell>
          <cell r="C704">
            <v>45660</v>
          </cell>
          <cell r="D704" t="str">
            <v>یونس صاحب</v>
          </cell>
          <cell r="E704" t="str">
            <v>اسد بلال بہاولپور</v>
          </cell>
        </row>
        <row r="705">
          <cell r="A705" t="str">
            <v>6480/14</v>
          </cell>
          <cell r="B705">
            <v>6480</v>
          </cell>
          <cell r="C705">
            <v>45660</v>
          </cell>
          <cell r="D705" t="str">
            <v>یونس صاحب</v>
          </cell>
          <cell r="E705" t="str">
            <v>اسد بلال بہاولپور</v>
          </cell>
        </row>
        <row r="706">
          <cell r="A706" t="str">
            <v>6480/15</v>
          </cell>
          <cell r="B706">
            <v>6480</v>
          </cell>
          <cell r="C706">
            <v>45660</v>
          </cell>
          <cell r="D706" t="str">
            <v>یونس صاحب</v>
          </cell>
          <cell r="E706" t="str">
            <v>اسد بلال بہاولپور</v>
          </cell>
        </row>
        <row r="707">
          <cell r="A707" t="str">
            <v>6480/16</v>
          </cell>
          <cell r="B707">
            <v>6480</v>
          </cell>
          <cell r="C707">
            <v>45660</v>
          </cell>
          <cell r="D707" t="str">
            <v>یونس صاحب</v>
          </cell>
          <cell r="E707" t="str">
            <v>اسد بلال بہاولپور</v>
          </cell>
        </row>
        <row r="708">
          <cell r="A708" t="str">
            <v>6480/17</v>
          </cell>
          <cell r="B708">
            <v>6480</v>
          </cell>
          <cell r="C708">
            <v>45660</v>
          </cell>
          <cell r="D708" t="str">
            <v>یونس صاحب</v>
          </cell>
          <cell r="E708" t="str">
            <v>اسد بلال بہاولپور</v>
          </cell>
        </row>
        <row r="709">
          <cell r="A709" t="str">
            <v>6480/18</v>
          </cell>
          <cell r="B709">
            <v>6480</v>
          </cell>
          <cell r="C709">
            <v>45660</v>
          </cell>
          <cell r="D709" t="str">
            <v>یونس صاحب</v>
          </cell>
          <cell r="E709" t="str">
            <v>اسد بلال بہاولپور</v>
          </cell>
        </row>
        <row r="710">
          <cell r="A710" t="str">
            <v>6480/19</v>
          </cell>
          <cell r="B710">
            <v>6480</v>
          </cell>
          <cell r="C710">
            <v>45660</v>
          </cell>
          <cell r="D710" t="str">
            <v>یونس صاحب</v>
          </cell>
          <cell r="E710" t="str">
            <v>اسد بلال بہاولپور</v>
          </cell>
        </row>
        <row r="711">
          <cell r="A711" t="str">
            <v>6480/20</v>
          </cell>
          <cell r="B711">
            <v>6480</v>
          </cell>
          <cell r="C711">
            <v>45660</v>
          </cell>
          <cell r="D711" t="str">
            <v>یونس صاحب</v>
          </cell>
          <cell r="E711" t="str">
            <v>اسد بلال بہاولپور</v>
          </cell>
        </row>
        <row r="712">
          <cell r="A712" t="str">
            <v>6480/21</v>
          </cell>
          <cell r="B712">
            <v>6480</v>
          </cell>
          <cell r="C712">
            <v>45660</v>
          </cell>
          <cell r="D712" t="str">
            <v>یونس صاحب</v>
          </cell>
          <cell r="E712" t="str">
            <v>اسد بلال بہاولپور</v>
          </cell>
        </row>
        <row r="713">
          <cell r="A713" t="str">
            <v>6481/1</v>
          </cell>
          <cell r="B713">
            <v>6481</v>
          </cell>
          <cell r="C713">
            <v>45660</v>
          </cell>
          <cell r="D713" t="str">
            <v>یونس صاحب</v>
          </cell>
          <cell r="E713" t="str">
            <v xml:space="preserve">شہزادہ بٹ ملتا ن </v>
          </cell>
        </row>
        <row r="714">
          <cell r="A714" t="str">
            <v>6481/2</v>
          </cell>
          <cell r="B714">
            <v>6481</v>
          </cell>
          <cell r="C714">
            <v>45660</v>
          </cell>
          <cell r="D714" t="str">
            <v>یونس صاحب</v>
          </cell>
          <cell r="E714" t="str">
            <v xml:space="preserve">شہزادہ بٹ ملتا ن </v>
          </cell>
        </row>
        <row r="715">
          <cell r="A715" t="str">
            <v>6481/2</v>
          </cell>
          <cell r="B715">
            <v>6481</v>
          </cell>
          <cell r="C715">
            <v>45660</v>
          </cell>
          <cell r="D715" t="str">
            <v>یونس صاحب</v>
          </cell>
          <cell r="E715" t="str">
            <v xml:space="preserve">شہزادہ بٹ ملتا ن </v>
          </cell>
        </row>
        <row r="716">
          <cell r="A716" t="str">
            <v>6482/1</v>
          </cell>
          <cell r="B716">
            <v>6482</v>
          </cell>
          <cell r="C716">
            <v>45660</v>
          </cell>
          <cell r="D716" t="str">
            <v>یونس صاحب</v>
          </cell>
          <cell r="E716" t="str">
            <v>ریفلکٹ پیک</v>
          </cell>
        </row>
        <row r="717">
          <cell r="A717" t="str">
            <v>6482/2</v>
          </cell>
          <cell r="B717">
            <v>6482</v>
          </cell>
          <cell r="C717">
            <v>45660</v>
          </cell>
          <cell r="D717" t="str">
            <v>یونس صاحب</v>
          </cell>
          <cell r="E717" t="str">
            <v>ریفلکٹ پیک</v>
          </cell>
        </row>
        <row r="718">
          <cell r="A718" t="str">
            <v>6483/1</v>
          </cell>
          <cell r="B718">
            <v>6483</v>
          </cell>
          <cell r="C718">
            <v>45660</v>
          </cell>
          <cell r="D718" t="str">
            <v>یونس صاحب</v>
          </cell>
          <cell r="E718" t="str">
            <v>عبدالرشید اسلام ٓاباد</v>
          </cell>
        </row>
        <row r="719">
          <cell r="A719" t="str">
            <v>6484/1</v>
          </cell>
          <cell r="B719">
            <v>6484</v>
          </cell>
          <cell r="C719">
            <v>45661</v>
          </cell>
          <cell r="D719" t="str">
            <v>یونس صاحب</v>
          </cell>
          <cell r="E719" t="str">
            <v>جواد پلاسٹک دینہ</v>
          </cell>
        </row>
        <row r="720">
          <cell r="A720" t="str">
            <v>6484/2</v>
          </cell>
          <cell r="B720">
            <v>6484</v>
          </cell>
          <cell r="C720">
            <v>45661</v>
          </cell>
          <cell r="D720" t="str">
            <v>یونس صاحب</v>
          </cell>
          <cell r="E720" t="str">
            <v>جواد پلاسٹک دینہ</v>
          </cell>
        </row>
        <row r="721">
          <cell r="A721" t="str">
            <v>6485/1</v>
          </cell>
          <cell r="B721">
            <v>6485</v>
          </cell>
          <cell r="C721">
            <v>45661</v>
          </cell>
          <cell r="D721" t="str">
            <v>یونس صاحب</v>
          </cell>
          <cell r="E721" t="str">
            <v>عبد الباری وہاڑی</v>
          </cell>
        </row>
        <row r="722">
          <cell r="A722" t="str">
            <v>6486/1</v>
          </cell>
          <cell r="B722">
            <v>6486</v>
          </cell>
          <cell r="C722">
            <v>45661</v>
          </cell>
          <cell r="D722" t="str">
            <v>یونس صاحب</v>
          </cell>
          <cell r="E722" t="str">
            <v>راجکپور کریانہ سٹور گھوٹکی</v>
          </cell>
        </row>
        <row r="723">
          <cell r="A723" t="str">
            <v>6486/2</v>
          </cell>
          <cell r="B723">
            <v>6486</v>
          </cell>
          <cell r="C723">
            <v>45661</v>
          </cell>
          <cell r="D723" t="str">
            <v>یونس صاحب</v>
          </cell>
          <cell r="E723" t="str">
            <v>راجکپور کریانہ سٹور گھوٹکی</v>
          </cell>
        </row>
        <row r="724">
          <cell r="A724" t="str">
            <v>6486/3</v>
          </cell>
          <cell r="B724">
            <v>6486</v>
          </cell>
          <cell r="C724">
            <v>45661</v>
          </cell>
          <cell r="D724" t="str">
            <v>یونس صاحب</v>
          </cell>
          <cell r="E724" t="str">
            <v>راجکپور کریانہ سٹور گھوٹکی</v>
          </cell>
        </row>
        <row r="725">
          <cell r="A725" t="str">
            <v>6487/1</v>
          </cell>
          <cell r="B725">
            <v>6487</v>
          </cell>
          <cell r="C725">
            <v>45661</v>
          </cell>
          <cell r="D725" t="str">
            <v>یونس صاحب</v>
          </cell>
          <cell r="E725" t="str">
            <v>عرفان احمد اعظم مارکیٹ</v>
          </cell>
        </row>
        <row r="726">
          <cell r="A726" t="str">
            <v>6488/1</v>
          </cell>
          <cell r="B726">
            <v>6488</v>
          </cell>
          <cell r="C726">
            <v>45661</v>
          </cell>
          <cell r="D726" t="str">
            <v>یونس صاحب</v>
          </cell>
          <cell r="E726" t="str">
            <v>علی پلاسٹک بہاورلپور</v>
          </cell>
        </row>
        <row r="727">
          <cell r="A727" t="str">
            <v>6488/2</v>
          </cell>
          <cell r="B727">
            <v>6488</v>
          </cell>
          <cell r="C727">
            <v>45661</v>
          </cell>
          <cell r="D727" t="str">
            <v>یونس صاحب</v>
          </cell>
          <cell r="E727" t="str">
            <v>علی پلاسٹک بہاورلپور</v>
          </cell>
        </row>
        <row r="728">
          <cell r="A728" t="str">
            <v>6488/3</v>
          </cell>
          <cell r="B728">
            <v>6488</v>
          </cell>
          <cell r="C728">
            <v>45661</v>
          </cell>
          <cell r="D728" t="str">
            <v>یونس صاحب</v>
          </cell>
          <cell r="E728" t="str">
            <v>علی پلاسٹک بہاورلپور</v>
          </cell>
        </row>
        <row r="729">
          <cell r="A729" t="str">
            <v>6488/4</v>
          </cell>
          <cell r="B729">
            <v>6488</v>
          </cell>
          <cell r="C729">
            <v>45661</v>
          </cell>
          <cell r="D729" t="str">
            <v>یونس صاحب</v>
          </cell>
          <cell r="E729" t="str">
            <v>علی پلاسٹک بہاورلپور</v>
          </cell>
        </row>
        <row r="730">
          <cell r="A730" t="str">
            <v>6488/5</v>
          </cell>
          <cell r="B730">
            <v>6488</v>
          </cell>
          <cell r="C730">
            <v>45661</v>
          </cell>
          <cell r="D730" t="str">
            <v>یونس صاحب</v>
          </cell>
          <cell r="E730" t="str">
            <v>علی پلاسٹک بہاورلپور</v>
          </cell>
        </row>
        <row r="731">
          <cell r="A731" t="str">
            <v>6488/6</v>
          </cell>
          <cell r="B731">
            <v>6488</v>
          </cell>
          <cell r="C731">
            <v>45661</v>
          </cell>
          <cell r="D731" t="str">
            <v>یونس صاحب</v>
          </cell>
          <cell r="E731" t="str">
            <v>علی پلاسٹک بہاورلپور</v>
          </cell>
        </row>
        <row r="732">
          <cell r="A732" t="str">
            <v>6488/7</v>
          </cell>
          <cell r="B732">
            <v>6488</v>
          </cell>
          <cell r="C732">
            <v>45661</v>
          </cell>
          <cell r="D732" t="str">
            <v>یونس صاحب</v>
          </cell>
          <cell r="E732" t="str">
            <v>علی پلاسٹک بہاورلپور</v>
          </cell>
        </row>
        <row r="733">
          <cell r="A733" t="str">
            <v>6488/8</v>
          </cell>
          <cell r="B733">
            <v>6488</v>
          </cell>
          <cell r="C733">
            <v>45661</v>
          </cell>
          <cell r="D733" t="str">
            <v>یونس صاحب</v>
          </cell>
          <cell r="E733" t="str">
            <v>علی پلاسٹک بہاورلپور</v>
          </cell>
        </row>
        <row r="734">
          <cell r="A734" t="str">
            <v>6488/9</v>
          </cell>
          <cell r="B734">
            <v>6488</v>
          </cell>
          <cell r="C734">
            <v>45661</v>
          </cell>
          <cell r="D734" t="str">
            <v>یونس صاحب</v>
          </cell>
          <cell r="E734" t="str">
            <v>علی پلاسٹک بہاورلپور</v>
          </cell>
        </row>
        <row r="735">
          <cell r="A735" t="str">
            <v>6488/10</v>
          </cell>
          <cell r="B735">
            <v>6488</v>
          </cell>
          <cell r="C735">
            <v>45661</v>
          </cell>
          <cell r="D735" t="str">
            <v>یونس صاحب</v>
          </cell>
          <cell r="E735" t="str">
            <v>علی پلاسٹک بہاورلپور</v>
          </cell>
        </row>
        <row r="736">
          <cell r="A736" t="str">
            <v>6488/11</v>
          </cell>
          <cell r="B736">
            <v>6488</v>
          </cell>
          <cell r="C736">
            <v>45661</v>
          </cell>
          <cell r="D736" t="str">
            <v>یونس صاحب</v>
          </cell>
          <cell r="E736" t="str">
            <v>علی پلاسٹک بہاورلپور</v>
          </cell>
        </row>
        <row r="737">
          <cell r="A737" t="str">
            <v>6488/12</v>
          </cell>
          <cell r="B737">
            <v>6488</v>
          </cell>
          <cell r="C737">
            <v>45661</v>
          </cell>
          <cell r="D737" t="str">
            <v>یونس صاحب</v>
          </cell>
          <cell r="E737" t="str">
            <v>علی پلاسٹک بہاورلپور</v>
          </cell>
        </row>
        <row r="738">
          <cell r="A738" t="str">
            <v>6488/13</v>
          </cell>
          <cell r="B738">
            <v>6488</v>
          </cell>
          <cell r="C738">
            <v>45661</v>
          </cell>
          <cell r="D738" t="str">
            <v>یونس صاحب</v>
          </cell>
          <cell r="E738" t="str">
            <v>علی پلاسٹک بہاورلپور</v>
          </cell>
        </row>
        <row r="739">
          <cell r="A739" t="str">
            <v>6488/14</v>
          </cell>
          <cell r="B739">
            <v>6488</v>
          </cell>
          <cell r="C739">
            <v>45661</v>
          </cell>
          <cell r="D739" t="str">
            <v>یونس صاحب</v>
          </cell>
          <cell r="E739" t="str">
            <v>علی پلاسٹک بہاورلپور</v>
          </cell>
        </row>
        <row r="740">
          <cell r="A740" t="str">
            <v>6488/15</v>
          </cell>
          <cell r="B740">
            <v>6488</v>
          </cell>
          <cell r="C740">
            <v>45661</v>
          </cell>
          <cell r="D740" t="str">
            <v>یونس صاحب</v>
          </cell>
          <cell r="E740" t="str">
            <v>علی پلاسٹک بہاورلپور</v>
          </cell>
        </row>
        <row r="741">
          <cell r="A741" t="str">
            <v>6488/16</v>
          </cell>
          <cell r="B741">
            <v>6488</v>
          </cell>
          <cell r="C741">
            <v>45661</v>
          </cell>
          <cell r="D741" t="str">
            <v>یونس صاحب</v>
          </cell>
          <cell r="E741" t="str">
            <v>علی پلاسٹک بہاورلپور</v>
          </cell>
        </row>
        <row r="742">
          <cell r="A742" t="str">
            <v>6488/17</v>
          </cell>
          <cell r="B742">
            <v>6488</v>
          </cell>
          <cell r="C742">
            <v>45661</v>
          </cell>
          <cell r="D742" t="str">
            <v>یونس صاحب</v>
          </cell>
          <cell r="E742" t="str">
            <v>علی پلاسٹک بہاورلپور</v>
          </cell>
        </row>
        <row r="743">
          <cell r="A743" t="str">
            <v>6488/18</v>
          </cell>
          <cell r="B743">
            <v>6488</v>
          </cell>
          <cell r="C743">
            <v>45661</v>
          </cell>
          <cell r="D743" t="str">
            <v>یونس صاحب</v>
          </cell>
          <cell r="E743" t="str">
            <v>علی پلاسٹک بہاورلپور</v>
          </cell>
        </row>
        <row r="744">
          <cell r="A744" t="str">
            <v>6488/19</v>
          </cell>
          <cell r="B744">
            <v>6488</v>
          </cell>
          <cell r="C744">
            <v>45661</v>
          </cell>
          <cell r="D744" t="str">
            <v>یونس صاحب</v>
          </cell>
          <cell r="E744" t="str">
            <v>علی پلاسٹک بہاورلپور</v>
          </cell>
        </row>
        <row r="745">
          <cell r="A745" t="str">
            <v>6488/20</v>
          </cell>
          <cell r="B745">
            <v>6488</v>
          </cell>
          <cell r="C745">
            <v>45661</v>
          </cell>
          <cell r="D745" t="str">
            <v>یونس صاحب</v>
          </cell>
          <cell r="E745" t="str">
            <v>علی پلاسٹک بہاورلپور</v>
          </cell>
        </row>
        <row r="746">
          <cell r="A746" t="str">
            <v>6488/21</v>
          </cell>
          <cell r="B746">
            <v>6488</v>
          </cell>
          <cell r="C746">
            <v>45661</v>
          </cell>
          <cell r="D746" t="str">
            <v>یونس صاحب</v>
          </cell>
          <cell r="E746" t="str">
            <v>علی پلاسٹک بہاورلپور</v>
          </cell>
        </row>
        <row r="747">
          <cell r="A747" t="str">
            <v>6488/22</v>
          </cell>
          <cell r="B747">
            <v>6488</v>
          </cell>
          <cell r="C747">
            <v>45661</v>
          </cell>
          <cell r="D747" t="str">
            <v>یونس صاحب</v>
          </cell>
          <cell r="E747" t="str">
            <v>علی پلاسٹک بہاورلپور</v>
          </cell>
        </row>
        <row r="748">
          <cell r="A748" t="str">
            <v>6488/23</v>
          </cell>
          <cell r="B748">
            <v>6488</v>
          </cell>
          <cell r="C748">
            <v>45661</v>
          </cell>
          <cell r="D748" t="str">
            <v>یونس صاحب</v>
          </cell>
          <cell r="E748" t="str">
            <v>علی پلاسٹک بہاورلپور</v>
          </cell>
        </row>
        <row r="749">
          <cell r="A749" t="str">
            <v>6488/24</v>
          </cell>
          <cell r="B749">
            <v>6488</v>
          </cell>
          <cell r="C749">
            <v>45661</v>
          </cell>
          <cell r="D749" t="str">
            <v>یونس صاحب</v>
          </cell>
          <cell r="E749" t="str">
            <v>علی پلاسٹک بہاورلپور</v>
          </cell>
        </row>
        <row r="750">
          <cell r="A750" t="str">
            <v>6488/25</v>
          </cell>
          <cell r="B750">
            <v>6488</v>
          </cell>
          <cell r="C750">
            <v>45661</v>
          </cell>
          <cell r="D750" t="str">
            <v>یونس صاحب</v>
          </cell>
          <cell r="E750" t="str">
            <v>علی پلاسٹک بہاورلپور</v>
          </cell>
        </row>
        <row r="751">
          <cell r="A751" t="str">
            <v>6488/26</v>
          </cell>
          <cell r="B751">
            <v>6488</v>
          </cell>
          <cell r="C751">
            <v>45661</v>
          </cell>
          <cell r="D751" t="str">
            <v>یونس صاحب</v>
          </cell>
          <cell r="E751" t="str">
            <v>علی پلاسٹک بہاورلپور</v>
          </cell>
        </row>
        <row r="752">
          <cell r="A752" t="str">
            <v>6488/27</v>
          </cell>
          <cell r="B752">
            <v>6488</v>
          </cell>
          <cell r="C752">
            <v>45661</v>
          </cell>
          <cell r="D752" t="str">
            <v>یونس صاحب</v>
          </cell>
          <cell r="E752" t="str">
            <v>علی پلاسٹک بہاورلپور</v>
          </cell>
        </row>
        <row r="753">
          <cell r="A753" t="str">
            <v>6489/1</v>
          </cell>
          <cell r="B753">
            <v>6489</v>
          </cell>
          <cell r="C753">
            <v>45661</v>
          </cell>
          <cell r="D753" t="str">
            <v>یونس صاحب</v>
          </cell>
          <cell r="E753" t="str">
            <v>786لفافہ بورے والا</v>
          </cell>
        </row>
        <row r="754">
          <cell r="A754" t="str">
            <v>6489/2</v>
          </cell>
          <cell r="B754">
            <v>6489</v>
          </cell>
          <cell r="C754">
            <v>45661</v>
          </cell>
          <cell r="D754" t="str">
            <v>یونس صاحب</v>
          </cell>
          <cell r="E754" t="str">
            <v>786لفافہ بورے والا</v>
          </cell>
        </row>
        <row r="755">
          <cell r="A755" t="str">
            <v>6489/3</v>
          </cell>
          <cell r="B755">
            <v>6489</v>
          </cell>
          <cell r="C755">
            <v>45661</v>
          </cell>
          <cell r="D755" t="str">
            <v>یونس صاحب</v>
          </cell>
          <cell r="E755" t="str">
            <v>786لفافہ بورے والا</v>
          </cell>
        </row>
        <row r="756">
          <cell r="A756" t="str">
            <v>6489/4</v>
          </cell>
          <cell r="B756">
            <v>6489</v>
          </cell>
          <cell r="C756">
            <v>45661</v>
          </cell>
          <cell r="D756" t="str">
            <v>یونس صاحب</v>
          </cell>
          <cell r="E756" t="str">
            <v>786لفافہ بورے والا</v>
          </cell>
        </row>
        <row r="757">
          <cell r="A757" t="str">
            <v>6490/1</v>
          </cell>
          <cell r="B757">
            <v>6490</v>
          </cell>
          <cell r="C757">
            <v>45663</v>
          </cell>
          <cell r="D757" t="str">
            <v>یونس صاحب</v>
          </cell>
          <cell r="E757" t="str">
            <v>آصف پلاسٹک بورے والا</v>
          </cell>
        </row>
        <row r="758">
          <cell r="A758" t="str">
            <v>6490/2</v>
          </cell>
          <cell r="B758">
            <v>6490</v>
          </cell>
          <cell r="C758">
            <v>45663</v>
          </cell>
          <cell r="D758" t="str">
            <v>یونس صاحب</v>
          </cell>
          <cell r="E758" t="str">
            <v>آصف پلاسٹک بورے والا</v>
          </cell>
        </row>
        <row r="759">
          <cell r="A759" t="str">
            <v>6491/1</v>
          </cell>
          <cell r="B759">
            <v>6491</v>
          </cell>
          <cell r="C759">
            <v>45663</v>
          </cell>
          <cell r="D759" t="str">
            <v>یونس صاحب</v>
          </cell>
          <cell r="E759" t="str">
            <v>آصف پلاسٹک سرگودھا</v>
          </cell>
        </row>
        <row r="760">
          <cell r="A760" t="str">
            <v>6491/2</v>
          </cell>
          <cell r="B760">
            <v>6491</v>
          </cell>
          <cell r="C760">
            <v>45663</v>
          </cell>
          <cell r="D760" t="str">
            <v>یونس صاحب</v>
          </cell>
          <cell r="E760" t="str">
            <v>آصف پلاسٹک سرگودھا</v>
          </cell>
        </row>
        <row r="761">
          <cell r="A761" t="str">
            <v>6491/3</v>
          </cell>
          <cell r="B761">
            <v>6491</v>
          </cell>
          <cell r="C761">
            <v>45663</v>
          </cell>
          <cell r="D761" t="str">
            <v>یونس صاحب</v>
          </cell>
          <cell r="E761" t="str">
            <v>آصف پلاسٹک سرگودھا</v>
          </cell>
        </row>
        <row r="762">
          <cell r="A762" t="str">
            <v>6491/4</v>
          </cell>
          <cell r="B762">
            <v>6491</v>
          </cell>
          <cell r="C762">
            <v>45663</v>
          </cell>
          <cell r="D762" t="str">
            <v>یونس صاحب</v>
          </cell>
          <cell r="E762" t="str">
            <v>آصف پلاسٹک سرگودھا</v>
          </cell>
        </row>
        <row r="763">
          <cell r="A763" t="str">
            <v>6491/5</v>
          </cell>
          <cell r="B763">
            <v>6491</v>
          </cell>
          <cell r="C763">
            <v>45663</v>
          </cell>
          <cell r="D763" t="str">
            <v>یونس صاحب</v>
          </cell>
          <cell r="E763" t="str">
            <v>آصف پلاسٹک سرگودھا</v>
          </cell>
        </row>
        <row r="764">
          <cell r="A764" t="str">
            <v>6491/6</v>
          </cell>
          <cell r="B764">
            <v>6491</v>
          </cell>
          <cell r="C764">
            <v>45663</v>
          </cell>
          <cell r="D764" t="str">
            <v>یونس صاحب</v>
          </cell>
          <cell r="E764" t="str">
            <v>آصف پلاسٹک سرگودھا</v>
          </cell>
        </row>
        <row r="765">
          <cell r="A765" t="str">
            <v>6491/7</v>
          </cell>
          <cell r="B765">
            <v>6491</v>
          </cell>
          <cell r="C765">
            <v>45663</v>
          </cell>
          <cell r="D765" t="str">
            <v>یونس صاحب</v>
          </cell>
          <cell r="E765" t="str">
            <v>آصف پلاسٹک سرگودھا</v>
          </cell>
        </row>
        <row r="766">
          <cell r="A766" t="str">
            <v>6491/8</v>
          </cell>
          <cell r="B766">
            <v>6491</v>
          </cell>
          <cell r="C766">
            <v>45663</v>
          </cell>
          <cell r="D766" t="str">
            <v>یونس صاحب</v>
          </cell>
          <cell r="E766" t="str">
            <v>آصف پلاسٹک سرگودھا</v>
          </cell>
        </row>
        <row r="767">
          <cell r="A767" t="str">
            <v>6491/9</v>
          </cell>
          <cell r="B767">
            <v>6491</v>
          </cell>
          <cell r="C767">
            <v>45663</v>
          </cell>
          <cell r="D767" t="str">
            <v>یونس صاحب</v>
          </cell>
          <cell r="E767" t="str">
            <v>آصف پلاسٹک سرگودھا</v>
          </cell>
        </row>
        <row r="768">
          <cell r="A768" t="str">
            <v>6491/10</v>
          </cell>
          <cell r="B768">
            <v>6491</v>
          </cell>
          <cell r="C768">
            <v>45663</v>
          </cell>
          <cell r="D768" t="str">
            <v>یونس صاحب</v>
          </cell>
          <cell r="E768" t="str">
            <v>آصف پلاسٹک سرگودھا</v>
          </cell>
        </row>
        <row r="769">
          <cell r="A769" t="str">
            <v>6491/11</v>
          </cell>
          <cell r="B769">
            <v>6491</v>
          </cell>
          <cell r="C769">
            <v>45663</v>
          </cell>
          <cell r="D769" t="str">
            <v>یونس صاحب</v>
          </cell>
          <cell r="E769" t="str">
            <v>آصف پلاسٹک سرگودھا</v>
          </cell>
        </row>
        <row r="770">
          <cell r="A770" t="str">
            <v>6491/12</v>
          </cell>
          <cell r="B770">
            <v>6491</v>
          </cell>
          <cell r="C770">
            <v>45663</v>
          </cell>
          <cell r="D770" t="str">
            <v>یونس صاحب</v>
          </cell>
          <cell r="E770" t="str">
            <v>آصف پلاسٹک سرگودھا</v>
          </cell>
        </row>
        <row r="771">
          <cell r="A771" t="str">
            <v>6491/13</v>
          </cell>
          <cell r="B771">
            <v>6491</v>
          </cell>
          <cell r="C771">
            <v>45663</v>
          </cell>
          <cell r="D771" t="str">
            <v>یونس صاحب</v>
          </cell>
          <cell r="E771" t="str">
            <v>آصف پلاسٹک سرگودھا</v>
          </cell>
        </row>
        <row r="772">
          <cell r="A772" t="str">
            <v>6491/14</v>
          </cell>
          <cell r="B772">
            <v>6491</v>
          </cell>
          <cell r="C772">
            <v>45663</v>
          </cell>
          <cell r="D772" t="str">
            <v>یونس صاحب</v>
          </cell>
          <cell r="E772" t="str">
            <v>آصف پلاسٹک سرگودھا</v>
          </cell>
        </row>
        <row r="773">
          <cell r="A773" t="str">
            <v>6491/15</v>
          </cell>
          <cell r="B773">
            <v>6491</v>
          </cell>
          <cell r="C773">
            <v>45663</v>
          </cell>
          <cell r="D773" t="str">
            <v>یونس صاحب</v>
          </cell>
          <cell r="E773" t="str">
            <v>آصف پلاسٹک سرگودھا</v>
          </cell>
        </row>
        <row r="774">
          <cell r="A774" t="str">
            <v>6491/16</v>
          </cell>
          <cell r="B774">
            <v>6491</v>
          </cell>
          <cell r="C774">
            <v>45663</v>
          </cell>
          <cell r="D774" t="str">
            <v>یونس صاحب</v>
          </cell>
          <cell r="E774" t="str">
            <v>آصف پلاسٹک سرگودھا</v>
          </cell>
        </row>
        <row r="775">
          <cell r="A775" t="str">
            <v>6491/17</v>
          </cell>
          <cell r="B775">
            <v>6491</v>
          </cell>
          <cell r="C775">
            <v>45663</v>
          </cell>
          <cell r="D775" t="str">
            <v>یونس صاحب</v>
          </cell>
          <cell r="E775" t="str">
            <v>آصف پلاسٹک سرگودھا</v>
          </cell>
        </row>
        <row r="776">
          <cell r="A776" t="str">
            <v>6492/1</v>
          </cell>
          <cell r="B776">
            <v>6492</v>
          </cell>
          <cell r="C776">
            <v>45663</v>
          </cell>
          <cell r="D776" t="str">
            <v>یونس صاحب</v>
          </cell>
          <cell r="E776" t="str">
            <v>ہیڈآفس لاہور</v>
          </cell>
        </row>
        <row r="777">
          <cell r="A777" t="str">
            <v>6493/1</v>
          </cell>
          <cell r="B777">
            <v>6493</v>
          </cell>
          <cell r="C777">
            <v>45663</v>
          </cell>
          <cell r="D777" t="str">
            <v>یونس صاحب</v>
          </cell>
          <cell r="E777" t="str">
            <v xml:space="preserve">شہزادہ بٹ ملتا ن </v>
          </cell>
        </row>
        <row r="778">
          <cell r="A778" t="str">
            <v>6493/2</v>
          </cell>
          <cell r="B778">
            <v>6493</v>
          </cell>
          <cell r="C778">
            <v>45663</v>
          </cell>
          <cell r="D778" t="str">
            <v>یونس صاحب</v>
          </cell>
          <cell r="E778" t="str">
            <v xml:space="preserve">شہزادہ بٹ ملتا ن </v>
          </cell>
        </row>
        <row r="779">
          <cell r="A779" t="str">
            <v>6493/3</v>
          </cell>
          <cell r="B779">
            <v>6493</v>
          </cell>
          <cell r="C779">
            <v>45663</v>
          </cell>
          <cell r="D779" t="str">
            <v>یونس صاحب</v>
          </cell>
          <cell r="E779" t="str">
            <v xml:space="preserve">شہزادہ بٹ ملتا ن </v>
          </cell>
        </row>
        <row r="780">
          <cell r="A780" t="str">
            <v>6494/1</v>
          </cell>
          <cell r="B780">
            <v>6494</v>
          </cell>
          <cell r="C780">
            <v>45663</v>
          </cell>
          <cell r="D780" t="str">
            <v>یونس صاحب</v>
          </cell>
          <cell r="E780" t="str">
            <v>عبدالکریم وہاڑی</v>
          </cell>
        </row>
        <row r="781">
          <cell r="A781" t="str">
            <v>6494/2</v>
          </cell>
          <cell r="B781">
            <v>6494</v>
          </cell>
          <cell r="C781">
            <v>45663</v>
          </cell>
          <cell r="D781" t="str">
            <v>یونس صاحب</v>
          </cell>
          <cell r="E781" t="str">
            <v>عبدالکریم وہاڑی</v>
          </cell>
        </row>
        <row r="782">
          <cell r="A782" t="str">
            <v>6494/3</v>
          </cell>
          <cell r="B782">
            <v>6494</v>
          </cell>
          <cell r="C782">
            <v>45663</v>
          </cell>
          <cell r="D782" t="str">
            <v>یونس صاحب</v>
          </cell>
          <cell r="E782" t="str">
            <v>عبدالکریم وہاڑی</v>
          </cell>
        </row>
        <row r="783">
          <cell r="A783" t="str">
            <v>6494/4</v>
          </cell>
          <cell r="B783">
            <v>6494</v>
          </cell>
          <cell r="C783">
            <v>45663</v>
          </cell>
          <cell r="D783" t="str">
            <v>یونس صاحب</v>
          </cell>
          <cell r="E783" t="str">
            <v>عبدالکریم وہاڑی</v>
          </cell>
        </row>
        <row r="784">
          <cell r="A784" t="str">
            <v>6495/1</v>
          </cell>
          <cell r="B784">
            <v>6495</v>
          </cell>
          <cell r="C784">
            <v>45663</v>
          </cell>
          <cell r="D784" t="str">
            <v>یونس صاحب</v>
          </cell>
          <cell r="E784" t="str">
            <v>مھبوب مقبول گجرانوالہ</v>
          </cell>
        </row>
        <row r="785">
          <cell r="A785" t="str">
            <v>6495/2</v>
          </cell>
          <cell r="B785">
            <v>6495</v>
          </cell>
          <cell r="C785">
            <v>45663</v>
          </cell>
          <cell r="D785" t="str">
            <v>یونس صاحب</v>
          </cell>
          <cell r="E785" t="str">
            <v>مھبوب مقبول گجرانوالہ</v>
          </cell>
        </row>
        <row r="786">
          <cell r="A786" t="str">
            <v>6495/3</v>
          </cell>
          <cell r="B786">
            <v>6495</v>
          </cell>
          <cell r="C786">
            <v>45663</v>
          </cell>
          <cell r="D786" t="str">
            <v>یونس صاحب</v>
          </cell>
          <cell r="E786" t="str">
            <v>مھبوب مقبول گجرانوالہ</v>
          </cell>
        </row>
        <row r="787">
          <cell r="A787" t="str">
            <v>6495/4</v>
          </cell>
          <cell r="B787">
            <v>6495</v>
          </cell>
          <cell r="C787">
            <v>45663</v>
          </cell>
          <cell r="D787" t="str">
            <v>یونس صاحب</v>
          </cell>
          <cell r="E787" t="str">
            <v>مھبوب مقبول گجرانوالہ</v>
          </cell>
        </row>
        <row r="788">
          <cell r="A788" t="str">
            <v>6495/5</v>
          </cell>
          <cell r="B788">
            <v>6495</v>
          </cell>
          <cell r="C788">
            <v>45663</v>
          </cell>
          <cell r="D788" t="str">
            <v>یونس صاحب</v>
          </cell>
          <cell r="E788" t="str">
            <v>مھبوب مقبول گجرانوالہ</v>
          </cell>
        </row>
        <row r="789">
          <cell r="A789" t="str">
            <v>6495/6</v>
          </cell>
          <cell r="B789">
            <v>6495</v>
          </cell>
          <cell r="C789">
            <v>45663</v>
          </cell>
          <cell r="D789" t="str">
            <v>یونس صاحب</v>
          </cell>
          <cell r="E789" t="str">
            <v>مھبوب مقبول گجرانوالہ</v>
          </cell>
        </row>
        <row r="790">
          <cell r="A790" t="str">
            <v>6495/7</v>
          </cell>
          <cell r="B790">
            <v>6495</v>
          </cell>
          <cell r="C790">
            <v>45663</v>
          </cell>
          <cell r="D790" t="str">
            <v>یونس صاحب</v>
          </cell>
          <cell r="E790" t="str">
            <v>مھبوب مقبول گجرانوالہ</v>
          </cell>
        </row>
        <row r="791">
          <cell r="A791" t="str">
            <v>6496/1</v>
          </cell>
          <cell r="B791">
            <v>6496</v>
          </cell>
          <cell r="C791">
            <v>45663</v>
          </cell>
          <cell r="D791" t="str">
            <v>یونس صاحب</v>
          </cell>
          <cell r="E791" t="str">
            <v>ایم شیریف گڑھی صیب</v>
          </cell>
        </row>
        <row r="792">
          <cell r="A792" t="str">
            <v>6496/2</v>
          </cell>
          <cell r="B792">
            <v>6496</v>
          </cell>
          <cell r="C792">
            <v>45663</v>
          </cell>
          <cell r="D792" t="str">
            <v>یونس صاحب</v>
          </cell>
          <cell r="E792" t="str">
            <v>ایم شیریف گڑھی صیب</v>
          </cell>
        </row>
        <row r="793">
          <cell r="A793" t="str">
            <v>6496/3</v>
          </cell>
          <cell r="B793">
            <v>6496</v>
          </cell>
          <cell r="C793">
            <v>45663</v>
          </cell>
          <cell r="D793" t="str">
            <v>یونس صاحب</v>
          </cell>
          <cell r="E793" t="str">
            <v>ایم شیریف گڑھی صیب</v>
          </cell>
        </row>
        <row r="794">
          <cell r="A794" t="str">
            <v>6497/1</v>
          </cell>
          <cell r="B794">
            <v>6497</v>
          </cell>
          <cell r="C794">
            <v>45663</v>
          </cell>
          <cell r="D794" t="str">
            <v>یونس صاحب</v>
          </cell>
          <cell r="E794"/>
        </row>
        <row r="795">
          <cell r="A795" t="str">
            <v>6498/1</v>
          </cell>
          <cell r="B795">
            <v>6498</v>
          </cell>
          <cell r="C795">
            <v>45664</v>
          </cell>
          <cell r="D795" t="str">
            <v>یونس صاحب</v>
          </cell>
          <cell r="E795" t="str">
            <v>ہیڈآفس لاہور</v>
          </cell>
        </row>
        <row r="796">
          <cell r="A796" t="str">
            <v>6498/2</v>
          </cell>
          <cell r="B796">
            <v>6498</v>
          </cell>
          <cell r="C796">
            <v>45664</v>
          </cell>
          <cell r="D796" t="str">
            <v>یونس صاحب</v>
          </cell>
          <cell r="E796" t="str">
            <v>ہیڈآفس لاہور</v>
          </cell>
        </row>
        <row r="797">
          <cell r="A797" t="str">
            <v>6498/3</v>
          </cell>
          <cell r="B797">
            <v>6498</v>
          </cell>
          <cell r="C797">
            <v>45664</v>
          </cell>
          <cell r="D797" t="str">
            <v>یونس صاحب</v>
          </cell>
          <cell r="E797" t="str">
            <v>ہیڈآفس لاہور</v>
          </cell>
        </row>
        <row r="798">
          <cell r="A798" t="str">
            <v>6499/1</v>
          </cell>
          <cell r="B798">
            <v>6499</v>
          </cell>
          <cell r="C798">
            <v>45664</v>
          </cell>
          <cell r="D798" t="str">
            <v>یونس صاحب</v>
          </cell>
          <cell r="E798" t="str">
            <v>ہیڈآفس لاہور</v>
          </cell>
        </row>
        <row r="799">
          <cell r="A799" t="str">
            <v>6500/1</v>
          </cell>
          <cell r="B799">
            <v>6500</v>
          </cell>
          <cell r="C799">
            <v>45664</v>
          </cell>
          <cell r="D799" t="str">
            <v>یونس صاحب</v>
          </cell>
          <cell r="E799" t="str">
            <v>ارسلان پلاسٹک گوجراوالہ</v>
          </cell>
        </row>
        <row r="800">
          <cell r="A800" t="str">
            <v>6501/1</v>
          </cell>
          <cell r="B800">
            <v>6501</v>
          </cell>
          <cell r="C800">
            <v>45664</v>
          </cell>
          <cell r="D800" t="str">
            <v>یونس صاحب</v>
          </cell>
          <cell r="E800" t="str">
            <v>راجکپورکریانہ سٹور گھونکی</v>
          </cell>
        </row>
        <row r="801">
          <cell r="A801" t="str">
            <v>6501/2</v>
          </cell>
          <cell r="B801">
            <v>6501</v>
          </cell>
          <cell r="C801">
            <v>45664</v>
          </cell>
          <cell r="D801" t="str">
            <v>یونس صاحب</v>
          </cell>
          <cell r="E801" t="str">
            <v>راجکپورکریانہ سٹور گھونکی</v>
          </cell>
        </row>
        <row r="802">
          <cell r="A802" t="str">
            <v>6501/3</v>
          </cell>
          <cell r="B802">
            <v>6501</v>
          </cell>
          <cell r="C802">
            <v>45664</v>
          </cell>
          <cell r="D802" t="str">
            <v>یونس صاحب</v>
          </cell>
          <cell r="E802" t="str">
            <v>راجکپورکریانہ سٹور گھونکی</v>
          </cell>
        </row>
        <row r="803">
          <cell r="A803" t="str">
            <v>6501/4</v>
          </cell>
          <cell r="B803">
            <v>6501</v>
          </cell>
          <cell r="C803">
            <v>45664</v>
          </cell>
          <cell r="D803" t="str">
            <v>یونس صاحب</v>
          </cell>
          <cell r="E803" t="str">
            <v>راجکپورکریانہ سٹور گھونکی</v>
          </cell>
        </row>
        <row r="804">
          <cell r="A804" t="str">
            <v>6502/1</v>
          </cell>
          <cell r="B804">
            <v>6502</v>
          </cell>
          <cell r="C804">
            <v>45664</v>
          </cell>
          <cell r="D804" t="str">
            <v>یونس صاحب</v>
          </cell>
          <cell r="E804" t="str">
            <v>عثمان امین لاہور</v>
          </cell>
        </row>
        <row r="805">
          <cell r="A805" t="str">
            <v>6502/2</v>
          </cell>
          <cell r="B805">
            <v>6502</v>
          </cell>
          <cell r="C805">
            <v>45664</v>
          </cell>
          <cell r="D805" t="str">
            <v>یونس صاحب</v>
          </cell>
          <cell r="E805" t="str">
            <v>عثمان امین لاہور</v>
          </cell>
        </row>
        <row r="806">
          <cell r="A806" t="str">
            <v>6502/3</v>
          </cell>
          <cell r="B806">
            <v>6502</v>
          </cell>
          <cell r="C806">
            <v>45664</v>
          </cell>
          <cell r="D806" t="str">
            <v>یونس صاحب</v>
          </cell>
          <cell r="E806" t="str">
            <v>عثمان امین لاہور</v>
          </cell>
        </row>
        <row r="807">
          <cell r="A807" t="str">
            <v>6503/1</v>
          </cell>
          <cell r="B807">
            <v>6503</v>
          </cell>
          <cell r="C807">
            <v>45664</v>
          </cell>
          <cell r="D807" t="str">
            <v>یونس صاحب</v>
          </cell>
          <cell r="E807" t="str">
            <v>طلحہ پلاسٹک پنڈی</v>
          </cell>
        </row>
        <row r="808">
          <cell r="A808" t="str">
            <v>6503/2</v>
          </cell>
          <cell r="B808">
            <v>6503</v>
          </cell>
          <cell r="C808">
            <v>45664</v>
          </cell>
          <cell r="D808" t="str">
            <v>یونس صاحب</v>
          </cell>
          <cell r="E808" t="str">
            <v>طلحہ پلاسٹک پنڈی</v>
          </cell>
        </row>
        <row r="809">
          <cell r="A809" t="str">
            <v>6504/1</v>
          </cell>
          <cell r="B809">
            <v>6504</v>
          </cell>
          <cell r="C809">
            <v>45664</v>
          </cell>
          <cell r="D809" t="str">
            <v>یونس صاحب</v>
          </cell>
          <cell r="E809" t="str">
            <v>ہیڈآفس لاہور</v>
          </cell>
        </row>
        <row r="810">
          <cell r="A810" t="str">
            <v>6504/2</v>
          </cell>
          <cell r="B810">
            <v>6504</v>
          </cell>
          <cell r="C810">
            <v>45664</v>
          </cell>
          <cell r="D810" t="str">
            <v>یونس صاحب</v>
          </cell>
          <cell r="E810" t="str">
            <v>ہیڈآفس لاہور</v>
          </cell>
        </row>
        <row r="811">
          <cell r="A811" t="str">
            <v>6504/3</v>
          </cell>
          <cell r="B811">
            <v>6504</v>
          </cell>
          <cell r="C811">
            <v>45664</v>
          </cell>
          <cell r="D811" t="str">
            <v>یونس صاحب</v>
          </cell>
          <cell r="E811" t="str">
            <v>ہیڈآفس لاہور</v>
          </cell>
        </row>
        <row r="812">
          <cell r="A812" t="str">
            <v>6504/4</v>
          </cell>
          <cell r="B812">
            <v>6504</v>
          </cell>
          <cell r="C812">
            <v>45664</v>
          </cell>
          <cell r="D812" t="str">
            <v>یونس صاحب</v>
          </cell>
          <cell r="E812" t="str">
            <v>ہیڈآفس لاہور</v>
          </cell>
        </row>
        <row r="813">
          <cell r="A813" t="str">
            <v>6504/5</v>
          </cell>
          <cell r="B813">
            <v>6504</v>
          </cell>
          <cell r="C813">
            <v>45664</v>
          </cell>
          <cell r="D813" t="str">
            <v>یونس صاحب</v>
          </cell>
          <cell r="E813" t="str">
            <v>ہیڈآفس لاہور</v>
          </cell>
        </row>
        <row r="814">
          <cell r="A814" t="str">
            <v>6504/6</v>
          </cell>
          <cell r="B814">
            <v>6504</v>
          </cell>
          <cell r="C814">
            <v>45664</v>
          </cell>
          <cell r="D814" t="str">
            <v>یونس صاحب</v>
          </cell>
          <cell r="E814" t="str">
            <v>ہیڈآفس لاہور</v>
          </cell>
        </row>
        <row r="815">
          <cell r="A815" t="str">
            <v>6504/7</v>
          </cell>
          <cell r="B815">
            <v>6504</v>
          </cell>
          <cell r="C815">
            <v>45664</v>
          </cell>
          <cell r="D815" t="str">
            <v>یونس صاحب</v>
          </cell>
          <cell r="E815" t="str">
            <v>ہیڈآفس لاہور</v>
          </cell>
        </row>
        <row r="816">
          <cell r="A816" t="str">
            <v>6504/8</v>
          </cell>
          <cell r="B816">
            <v>6504</v>
          </cell>
          <cell r="C816">
            <v>45664</v>
          </cell>
          <cell r="D816" t="str">
            <v>یونس صاحب</v>
          </cell>
          <cell r="E816" t="str">
            <v>ہیڈآفس لاہور</v>
          </cell>
        </row>
        <row r="817">
          <cell r="A817" t="str">
            <v>6504/9</v>
          </cell>
          <cell r="B817">
            <v>6504</v>
          </cell>
          <cell r="C817">
            <v>45664</v>
          </cell>
          <cell r="D817" t="str">
            <v>یونس صاحب</v>
          </cell>
          <cell r="E817" t="str">
            <v>ہیڈآفس لاہور</v>
          </cell>
        </row>
        <row r="818">
          <cell r="A818" t="str">
            <v>6504/10</v>
          </cell>
          <cell r="B818">
            <v>6504</v>
          </cell>
          <cell r="C818">
            <v>45664</v>
          </cell>
          <cell r="D818" t="str">
            <v>یونس صاحب</v>
          </cell>
          <cell r="E818" t="str">
            <v>ہیڈآفس لاہور</v>
          </cell>
        </row>
        <row r="819">
          <cell r="A819" t="str">
            <v>6504/11</v>
          </cell>
          <cell r="B819">
            <v>6504</v>
          </cell>
          <cell r="C819">
            <v>45664</v>
          </cell>
          <cell r="D819" t="str">
            <v>یونس صاحب</v>
          </cell>
          <cell r="E819" t="str">
            <v>ہیڈآفس لاہور</v>
          </cell>
        </row>
        <row r="820">
          <cell r="A820" t="str">
            <v>6504/12</v>
          </cell>
          <cell r="B820">
            <v>6504</v>
          </cell>
          <cell r="C820">
            <v>45664</v>
          </cell>
          <cell r="D820" t="str">
            <v>یونس صاحب</v>
          </cell>
          <cell r="E820" t="str">
            <v>ہیڈآفس لاہور</v>
          </cell>
        </row>
        <row r="821">
          <cell r="A821" t="str">
            <v>6504/13</v>
          </cell>
          <cell r="B821">
            <v>6504</v>
          </cell>
          <cell r="C821">
            <v>45664</v>
          </cell>
          <cell r="D821" t="str">
            <v>یونس صاحب</v>
          </cell>
          <cell r="E821" t="str">
            <v>ہیڈآفس لاہور</v>
          </cell>
        </row>
        <row r="822">
          <cell r="A822" t="str">
            <v>6504/14</v>
          </cell>
          <cell r="B822">
            <v>6504</v>
          </cell>
          <cell r="C822">
            <v>45664</v>
          </cell>
          <cell r="D822" t="str">
            <v>یونس صاحب</v>
          </cell>
          <cell r="E822" t="str">
            <v>ہیڈآفس لاہور</v>
          </cell>
        </row>
        <row r="823">
          <cell r="A823" t="str">
            <v>6504/15</v>
          </cell>
          <cell r="B823">
            <v>6504</v>
          </cell>
          <cell r="C823">
            <v>45664</v>
          </cell>
          <cell r="D823" t="str">
            <v>یونس صاحب</v>
          </cell>
          <cell r="E823" t="str">
            <v>ہیڈآفس لاہور</v>
          </cell>
        </row>
        <row r="824">
          <cell r="A824" t="str">
            <v>6504/16</v>
          </cell>
          <cell r="B824">
            <v>6504</v>
          </cell>
          <cell r="C824">
            <v>45664</v>
          </cell>
          <cell r="D824" t="str">
            <v>یونس صاحب</v>
          </cell>
          <cell r="E824" t="str">
            <v>ہیڈآفس لاہور</v>
          </cell>
        </row>
        <row r="825">
          <cell r="A825" t="str">
            <v>6504/17</v>
          </cell>
          <cell r="B825">
            <v>6504</v>
          </cell>
          <cell r="C825">
            <v>45664</v>
          </cell>
          <cell r="D825" t="str">
            <v>یونس صاحب</v>
          </cell>
          <cell r="E825" t="str">
            <v>ہیڈآفس لاہور</v>
          </cell>
        </row>
        <row r="826">
          <cell r="A826" t="str">
            <v>6504/18</v>
          </cell>
          <cell r="B826">
            <v>6504</v>
          </cell>
          <cell r="C826">
            <v>45664</v>
          </cell>
          <cell r="D826" t="str">
            <v>یونس صاحب</v>
          </cell>
          <cell r="E826" t="str">
            <v>ہیڈآفس لاہور</v>
          </cell>
        </row>
        <row r="827">
          <cell r="A827" t="str">
            <v>6504/19</v>
          </cell>
          <cell r="B827">
            <v>6504</v>
          </cell>
          <cell r="C827">
            <v>45664</v>
          </cell>
          <cell r="D827" t="str">
            <v>یونس صاحب</v>
          </cell>
          <cell r="E827" t="str">
            <v>ہیڈآفس لاہور</v>
          </cell>
        </row>
        <row r="828">
          <cell r="A828" t="str">
            <v>6505/1</v>
          </cell>
          <cell r="B828">
            <v>6505</v>
          </cell>
          <cell r="C828">
            <v>45664</v>
          </cell>
          <cell r="D828" t="str">
            <v>یونس صاحب</v>
          </cell>
          <cell r="E828" t="str">
            <v>ہیڈآفس لاہور</v>
          </cell>
        </row>
        <row r="829">
          <cell r="A829" t="str">
            <v>6505/2</v>
          </cell>
          <cell r="B829">
            <v>6505</v>
          </cell>
          <cell r="C829">
            <v>45664</v>
          </cell>
          <cell r="D829" t="str">
            <v>یونس صاحب</v>
          </cell>
          <cell r="E829" t="str">
            <v>ہیڈآفس لاہور</v>
          </cell>
        </row>
        <row r="830">
          <cell r="A830" t="str">
            <v>6506/1</v>
          </cell>
          <cell r="B830">
            <v>6506</v>
          </cell>
          <cell r="C830">
            <v>45664</v>
          </cell>
          <cell r="D830" t="str">
            <v>یونس صاحب</v>
          </cell>
          <cell r="E830" t="str">
            <v>فیصل پلاسٹک فیصل آباد</v>
          </cell>
        </row>
        <row r="831">
          <cell r="A831" t="str">
            <v>6507/1</v>
          </cell>
          <cell r="B831">
            <v>6507</v>
          </cell>
          <cell r="C831">
            <v>45664</v>
          </cell>
          <cell r="D831" t="str">
            <v>یونس صاحب</v>
          </cell>
          <cell r="E831" t="str">
            <v>حاجی اسلماعیل وہاڑی</v>
          </cell>
        </row>
        <row r="832">
          <cell r="A832" t="str">
            <v>6507/2</v>
          </cell>
          <cell r="B832">
            <v>6507</v>
          </cell>
          <cell r="C832">
            <v>45664</v>
          </cell>
          <cell r="D832" t="str">
            <v>یونس صاحب</v>
          </cell>
          <cell r="E832" t="str">
            <v>حاجی اسلماعیل وہاڑی</v>
          </cell>
        </row>
        <row r="833">
          <cell r="A833" t="str">
            <v>6507/3</v>
          </cell>
          <cell r="B833">
            <v>6507</v>
          </cell>
          <cell r="C833">
            <v>45664</v>
          </cell>
          <cell r="D833" t="str">
            <v>یونس صاحب</v>
          </cell>
          <cell r="E833" t="str">
            <v>حاجی اسلماعیل وہاڑی</v>
          </cell>
        </row>
        <row r="834">
          <cell r="A834" t="str">
            <v>6507/4</v>
          </cell>
          <cell r="B834">
            <v>6507</v>
          </cell>
          <cell r="C834">
            <v>45664</v>
          </cell>
          <cell r="D834" t="str">
            <v>یونس صاحب</v>
          </cell>
          <cell r="E834" t="str">
            <v>حاجی اسلماعیل وہاڑی</v>
          </cell>
        </row>
        <row r="835">
          <cell r="A835" t="str">
            <v>6507/5</v>
          </cell>
          <cell r="B835">
            <v>6507</v>
          </cell>
          <cell r="C835">
            <v>45664</v>
          </cell>
          <cell r="D835" t="str">
            <v>یونس صاحب</v>
          </cell>
          <cell r="E835" t="str">
            <v>حاجی اسلماعیل وہاڑی</v>
          </cell>
        </row>
        <row r="836">
          <cell r="A836" t="str">
            <v>6508/1</v>
          </cell>
          <cell r="B836">
            <v>6508</v>
          </cell>
          <cell r="C836">
            <v>45667</v>
          </cell>
          <cell r="D836" t="str">
            <v>یونس صاحب</v>
          </cell>
          <cell r="E836" t="str">
            <v>اسد پلاسٹک صادق ٓاباد</v>
          </cell>
        </row>
        <row r="837">
          <cell r="A837" t="str">
            <v>6508/2</v>
          </cell>
          <cell r="B837">
            <v>6508</v>
          </cell>
          <cell r="C837">
            <v>45667</v>
          </cell>
          <cell r="D837" t="str">
            <v>یونس صاحب</v>
          </cell>
          <cell r="E837" t="str">
            <v>اسد پلاسٹک صادق ٓاباد</v>
          </cell>
        </row>
        <row r="838">
          <cell r="A838" t="str">
            <v>6508/3</v>
          </cell>
          <cell r="B838">
            <v>6508</v>
          </cell>
          <cell r="C838">
            <v>45667</v>
          </cell>
          <cell r="D838" t="str">
            <v>یونس صاحب</v>
          </cell>
          <cell r="E838" t="str">
            <v>اسد پلاسٹک صادق ٓاباد</v>
          </cell>
        </row>
        <row r="839">
          <cell r="A839" t="str">
            <v>6508/4</v>
          </cell>
          <cell r="B839">
            <v>6508</v>
          </cell>
          <cell r="C839">
            <v>45667</v>
          </cell>
          <cell r="D839" t="str">
            <v>یونس صاحب</v>
          </cell>
          <cell r="E839" t="str">
            <v>اسد پلاسٹک صادق ٓاباد</v>
          </cell>
        </row>
        <row r="840">
          <cell r="A840" t="str">
            <v>6508/5</v>
          </cell>
          <cell r="B840">
            <v>6508</v>
          </cell>
          <cell r="C840">
            <v>45667</v>
          </cell>
          <cell r="D840" t="str">
            <v>یونس صاحب</v>
          </cell>
          <cell r="E840" t="str">
            <v>اسد پلاسٹک صادق ٓاباد</v>
          </cell>
        </row>
        <row r="841">
          <cell r="A841" t="str">
            <v>6508/6</v>
          </cell>
          <cell r="B841">
            <v>6508</v>
          </cell>
          <cell r="C841">
            <v>45667</v>
          </cell>
          <cell r="D841" t="str">
            <v>یونس صاحب</v>
          </cell>
          <cell r="E841" t="str">
            <v>اسد پلاسٹک صادق ٓاباد</v>
          </cell>
        </row>
        <row r="842">
          <cell r="A842" t="str">
            <v>6508/7</v>
          </cell>
          <cell r="B842">
            <v>6508</v>
          </cell>
          <cell r="C842">
            <v>45667</v>
          </cell>
          <cell r="D842" t="str">
            <v>یونس صاحب</v>
          </cell>
          <cell r="E842" t="str">
            <v>اسد پلاسٹک صادق ٓاباد</v>
          </cell>
        </row>
        <row r="843">
          <cell r="A843" t="str">
            <v>6508/8</v>
          </cell>
          <cell r="B843">
            <v>6508</v>
          </cell>
          <cell r="C843">
            <v>45667</v>
          </cell>
          <cell r="D843" t="str">
            <v>یونس صاحب</v>
          </cell>
          <cell r="E843" t="str">
            <v>اسد پلاسٹک صادق ٓاباد</v>
          </cell>
        </row>
        <row r="844">
          <cell r="A844" t="str">
            <v>6508/9</v>
          </cell>
          <cell r="B844">
            <v>6508</v>
          </cell>
          <cell r="C844">
            <v>45667</v>
          </cell>
          <cell r="D844" t="str">
            <v>یونس صاحب</v>
          </cell>
          <cell r="E844" t="str">
            <v>اسد پلاسٹک صادق ٓاباد</v>
          </cell>
        </row>
        <row r="845">
          <cell r="A845" t="str">
            <v>6508/10</v>
          </cell>
          <cell r="B845">
            <v>6508</v>
          </cell>
          <cell r="C845">
            <v>45667</v>
          </cell>
          <cell r="D845" t="str">
            <v>یونس صاحب</v>
          </cell>
          <cell r="E845" t="str">
            <v>اسد پلاسٹک صادق ٓاباد</v>
          </cell>
        </row>
        <row r="846">
          <cell r="A846" t="str">
            <v>6509/1</v>
          </cell>
          <cell r="B846">
            <v>6509</v>
          </cell>
          <cell r="C846">
            <v>45667</v>
          </cell>
          <cell r="D846" t="str">
            <v>یونس صاحب</v>
          </cell>
          <cell r="E846" t="str">
            <v>عرفان احمد اعظم مارکیٹ</v>
          </cell>
        </row>
        <row r="847">
          <cell r="A847" t="str">
            <v>6509/2</v>
          </cell>
          <cell r="B847">
            <v>6509</v>
          </cell>
          <cell r="C847">
            <v>45667</v>
          </cell>
          <cell r="D847" t="str">
            <v>یونس صاحب</v>
          </cell>
          <cell r="E847" t="str">
            <v>عرفان احمد اعظم مارکیٹ</v>
          </cell>
        </row>
        <row r="848">
          <cell r="A848" t="str">
            <v>6510/1</v>
          </cell>
          <cell r="B848">
            <v>6510</v>
          </cell>
          <cell r="C848">
            <v>45667</v>
          </cell>
          <cell r="D848" t="str">
            <v>یونس صاحب</v>
          </cell>
          <cell r="E848" t="str">
            <v>اسماعیل فاروقی جہلم</v>
          </cell>
        </row>
        <row r="849">
          <cell r="A849" t="str">
            <v>6510/2</v>
          </cell>
          <cell r="B849">
            <v>6510</v>
          </cell>
          <cell r="C849">
            <v>45667</v>
          </cell>
          <cell r="D849" t="str">
            <v>یونس صاحب</v>
          </cell>
          <cell r="E849" t="str">
            <v>اسماعیل فاروقی جہلم</v>
          </cell>
        </row>
        <row r="850">
          <cell r="A850" t="str">
            <v>6511/1</v>
          </cell>
          <cell r="B850">
            <v>6511</v>
          </cell>
          <cell r="C850">
            <v>45667</v>
          </cell>
          <cell r="D850" t="str">
            <v>یونس صاحب</v>
          </cell>
          <cell r="E850" t="str">
            <v>عثمان امین لاہور</v>
          </cell>
        </row>
        <row r="851">
          <cell r="A851" t="str">
            <v>920 F</v>
          </cell>
          <cell r="B851"/>
          <cell r="C851">
            <v>45670</v>
          </cell>
          <cell r="D851" t="str">
            <v>فینا</v>
          </cell>
          <cell r="E851" t="str">
            <v>عثمان امین</v>
          </cell>
        </row>
        <row r="852">
          <cell r="A852" t="str">
            <v>921 F</v>
          </cell>
          <cell r="B852"/>
          <cell r="C852">
            <v>45670</v>
          </cell>
          <cell r="D852" t="str">
            <v>فینا</v>
          </cell>
          <cell r="E852" t="str">
            <v>عثمان امین</v>
          </cell>
        </row>
        <row r="853">
          <cell r="A853" t="str">
            <v>922 F</v>
          </cell>
          <cell r="B853"/>
          <cell r="C853">
            <v>45670</v>
          </cell>
          <cell r="D853" t="str">
            <v>فینا</v>
          </cell>
          <cell r="E853" t="str">
            <v>عثمان امین</v>
          </cell>
        </row>
        <row r="854">
          <cell r="A854" t="str">
            <v>923 F</v>
          </cell>
          <cell r="B854"/>
          <cell r="C854">
            <v>45670</v>
          </cell>
          <cell r="D854" t="str">
            <v>فینا</v>
          </cell>
          <cell r="E854" t="str">
            <v>عثمان امین</v>
          </cell>
        </row>
        <row r="855">
          <cell r="A855" t="str">
            <v>924 F</v>
          </cell>
          <cell r="B855"/>
          <cell r="C855">
            <v>45670</v>
          </cell>
          <cell r="D855" t="str">
            <v>فینا</v>
          </cell>
          <cell r="E855" t="str">
            <v>عثمان امین</v>
          </cell>
        </row>
        <row r="856">
          <cell r="A856" t="str">
            <v>925 F</v>
          </cell>
          <cell r="B856"/>
          <cell r="C856">
            <v>45670</v>
          </cell>
          <cell r="D856" t="str">
            <v>فینا</v>
          </cell>
          <cell r="E856" t="str">
            <v>عثمان امین</v>
          </cell>
        </row>
        <row r="857">
          <cell r="A857" t="str">
            <v>926 F</v>
          </cell>
          <cell r="B857"/>
          <cell r="C857">
            <v>45670</v>
          </cell>
          <cell r="D857" t="str">
            <v>فینا</v>
          </cell>
          <cell r="E857" t="str">
            <v>عثمان امین</v>
          </cell>
        </row>
        <row r="858">
          <cell r="A858" t="str">
            <v>927 F</v>
          </cell>
          <cell r="B858"/>
          <cell r="C858">
            <v>45670</v>
          </cell>
          <cell r="D858" t="str">
            <v>فینا</v>
          </cell>
          <cell r="E858" t="str">
            <v>عثمان امین</v>
          </cell>
        </row>
        <row r="859">
          <cell r="A859" t="str">
            <v>928 F</v>
          </cell>
          <cell r="B859"/>
          <cell r="C859">
            <v>45670</v>
          </cell>
          <cell r="D859" t="str">
            <v>فینا</v>
          </cell>
          <cell r="E859" t="str">
            <v>عثمان امین</v>
          </cell>
        </row>
        <row r="860">
          <cell r="A860" t="str">
            <v>929 F</v>
          </cell>
          <cell r="B860"/>
          <cell r="C860">
            <v>45670</v>
          </cell>
          <cell r="D860" t="str">
            <v>فینا</v>
          </cell>
          <cell r="E860" t="str">
            <v>عثمان امین</v>
          </cell>
        </row>
        <row r="861">
          <cell r="A861" t="str">
            <v>930 F</v>
          </cell>
          <cell r="B861"/>
          <cell r="C861">
            <v>45670</v>
          </cell>
          <cell r="D861" t="str">
            <v>فینا</v>
          </cell>
          <cell r="E861" t="str">
            <v>عثمان امین</v>
          </cell>
        </row>
        <row r="862">
          <cell r="A862" t="str">
            <v>931 F</v>
          </cell>
          <cell r="B862"/>
          <cell r="C862">
            <v>45670</v>
          </cell>
          <cell r="D862" t="str">
            <v>فینا</v>
          </cell>
          <cell r="E862" t="str">
            <v>عثمان امین</v>
          </cell>
        </row>
        <row r="863">
          <cell r="A863" t="str">
            <v>217 J</v>
          </cell>
          <cell r="B863">
            <v>19064</v>
          </cell>
          <cell r="C863">
            <v>45667</v>
          </cell>
          <cell r="D863" t="str">
            <v>OTHERS</v>
          </cell>
          <cell r="E863" t="str">
            <v>وقاص وولن ملز گوجرانوالہ</v>
          </cell>
        </row>
        <row r="864">
          <cell r="A864" t="str">
            <v>218 J</v>
          </cell>
          <cell r="B864">
            <v>10964</v>
          </cell>
          <cell r="C864">
            <v>45667</v>
          </cell>
          <cell r="D864" t="str">
            <v>OTHERS</v>
          </cell>
          <cell r="E864" t="str">
            <v>وقاص وولن ملز گوجرانوالہ</v>
          </cell>
        </row>
        <row r="865">
          <cell r="A865" t="str">
            <v>219 J</v>
          </cell>
          <cell r="B865">
            <v>10965</v>
          </cell>
          <cell r="C865">
            <v>45667</v>
          </cell>
          <cell r="D865" t="str">
            <v>OTHERS</v>
          </cell>
          <cell r="E865" t="str">
            <v>وقاص وولن ملز گوجرانوالہ</v>
          </cell>
        </row>
        <row r="866">
          <cell r="A866" t="str">
            <v>220 J</v>
          </cell>
          <cell r="B866">
            <v>10965</v>
          </cell>
          <cell r="C866">
            <v>45667</v>
          </cell>
          <cell r="D866" t="str">
            <v>OTHERS</v>
          </cell>
          <cell r="E866" t="str">
            <v>وقاص وولن ملز گوجرانوالہ</v>
          </cell>
        </row>
        <row r="867">
          <cell r="A867" t="str">
            <v>221 J</v>
          </cell>
          <cell r="B867">
            <v>10966</v>
          </cell>
          <cell r="C867">
            <v>45667</v>
          </cell>
          <cell r="D867" t="str">
            <v>OTHERS</v>
          </cell>
          <cell r="E867" t="str">
            <v>وقاص وولن ملز گوجرانوالہ</v>
          </cell>
        </row>
        <row r="868">
          <cell r="A868" t="str">
            <v>222 J</v>
          </cell>
          <cell r="B868">
            <v>10967</v>
          </cell>
          <cell r="C868">
            <v>45667</v>
          </cell>
          <cell r="D868" t="str">
            <v>OTHERS</v>
          </cell>
          <cell r="E868" t="str">
            <v>وقاص وولن ملز گوجرانوالہ</v>
          </cell>
        </row>
        <row r="869">
          <cell r="A869" t="str">
            <v>223 J</v>
          </cell>
          <cell r="B869">
            <v>10968</v>
          </cell>
          <cell r="C869">
            <v>45667</v>
          </cell>
          <cell r="D869" t="str">
            <v>OTHERS</v>
          </cell>
          <cell r="E869" t="str">
            <v>وقاص وولن ملز گوجرانوالہ</v>
          </cell>
        </row>
        <row r="870">
          <cell r="A870" t="str">
            <v>224 J</v>
          </cell>
          <cell r="B870">
            <v>10969</v>
          </cell>
          <cell r="C870">
            <v>45667</v>
          </cell>
          <cell r="D870" t="str">
            <v>JILANI</v>
          </cell>
          <cell r="E870" t="str">
            <v>محبوب پرنٹرز گوجرانوالہ</v>
          </cell>
        </row>
        <row r="871">
          <cell r="A871" t="str">
            <v>225 J</v>
          </cell>
          <cell r="B871">
            <v>10969</v>
          </cell>
          <cell r="C871">
            <v>45667</v>
          </cell>
          <cell r="D871" t="str">
            <v>JILANI</v>
          </cell>
          <cell r="E871" t="str">
            <v>محبوب پرنٹرز گوجرانوالہ</v>
          </cell>
        </row>
        <row r="872">
          <cell r="A872" t="str">
            <v>932 F</v>
          </cell>
          <cell r="B872"/>
          <cell r="C872">
            <v>45671</v>
          </cell>
          <cell r="D872" t="str">
            <v>فینا</v>
          </cell>
          <cell r="E872" t="str">
            <v>عثمان امین</v>
          </cell>
        </row>
        <row r="873">
          <cell r="A873" t="str">
            <v>933 F</v>
          </cell>
          <cell r="B873"/>
          <cell r="C873">
            <v>45671</v>
          </cell>
          <cell r="D873" t="str">
            <v>فینا</v>
          </cell>
          <cell r="E873" t="str">
            <v>عثمان امین</v>
          </cell>
        </row>
        <row r="874">
          <cell r="A874" t="str">
            <v>934 F</v>
          </cell>
          <cell r="B874"/>
          <cell r="C874">
            <v>45671</v>
          </cell>
          <cell r="D874" t="str">
            <v>فینا</v>
          </cell>
          <cell r="E874" t="str">
            <v>عثمان امین</v>
          </cell>
        </row>
        <row r="875">
          <cell r="A875" t="str">
            <v>935 F</v>
          </cell>
          <cell r="B875"/>
          <cell r="C875">
            <v>45671</v>
          </cell>
          <cell r="D875" t="str">
            <v>فینا</v>
          </cell>
          <cell r="E875" t="str">
            <v>عثمان امین</v>
          </cell>
        </row>
        <row r="876">
          <cell r="A876" t="str">
            <v>936 F</v>
          </cell>
          <cell r="B876"/>
          <cell r="C876">
            <v>45671</v>
          </cell>
          <cell r="D876" t="str">
            <v>فینا</v>
          </cell>
          <cell r="E876" t="str">
            <v>عثمان امین</v>
          </cell>
        </row>
        <row r="877">
          <cell r="A877" t="str">
            <v>937 F</v>
          </cell>
          <cell r="B877"/>
          <cell r="C877">
            <v>45671</v>
          </cell>
          <cell r="D877" t="str">
            <v>فینا</v>
          </cell>
          <cell r="E877" t="str">
            <v>عثمان امین</v>
          </cell>
        </row>
        <row r="878">
          <cell r="A878" t="str">
            <v>938 F</v>
          </cell>
          <cell r="B878"/>
          <cell r="C878">
            <v>45671</v>
          </cell>
          <cell r="D878" t="str">
            <v>فینا</v>
          </cell>
          <cell r="E878" t="str">
            <v>عثمان امین</v>
          </cell>
        </row>
        <row r="879">
          <cell r="A879" t="str">
            <v>939 F</v>
          </cell>
          <cell r="B879"/>
          <cell r="C879">
            <v>45671</v>
          </cell>
          <cell r="D879" t="str">
            <v>فینا</v>
          </cell>
          <cell r="E879" t="str">
            <v>عثمان امین</v>
          </cell>
        </row>
        <row r="880">
          <cell r="A880" t="str">
            <v>940 F</v>
          </cell>
          <cell r="B880"/>
          <cell r="C880">
            <v>45671</v>
          </cell>
          <cell r="D880" t="str">
            <v>فینا</v>
          </cell>
          <cell r="E880" t="str">
            <v>عثمان امین</v>
          </cell>
        </row>
        <row r="881">
          <cell r="A881" t="str">
            <v>941 F</v>
          </cell>
          <cell r="B881"/>
          <cell r="C881">
            <v>45671</v>
          </cell>
          <cell r="D881" t="str">
            <v>فینا</v>
          </cell>
          <cell r="E881" t="str">
            <v>عثمان امین</v>
          </cell>
        </row>
        <row r="882">
          <cell r="A882" t="str">
            <v>226 J</v>
          </cell>
          <cell r="B882">
            <v>10970</v>
          </cell>
          <cell r="C882">
            <v>45670</v>
          </cell>
          <cell r="D882" t="str">
            <v>JILANI</v>
          </cell>
          <cell r="E882" t="str">
            <v>لاہور ریجنسی ہاسپٹیلٹی</v>
          </cell>
        </row>
        <row r="883">
          <cell r="A883" t="str">
            <v>227 J</v>
          </cell>
          <cell r="B883">
            <v>10971</v>
          </cell>
          <cell r="C883">
            <v>45670</v>
          </cell>
          <cell r="D883" t="str">
            <v>JILANI</v>
          </cell>
          <cell r="E883" t="str">
            <v>لاہور ریجنسی ہاسپٹیلٹی</v>
          </cell>
        </row>
        <row r="884">
          <cell r="A884" t="str">
            <v>228 J</v>
          </cell>
          <cell r="B884">
            <v>10972</v>
          </cell>
          <cell r="C884">
            <v>45670</v>
          </cell>
          <cell r="D884" t="str">
            <v>JILANI</v>
          </cell>
          <cell r="E884" t="str">
            <v>مون ٹچ کاسمیٹکس لاہور</v>
          </cell>
        </row>
        <row r="885">
          <cell r="A885" t="str">
            <v>229 J</v>
          </cell>
          <cell r="B885">
            <v>10972</v>
          </cell>
          <cell r="C885">
            <v>45670</v>
          </cell>
          <cell r="D885" t="str">
            <v>JILANI</v>
          </cell>
          <cell r="E885" t="str">
            <v>مون ٹچ کاسمیٹکس لاہور</v>
          </cell>
        </row>
        <row r="886">
          <cell r="A886" t="str">
            <v>230 J</v>
          </cell>
          <cell r="B886">
            <v>10973</v>
          </cell>
          <cell r="C886">
            <v>45670</v>
          </cell>
          <cell r="D886" t="str">
            <v>JILANI</v>
          </cell>
          <cell r="E886" t="str">
            <v>عالم پرنٹرز بٹ خیلہ</v>
          </cell>
        </row>
        <row r="887">
          <cell r="A887" t="str">
            <v>231 J</v>
          </cell>
          <cell r="B887">
            <v>10974</v>
          </cell>
          <cell r="C887">
            <v>45670</v>
          </cell>
          <cell r="D887" t="str">
            <v>JILANI</v>
          </cell>
          <cell r="E887" t="str">
            <v>فیصل پلاسٹک فیصل آباد</v>
          </cell>
        </row>
        <row r="888">
          <cell r="A888" t="str">
            <v>232 J</v>
          </cell>
          <cell r="B888">
            <v>10975</v>
          </cell>
          <cell r="C888">
            <v>45670</v>
          </cell>
          <cell r="D888" t="str">
            <v>JILANI</v>
          </cell>
          <cell r="E888" t="str">
            <v>رضا لیڈیز گارمنٹس لاہور</v>
          </cell>
        </row>
        <row r="889">
          <cell r="A889" t="str">
            <v>233 J</v>
          </cell>
          <cell r="B889">
            <v>10976</v>
          </cell>
          <cell r="C889">
            <v>45670</v>
          </cell>
          <cell r="D889" t="str">
            <v>JILANI</v>
          </cell>
          <cell r="E889" t="str">
            <v>یورو میٹرس گجرات</v>
          </cell>
        </row>
        <row r="890">
          <cell r="A890" t="str">
            <v>234 J</v>
          </cell>
          <cell r="B890">
            <v>10977</v>
          </cell>
          <cell r="C890">
            <v>45670</v>
          </cell>
          <cell r="D890" t="str">
            <v>JILANI</v>
          </cell>
          <cell r="E890" t="str">
            <v>معظمی پلاسٹک ساہیوال</v>
          </cell>
        </row>
        <row r="891">
          <cell r="A891" t="str">
            <v>235 J</v>
          </cell>
          <cell r="B891">
            <v>10977</v>
          </cell>
          <cell r="C891">
            <v>45670</v>
          </cell>
          <cell r="D891" t="str">
            <v>JILANI</v>
          </cell>
          <cell r="E891" t="str">
            <v>معظمی پلاسٹک ساہیوال</v>
          </cell>
        </row>
        <row r="892">
          <cell r="A892" t="str">
            <v>236 J</v>
          </cell>
          <cell r="B892">
            <v>10978</v>
          </cell>
          <cell r="C892">
            <v>45670</v>
          </cell>
          <cell r="D892" t="str">
            <v>JILANI</v>
          </cell>
          <cell r="E892" t="str">
            <v>شالیمار سویٹس دینہ</v>
          </cell>
        </row>
        <row r="893">
          <cell r="A893" t="str">
            <v>237 J</v>
          </cell>
          <cell r="B893">
            <v>10978</v>
          </cell>
          <cell r="C893">
            <v>45670</v>
          </cell>
          <cell r="D893" t="str">
            <v>JILANI</v>
          </cell>
          <cell r="E893" t="str">
            <v>شالیمار سویٹس دینہ</v>
          </cell>
        </row>
        <row r="894">
          <cell r="A894" t="str">
            <v>238 J</v>
          </cell>
          <cell r="B894">
            <v>10979</v>
          </cell>
          <cell r="C894">
            <v>45670</v>
          </cell>
          <cell r="D894" t="str">
            <v>JILANI</v>
          </cell>
          <cell r="E894" t="str">
            <v>محبوب پرنٹرز گوجرانوالہ</v>
          </cell>
        </row>
        <row r="895">
          <cell r="A895" t="str">
            <v>239 J</v>
          </cell>
          <cell r="B895">
            <v>10980</v>
          </cell>
          <cell r="C895">
            <v>45670</v>
          </cell>
          <cell r="D895" t="str">
            <v>JILANI</v>
          </cell>
          <cell r="E895" t="str">
            <v>شیخ اصغر علی اینڈ سنز سرگودھا</v>
          </cell>
        </row>
        <row r="896">
          <cell r="A896" t="str">
            <v>240 J</v>
          </cell>
          <cell r="B896">
            <v>10980</v>
          </cell>
          <cell r="C896">
            <v>45670</v>
          </cell>
          <cell r="D896" t="str">
            <v>JILANI</v>
          </cell>
          <cell r="E896" t="str">
            <v>شیخ اصغر علی اینڈ سنز سرگودھا</v>
          </cell>
        </row>
        <row r="897">
          <cell r="A897" t="str">
            <v>241 J</v>
          </cell>
          <cell r="B897">
            <v>10980</v>
          </cell>
          <cell r="C897">
            <v>45670</v>
          </cell>
          <cell r="D897" t="str">
            <v>JILANI</v>
          </cell>
          <cell r="E897" t="str">
            <v>شیخ اصغر علی اینڈ سنز سرگودھا</v>
          </cell>
        </row>
        <row r="898">
          <cell r="A898" t="str">
            <v>242 J</v>
          </cell>
          <cell r="B898">
            <v>10981</v>
          </cell>
          <cell r="C898">
            <v>45670</v>
          </cell>
          <cell r="D898" t="str">
            <v>JILANI</v>
          </cell>
          <cell r="E898" t="str">
            <v>پیزا بنک فاسٹ فوڈ کامونکی</v>
          </cell>
        </row>
        <row r="899">
          <cell r="A899" t="str">
            <v>243 J</v>
          </cell>
          <cell r="B899">
            <v>10981</v>
          </cell>
          <cell r="C899">
            <v>45670</v>
          </cell>
          <cell r="D899" t="str">
            <v>JILANI</v>
          </cell>
          <cell r="E899" t="str">
            <v>پیزا بنک فاسٹ فوڈ کامونکی</v>
          </cell>
        </row>
        <row r="900">
          <cell r="A900" t="str">
            <v>244 J</v>
          </cell>
          <cell r="B900">
            <v>10981</v>
          </cell>
          <cell r="C900">
            <v>45670</v>
          </cell>
          <cell r="D900" t="str">
            <v>JILANI</v>
          </cell>
          <cell r="E900" t="str">
            <v>پیزا بنک فاسٹ فوڈ کامونکی</v>
          </cell>
        </row>
        <row r="901">
          <cell r="A901" t="str">
            <v>245 J</v>
          </cell>
          <cell r="B901">
            <v>10982</v>
          </cell>
          <cell r="C901">
            <v>45670</v>
          </cell>
          <cell r="D901" t="str">
            <v>JILANI</v>
          </cell>
          <cell r="E901" t="str">
            <v>پیزا بنک فاسٹ فوڈ کامونکی</v>
          </cell>
        </row>
        <row r="902">
          <cell r="A902" t="str">
            <v>246 J</v>
          </cell>
          <cell r="B902">
            <v>10982</v>
          </cell>
          <cell r="C902">
            <v>45670</v>
          </cell>
          <cell r="D902" t="str">
            <v>JILANI</v>
          </cell>
          <cell r="E902" t="str">
            <v>پیزا بنک فاسٹ فوڈ کامونکی</v>
          </cell>
        </row>
        <row r="903">
          <cell r="A903" t="str">
            <v>247 J</v>
          </cell>
          <cell r="B903">
            <v>10983</v>
          </cell>
          <cell r="C903">
            <v>45670</v>
          </cell>
          <cell r="D903" t="str">
            <v>JILANI</v>
          </cell>
          <cell r="E903" t="str">
            <v>نعمت شیریں لاہور</v>
          </cell>
        </row>
        <row r="904">
          <cell r="A904" t="str">
            <v>248 J</v>
          </cell>
          <cell r="B904">
            <v>10983</v>
          </cell>
          <cell r="C904">
            <v>45670</v>
          </cell>
          <cell r="D904" t="str">
            <v>JILANI</v>
          </cell>
          <cell r="E904" t="str">
            <v>نعمت شیریں لاہور</v>
          </cell>
        </row>
        <row r="905">
          <cell r="A905" t="str">
            <v>249 J</v>
          </cell>
          <cell r="B905">
            <v>10984</v>
          </cell>
          <cell r="C905">
            <v>45670</v>
          </cell>
          <cell r="D905" t="str">
            <v>JILANI</v>
          </cell>
          <cell r="E905" t="str">
            <v>زاہد منظور لاہور</v>
          </cell>
        </row>
        <row r="906">
          <cell r="A906" t="str">
            <v>250 J</v>
          </cell>
          <cell r="B906">
            <v>10984</v>
          </cell>
          <cell r="C906">
            <v>45670</v>
          </cell>
          <cell r="D906" t="str">
            <v>JILANI</v>
          </cell>
          <cell r="E906" t="str">
            <v>زاہد منظور لاہور</v>
          </cell>
        </row>
        <row r="907">
          <cell r="A907" t="str">
            <v>251 J</v>
          </cell>
          <cell r="B907">
            <v>10985</v>
          </cell>
          <cell r="C907">
            <v>45670</v>
          </cell>
          <cell r="D907" t="str">
            <v>OTHERS</v>
          </cell>
          <cell r="E907" t="str">
            <v>جیلانی پلاسٹک</v>
          </cell>
        </row>
        <row r="908">
          <cell r="A908" t="str">
            <v>252 J</v>
          </cell>
          <cell r="B908">
            <v>10985</v>
          </cell>
          <cell r="C908">
            <v>45670</v>
          </cell>
          <cell r="D908" t="str">
            <v>OTHERS</v>
          </cell>
          <cell r="E908" t="str">
            <v>جیلانی پلاسٹک</v>
          </cell>
        </row>
        <row r="909">
          <cell r="A909" t="str">
            <v>942 F</v>
          </cell>
          <cell r="B909"/>
          <cell r="C909">
            <v>45672</v>
          </cell>
          <cell r="D909" t="str">
            <v>فینا</v>
          </cell>
          <cell r="E909" t="str">
            <v>عثمان امین</v>
          </cell>
        </row>
        <row r="910">
          <cell r="A910" t="str">
            <v>943 F</v>
          </cell>
          <cell r="B910"/>
          <cell r="C910">
            <v>45672</v>
          </cell>
          <cell r="D910" t="str">
            <v>فینا</v>
          </cell>
          <cell r="E910" t="str">
            <v>عثمان امین</v>
          </cell>
        </row>
        <row r="911">
          <cell r="A911" t="str">
            <v>944 F</v>
          </cell>
          <cell r="B911"/>
          <cell r="C911">
            <v>45672</v>
          </cell>
          <cell r="D911" t="str">
            <v>فینا</v>
          </cell>
          <cell r="E911" t="str">
            <v>عثمان امین</v>
          </cell>
        </row>
        <row r="912">
          <cell r="A912" t="str">
            <v>945 F</v>
          </cell>
          <cell r="B912"/>
          <cell r="C912">
            <v>45672</v>
          </cell>
          <cell r="D912" t="str">
            <v>فینا</v>
          </cell>
          <cell r="E912" t="str">
            <v>عثمان امین</v>
          </cell>
        </row>
        <row r="913">
          <cell r="A913" t="str">
            <v>253 J</v>
          </cell>
          <cell r="B913">
            <v>10985</v>
          </cell>
          <cell r="C913">
            <v>45671</v>
          </cell>
          <cell r="D913" t="str">
            <v>JILANI</v>
          </cell>
          <cell r="E913" t="str">
            <v>ملک سیف بیکرز</v>
          </cell>
        </row>
        <row r="914">
          <cell r="A914" t="str">
            <v>254 J</v>
          </cell>
          <cell r="B914">
            <v>10986</v>
          </cell>
          <cell r="C914">
            <v>45671</v>
          </cell>
          <cell r="D914" t="str">
            <v>JILANI</v>
          </cell>
          <cell r="E914" t="str">
            <v>بائیو پاک لاہور</v>
          </cell>
        </row>
        <row r="915">
          <cell r="A915" t="str">
            <v>255 J</v>
          </cell>
          <cell r="B915">
            <v>10987</v>
          </cell>
          <cell r="C915">
            <v>45671</v>
          </cell>
          <cell r="D915" t="str">
            <v>JILANI</v>
          </cell>
          <cell r="E915" t="str">
            <v>باؤجی فیبرکس سمبڑیال</v>
          </cell>
        </row>
        <row r="916">
          <cell r="A916" t="str">
            <v>256 J</v>
          </cell>
          <cell r="B916">
            <v>10988</v>
          </cell>
          <cell r="C916">
            <v>45671</v>
          </cell>
          <cell r="D916" t="str">
            <v>JILANI</v>
          </cell>
          <cell r="E916" t="str">
            <v>کراچی سیل پوائنٹ سیالکوٹ</v>
          </cell>
        </row>
        <row r="917">
          <cell r="A917" t="str">
            <v>257 J</v>
          </cell>
          <cell r="B917">
            <v>10988</v>
          </cell>
          <cell r="C917">
            <v>45671</v>
          </cell>
          <cell r="D917" t="str">
            <v>JILANI</v>
          </cell>
          <cell r="E917" t="str">
            <v>کراچی سیل پوائنٹ سیالکوٹ</v>
          </cell>
        </row>
        <row r="918">
          <cell r="A918" t="str">
            <v>258 J</v>
          </cell>
          <cell r="B918">
            <v>10989</v>
          </cell>
          <cell r="C918">
            <v>45671</v>
          </cell>
          <cell r="D918" t="str">
            <v>JILANI</v>
          </cell>
          <cell r="E918" t="str">
            <v>جے ایس پرنٹرز لاہور</v>
          </cell>
        </row>
        <row r="919">
          <cell r="A919" t="str">
            <v>259 J</v>
          </cell>
          <cell r="B919">
            <v>10990</v>
          </cell>
          <cell r="C919">
            <v>45671</v>
          </cell>
          <cell r="D919" t="str">
            <v>JILANI</v>
          </cell>
          <cell r="E919" t="str">
            <v>سحاب لنکس لاہور</v>
          </cell>
        </row>
        <row r="920">
          <cell r="A920" t="str">
            <v>260 J</v>
          </cell>
          <cell r="B920">
            <v>10991</v>
          </cell>
          <cell r="C920">
            <v>45671</v>
          </cell>
          <cell r="D920" t="str">
            <v>JILANI</v>
          </cell>
          <cell r="E920" t="str">
            <v>عالم پرنٹرز بٹ خیلہ</v>
          </cell>
        </row>
        <row r="921">
          <cell r="A921" t="str">
            <v>261 J</v>
          </cell>
          <cell r="B921">
            <v>10992</v>
          </cell>
          <cell r="C921">
            <v>45671</v>
          </cell>
          <cell r="D921" t="str">
            <v>JILANI</v>
          </cell>
          <cell r="E921" t="str">
            <v>چراغ دین سویٹس اینڈ بیکرز لاہور</v>
          </cell>
        </row>
        <row r="922">
          <cell r="A922" t="str">
            <v>262 J</v>
          </cell>
          <cell r="B922">
            <v>10993</v>
          </cell>
          <cell r="C922">
            <v>45671</v>
          </cell>
          <cell r="D922" t="str">
            <v>JILANI</v>
          </cell>
          <cell r="E922" t="str">
            <v>ایوب ٹریڈرزمال روڈ لاہور</v>
          </cell>
        </row>
        <row r="923">
          <cell r="A923" t="str">
            <v>263 J</v>
          </cell>
          <cell r="B923">
            <v>10994</v>
          </cell>
          <cell r="C923">
            <v>45672</v>
          </cell>
          <cell r="D923" t="str">
            <v>JILANI</v>
          </cell>
          <cell r="E923" t="str">
            <v>مصطفی ادریس C/O مائیکروٹیک آئی این سی</v>
          </cell>
        </row>
        <row r="924">
          <cell r="A924" t="str">
            <v>264 J</v>
          </cell>
          <cell r="B924">
            <v>10994</v>
          </cell>
          <cell r="C924">
            <v>45672</v>
          </cell>
          <cell r="D924" t="str">
            <v>JILANI</v>
          </cell>
          <cell r="E924" t="str">
            <v>مصطفی ادریس C/O مائیکروٹیک آئی این سی</v>
          </cell>
        </row>
        <row r="925">
          <cell r="A925" t="str">
            <v>265 J</v>
          </cell>
          <cell r="B925">
            <v>10994</v>
          </cell>
          <cell r="C925">
            <v>45672</v>
          </cell>
          <cell r="D925" t="str">
            <v>JILANI</v>
          </cell>
          <cell r="E925" t="str">
            <v>مصطفی ادریس C/O مائیکروٹیک آئی این سی</v>
          </cell>
        </row>
        <row r="926">
          <cell r="A926" t="str">
            <v>946 F</v>
          </cell>
          <cell r="B926"/>
          <cell r="C926">
            <v>45673</v>
          </cell>
          <cell r="D926" t="str">
            <v>فینا</v>
          </cell>
          <cell r="E926" t="str">
            <v>عثمان امین</v>
          </cell>
        </row>
        <row r="927">
          <cell r="A927" t="str">
            <v>947 F</v>
          </cell>
          <cell r="B927"/>
          <cell r="C927">
            <v>45673</v>
          </cell>
          <cell r="D927" t="str">
            <v>فینا</v>
          </cell>
          <cell r="E927" t="str">
            <v>عثمان امین</v>
          </cell>
        </row>
        <row r="928">
          <cell r="A928" t="str">
            <v>948 F</v>
          </cell>
          <cell r="B928"/>
          <cell r="C928">
            <v>45673</v>
          </cell>
          <cell r="D928" t="str">
            <v>فینا</v>
          </cell>
          <cell r="E928" t="str">
            <v>عثمان امین</v>
          </cell>
        </row>
        <row r="929">
          <cell r="A929" t="str">
            <v>949 F</v>
          </cell>
          <cell r="B929"/>
          <cell r="C929">
            <v>45673</v>
          </cell>
          <cell r="D929" t="str">
            <v>فینا</v>
          </cell>
          <cell r="E929" t="str">
            <v>عثمان امین</v>
          </cell>
        </row>
        <row r="930">
          <cell r="A930" t="str">
            <v>950 F</v>
          </cell>
          <cell r="B930"/>
          <cell r="C930">
            <v>45673</v>
          </cell>
          <cell r="D930" t="str">
            <v>فینا</v>
          </cell>
          <cell r="E930" t="str">
            <v>عثمان امین</v>
          </cell>
        </row>
        <row r="931">
          <cell r="A931" t="str">
            <v>951 F</v>
          </cell>
          <cell r="B931"/>
          <cell r="C931">
            <v>45675</v>
          </cell>
          <cell r="D931" t="str">
            <v>فینا</v>
          </cell>
          <cell r="E931" t="str">
            <v>عثمان امین</v>
          </cell>
        </row>
        <row r="932">
          <cell r="A932" t="str">
            <v>952 F</v>
          </cell>
          <cell r="B932"/>
          <cell r="C932">
            <v>45675</v>
          </cell>
          <cell r="D932" t="str">
            <v>فینا</v>
          </cell>
          <cell r="E932" t="str">
            <v>عثمان امین</v>
          </cell>
        </row>
        <row r="933">
          <cell r="A933" t="str">
            <v>953 F</v>
          </cell>
          <cell r="B933"/>
          <cell r="C933">
            <v>45675</v>
          </cell>
          <cell r="D933" t="str">
            <v>فینا</v>
          </cell>
          <cell r="E933" t="str">
            <v>عثمان امین</v>
          </cell>
        </row>
        <row r="934">
          <cell r="A934" t="str">
            <v>954 F</v>
          </cell>
          <cell r="B934"/>
          <cell r="C934">
            <v>45675</v>
          </cell>
          <cell r="D934" t="str">
            <v>فینا</v>
          </cell>
          <cell r="E934" t="str">
            <v>عثمان امین</v>
          </cell>
        </row>
        <row r="935">
          <cell r="A935" t="str">
            <v>266 J</v>
          </cell>
          <cell r="B935"/>
          <cell r="C935">
            <v>45673</v>
          </cell>
          <cell r="D935" t="str">
            <v>OTHERS</v>
          </cell>
          <cell r="E935" t="str">
            <v>جیلانی پلاسٹک</v>
          </cell>
        </row>
        <row r="936">
          <cell r="A936" t="str">
            <v>267 J</v>
          </cell>
          <cell r="B936"/>
          <cell r="C936">
            <v>45673</v>
          </cell>
          <cell r="D936" t="str">
            <v>OTHERS</v>
          </cell>
          <cell r="E936" t="str">
            <v>جیلانی پلاسٹک</v>
          </cell>
        </row>
        <row r="937">
          <cell r="A937" t="str">
            <v>268 J</v>
          </cell>
          <cell r="B937"/>
          <cell r="C937">
            <v>45673</v>
          </cell>
          <cell r="D937" t="str">
            <v>OTHERS</v>
          </cell>
          <cell r="E937" t="str">
            <v>جیلانی پلاسٹک</v>
          </cell>
        </row>
        <row r="938">
          <cell r="A938" t="str">
            <v>269 J</v>
          </cell>
          <cell r="B938"/>
          <cell r="C938">
            <v>45673</v>
          </cell>
          <cell r="D938" t="str">
            <v>OTHERS</v>
          </cell>
          <cell r="E938" t="str">
            <v>جیلانی پلاسٹک</v>
          </cell>
        </row>
        <row r="939">
          <cell r="A939" t="str">
            <v>270 J</v>
          </cell>
          <cell r="B939"/>
          <cell r="C939">
            <v>45673</v>
          </cell>
          <cell r="D939" t="str">
            <v>OTHERS</v>
          </cell>
          <cell r="E939" t="str">
            <v>جیلانی پلاسٹک</v>
          </cell>
        </row>
        <row r="940">
          <cell r="A940" t="str">
            <v>271 J</v>
          </cell>
          <cell r="B940"/>
          <cell r="C940">
            <v>45673</v>
          </cell>
          <cell r="D940" t="str">
            <v>OTHERS</v>
          </cell>
          <cell r="E940" t="str">
            <v>جیلانی پلاسٹک</v>
          </cell>
        </row>
        <row r="941">
          <cell r="A941" t="str">
            <v>272 J</v>
          </cell>
          <cell r="B941"/>
          <cell r="C941">
            <v>45673</v>
          </cell>
          <cell r="D941" t="str">
            <v>OTHERS</v>
          </cell>
          <cell r="E941" t="str">
            <v>جیلانی پلاسٹک</v>
          </cell>
        </row>
        <row r="942">
          <cell r="A942" t="str">
            <v>273 J</v>
          </cell>
          <cell r="B942"/>
          <cell r="C942">
            <v>45673</v>
          </cell>
          <cell r="D942" t="str">
            <v>OTHERS</v>
          </cell>
          <cell r="E942" t="str">
            <v>جیلانی پلاسٹک</v>
          </cell>
        </row>
        <row r="943">
          <cell r="A943" t="str">
            <v>274 J</v>
          </cell>
          <cell r="B943"/>
          <cell r="C943">
            <v>45673</v>
          </cell>
          <cell r="D943" t="str">
            <v>OTHERS</v>
          </cell>
          <cell r="E943" t="str">
            <v>جیلانی پلاسٹک</v>
          </cell>
        </row>
        <row r="944">
          <cell r="A944" t="str">
            <v>275 J</v>
          </cell>
          <cell r="B944"/>
          <cell r="C944">
            <v>45673</v>
          </cell>
          <cell r="D944" t="str">
            <v>OTHERS</v>
          </cell>
          <cell r="E944" t="str">
            <v>جیلانی پلاسٹک</v>
          </cell>
        </row>
        <row r="945">
          <cell r="A945" t="str">
            <v>276 J</v>
          </cell>
          <cell r="B945"/>
          <cell r="C945">
            <v>45673</v>
          </cell>
          <cell r="D945" t="str">
            <v>OTHERS</v>
          </cell>
          <cell r="E945" t="str">
            <v>جیلانی پلاسٹک</v>
          </cell>
        </row>
        <row r="946">
          <cell r="A946" t="str">
            <v>277 J</v>
          </cell>
          <cell r="B946"/>
          <cell r="C946">
            <v>45673</v>
          </cell>
          <cell r="D946" t="str">
            <v>OTHERS</v>
          </cell>
          <cell r="E946" t="str">
            <v>جیلانی پلاسٹک</v>
          </cell>
        </row>
        <row r="947">
          <cell r="A947" t="str">
            <v>278 J</v>
          </cell>
          <cell r="B947"/>
          <cell r="C947">
            <v>45673</v>
          </cell>
          <cell r="D947" t="str">
            <v>OTHERS</v>
          </cell>
          <cell r="E947" t="str">
            <v>جیلانی پلاسٹک</v>
          </cell>
        </row>
        <row r="948">
          <cell r="A948" t="str">
            <v>279 J</v>
          </cell>
          <cell r="B948"/>
          <cell r="C948">
            <v>45673</v>
          </cell>
          <cell r="D948" t="str">
            <v>OTHERS</v>
          </cell>
          <cell r="E948" t="str">
            <v>جیلانی پلاسٹک</v>
          </cell>
        </row>
        <row r="949">
          <cell r="A949" t="str">
            <v>280 J</v>
          </cell>
          <cell r="B949"/>
          <cell r="C949">
            <v>45673</v>
          </cell>
          <cell r="D949" t="str">
            <v>OTHERS</v>
          </cell>
          <cell r="E949" t="str">
            <v>جیلانی پلاسٹک</v>
          </cell>
        </row>
        <row r="950">
          <cell r="A950" t="str">
            <v>281 J</v>
          </cell>
          <cell r="B950"/>
          <cell r="C950">
            <v>45673</v>
          </cell>
          <cell r="D950" t="str">
            <v>OTHERS</v>
          </cell>
          <cell r="E950" t="str">
            <v>جیلانی پلاسٹک</v>
          </cell>
        </row>
        <row r="951">
          <cell r="A951" t="str">
            <v>282 J</v>
          </cell>
          <cell r="B951"/>
          <cell r="C951">
            <v>45673</v>
          </cell>
          <cell r="D951" t="str">
            <v>OTHERS</v>
          </cell>
          <cell r="E951" t="str">
            <v>جیلانی پلاسٹک</v>
          </cell>
        </row>
        <row r="952">
          <cell r="A952" t="str">
            <v>283 J</v>
          </cell>
          <cell r="B952"/>
          <cell r="C952">
            <v>45673</v>
          </cell>
          <cell r="D952" t="str">
            <v>OTHERS</v>
          </cell>
          <cell r="E952" t="str">
            <v>جیلانی پلاسٹک</v>
          </cell>
        </row>
        <row r="953">
          <cell r="A953" t="str">
            <v>284 J</v>
          </cell>
          <cell r="B953"/>
          <cell r="C953">
            <v>45673</v>
          </cell>
          <cell r="D953" t="str">
            <v>OTHERS</v>
          </cell>
          <cell r="E953" t="str">
            <v xml:space="preserve">جیلانی پلاسٹک </v>
          </cell>
        </row>
        <row r="954">
          <cell r="A954" t="str">
            <v>285 J</v>
          </cell>
          <cell r="B954">
            <v>10995</v>
          </cell>
          <cell r="C954">
            <v>45673</v>
          </cell>
          <cell r="D954" t="str">
            <v>JILANI</v>
          </cell>
          <cell r="E954" t="str">
            <v>ایکو پاور الیکٹرانک مردان</v>
          </cell>
        </row>
        <row r="955">
          <cell r="A955" t="str">
            <v>286 J</v>
          </cell>
          <cell r="B955">
            <v>10996</v>
          </cell>
          <cell r="C955">
            <v>45673</v>
          </cell>
          <cell r="D955" t="str">
            <v>JILANI</v>
          </cell>
          <cell r="E955" t="str">
            <v>زمرد کلاتھ ہاؤس سرائے عالمگیر</v>
          </cell>
        </row>
        <row r="956">
          <cell r="A956" t="str">
            <v>287 J</v>
          </cell>
          <cell r="B956">
            <v>10997</v>
          </cell>
          <cell r="C956">
            <v>45673</v>
          </cell>
          <cell r="D956" t="str">
            <v>JILANI</v>
          </cell>
          <cell r="E956" t="str">
            <v>چوہدری سویٹس سلانوالی</v>
          </cell>
        </row>
        <row r="957">
          <cell r="A957" t="str">
            <v>288 J</v>
          </cell>
          <cell r="B957">
            <v>10997</v>
          </cell>
          <cell r="C957">
            <v>45673</v>
          </cell>
          <cell r="D957" t="str">
            <v>JILANI</v>
          </cell>
          <cell r="E957" t="str">
            <v>چوہدری سویٹس سلانوالی</v>
          </cell>
        </row>
        <row r="958">
          <cell r="A958" t="str">
            <v>289 J</v>
          </cell>
          <cell r="B958">
            <v>10998</v>
          </cell>
          <cell r="C958">
            <v>45673</v>
          </cell>
          <cell r="D958" t="str">
            <v>JILANI</v>
          </cell>
          <cell r="E958" t="str">
            <v>عالم پرنٹرز بٹ خیلہ</v>
          </cell>
        </row>
        <row r="959">
          <cell r="A959" t="str">
            <v>290 J</v>
          </cell>
          <cell r="B959">
            <v>10999</v>
          </cell>
          <cell r="C959">
            <v>45673</v>
          </cell>
          <cell r="D959" t="str">
            <v>JILANI</v>
          </cell>
          <cell r="E959" t="str">
            <v>عالم پرنٹرز بٹ خیلہ</v>
          </cell>
        </row>
        <row r="960">
          <cell r="A960" t="str">
            <v>291 J</v>
          </cell>
          <cell r="B960">
            <v>10999</v>
          </cell>
          <cell r="C960">
            <v>45673</v>
          </cell>
          <cell r="D960" t="str">
            <v>JILANI</v>
          </cell>
          <cell r="E960" t="str">
            <v>عالم پرنٹرز بٹ خیلہ</v>
          </cell>
        </row>
        <row r="961">
          <cell r="A961" t="str">
            <v>292 J</v>
          </cell>
          <cell r="B961">
            <v>10999</v>
          </cell>
          <cell r="C961">
            <v>45673</v>
          </cell>
          <cell r="D961" t="str">
            <v>JILANI</v>
          </cell>
          <cell r="E961" t="str">
            <v>عالم پرنٹرز بٹ خیلہ</v>
          </cell>
        </row>
        <row r="962">
          <cell r="A962" t="str">
            <v>293 J</v>
          </cell>
          <cell r="B962">
            <v>11000</v>
          </cell>
          <cell r="C962">
            <v>45673</v>
          </cell>
          <cell r="D962" t="str">
            <v>JILANI</v>
          </cell>
          <cell r="E962" t="str">
            <v>عالم پرنٹرز بٹ خیلہ</v>
          </cell>
        </row>
        <row r="963">
          <cell r="A963" t="str">
            <v>294 J</v>
          </cell>
          <cell r="B963">
            <v>11000</v>
          </cell>
          <cell r="C963">
            <v>45673</v>
          </cell>
          <cell r="D963" t="str">
            <v>JILANI</v>
          </cell>
          <cell r="E963" t="str">
            <v>عالم پرنٹرز بٹ خیلہ</v>
          </cell>
        </row>
        <row r="964">
          <cell r="A964" t="str">
            <v>295 J</v>
          </cell>
          <cell r="B964">
            <v>11000</v>
          </cell>
          <cell r="C964">
            <v>45673</v>
          </cell>
          <cell r="D964" t="str">
            <v>JILANI</v>
          </cell>
          <cell r="E964" t="str">
            <v>عالم پرنٹرز بٹ خیلہ</v>
          </cell>
        </row>
        <row r="965">
          <cell r="A965" t="str">
            <v>296 J</v>
          </cell>
          <cell r="B965">
            <v>11001</v>
          </cell>
          <cell r="C965">
            <v>45673</v>
          </cell>
          <cell r="D965" t="str">
            <v>JILANI</v>
          </cell>
          <cell r="E965" t="str">
            <v>عالم پرنٹرز بٹ خیلہ</v>
          </cell>
        </row>
        <row r="966">
          <cell r="A966" t="str">
            <v>297 J</v>
          </cell>
          <cell r="B966">
            <v>11001</v>
          </cell>
          <cell r="C966">
            <v>45673</v>
          </cell>
          <cell r="D966" t="str">
            <v>JILANI</v>
          </cell>
          <cell r="E966" t="str">
            <v>عالم پرنٹرز بٹ خیلہ</v>
          </cell>
        </row>
        <row r="967">
          <cell r="A967" t="str">
            <v>298 J</v>
          </cell>
          <cell r="B967">
            <v>11001</v>
          </cell>
          <cell r="C967">
            <v>45673</v>
          </cell>
          <cell r="D967" t="str">
            <v>JILANI</v>
          </cell>
          <cell r="E967" t="str">
            <v>عالم پرنٹرز بٹ خیلہ</v>
          </cell>
        </row>
        <row r="968">
          <cell r="A968" t="str">
            <v>299 J</v>
          </cell>
          <cell r="B968">
            <v>11002</v>
          </cell>
          <cell r="C968">
            <v>45673</v>
          </cell>
          <cell r="D968" t="str">
            <v>JILANI</v>
          </cell>
          <cell r="E968" t="str">
            <v>ولایت بٹ لالہ موسی</v>
          </cell>
        </row>
        <row r="969">
          <cell r="A969" t="str">
            <v>300 J</v>
          </cell>
          <cell r="B969">
            <v>11002</v>
          </cell>
          <cell r="C969">
            <v>45673</v>
          </cell>
          <cell r="D969" t="str">
            <v>JILANI</v>
          </cell>
          <cell r="E969" t="str">
            <v>ولایت بٹ لالہ موسی</v>
          </cell>
        </row>
        <row r="970">
          <cell r="A970" t="str">
            <v>301 J</v>
          </cell>
          <cell r="B970">
            <v>11002</v>
          </cell>
          <cell r="C970">
            <v>45673</v>
          </cell>
          <cell r="D970" t="str">
            <v>JILANI</v>
          </cell>
          <cell r="E970" t="str">
            <v>ولایت بٹ لالہ موسی</v>
          </cell>
        </row>
        <row r="971">
          <cell r="A971" t="str">
            <v>302 J</v>
          </cell>
          <cell r="B971">
            <v>11002</v>
          </cell>
          <cell r="C971">
            <v>45673</v>
          </cell>
          <cell r="D971" t="str">
            <v>JILANI</v>
          </cell>
          <cell r="E971" t="str">
            <v>ولایت بٹ لالہ موسی</v>
          </cell>
        </row>
        <row r="972">
          <cell r="A972" t="str">
            <v>303 J</v>
          </cell>
          <cell r="B972">
            <v>11003</v>
          </cell>
          <cell r="C972">
            <v>45673</v>
          </cell>
          <cell r="D972" t="str">
            <v>JILANI</v>
          </cell>
          <cell r="E972" t="str">
            <v>عرفان صاحب اعظم مارکیٹ</v>
          </cell>
        </row>
        <row r="973">
          <cell r="A973" t="str">
            <v>304 J</v>
          </cell>
          <cell r="B973">
            <v>11003</v>
          </cell>
          <cell r="C973">
            <v>45673</v>
          </cell>
          <cell r="D973" t="str">
            <v>JILANI</v>
          </cell>
          <cell r="E973" t="str">
            <v>عرفان صاحب اعظم مارکیٹ</v>
          </cell>
        </row>
        <row r="974">
          <cell r="A974" t="str">
            <v>305 J</v>
          </cell>
          <cell r="B974">
            <v>11003</v>
          </cell>
          <cell r="C974">
            <v>45673</v>
          </cell>
          <cell r="D974" t="str">
            <v>JILANI</v>
          </cell>
          <cell r="E974" t="str">
            <v>عرفان صاحب اعظم مارکیٹ</v>
          </cell>
        </row>
        <row r="975">
          <cell r="A975" t="str">
            <v>306 J</v>
          </cell>
          <cell r="B975">
            <v>11003</v>
          </cell>
          <cell r="C975">
            <v>45673</v>
          </cell>
          <cell r="D975" t="str">
            <v>JILANI</v>
          </cell>
          <cell r="E975" t="str">
            <v>عرفان صاحب اعظم مارکیٹ</v>
          </cell>
        </row>
        <row r="976">
          <cell r="A976" t="str">
            <v>307 J</v>
          </cell>
          <cell r="B976">
            <v>11003</v>
          </cell>
          <cell r="C976">
            <v>45673</v>
          </cell>
          <cell r="D976" t="str">
            <v>JILANI</v>
          </cell>
          <cell r="E976" t="str">
            <v>عرفان صاحب اعظم مارکیٹ</v>
          </cell>
        </row>
        <row r="977">
          <cell r="A977" t="str">
            <v>308 J</v>
          </cell>
          <cell r="B977">
            <v>11004</v>
          </cell>
          <cell r="C977">
            <v>45673</v>
          </cell>
          <cell r="D977" t="str">
            <v>JILANI</v>
          </cell>
          <cell r="E977" t="str">
            <v>کے بی بزنس سروس</v>
          </cell>
        </row>
        <row r="978">
          <cell r="A978" t="str">
            <v>309 J</v>
          </cell>
          <cell r="B978">
            <v>11005</v>
          </cell>
          <cell r="C978">
            <v>45673</v>
          </cell>
          <cell r="D978" t="str">
            <v>JILANI</v>
          </cell>
          <cell r="E978" t="str">
            <v>حماد پلاسٹک گوجرانوالہ</v>
          </cell>
        </row>
        <row r="979">
          <cell r="A979" t="str">
            <v>310 J</v>
          </cell>
          <cell r="B979">
            <v>11006</v>
          </cell>
          <cell r="C979">
            <v>45673</v>
          </cell>
          <cell r="D979" t="str">
            <v>JILANI</v>
          </cell>
          <cell r="E979" t="str">
            <v>نظر قمر پلاسٹک C/Oصابر پلاسٹک شاہدرہ</v>
          </cell>
        </row>
        <row r="980">
          <cell r="A980" t="str">
            <v>311 J</v>
          </cell>
          <cell r="B980">
            <v>11006</v>
          </cell>
          <cell r="C980">
            <v>45673</v>
          </cell>
          <cell r="D980" t="str">
            <v>JILANI</v>
          </cell>
          <cell r="E980" t="str">
            <v>نظر قمر پلاسٹک C/Oصابر پلاسٹک شاہدرہ</v>
          </cell>
        </row>
        <row r="981">
          <cell r="A981" t="str">
            <v>312 J</v>
          </cell>
          <cell r="B981">
            <v>11006</v>
          </cell>
          <cell r="C981">
            <v>45673</v>
          </cell>
          <cell r="D981" t="str">
            <v>JILANI</v>
          </cell>
          <cell r="E981" t="str">
            <v>نظر قمر پلاسٹک C/Oصابر پلاسٹک شاہدرہ</v>
          </cell>
        </row>
        <row r="982">
          <cell r="A982" t="str">
            <v>313 J</v>
          </cell>
          <cell r="B982">
            <v>11006</v>
          </cell>
          <cell r="C982">
            <v>45673</v>
          </cell>
          <cell r="D982" t="str">
            <v>JILANI</v>
          </cell>
          <cell r="E982" t="str">
            <v>نظر قمر پلاسٹک C/Oصابر پلاسٹک شاہدرہ</v>
          </cell>
        </row>
        <row r="983">
          <cell r="A983" t="str">
            <v>314 J</v>
          </cell>
          <cell r="B983">
            <v>11006</v>
          </cell>
          <cell r="C983">
            <v>45673</v>
          </cell>
          <cell r="D983" t="str">
            <v>JILANI</v>
          </cell>
          <cell r="E983" t="str">
            <v>نظر قمر پلاسٹک C/Oصابر پلاسٹک شاہدرہ</v>
          </cell>
        </row>
        <row r="984">
          <cell r="A984" t="str">
            <v>315 J</v>
          </cell>
          <cell r="B984">
            <v>11007</v>
          </cell>
          <cell r="C984">
            <v>45673</v>
          </cell>
          <cell r="D984" t="str">
            <v>JILANI</v>
          </cell>
          <cell r="E984" t="str">
            <v>چوہدری سویٹس سلانوالی</v>
          </cell>
        </row>
        <row r="985">
          <cell r="A985" t="str">
            <v>316 J</v>
          </cell>
          <cell r="B985">
            <v>11008</v>
          </cell>
          <cell r="C985">
            <v>45673</v>
          </cell>
          <cell r="D985" t="str">
            <v>JILANI</v>
          </cell>
          <cell r="E985" t="str">
            <v>فینسی گارمنٹس کامونکی</v>
          </cell>
        </row>
        <row r="986">
          <cell r="A986" t="str">
            <v>317 J</v>
          </cell>
          <cell r="B986">
            <v>11008</v>
          </cell>
          <cell r="C986">
            <v>45673</v>
          </cell>
          <cell r="D986" t="str">
            <v>JILANI</v>
          </cell>
          <cell r="E986" t="str">
            <v>فینسی گارمنٹس کامونکی</v>
          </cell>
        </row>
        <row r="987">
          <cell r="A987" t="str">
            <v>318 J</v>
          </cell>
          <cell r="B987">
            <v>11009</v>
          </cell>
          <cell r="C987">
            <v>45673</v>
          </cell>
          <cell r="D987" t="str">
            <v>JILANI</v>
          </cell>
          <cell r="E987" t="str">
            <v>اے ایس کے فارمرزلاہور</v>
          </cell>
        </row>
        <row r="988">
          <cell r="A988" t="str">
            <v>319 J</v>
          </cell>
          <cell r="B988">
            <v>11009</v>
          </cell>
          <cell r="C988">
            <v>45673</v>
          </cell>
          <cell r="D988" t="str">
            <v>JILANI</v>
          </cell>
          <cell r="E988" t="str">
            <v>اے ایس کے فارمرزلاہور</v>
          </cell>
        </row>
        <row r="989">
          <cell r="A989" t="str">
            <v>320 J</v>
          </cell>
          <cell r="B989">
            <v>11010</v>
          </cell>
          <cell r="C989">
            <v>45673</v>
          </cell>
          <cell r="D989" t="str">
            <v>JILANI</v>
          </cell>
          <cell r="E989" t="str">
            <v>پنجاب پرنٹرز حافظ آباد</v>
          </cell>
        </row>
        <row r="990">
          <cell r="A990" t="str">
            <v>321 J</v>
          </cell>
          <cell r="B990">
            <v>11011</v>
          </cell>
          <cell r="C990">
            <v>45673</v>
          </cell>
          <cell r="D990" t="str">
            <v>JILANI</v>
          </cell>
          <cell r="E990" t="str">
            <v>زبیدہ ایسوسی ایٹس پرائیویٹ لمیٹڈ</v>
          </cell>
        </row>
        <row r="991">
          <cell r="A991" t="str">
            <v>322 J</v>
          </cell>
          <cell r="B991">
            <v>11012</v>
          </cell>
          <cell r="C991">
            <v>45673</v>
          </cell>
          <cell r="D991" t="str">
            <v>JILANI</v>
          </cell>
          <cell r="E991" t="str">
            <v>خالد پرنٹرز لاہور</v>
          </cell>
        </row>
        <row r="992">
          <cell r="A992" t="str">
            <v>323 J</v>
          </cell>
          <cell r="B992">
            <v>11013</v>
          </cell>
          <cell r="C992">
            <v>45673</v>
          </cell>
          <cell r="D992" t="str">
            <v>JILANI</v>
          </cell>
          <cell r="E992" t="str">
            <v>ہینڈ پروٹیکشن انٹرنیشنل سیالکوٹ</v>
          </cell>
        </row>
        <row r="993">
          <cell r="A993" t="str">
            <v>324 J</v>
          </cell>
          <cell r="B993">
            <v>11013</v>
          </cell>
          <cell r="C993">
            <v>45673</v>
          </cell>
          <cell r="D993" t="str">
            <v>JILANI</v>
          </cell>
          <cell r="E993" t="str">
            <v>ہینڈ پروٹیکشن انٹرنیشنل سیالکوٹ</v>
          </cell>
        </row>
        <row r="994">
          <cell r="A994" t="str">
            <v>325 J</v>
          </cell>
          <cell r="B994">
            <v>11013</v>
          </cell>
          <cell r="C994">
            <v>45673</v>
          </cell>
          <cell r="D994" t="str">
            <v>JILANI</v>
          </cell>
          <cell r="E994" t="str">
            <v>ہینڈ پروٹیکشن انٹرنیشنل سیالکوٹ</v>
          </cell>
        </row>
        <row r="995">
          <cell r="A995" t="str">
            <v>326 J</v>
          </cell>
          <cell r="B995">
            <v>11013</v>
          </cell>
          <cell r="C995">
            <v>45673</v>
          </cell>
          <cell r="D995" t="str">
            <v>JILANI</v>
          </cell>
          <cell r="E995" t="str">
            <v>ہینڈ پروٹیکشن انٹرنیشنل سیالکوٹ</v>
          </cell>
        </row>
        <row r="996">
          <cell r="A996" t="str">
            <v>327 J</v>
          </cell>
          <cell r="B996">
            <v>11013</v>
          </cell>
          <cell r="C996">
            <v>45673</v>
          </cell>
          <cell r="D996" t="str">
            <v>JILANI</v>
          </cell>
          <cell r="E996" t="str">
            <v>ہینڈ پروٹیکشن انٹرنیشنل سیالکوٹ</v>
          </cell>
        </row>
        <row r="997">
          <cell r="A997" t="str">
            <v>328 J</v>
          </cell>
          <cell r="B997">
            <v>11014</v>
          </cell>
          <cell r="C997">
            <v>45674</v>
          </cell>
          <cell r="D997" t="str">
            <v>JILANI</v>
          </cell>
          <cell r="E997" t="str">
            <v>سلیمانی دواخانہ اردو بازار</v>
          </cell>
        </row>
        <row r="998">
          <cell r="A998" t="str">
            <v>329 J</v>
          </cell>
          <cell r="B998">
            <v>11014</v>
          </cell>
          <cell r="C998">
            <v>45674</v>
          </cell>
          <cell r="D998" t="str">
            <v>JILANI</v>
          </cell>
          <cell r="E998" t="str">
            <v>سلیمانی دواخانہ اردو بازار</v>
          </cell>
        </row>
        <row r="999">
          <cell r="A999" t="str">
            <v>330 J</v>
          </cell>
          <cell r="B999">
            <v>11015</v>
          </cell>
          <cell r="C999">
            <v>45674</v>
          </cell>
          <cell r="D999" t="str">
            <v>JILANI</v>
          </cell>
          <cell r="E999" t="str">
            <v>پریمیم ملٹی شاہ عالم لاہور</v>
          </cell>
        </row>
        <row r="1000">
          <cell r="A1000" t="str">
            <v>331 J</v>
          </cell>
          <cell r="B1000">
            <v>11016</v>
          </cell>
          <cell r="C1000">
            <v>45674</v>
          </cell>
          <cell r="D1000" t="str">
            <v>JILANI</v>
          </cell>
          <cell r="E1000" t="str">
            <v>عالم پرنٹرز بٹ خیلہ</v>
          </cell>
        </row>
        <row r="1001">
          <cell r="A1001" t="str">
            <v>332 J</v>
          </cell>
          <cell r="B1001">
            <v>11017</v>
          </cell>
          <cell r="C1001">
            <v>45674</v>
          </cell>
          <cell r="D1001" t="str">
            <v>JILANI</v>
          </cell>
          <cell r="E1001" t="str">
            <v>زبیر شاہ لاہور</v>
          </cell>
        </row>
        <row r="1002">
          <cell r="A1002" t="str">
            <v>333 J</v>
          </cell>
          <cell r="B1002">
            <v>11018</v>
          </cell>
          <cell r="C1002">
            <v>45674</v>
          </cell>
          <cell r="D1002" t="str">
            <v>JILANI</v>
          </cell>
          <cell r="E1002" t="str">
            <v>ایم جے پلاسٹک پشاور</v>
          </cell>
        </row>
        <row r="1003">
          <cell r="A1003" t="str">
            <v>334 J</v>
          </cell>
          <cell r="B1003">
            <v>11019</v>
          </cell>
          <cell r="C1003">
            <v>45674</v>
          </cell>
          <cell r="D1003" t="str">
            <v>JILANI</v>
          </cell>
          <cell r="E1003" t="str">
            <v>فیضان شاپنگ سنٹراوکاڑہ</v>
          </cell>
        </row>
        <row r="1004">
          <cell r="A1004" t="str">
            <v>335 J</v>
          </cell>
          <cell r="B1004">
            <v>11020</v>
          </cell>
          <cell r="C1004">
            <v>45674</v>
          </cell>
          <cell r="D1004" t="str">
            <v>JILANI</v>
          </cell>
          <cell r="E1004" t="str">
            <v>ہائی کلاس بیکرز گجرات</v>
          </cell>
        </row>
        <row r="1005">
          <cell r="A1005" t="str">
            <v>336 J</v>
          </cell>
          <cell r="B1005">
            <v>11020</v>
          </cell>
          <cell r="C1005">
            <v>45674</v>
          </cell>
          <cell r="D1005" t="str">
            <v>JILANI</v>
          </cell>
          <cell r="E1005" t="str">
            <v>ہائی کلاس بیکرز گجرات</v>
          </cell>
        </row>
        <row r="1006">
          <cell r="A1006" t="str">
            <v>337 J</v>
          </cell>
          <cell r="B1006">
            <v>11021</v>
          </cell>
          <cell r="C1006">
            <v>45674</v>
          </cell>
          <cell r="D1006" t="str">
            <v>JILANI</v>
          </cell>
          <cell r="E1006" t="str">
            <v>وسیم شاپر ہاوس اعظم مارکیٹ</v>
          </cell>
        </row>
        <row r="1007">
          <cell r="A1007" t="str">
            <v>338 J</v>
          </cell>
          <cell r="B1007">
            <v>11022</v>
          </cell>
          <cell r="C1007">
            <v>45674</v>
          </cell>
          <cell r="D1007" t="str">
            <v>JILANI</v>
          </cell>
          <cell r="E1007" t="str">
            <v>وسیم شاپر ہاوس اعظم مارکیٹ</v>
          </cell>
        </row>
        <row r="1008">
          <cell r="A1008" t="str">
            <v>339 J</v>
          </cell>
          <cell r="B1008">
            <v>11023</v>
          </cell>
          <cell r="C1008">
            <v>45674</v>
          </cell>
          <cell r="D1008" t="str">
            <v>JILANI</v>
          </cell>
          <cell r="E1008" t="str">
            <v>وسیم شاپر ہاوس اعظم مارکیٹ</v>
          </cell>
        </row>
        <row r="1009">
          <cell r="A1009" t="str">
            <v>340 J</v>
          </cell>
          <cell r="B1009">
            <v>11024</v>
          </cell>
          <cell r="C1009">
            <v>45674</v>
          </cell>
          <cell r="D1009" t="str">
            <v>JILANI</v>
          </cell>
          <cell r="E1009" t="str">
            <v>اواری ہوٹل لاہور</v>
          </cell>
        </row>
        <row r="1010">
          <cell r="A1010" t="str">
            <v>241 R</v>
          </cell>
          <cell r="B1010">
            <v>603</v>
          </cell>
          <cell r="C1010">
            <v>45670</v>
          </cell>
          <cell r="D1010" t="str">
            <v>REFLECTPACK</v>
          </cell>
          <cell r="E1010" t="str">
            <v>ریفلیکٹ پیک</v>
          </cell>
        </row>
        <row r="1011">
          <cell r="A1011" t="str">
            <v>-</v>
          </cell>
          <cell r="B1011">
            <v>6512</v>
          </cell>
          <cell r="C1011">
            <v>45667</v>
          </cell>
          <cell r="D1011" t="str">
            <v>یونس صاحب</v>
          </cell>
          <cell r="E1011"/>
        </row>
        <row r="1012">
          <cell r="A1012" t="str">
            <v>6513/1</v>
          </cell>
          <cell r="B1012">
            <v>6513</v>
          </cell>
          <cell r="C1012">
            <v>45667</v>
          </cell>
          <cell r="D1012" t="str">
            <v>یونس صاحب</v>
          </cell>
          <cell r="E1012" t="str">
            <v>محبوب مقبول گوجرانوالہ</v>
          </cell>
        </row>
        <row r="1013">
          <cell r="A1013" t="str">
            <v>6513/2</v>
          </cell>
          <cell r="B1013">
            <v>6513</v>
          </cell>
          <cell r="C1013">
            <v>45667</v>
          </cell>
          <cell r="D1013" t="str">
            <v>یونس صاحب</v>
          </cell>
          <cell r="E1013" t="str">
            <v>محبوب مقبول گوجرانوالہ</v>
          </cell>
        </row>
        <row r="1014">
          <cell r="A1014" t="str">
            <v>6513/3</v>
          </cell>
          <cell r="B1014">
            <v>6513</v>
          </cell>
          <cell r="C1014">
            <v>45667</v>
          </cell>
          <cell r="D1014" t="str">
            <v>یونس صاحب</v>
          </cell>
          <cell r="E1014" t="str">
            <v>محبوب مقبول گوجرانوالہ</v>
          </cell>
        </row>
        <row r="1015">
          <cell r="A1015" t="str">
            <v>6513/4</v>
          </cell>
          <cell r="B1015">
            <v>6513</v>
          </cell>
          <cell r="C1015">
            <v>45667</v>
          </cell>
          <cell r="D1015" t="str">
            <v>یونس صاحب</v>
          </cell>
          <cell r="E1015" t="str">
            <v>محبوب مقبول گوجرانوالہ</v>
          </cell>
        </row>
        <row r="1016">
          <cell r="A1016" t="str">
            <v>6513/5</v>
          </cell>
          <cell r="B1016">
            <v>6513</v>
          </cell>
          <cell r="C1016">
            <v>45667</v>
          </cell>
          <cell r="D1016" t="str">
            <v>یونس صاحب</v>
          </cell>
          <cell r="E1016" t="str">
            <v>محبوب مقبول گوجرانوالہ</v>
          </cell>
        </row>
        <row r="1017">
          <cell r="A1017" t="str">
            <v>6513/6</v>
          </cell>
          <cell r="B1017">
            <v>6513</v>
          </cell>
          <cell r="C1017">
            <v>45667</v>
          </cell>
          <cell r="D1017" t="str">
            <v>یونس صاحب</v>
          </cell>
          <cell r="E1017" t="str">
            <v>محبوب مقبول گوجرانوالہ</v>
          </cell>
        </row>
        <row r="1018">
          <cell r="A1018" t="str">
            <v>6513/7</v>
          </cell>
          <cell r="B1018">
            <v>6513</v>
          </cell>
          <cell r="C1018">
            <v>45667</v>
          </cell>
          <cell r="D1018" t="str">
            <v>یونس صاحب</v>
          </cell>
          <cell r="E1018" t="str">
            <v>محبوب مقبول گوجرانوالہ</v>
          </cell>
        </row>
        <row r="1019">
          <cell r="A1019" t="str">
            <v>6513/8</v>
          </cell>
          <cell r="B1019">
            <v>6513</v>
          </cell>
          <cell r="C1019">
            <v>45667</v>
          </cell>
          <cell r="D1019" t="str">
            <v>یونس صاحب</v>
          </cell>
          <cell r="E1019" t="str">
            <v>محبوب مقبول گوجرانوالہ</v>
          </cell>
        </row>
        <row r="1020">
          <cell r="A1020" t="str">
            <v>6513/9</v>
          </cell>
          <cell r="B1020">
            <v>6513</v>
          </cell>
          <cell r="C1020">
            <v>45667</v>
          </cell>
          <cell r="D1020" t="str">
            <v>یونس صاحب</v>
          </cell>
          <cell r="E1020" t="str">
            <v>محبوب مقبول گوجرانوالہ</v>
          </cell>
        </row>
        <row r="1021">
          <cell r="A1021" t="str">
            <v>6514/1</v>
          </cell>
          <cell r="B1021">
            <v>6514</v>
          </cell>
          <cell r="C1021">
            <v>45670</v>
          </cell>
          <cell r="D1021" t="str">
            <v>یونس صاحب</v>
          </cell>
          <cell r="E1021" t="str">
            <v>ایم عمران پاکستان مارکیٹ</v>
          </cell>
        </row>
        <row r="1022">
          <cell r="A1022" t="str">
            <v>6514/2</v>
          </cell>
          <cell r="B1022">
            <v>6514</v>
          </cell>
          <cell r="C1022">
            <v>45670</v>
          </cell>
          <cell r="D1022" t="str">
            <v>یونس صاحب</v>
          </cell>
          <cell r="E1022" t="str">
            <v>ایم عمران پاکستان مارکیٹ</v>
          </cell>
        </row>
        <row r="1023">
          <cell r="A1023" t="str">
            <v>6515/1</v>
          </cell>
          <cell r="B1023">
            <v>6515</v>
          </cell>
          <cell r="C1023">
            <v>45670</v>
          </cell>
          <cell r="D1023" t="str">
            <v>یونس صاحب</v>
          </cell>
          <cell r="E1023" t="str">
            <v>عمران مشتاق پتوکی</v>
          </cell>
        </row>
        <row r="1024">
          <cell r="A1024" t="str">
            <v>6515/2</v>
          </cell>
          <cell r="B1024">
            <v>6515</v>
          </cell>
          <cell r="C1024">
            <v>45670</v>
          </cell>
          <cell r="D1024" t="str">
            <v>یونس صاحب</v>
          </cell>
          <cell r="E1024" t="str">
            <v>عمران مشتاق پتوکی</v>
          </cell>
        </row>
        <row r="1025">
          <cell r="A1025" t="str">
            <v>6515/3</v>
          </cell>
          <cell r="B1025">
            <v>6515</v>
          </cell>
          <cell r="C1025">
            <v>45670</v>
          </cell>
          <cell r="D1025" t="str">
            <v>یونس صاحب</v>
          </cell>
          <cell r="E1025" t="str">
            <v>عمران مشتاق پتوکی</v>
          </cell>
        </row>
        <row r="1026">
          <cell r="A1026" t="str">
            <v>6515/4</v>
          </cell>
          <cell r="B1026">
            <v>6515</v>
          </cell>
          <cell r="C1026">
            <v>45670</v>
          </cell>
          <cell r="D1026" t="str">
            <v>یونس صاحب</v>
          </cell>
          <cell r="E1026" t="str">
            <v>عمران مشتاق پتوکی</v>
          </cell>
        </row>
        <row r="1027">
          <cell r="A1027" t="str">
            <v>6515/5</v>
          </cell>
          <cell r="B1027">
            <v>6515</v>
          </cell>
          <cell r="C1027">
            <v>45670</v>
          </cell>
          <cell r="D1027" t="str">
            <v>یونس صاحب</v>
          </cell>
          <cell r="E1027" t="str">
            <v>عمران مشتاق پتوکی</v>
          </cell>
        </row>
        <row r="1028">
          <cell r="A1028" t="str">
            <v>6515/6</v>
          </cell>
          <cell r="B1028">
            <v>6515</v>
          </cell>
          <cell r="C1028">
            <v>45670</v>
          </cell>
          <cell r="D1028" t="str">
            <v>یونس صاحب</v>
          </cell>
          <cell r="E1028" t="str">
            <v>عمران مشتاق پتوکی</v>
          </cell>
        </row>
        <row r="1029">
          <cell r="A1029" t="str">
            <v>6515/7</v>
          </cell>
          <cell r="B1029">
            <v>6515</v>
          </cell>
          <cell r="C1029">
            <v>45670</v>
          </cell>
          <cell r="D1029" t="str">
            <v>یونس صاحب</v>
          </cell>
          <cell r="E1029" t="str">
            <v>عمران مشتاق پتوکی</v>
          </cell>
        </row>
        <row r="1030">
          <cell r="A1030" t="str">
            <v>6515/8</v>
          </cell>
          <cell r="B1030">
            <v>6515</v>
          </cell>
          <cell r="C1030">
            <v>45670</v>
          </cell>
          <cell r="D1030" t="str">
            <v>یونس صاحب</v>
          </cell>
          <cell r="E1030" t="str">
            <v>عمران مشتاق پتوکی</v>
          </cell>
        </row>
        <row r="1031">
          <cell r="A1031" t="str">
            <v>6515/9</v>
          </cell>
          <cell r="B1031">
            <v>6515</v>
          </cell>
          <cell r="C1031">
            <v>45670</v>
          </cell>
          <cell r="D1031" t="str">
            <v>یونس صاحب</v>
          </cell>
          <cell r="E1031" t="str">
            <v>عمران مشتاق پتوکی</v>
          </cell>
        </row>
        <row r="1032">
          <cell r="A1032" t="str">
            <v>6515/10</v>
          </cell>
          <cell r="B1032">
            <v>6515</v>
          </cell>
          <cell r="C1032">
            <v>45670</v>
          </cell>
          <cell r="D1032" t="str">
            <v>یونس صاحب</v>
          </cell>
          <cell r="E1032" t="str">
            <v>عمران مشتاق پتوکی</v>
          </cell>
        </row>
        <row r="1033">
          <cell r="A1033" t="str">
            <v>6516/1</v>
          </cell>
          <cell r="B1033">
            <v>6516</v>
          </cell>
          <cell r="C1033">
            <v>45670</v>
          </cell>
          <cell r="D1033" t="str">
            <v>یونس صاحب</v>
          </cell>
          <cell r="E1033" t="str">
            <v>جناح پیپر اردو بازار</v>
          </cell>
        </row>
        <row r="1034">
          <cell r="A1034" t="str">
            <v>6516/2</v>
          </cell>
          <cell r="B1034">
            <v>6516</v>
          </cell>
          <cell r="C1034">
            <v>45670</v>
          </cell>
          <cell r="D1034" t="str">
            <v>یونس صاحب</v>
          </cell>
          <cell r="E1034" t="str">
            <v>جناح پیپر اردو بازار</v>
          </cell>
        </row>
        <row r="1035">
          <cell r="A1035" t="str">
            <v>6517/1</v>
          </cell>
          <cell r="B1035">
            <v>6517</v>
          </cell>
          <cell r="C1035">
            <v>45670</v>
          </cell>
          <cell r="D1035" t="str">
            <v>یونس صاحب</v>
          </cell>
          <cell r="E1035" t="str">
            <v>حنان پلاسٹک فیصل آباد</v>
          </cell>
        </row>
        <row r="1036">
          <cell r="A1036" t="str">
            <v>6517/2</v>
          </cell>
          <cell r="B1036">
            <v>6517</v>
          </cell>
          <cell r="C1036">
            <v>45670</v>
          </cell>
          <cell r="D1036" t="str">
            <v>یونس صاحب</v>
          </cell>
          <cell r="E1036" t="str">
            <v>حنان پلاسٹک فیصل آباد</v>
          </cell>
        </row>
        <row r="1037">
          <cell r="A1037" t="str">
            <v>6518/1</v>
          </cell>
          <cell r="B1037">
            <v>6518</v>
          </cell>
          <cell r="C1037">
            <v>45670</v>
          </cell>
          <cell r="D1037" t="str">
            <v>یونس صاحب</v>
          </cell>
          <cell r="E1037" t="str">
            <v>حنان پلاسٹک فیصل آباد</v>
          </cell>
        </row>
        <row r="1038">
          <cell r="A1038" t="str">
            <v>6518/2</v>
          </cell>
          <cell r="B1038">
            <v>6518</v>
          </cell>
          <cell r="C1038">
            <v>45670</v>
          </cell>
          <cell r="D1038" t="str">
            <v>یونس صاحب</v>
          </cell>
          <cell r="E1038" t="str">
            <v>حنان پلاسٹک فیصل آباد</v>
          </cell>
        </row>
        <row r="1039">
          <cell r="A1039" t="str">
            <v>6518/3</v>
          </cell>
          <cell r="B1039">
            <v>6518</v>
          </cell>
          <cell r="C1039">
            <v>45670</v>
          </cell>
          <cell r="D1039" t="str">
            <v>یونس صاحب</v>
          </cell>
          <cell r="E1039" t="str">
            <v>حنان پلاسٹک فیصل آباد</v>
          </cell>
        </row>
        <row r="1040">
          <cell r="A1040" t="str">
            <v>6518/4</v>
          </cell>
          <cell r="B1040">
            <v>6518</v>
          </cell>
          <cell r="C1040">
            <v>45670</v>
          </cell>
          <cell r="D1040" t="str">
            <v>یونس صاحب</v>
          </cell>
          <cell r="E1040" t="str">
            <v>حنان پلاسٹک فیصل آباد</v>
          </cell>
        </row>
        <row r="1041">
          <cell r="A1041" t="str">
            <v>6518/5</v>
          </cell>
          <cell r="B1041">
            <v>6518</v>
          </cell>
          <cell r="C1041">
            <v>45670</v>
          </cell>
          <cell r="D1041" t="str">
            <v>یونس صاحب</v>
          </cell>
          <cell r="E1041" t="str">
            <v>حنان پلاسٹک فیصل آباد</v>
          </cell>
        </row>
        <row r="1042">
          <cell r="A1042" t="str">
            <v>6518/6</v>
          </cell>
          <cell r="B1042">
            <v>6518</v>
          </cell>
          <cell r="C1042">
            <v>45670</v>
          </cell>
          <cell r="D1042" t="str">
            <v>یونس صاحب</v>
          </cell>
          <cell r="E1042" t="str">
            <v>حنان پلاسٹک فیصل آباد</v>
          </cell>
        </row>
        <row r="1043">
          <cell r="A1043" t="str">
            <v>6518/7</v>
          </cell>
          <cell r="B1043">
            <v>6518</v>
          </cell>
          <cell r="C1043">
            <v>45670</v>
          </cell>
          <cell r="D1043" t="str">
            <v>یونس صاحب</v>
          </cell>
          <cell r="E1043" t="str">
            <v>حنان پلاسٹک فیصل آباد</v>
          </cell>
        </row>
        <row r="1044">
          <cell r="A1044" t="str">
            <v>6518/8</v>
          </cell>
          <cell r="B1044">
            <v>6518</v>
          </cell>
          <cell r="C1044">
            <v>45670</v>
          </cell>
          <cell r="D1044" t="str">
            <v>یونس صاحب</v>
          </cell>
          <cell r="E1044" t="str">
            <v>حنان پلاسٹک فیصل آباد</v>
          </cell>
        </row>
        <row r="1045">
          <cell r="A1045" t="str">
            <v>6518/9</v>
          </cell>
          <cell r="B1045">
            <v>6518</v>
          </cell>
          <cell r="C1045">
            <v>45670</v>
          </cell>
          <cell r="D1045" t="str">
            <v>یونس صاحب</v>
          </cell>
          <cell r="E1045" t="str">
            <v>حنان پلاسٹک فیصل آباد</v>
          </cell>
        </row>
        <row r="1046">
          <cell r="A1046" t="str">
            <v>6518/10</v>
          </cell>
          <cell r="B1046">
            <v>6518</v>
          </cell>
          <cell r="C1046">
            <v>45670</v>
          </cell>
          <cell r="D1046" t="str">
            <v>یونس صاحب</v>
          </cell>
          <cell r="E1046" t="str">
            <v>حنان پلاسٹک فیصل آباد</v>
          </cell>
        </row>
        <row r="1047">
          <cell r="A1047" t="str">
            <v>6518/11</v>
          </cell>
          <cell r="B1047">
            <v>6518</v>
          </cell>
          <cell r="C1047">
            <v>45670</v>
          </cell>
          <cell r="D1047" t="str">
            <v>یونس صاحب</v>
          </cell>
          <cell r="E1047" t="str">
            <v>حنان پلاسٹک فیصل آباد</v>
          </cell>
        </row>
        <row r="1048">
          <cell r="A1048" t="str">
            <v>6518/12</v>
          </cell>
          <cell r="B1048">
            <v>6518</v>
          </cell>
          <cell r="C1048">
            <v>45670</v>
          </cell>
          <cell r="D1048" t="str">
            <v>یونس صاحب</v>
          </cell>
          <cell r="E1048" t="str">
            <v>حنان پلاسٹک فیصل آباد</v>
          </cell>
        </row>
        <row r="1049">
          <cell r="A1049" t="str">
            <v>6518/13</v>
          </cell>
          <cell r="B1049">
            <v>6518</v>
          </cell>
          <cell r="C1049">
            <v>45670</v>
          </cell>
          <cell r="D1049" t="str">
            <v>یونس صاحب</v>
          </cell>
          <cell r="E1049" t="str">
            <v>حنان پلاسٹک فیصل آباد</v>
          </cell>
        </row>
        <row r="1050">
          <cell r="A1050" t="str">
            <v>6518/14</v>
          </cell>
          <cell r="B1050">
            <v>6518</v>
          </cell>
          <cell r="C1050">
            <v>45670</v>
          </cell>
          <cell r="D1050" t="str">
            <v>یونس صاحب</v>
          </cell>
          <cell r="E1050" t="str">
            <v>حنان پلاسٹک فیصل آباد</v>
          </cell>
        </row>
        <row r="1051">
          <cell r="A1051" t="str">
            <v>6518/15</v>
          </cell>
          <cell r="B1051">
            <v>6518</v>
          </cell>
          <cell r="C1051">
            <v>45670</v>
          </cell>
          <cell r="D1051" t="str">
            <v>یونس صاحب</v>
          </cell>
          <cell r="E1051" t="str">
            <v>حنان پلاسٹک فیصل آباد</v>
          </cell>
        </row>
        <row r="1052">
          <cell r="A1052" t="str">
            <v>6518/16</v>
          </cell>
          <cell r="B1052">
            <v>6518</v>
          </cell>
          <cell r="C1052">
            <v>45670</v>
          </cell>
          <cell r="D1052" t="str">
            <v>یونس صاحب</v>
          </cell>
          <cell r="E1052" t="str">
            <v>حنان پلاسٹک فیصل آباد</v>
          </cell>
        </row>
        <row r="1053">
          <cell r="A1053" t="str">
            <v>6519/1</v>
          </cell>
          <cell r="B1053">
            <v>6519</v>
          </cell>
          <cell r="C1053">
            <v>45670</v>
          </cell>
          <cell r="D1053" t="str">
            <v>یونس صاحب</v>
          </cell>
          <cell r="E1053" t="str">
            <v>ایم سلمان پاکستان مارکیٹ</v>
          </cell>
        </row>
        <row r="1054">
          <cell r="A1054" t="str">
            <v>6519/2</v>
          </cell>
          <cell r="B1054">
            <v>6519</v>
          </cell>
          <cell r="C1054">
            <v>45670</v>
          </cell>
          <cell r="D1054" t="str">
            <v>یونس صاحب</v>
          </cell>
          <cell r="E1054" t="str">
            <v>ایم سلمان پاکستان مارکیٹ</v>
          </cell>
        </row>
        <row r="1055">
          <cell r="A1055" t="str">
            <v>6520/1</v>
          </cell>
          <cell r="B1055">
            <v>6520</v>
          </cell>
          <cell r="C1055">
            <v>45671</v>
          </cell>
          <cell r="D1055" t="str">
            <v>یونس صاحب</v>
          </cell>
          <cell r="E1055" t="str">
            <v>محبوب مقبول گوجرانوالہ</v>
          </cell>
        </row>
        <row r="1056">
          <cell r="A1056" t="str">
            <v>6520/2</v>
          </cell>
          <cell r="B1056">
            <v>6520</v>
          </cell>
          <cell r="C1056">
            <v>45671</v>
          </cell>
          <cell r="D1056" t="str">
            <v>یونس صاحب</v>
          </cell>
          <cell r="E1056" t="str">
            <v>محبوب مقبول گوجرانوالہ</v>
          </cell>
        </row>
        <row r="1057">
          <cell r="A1057" t="str">
            <v>6520/3</v>
          </cell>
          <cell r="B1057">
            <v>6520</v>
          </cell>
          <cell r="C1057">
            <v>45671</v>
          </cell>
          <cell r="D1057" t="str">
            <v>یونس صاحب</v>
          </cell>
          <cell r="E1057" t="str">
            <v>محبوب مقبول گوجرانوالہ</v>
          </cell>
        </row>
        <row r="1058">
          <cell r="A1058" t="str">
            <v>6520/4</v>
          </cell>
          <cell r="B1058">
            <v>6520</v>
          </cell>
          <cell r="C1058">
            <v>45671</v>
          </cell>
          <cell r="D1058" t="str">
            <v>یونس صاحب</v>
          </cell>
          <cell r="E1058" t="str">
            <v>محبوب مقبول گوجرانوالہ</v>
          </cell>
        </row>
        <row r="1059">
          <cell r="A1059" t="str">
            <v>6520/5</v>
          </cell>
          <cell r="B1059">
            <v>6520</v>
          </cell>
          <cell r="C1059">
            <v>45671</v>
          </cell>
          <cell r="D1059" t="str">
            <v>یونس صاحب</v>
          </cell>
          <cell r="E1059" t="str">
            <v>محبوب مقبول گوجرانوالہ</v>
          </cell>
        </row>
        <row r="1060">
          <cell r="A1060" t="str">
            <v>6520/6</v>
          </cell>
          <cell r="B1060">
            <v>6520</v>
          </cell>
          <cell r="C1060">
            <v>45671</v>
          </cell>
          <cell r="D1060" t="str">
            <v>یونس صاحب</v>
          </cell>
          <cell r="E1060" t="str">
            <v>محبوب مقبول گوجرانوالہ</v>
          </cell>
        </row>
        <row r="1061">
          <cell r="A1061" t="str">
            <v>6520/7</v>
          </cell>
          <cell r="B1061">
            <v>6520</v>
          </cell>
          <cell r="C1061">
            <v>45671</v>
          </cell>
          <cell r="D1061" t="str">
            <v>یونس صاحب</v>
          </cell>
          <cell r="E1061" t="str">
            <v>محبوب مقبول گوجرانوالہ</v>
          </cell>
        </row>
        <row r="1062">
          <cell r="A1062" t="str">
            <v>6520/8</v>
          </cell>
          <cell r="B1062">
            <v>6520</v>
          </cell>
          <cell r="C1062">
            <v>45671</v>
          </cell>
          <cell r="D1062" t="str">
            <v>یونس صاحب</v>
          </cell>
          <cell r="E1062" t="str">
            <v>محبوب مقبول گوجرانوالہ</v>
          </cell>
        </row>
        <row r="1063">
          <cell r="A1063" t="str">
            <v>6520/9</v>
          </cell>
          <cell r="B1063">
            <v>6520</v>
          </cell>
          <cell r="C1063">
            <v>45671</v>
          </cell>
          <cell r="D1063" t="str">
            <v>یونس صاحب</v>
          </cell>
          <cell r="E1063" t="str">
            <v>محبوب مقبول گوجرانوالہ</v>
          </cell>
        </row>
        <row r="1064">
          <cell r="A1064" t="str">
            <v>6520/10</v>
          </cell>
          <cell r="B1064">
            <v>6520</v>
          </cell>
          <cell r="C1064">
            <v>45671</v>
          </cell>
          <cell r="D1064" t="str">
            <v>یونس صاحب</v>
          </cell>
          <cell r="E1064" t="str">
            <v>محبوب مقبول گوجرانوالہ</v>
          </cell>
        </row>
        <row r="1065">
          <cell r="A1065" t="str">
            <v>6520/11</v>
          </cell>
          <cell r="B1065">
            <v>6520</v>
          </cell>
          <cell r="C1065">
            <v>45671</v>
          </cell>
          <cell r="D1065" t="str">
            <v>یونس صاحب</v>
          </cell>
          <cell r="E1065" t="str">
            <v>محبوب مقبول گوجرانوالہ</v>
          </cell>
        </row>
        <row r="1066">
          <cell r="A1066" t="str">
            <v>6520/12</v>
          </cell>
          <cell r="B1066">
            <v>6520</v>
          </cell>
          <cell r="C1066">
            <v>45671</v>
          </cell>
          <cell r="D1066" t="str">
            <v>یونس صاحب</v>
          </cell>
          <cell r="E1066" t="str">
            <v>محبوب مقبول گوجرانوالہ</v>
          </cell>
        </row>
        <row r="1067">
          <cell r="A1067" t="str">
            <v>6520/13</v>
          </cell>
          <cell r="B1067">
            <v>6520</v>
          </cell>
          <cell r="C1067">
            <v>45671</v>
          </cell>
          <cell r="D1067" t="str">
            <v>یونس صاحب</v>
          </cell>
          <cell r="E1067" t="str">
            <v>محبوب مقبول گوجرانوالہ</v>
          </cell>
        </row>
        <row r="1068">
          <cell r="A1068" t="str">
            <v>6520/14</v>
          </cell>
          <cell r="B1068">
            <v>6520</v>
          </cell>
          <cell r="C1068">
            <v>45671</v>
          </cell>
          <cell r="D1068" t="str">
            <v>یونس صاحب</v>
          </cell>
          <cell r="E1068" t="str">
            <v>محبوب مقبول گوجرانوالہ</v>
          </cell>
        </row>
        <row r="1069">
          <cell r="A1069" t="str">
            <v>6520/15</v>
          </cell>
          <cell r="B1069">
            <v>6520</v>
          </cell>
          <cell r="C1069">
            <v>45671</v>
          </cell>
          <cell r="D1069" t="str">
            <v>یونس صاحب</v>
          </cell>
          <cell r="E1069" t="str">
            <v>محبوب مقبول گوجرانوالہ</v>
          </cell>
        </row>
        <row r="1070">
          <cell r="A1070" t="str">
            <v>6521/1</v>
          </cell>
          <cell r="B1070">
            <v>6521</v>
          </cell>
          <cell r="C1070">
            <v>45671</v>
          </cell>
          <cell r="D1070" t="str">
            <v>یونس صاحب</v>
          </cell>
          <cell r="E1070" t="str">
            <v>قدیرپلاسٹک فیصل آباد</v>
          </cell>
        </row>
        <row r="1071">
          <cell r="A1071" t="str">
            <v>6521/2</v>
          </cell>
          <cell r="B1071">
            <v>6521</v>
          </cell>
          <cell r="C1071">
            <v>45671</v>
          </cell>
          <cell r="D1071" t="str">
            <v>یونس صاحب</v>
          </cell>
          <cell r="E1071" t="str">
            <v>قدیرپلاسٹک فیصل آباد</v>
          </cell>
        </row>
        <row r="1072">
          <cell r="A1072" t="str">
            <v>6521/3</v>
          </cell>
          <cell r="B1072">
            <v>6521</v>
          </cell>
          <cell r="C1072">
            <v>45671</v>
          </cell>
          <cell r="D1072" t="str">
            <v>یونس صاحب</v>
          </cell>
          <cell r="E1072" t="str">
            <v>قدیرپلاسٹک فیصل آباد</v>
          </cell>
        </row>
        <row r="1073">
          <cell r="A1073" t="str">
            <v>6521/4</v>
          </cell>
          <cell r="B1073">
            <v>6521</v>
          </cell>
          <cell r="C1073">
            <v>45671</v>
          </cell>
          <cell r="D1073" t="str">
            <v>یونس صاحب</v>
          </cell>
          <cell r="E1073" t="str">
            <v>قدیرپلاسٹک فیصل آباد</v>
          </cell>
        </row>
        <row r="1074">
          <cell r="A1074" t="str">
            <v>6521/5</v>
          </cell>
          <cell r="B1074">
            <v>6521</v>
          </cell>
          <cell r="C1074">
            <v>45671</v>
          </cell>
          <cell r="D1074" t="str">
            <v>یونس صاحب</v>
          </cell>
          <cell r="E1074" t="str">
            <v>قدیرپلاسٹک فیصل آباد</v>
          </cell>
        </row>
        <row r="1075">
          <cell r="A1075" t="str">
            <v>6521/6</v>
          </cell>
          <cell r="B1075">
            <v>6521</v>
          </cell>
          <cell r="C1075">
            <v>45671</v>
          </cell>
          <cell r="D1075" t="str">
            <v>یونس صاحب</v>
          </cell>
          <cell r="E1075" t="str">
            <v>قدیرپلاسٹک فیصل آباد</v>
          </cell>
        </row>
        <row r="1076">
          <cell r="A1076" t="str">
            <v>6522/1</v>
          </cell>
          <cell r="B1076">
            <v>6522</v>
          </cell>
          <cell r="C1076">
            <v>45671</v>
          </cell>
          <cell r="D1076" t="str">
            <v>یونس صاحب</v>
          </cell>
          <cell r="E1076" t="str">
            <v>محبوب مقبول گوجرانوالہ</v>
          </cell>
        </row>
        <row r="1077">
          <cell r="A1077" t="str">
            <v>6523/1</v>
          </cell>
          <cell r="B1077">
            <v>6523</v>
          </cell>
          <cell r="C1077">
            <v>45672</v>
          </cell>
          <cell r="D1077" t="str">
            <v>یونس صاحب</v>
          </cell>
          <cell r="E1077" t="str">
            <v>حسین پلاسٹک بہاورلپور</v>
          </cell>
        </row>
        <row r="1078">
          <cell r="A1078" t="str">
            <v>6523/2</v>
          </cell>
          <cell r="B1078">
            <v>6523</v>
          </cell>
          <cell r="C1078">
            <v>45672</v>
          </cell>
          <cell r="D1078" t="str">
            <v>یونس صاحب</v>
          </cell>
          <cell r="E1078" t="str">
            <v>حسین پلاسٹک بہاورلپور</v>
          </cell>
        </row>
        <row r="1079">
          <cell r="A1079" t="str">
            <v>6523/3</v>
          </cell>
          <cell r="B1079">
            <v>6523</v>
          </cell>
          <cell r="C1079">
            <v>45672</v>
          </cell>
          <cell r="D1079" t="str">
            <v>یونس صاحب</v>
          </cell>
          <cell r="E1079" t="str">
            <v>حسین پلاسٹک بہاورلپور</v>
          </cell>
        </row>
        <row r="1080">
          <cell r="A1080" t="str">
            <v>6523/4</v>
          </cell>
          <cell r="B1080">
            <v>6523</v>
          </cell>
          <cell r="C1080">
            <v>45672</v>
          </cell>
          <cell r="D1080" t="str">
            <v>یونس صاحب</v>
          </cell>
          <cell r="E1080" t="str">
            <v>حسین پلاسٹک بہاورلپور</v>
          </cell>
        </row>
        <row r="1081">
          <cell r="A1081" t="str">
            <v>6523/5</v>
          </cell>
          <cell r="B1081">
            <v>6523</v>
          </cell>
          <cell r="C1081">
            <v>45672</v>
          </cell>
          <cell r="D1081" t="str">
            <v>یونس صاحب</v>
          </cell>
          <cell r="E1081" t="str">
            <v>حسین پلاسٹک بہاورلپور</v>
          </cell>
        </row>
        <row r="1082">
          <cell r="A1082" t="str">
            <v>6523/6</v>
          </cell>
          <cell r="B1082">
            <v>6523</v>
          </cell>
          <cell r="C1082">
            <v>45672</v>
          </cell>
          <cell r="D1082" t="str">
            <v>یونس صاحب</v>
          </cell>
          <cell r="E1082" t="str">
            <v>حسین پلاسٹک بہاورلپور</v>
          </cell>
        </row>
        <row r="1083">
          <cell r="A1083" t="str">
            <v>6523/7</v>
          </cell>
          <cell r="B1083">
            <v>6523</v>
          </cell>
          <cell r="C1083">
            <v>45672</v>
          </cell>
          <cell r="D1083" t="str">
            <v>یونس صاحب</v>
          </cell>
          <cell r="E1083" t="str">
            <v>حسین پلاسٹک بہاورلپور</v>
          </cell>
        </row>
        <row r="1084">
          <cell r="A1084" t="str">
            <v>6523/8</v>
          </cell>
          <cell r="B1084">
            <v>6523</v>
          </cell>
          <cell r="C1084">
            <v>45672</v>
          </cell>
          <cell r="D1084" t="str">
            <v>یونس صاحب</v>
          </cell>
          <cell r="E1084" t="str">
            <v>حسین پلاسٹک بہاورلپور</v>
          </cell>
        </row>
        <row r="1085">
          <cell r="A1085" t="str">
            <v>6523/9</v>
          </cell>
          <cell r="B1085">
            <v>6523</v>
          </cell>
          <cell r="C1085">
            <v>45672</v>
          </cell>
          <cell r="D1085" t="str">
            <v>یونس صاحب</v>
          </cell>
          <cell r="E1085" t="str">
            <v>حسین پلاسٹک بہاورلپور</v>
          </cell>
        </row>
        <row r="1086">
          <cell r="A1086" t="str">
            <v>6523/10</v>
          </cell>
          <cell r="B1086">
            <v>6523</v>
          </cell>
          <cell r="C1086">
            <v>45672</v>
          </cell>
          <cell r="D1086" t="str">
            <v>یونس صاحب</v>
          </cell>
          <cell r="E1086" t="str">
            <v>حسین پلاسٹک بہاورلپور</v>
          </cell>
        </row>
        <row r="1087">
          <cell r="A1087" t="str">
            <v>6523/11</v>
          </cell>
          <cell r="B1087">
            <v>6523</v>
          </cell>
          <cell r="C1087">
            <v>45672</v>
          </cell>
          <cell r="D1087" t="str">
            <v>یونس صاحب</v>
          </cell>
          <cell r="E1087" t="str">
            <v>حسین پلاسٹک بہاورلپور</v>
          </cell>
        </row>
        <row r="1088">
          <cell r="A1088" t="str">
            <v>6523/12</v>
          </cell>
          <cell r="B1088">
            <v>6523</v>
          </cell>
          <cell r="C1088">
            <v>45672</v>
          </cell>
          <cell r="D1088" t="str">
            <v>یونس صاحب</v>
          </cell>
          <cell r="E1088" t="str">
            <v>حسین پلاسٹک بہاورلپور</v>
          </cell>
        </row>
        <row r="1089">
          <cell r="A1089" t="str">
            <v>6523/13</v>
          </cell>
          <cell r="B1089">
            <v>6523</v>
          </cell>
          <cell r="C1089">
            <v>45672</v>
          </cell>
          <cell r="D1089" t="str">
            <v>یونس صاحب</v>
          </cell>
          <cell r="E1089" t="str">
            <v>حسین پلاسٹک بہاورلپور</v>
          </cell>
        </row>
        <row r="1090">
          <cell r="A1090" t="str">
            <v>6523/14</v>
          </cell>
          <cell r="B1090">
            <v>6523</v>
          </cell>
          <cell r="C1090">
            <v>45672</v>
          </cell>
          <cell r="D1090" t="str">
            <v>یونس صاحب</v>
          </cell>
          <cell r="E1090" t="str">
            <v>حسین پلاسٹک بہاورلپور</v>
          </cell>
        </row>
        <row r="1091">
          <cell r="A1091" t="str">
            <v>6524/1</v>
          </cell>
          <cell r="B1091">
            <v>6524</v>
          </cell>
          <cell r="C1091">
            <v>45672</v>
          </cell>
          <cell r="D1091" t="str">
            <v>یونس صاحب</v>
          </cell>
          <cell r="E1091" t="str">
            <v>نذر پلاسٹک بہاولپور</v>
          </cell>
        </row>
        <row r="1092">
          <cell r="A1092" t="str">
            <v>6524/2</v>
          </cell>
          <cell r="B1092">
            <v>6524</v>
          </cell>
          <cell r="C1092">
            <v>45672</v>
          </cell>
          <cell r="D1092" t="str">
            <v>یونس صاحب</v>
          </cell>
          <cell r="E1092" t="str">
            <v>نذر پلاسٹک بہاولپور</v>
          </cell>
        </row>
        <row r="1093">
          <cell r="A1093" t="str">
            <v>6524/3</v>
          </cell>
          <cell r="B1093">
            <v>6524</v>
          </cell>
          <cell r="C1093">
            <v>45672</v>
          </cell>
          <cell r="D1093" t="str">
            <v>یونس صاحب</v>
          </cell>
          <cell r="E1093" t="str">
            <v>نذر پلاسٹک بہاولپور</v>
          </cell>
        </row>
        <row r="1094">
          <cell r="A1094" t="str">
            <v>6524/4</v>
          </cell>
          <cell r="B1094">
            <v>6524</v>
          </cell>
          <cell r="C1094">
            <v>45672</v>
          </cell>
          <cell r="D1094" t="str">
            <v>یونس صاحب</v>
          </cell>
          <cell r="E1094" t="str">
            <v>نذر پلاسٹک بہاولپور</v>
          </cell>
        </row>
        <row r="1095">
          <cell r="A1095" t="str">
            <v>6524/5</v>
          </cell>
          <cell r="B1095">
            <v>6524</v>
          </cell>
          <cell r="C1095">
            <v>45672</v>
          </cell>
          <cell r="D1095" t="str">
            <v>یونس صاحب</v>
          </cell>
          <cell r="E1095" t="str">
            <v>نذر پلاسٹک بہاولپور</v>
          </cell>
        </row>
        <row r="1096">
          <cell r="A1096" t="str">
            <v>6524/6</v>
          </cell>
          <cell r="B1096">
            <v>6524</v>
          </cell>
          <cell r="C1096">
            <v>45672</v>
          </cell>
          <cell r="D1096" t="str">
            <v>یونس صاحب</v>
          </cell>
          <cell r="E1096" t="str">
            <v>نذر پلاسٹک بہاولپور</v>
          </cell>
        </row>
        <row r="1097">
          <cell r="A1097" t="str">
            <v>6525/1</v>
          </cell>
          <cell r="B1097">
            <v>6525</v>
          </cell>
          <cell r="C1097">
            <v>45672</v>
          </cell>
          <cell r="D1097" t="str">
            <v>یونس صاحب</v>
          </cell>
          <cell r="E1097" t="str">
            <v>اسد بلال بہاولپور</v>
          </cell>
        </row>
        <row r="1098">
          <cell r="A1098" t="str">
            <v>6525/2</v>
          </cell>
          <cell r="B1098">
            <v>6525</v>
          </cell>
          <cell r="C1098">
            <v>45672</v>
          </cell>
          <cell r="D1098" t="str">
            <v>یونس صاحب</v>
          </cell>
          <cell r="E1098" t="str">
            <v>اسد بلال بہاولپور</v>
          </cell>
        </row>
        <row r="1099">
          <cell r="A1099" t="str">
            <v>6525/3</v>
          </cell>
          <cell r="B1099">
            <v>6525</v>
          </cell>
          <cell r="C1099">
            <v>45672</v>
          </cell>
          <cell r="D1099" t="str">
            <v>یونس صاحب</v>
          </cell>
          <cell r="E1099" t="str">
            <v>اسد بلال بہاولپور</v>
          </cell>
        </row>
        <row r="1100">
          <cell r="A1100" t="str">
            <v>6525/4</v>
          </cell>
          <cell r="B1100">
            <v>6525</v>
          </cell>
          <cell r="C1100">
            <v>45672</v>
          </cell>
          <cell r="D1100" t="str">
            <v>یونس صاحب</v>
          </cell>
          <cell r="E1100" t="str">
            <v>اسد بلال بہاولپور</v>
          </cell>
        </row>
        <row r="1101">
          <cell r="A1101" t="str">
            <v>6525/5</v>
          </cell>
          <cell r="B1101">
            <v>6525</v>
          </cell>
          <cell r="C1101">
            <v>45672</v>
          </cell>
          <cell r="D1101" t="str">
            <v>یونس صاحب</v>
          </cell>
          <cell r="E1101" t="str">
            <v>اسد بلال بہاولپور</v>
          </cell>
        </row>
        <row r="1102">
          <cell r="A1102" t="str">
            <v>6525/6</v>
          </cell>
          <cell r="B1102">
            <v>6525</v>
          </cell>
          <cell r="C1102">
            <v>45672</v>
          </cell>
          <cell r="D1102" t="str">
            <v>یونس صاحب</v>
          </cell>
          <cell r="E1102" t="str">
            <v>اسد بلال بہاولپور</v>
          </cell>
        </row>
        <row r="1103">
          <cell r="A1103" t="str">
            <v>6525/7</v>
          </cell>
          <cell r="B1103">
            <v>6525</v>
          </cell>
          <cell r="C1103">
            <v>45672</v>
          </cell>
          <cell r="D1103" t="str">
            <v>یونس صاحب</v>
          </cell>
          <cell r="E1103" t="str">
            <v>اسد بلال بہاولپور</v>
          </cell>
        </row>
        <row r="1104">
          <cell r="A1104" t="str">
            <v>6525/8</v>
          </cell>
          <cell r="B1104">
            <v>6525</v>
          </cell>
          <cell r="C1104">
            <v>45672</v>
          </cell>
          <cell r="D1104" t="str">
            <v>یونس صاحب</v>
          </cell>
          <cell r="E1104" t="str">
            <v>اسد بلال بہاولپور</v>
          </cell>
        </row>
        <row r="1105">
          <cell r="A1105" t="str">
            <v>6525/9</v>
          </cell>
          <cell r="B1105">
            <v>6525</v>
          </cell>
          <cell r="C1105">
            <v>45672</v>
          </cell>
          <cell r="D1105" t="str">
            <v>یونس صاحب</v>
          </cell>
          <cell r="E1105" t="str">
            <v>اسد بلال بہاولپور</v>
          </cell>
        </row>
        <row r="1106">
          <cell r="A1106" t="str">
            <v>6526/1</v>
          </cell>
          <cell r="B1106">
            <v>6526</v>
          </cell>
          <cell r="C1106">
            <v>45672</v>
          </cell>
          <cell r="D1106" t="str">
            <v>یونس صاحب</v>
          </cell>
          <cell r="E1106" t="str">
            <v>طلہ پلاسٹک ملتان</v>
          </cell>
        </row>
        <row r="1107">
          <cell r="A1107" t="str">
            <v>6526/2</v>
          </cell>
          <cell r="B1107">
            <v>6526</v>
          </cell>
          <cell r="C1107">
            <v>45672</v>
          </cell>
          <cell r="D1107" t="str">
            <v>یونس صاحب</v>
          </cell>
          <cell r="E1107" t="str">
            <v>طلہ پلاسٹک ملتان</v>
          </cell>
        </row>
        <row r="1108">
          <cell r="A1108" t="str">
            <v>6526/3</v>
          </cell>
          <cell r="B1108">
            <v>6526</v>
          </cell>
          <cell r="C1108">
            <v>45672</v>
          </cell>
          <cell r="D1108" t="str">
            <v>یونس صاحب</v>
          </cell>
          <cell r="E1108" t="str">
            <v>طلہ پلاسٹک ملتان</v>
          </cell>
        </row>
        <row r="1109">
          <cell r="A1109" t="str">
            <v>6526/4</v>
          </cell>
          <cell r="B1109">
            <v>6526</v>
          </cell>
          <cell r="C1109">
            <v>45672</v>
          </cell>
          <cell r="D1109" t="str">
            <v>یونس صاحب</v>
          </cell>
          <cell r="E1109" t="str">
            <v>طلہ پلاسٹک ملتان</v>
          </cell>
        </row>
        <row r="1110">
          <cell r="A1110" t="str">
            <v>6526/5</v>
          </cell>
          <cell r="B1110">
            <v>6526</v>
          </cell>
          <cell r="C1110">
            <v>45672</v>
          </cell>
          <cell r="D1110" t="str">
            <v>یونس صاحب</v>
          </cell>
          <cell r="E1110" t="str">
            <v>طلہ پلاسٹک ملتان</v>
          </cell>
        </row>
        <row r="1111">
          <cell r="A1111" t="str">
            <v>6526/6</v>
          </cell>
          <cell r="B1111">
            <v>6526</v>
          </cell>
          <cell r="C1111">
            <v>45672</v>
          </cell>
          <cell r="D1111" t="str">
            <v>یونس صاحب</v>
          </cell>
          <cell r="E1111" t="str">
            <v>طلہ پلاسٹک ملتان</v>
          </cell>
        </row>
        <row r="1112">
          <cell r="A1112" t="str">
            <v>6527/1</v>
          </cell>
          <cell r="B1112">
            <v>6527</v>
          </cell>
          <cell r="C1112">
            <v>45672</v>
          </cell>
          <cell r="D1112" t="str">
            <v>یونس صاحب</v>
          </cell>
          <cell r="E1112" t="str">
            <v>امارت پلاسٹک چوہنگ</v>
          </cell>
        </row>
        <row r="1113">
          <cell r="A1113" t="str">
            <v>6527/2</v>
          </cell>
          <cell r="B1113">
            <v>6527</v>
          </cell>
          <cell r="C1113">
            <v>45672</v>
          </cell>
          <cell r="D1113" t="str">
            <v>یونس صاحب</v>
          </cell>
          <cell r="E1113" t="str">
            <v>امارت پلاسٹک چوہنگ</v>
          </cell>
        </row>
        <row r="1114">
          <cell r="A1114" t="str">
            <v>6527/3</v>
          </cell>
          <cell r="B1114">
            <v>6527</v>
          </cell>
          <cell r="C1114">
            <v>45672</v>
          </cell>
          <cell r="D1114" t="str">
            <v>یونس صاحب</v>
          </cell>
          <cell r="E1114" t="str">
            <v>امارت پلاسٹک چوہنگ</v>
          </cell>
        </row>
        <row r="1115">
          <cell r="A1115" t="str">
            <v>6527/4</v>
          </cell>
          <cell r="B1115">
            <v>6527</v>
          </cell>
          <cell r="C1115">
            <v>45672</v>
          </cell>
          <cell r="D1115" t="str">
            <v>یونس صاحب</v>
          </cell>
          <cell r="E1115" t="str">
            <v>امارت پلاسٹک چوہنگ</v>
          </cell>
        </row>
        <row r="1116">
          <cell r="A1116" t="str">
            <v>6527/5</v>
          </cell>
          <cell r="B1116">
            <v>6527</v>
          </cell>
          <cell r="C1116">
            <v>45672</v>
          </cell>
          <cell r="D1116" t="str">
            <v>یونس صاحب</v>
          </cell>
          <cell r="E1116" t="str">
            <v>امارت پلاسٹک چوہنگ</v>
          </cell>
        </row>
        <row r="1117">
          <cell r="A1117" t="str">
            <v>6527/6</v>
          </cell>
          <cell r="B1117">
            <v>6527</v>
          </cell>
          <cell r="C1117">
            <v>45672</v>
          </cell>
          <cell r="D1117" t="str">
            <v>یونس صاحب</v>
          </cell>
          <cell r="E1117" t="str">
            <v>امارت پلاسٹک چوہنگ</v>
          </cell>
        </row>
        <row r="1118">
          <cell r="A1118" t="str">
            <v>6527/7</v>
          </cell>
          <cell r="B1118">
            <v>6527</v>
          </cell>
          <cell r="C1118">
            <v>45672</v>
          </cell>
          <cell r="D1118" t="str">
            <v>یونس صاحب</v>
          </cell>
          <cell r="E1118" t="str">
            <v>امارت پلاسٹک چوہنگ</v>
          </cell>
        </row>
        <row r="1119">
          <cell r="A1119" t="str">
            <v>6527/8</v>
          </cell>
          <cell r="B1119">
            <v>6527</v>
          </cell>
          <cell r="C1119">
            <v>45672</v>
          </cell>
          <cell r="D1119" t="str">
            <v>یونس صاحب</v>
          </cell>
          <cell r="E1119" t="str">
            <v>امارت پلاسٹک چوہنگ</v>
          </cell>
        </row>
        <row r="1120">
          <cell r="A1120" t="str">
            <v>6528/1</v>
          </cell>
          <cell r="B1120">
            <v>6528</v>
          </cell>
          <cell r="C1120">
            <v>45673</v>
          </cell>
          <cell r="D1120" t="str">
            <v>یونس صاحب</v>
          </cell>
          <cell r="E1120" t="str">
            <v>بلال جاوید فیصل آباد</v>
          </cell>
        </row>
        <row r="1121">
          <cell r="A1121" t="str">
            <v>6528/2</v>
          </cell>
          <cell r="B1121">
            <v>6528</v>
          </cell>
          <cell r="C1121">
            <v>45673</v>
          </cell>
          <cell r="D1121" t="str">
            <v>یونس صاحب</v>
          </cell>
          <cell r="E1121" t="str">
            <v>بلال جاوید فیصل آباد</v>
          </cell>
        </row>
        <row r="1122">
          <cell r="A1122" t="str">
            <v>6528/3</v>
          </cell>
          <cell r="B1122">
            <v>6528</v>
          </cell>
          <cell r="C1122">
            <v>45673</v>
          </cell>
          <cell r="D1122" t="str">
            <v>یونس صاحب</v>
          </cell>
          <cell r="E1122" t="str">
            <v>بلال جاوید فیصل آباد</v>
          </cell>
        </row>
        <row r="1123">
          <cell r="A1123" t="str">
            <v>6528/4</v>
          </cell>
          <cell r="B1123">
            <v>6528</v>
          </cell>
          <cell r="C1123">
            <v>45673</v>
          </cell>
          <cell r="D1123" t="str">
            <v>یونس صاحب</v>
          </cell>
          <cell r="E1123" t="str">
            <v>بلال جاوید فیصل آباد</v>
          </cell>
        </row>
        <row r="1124">
          <cell r="A1124" t="str">
            <v>6529/1</v>
          </cell>
          <cell r="B1124">
            <v>6529</v>
          </cell>
          <cell r="C1124">
            <v>45673</v>
          </cell>
          <cell r="D1124" t="str">
            <v>یونس صاحب</v>
          </cell>
          <cell r="E1124" t="str">
            <v>اخترعلی چیچہ وطنی</v>
          </cell>
        </row>
        <row r="1125">
          <cell r="A1125" t="str">
            <v>6529/2</v>
          </cell>
          <cell r="B1125">
            <v>6529</v>
          </cell>
          <cell r="C1125">
            <v>45673</v>
          </cell>
          <cell r="D1125" t="str">
            <v>یونس صاحب</v>
          </cell>
          <cell r="E1125" t="str">
            <v>اخترعلی چیچہ وطنی</v>
          </cell>
        </row>
        <row r="1126">
          <cell r="A1126" t="str">
            <v>6529/3</v>
          </cell>
          <cell r="B1126">
            <v>6529</v>
          </cell>
          <cell r="C1126">
            <v>45673</v>
          </cell>
          <cell r="D1126" t="str">
            <v>یونس صاحب</v>
          </cell>
          <cell r="E1126" t="str">
            <v>اخترعلی چیچہ وطنی</v>
          </cell>
        </row>
        <row r="1127">
          <cell r="A1127" t="str">
            <v>6529/4</v>
          </cell>
          <cell r="B1127">
            <v>6529</v>
          </cell>
          <cell r="C1127">
            <v>45673</v>
          </cell>
          <cell r="D1127" t="str">
            <v>یونس صاحب</v>
          </cell>
          <cell r="E1127" t="str">
            <v>اخترعلی چیچہ وطنی</v>
          </cell>
        </row>
        <row r="1128">
          <cell r="A1128" t="str">
            <v>6529/5</v>
          </cell>
          <cell r="B1128">
            <v>6529</v>
          </cell>
          <cell r="C1128">
            <v>45673</v>
          </cell>
          <cell r="D1128" t="str">
            <v>یونس صاحب</v>
          </cell>
          <cell r="E1128" t="str">
            <v>اخترعلی چیچہ وطنی</v>
          </cell>
        </row>
        <row r="1129">
          <cell r="A1129" t="str">
            <v>6530/1</v>
          </cell>
          <cell r="B1129">
            <v>6530</v>
          </cell>
          <cell r="C1129">
            <v>45673</v>
          </cell>
          <cell r="D1129" t="str">
            <v>یونس صاحب</v>
          </cell>
          <cell r="E1129" t="str">
            <v>آصف چیچہ وطنی</v>
          </cell>
        </row>
        <row r="1130">
          <cell r="A1130" t="str">
            <v>6530/2</v>
          </cell>
          <cell r="B1130">
            <v>6530</v>
          </cell>
          <cell r="C1130">
            <v>45673</v>
          </cell>
          <cell r="D1130" t="str">
            <v>یونس صاحب</v>
          </cell>
          <cell r="E1130" t="str">
            <v>آصف چیچہ وطنی</v>
          </cell>
        </row>
        <row r="1131">
          <cell r="A1131" t="str">
            <v>6530/3</v>
          </cell>
          <cell r="B1131">
            <v>6530</v>
          </cell>
          <cell r="C1131">
            <v>45673</v>
          </cell>
          <cell r="D1131" t="str">
            <v>یونس صاحب</v>
          </cell>
          <cell r="E1131" t="str">
            <v>آصف چیچہ وطنی</v>
          </cell>
        </row>
        <row r="1132">
          <cell r="A1132" t="str">
            <v>6531/1</v>
          </cell>
          <cell r="B1132">
            <v>6531</v>
          </cell>
          <cell r="C1132">
            <v>45673</v>
          </cell>
          <cell r="D1132" t="str">
            <v>یونس صاحب</v>
          </cell>
          <cell r="E1132" t="str">
            <v>ثاقب   پلاسٹک خانپور</v>
          </cell>
        </row>
        <row r="1133">
          <cell r="A1133" t="str">
            <v>6531/2</v>
          </cell>
          <cell r="B1133">
            <v>6531</v>
          </cell>
          <cell r="C1133">
            <v>45673</v>
          </cell>
          <cell r="D1133" t="str">
            <v>یونس صاحب</v>
          </cell>
          <cell r="E1133" t="str">
            <v>ثاقب   پلاسٹک خانپور</v>
          </cell>
        </row>
        <row r="1134">
          <cell r="A1134" t="str">
            <v>6531/3</v>
          </cell>
          <cell r="B1134">
            <v>6531</v>
          </cell>
          <cell r="C1134">
            <v>45673</v>
          </cell>
          <cell r="D1134" t="str">
            <v>یونس صاحب</v>
          </cell>
          <cell r="E1134" t="str">
            <v>ثاقب   پلاسٹک خانپور</v>
          </cell>
        </row>
        <row r="1135">
          <cell r="A1135" t="str">
            <v>6531/4</v>
          </cell>
          <cell r="B1135">
            <v>6531</v>
          </cell>
          <cell r="C1135">
            <v>45673</v>
          </cell>
          <cell r="D1135" t="str">
            <v>یونس صاحب</v>
          </cell>
          <cell r="E1135" t="str">
            <v>ثاقب   پلاسٹک خانپور</v>
          </cell>
        </row>
        <row r="1136">
          <cell r="A1136" t="str">
            <v>6531/5</v>
          </cell>
          <cell r="B1136">
            <v>6531</v>
          </cell>
          <cell r="C1136">
            <v>45673</v>
          </cell>
          <cell r="D1136" t="str">
            <v>یونس صاحب</v>
          </cell>
          <cell r="E1136" t="str">
            <v>ثاقب   پلاسٹک خانپور</v>
          </cell>
        </row>
        <row r="1137">
          <cell r="A1137" t="str">
            <v>6531/6</v>
          </cell>
          <cell r="B1137">
            <v>6531</v>
          </cell>
          <cell r="C1137">
            <v>45673</v>
          </cell>
          <cell r="D1137" t="str">
            <v>یونس صاحب</v>
          </cell>
          <cell r="E1137" t="str">
            <v>ثاقب   پلاسٹک خانپور</v>
          </cell>
        </row>
        <row r="1138">
          <cell r="A1138" t="str">
            <v>6531/7</v>
          </cell>
          <cell r="B1138">
            <v>6531</v>
          </cell>
          <cell r="C1138">
            <v>45673</v>
          </cell>
          <cell r="D1138" t="str">
            <v>یونس صاحب</v>
          </cell>
          <cell r="E1138" t="str">
            <v>ثاقب   پلاسٹک خانپور</v>
          </cell>
        </row>
        <row r="1139">
          <cell r="A1139" t="str">
            <v>6531/8</v>
          </cell>
          <cell r="B1139">
            <v>6531</v>
          </cell>
          <cell r="C1139">
            <v>45673</v>
          </cell>
          <cell r="D1139" t="str">
            <v>یونس صاحب</v>
          </cell>
          <cell r="E1139" t="str">
            <v>ثاقب   پلاسٹک خانپور</v>
          </cell>
        </row>
        <row r="1140">
          <cell r="A1140" t="str">
            <v>6531/9</v>
          </cell>
          <cell r="B1140">
            <v>6531</v>
          </cell>
          <cell r="C1140">
            <v>45673</v>
          </cell>
          <cell r="D1140" t="str">
            <v>یونس صاحب</v>
          </cell>
          <cell r="E1140" t="str">
            <v>ثاقب   پلاسٹک خانپور</v>
          </cell>
        </row>
        <row r="1141">
          <cell r="A1141" t="str">
            <v>6531/10</v>
          </cell>
          <cell r="B1141">
            <v>6531</v>
          </cell>
          <cell r="C1141">
            <v>45673</v>
          </cell>
          <cell r="D1141" t="str">
            <v>یونس صاحب</v>
          </cell>
          <cell r="E1141" t="str">
            <v>ثاقب   پلاسٹک خانپور</v>
          </cell>
        </row>
        <row r="1142">
          <cell r="A1142" t="str">
            <v>6531/11</v>
          </cell>
          <cell r="B1142">
            <v>6531</v>
          </cell>
          <cell r="C1142">
            <v>45673</v>
          </cell>
          <cell r="D1142" t="str">
            <v>یونس صاحب</v>
          </cell>
          <cell r="E1142" t="str">
            <v>ثاقب   پلاسٹک خانپور</v>
          </cell>
        </row>
        <row r="1143">
          <cell r="A1143" t="str">
            <v>6531/12</v>
          </cell>
          <cell r="B1143">
            <v>6531</v>
          </cell>
          <cell r="C1143">
            <v>45673</v>
          </cell>
          <cell r="D1143" t="str">
            <v>یونس صاحب</v>
          </cell>
          <cell r="E1143" t="str">
            <v>ثاقب   پلاسٹک خانپور</v>
          </cell>
        </row>
        <row r="1144">
          <cell r="A1144" t="str">
            <v>6531/13</v>
          </cell>
          <cell r="B1144">
            <v>6531</v>
          </cell>
          <cell r="C1144">
            <v>45673</v>
          </cell>
          <cell r="D1144" t="str">
            <v>یونس صاحب</v>
          </cell>
          <cell r="E1144" t="str">
            <v>ثاقب   پلاسٹک خانپور</v>
          </cell>
        </row>
        <row r="1145">
          <cell r="A1145" t="str">
            <v>6531/14</v>
          </cell>
          <cell r="B1145">
            <v>6531</v>
          </cell>
          <cell r="C1145">
            <v>45673</v>
          </cell>
          <cell r="D1145" t="str">
            <v>یونس صاحب</v>
          </cell>
          <cell r="E1145" t="str">
            <v>ثاقب   پلاسٹک خانپور</v>
          </cell>
        </row>
        <row r="1146">
          <cell r="A1146" t="str">
            <v>6532/1</v>
          </cell>
          <cell r="B1146">
            <v>6532</v>
          </cell>
          <cell r="C1146">
            <v>45673</v>
          </cell>
          <cell r="D1146" t="str">
            <v>یونس صاحب</v>
          </cell>
          <cell r="E1146" t="str">
            <v>ریفلکٹ پیک</v>
          </cell>
        </row>
        <row r="1147">
          <cell r="A1147" t="str">
            <v>6533/1</v>
          </cell>
          <cell r="B1147">
            <v>6533</v>
          </cell>
          <cell r="C1147">
            <v>45673</v>
          </cell>
          <cell r="D1147" t="str">
            <v>یونس صاحب</v>
          </cell>
          <cell r="E1147" t="str">
            <v>محبوب مقبول گوجرانوالہ</v>
          </cell>
        </row>
        <row r="1148">
          <cell r="A1148" t="str">
            <v>6533/2</v>
          </cell>
          <cell r="B1148">
            <v>6533</v>
          </cell>
          <cell r="C1148">
            <v>45673</v>
          </cell>
          <cell r="D1148" t="str">
            <v>یونس صاحب</v>
          </cell>
          <cell r="E1148" t="str">
            <v>محبوب مقبول گوجرانوالہ</v>
          </cell>
        </row>
        <row r="1149">
          <cell r="A1149" t="str">
            <v>6533/3</v>
          </cell>
          <cell r="B1149">
            <v>6533</v>
          </cell>
          <cell r="C1149">
            <v>45673</v>
          </cell>
          <cell r="D1149" t="str">
            <v>یونس صاحب</v>
          </cell>
          <cell r="E1149" t="str">
            <v>محبوب مقبول گوجرانوالہ</v>
          </cell>
        </row>
        <row r="1150">
          <cell r="A1150" t="str">
            <v>955 F</v>
          </cell>
          <cell r="B1150"/>
          <cell r="C1150">
            <v>45674</v>
          </cell>
          <cell r="D1150" t="str">
            <v>فینا</v>
          </cell>
          <cell r="E1150" t="str">
            <v>عثمان امین</v>
          </cell>
        </row>
        <row r="1151">
          <cell r="A1151" t="str">
            <v>956 F</v>
          </cell>
          <cell r="B1151"/>
          <cell r="C1151">
            <v>45675</v>
          </cell>
          <cell r="D1151" t="str">
            <v>فینا</v>
          </cell>
          <cell r="E1151" t="str">
            <v>عثمان امین</v>
          </cell>
        </row>
        <row r="1152">
          <cell r="A1152" t="str">
            <v>957 F</v>
          </cell>
          <cell r="B1152"/>
          <cell r="C1152">
            <v>45677</v>
          </cell>
          <cell r="D1152" t="str">
            <v>فینا</v>
          </cell>
          <cell r="E1152" t="str">
            <v>عثمان امین</v>
          </cell>
        </row>
        <row r="1153">
          <cell r="A1153" t="str">
            <v>958 F</v>
          </cell>
          <cell r="B1153"/>
          <cell r="C1153">
            <v>45677</v>
          </cell>
          <cell r="D1153" t="str">
            <v>فینا</v>
          </cell>
          <cell r="E1153" t="str">
            <v>عثمان امین</v>
          </cell>
        </row>
        <row r="1154">
          <cell r="A1154" t="str">
            <v>959 F</v>
          </cell>
          <cell r="B1154"/>
          <cell r="C1154">
            <v>45677</v>
          </cell>
          <cell r="D1154" t="str">
            <v>فینا</v>
          </cell>
          <cell r="E1154" t="str">
            <v>عثمان امین</v>
          </cell>
        </row>
        <row r="1155">
          <cell r="A1155" t="str">
            <v>960 F</v>
          </cell>
          <cell r="B1155"/>
          <cell r="C1155">
            <v>45677</v>
          </cell>
          <cell r="D1155" t="str">
            <v>فینا</v>
          </cell>
          <cell r="E1155" t="str">
            <v>عثمان امین</v>
          </cell>
        </row>
        <row r="1156">
          <cell r="A1156" t="str">
            <v>961 F</v>
          </cell>
          <cell r="B1156"/>
          <cell r="C1156">
            <v>45677</v>
          </cell>
          <cell r="D1156" t="str">
            <v>فینا</v>
          </cell>
          <cell r="E1156" t="str">
            <v>عثمان امین</v>
          </cell>
        </row>
        <row r="1157">
          <cell r="A1157" t="str">
            <v>962 F</v>
          </cell>
          <cell r="B1157"/>
          <cell r="C1157">
            <v>45677</v>
          </cell>
          <cell r="D1157" t="str">
            <v>فینا</v>
          </cell>
          <cell r="E1157" t="str">
            <v>عثمان امین</v>
          </cell>
        </row>
        <row r="1158">
          <cell r="A1158" t="str">
            <v>963 F</v>
          </cell>
          <cell r="B1158"/>
          <cell r="C1158">
            <v>45677</v>
          </cell>
          <cell r="D1158" t="str">
            <v>فینا</v>
          </cell>
          <cell r="E1158" t="str">
            <v>عثمان امین</v>
          </cell>
        </row>
        <row r="1159">
          <cell r="A1159" t="str">
            <v>964 F</v>
          </cell>
          <cell r="B1159"/>
          <cell r="C1159">
            <v>45677</v>
          </cell>
          <cell r="D1159" t="str">
            <v>فینا</v>
          </cell>
          <cell r="E1159" t="str">
            <v>عثمان امین</v>
          </cell>
        </row>
        <row r="1160">
          <cell r="A1160" t="str">
            <v>965 F</v>
          </cell>
          <cell r="B1160"/>
          <cell r="C1160">
            <v>45677</v>
          </cell>
          <cell r="D1160" t="str">
            <v>فینا</v>
          </cell>
          <cell r="E1160" t="str">
            <v>عثمان امین</v>
          </cell>
        </row>
        <row r="1161">
          <cell r="A1161" t="str">
            <v>966 F</v>
          </cell>
          <cell r="B1161"/>
          <cell r="C1161">
            <v>45677</v>
          </cell>
          <cell r="D1161" t="str">
            <v>فینا</v>
          </cell>
          <cell r="E1161" t="str">
            <v>عثمان امین</v>
          </cell>
        </row>
        <row r="1162">
          <cell r="A1162" t="str">
            <v>967 F</v>
          </cell>
          <cell r="B1162"/>
          <cell r="C1162">
            <v>45677</v>
          </cell>
          <cell r="D1162" t="str">
            <v>فینا</v>
          </cell>
          <cell r="E1162" t="str">
            <v>عثمان امین</v>
          </cell>
        </row>
        <row r="1163">
          <cell r="A1163" t="str">
            <v>968 F</v>
          </cell>
          <cell r="B1163"/>
          <cell r="C1163">
            <v>45677</v>
          </cell>
          <cell r="D1163" t="str">
            <v>فینا</v>
          </cell>
          <cell r="E1163" t="str">
            <v>عثمان امین</v>
          </cell>
        </row>
        <row r="1164">
          <cell r="A1164" t="str">
            <v>969 F</v>
          </cell>
          <cell r="B1164"/>
          <cell r="C1164">
            <v>45677</v>
          </cell>
          <cell r="D1164" t="str">
            <v>فینا</v>
          </cell>
          <cell r="E1164" t="str">
            <v>عثمان امین</v>
          </cell>
        </row>
        <row r="1165">
          <cell r="A1165" t="str">
            <v>970 F</v>
          </cell>
          <cell r="B1165"/>
          <cell r="C1165">
            <v>45677</v>
          </cell>
          <cell r="D1165" t="str">
            <v>فینا</v>
          </cell>
          <cell r="E1165" t="str">
            <v>عثمان امین</v>
          </cell>
        </row>
        <row r="1166">
          <cell r="A1166" t="str">
            <v>341 J</v>
          </cell>
          <cell r="B1166"/>
          <cell r="C1166">
            <v>45260</v>
          </cell>
          <cell r="D1166" t="str">
            <v>OTHERS</v>
          </cell>
          <cell r="E1166" t="str">
            <v>جیلانی پولی سٹاک</v>
          </cell>
        </row>
        <row r="1167">
          <cell r="A1167" t="str">
            <v>342 J</v>
          </cell>
          <cell r="B1167"/>
          <cell r="C1167">
            <v>45334</v>
          </cell>
          <cell r="D1167" t="str">
            <v>OTHERS</v>
          </cell>
          <cell r="E1167" t="str">
            <v>جیلانی پلاسٹک</v>
          </cell>
        </row>
        <row r="1168">
          <cell r="A1168" t="str">
            <v>343 J</v>
          </cell>
          <cell r="B1168">
            <v>11025</v>
          </cell>
          <cell r="C1168">
            <v>45677</v>
          </cell>
          <cell r="D1168" t="str">
            <v>JILANI</v>
          </cell>
          <cell r="E1168" t="str">
            <v>پاک سویٹس خانکاہ ڈوگراں</v>
          </cell>
        </row>
        <row r="1169">
          <cell r="A1169" t="str">
            <v>344 J</v>
          </cell>
          <cell r="B1169">
            <v>11026</v>
          </cell>
          <cell r="C1169">
            <v>45677</v>
          </cell>
          <cell r="D1169" t="str">
            <v>JILANI</v>
          </cell>
          <cell r="E1169" t="str">
            <v>شفعی ٹیکسل لمیٹڈ</v>
          </cell>
        </row>
        <row r="1170">
          <cell r="A1170" t="str">
            <v>345 J</v>
          </cell>
          <cell r="B1170">
            <v>11027</v>
          </cell>
          <cell r="C1170">
            <v>45677</v>
          </cell>
          <cell r="D1170" t="str">
            <v>JILANI</v>
          </cell>
          <cell r="E1170" t="str">
            <v>خواجہ واچ سنٹر لاہور</v>
          </cell>
        </row>
        <row r="1171">
          <cell r="A1171" t="str">
            <v>346 J</v>
          </cell>
          <cell r="B1171">
            <v>11028</v>
          </cell>
          <cell r="C1171">
            <v>45677</v>
          </cell>
          <cell r="D1171" t="str">
            <v>JILANI</v>
          </cell>
          <cell r="E1171" t="str">
            <v>خواجہ واچ سنٹر لاہور</v>
          </cell>
        </row>
        <row r="1172">
          <cell r="A1172" t="str">
            <v>347 J</v>
          </cell>
          <cell r="B1172">
            <v>11029</v>
          </cell>
          <cell r="C1172">
            <v>45677</v>
          </cell>
          <cell r="D1172" t="str">
            <v>JILANI</v>
          </cell>
          <cell r="E1172" t="str">
            <v xml:space="preserve">پاک الیکٹرون لیمیٹڈ  </v>
          </cell>
        </row>
        <row r="1173">
          <cell r="A1173" t="str">
            <v>348 J</v>
          </cell>
          <cell r="B1173">
            <v>11030</v>
          </cell>
          <cell r="C1173">
            <v>45677</v>
          </cell>
          <cell r="D1173" t="str">
            <v>JILANI</v>
          </cell>
          <cell r="E1173" t="str">
            <v xml:space="preserve">پاک الیکٹرون لیمیٹڈ  </v>
          </cell>
        </row>
        <row r="1174">
          <cell r="A1174" t="str">
            <v>349 J</v>
          </cell>
          <cell r="B1174">
            <v>11031</v>
          </cell>
          <cell r="C1174">
            <v>45677</v>
          </cell>
          <cell r="D1174" t="str">
            <v>JILANI</v>
          </cell>
          <cell r="E1174" t="str">
            <v>نسوار سنٹر بٹ خیلہ</v>
          </cell>
        </row>
        <row r="1175">
          <cell r="A1175" t="str">
            <v>350 J</v>
          </cell>
          <cell r="B1175">
            <v>11032</v>
          </cell>
          <cell r="C1175">
            <v>45677</v>
          </cell>
          <cell r="D1175" t="str">
            <v>JILANI</v>
          </cell>
          <cell r="E1175" t="str">
            <v>نسوار سنٹر بٹ خیلہ</v>
          </cell>
        </row>
        <row r="1176">
          <cell r="A1176" t="str">
            <v>351 J</v>
          </cell>
          <cell r="B1176">
            <v>11033</v>
          </cell>
          <cell r="C1176">
            <v>45677</v>
          </cell>
          <cell r="D1176" t="str">
            <v>JILANI</v>
          </cell>
          <cell r="E1176" t="str">
            <v>مہک کلاتھ ہاؤس جیکب آباد</v>
          </cell>
        </row>
        <row r="1177">
          <cell r="A1177" t="str">
            <v>352 J</v>
          </cell>
          <cell r="B1177">
            <v>11033</v>
          </cell>
          <cell r="C1177">
            <v>45677</v>
          </cell>
          <cell r="D1177" t="str">
            <v>JILANI</v>
          </cell>
          <cell r="E1177" t="str">
            <v>مہک کلاتھ ہاؤس جیکب آباد</v>
          </cell>
        </row>
        <row r="1178">
          <cell r="A1178" t="str">
            <v>353 J</v>
          </cell>
          <cell r="B1178">
            <v>11034</v>
          </cell>
          <cell r="C1178">
            <v>45677</v>
          </cell>
          <cell r="D1178" t="str">
            <v>JILANI</v>
          </cell>
          <cell r="E1178" t="str">
            <v>کے ای ڈبلیو سولیڈراوی روڈلاہور</v>
          </cell>
        </row>
        <row r="1179">
          <cell r="A1179" t="str">
            <v>354 J</v>
          </cell>
          <cell r="B1179"/>
          <cell r="C1179">
            <v>45677</v>
          </cell>
          <cell r="D1179" t="str">
            <v>OTHERS</v>
          </cell>
          <cell r="E1179" t="str">
            <v>جیلانی پلاسٹک</v>
          </cell>
        </row>
        <row r="1180">
          <cell r="A1180" t="str">
            <v>355 J</v>
          </cell>
          <cell r="B1180"/>
          <cell r="C1180">
            <v>45677</v>
          </cell>
          <cell r="D1180" t="str">
            <v>OTHERS</v>
          </cell>
          <cell r="E1180" t="str">
            <v>جیلانی پلاسٹک</v>
          </cell>
        </row>
        <row r="1181">
          <cell r="A1181" t="str">
            <v>356 J</v>
          </cell>
          <cell r="B1181"/>
          <cell r="C1181">
            <v>45677</v>
          </cell>
          <cell r="D1181" t="str">
            <v>OTHERS</v>
          </cell>
          <cell r="E1181" t="str">
            <v>جیلانی پلاسٹک</v>
          </cell>
        </row>
        <row r="1182">
          <cell r="A1182" t="str">
            <v>6534/1</v>
          </cell>
          <cell r="B1182">
            <v>6534</v>
          </cell>
          <cell r="C1182">
            <v>45673</v>
          </cell>
          <cell r="D1182" t="str">
            <v>یونس صاحب</v>
          </cell>
          <cell r="E1182" t="str">
            <v>شیخ پلاسٹک گورجر خاں</v>
          </cell>
        </row>
        <row r="1183">
          <cell r="A1183" t="str">
            <v>6535/1</v>
          </cell>
          <cell r="B1183">
            <v>6535</v>
          </cell>
          <cell r="C1183">
            <v>45674</v>
          </cell>
          <cell r="D1183" t="str">
            <v>یونس صاحب</v>
          </cell>
          <cell r="E1183" t="str">
            <v>وحید پلاسٹک گوجرانوالہ</v>
          </cell>
        </row>
        <row r="1184">
          <cell r="A1184" t="str">
            <v>6535/2</v>
          </cell>
          <cell r="B1184">
            <v>6535</v>
          </cell>
          <cell r="C1184">
            <v>45674</v>
          </cell>
          <cell r="D1184" t="str">
            <v>یونس صاحب</v>
          </cell>
          <cell r="E1184" t="str">
            <v>وحید پلاسٹک گوجرانوالہ</v>
          </cell>
        </row>
        <row r="1185">
          <cell r="A1185" t="str">
            <v>6535/3</v>
          </cell>
          <cell r="B1185">
            <v>6535</v>
          </cell>
          <cell r="C1185">
            <v>45674</v>
          </cell>
          <cell r="D1185" t="str">
            <v>یونس صاحب</v>
          </cell>
          <cell r="E1185" t="str">
            <v>وحید پلاسٹک گوجرانوالہ</v>
          </cell>
        </row>
        <row r="1186">
          <cell r="A1186" t="str">
            <v>6535/4</v>
          </cell>
          <cell r="B1186">
            <v>6535</v>
          </cell>
          <cell r="C1186">
            <v>45674</v>
          </cell>
          <cell r="D1186" t="str">
            <v>یونس صاحب</v>
          </cell>
          <cell r="E1186" t="str">
            <v>وحید پلاسٹک گوجرانوالہ</v>
          </cell>
        </row>
        <row r="1187">
          <cell r="A1187" t="str">
            <v>6535/5</v>
          </cell>
          <cell r="B1187">
            <v>6535</v>
          </cell>
          <cell r="C1187">
            <v>45674</v>
          </cell>
          <cell r="D1187" t="str">
            <v>یونس صاحب</v>
          </cell>
          <cell r="E1187" t="str">
            <v>وحید پلاسٹک گوجرانوالہ</v>
          </cell>
        </row>
        <row r="1188">
          <cell r="A1188" t="str">
            <v>6535/6</v>
          </cell>
          <cell r="B1188">
            <v>6535</v>
          </cell>
          <cell r="C1188">
            <v>45674</v>
          </cell>
          <cell r="D1188" t="str">
            <v>یونس صاحب</v>
          </cell>
          <cell r="E1188" t="str">
            <v>وحید پلاسٹک گوجرانوالہ</v>
          </cell>
        </row>
        <row r="1189">
          <cell r="A1189" t="str">
            <v>6535/7</v>
          </cell>
          <cell r="B1189">
            <v>6535</v>
          </cell>
          <cell r="C1189">
            <v>45674</v>
          </cell>
          <cell r="D1189" t="str">
            <v>یونس صاحب</v>
          </cell>
          <cell r="E1189" t="str">
            <v>وحید پلاسٹک گوجرانوالہ</v>
          </cell>
        </row>
        <row r="1190">
          <cell r="A1190" t="str">
            <v>6535/8</v>
          </cell>
          <cell r="B1190">
            <v>6535</v>
          </cell>
          <cell r="C1190">
            <v>45674</v>
          </cell>
          <cell r="D1190" t="str">
            <v>یونس صاحب</v>
          </cell>
          <cell r="E1190" t="str">
            <v>وحید پلاسٹک گوجرانوالہ</v>
          </cell>
        </row>
        <row r="1191">
          <cell r="A1191" t="str">
            <v>6535/9</v>
          </cell>
          <cell r="B1191">
            <v>6535</v>
          </cell>
          <cell r="C1191">
            <v>45674</v>
          </cell>
          <cell r="D1191" t="str">
            <v>یونس صاحب</v>
          </cell>
          <cell r="E1191" t="str">
            <v>وحید پلاسٹک گوجرانوالہ</v>
          </cell>
        </row>
        <row r="1192">
          <cell r="A1192" t="str">
            <v>6535/10</v>
          </cell>
          <cell r="B1192">
            <v>6535</v>
          </cell>
          <cell r="C1192">
            <v>45674</v>
          </cell>
          <cell r="D1192" t="str">
            <v>یونس صاحب</v>
          </cell>
          <cell r="E1192" t="str">
            <v>وحید پلاسٹک گوجرانوالہ</v>
          </cell>
        </row>
        <row r="1193">
          <cell r="A1193" t="str">
            <v>6535/11</v>
          </cell>
          <cell r="B1193">
            <v>6535</v>
          </cell>
          <cell r="C1193">
            <v>45674</v>
          </cell>
          <cell r="D1193" t="str">
            <v>یونس صاحب</v>
          </cell>
          <cell r="E1193" t="str">
            <v>وحید پلاسٹک گوجرانوالہ</v>
          </cell>
        </row>
        <row r="1194">
          <cell r="A1194" t="str">
            <v>6535/12</v>
          </cell>
          <cell r="B1194">
            <v>6535</v>
          </cell>
          <cell r="C1194">
            <v>45674</v>
          </cell>
          <cell r="D1194" t="str">
            <v>یونس صاحب</v>
          </cell>
          <cell r="E1194" t="str">
            <v>وحید پلاسٹک گوجرانوالہ</v>
          </cell>
        </row>
        <row r="1195">
          <cell r="A1195" t="str">
            <v>6535/13</v>
          </cell>
          <cell r="B1195">
            <v>6535</v>
          </cell>
          <cell r="C1195">
            <v>45674</v>
          </cell>
          <cell r="D1195" t="str">
            <v>یونس صاحب</v>
          </cell>
          <cell r="E1195" t="str">
            <v>وحید پلاسٹک گوجرانوالہ</v>
          </cell>
        </row>
        <row r="1196">
          <cell r="A1196" t="str">
            <v>6535/14</v>
          </cell>
          <cell r="B1196">
            <v>6535</v>
          </cell>
          <cell r="C1196">
            <v>45674</v>
          </cell>
          <cell r="D1196" t="str">
            <v>یونس صاحب</v>
          </cell>
          <cell r="E1196" t="str">
            <v>وحید پلاسٹک گوجرانوالہ</v>
          </cell>
        </row>
        <row r="1197">
          <cell r="A1197" t="str">
            <v>6535/15</v>
          </cell>
          <cell r="B1197">
            <v>6535</v>
          </cell>
          <cell r="C1197">
            <v>45674</v>
          </cell>
          <cell r="D1197" t="str">
            <v>یونس صاحب</v>
          </cell>
          <cell r="E1197" t="str">
            <v>وحید پلاسٹک گوجرانوالہ</v>
          </cell>
        </row>
        <row r="1198">
          <cell r="A1198" t="str">
            <v>6535/16</v>
          </cell>
          <cell r="B1198">
            <v>6535</v>
          </cell>
          <cell r="C1198">
            <v>45674</v>
          </cell>
          <cell r="D1198" t="str">
            <v>یونس صاحب</v>
          </cell>
          <cell r="E1198" t="str">
            <v>وحید پلاسٹک گوجرانوالہ</v>
          </cell>
        </row>
        <row r="1199">
          <cell r="A1199" t="str">
            <v>6535/17</v>
          </cell>
          <cell r="B1199">
            <v>6535</v>
          </cell>
          <cell r="C1199">
            <v>45674</v>
          </cell>
          <cell r="D1199" t="str">
            <v>یونس صاحب</v>
          </cell>
          <cell r="E1199" t="str">
            <v>وحید پلاسٹک گوجرانوالہ</v>
          </cell>
        </row>
        <row r="1200">
          <cell r="A1200" t="str">
            <v>6535/18</v>
          </cell>
          <cell r="B1200">
            <v>6535</v>
          </cell>
          <cell r="C1200">
            <v>45674</v>
          </cell>
          <cell r="D1200" t="str">
            <v>یونس صاحب</v>
          </cell>
          <cell r="E1200" t="str">
            <v>وحید پلاسٹک گوجرانوالہ</v>
          </cell>
        </row>
        <row r="1201">
          <cell r="A1201" t="str">
            <v>6535/19</v>
          </cell>
          <cell r="B1201">
            <v>6535</v>
          </cell>
          <cell r="C1201">
            <v>45674</v>
          </cell>
          <cell r="D1201" t="str">
            <v>یونس صاحب</v>
          </cell>
          <cell r="E1201" t="str">
            <v>وحید پلاسٹک گوجرانوالہ</v>
          </cell>
        </row>
        <row r="1202">
          <cell r="A1202" t="str">
            <v>6536/1</v>
          </cell>
          <cell r="B1202">
            <v>6536</v>
          </cell>
          <cell r="C1202">
            <v>45674</v>
          </cell>
          <cell r="D1202" t="str">
            <v>یونس صاحب</v>
          </cell>
          <cell r="E1202" t="str">
            <v>وحید پلاسٹک گوجرانوالہ</v>
          </cell>
        </row>
        <row r="1203">
          <cell r="A1203" t="str">
            <v>6536/2</v>
          </cell>
          <cell r="B1203">
            <v>6536</v>
          </cell>
          <cell r="C1203">
            <v>45674</v>
          </cell>
          <cell r="D1203" t="str">
            <v>یونس صاحب</v>
          </cell>
          <cell r="E1203" t="str">
            <v>وحید پلاسٹک گوجرانوالہ</v>
          </cell>
        </row>
        <row r="1204">
          <cell r="A1204" t="str">
            <v>6536/3</v>
          </cell>
          <cell r="B1204">
            <v>6536</v>
          </cell>
          <cell r="C1204">
            <v>45674</v>
          </cell>
          <cell r="D1204" t="str">
            <v>یونس صاحب</v>
          </cell>
          <cell r="E1204" t="str">
            <v>وحید پلاسٹک گوجرانوالہ</v>
          </cell>
        </row>
        <row r="1205">
          <cell r="A1205" t="str">
            <v>6536/4</v>
          </cell>
          <cell r="B1205">
            <v>6536</v>
          </cell>
          <cell r="C1205">
            <v>45674</v>
          </cell>
          <cell r="D1205" t="str">
            <v>یونس صاحب</v>
          </cell>
          <cell r="E1205" t="str">
            <v>وحید پلاسٹک گوجرانوالہ</v>
          </cell>
        </row>
        <row r="1206">
          <cell r="A1206" t="str">
            <v>6536/5</v>
          </cell>
          <cell r="B1206">
            <v>6536</v>
          </cell>
          <cell r="C1206">
            <v>45674</v>
          </cell>
          <cell r="D1206" t="str">
            <v>یونس صاحب</v>
          </cell>
          <cell r="E1206" t="str">
            <v>وحید پلاسٹک گوجرانوالہ</v>
          </cell>
        </row>
        <row r="1207">
          <cell r="A1207" t="str">
            <v>6536/6</v>
          </cell>
          <cell r="B1207">
            <v>6536</v>
          </cell>
          <cell r="C1207">
            <v>45674</v>
          </cell>
          <cell r="D1207" t="str">
            <v>یونس صاحب</v>
          </cell>
          <cell r="E1207" t="str">
            <v>وحید پلاسٹک گوجرانوالہ</v>
          </cell>
        </row>
        <row r="1208">
          <cell r="A1208" t="str">
            <v>6536/7</v>
          </cell>
          <cell r="B1208">
            <v>6536</v>
          </cell>
          <cell r="C1208">
            <v>45674</v>
          </cell>
          <cell r="D1208" t="str">
            <v>یونس صاحب</v>
          </cell>
          <cell r="E1208" t="str">
            <v>وحید پلاسٹک گوجرانوالہ</v>
          </cell>
        </row>
        <row r="1209">
          <cell r="A1209" t="str">
            <v>6536/8</v>
          </cell>
          <cell r="B1209">
            <v>6536</v>
          </cell>
          <cell r="C1209">
            <v>45674</v>
          </cell>
          <cell r="D1209" t="str">
            <v>یونس صاحب</v>
          </cell>
          <cell r="E1209" t="str">
            <v>وحید پلاسٹک گوجرانوالہ</v>
          </cell>
        </row>
        <row r="1210">
          <cell r="A1210" t="str">
            <v>6536/9</v>
          </cell>
          <cell r="B1210">
            <v>6536</v>
          </cell>
          <cell r="C1210">
            <v>45674</v>
          </cell>
          <cell r="D1210" t="str">
            <v>یونس صاحب</v>
          </cell>
          <cell r="E1210" t="str">
            <v>وحید پلاسٹک گوجرانوالہ</v>
          </cell>
        </row>
        <row r="1211">
          <cell r="A1211" t="str">
            <v>6536/10</v>
          </cell>
          <cell r="B1211">
            <v>6536</v>
          </cell>
          <cell r="C1211">
            <v>45674</v>
          </cell>
          <cell r="D1211" t="str">
            <v>یونس صاحب</v>
          </cell>
          <cell r="E1211" t="str">
            <v>وحید پلاسٹک گوجرانوالہ</v>
          </cell>
        </row>
        <row r="1212">
          <cell r="A1212" t="str">
            <v>6536/11</v>
          </cell>
          <cell r="B1212">
            <v>6536</v>
          </cell>
          <cell r="C1212">
            <v>45674</v>
          </cell>
          <cell r="D1212" t="str">
            <v>یونس صاحب</v>
          </cell>
          <cell r="E1212" t="str">
            <v>وحید پلاسٹک گوجرانوالہ</v>
          </cell>
        </row>
        <row r="1213">
          <cell r="A1213" t="str">
            <v>6537/1</v>
          </cell>
          <cell r="B1213">
            <v>6537</v>
          </cell>
          <cell r="C1213">
            <v>45674</v>
          </cell>
          <cell r="D1213" t="str">
            <v>یونس صاحب</v>
          </cell>
          <cell r="E1213" t="str">
            <v>عثمان امین لاہور</v>
          </cell>
        </row>
        <row r="1214">
          <cell r="A1214" t="str">
            <v>6537/2</v>
          </cell>
          <cell r="B1214">
            <v>6537</v>
          </cell>
          <cell r="C1214">
            <v>45674</v>
          </cell>
          <cell r="D1214" t="str">
            <v>یونس صاحب</v>
          </cell>
          <cell r="E1214" t="str">
            <v>عثمان امین لاہور</v>
          </cell>
        </row>
        <row r="1215">
          <cell r="A1215" t="str">
            <v>6537/3</v>
          </cell>
          <cell r="B1215">
            <v>6537</v>
          </cell>
          <cell r="C1215">
            <v>45674</v>
          </cell>
          <cell r="D1215" t="str">
            <v>یونس صاحب</v>
          </cell>
          <cell r="E1215" t="str">
            <v>عثمان امین لاہور</v>
          </cell>
        </row>
        <row r="1216">
          <cell r="A1216" t="str">
            <v>6538/1</v>
          </cell>
          <cell r="B1216">
            <v>6538</v>
          </cell>
          <cell r="C1216">
            <v>45674</v>
          </cell>
          <cell r="D1216" t="str">
            <v>یونس صاحب</v>
          </cell>
          <cell r="E1216"/>
        </row>
        <row r="1217">
          <cell r="A1217" t="str">
            <v>6539/1</v>
          </cell>
          <cell r="B1217">
            <v>6539</v>
          </cell>
          <cell r="C1217">
            <v>45674</v>
          </cell>
          <cell r="D1217" t="str">
            <v>یونس صاحب</v>
          </cell>
          <cell r="E1217" t="str">
            <v>راجکپورکریانہ سٹور گھونکی</v>
          </cell>
        </row>
        <row r="1218">
          <cell r="A1218" t="str">
            <v>6540/1</v>
          </cell>
          <cell r="B1218">
            <v>6540</v>
          </cell>
          <cell r="C1218">
            <v>45674</v>
          </cell>
          <cell r="D1218" t="str">
            <v>یونس صاحب</v>
          </cell>
          <cell r="E1218" t="str">
            <v>عثمان امین لاہور</v>
          </cell>
        </row>
        <row r="1219">
          <cell r="A1219" t="str">
            <v>6541/1</v>
          </cell>
          <cell r="B1219">
            <v>6541</v>
          </cell>
          <cell r="C1219">
            <v>45674</v>
          </cell>
          <cell r="D1219" t="str">
            <v>یونس صاحب</v>
          </cell>
          <cell r="E1219"/>
        </row>
        <row r="1220">
          <cell r="A1220" t="str">
            <v>6542/1</v>
          </cell>
          <cell r="B1220">
            <v>6542</v>
          </cell>
          <cell r="C1220">
            <v>45674</v>
          </cell>
          <cell r="D1220" t="str">
            <v>یونس صاحب</v>
          </cell>
          <cell r="E1220" t="str">
            <v>طیب پلاسٹک گوجرانوالہ</v>
          </cell>
        </row>
        <row r="1221">
          <cell r="A1221" t="str">
            <v>6542/2</v>
          </cell>
          <cell r="B1221">
            <v>6542</v>
          </cell>
          <cell r="C1221">
            <v>45674</v>
          </cell>
          <cell r="D1221" t="str">
            <v>یونس صاحب</v>
          </cell>
          <cell r="E1221" t="str">
            <v>طیب پلاسٹک گوجرانوالہ</v>
          </cell>
        </row>
        <row r="1222">
          <cell r="A1222" t="str">
            <v>6542/3</v>
          </cell>
          <cell r="B1222">
            <v>6542</v>
          </cell>
          <cell r="C1222">
            <v>45674</v>
          </cell>
          <cell r="D1222" t="str">
            <v>یونس صاحب</v>
          </cell>
          <cell r="E1222" t="str">
            <v>طیب پلاسٹک گوجرانوالہ</v>
          </cell>
        </row>
        <row r="1223">
          <cell r="A1223" t="str">
            <v>6543/1</v>
          </cell>
          <cell r="B1223">
            <v>6543</v>
          </cell>
          <cell r="C1223">
            <v>45675</v>
          </cell>
          <cell r="D1223" t="str">
            <v>یونس صاحب</v>
          </cell>
          <cell r="E1223" t="str">
            <v>عمران علی بہاولپور</v>
          </cell>
        </row>
        <row r="1224">
          <cell r="A1224" t="str">
            <v>6543/2</v>
          </cell>
          <cell r="B1224">
            <v>6543</v>
          </cell>
          <cell r="C1224">
            <v>45675</v>
          </cell>
          <cell r="D1224" t="str">
            <v>یونس صاحب</v>
          </cell>
          <cell r="E1224" t="str">
            <v>عمران علی بہاولپور</v>
          </cell>
        </row>
        <row r="1225">
          <cell r="A1225" t="str">
            <v>6543/3</v>
          </cell>
          <cell r="B1225">
            <v>6543</v>
          </cell>
          <cell r="C1225">
            <v>45675</v>
          </cell>
          <cell r="D1225" t="str">
            <v>یونس صاحب</v>
          </cell>
          <cell r="E1225" t="str">
            <v>عمران علی بہاولپور</v>
          </cell>
        </row>
        <row r="1226">
          <cell r="A1226" t="str">
            <v>6543/4</v>
          </cell>
          <cell r="B1226">
            <v>6543</v>
          </cell>
          <cell r="C1226">
            <v>45675</v>
          </cell>
          <cell r="D1226" t="str">
            <v>یونس صاحب</v>
          </cell>
          <cell r="E1226" t="str">
            <v>عمران علی بہاولپور</v>
          </cell>
        </row>
        <row r="1227">
          <cell r="A1227" t="str">
            <v>6543/5</v>
          </cell>
          <cell r="B1227">
            <v>6543</v>
          </cell>
          <cell r="C1227">
            <v>45675</v>
          </cell>
          <cell r="D1227" t="str">
            <v>یونس صاحب</v>
          </cell>
          <cell r="E1227" t="str">
            <v>عمران علی بہاولپور</v>
          </cell>
        </row>
        <row r="1228">
          <cell r="A1228" t="str">
            <v>6543/6</v>
          </cell>
          <cell r="B1228">
            <v>6543</v>
          </cell>
          <cell r="C1228">
            <v>45675</v>
          </cell>
          <cell r="D1228" t="str">
            <v>یونس صاحب</v>
          </cell>
          <cell r="E1228" t="str">
            <v>عمران علی بہاولپور</v>
          </cell>
        </row>
        <row r="1229">
          <cell r="A1229" t="str">
            <v>6543/7</v>
          </cell>
          <cell r="B1229">
            <v>6543</v>
          </cell>
          <cell r="C1229">
            <v>45675</v>
          </cell>
          <cell r="D1229" t="str">
            <v>یونس صاحب</v>
          </cell>
          <cell r="E1229" t="str">
            <v>عمران علی بہاولپور</v>
          </cell>
        </row>
        <row r="1230">
          <cell r="A1230" t="str">
            <v>6543/8</v>
          </cell>
          <cell r="B1230">
            <v>6543</v>
          </cell>
          <cell r="C1230">
            <v>45675</v>
          </cell>
          <cell r="D1230" t="str">
            <v>یونس صاحب</v>
          </cell>
          <cell r="E1230" t="str">
            <v>عمران علی بہاولپور</v>
          </cell>
        </row>
        <row r="1231">
          <cell r="A1231" t="str">
            <v>6543/9</v>
          </cell>
          <cell r="B1231">
            <v>6543</v>
          </cell>
          <cell r="C1231">
            <v>45675</v>
          </cell>
          <cell r="D1231" t="str">
            <v>یونس صاحب</v>
          </cell>
          <cell r="E1231" t="str">
            <v>عمران علی بہاولپور</v>
          </cell>
        </row>
        <row r="1232">
          <cell r="A1232" t="str">
            <v>6543/10</v>
          </cell>
          <cell r="B1232">
            <v>6543</v>
          </cell>
          <cell r="C1232">
            <v>45675</v>
          </cell>
          <cell r="D1232" t="str">
            <v>یونس صاحب</v>
          </cell>
          <cell r="E1232" t="str">
            <v>عمران علی بہاولپور</v>
          </cell>
        </row>
        <row r="1233">
          <cell r="A1233" t="str">
            <v>6544/1</v>
          </cell>
          <cell r="B1233">
            <v>6544</v>
          </cell>
          <cell r="C1233">
            <v>45675</v>
          </cell>
          <cell r="D1233" t="str">
            <v>یونس صاحب</v>
          </cell>
          <cell r="E1233"/>
        </row>
        <row r="1234">
          <cell r="A1234" t="str">
            <v>6545/1</v>
          </cell>
          <cell r="B1234">
            <v>6545</v>
          </cell>
          <cell r="C1234">
            <v>45675</v>
          </cell>
          <cell r="D1234" t="str">
            <v>یونس صاحب</v>
          </cell>
          <cell r="E1234" t="str">
            <v>راجکپورکریانہ سٹور گھونکی</v>
          </cell>
        </row>
        <row r="1235">
          <cell r="A1235" t="str">
            <v>6545/2</v>
          </cell>
          <cell r="B1235">
            <v>6545</v>
          </cell>
          <cell r="C1235">
            <v>45675</v>
          </cell>
          <cell r="D1235" t="str">
            <v>یونس صاحب</v>
          </cell>
          <cell r="E1235" t="str">
            <v>راجکپورکریانہ سٹور گھونکی</v>
          </cell>
        </row>
        <row r="1236">
          <cell r="A1236" t="str">
            <v>6546/1</v>
          </cell>
          <cell r="B1236">
            <v>6546</v>
          </cell>
          <cell r="C1236">
            <v>45676</v>
          </cell>
          <cell r="D1236" t="str">
            <v>یونس صاحب</v>
          </cell>
          <cell r="E1236" t="str">
            <v>شیخ بشیر سیا لکوٹ</v>
          </cell>
        </row>
        <row r="1237">
          <cell r="A1237" t="str">
            <v>6547/1</v>
          </cell>
          <cell r="B1237">
            <v>6547</v>
          </cell>
          <cell r="C1237">
            <v>45676</v>
          </cell>
          <cell r="D1237" t="str">
            <v>یونس صاحب</v>
          </cell>
          <cell r="E1237" t="str">
            <v>ایم  عمران پاکستان مارکیٹ</v>
          </cell>
        </row>
        <row r="1238">
          <cell r="A1238" t="str">
            <v>6547/2</v>
          </cell>
          <cell r="B1238">
            <v>6547</v>
          </cell>
          <cell r="C1238">
            <v>45676</v>
          </cell>
          <cell r="D1238" t="str">
            <v>یونس صاحب</v>
          </cell>
          <cell r="E1238" t="str">
            <v>ایم  عمران پاکستان مارکیٹ</v>
          </cell>
        </row>
        <row r="1239">
          <cell r="A1239" t="str">
            <v>6547/3</v>
          </cell>
          <cell r="B1239">
            <v>6547</v>
          </cell>
          <cell r="C1239">
            <v>45676</v>
          </cell>
          <cell r="D1239" t="str">
            <v>یونس صاحب</v>
          </cell>
          <cell r="E1239" t="str">
            <v>ایم  عمران پاکستان مارکیٹ</v>
          </cell>
        </row>
        <row r="1240">
          <cell r="A1240" t="str">
            <v>6547/4</v>
          </cell>
          <cell r="B1240">
            <v>6547</v>
          </cell>
          <cell r="C1240">
            <v>45676</v>
          </cell>
          <cell r="D1240" t="str">
            <v>یونس صاحب</v>
          </cell>
          <cell r="E1240" t="str">
            <v>ایم  عمران پاکستان مارکیٹ</v>
          </cell>
        </row>
        <row r="1241">
          <cell r="A1241" t="str">
            <v>6548/1</v>
          </cell>
          <cell r="B1241">
            <v>6548</v>
          </cell>
          <cell r="C1241">
            <v>45676</v>
          </cell>
          <cell r="D1241" t="str">
            <v>یونس صاحب</v>
          </cell>
          <cell r="E1241" t="str">
            <v>ایم  عمران پاکستان مارکیٹ</v>
          </cell>
        </row>
        <row r="1242">
          <cell r="A1242" t="str">
            <v>356 J</v>
          </cell>
          <cell r="B1242"/>
          <cell r="C1242">
            <v>45677</v>
          </cell>
          <cell r="D1242" t="str">
            <v>OTHERS</v>
          </cell>
          <cell r="E1242" t="str">
            <v>جیلانی پلاسٹک</v>
          </cell>
        </row>
        <row r="1243">
          <cell r="A1243" t="str">
            <v>357 J</v>
          </cell>
          <cell r="B1243">
            <v>11035</v>
          </cell>
          <cell r="C1243">
            <v>45677</v>
          </cell>
          <cell r="D1243" t="str">
            <v>JILANI</v>
          </cell>
          <cell r="E1243" t="str">
            <v>ایم عمران پاکستان مارکیٹ لاہور</v>
          </cell>
        </row>
        <row r="1244">
          <cell r="A1244" t="str">
            <v>358 J</v>
          </cell>
          <cell r="B1244">
            <v>11036</v>
          </cell>
          <cell r="C1244">
            <v>45677</v>
          </cell>
          <cell r="D1244" t="str">
            <v>JILANI</v>
          </cell>
          <cell r="E1244" t="str">
            <v>الکرم فارمیسی ڈنگہ</v>
          </cell>
        </row>
        <row r="1245">
          <cell r="A1245" t="str">
            <v>359 J</v>
          </cell>
          <cell r="B1245">
            <v>11036</v>
          </cell>
          <cell r="C1245">
            <v>45677</v>
          </cell>
          <cell r="D1245" t="str">
            <v>JILANI</v>
          </cell>
          <cell r="E1245" t="str">
            <v>الکرم فارمیسی ڈنگہ</v>
          </cell>
        </row>
        <row r="1246">
          <cell r="A1246" t="str">
            <v>360 J</v>
          </cell>
          <cell r="B1246">
            <v>11037</v>
          </cell>
          <cell r="C1246">
            <v>45677</v>
          </cell>
          <cell r="D1246" t="str">
            <v>JILANI</v>
          </cell>
          <cell r="E1246" t="str">
            <v>عالم پرنٹرز بٹ خیلہ</v>
          </cell>
        </row>
        <row r="1247">
          <cell r="A1247" t="str">
            <v>361 J</v>
          </cell>
          <cell r="B1247">
            <v>11038</v>
          </cell>
          <cell r="C1247">
            <v>45677</v>
          </cell>
          <cell r="D1247" t="str">
            <v>JILANI</v>
          </cell>
          <cell r="E1247" t="str">
            <v>ہدایت خان پشاور</v>
          </cell>
        </row>
        <row r="1248">
          <cell r="A1248" t="str">
            <v>362 J</v>
          </cell>
          <cell r="B1248">
            <v>11039</v>
          </cell>
          <cell r="C1248">
            <v>45677</v>
          </cell>
          <cell r="D1248" t="str">
            <v>JILANI</v>
          </cell>
          <cell r="E1248" t="str">
            <v>پیزا بنک فاسٹ فوڈ کامونکی</v>
          </cell>
        </row>
        <row r="1249">
          <cell r="A1249" t="str">
            <v>363 J</v>
          </cell>
          <cell r="B1249">
            <v>11039</v>
          </cell>
          <cell r="C1249">
            <v>45677</v>
          </cell>
          <cell r="D1249" t="str">
            <v>JILANI</v>
          </cell>
          <cell r="E1249" t="str">
            <v>پیزا بنک فاسٹ فوڈ کامونکی</v>
          </cell>
        </row>
        <row r="1250">
          <cell r="A1250" t="str">
            <v>364 J</v>
          </cell>
          <cell r="B1250">
            <v>11040</v>
          </cell>
          <cell r="C1250">
            <v>45677</v>
          </cell>
          <cell r="D1250" t="str">
            <v>JILANI</v>
          </cell>
          <cell r="E1250" t="str">
            <v>پنجاب پرنٹرز حافظ آباد</v>
          </cell>
        </row>
        <row r="1251">
          <cell r="A1251" t="str">
            <v>365 J</v>
          </cell>
          <cell r="B1251">
            <v>11041</v>
          </cell>
          <cell r="C1251">
            <v>45677</v>
          </cell>
          <cell r="D1251" t="str">
            <v>JILANI</v>
          </cell>
          <cell r="E1251" t="str">
            <v>محبوب پرنٹرز گوجرانوالہ</v>
          </cell>
        </row>
        <row r="1252">
          <cell r="A1252" t="str">
            <v>366 J</v>
          </cell>
          <cell r="B1252">
            <v>11042</v>
          </cell>
          <cell r="C1252">
            <v>45677</v>
          </cell>
          <cell r="D1252" t="str">
            <v>JILANI</v>
          </cell>
          <cell r="E1252" t="str">
            <v>پرائم ایلومینیم سندر</v>
          </cell>
        </row>
        <row r="1253">
          <cell r="A1253" t="str">
            <v>367 J</v>
          </cell>
          <cell r="B1253">
            <v>11042</v>
          </cell>
          <cell r="C1253">
            <v>45677</v>
          </cell>
          <cell r="D1253" t="str">
            <v>JILANI</v>
          </cell>
          <cell r="E1253" t="str">
            <v>پرائم ایلومینیم سندر</v>
          </cell>
        </row>
        <row r="1254">
          <cell r="A1254" t="str">
            <v>368 J</v>
          </cell>
          <cell r="B1254">
            <v>11042</v>
          </cell>
          <cell r="C1254">
            <v>45677</v>
          </cell>
          <cell r="D1254" t="str">
            <v>JILANI</v>
          </cell>
          <cell r="E1254" t="str">
            <v>پرائم ایلومینیم سندر</v>
          </cell>
        </row>
        <row r="1255">
          <cell r="A1255" t="str">
            <v>369 J</v>
          </cell>
          <cell r="B1255">
            <v>11042</v>
          </cell>
          <cell r="C1255">
            <v>45677</v>
          </cell>
          <cell r="D1255" t="str">
            <v>JILANI</v>
          </cell>
          <cell r="E1255" t="str">
            <v>پرائم ایلومینیم سندر</v>
          </cell>
        </row>
        <row r="1256">
          <cell r="A1256" t="str">
            <v>370 J</v>
          </cell>
          <cell r="B1256">
            <v>11043</v>
          </cell>
          <cell r="C1256">
            <v>45677</v>
          </cell>
          <cell r="D1256" t="str">
            <v>JILANI</v>
          </cell>
          <cell r="E1256" t="str">
            <v>نیشنل ربڑ کارپوریشن لاہور</v>
          </cell>
        </row>
        <row r="1257">
          <cell r="A1257" t="str">
            <v>371 J</v>
          </cell>
          <cell r="B1257">
            <v>11044</v>
          </cell>
          <cell r="C1257">
            <v>45677</v>
          </cell>
          <cell r="D1257" t="str">
            <v>JILANI</v>
          </cell>
          <cell r="E1257" t="str">
            <v>اصغر بٹ گوجرانوالہ</v>
          </cell>
        </row>
        <row r="1258">
          <cell r="A1258" t="str">
            <v>372 J</v>
          </cell>
          <cell r="B1258">
            <v>11044</v>
          </cell>
          <cell r="C1258">
            <v>45677</v>
          </cell>
          <cell r="D1258" t="str">
            <v>JILANI</v>
          </cell>
          <cell r="E1258" t="str">
            <v>اصغر بٹ گوجرانوالہ</v>
          </cell>
        </row>
        <row r="1259">
          <cell r="A1259" t="str">
            <v>373 J</v>
          </cell>
          <cell r="B1259">
            <v>11045</v>
          </cell>
          <cell r="C1259">
            <v>45677</v>
          </cell>
          <cell r="D1259" t="str">
            <v>JILANI</v>
          </cell>
          <cell r="E1259" t="str">
            <v>عدنان ایوب آزاد کشمیر</v>
          </cell>
        </row>
        <row r="1260">
          <cell r="A1260" t="str">
            <v>374 J</v>
          </cell>
          <cell r="B1260">
            <v>11046</v>
          </cell>
          <cell r="C1260">
            <v>45677</v>
          </cell>
          <cell r="D1260" t="str">
            <v>JILANI</v>
          </cell>
          <cell r="E1260" t="str">
            <v>صابر کریانہ سٹور سمبڑیال</v>
          </cell>
        </row>
        <row r="1261">
          <cell r="A1261" t="str">
            <v>375 J</v>
          </cell>
          <cell r="B1261">
            <v>11056</v>
          </cell>
          <cell r="C1261">
            <v>45677</v>
          </cell>
          <cell r="D1261" t="str">
            <v>JILANI</v>
          </cell>
          <cell r="E1261" t="str">
            <v>امارات پلاسٹک ٹھوکر نیاز بیگ</v>
          </cell>
        </row>
        <row r="1262">
          <cell r="A1262" t="str">
            <v>971 F</v>
          </cell>
          <cell r="B1262"/>
          <cell r="C1262">
            <v>45678</v>
          </cell>
          <cell r="D1262" t="str">
            <v>فینا</v>
          </cell>
          <cell r="E1262" t="str">
            <v>عثمان امین</v>
          </cell>
        </row>
        <row r="1263">
          <cell r="A1263" t="str">
            <v>972 F</v>
          </cell>
          <cell r="B1263"/>
          <cell r="C1263">
            <v>45678</v>
          </cell>
          <cell r="D1263" t="str">
            <v>فینا</v>
          </cell>
          <cell r="E1263" t="str">
            <v>عثمان امین</v>
          </cell>
        </row>
        <row r="1264">
          <cell r="A1264" t="str">
            <v>973 F</v>
          </cell>
          <cell r="B1264"/>
          <cell r="C1264">
            <v>45678</v>
          </cell>
          <cell r="D1264" t="str">
            <v>فینا</v>
          </cell>
          <cell r="E1264" t="str">
            <v>عثمان امین</v>
          </cell>
        </row>
        <row r="1265">
          <cell r="A1265" t="str">
            <v>974 F</v>
          </cell>
          <cell r="B1265"/>
          <cell r="C1265">
            <v>45678</v>
          </cell>
          <cell r="D1265" t="str">
            <v>فینا</v>
          </cell>
          <cell r="E1265" t="str">
            <v>عثمان امین</v>
          </cell>
        </row>
        <row r="1266">
          <cell r="A1266" t="str">
            <v>975 F</v>
          </cell>
          <cell r="B1266"/>
          <cell r="C1266">
            <v>45678</v>
          </cell>
          <cell r="D1266" t="str">
            <v>فینا</v>
          </cell>
          <cell r="E1266" t="str">
            <v>عثمان امین</v>
          </cell>
        </row>
        <row r="1267">
          <cell r="A1267" t="str">
            <v>976 F</v>
          </cell>
          <cell r="B1267"/>
          <cell r="C1267">
            <v>45678</v>
          </cell>
          <cell r="D1267" t="str">
            <v>فینا</v>
          </cell>
          <cell r="E1267" t="str">
            <v>عثمان امین</v>
          </cell>
        </row>
        <row r="1268">
          <cell r="A1268" t="str">
            <v>977 F</v>
          </cell>
          <cell r="B1268"/>
          <cell r="C1268">
            <v>45678</v>
          </cell>
          <cell r="D1268" t="str">
            <v>فینا</v>
          </cell>
          <cell r="E1268" t="str">
            <v>عثمان امین</v>
          </cell>
        </row>
        <row r="1269">
          <cell r="A1269" t="str">
            <v>978 F</v>
          </cell>
          <cell r="B1269"/>
          <cell r="C1269">
            <v>45678</v>
          </cell>
          <cell r="D1269" t="str">
            <v>فینا</v>
          </cell>
          <cell r="E1269" t="str">
            <v>عثمان امین</v>
          </cell>
        </row>
        <row r="1270">
          <cell r="A1270" t="str">
            <v>376 J</v>
          </cell>
          <cell r="B1270">
            <v>11047</v>
          </cell>
          <cell r="C1270">
            <v>45678</v>
          </cell>
          <cell r="D1270" t="str">
            <v>JILANI</v>
          </cell>
          <cell r="E1270" t="str">
            <v>عالم پرنٹرز بٹ خیلہ</v>
          </cell>
        </row>
        <row r="1271">
          <cell r="A1271" t="str">
            <v>377 J</v>
          </cell>
          <cell r="B1271">
            <v>11048</v>
          </cell>
          <cell r="C1271">
            <v>45678</v>
          </cell>
          <cell r="D1271" t="str">
            <v>JILANI</v>
          </cell>
          <cell r="E1271" t="str">
            <v>شالیمار سویٹس دینا</v>
          </cell>
        </row>
        <row r="1272">
          <cell r="A1272" t="str">
            <v>378 J</v>
          </cell>
          <cell r="B1272">
            <v>11049</v>
          </cell>
          <cell r="C1272">
            <v>45678</v>
          </cell>
          <cell r="D1272" t="str">
            <v>JILANI</v>
          </cell>
          <cell r="E1272" t="str">
            <v>ایچ اے انڈسٹریز پشاور</v>
          </cell>
        </row>
        <row r="1273">
          <cell r="A1273" t="str">
            <v>379 J</v>
          </cell>
          <cell r="B1273">
            <v>11050</v>
          </cell>
          <cell r="C1273">
            <v>45678</v>
          </cell>
          <cell r="D1273" t="str">
            <v>JILANI</v>
          </cell>
          <cell r="E1273" t="str">
            <v>ایچ اے انڈسٹریز پشاور</v>
          </cell>
        </row>
        <row r="1274">
          <cell r="A1274" t="str">
            <v>380 J</v>
          </cell>
          <cell r="B1274">
            <v>11051</v>
          </cell>
          <cell r="C1274">
            <v>45678</v>
          </cell>
          <cell r="D1274" t="str">
            <v>JILANI</v>
          </cell>
          <cell r="E1274" t="str">
            <v>عالم پرنٹرز بٹ خیلہ</v>
          </cell>
        </row>
        <row r="1275">
          <cell r="A1275" t="str">
            <v>381 J</v>
          </cell>
          <cell r="B1275">
            <v>11052</v>
          </cell>
          <cell r="C1275">
            <v>45678</v>
          </cell>
          <cell r="D1275" t="str">
            <v>JILANI</v>
          </cell>
          <cell r="E1275" t="str">
            <v>عالم پرنٹرز بٹ خیلہ</v>
          </cell>
        </row>
        <row r="1276">
          <cell r="A1276" t="str">
            <v>382 J</v>
          </cell>
          <cell r="B1276">
            <v>11053</v>
          </cell>
          <cell r="C1276">
            <v>45678</v>
          </cell>
          <cell r="D1276" t="str">
            <v>JILANI</v>
          </cell>
          <cell r="E1276" t="str">
            <v>توصیف بٹ گوجرانوالہ</v>
          </cell>
        </row>
        <row r="1277">
          <cell r="A1277" t="str">
            <v>383 J</v>
          </cell>
          <cell r="B1277">
            <v>11053</v>
          </cell>
          <cell r="C1277">
            <v>45678</v>
          </cell>
          <cell r="D1277" t="str">
            <v>JILANI</v>
          </cell>
          <cell r="E1277" t="str">
            <v>توصیف بٹ گوجرانوالہ</v>
          </cell>
        </row>
        <row r="1278">
          <cell r="A1278" t="str">
            <v>384 J</v>
          </cell>
          <cell r="B1278">
            <v>11053</v>
          </cell>
          <cell r="C1278">
            <v>45678</v>
          </cell>
          <cell r="D1278" t="str">
            <v>JILANI</v>
          </cell>
          <cell r="E1278" t="str">
            <v>توصیف بٹ گوجرانوالہ</v>
          </cell>
        </row>
        <row r="1279">
          <cell r="A1279" t="str">
            <v>385 J</v>
          </cell>
          <cell r="B1279">
            <v>11054</v>
          </cell>
          <cell r="C1279">
            <v>45678</v>
          </cell>
          <cell r="D1279" t="str">
            <v>JILANI</v>
          </cell>
          <cell r="E1279" t="str">
            <v>برجر پینٹ لاہور</v>
          </cell>
        </row>
        <row r="1280">
          <cell r="A1280" t="str">
            <v>386 J</v>
          </cell>
          <cell r="B1280">
            <v>11055</v>
          </cell>
          <cell r="C1280">
            <v>45678</v>
          </cell>
          <cell r="D1280" t="str">
            <v>JILANI</v>
          </cell>
          <cell r="E1280" t="str">
            <v>شیخ شیراز سیالکوٹ</v>
          </cell>
        </row>
        <row r="1281">
          <cell r="A1281" t="str">
            <v>387 J</v>
          </cell>
          <cell r="B1281">
            <v>11057</v>
          </cell>
          <cell r="C1281">
            <v>45679</v>
          </cell>
          <cell r="D1281" t="str">
            <v>JILANI</v>
          </cell>
          <cell r="E1281" t="str">
            <v>عرفان صاحب اعظم مارکیٹ</v>
          </cell>
        </row>
        <row r="1282">
          <cell r="A1282" t="str">
            <v>388 J</v>
          </cell>
          <cell r="B1282">
            <v>11058</v>
          </cell>
          <cell r="C1282">
            <v>45679</v>
          </cell>
          <cell r="D1282" t="str">
            <v>JILANI</v>
          </cell>
          <cell r="E1282" t="str">
            <v>زمرد کلاتھ ہاؤس سرائے عالمگیر</v>
          </cell>
        </row>
        <row r="1283">
          <cell r="A1283" t="str">
            <v>389 J</v>
          </cell>
          <cell r="B1283">
            <v>11058</v>
          </cell>
          <cell r="C1283">
            <v>45679</v>
          </cell>
          <cell r="D1283" t="str">
            <v>JILANI</v>
          </cell>
          <cell r="E1283" t="str">
            <v>زمرد کلاتھ ہاؤس سرائے عالمگیر</v>
          </cell>
        </row>
        <row r="1284">
          <cell r="A1284" t="str">
            <v>390 J</v>
          </cell>
          <cell r="B1284">
            <v>11059</v>
          </cell>
          <cell r="C1284">
            <v>45679</v>
          </cell>
          <cell r="D1284" t="str">
            <v>JILANI</v>
          </cell>
          <cell r="E1284" t="str">
            <v>پاک پلاسٹک لاہور</v>
          </cell>
        </row>
        <row r="1285">
          <cell r="A1285" t="str">
            <v>391 J</v>
          </cell>
          <cell r="B1285">
            <v>11061</v>
          </cell>
          <cell r="C1285">
            <v>45679</v>
          </cell>
          <cell r="D1285" t="str">
            <v>JILANI</v>
          </cell>
          <cell r="E1285" t="str">
            <v>لیاقت بھٹی رنگ محل لاہور</v>
          </cell>
        </row>
        <row r="1286">
          <cell r="A1286" t="str">
            <v>392 J</v>
          </cell>
          <cell r="B1286">
            <v>11061</v>
          </cell>
          <cell r="C1286">
            <v>45679</v>
          </cell>
          <cell r="D1286" t="str">
            <v>JILANI</v>
          </cell>
          <cell r="E1286" t="str">
            <v>لیاقت بھٹی رنگ محل لاہور</v>
          </cell>
        </row>
        <row r="1287">
          <cell r="A1287" t="str">
            <v>393 J</v>
          </cell>
          <cell r="B1287">
            <v>11061</v>
          </cell>
          <cell r="C1287">
            <v>45679</v>
          </cell>
          <cell r="D1287" t="str">
            <v>JILANI</v>
          </cell>
          <cell r="E1287" t="str">
            <v>لیاقت بھٹی رنگ محل لاہور</v>
          </cell>
        </row>
        <row r="1288">
          <cell r="A1288" t="str">
            <v>394 J</v>
          </cell>
          <cell r="B1288">
            <v>11061</v>
          </cell>
          <cell r="C1288">
            <v>45679</v>
          </cell>
          <cell r="D1288" t="str">
            <v>JILANI</v>
          </cell>
          <cell r="E1288" t="str">
            <v>لیاقت بھٹی رنگ محل لاہور</v>
          </cell>
        </row>
        <row r="1289">
          <cell r="A1289" t="str">
            <v>395 J</v>
          </cell>
          <cell r="B1289">
            <v>11061</v>
          </cell>
          <cell r="C1289">
            <v>45679</v>
          </cell>
          <cell r="D1289" t="str">
            <v>JILANI</v>
          </cell>
          <cell r="E1289" t="str">
            <v>لیاقت بھٹی رنگ محل لاہور</v>
          </cell>
        </row>
        <row r="1290">
          <cell r="A1290" t="str">
            <v>396 J</v>
          </cell>
          <cell r="B1290">
            <v>11061</v>
          </cell>
          <cell r="C1290">
            <v>45679</v>
          </cell>
          <cell r="D1290" t="str">
            <v>JILANI</v>
          </cell>
          <cell r="E1290" t="str">
            <v>لیاقت بھٹی رنگ محل لاہور</v>
          </cell>
        </row>
        <row r="1291">
          <cell r="A1291" t="str">
            <v>397 J</v>
          </cell>
          <cell r="B1291">
            <v>11062</v>
          </cell>
          <cell r="C1291">
            <v>45679</v>
          </cell>
          <cell r="D1291" t="str">
            <v>JILANI</v>
          </cell>
          <cell r="E1291" t="str">
            <v>فینسی گارمنٹس کامونکی</v>
          </cell>
        </row>
        <row r="1292">
          <cell r="A1292" t="str">
            <v>398 J</v>
          </cell>
          <cell r="B1292">
            <v>11062</v>
          </cell>
          <cell r="C1292">
            <v>45679</v>
          </cell>
          <cell r="D1292" t="str">
            <v>JILANI</v>
          </cell>
          <cell r="E1292" t="str">
            <v>فینسی گارمنٹس کامونکی</v>
          </cell>
        </row>
        <row r="1293">
          <cell r="A1293" t="str">
            <v>399 J</v>
          </cell>
          <cell r="B1293">
            <v>11063</v>
          </cell>
          <cell r="C1293">
            <v>45679</v>
          </cell>
          <cell r="D1293" t="str">
            <v>JILANI</v>
          </cell>
          <cell r="E1293" t="str">
            <v>صوبان کلاتھ ہاؤس ننکانہ</v>
          </cell>
        </row>
        <row r="1294">
          <cell r="A1294" t="str">
            <v>400 J</v>
          </cell>
          <cell r="B1294">
            <v>11064</v>
          </cell>
          <cell r="C1294">
            <v>45679</v>
          </cell>
          <cell r="D1294" t="str">
            <v>JILANI</v>
          </cell>
          <cell r="E1294" t="str">
            <v>عثمان عارف بٹ گوجرانولہ</v>
          </cell>
        </row>
        <row r="1295">
          <cell r="A1295" t="str">
            <v>401 J</v>
          </cell>
          <cell r="B1295">
            <v>11064</v>
          </cell>
          <cell r="C1295">
            <v>45679</v>
          </cell>
          <cell r="D1295" t="str">
            <v>JILANI</v>
          </cell>
          <cell r="E1295" t="str">
            <v>عثمان عارف بٹ گوجرانولہ</v>
          </cell>
        </row>
        <row r="1296">
          <cell r="A1296" t="str">
            <v>402 J</v>
          </cell>
          <cell r="B1296">
            <v>11064</v>
          </cell>
          <cell r="C1296">
            <v>45679</v>
          </cell>
          <cell r="D1296" t="str">
            <v>JILANI</v>
          </cell>
          <cell r="E1296" t="str">
            <v>عثمان عارف بٹ گوجرانولہ</v>
          </cell>
        </row>
        <row r="1297">
          <cell r="A1297" t="str">
            <v>403 J</v>
          </cell>
          <cell r="B1297">
            <v>11064</v>
          </cell>
          <cell r="C1297">
            <v>45679</v>
          </cell>
          <cell r="D1297" t="str">
            <v>JILANI</v>
          </cell>
          <cell r="E1297" t="str">
            <v>عثمان عارف بٹ گوجرانولہ</v>
          </cell>
        </row>
        <row r="1298">
          <cell r="A1298" t="str">
            <v>404 J</v>
          </cell>
          <cell r="B1298">
            <v>11065</v>
          </cell>
          <cell r="C1298">
            <v>45679</v>
          </cell>
          <cell r="D1298" t="str">
            <v>JILANI</v>
          </cell>
          <cell r="E1298" t="str">
            <v>عثمان عارف بٹ گوجرانولہ</v>
          </cell>
        </row>
        <row r="1299">
          <cell r="A1299" t="str">
            <v>405 J</v>
          </cell>
          <cell r="B1299">
            <v>11065</v>
          </cell>
          <cell r="C1299">
            <v>45679</v>
          </cell>
          <cell r="D1299" t="str">
            <v>JILANI</v>
          </cell>
          <cell r="E1299" t="str">
            <v>عثمان عارف بٹ گوجرانولہ</v>
          </cell>
        </row>
        <row r="1300">
          <cell r="A1300" t="str">
            <v>406 J</v>
          </cell>
          <cell r="B1300">
            <v>11065</v>
          </cell>
          <cell r="C1300">
            <v>45679</v>
          </cell>
          <cell r="D1300" t="str">
            <v>JILANI</v>
          </cell>
          <cell r="E1300" t="str">
            <v>عثمان عارف بٹ گوجرانولہ</v>
          </cell>
        </row>
        <row r="1301">
          <cell r="A1301" t="str">
            <v>407 J</v>
          </cell>
          <cell r="B1301">
            <v>11065</v>
          </cell>
          <cell r="C1301">
            <v>45679</v>
          </cell>
          <cell r="D1301" t="str">
            <v>JILANI</v>
          </cell>
          <cell r="E1301" t="str">
            <v>عثمان عارف بٹ گوجرانولہ</v>
          </cell>
        </row>
        <row r="1302">
          <cell r="A1302" t="str">
            <v>408 J</v>
          </cell>
          <cell r="B1302">
            <v>11066</v>
          </cell>
          <cell r="C1302">
            <v>45679</v>
          </cell>
          <cell r="D1302" t="str">
            <v>JILANI</v>
          </cell>
          <cell r="E1302" t="str">
            <v>مغل پلاسٹک لیہ</v>
          </cell>
        </row>
        <row r="1303">
          <cell r="A1303" t="str">
            <v>409 J</v>
          </cell>
          <cell r="B1303">
            <v>11067</v>
          </cell>
          <cell r="C1303">
            <v>45679</v>
          </cell>
          <cell r="D1303" t="str">
            <v>JILANI</v>
          </cell>
          <cell r="E1303" t="str">
            <v>عثمان عارف بٹ گوجرانولہ</v>
          </cell>
        </row>
        <row r="1304">
          <cell r="A1304" t="str">
            <v>410 J</v>
          </cell>
          <cell r="B1304">
            <v>11067</v>
          </cell>
          <cell r="C1304">
            <v>45679</v>
          </cell>
          <cell r="D1304" t="str">
            <v>JILANI</v>
          </cell>
          <cell r="E1304" t="str">
            <v>عثمان عارف بٹ گوجرانولہ</v>
          </cell>
        </row>
        <row r="1305">
          <cell r="A1305" t="str">
            <v>411 J</v>
          </cell>
          <cell r="B1305">
            <v>11067</v>
          </cell>
          <cell r="C1305">
            <v>45679</v>
          </cell>
          <cell r="D1305" t="str">
            <v>JILANI</v>
          </cell>
          <cell r="E1305" t="str">
            <v>عثمان عارف بٹ گوجرانولہ</v>
          </cell>
        </row>
        <row r="1306">
          <cell r="A1306" t="str">
            <v>412 J</v>
          </cell>
          <cell r="B1306">
            <v>11067</v>
          </cell>
          <cell r="C1306">
            <v>45679</v>
          </cell>
          <cell r="D1306" t="str">
            <v>JILANI</v>
          </cell>
          <cell r="E1306" t="str">
            <v>عثمان عارف بٹ گوجرانولہ</v>
          </cell>
        </row>
        <row r="1307">
          <cell r="A1307" t="str">
            <v>979 F</v>
          </cell>
          <cell r="B1307"/>
          <cell r="C1307">
            <v>45679</v>
          </cell>
          <cell r="D1307" t="str">
            <v>فینا</v>
          </cell>
          <cell r="E1307" t="str">
            <v>عثمان امین</v>
          </cell>
        </row>
        <row r="1308">
          <cell r="A1308" t="str">
            <v>980 F</v>
          </cell>
          <cell r="B1308"/>
          <cell r="C1308">
            <v>45679</v>
          </cell>
          <cell r="D1308" t="str">
            <v>فینا</v>
          </cell>
          <cell r="E1308" t="str">
            <v>عثمان امین</v>
          </cell>
        </row>
        <row r="1309">
          <cell r="A1309" t="str">
            <v>981 F</v>
          </cell>
          <cell r="B1309"/>
          <cell r="C1309">
            <v>45679</v>
          </cell>
          <cell r="D1309" t="str">
            <v>فینا</v>
          </cell>
          <cell r="E1309" t="str">
            <v>عثمان امین</v>
          </cell>
        </row>
        <row r="1310">
          <cell r="A1310" t="str">
            <v>982 F</v>
          </cell>
          <cell r="B1310"/>
          <cell r="C1310">
            <v>45679</v>
          </cell>
          <cell r="D1310" t="str">
            <v>فینا</v>
          </cell>
          <cell r="E1310" t="str">
            <v>عثمان امین</v>
          </cell>
        </row>
        <row r="1311">
          <cell r="A1311" t="str">
            <v>6551/1</v>
          </cell>
          <cell r="B1311">
            <v>6551</v>
          </cell>
          <cell r="C1311">
            <v>45676</v>
          </cell>
          <cell r="D1311" t="str">
            <v>یونس صاحب</v>
          </cell>
          <cell r="E1311" t="str">
            <v>شاہد اقبال جہانیان</v>
          </cell>
        </row>
        <row r="1312">
          <cell r="A1312" t="str">
            <v>6551/2</v>
          </cell>
          <cell r="B1312">
            <v>6551</v>
          </cell>
          <cell r="C1312">
            <v>45676</v>
          </cell>
          <cell r="D1312" t="str">
            <v>یونس صاحب</v>
          </cell>
          <cell r="E1312" t="str">
            <v>شاہد اقبال جہانیان</v>
          </cell>
        </row>
        <row r="1313">
          <cell r="A1313" t="str">
            <v>6551/3</v>
          </cell>
          <cell r="B1313">
            <v>6551</v>
          </cell>
          <cell r="C1313">
            <v>45676</v>
          </cell>
          <cell r="D1313" t="str">
            <v>یونس صاحب</v>
          </cell>
          <cell r="E1313" t="str">
            <v>شاہد اقبال جہانیان</v>
          </cell>
        </row>
        <row r="1314">
          <cell r="A1314" t="str">
            <v>6551/4</v>
          </cell>
          <cell r="B1314">
            <v>6551</v>
          </cell>
          <cell r="C1314">
            <v>45676</v>
          </cell>
          <cell r="D1314" t="str">
            <v>یونس صاحب</v>
          </cell>
          <cell r="E1314" t="str">
            <v>شاہد اقبال جہانیان</v>
          </cell>
        </row>
        <row r="1315">
          <cell r="A1315" t="str">
            <v>6551/5</v>
          </cell>
          <cell r="B1315">
            <v>6551</v>
          </cell>
          <cell r="C1315">
            <v>45676</v>
          </cell>
          <cell r="D1315" t="str">
            <v>یونس صاحب</v>
          </cell>
          <cell r="E1315" t="str">
            <v>شاہد اقبال جہانیان</v>
          </cell>
        </row>
        <row r="1316">
          <cell r="A1316" t="str">
            <v>6552/1</v>
          </cell>
          <cell r="B1316">
            <v>6552</v>
          </cell>
          <cell r="C1316">
            <v>45676</v>
          </cell>
          <cell r="D1316" t="str">
            <v>یونس صاحب</v>
          </cell>
          <cell r="E1316" t="str">
            <v>محبوب مقبول گوجرانوالہ</v>
          </cell>
        </row>
        <row r="1317">
          <cell r="A1317" t="str">
            <v>6552/2</v>
          </cell>
          <cell r="B1317">
            <v>6552</v>
          </cell>
          <cell r="C1317">
            <v>45676</v>
          </cell>
          <cell r="D1317" t="str">
            <v>یونس صاحب</v>
          </cell>
          <cell r="E1317" t="str">
            <v>محبوب مقبول گوجرانوالہ</v>
          </cell>
        </row>
        <row r="1318">
          <cell r="A1318" t="str">
            <v>6552/3</v>
          </cell>
          <cell r="B1318">
            <v>6552</v>
          </cell>
          <cell r="C1318">
            <v>45676</v>
          </cell>
          <cell r="D1318" t="str">
            <v>یونس صاحب</v>
          </cell>
          <cell r="E1318" t="str">
            <v>محبوب مقبول گوجرانوالہ</v>
          </cell>
        </row>
        <row r="1319">
          <cell r="A1319" t="str">
            <v>6552/4</v>
          </cell>
          <cell r="B1319">
            <v>6552</v>
          </cell>
          <cell r="C1319">
            <v>45676</v>
          </cell>
          <cell r="D1319" t="str">
            <v>یونس صاحب</v>
          </cell>
          <cell r="E1319" t="str">
            <v>محبوب مقبول گوجرانوالہ</v>
          </cell>
        </row>
        <row r="1320">
          <cell r="A1320" t="str">
            <v>6553/1</v>
          </cell>
          <cell r="B1320">
            <v>6553</v>
          </cell>
          <cell r="C1320">
            <v>45678</v>
          </cell>
          <cell r="D1320" t="str">
            <v>یونس صاحب</v>
          </cell>
          <cell r="E1320" t="str">
            <v>فیصل پلاسٹک فیصل آباد</v>
          </cell>
        </row>
        <row r="1321">
          <cell r="A1321" t="str">
            <v>6553/2</v>
          </cell>
          <cell r="B1321">
            <v>6553</v>
          </cell>
          <cell r="C1321">
            <v>45678</v>
          </cell>
          <cell r="D1321" t="str">
            <v>یونس صاحب</v>
          </cell>
          <cell r="E1321" t="str">
            <v>فیصل پلاسٹک فیصل آباد</v>
          </cell>
        </row>
        <row r="1322">
          <cell r="A1322" t="str">
            <v>6553/3</v>
          </cell>
          <cell r="B1322">
            <v>6553</v>
          </cell>
          <cell r="C1322">
            <v>45678</v>
          </cell>
          <cell r="D1322" t="str">
            <v>یونس صاحب</v>
          </cell>
          <cell r="E1322" t="str">
            <v>فیصل پلاسٹک فیصل آباد</v>
          </cell>
        </row>
        <row r="1323">
          <cell r="A1323" t="str">
            <v>6553/4</v>
          </cell>
          <cell r="B1323">
            <v>6553</v>
          </cell>
          <cell r="C1323">
            <v>45678</v>
          </cell>
          <cell r="D1323" t="str">
            <v>یونس صاحب</v>
          </cell>
          <cell r="E1323" t="str">
            <v>فیصل پلاسٹک فیصل آباد</v>
          </cell>
        </row>
        <row r="1324">
          <cell r="A1324" t="str">
            <v>6553/5</v>
          </cell>
          <cell r="B1324">
            <v>6553</v>
          </cell>
          <cell r="C1324">
            <v>45678</v>
          </cell>
          <cell r="D1324" t="str">
            <v>یونس صاحب</v>
          </cell>
          <cell r="E1324" t="str">
            <v>فیصل پلاسٹک فیصل آباد</v>
          </cell>
        </row>
        <row r="1325">
          <cell r="A1325" t="str">
            <v>6553/6</v>
          </cell>
          <cell r="B1325">
            <v>6553</v>
          </cell>
          <cell r="C1325">
            <v>45678</v>
          </cell>
          <cell r="D1325" t="str">
            <v>یونس صاحب</v>
          </cell>
          <cell r="E1325" t="str">
            <v>فیصل پلاسٹک فیصل آباد</v>
          </cell>
        </row>
        <row r="1326">
          <cell r="A1326" t="str">
            <v>6553/7</v>
          </cell>
          <cell r="B1326">
            <v>6553</v>
          </cell>
          <cell r="C1326">
            <v>45678</v>
          </cell>
          <cell r="D1326" t="str">
            <v>یونس صاحب</v>
          </cell>
          <cell r="E1326" t="str">
            <v>فیصل پلاسٹک فیصل آباد</v>
          </cell>
        </row>
        <row r="1327">
          <cell r="A1327" t="str">
            <v>6553/8</v>
          </cell>
          <cell r="B1327">
            <v>6553</v>
          </cell>
          <cell r="C1327">
            <v>45678</v>
          </cell>
          <cell r="D1327" t="str">
            <v>یونس صاحب</v>
          </cell>
          <cell r="E1327" t="str">
            <v>فیصل پلاسٹک فیصل آباد</v>
          </cell>
        </row>
        <row r="1328">
          <cell r="A1328" t="str">
            <v>6553/9</v>
          </cell>
          <cell r="B1328">
            <v>6553</v>
          </cell>
          <cell r="C1328">
            <v>45678</v>
          </cell>
          <cell r="D1328" t="str">
            <v>یونس صاحب</v>
          </cell>
          <cell r="E1328" t="str">
            <v>فیصل پلاسٹک فیصل آباد</v>
          </cell>
        </row>
        <row r="1329">
          <cell r="A1329" t="str">
            <v>6553/10</v>
          </cell>
          <cell r="B1329">
            <v>6553</v>
          </cell>
          <cell r="C1329">
            <v>45678</v>
          </cell>
          <cell r="D1329" t="str">
            <v>یونس صاحب</v>
          </cell>
          <cell r="E1329" t="str">
            <v>فیصل پلاسٹک فیصل آباد</v>
          </cell>
        </row>
        <row r="1330">
          <cell r="A1330" t="str">
            <v>6554/1</v>
          </cell>
          <cell r="B1330">
            <v>6554</v>
          </cell>
          <cell r="C1330">
            <v>45678</v>
          </cell>
          <cell r="D1330" t="str">
            <v>یونس صاحب</v>
          </cell>
          <cell r="E1330" t="str">
            <v>طیب پلاسٹک گوجرانوالہ</v>
          </cell>
        </row>
        <row r="1331">
          <cell r="A1331" t="str">
            <v>6555/1</v>
          </cell>
          <cell r="B1331">
            <v>6555</v>
          </cell>
          <cell r="C1331">
            <v>45678</v>
          </cell>
          <cell r="D1331" t="str">
            <v>یونس صاحب</v>
          </cell>
          <cell r="E1331" t="str">
            <v>طیب پلاسٹک گوجرانوالہ</v>
          </cell>
        </row>
        <row r="1332">
          <cell r="A1332" t="str">
            <v>6556/1</v>
          </cell>
          <cell r="B1332">
            <v>6556</v>
          </cell>
          <cell r="C1332">
            <v>45678</v>
          </cell>
          <cell r="D1332" t="str">
            <v>یونس صاحب</v>
          </cell>
          <cell r="E1332" t="str">
            <v>محبوب مقبول گوجرانوالہ</v>
          </cell>
        </row>
        <row r="1333">
          <cell r="A1333" t="str">
            <v>6557/1</v>
          </cell>
          <cell r="B1333">
            <v>6557</v>
          </cell>
          <cell r="C1333">
            <v>45678</v>
          </cell>
          <cell r="D1333" t="str">
            <v>یونس صاحب</v>
          </cell>
          <cell r="E1333" t="str">
            <v>محبوب مقبول گوجرانوالہ</v>
          </cell>
        </row>
        <row r="1334">
          <cell r="A1334" t="str">
            <v>6557/2</v>
          </cell>
          <cell r="B1334">
            <v>6557</v>
          </cell>
          <cell r="C1334">
            <v>45678</v>
          </cell>
          <cell r="D1334" t="str">
            <v>یونس صاحب</v>
          </cell>
          <cell r="E1334" t="str">
            <v>محبوب مقبول گوجرانوالہ</v>
          </cell>
        </row>
        <row r="1335">
          <cell r="A1335" t="str">
            <v>6557/3</v>
          </cell>
          <cell r="B1335">
            <v>6557</v>
          </cell>
          <cell r="C1335">
            <v>45678</v>
          </cell>
          <cell r="D1335" t="str">
            <v>یونس صاحب</v>
          </cell>
          <cell r="E1335" t="str">
            <v>محبوب مقبول گوجرانوالہ</v>
          </cell>
        </row>
        <row r="1336">
          <cell r="A1336" t="str">
            <v>6557/4</v>
          </cell>
          <cell r="B1336">
            <v>6557</v>
          </cell>
          <cell r="C1336">
            <v>45678</v>
          </cell>
          <cell r="D1336" t="str">
            <v>یونس صاحب</v>
          </cell>
          <cell r="E1336" t="str">
            <v>محبوب مقبول گوجرانوالہ</v>
          </cell>
        </row>
        <row r="1337">
          <cell r="A1337" t="str">
            <v>6557/5</v>
          </cell>
          <cell r="B1337">
            <v>6557</v>
          </cell>
          <cell r="C1337">
            <v>45678</v>
          </cell>
          <cell r="D1337" t="str">
            <v>یونس صاحب</v>
          </cell>
          <cell r="E1337" t="str">
            <v>محبوب مقبول گوجرانوالہ</v>
          </cell>
        </row>
        <row r="1338">
          <cell r="A1338" t="str">
            <v>6557/6</v>
          </cell>
          <cell r="B1338">
            <v>6557</v>
          </cell>
          <cell r="C1338">
            <v>45678</v>
          </cell>
          <cell r="D1338" t="str">
            <v>یونس صاحب</v>
          </cell>
          <cell r="E1338" t="str">
            <v>محبوب مقبول گوجرانوالہ</v>
          </cell>
        </row>
        <row r="1339">
          <cell r="A1339" t="str">
            <v>6558/1</v>
          </cell>
          <cell r="B1339">
            <v>6558</v>
          </cell>
          <cell r="C1339">
            <v>45678</v>
          </cell>
          <cell r="D1339" t="str">
            <v>یونس صاحب</v>
          </cell>
          <cell r="E1339" t="str">
            <v>وحید پلاسٹک گوجرانوالہ</v>
          </cell>
        </row>
        <row r="1340">
          <cell r="A1340" t="str">
            <v>6558/2</v>
          </cell>
          <cell r="B1340">
            <v>6558</v>
          </cell>
          <cell r="C1340">
            <v>45678</v>
          </cell>
          <cell r="D1340" t="str">
            <v>یونس صاحب</v>
          </cell>
          <cell r="E1340" t="str">
            <v>وحید پلاسٹک گوجرانوالہ</v>
          </cell>
        </row>
        <row r="1341">
          <cell r="A1341" t="str">
            <v>983 F</v>
          </cell>
          <cell r="B1341"/>
          <cell r="C1341">
            <v>45680</v>
          </cell>
          <cell r="D1341" t="str">
            <v>فینا</v>
          </cell>
          <cell r="E1341" t="str">
            <v>عثمان امین</v>
          </cell>
        </row>
        <row r="1342">
          <cell r="A1342" t="str">
            <v>984 F</v>
          </cell>
          <cell r="B1342"/>
          <cell r="C1342">
            <v>45680</v>
          </cell>
          <cell r="D1342" t="str">
            <v>فینا</v>
          </cell>
          <cell r="E1342" t="str">
            <v>عثمان امین</v>
          </cell>
        </row>
        <row r="1343">
          <cell r="A1343" t="str">
            <v>985 F</v>
          </cell>
          <cell r="B1343"/>
          <cell r="C1343">
            <v>45680</v>
          </cell>
          <cell r="D1343" t="str">
            <v>فینا</v>
          </cell>
          <cell r="E1343" t="str">
            <v>عثمان امین</v>
          </cell>
        </row>
        <row r="1344">
          <cell r="A1344" t="str">
            <v>986 F</v>
          </cell>
          <cell r="B1344"/>
          <cell r="C1344">
            <v>45680</v>
          </cell>
          <cell r="D1344" t="str">
            <v>فینا</v>
          </cell>
          <cell r="E1344" t="str">
            <v>عثمان امین</v>
          </cell>
        </row>
        <row r="1345">
          <cell r="A1345" t="str">
            <v>987 F</v>
          </cell>
          <cell r="B1345"/>
          <cell r="C1345">
            <v>45680</v>
          </cell>
          <cell r="D1345" t="str">
            <v>فینا</v>
          </cell>
          <cell r="E1345" t="str">
            <v>عثمان امین</v>
          </cell>
        </row>
        <row r="1346">
          <cell r="A1346" t="str">
            <v>988 F</v>
          </cell>
          <cell r="B1346"/>
          <cell r="C1346">
            <v>45681</v>
          </cell>
          <cell r="D1346" t="str">
            <v>فینا</v>
          </cell>
          <cell r="E1346" t="str">
            <v>عثمان امین</v>
          </cell>
        </row>
        <row r="1347">
          <cell r="A1347" t="str">
            <v>989 F</v>
          </cell>
          <cell r="B1347"/>
          <cell r="C1347">
            <v>45681</v>
          </cell>
          <cell r="D1347" t="str">
            <v>فینا</v>
          </cell>
          <cell r="E1347" t="str">
            <v>عثمان امین</v>
          </cell>
        </row>
        <row r="1348">
          <cell r="A1348" t="str">
            <v>990 F</v>
          </cell>
          <cell r="B1348"/>
          <cell r="C1348">
            <v>45681</v>
          </cell>
          <cell r="D1348" t="str">
            <v>فینا</v>
          </cell>
          <cell r="E1348" t="str">
            <v>عثمان امین</v>
          </cell>
        </row>
        <row r="1349">
          <cell r="A1349" t="str">
            <v>991 F</v>
          </cell>
          <cell r="B1349"/>
          <cell r="C1349">
            <v>45681</v>
          </cell>
          <cell r="D1349" t="str">
            <v>فینا</v>
          </cell>
          <cell r="E1349" t="str">
            <v>عثمان امین</v>
          </cell>
        </row>
        <row r="1350">
          <cell r="A1350" t="str">
            <v>992 F</v>
          </cell>
          <cell r="B1350"/>
          <cell r="C1350">
            <v>45681</v>
          </cell>
          <cell r="D1350" t="str">
            <v>فینا</v>
          </cell>
          <cell r="E1350" t="str">
            <v>عثمان امین</v>
          </cell>
        </row>
        <row r="1351">
          <cell r="A1351" t="str">
            <v>993 F</v>
          </cell>
          <cell r="B1351"/>
          <cell r="C1351">
            <v>45681</v>
          </cell>
          <cell r="D1351" t="str">
            <v>فینا</v>
          </cell>
          <cell r="E1351" t="str">
            <v>عثمان امین</v>
          </cell>
        </row>
        <row r="1352">
          <cell r="A1352" t="str">
            <v>994 F</v>
          </cell>
          <cell r="B1352"/>
          <cell r="C1352">
            <v>45681</v>
          </cell>
          <cell r="D1352" t="str">
            <v>فینا</v>
          </cell>
          <cell r="E1352" t="str">
            <v>عثمان امین</v>
          </cell>
        </row>
        <row r="1353">
          <cell r="A1353" t="str">
            <v>413 j</v>
          </cell>
          <cell r="B1353"/>
          <cell r="C1353">
            <v>45679</v>
          </cell>
          <cell r="D1353" t="str">
            <v>OTHERS</v>
          </cell>
          <cell r="E1353" t="str">
            <v>جیلانی پلاسٹک</v>
          </cell>
        </row>
        <row r="1354">
          <cell r="A1354" t="str">
            <v>414 J</v>
          </cell>
          <cell r="B1354">
            <v>10973</v>
          </cell>
          <cell r="C1354">
            <v>45670</v>
          </cell>
          <cell r="D1354" t="str">
            <v>JILANI</v>
          </cell>
          <cell r="E1354" t="str">
            <v>عالم پرنٹرز بٹ خیلہ</v>
          </cell>
        </row>
        <row r="1355">
          <cell r="A1355" t="str">
            <v>415 J</v>
          </cell>
          <cell r="B1355"/>
          <cell r="C1355">
            <v>45681</v>
          </cell>
          <cell r="D1355" t="str">
            <v>OTHERS</v>
          </cell>
          <cell r="E1355" t="str">
            <v>جیلانی پلاسٹک</v>
          </cell>
        </row>
        <row r="1356">
          <cell r="A1356" t="str">
            <v>416 J</v>
          </cell>
          <cell r="B1356">
            <v>11068</v>
          </cell>
          <cell r="C1356">
            <v>45680</v>
          </cell>
          <cell r="D1356" t="str">
            <v>JILANI</v>
          </cell>
          <cell r="E1356" t="str">
            <v>عالم پرنٹرز بٹ خیلہ</v>
          </cell>
        </row>
        <row r="1357">
          <cell r="A1357" t="str">
            <v>417 J</v>
          </cell>
          <cell r="B1357">
            <v>11068</v>
          </cell>
          <cell r="C1357">
            <v>45680</v>
          </cell>
          <cell r="D1357" t="str">
            <v>JILANI</v>
          </cell>
          <cell r="E1357" t="str">
            <v>عالم پرنٹرز بٹ خیلہ</v>
          </cell>
        </row>
        <row r="1358">
          <cell r="A1358" t="str">
            <v>418 J</v>
          </cell>
          <cell r="B1358">
            <v>11068</v>
          </cell>
          <cell r="C1358">
            <v>45680</v>
          </cell>
          <cell r="D1358" t="str">
            <v>JILANI</v>
          </cell>
          <cell r="E1358" t="str">
            <v>عالم پرنٹرز بٹ خیلہ</v>
          </cell>
        </row>
        <row r="1359">
          <cell r="A1359" t="str">
            <v>419 J</v>
          </cell>
          <cell r="B1359">
            <v>11069</v>
          </cell>
          <cell r="C1359">
            <v>45680</v>
          </cell>
          <cell r="D1359" t="str">
            <v>JILANI</v>
          </cell>
          <cell r="E1359" t="str">
            <v>اٹلس ہنڈا لمیٹڈ شیخوپورہ</v>
          </cell>
        </row>
        <row r="1360">
          <cell r="A1360" t="str">
            <v>420 J</v>
          </cell>
          <cell r="B1360">
            <v>11070</v>
          </cell>
          <cell r="C1360">
            <v>45680</v>
          </cell>
          <cell r="D1360" t="str">
            <v>JILANI</v>
          </cell>
          <cell r="E1360" t="str">
            <v>اٹلس ہنڈا لمیٹڈ شیخوپورہ</v>
          </cell>
        </row>
        <row r="1361">
          <cell r="A1361" t="str">
            <v>421 J</v>
          </cell>
          <cell r="B1361">
            <v>11071</v>
          </cell>
          <cell r="C1361">
            <v>45680</v>
          </cell>
          <cell r="D1361" t="str">
            <v>JILANI</v>
          </cell>
          <cell r="E1361" t="str">
            <v>اٹلس ہنڈا لمیٹڈ شیخوپورہ</v>
          </cell>
        </row>
        <row r="1362">
          <cell r="A1362" t="str">
            <v>422 J</v>
          </cell>
          <cell r="B1362">
            <v>11072</v>
          </cell>
          <cell r="C1362">
            <v>45680</v>
          </cell>
          <cell r="D1362" t="str">
            <v>JILANI</v>
          </cell>
          <cell r="E1362" t="str">
            <v>اٹلس ہنڈا لمیٹڈ شیخوپورہ</v>
          </cell>
        </row>
        <row r="1363">
          <cell r="A1363" t="str">
            <v>423 J</v>
          </cell>
          <cell r="B1363">
            <v>11073</v>
          </cell>
          <cell r="C1363">
            <v>45680</v>
          </cell>
          <cell r="D1363" t="str">
            <v>JILANI</v>
          </cell>
          <cell r="E1363" t="str">
            <v>اٹلس ہنڈا لمیٹڈ شیخوپورہ</v>
          </cell>
        </row>
        <row r="1364">
          <cell r="A1364" t="str">
            <v>424 J</v>
          </cell>
          <cell r="B1364">
            <v>11074</v>
          </cell>
          <cell r="C1364">
            <v>45680</v>
          </cell>
          <cell r="D1364" t="str">
            <v>JILANI</v>
          </cell>
          <cell r="E1364" t="str">
            <v>اٹلس ہنڈا لمیٹڈ شیخوپورہ</v>
          </cell>
        </row>
        <row r="1365">
          <cell r="A1365" t="str">
            <v>425 J</v>
          </cell>
          <cell r="B1365">
            <v>11075</v>
          </cell>
          <cell r="C1365">
            <v>45680</v>
          </cell>
          <cell r="D1365" t="str">
            <v>JILANI</v>
          </cell>
          <cell r="E1365" t="str">
            <v>ہیڈآفس لاہور</v>
          </cell>
        </row>
        <row r="1366">
          <cell r="A1366" t="str">
            <v>426 J</v>
          </cell>
          <cell r="B1366">
            <v>11075</v>
          </cell>
          <cell r="C1366">
            <v>45680</v>
          </cell>
          <cell r="D1366" t="str">
            <v>JILANI</v>
          </cell>
          <cell r="E1366" t="str">
            <v>ہیڈآفس لاہور</v>
          </cell>
        </row>
        <row r="1367">
          <cell r="A1367" t="str">
            <v>427 J</v>
          </cell>
          <cell r="B1367">
            <v>11075</v>
          </cell>
          <cell r="C1367">
            <v>45680</v>
          </cell>
          <cell r="D1367" t="str">
            <v>JILANI</v>
          </cell>
          <cell r="E1367" t="str">
            <v>ہیڈآفس لاہور</v>
          </cell>
        </row>
        <row r="1368">
          <cell r="A1368" t="str">
            <v>428 J</v>
          </cell>
          <cell r="B1368">
            <v>11076</v>
          </cell>
          <cell r="C1368">
            <v>45680</v>
          </cell>
          <cell r="D1368" t="str">
            <v>JILANI</v>
          </cell>
          <cell r="E1368" t="str">
            <v>شریفی جیولرز اینڈ شوز لاہور</v>
          </cell>
        </row>
        <row r="1369">
          <cell r="A1369" t="str">
            <v>429 J</v>
          </cell>
          <cell r="B1369">
            <v>11077</v>
          </cell>
          <cell r="C1369">
            <v>45680</v>
          </cell>
          <cell r="D1369" t="str">
            <v>JILANI</v>
          </cell>
          <cell r="E1369" t="str">
            <v>عثمان کلاتھ ہاؤس چیچہ وطنی</v>
          </cell>
        </row>
        <row r="1370">
          <cell r="A1370" t="str">
            <v>430 J</v>
          </cell>
          <cell r="B1370">
            <v>11077</v>
          </cell>
          <cell r="C1370">
            <v>45680</v>
          </cell>
          <cell r="D1370" t="str">
            <v>JILANI</v>
          </cell>
          <cell r="E1370" t="str">
            <v>عثمان کلاتھ ہاؤس چیچہ وطنی</v>
          </cell>
        </row>
        <row r="1371">
          <cell r="A1371" t="str">
            <v>431 J</v>
          </cell>
          <cell r="B1371">
            <v>11078</v>
          </cell>
          <cell r="C1371">
            <v>45680</v>
          </cell>
          <cell r="D1371" t="str">
            <v>JILANI</v>
          </cell>
          <cell r="E1371" t="str">
            <v>ایم حسیب جاوید</v>
          </cell>
        </row>
        <row r="1372">
          <cell r="A1372" t="str">
            <v>432 J</v>
          </cell>
          <cell r="B1372">
            <v>11079</v>
          </cell>
          <cell r="C1372">
            <v>45680</v>
          </cell>
          <cell r="D1372" t="str">
            <v>JILANI</v>
          </cell>
          <cell r="E1372" t="str">
            <v>عثمان عارف بٹ گوجرانولہ</v>
          </cell>
        </row>
        <row r="1373">
          <cell r="A1373" t="str">
            <v>433 J</v>
          </cell>
          <cell r="B1373">
            <v>11079</v>
          </cell>
          <cell r="C1373">
            <v>45680</v>
          </cell>
          <cell r="D1373" t="str">
            <v>JILANI</v>
          </cell>
          <cell r="E1373" t="str">
            <v>عثمان عارف بٹ گوجرانولہ</v>
          </cell>
        </row>
        <row r="1374">
          <cell r="A1374" t="str">
            <v>434 J</v>
          </cell>
          <cell r="B1374">
            <v>11079</v>
          </cell>
          <cell r="C1374">
            <v>45680</v>
          </cell>
          <cell r="D1374" t="str">
            <v>JILANI</v>
          </cell>
          <cell r="E1374" t="str">
            <v>عثمان عارف بٹ گوجرانولہ</v>
          </cell>
        </row>
        <row r="1375">
          <cell r="A1375" t="str">
            <v>435 J</v>
          </cell>
          <cell r="B1375">
            <v>11079</v>
          </cell>
          <cell r="C1375">
            <v>45680</v>
          </cell>
          <cell r="D1375" t="str">
            <v>JILANI</v>
          </cell>
          <cell r="E1375" t="str">
            <v>عثمان عارف بٹ گوجرانولہ</v>
          </cell>
        </row>
        <row r="1376">
          <cell r="A1376" t="str">
            <v>436 J</v>
          </cell>
          <cell r="B1376">
            <v>11079</v>
          </cell>
          <cell r="C1376">
            <v>45680</v>
          </cell>
          <cell r="D1376" t="str">
            <v>JILANI</v>
          </cell>
          <cell r="E1376" t="str">
            <v>عثمان عارف بٹ گوجرانولہ</v>
          </cell>
        </row>
        <row r="1377">
          <cell r="A1377" t="str">
            <v>995 F</v>
          </cell>
          <cell r="B1377"/>
          <cell r="C1377">
            <v>45682</v>
          </cell>
          <cell r="D1377" t="str">
            <v>فینا</v>
          </cell>
          <cell r="E1377" t="str">
            <v>عثمان امین</v>
          </cell>
        </row>
        <row r="1378">
          <cell r="A1378" t="str">
            <v>996 F</v>
          </cell>
          <cell r="B1378"/>
          <cell r="C1378">
            <v>45682</v>
          </cell>
          <cell r="D1378" t="str">
            <v>فینا</v>
          </cell>
          <cell r="E1378" t="str">
            <v>عثمان امین</v>
          </cell>
        </row>
        <row r="1379">
          <cell r="A1379" t="str">
            <v>997 F</v>
          </cell>
          <cell r="B1379"/>
          <cell r="C1379">
            <v>45682</v>
          </cell>
          <cell r="D1379" t="str">
            <v>فینا</v>
          </cell>
          <cell r="E1379" t="str">
            <v>عثمان امین</v>
          </cell>
        </row>
        <row r="1380">
          <cell r="A1380" t="str">
            <v>998 F</v>
          </cell>
          <cell r="B1380"/>
          <cell r="C1380">
            <v>45682</v>
          </cell>
          <cell r="D1380" t="str">
            <v>فینا</v>
          </cell>
          <cell r="E1380" t="str">
            <v>عثمان امین</v>
          </cell>
        </row>
        <row r="1381">
          <cell r="A1381" t="str">
            <v>999 F</v>
          </cell>
          <cell r="B1381"/>
          <cell r="C1381">
            <v>45682</v>
          </cell>
          <cell r="D1381" t="str">
            <v>فینا</v>
          </cell>
          <cell r="E1381" t="str">
            <v>عثمان امین</v>
          </cell>
        </row>
        <row r="1382">
          <cell r="A1382" t="str">
            <v>1000 F</v>
          </cell>
          <cell r="B1382"/>
          <cell r="C1382">
            <v>45684</v>
          </cell>
          <cell r="D1382" t="str">
            <v>فینا</v>
          </cell>
          <cell r="E1382" t="str">
            <v>عثمان امین</v>
          </cell>
        </row>
        <row r="1383">
          <cell r="A1383" t="str">
            <v>1001 F</v>
          </cell>
          <cell r="B1383"/>
          <cell r="C1383">
            <v>45684</v>
          </cell>
          <cell r="D1383" t="str">
            <v>فینا</v>
          </cell>
          <cell r="E1383" t="str">
            <v>عثمان امین</v>
          </cell>
        </row>
        <row r="1384">
          <cell r="A1384" t="str">
            <v>1002 F</v>
          </cell>
          <cell r="B1384"/>
          <cell r="C1384">
            <v>45684</v>
          </cell>
          <cell r="D1384" t="str">
            <v>فینا</v>
          </cell>
          <cell r="E1384" t="str">
            <v>عثمان امین</v>
          </cell>
        </row>
        <row r="1385">
          <cell r="A1385" t="str">
            <v>1003 F</v>
          </cell>
          <cell r="B1385"/>
          <cell r="C1385">
            <v>45684</v>
          </cell>
          <cell r="D1385" t="str">
            <v>فینا</v>
          </cell>
          <cell r="E1385" t="str">
            <v>عثمان امین</v>
          </cell>
        </row>
        <row r="1386">
          <cell r="A1386" t="str">
            <v>1004 F</v>
          </cell>
          <cell r="B1386"/>
          <cell r="C1386">
            <v>45684</v>
          </cell>
          <cell r="D1386" t="str">
            <v>فینا</v>
          </cell>
          <cell r="E1386" t="str">
            <v>عثمان امین</v>
          </cell>
        </row>
        <row r="1387">
          <cell r="A1387" t="str">
            <v>1005 F</v>
          </cell>
          <cell r="B1387"/>
          <cell r="C1387">
            <v>45684</v>
          </cell>
          <cell r="D1387" t="str">
            <v>فینا</v>
          </cell>
          <cell r="E1387" t="str">
            <v>عثمان امین</v>
          </cell>
        </row>
        <row r="1388">
          <cell r="A1388" t="str">
            <v>1006 F</v>
          </cell>
          <cell r="B1388"/>
          <cell r="C1388">
            <v>45684</v>
          </cell>
          <cell r="D1388" t="str">
            <v>فینا</v>
          </cell>
          <cell r="E1388" t="str">
            <v>عثمان امین</v>
          </cell>
        </row>
        <row r="1389">
          <cell r="A1389" t="str">
            <v>1007 F</v>
          </cell>
          <cell r="B1389"/>
          <cell r="C1389">
            <v>45684</v>
          </cell>
          <cell r="D1389" t="str">
            <v>فینا</v>
          </cell>
          <cell r="E1389" t="str">
            <v>عثمان امین</v>
          </cell>
        </row>
        <row r="1390">
          <cell r="A1390" t="str">
            <v>1008 F</v>
          </cell>
          <cell r="B1390"/>
          <cell r="C1390">
            <v>45684</v>
          </cell>
          <cell r="D1390" t="str">
            <v>فینا</v>
          </cell>
          <cell r="E1390" t="str">
            <v>عثمان امین</v>
          </cell>
        </row>
        <row r="1391">
          <cell r="A1391" t="str">
            <v>437 J</v>
          </cell>
          <cell r="B1391"/>
          <cell r="C1391">
            <v>45682</v>
          </cell>
          <cell r="D1391" t="str">
            <v>JILANI</v>
          </cell>
          <cell r="E1391" t="str">
            <v>جیلانی پولی سٹاک</v>
          </cell>
        </row>
        <row r="1392">
          <cell r="A1392" t="str">
            <v>438 J</v>
          </cell>
          <cell r="B1392">
            <v>11080</v>
          </cell>
          <cell r="C1392">
            <v>45681</v>
          </cell>
          <cell r="D1392" t="str">
            <v>JILANI</v>
          </cell>
          <cell r="E1392" t="str">
            <v>پشاور زلمی شوز سٹور چنیوٹ</v>
          </cell>
        </row>
        <row r="1393">
          <cell r="A1393" t="str">
            <v>439 J</v>
          </cell>
          <cell r="B1393">
            <v>11081</v>
          </cell>
          <cell r="C1393">
            <v>45681</v>
          </cell>
          <cell r="D1393" t="str">
            <v>JILANI</v>
          </cell>
          <cell r="E1393" t="str">
            <v>الرضا گارمنٹس شاہ عالم لاہور</v>
          </cell>
        </row>
        <row r="1394">
          <cell r="A1394" t="str">
            <v>440 J</v>
          </cell>
          <cell r="B1394">
            <v>11082</v>
          </cell>
          <cell r="C1394">
            <v>45681</v>
          </cell>
          <cell r="D1394" t="str">
            <v>JILANI</v>
          </cell>
          <cell r="E1394" t="str">
            <v xml:space="preserve">ایم عاصف پرنٹنگ لاہور </v>
          </cell>
        </row>
        <row r="1395">
          <cell r="A1395" t="str">
            <v>441 J</v>
          </cell>
          <cell r="B1395">
            <v>11082</v>
          </cell>
          <cell r="C1395">
            <v>45681</v>
          </cell>
          <cell r="D1395" t="str">
            <v>JILANI</v>
          </cell>
          <cell r="E1395" t="str">
            <v xml:space="preserve">ایم عاصف پرنٹنگ لاہور </v>
          </cell>
        </row>
        <row r="1396">
          <cell r="A1396" t="str">
            <v>442 J</v>
          </cell>
          <cell r="B1396">
            <v>11083</v>
          </cell>
          <cell r="C1396">
            <v>45681</v>
          </cell>
          <cell r="D1396" t="str">
            <v>JILANI</v>
          </cell>
          <cell r="E1396" t="str">
            <v>آر ایس سویٹس اینڈ بیکرز ننکانہ صاحب</v>
          </cell>
        </row>
        <row r="1397">
          <cell r="A1397" t="str">
            <v>443 J</v>
          </cell>
          <cell r="B1397"/>
          <cell r="C1397">
            <v>45681</v>
          </cell>
          <cell r="D1397" t="str">
            <v>OTHERS</v>
          </cell>
          <cell r="E1397" t="str">
            <v>جیلانی پولی سٹاک</v>
          </cell>
        </row>
        <row r="1398">
          <cell r="A1398" t="str">
            <v>444 J</v>
          </cell>
          <cell r="B1398"/>
          <cell r="C1398">
            <v>45684</v>
          </cell>
          <cell r="D1398" t="str">
            <v>OTHERS</v>
          </cell>
          <cell r="E1398" t="str">
            <v>جیلانی پلاسٹک</v>
          </cell>
        </row>
        <row r="1399">
          <cell r="A1399" t="str">
            <v>445 J</v>
          </cell>
          <cell r="B1399"/>
          <cell r="C1399">
            <v>45684</v>
          </cell>
          <cell r="D1399" t="str">
            <v>OTHERS</v>
          </cell>
          <cell r="E1399" t="str">
            <v xml:space="preserve">پاک الیکٹرون لیمیٹڈ  </v>
          </cell>
        </row>
        <row r="1400">
          <cell r="A1400" t="str">
            <v>446 J</v>
          </cell>
          <cell r="B1400"/>
          <cell r="C1400">
            <v>45684</v>
          </cell>
          <cell r="D1400" t="str">
            <v>OTHERS</v>
          </cell>
          <cell r="E1400" t="str">
            <v>جیلانی پلاسٹک</v>
          </cell>
        </row>
        <row r="1401">
          <cell r="A1401" t="str">
            <v>1009 F</v>
          </cell>
          <cell r="B1401"/>
          <cell r="C1401">
            <v>45685</v>
          </cell>
          <cell r="D1401" t="str">
            <v>فینا</v>
          </cell>
          <cell r="E1401" t="str">
            <v>عثمان امین</v>
          </cell>
        </row>
        <row r="1402">
          <cell r="A1402" t="str">
            <v>1010 F</v>
          </cell>
          <cell r="B1402"/>
          <cell r="C1402">
            <v>45685</v>
          </cell>
          <cell r="D1402" t="str">
            <v>فینا</v>
          </cell>
          <cell r="E1402" t="str">
            <v>عثمان امین</v>
          </cell>
        </row>
        <row r="1403">
          <cell r="A1403" t="str">
            <v>1011 F</v>
          </cell>
          <cell r="B1403"/>
          <cell r="C1403">
            <v>45685</v>
          </cell>
          <cell r="D1403" t="str">
            <v>فینا</v>
          </cell>
          <cell r="E1403" t="str">
            <v>عثمان امین</v>
          </cell>
        </row>
        <row r="1404">
          <cell r="A1404" t="str">
            <v>1012 F</v>
          </cell>
          <cell r="B1404"/>
          <cell r="C1404">
            <v>45686</v>
          </cell>
          <cell r="D1404" t="str">
            <v>فینا</v>
          </cell>
          <cell r="E1404" t="str">
            <v>عثمان امین</v>
          </cell>
        </row>
        <row r="1405">
          <cell r="A1405" t="str">
            <v>1013 F</v>
          </cell>
          <cell r="B1405"/>
          <cell r="C1405">
            <v>45686</v>
          </cell>
          <cell r="D1405" t="str">
            <v>فینا</v>
          </cell>
          <cell r="E1405" t="str">
            <v>عثمان امین</v>
          </cell>
        </row>
        <row r="1406">
          <cell r="A1406" t="str">
            <v>1014 F</v>
          </cell>
          <cell r="B1406"/>
          <cell r="C1406">
            <v>45686</v>
          </cell>
          <cell r="D1406" t="str">
            <v>فینا</v>
          </cell>
          <cell r="E1406" t="str">
            <v>عثمان امین</v>
          </cell>
        </row>
        <row r="1407">
          <cell r="A1407" t="str">
            <v>1015 F</v>
          </cell>
          <cell r="B1407"/>
          <cell r="C1407">
            <v>45686</v>
          </cell>
          <cell r="D1407" t="str">
            <v>فینا</v>
          </cell>
          <cell r="E1407" t="str">
            <v>عثمان امین</v>
          </cell>
        </row>
        <row r="1408">
          <cell r="A1408" t="str">
            <v>1016 F</v>
          </cell>
          <cell r="B1408"/>
          <cell r="C1408">
            <v>45686</v>
          </cell>
          <cell r="D1408" t="str">
            <v>فینا</v>
          </cell>
          <cell r="E1408" t="str">
            <v>عثمان امین</v>
          </cell>
        </row>
        <row r="1409">
          <cell r="A1409" t="str">
            <v>1017 F</v>
          </cell>
          <cell r="B1409"/>
          <cell r="C1409">
            <v>45686</v>
          </cell>
          <cell r="D1409" t="str">
            <v>فینا</v>
          </cell>
          <cell r="E1409" t="str">
            <v>عثمان امین</v>
          </cell>
        </row>
        <row r="1410">
          <cell r="A1410" t="str">
            <v>1018 F</v>
          </cell>
          <cell r="B1410"/>
          <cell r="C1410">
            <v>45686</v>
          </cell>
          <cell r="D1410" t="str">
            <v>فینا</v>
          </cell>
          <cell r="E1410" t="str">
            <v>عثمان امین</v>
          </cell>
        </row>
        <row r="1411">
          <cell r="A1411" t="str">
            <v>1019 F</v>
          </cell>
          <cell r="B1411"/>
          <cell r="C1411">
            <v>45686</v>
          </cell>
          <cell r="D1411" t="str">
            <v>فینا</v>
          </cell>
          <cell r="E1411" t="str">
            <v>عثمان امین</v>
          </cell>
        </row>
        <row r="1412">
          <cell r="A1412" t="str">
            <v>1020 F</v>
          </cell>
          <cell r="B1412"/>
          <cell r="C1412">
            <v>45686</v>
          </cell>
          <cell r="D1412" t="str">
            <v>فینا</v>
          </cell>
          <cell r="E1412" t="str">
            <v>عثمان امین</v>
          </cell>
        </row>
        <row r="1413">
          <cell r="A1413" t="str">
            <v>447 J</v>
          </cell>
          <cell r="B1413">
            <v>11084</v>
          </cell>
          <cell r="C1413">
            <v>45684</v>
          </cell>
          <cell r="D1413" t="str">
            <v>JILANI</v>
          </cell>
          <cell r="E1413" t="str">
            <v>ائیری فوڈ گوجرانوالہ</v>
          </cell>
        </row>
        <row r="1414">
          <cell r="A1414" t="str">
            <v>448 J</v>
          </cell>
          <cell r="B1414">
            <v>11085</v>
          </cell>
          <cell r="C1414">
            <v>45684</v>
          </cell>
          <cell r="D1414" t="str">
            <v>JILANI</v>
          </cell>
          <cell r="E1414" t="str">
            <v>رضا گارمنٹس لاہور</v>
          </cell>
        </row>
        <row r="1415">
          <cell r="A1415" t="str">
            <v>449 J</v>
          </cell>
          <cell r="B1415">
            <v>11086</v>
          </cell>
          <cell r="C1415">
            <v>45684</v>
          </cell>
          <cell r="D1415" t="str">
            <v>JILANI</v>
          </cell>
          <cell r="E1415" t="str">
            <v>ایم کے بی پشاور</v>
          </cell>
        </row>
        <row r="1416">
          <cell r="A1416" t="str">
            <v>450 J</v>
          </cell>
          <cell r="B1416">
            <v>11087</v>
          </cell>
          <cell r="C1416">
            <v>45684</v>
          </cell>
          <cell r="D1416" t="str">
            <v>JILANI</v>
          </cell>
          <cell r="E1416" t="str">
            <v>پنجاب پرنٹرز حافظ آباد</v>
          </cell>
        </row>
        <row r="1417">
          <cell r="A1417" t="str">
            <v>451 J</v>
          </cell>
          <cell r="B1417">
            <v>11088</v>
          </cell>
          <cell r="C1417">
            <v>45684</v>
          </cell>
          <cell r="D1417" t="str">
            <v>JILANI</v>
          </cell>
          <cell r="E1417" t="str">
            <v>پنجاب پرنٹرز حافظ آباد</v>
          </cell>
        </row>
        <row r="1418">
          <cell r="A1418" t="str">
            <v>452 J</v>
          </cell>
          <cell r="B1418">
            <v>11089</v>
          </cell>
          <cell r="C1418">
            <v>45684</v>
          </cell>
          <cell r="D1418" t="str">
            <v>JILANI</v>
          </cell>
          <cell r="E1418" t="str">
            <v>ایچ اے انڈسٹریز پشاور</v>
          </cell>
        </row>
        <row r="1419">
          <cell r="A1419" t="str">
            <v>453 J</v>
          </cell>
          <cell r="B1419">
            <v>11090</v>
          </cell>
          <cell r="C1419">
            <v>45684</v>
          </cell>
          <cell r="D1419" t="str">
            <v>JILANI</v>
          </cell>
          <cell r="E1419" t="str">
            <v>مدنی پرنٹنگ پریس نارنگ منڈی</v>
          </cell>
        </row>
        <row r="1420">
          <cell r="A1420" t="str">
            <v>454 J</v>
          </cell>
          <cell r="B1420">
            <v>11091</v>
          </cell>
          <cell r="C1420">
            <v>45684</v>
          </cell>
          <cell r="D1420" t="str">
            <v>JILANI</v>
          </cell>
          <cell r="E1420" t="str">
            <v>مدنی پرنٹنگ پریس نارنگ منڈی</v>
          </cell>
        </row>
        <row r="1421">
          <cell r="A1421" t="str">
            <v>455 J</v>
          </cell>
          <cell r="B1421">
            <v>11092</v>
          </cell>
          <cell r="C1421">
            <v>45684</v>
          </cell>
          <cell r="D1421" t="str">
            <v>JILANI</v>
          </cell>
          <cell r="E1421" t="str">
            <v>اے ایس کلاتھ ہاؤس اعظم مارکیٹ</v>
          </cell>
        </row>
        <row r="1422">
          <cell r="A1422" t="str">
            <v>456 J</v>
          </cell>
          <cell r="B1422">
            <v>11093</v>
          </cell>
          <cell r="C1422">
            <v>45684</v>
          </cell>
          <cell r="D1422" t="str">
            <v>JILANI</v>
          </cell>
          <cell r="E1422" t="str">
            <v>شعیب آٹوز راولپنڈی</v>
          </cell>
        </row>
        <row r="1423">
          <cell r="A1423" t="str">
            <v>457 J</v>
          </cell>
          <cell r="B1423">
            <v>11094</v>
          </cell>
          <cell r="C1423">
            <v>45684</v>
          </cell>
          <cell r="D1423" t="str">
            <v>JILANI</v>
          </cell>
          <cell r="E1423" t="str">
            <v>شعیب آٹوز راولپنڈی</v>
          </cell>
        </row>
        <row r="1424">
          <cell r="A1424" t="str">
            <v>458 J</v>
          </cell>
          <cell r="B1424">
            <v>11095</v>
          </cell>
          <cell r="C1424">
            <v>45685</v>
          </cell>
          <cell r="D1424" t="str">
            <v>JILANI</v>
          </cell>
          <cell r="E1424" t="str">
            <v>رمادا ملتان</v>
          </cell>
        </row>
        <row r="1425">
          <cell r="A1425" t="str">
            <v>459 J</v>
          </cell>
          <cell r="B1425">
            <v>11096</v>
          </cell>
          <cell r="C1425">
            <v>45685</v>
          </cell>
          <cell r="D1425" t="str">
            <v>JILANI</v>
          </cell>
          <cell r="E1425" t="str">
            <v>رمادا ملتان</v>
          </cell>
        </row>
        <row r="1426">
          <cell r="A1426" t="str">
            <v>460 J</v>
          </cell>
          <cell r="B1426">
            <v>11097</v>
          </cell>
          <cell r="C1426">
            <v>45685</v>
          </cell>
          <cell r="D1426" t="str">
            <v>JILANI</v>
          </cell>
          <cell r="E1426" t="str">
            <v>رمادا ملتان</v>
          </cell>
        </row>
        <row r="1427">
          <cell r="A1427" t="str">
            <v>461 J</v>
          </cell>
          <cell r="B1427">
            <v>11098</v>
          </cell>
          <cell r="C1427">
            <v>45685</v>
          </cell>
          <cell r="D1427" t="str">
            <v>JILANI</v>
          </cell>
          <cell r="E1427" t="str">
            <v>کے او ایس جائنٹ آئل کمپنی لاہور</v>
          </cell>
        </row>
        <row r="1428">
          <cell r="A1428" t="str">
            <v>462 J</v>
          </cell>
          <cell r="B1428">
            <v>11099</v>
          </cell>
          <cell r="C1428">
            <v>45685</v>
          </cell>
          <cell r="D1428" t="str">
            <v>JILANI</v>
          </cell>
          <cell r="E1428" t="str">
            <v>نیو رائل سویٹس اینڈ بیکرز کوہاٹ</v>
          </cell>
        </row>
        <row r="1429">
          <cell r="A1429" t="str">
            <v>463 J</v>
          </cell>
          <cell r="B1429">
            <v>11099</v>
          </cell>
          <cell r="C1429">
            <v>45685</v>
          </cell>
          <cell r="D1429" t="str">
            <v>JILANI</v>
          </cell>
          <cell r="E1429" t="str">
            <v>نیو رائل سویٹس اینڈ بیکرز کوہاٹ</v>
          </cell>
        </row>
        <row r="1430">
          <cell r="A1430" t="str">
            <v>464 J</v>
          </cell>
          <cell r="B1430">
            <v>11100</v>
          </cell>
          <cell r="C1430">
            <v>45685</v>
          </cell>
          <cell r="D1430" t="str">
            <v>JILANI</v>
          </cell>
          <cell r="E1430" t="str">
            <v>نیو رائل سویٹس اینڈ بیکرز کوہاٹ</v>
          </cell>
        </row>
        <row r="1431">
          <cell r="A1431" t="str">
            <v>465 J</v>
          </cell>
          <cell r="B1431">
            <v>11101</v>
          </cell>
          <cell r="C1431">
            <v>45685</v>
          </cell>
          <cell r="D1431" t="str">
            <v>JILANI</v>
          </cell>
          <cell r="E1431" t="str">
            <v>نواب جیلانی پلاسٹک لیہ</v>
          </cell>
        </row>
        <row r="1432">
          <cell r="A1432" t="str">
            <v>466 J</v>
          </cell>
          <cell r="B1432">
            <v>11102</v>
          </cell>
          <cell r="C1432">
            <v>45685</v>
          </cell>
          <cell r="D1432" t="str">
            <v>JILANI</v>
          </cell>
          <cell r="E1432" t="str">
            <v>نواب جیلانی پلاسٹک لیہ</v>
          </cell>
        </row>
        <row r="1433">
          <cell r="A1433" t="str">
            <v>467 J</v>
          </cell>
          <cell r="B1433">
            <v>11104</v>
          </cell>
          <cell r="C1433">
            <v>45685</v>
          </cell>
          <cell r="D1433" t="str">
            <v>JILANI</v>
          </cell>
          <cell r="E1433" t="str">
            <v>عرفان صاحب اعظم مارکیٹ</v>
          </cell>
        </row>
        <row r="1434">
          <cell r="A1434" t="str">
            <v>468 J</v>
          </cell>
          <cell r="B1434">
            <v>11104</v>
          </cell>
          <cell r="C1434">
            <v>45685</v>
          </cell>
          <cell r="D1434" t="str">
            <v>JILANI</v>
          </cell>
          <cell r="E1434" t="str">
            <v>عرفان صاحب اعظم مارکیٹ</v>
          </cell>
        </row>
        <row r="1435">
          <cell r="A1435" t="str">
            <v>469 J</v>
          </cell>
          <cell r="B1435">
            <v>11105</v>
          </cell>
          <cell r="C1435">
            <v>45685</v>
          </cell>
          <cell r="D1435" t="str">
            <v>JILANI</v>
          </cell>
          <cell r="E1435" t="str">
            <v>شاہد تفیل ڈسکہ</v>
          </cell>
        </row>
        <row r="1436">
          <cell r="A1436" t="str">
            <v>470 J</v>
          </cell>
          <cell r="B1436">
            <v>11105</v>
          </cell>
          <cell r="C1436">
            <v>45685</v>
          </cell>
          <cell r="D1436" t="str">
            <v>JILANI</v>
          </cell>
          <cell r="E1436" t="str">
            <v>شاہد تفیل ڈسکہ</v>
          </cell>
        </row>
        <row r="1437">
          <cell r="A1437" t="str">
            <v>471 J</v>
          </cell>
          <cell r="B1437">
            <v>11106</v>
          </cell>
          <cell r="C1437">
            <v>45685</v>
          </cell>
          <cell r="D1437" t="str">
            <v>JILANI</v>
          </cell>
          <cell r="E1437" t="str">
            <v>اٹلس ہنڈا لمیٹڈ کراچی</v>
          </cell>
        </row>
        <row r="1438">
          <cell r="A1438" t="str">
            <v>472 J</v>
          </cell>
          <cell r="B1438">
            <v>11107</v>
          </cell>
          <cell r="C1438">
            <v>45685</v>
          </cell>
          <cell r="D1438" t="str">
            <v>JILANI</v>
          </cell>
          <cell r="E1438" t="str">
            <v>انٹرنیشنل انڈسٹری لیمیٹڈ</v>
          </cell>
        </row>
        <row r="1439">
          <cell r="A1439" t="str">
            <v>473 J</v>
          </cell>
          <cell r="B1439">
            <v>11108</v>
          </cell>
          <cell r="C1439">
            <v>45685</v>
          </cell>
          <cell r="D1439" t="str">
            <v>JILANI</v>
          </cell>
          <cell r="E1439" t="str">
            <v xml:space="preserve">احمد شکیل پرنٹنگ لاہور </v>
          </cell>
        </row>
        <row r="1440">
          <cell r="A1440" t="str">
            <v>474 J</v>
          </cell>
          <cell r="B1440">
            <v>11103</v>
          </cell>
          <cell r="C1440">
            <v>45685</v>
          </cell>
          <cell r="D1440" t="str">
            <v>JILANI</v>
          </cell>
          <cell r="E1440" t="str">
            <v>زم زم کیپ لاہور</v>
          </cell>
        </row>
        <row r="1441">
          <cell r="A1441" t="str">
            <v>475 J</v>
          </cell>
          <cell r="B1441">
            <v>11109</v>
          </cell>
          <cell r="C1441">
            <v>45685</v>
          </cell>
          <cell r="D1441" t="str">
            <v>JILANI</v>
          </cell>
          <cell r="E1441" t="str">
            <v>فینسی گارمنٹس کامونکی</v>
          </cell>
        </row>
        <row r="1442">
          <cell r="A1442" t="str">
            <v>476 J</v>
          </cell>
          <cell r="B1442">
            <v>11109</v>
          </cell>
          <cell r="C1442">
            <v>45685</v>
          </cell>
          <cell r="D1442" t="str">
            <v>JILANI</v>
          </cell>
          <cell r="E1442" t="str">
            <v>فینسی گارمنٹس کامونکی</v>
          </cell>
        </row>
        <row r="1443">
          <cell r="A1443" t="str">
            <v>477 J</v>
          </cell>
          <cell r="B1443">
            <v>11109</v>
          </cell>
          <cell r="C1443">
            <v>45685</v>
          </cell>
          <cell r="D1443" t="str">
            <v>JILANI</v>
          </cell>
          <cell r="E1443" t="str">
            <v>فینسی گارمنٹس کامونکی</v>
          </cell>
        </row>
        <row r="1444">
          <cell r="A1444" t="str">
            <v>478 J</v>
          </cell>
          <cell r="B1444">
            <v>11110</v>
          </cell>
          <cell r="C1444">
            <v>45685</v>
          </cell>
          <cell r="D1444" t="str">
            <v>JILANI</v>
          </cell>
          <cell r="E1444" t="str">
            <v>فینسی گارمنٹس کامونکی</v>
          </cell>
        </row>
        <row r="1445">
          <cell r="A1445" t="str">
            <v>479 J</v>
          </cell>
          <cell r="B1445">
            <v>11110</v>
          </cell>
          <cell r="C1445">
            <v>45685</v>
          </cell>
          <cell r="D1445" t="str">
            <v>JILANI</v>
          </cell>
          <cell r="E1445" t="str">
            <v>فینسی گارمنٹس کامونکی</v>
          </cell>
        </row>
        <row r="1446">
          <cell r="A1446" t="str">
            <v>480 J</v>
          </cell>
          <cell r="B1446">
            <v>11111</v>
          </cell>
          <cell r="C1446">
            <v>45685</v>
          </cell>
          <cell r="D1446" t="str">
            <v>JILANI</v>
          </cell>
          <cell r="E1446" t="str">
            <v>البراق  ڈیپارٹمنٹ سٹور لاہور</v>
          </cell>
        </row>
        <row r="1447">
          <cell r="A1447" t="str">
            <v>481 J</v>
          </cell>
          <cell r="B1447">
            <v>11111</v>
          </cell>
          <cell r="C1447">
            <v>45685</v>
          </cell>
          <cell r="D1447" t="str">
            <v>JILANI</v>
          </cell>
          <cell r="E1447" t="str">
            <v>البراق  ڈیپارٹمنٹ سٹور لاہور</v>
          </cell>
        </row>
        <row r="1448">
          <cell r="A1448" t="str">
            <v>482 J</v>
          </cell>
          <cell r="B1448">
            <v>11112</v>
          </cell>
          <cell r="C1448">
            <v>45685</v>
          </cell>
          <cell r="D1448" t="str">
            <v>JILANI</v>
          </cell>
          <cell r="E1448" t="str">
            <v>جاوید انٹرپرائزز گوجرانولہ</v>
          </cell>
        </row>
        <row r="1449">
          <cell r="A1449" t="str">
            <v>483 J</v>
          </cell>
          <cell r="B1449">
            <v>11113</v>
          </cell>
          <cell r="C1449">
            <v>45685</v>
          </cell>
          <cell r="D1449" t="str">
            <v>JILANI</v>
          </cell>
          <cell r="E1449" t="str">
            <v>جاوید انٹرپرائزز گوجرانولہ</v>
          </cell>
        </row>
        <row r="1450">
          <cell r="A1450" t="str">
            <v>6559/1</v>
          </cell>
          <cell r="B1450">
            <v>6559</v>
          </cell>
          <cell r="C1450">
            <v>45679</v>
          </cell>
          <cell r="D1450" t="str">
            <v>یونس صاحب</v>
          </cell>
          <cell r="E1450" t="str">
            <v>اسلم  بلا خانپور</v>
          </cell>
        </row>
        <row r="1451">
          <cell r="A1451" t="str">
            <v>6559/2</v>
          </cell>
          <cell r="B1451">
            <v>6559</v>
          </cell>
          <cell r="C1451">
            <v>45679</v>
          </cell>
          <cell r="D1451" t="str">
            <v>یونس صاحب</v>
          </cell>
          <cell r="E1451" t="str">
            <v>اسلم  بلا خانپور</v>
          </cell>
        </row>
        <row r="1452">
          <cell r="A1452" t="str">
            <v>6559/3</v>
          </cell>
          <cell r="B1452">
            <v>6559</v>
          </cell>
          <cell r="C1452">
            <v>45679</v>
          </cell>
          <cell r="D1452" t="str">
            <v>یونس صاحب</v>
          </cell>
          <cell r="E1452" t="str">
            <v>اسلم  بلا خانپور</v>
          </cell>
        </row>
        <row r="1453">
          <cell r="A1453" t="str">
            <v>6559/4</v>
          </cell>
          <cell r="B1453">
            <v>6559</v>
          </cell>
          <cell r="C1453">
            <v>45679</v>
          </cell>
          <cell r="D1453" t="str">
            <v>یونس صاحب</v>
          </cell>
          <cell r="E1453" t="str">
            <v>اسلم  بلا خانپور</v>
          </cell>
        </row>
        <row r="1454">
          <cell r="A1454" t="str">
            <v>6559/5</v>
          </cell>
          <cell r="B1454">
            <v>6559</v>
          </cell>
          <cell r="C1454">
            <v>45679</v>
          </cell>
          <cell r="D1454" t="str">
            <v>یونس صاحب</v>
          </cell>
          <cell r="E1454" t="str">
            <v>اسلم  بلا خانپور</v>
          </cell>
        </row>
        <row r="1455">
          <cell r="A1455" t="str">
            <v>6559/6</v>
          </cell>
          <cell r="B1455">
            <v>6559</v>
          </cell>
          <cell r="C1455">
            <v>45679</v>
          </cell>
          <cell r="D1455" t="str">
            <v>یونس صاحب</v>
          </cell>
          <cell r="E1455" t="str">
            <v>اسلم  بلا خانپور</v>
          </cell>
        </row>
        <row r="1456">
          <cell r="A1456" t="str">
            <v>6559/7</v>
          </cell>
          <cell r="B1456">
            <v>6559</v>
          </cell>
          <cell r="C1456">
            <v>45679</v>
          </cell>
          <cell r="D1456" t="str">
            <v>یونس صاحب</v>
          </cell>
          <cell r="E1456" t="str">
            <v>اسلم  بلا خانپور</v>
          </cell>
        </row>
        <row r="1457">
          <cell r="A1457" t="str">
            <v>6559/8</v>
          </cell>
          <cell r="B1457">
            <v>6559</v>
          </cell>
          <cell r="C1457">
            <v>45679</v>
          </cell>
          <cell r="D1457" t="str">
            <v>یونس صاحب</v>
          </cell>
          <cell r="E1457" t="str">
            <v>اسلم  بلا خانپور</v>
          </cell>
        </row>
        <row r="1458">
          <cell r="A1458" t="str">
            <v>6560/1</v>
          </cell>
          <cell r="B1458">
            <v>6560</v>
          </cell>
          <cell r="C1458">
            <v>45679</v>
          </cell>
          <cell r="D1458" t="str">
            <v>یونس صاحب</v>
          </cell>
          <cell r="E1458" t="str">
            <v>ایم رمضان  صاد ق آباد</v>
          </cell>
        </row>
        <row r="1459">
          <cell r="A1459" t="str">
            <v>6560/2</v>
          </cell>
          <cell r="B1459">
            <v>6560</v>
          </cell>
          <cell r="C1459">
            <v>45679</v>
          </cell>
          <cell r="D1459" t="str">
            <v>یونس صاحب</v>
          </cell>
          <cell r="E1459" t="str">
            <v>ایم رمضان  صاد ق آباد</v>
          </cell>
        </row>
        <row r="1460">
          <cell r="A1460" t="str">
            <v>6560/3</v>
          </cell>
          <cell r="B1460">
            <v>6560</v>
          </cell>
          <cell r="C1460">
            <v>45679</v>
          </cell>
          <cell r="D1460" t="str">
            <v>یونس صاحب</v>
          </cell>
          <cell r="E1460" t="str">
            <v>ایم رمضان  صاد ق آباد</v>
          </cell>
        </row>
        <row r="1461">
          <cell r="A1461" t="str">
            <v>6560/4</v>
          </cell>
          <cell r="B1461">
            <v>6560</v>
          </cell>
          <cell r="C1461">
            <v>45679</v>
          </cell>
          <cell r="D1461" t="str">
            <v>یونس صاحب</v>
          </cell>
          <cell r="E1461" t="str">
            <v>ایم رمضان  صاد ق آباد</v>
          </cell>
        </row>
        <row r="1462">
          <cell r="A1462" t="str">
            <v>6560/5</v>
          </cell>
          <cell r="B1462">
            <v>6560</v>
          </cell>
          <cell r="C1462">
            <v>45679</v>
          </cell>
          <cell r="D1462" t="str">
            <v>یونس صاحب</v>
          </cell>
          <cell r="E1462" t="str">
            <v>ایم رمضان  صاد ق آباد</v>
          </cell>
        </row>
        <row r="1463">
          <cell r="A1463" t="str">
            <v>6560/6</v>
          </cell>
          <cell r="B1463">
            <v>6560</v>
          </cell>
          <cell r="C1463">
            <v>45679</v>
          </cell>
          <cell r="D1463" t="str">
            <v>یونس صاحب</v>
          </cell>
          <cell r="E1463" t="str">
            <v>ایم رمضان  صاد ق آباد</v>
          </cell>
        </row>
        <row r="1464">
          <cell r="A1464" t="str">
            <v>6560/7</v>
          </cell>
          <cell r="B1464">
            <v>6560</v>
          </cell>
          <cell r="C1464">
            <v>45679</v>
          </cell>
          <cell r="D1464" t="str">
            <v>یونس صاحب</v>
          </cell>
          <cell r="E1464" t="str">
            <v>ایم رمضان  صاد ق آباد</v>
          </cell>
        </row>
        <row r="1465">
          <cell r="A1465" t="str">
            <v>6560/8</v>
          </cell>
          <cell r="B1465">
            <v>6560</v>
          </cell>
          <cell r="C1465">
            <v>45679</v>
          </cell>
          <cell r="D1465" t="str">
            <v>یونس صاحب</v>
          </cell>
          <cell r="E1465" t="str">
            <v>ایم رمضان  صاد ق آباد</v>
          </cell>
        </row>
        <row r="1466">
          <cell r="A1466" t="str">
            <v>6560/9</v>
          </cell>
          <cell r="B1466">
            <v>6560</v>
          </cell>
          <cell r="C1466">
            <v>45679</v>
          </cell>
          <cell r="D1466" t="str">
            <v>یونس صاحب</v>
          </cell>
          <cell r="E1466" t="str">
            <v>ایم رمضان  صاد ق آباد</v>
          </cell>
        </row>
        <row r="1467">
          <cell r="A1467" t="str">
            <v>6560/10</v>
          </cell>
          <cell r="B1467">
            <v>6560</v>
          </cell>
          <cell r="C1467">
            <v>45679</v>
          </cell>
          <cell r="D1467" t="str">
            <v>یونس صاحب</v>
          </cell>
          <cell r="E1467" t="str">
            <v>ایم رمضان  صاد ق آباد</v>
          </cell>
        </row>
        <row r="1468">
          <cell r="A1468" t="str">
            <v>6560/11</v>
          </cell>
          <cell r="B1468">
            <v>6560</v>
          </cell>
          <cell r="C1468">
            <v>45679</v>
          </cell>
          <cell r="D1468" t="str">
            <v>یونس صاحب</v>
          </cell>
          <cell r="E1468" t="str">
            <v>ایم رمضان  صاد ق آباد</v>
          </cell>
        </row>
        <row r="1469">
          <cell r="A1469" t="str">
            <v>6560/12</v>
          </cell>
          <cell r="B1469">
            <v>6560</v>
          </cell>
          <cell r="C1469">
            <v>45679</v>
          </cell>
          <cell r="D1469" t="str">
            <v>یونس صاحب</v>
          </cell>
          <cell r="E1469" t="str">
            <v>ایم رمضان  صاد ق آباد</v>
          </cell>
        </row>
        <row r="1470">
          <cell r="A1470" t="str">
            <v>6560/13</v>
          </cell>
          <cell r="B1470">
            <v>6560</v>
          </cell>
          <cell r="C1470">
            <v>45679</v>
          </cell>
          <cell r="D1470" t="str">
            <v>یونس صاحب</v>
          </cell>
          <cell r="E1470" t="str">
            <v>ایم رمضان  صاد ق آباد</v>
          </cell>
        </row>
        <row r="1471">
          <cell r="A1471" t="str">
            <v>6561/1</v>
          </cell>
          <cell r="B1471">
            <v>6561</v>
          </cell>
          <cell r="C1471">
            <v>45679</v>
          </cell>
          <cell r="D1471" t="str">
            <v>یونس صاحب</v>
          </cell>
          <cell r="E1471" t="str">
            <v>العمر پلاسٹک گوجرانوالہ</v>
          </cell>
        </row>
        <row r="1472">
          <cell r="A1472" t="str">
            <v>6562/1</v>
          </cell>
          <cell r="B1472">
            <v>6562</v>
          </cell>
          <cell r="C1472">
            <v>45680</v>
          </cell>
          <cell r="D1472" t="str">
            <v>یونس صاحب</v>
          </cell>
          <cell r="E1472" t="str">
            <v>طیب پلاسٹک گوجرانوالہ</v>
          </cell>
        </row>
        <row r="1473">
          <cell r="A1473" t="str">
            <v>6562/2</v>
          </cell>
          <cell r="B1473">
            <v>6562</v>
          </cell>
          <cell r="C1473">
            <v>45680</v>
          </cell>
          <cell r="D1473" t="str">
            <v>یونس صاحب</v>
          </cell>
          <cell r="E1473" t="str">
            <v>طیب پلاسٹک گوجرانوالہ</v>
          </cell>
        </row>
        <row r="1474">
          <cell r="A1474" t="str">
            <v>6563/1</v>
          </cell>
          <cell r="B1474">
            <v>6563</v>
          </cell>
          <cell r="C1474">
            <v>45682</v>
          </cell>
          <cell r="D1474" t="str">
            <v>یونس صاحب</v>
          </cell>
          <cell r="E1474" t="str">
            <v>عرفان احمد اعظم مارکیٹ</v>
          </cell>
        </row>
        <row r="1475">
          <cell r="A1475" t="str">
            <v>6563/2</v>
          </cell>
          <cell r="B1475">
            <v>6563</v>
          </cell>
          <cell r="C1475">
            <v>45682</v>
          </cell>
          <cell r="D1475" t="str">
            <v>یونس صاحب</v>
          </cell>
          <cell r="E1475" t="str">
            <v>عرفان احمد اعظم مارکیٹ</v>
          </cell>
        </row>
        <row r="1476">
          <cell r="A1476" t="str">
            <v>6563/3</v>
          </cell>
          <cell r="B1476">
            <v>6563</v>
          </cell>
          <cell r="C1476">
            <v>45682</v>
          </cell>
          <cell r="D1476" t="str">
            <v>یونس صاحب</v>
          </cell>
          <cell r="E1476" t="str">
            <v>عرفان احمد اعظم مارکیٹ</v>
          </cell>
        </row>
        <row r="1477">
          <cell r="A1477" t="str">
            <v>6563/4</v>
          </cell>
          <cell r="B1477">
            <v>6563</v>
          </cell>
          <cell r="C1477">
            <v>45682</v>
          </cell>
          <cell r="D1477" t="str">
            <v>یونس صاحب</v>
          </cell>
          <cell r="E1477" t="str">
            <v>عرفان احمد اعظم مارکیٹ</v>
          </cell>
        </row>
        <row r="1478">
          <cell r="A1478" t="str">
            <v>6563/5</v>
          </cell>
          <cell r="B1478">
            <v>6563</v>
          </cell>
          <cell r="C1478">
            <v>45682</v>
          </cell>
          <cell r="D1478" t="str">
            <v>یونس صاحب</v>
          </cell>
          <cell r="E1478" t="str">
            <v>عرفان احمد اعظم مارکیٹ</v>
          </cell>
        </row>
        <row r="1479">
          <cell r="A1479" t="str">
            <v>6564/1</v>
          </cell>
          <cell r="B1479">
            <v>6564</v>
          </cell>
          <cell r="C1479">
            <v>45685</v>
          </cell>
          <cell r="D1479" t="str">
            <v>یونس صاحب</v>
          </cell>
          <cell r="E1479" t="str">
            <v>عبدالرشید اسلام ٓاباد</v>
          </cell>
        </row>
        <row r="1480">
          <cell r="A1480" t="str">
            <v>6564/2</v>
          </cell>
          <cell r="B1480">
            <v>6564</v>
          </cell>
          <cell r="C1480">
            <v>45685</v>
          </cell>
          <cell r="D1480" t="str">
            <v>یونس صاحب</v>
          </cell>
          <cell r="E1480" t="str">
            <v>عبدالرشید اسلام ٓاباد</v>
          </cell>
        </row>
        <row r="1481">
          <cell r="A1481" t="str">
            <v>6565/1</v>
          </cell>
          <cell r="B1481">
            <v>6565</v>
          </cell>
          <cell r="C1481">
            <v>45685</v>
          </cell>
          <cell r="D1481" t="str">
            <v>یونس صاحب</v>
          </cell>
          <cell r="E1481" t="str">
            <v>عمران مشتاق پتوکی</v>
          </cell>
        </row>
        <row r="1482">
          <cell r="A1482" t="str">
            <v>6565/2</v>
          </cell>
          <cell r="B1482">
            <v>6565</v>
          </cell>
          <cell r="C1482">
            <v>45685</v>
          </cell>
          <cell r="D1482" t="str">
            <v>یونس صاحب</v>
          </cell>
          <cell r="E1482" t="str">
            <v>عمران مشتاق پتوکی</v>
          </cell>
        </row>
        <row r="1483">
          <cell r="A1483" t="str">
            <v>6565/3</v>
          </cell>
          <cell r="B1483">
            <v>6565</v>
          </cell>
          <cell r="C1483">
            <v>45685</v>
          </cell>
          <cell r="D1483" t="str">
            <v>یونس صاحب</v>
          </cell>
          <cell r="E1483" t="str">
            <v>عمران مشتاق پتوکی</v>
          </cell>
        </row>
        <row r="1484">
          <cell r="A1484" t="str">
            <v>6566/1</v>
          </cell>
          <cell r="B1484">
            <v>6566</v>
          </cell>
          <cell r="C1484">
            <v>45685</v>
          </cell>
          <cell r="D1484" t="str">
            <v>یونس صاحب</v>
          </cell>
          <cell r="E1484" t="str">
            <v>بوٹا اعظم مارکیٹ</v>
          </cell>
        </row>
        <row r="1485">
          <cell r="A1485" t="str">
            <v>6567/1</v>
          </cell>
          <cell r="B1485">
            <v>6567</v>
          </cell>
          <cell r="C1485">
            <v>45685</v>
          </cell>
          <cell r="D1485" t="str">
            <v>یونس صاحب</v>
          </cell>
          <cell r="E1485" t="str">
            <v>طلحہ پلاسٹک پنڈی</v>
          </cell>
        </row>
        <row r="1486">
          <cell r="A1486" t="str">
            <v>6567/2</v>
          </cell>
          <cell r="B1486">
            <v>6567</v>
          </cell>
          <cell r="C1486">
            <v>45685</v>
          </cell>
          <cell r="D1486" t="str">
            <v>یونس صاحب</v>
          </cell>
          <cell r="E1486" t="str">
            <v>طلحہ پلاسٹک پنڈی</v>
          </cell>
        </row>
        <row r="1487">
          <cell r="A1487">
            <v>2685</v>
          </cell>
          <cell r="B1487"/>
          <cell r="C1487">
            <v>45687</v>
          </cell>
          <cell r="D1487" t="str">
            <v>JILANI</v>
          </cell>
          <cell r="E1487" t="str">
            <v>JILANI PLASTIC</v>
          </cell>
        </row>
        <row r="1488">
          <cell r="A1488" t="str">
            <v>1021 F</v>
          </cell>
          <cell r="B1488"/>
          <cell r="C1488">
            <v>45687</v>
          </cell>
          <cell r="D1488" t="str">
            <v>فینا</v>
          </cell>
          <cell r="E1488" t="str">
            <v>عثمان امین</v>
          </cell>
        </row>
        <row r="1489">
          <cell r="A1489" t="str">
            <v>1022 F</v>
          </cell>
          <cell r="B1489"/>
          <cell r="C1489">
            <v>45687</v>
          </cell>
          <cell r="D1489" t="str">
            <v>فینا</v>
          </cell>
          <cell r="E1489" t="str">
            <v>عثمان امین</v>
          </cell>
        </row>
        <row r="1490">
          <cell r="A1490" t="str">
            <v>1023 F</v>
          </cell>
          <cell r="B1490"/>
          <cell r="C1490">
            <v>45687</v>
          </cell>
          <cell r="D1490" t="str">
            <v>فینا</v>
          </cell>
          <cell r="E1490" t="str">
            <v>عثمان امین</v>
          </cell>
        </row>
        <row r="1491">
          <cell r="A1491" t="str">
            <v>1024 F</v>
          </cell>
          <cell r="B1491"/>
          <cell r="C1491">
            <v>45687</v>
          </cell>
          <cell r="D1491" t="str">
            <v>فینا</v>
          </cell>
          <cell r="E1491" t="str">
            <v>عثمان امین</v>
          </cell>
        </row>
        <row r="1492">
          <cell r="A1492" t="str">
            <v>1025 F</v>
          </cell>
          <cell r="B1492"/>
          <cell r="C1492">
            <v>45687</v>
          </cell>
          <cell r="D1492" t="str">
            <v>فینا</v>
          </cell>
          <cell r="E1492" t="str">
            <v>عثمان امین</v>
          </cell>
        </row>
        <row r="1493">
          <cell r="A1493" t="str">
            <v>484 J</v>
          </cell>
          <cell r="B1493">
            <v>11114</v>
          </cell>
          <cell r="C1493">
            <v>45686</v>
          </cell>
          <cell r="D1493" t="str">
            <v>JILANI</v>
          </cell>
          <cell r="E1493" t="str">
            <v>ڈیسنٹ بے بی شوزفاروق آباد</v>
          </cell>
        </row>
        <row r="1494">
          <cell r="A1494" t="str">
            <v>485 J</v>
          </cell>
          <cell r="B1494">
            <v>11114</v>
          </cell>
          <cell r="C1494">
            <v>45686</v>
          </cell>
          <cell r="D1494" t="str">
            <v>JILANI</v>
          </cell>
          <cell r="E1494" t="str">
            <v>ڈیسنٹ بے بی شوزفاروق آباد</v>
          </cell>
        </row>
        <row r="1495">
          <cell r="A1495" t="str">
            <v>486 J</v>
          </cell>
          <cell r="B1495">
            <v>11115</v>
          </cell>
          <cell r="C1495">
            <v>45686</v>
          </cell>
          <cell r="D1495" t="str">
            <v>JILANI</v>
          </cell>
          <cell r="E1495" t="str">
            <v>سپر شنگھائی ننکانہ صاحب</v>
          </cell>
        </row>
        <row r="1496">
          <cell r="A1496" t="str">
            <v>487 J</v>
          </cell>
          <cell r="B1496">
            <v>11116</v>
          </cell>
          <cell r="C1496">
            <v>45686</v>
          </cell>
          <cell r="D1496" t="str">
            <v>JILANI</v>
          </cell>
          <cell r="E1496" t="str">
            <v>پیراڈائز ڈرائی کلینرز چکوال</v>
          </cell>
        </row>
        <row r="1497">
          <cell r="A1497" t="str">
            <v>488 J</v>
          </cell>
          <cell r="B1497">
            <v>11117</v>
          </cell>
          <cell r="C1497">
            <v>45686</v>
          </cell>
          <cell r="D1497" t="str">
            <v>JILANI</v>
          </cell>
          <cell r="E1497" t="str">
            <v>محبوب پرنٹرز گوجرانوالہ</v>
          </cell>
        </row>
        <row r="1498">
          <cell r="A1498" t="str">
            <v>489 J</v>
          </cell>
          <cell r="B1498">
            <v>11118</v>
          </cell>
          <cell r="C1498">
            <v>45686</v>
          </cell>
          <cell r="D1498" t="str">
            <v>JILANI</v>
          </cell>
          <cell r="E1498" t="str">
            <v>ذوق کیفےاینڈ بیکرزبھلوال</v>
          </cell>
        </row>
        <row r="1499">
          <cell r="A1499" t="str">
            <v>490 J</v>
          </cell>
          <cell r="B1499">
            <v>11118</v>
          </cell>
          <cell r="C1499">
            <v>45686</v>
          </cell>
          <cell r="D1499" t="str">
            <v>JILANI</v>
          </cell>
          <cell r="E1499" t="str">
            <v>ذوق کیفےاینڈ بیکرزبھلوال</v>
          </cell>
        </row>
        <row r="1500">
          <cell r="A1500" t="str">
            <v>491 J</v>
          </cell>
          <cell r="B1500">
            <v>11119</v>
          </cell>
          <cell r="C1500">
            <v>45686</v>
          </cell>
          <cell r="D1500" t="str">
            <v>JILANI</v>
          </cell>
          <cell r="E1500" t="str">
            <v>عالم پرنٹرز بٹ خیلہ</v>
          </cell>
        </row>
        <row r="1501">
          <cell r="A1501" t="str">
            <v>492 J</v>
          </cell>
          <cell r="B1501">
            <v>11119</v>
          </cell>
          <cell r="C1501">
            <v>45686</v>
          </cell>
          <cell r="D1501" t="str">
            <v>JILANI</v>
          </cell>
          <cell r="E1501" t="str">
            <v>عالم پرنٹرز بٹ خیلہ</v>
          </cell>
        </row>
        <row r="1502">
          <cell r="A1502" t="str">
            <v>493 J</v>
          </cell>
          <cell r="B1502">
            <v>11120</v>
          </cell>
          <cell r="C1502">
            <v>45686</v>
          </cell>
          <cell r="D1502" t="str">
            <v>JILANI</v>
          </cell>
          <cell r="E1502" t="str">
            <v>عثمان پلاسٹک چنیوٹ</v>
          </cell>
        </row>
        <row r="1503">
          <cell r="A1503" t="str">
            <v>494 J</v>
          </cell>
          <cell r="B1503">
            <v>11120</v>
          </cell>
          <cell r="C1503">
            <v>45686</v>
          </cell>
          <cell r="D1503" t="str">
            <v>JILANI</v>
          </cell>
          <cell r="E1503" t="str">
            <v>عثمان پلاسٹک چنیوٹ</v>
          </cell>
        </row>
        <row r="1504">
          <cell r="A1504" t="str">
            <v>495 J</v>
          </cell>
          <cell r="B1504">
            <v>11121</v>
          </cell>
          <cell r="C1504">
            <v>45686</v>
          </cell>
          <cell r="D1504" t="str">
            <v>JILANI</v>
          </cell>
          <cell r="E1504" t="str">
            <v>عثمان عارف بٹ گوجرانولہ</v>
          </cell>
        </row>
        <row r="1505">
          <cell r="A1505">
            <v>2686</v>
          </cell>
          <cell r="B1505">
            <v>17643</v>
          </cell>
          <cell r="C1505">
            <v>45688</v>
          </cell>
          <cell r="D1505" t="str">
            <v>JILANI</v>
          </cell>
          <cell r="E1505" t="str">
            <v>MUSTERKA ISLAMABAD</v>
          </cell>
        </row>
        <row r="1506">
          <cell r="A1506">
            <v>2687</v>
          </cell>
          <cell r="B1506">
            <v>17643</v>
          </cell>
          <cell r="C1506">
            <v>45688</v>
          </cell>
          <cell r="D1506" t="str">
            <v>JILANI</v>
          </cell>
          <cell r="E1506" t="str">
            <v>MUSTERKA ISLAMABAD</v>
          </cell>
        </row>
        <row r="1507">
          <cell r="A1507">
            <v>2688</v>
          </cell>
          <cell r="B1507">
            <v>17643</v>
          </cell>
          <cell r="C1507">
            <v>45688</v>
          </cell>
          <cell r="D1507" t="str">
            <v>JILANI</v>
          </cell>
          <cell r="E1507" t="str">
            <v>MUSTERKA ISLAMABAD</v>
          </cell>
        </row>
        <row r="1508">
          <cell r="A1508">
            <v>2689</v>
          </cell>
          <cell r="B1508">
            <v>17643</v>
          </cell>
          <cell r="C1508">
            <v>45688</v>
          </cell>
          <cell r="D1508" t="str">
            <v>JILANI</v>
          </cell>
          <cell r="E1508" t="str">
            <v>MUSTERKA ISLAMABAD</v>
          </cell>
        </row>
        <row r="1509">
          <cell r="A1509">
            <v>2690</v>
          </cell>
          <cell r="B1509"/>
          <cell r="C1509">
            <v>45688</v>
          </cell>
          <cell r="D1509"/>
          <cell r="E1509" t="str">
            <v>ENGRO ZARKHEZ</v>
          </cell>
        </row>
        <row r="1510">
          <cell r="A1510">
            <v>2691</v>
          </cell>
          <cell r="B1510">
            <v>7948</v>
          </cell>
          <cell r="C1510">
            <v>45688</v>
          </cell>
          <cell r="D1510"/>
          <cell r="E1510" t="str">
            <v>MACSOOD TEXTILE MILL</v>
          </cell>
        </row>
        <row r="1511">
          <cell r="A1511">
            <v>2692</v>
          </cell>
          <cell r="B1511"/>
          <cell r="C1511">
            <v>45688</v>
          </cell>
          <cell r="D1511"/>
          <cell r="E1511" t="str">
            <v>ENGRO ZARKHEZ</v>
          </cell>
        </row>
        <row r="1512">
          <cell r="A1512" t="str">
            <v>1026 F</v>
          </cell>
          <cell r="B1512"/>
          <cell r="C1512">
            <v>45688</v>
          </cell>
          <cell r="D1512" t="str">
            <v>فینا</v>
          </cell>
          <cell r="E1512" t="str">
            <v>عثمان امین</v>
          </cell>
        </row>
        <row r="1513">
          <cell r="A1513" t="str">
            <v>1027 F</v>
          </cell>
          <cell r="B1513"/>
          <cell r="C1513">
            <v>45688</v>
          </cell>
          <cell r="D1513" t="str">
            <v>فینا</v>
          </cell>
          <cell r="E1513" t="str">
            <v>عثمان امین</v>
          </cell>
        </row>
        <row r="1514">
          <cell r="A1514" t="str">
            <v>1028 F</v>
          </cell>
          <cell r="B1514"/>
          <cell r="C1514">
            <v>45688</v>
          </cell>
          <cell r="D1514" t="str">
            <v>فینا</v>
          </cell>
          <cell r="E1514" t="str">
            <v>عثمان امین</v>
          </cell>
        </row>
        <row r="1515">
          <cell r="A1515" t="str">
            <v>1029 F</v>
          </cell>
          <cell r="B1515"/>
          <cell r="C1515">
            <v>45688</v>
          </cell>
          <cell r="D1515" t="str">
            <v>فینا</v>
          </cell>
          <cell r="E1515" t="str">
            <v>عثمان امین</v>
          </cell>
        </row>
        <row r="1516">
          <cell r="A1516" t="str">
            <v>1030 F</v>
          </cell>
          <cell r="B1516"/>
          <cell r="C1516">
            <v>45688</v>
          </cell>
          <cell r="D1516" t="str">
            <v>فینا</v>
          </cell>
          <cell r="E1516" t="str">
            <v>عثمان امین</v>
          </cell>
        </row>
        <row r="1517">
          <cell r="A1517" t="str">
            <v>496 J</v>
          </cell>
          <cell r="B1517">
            <v>11122</v>
          </cell>
          <cell r="C1517">
            <v>45688</v>
          </cell>
          <cell r="D1517" t="str">
            <v>JILANI</v>
          </cell>
          <cell r="E1517" t="str">
            <v>عامر صاحب گلبرگ لاہور</v>
          </cell>
        </row>
        <row r="1518">
          <cell r="A1518" t="str">
            <v>497 J</v>
          </cell>
          <cell r="B1518">
            <v>11123</v>
          </cell>
          <cell r="C1518">
            <v>45688</v>
          </cell>
          <cell r="D1518" t="str">
            <v>JILANI</v>
          </cell>
          <cell r="E1518" t="str">
            <v>عامر صاحب گلبرگ لاہور</v>
          </cell>
        </row>
        <row r="1519">
          <cell r="A1519" t="str">
            <v>498 J</v>
          </cell>
          <cell r="B1519">
            <v>11124</v>
          </cell>
          <cell r="C1519">
            <v>45688</v>
          </cell>
          <cell r="D1519" t="str">
            <v>JILANI</v>
          </cell>
          <cell r="E1519" t="str">
            <v>ایچ اے انڈسٹریز پشاور</v>
          </cell>
        </row>
        <row r="1520">
          <cell r="A1520" t="str">
            <v>499 J</v>
          </cell>
          <cell r="B1520">
            <v>11125</v>
          </cell>
          <cell r="C1520">
            <v>45688</v>
          </cell>
          <cell r="D1520" t="str">
            <v>JILANI</v>
          </cell>
          <cell r="E1520" t="str">
            <v>ذائقہ بریانی لاہور</v>
          </cell>
        </row>
        <row r="1521">
          <cell r="A1521" t="str">
            <v>500 J</v>
          </cell>
          <cell r="B1521">
            <v>11126</v>
          </cell>
          <cell r="C1521">
            <v>45688</v>
          </cell>
          <cell r="D1521" t="str">
            <v>JILANI</v>
          </cell>
          <cell r="E1521" t="str">
            <v>عالم پرنٹرز بٹ خیلہ</v>
          </cell>
        </row>
        <row r="1522">
          <cell r="A1522" t="str">
            <v>501 J</v>
          </cell>
          <cell r="B1522">
            <v>11127</v>
          </cell>
          <cell r="C1522">
            <v>45688</v>
          </cell>
          <cell r="D1522" t="str">
            <v>JILANI</v>
          </cell>
          <cell r="E1522" t="str">
            <v>عالم پرنٹرز بٹ خیلہ</v>
          </cell>
        </row>
        <row r="1523">
          <cell r="A1523" t="str">
            <v>502 J</v>
          </cell>
          <cell r="B1523">
            <v>11128</v>
          </cell>
          <cell r="C1523">
            <v>45688</v>
          </cell>
          <cell r="D1523" t="str">
            <v>JILANI</v>
          </cell>
          <cell r="E1523" t="str">
            <v>اعزازپلاسٹک مارکیٹ(حسنین علی منگورہ)</v>
          </cell>
        </row>
        <row r="1524">
          <cell r="A1524" t="str">
            <v>503 J</v>
          </cell>
          <cell r="B1524">
            <v>11128</v>
          </cell>
          <cell r="C1524">
            <v>45688</v>
          </cell>
          <cell r="D1524" t="str">
            <v>JILANI</v>
          </cell>
          <cell r="E1524" t="str">
            <v>اعزازپلاسٹک مارکیٹ(حسنین علی منگورہ)</v>
          </cell>
        </row>
        <row r="1525">
          <cell r="A1525" t="str">
            <v>504 J</v>
          </cell>
          <cell r="B1525">
            <v>11129</v>
          </cell>
          <cell r="C1525">
            <v>45688</v>
          </cell>
          <cell r="D1525" t="str">
            <v>JILANI</v>
          </cell>
          <cell r="E1525" t="str">
            <v>ملک وے ملک لاہور</v>
          </cell>
        </row>
        <row r="1526">
          <cell r="A1526" t="str">
            <v>505 J</v>
          </cell>
          <cell r="B1526">
            <v>11130</v>
          </cell>
          <cell r="C1526">
            <v>45688</v>
          </cell>
          <cell r="D1526" t="str">
            <v>JILANI</v>
          </cell>
          <cell r="E1526" t="str">
            <v>البراق  ڈیپارٹمنٹ سٹور لاہور</v>
          </cell>
        </row>
        <row r="1527">
          <cell r="A1527" t="str">
            <v>506 J</v>
          </cell>
          <cell r="B1527">
            <v>11130</v>
          </cell>
          <cell r="C1527">
            <v>45688</v>
          </cell>
          <cell r="D1527" t="str">
            <v>JILANI</v>
          </cell>
          <cell r="E1527" t="str">
            <v>البراق  ڈیپارٹمنٹ سٹور لاہور</v>
          </cell>
        </row>
        <row r="1528">
          <cell r="A1528" t="str">
            <v>507 J</v>
          </cell>
          <cell r="B1528">
            <v>11131</v>
          </cell>
          <cell r="C1528">
            <v>45688</v>
          </cell>
          <cell r="D1528" t="str">
            <v>JILANI</v>
          </cell>
          <cell r="E1528" t="str">
            <v>چوائس گارمنٹس اینڈ شوز شیخوپورہ</v>
          </cell>
        </row>
        <row r="1529">
          <cell r="A1529" t="str">
            <v>508 J</v>
          </cell>
          <cell r="B1529">
            <v>11132</v>
          </cell>
          <cell r="C1529">
            <v>45688</v>
          </cell>
          <cell r="D1529" t="str">
            <v>JILANI</v>
          </cell>
          <cell r="E1529" t="str">
            <v>چوائس گارمنٹس اینڈ شوز شیخوپورہ</v>
          </cell>
        </row>
        <row r="1530">
          <cell r="A1530" t="str">
            <v>509 J</v>
          </cell>
          <cell r="B1530">
            <v>11132</v>
          </cell>
          <cell r="C1530">
            <v>45688</v>
          </cell>
          <cell r="D1530" t="str">
            <v>JILANI</v>
          </cell>
          <cell r="E1530" t="str">
            <v>چوائس گارمنٹس اینڈ شوز شیخوپورہ</v>
          </cell>
        </row>
        <row r="1531">
          <cell r="A1531" t="str">
            <v>510 J</v>
          </cell>
          <cell r="B1531">
            <v>11132</v>
          </cell>
          <cell r="C1531">
            <v>45688</v>
          </cell>
          <cell r="D1531" t="str">
            <v>JILANI</v>
          </cell>
          <cell r="E1531" t="str">
            <v>چوائس گارمنٹس اینڈ شوز شیخوپورہ</v>
          </cell>
        </row>
        <row r="1532">
          <cell r="A1532" t="str">
            <v>511 J</v>
          </cell>
          <cell r="B1532">
            <v>11138</v>
          </cell>
          <cell r="C1532">
            <v>45688</v>
          </cell>
          <cell r="D1532" t="str">
            <v>JILANI</v>
          </cell>
          <cell r="E1532" t="str">
            <v>عثمان عارف بٹ گوجرانولہ</v>
          </cell>
        </row>
        <row r="1533">
          <cell r="A1533" t="str">
            <v>512 J</v>
          </cell>
          <cell r="B1533">
            <v>11138</v>
          </cell>
          <cell r="C1533">
            <v>45688</v>
          </cell>
          <cell r="D1533" t="str">
            <v>JILANI</v>
          </cell>
          <cell r="E1533" t="str">
            <v>عثمان عارف بٹ گوجرانولہ</v>
          </cell>
        </row>
        <row r="1534">
          <cell r="A1534" t="str">
            <v>513 J</v>
          </cell>
          <cell r="B1534">
            <v>11138</v>
          </cell>
          <cell r="C1534">
            <v>45688</v>
          </cell>
          <cell r="D1534" t="str">
            <v>JILANI</v>
          </cell>
          <cell r="E1534" t="str">
            <v>عثمان عارف بٹ گوجرانولہ</v>
          </cell>
        </row>
        <row r="1535">
          <cell r="A1535" t="str">
            <v>514 J</v>
          </cell>
          <cell r="B1535">
            <v>11138</v>
          </cell>
          <cell r="C1535">
            <v>45688</v>
          </cell>
          <cell r="D1535" t="str">
            <v>JILANI</v>
          </cell>
          <cell r="E1535" t="str">
            <v>عثمان عارف بٹ گوجرانولہ</v>
          </cell>
        </row>
        <row r="1536">
          <cell r="A1536" t="str">
            <v>515 J</v>
          </cell>
          <cell r="B1536"/>
          <cell r="C1536">
            <v>45688</v>
          </cell>
          <cell r="D1536" t="str">
            <v>JILANI</v>
          </cell>
          <cell r="E1536" t="str">
            <v>جیلانی پولی 2PEP</v>
          </cell>
        </row>
        <row r="1537">
          <cell r="A1537" t="str">
            <v>516 J</v>
          </cell>
          <cell r="B1537"/>
          <cell r="C1537">
            <v>45688</v>
          </cell>
          <cell r="D1537" t="str">
            <v>JILANI</v>
          </cell>
          <cell r="E1537" t="str">
            <v>جیلانی پولی 2PEP</v>
          </cell>
        </row>
        <row r="1538">
          <cell r="A1538" t="str">
            <v>517 J</v>
          </cell>
          <cell r="B1538">
            <v>11133</v>
          </cell>
          <cell r="C1538">
            <v>45688</v>
          </cell>
          <cell r="D1538" t="str">
            <v>JILANI</v>
          </cell>
          <cell r="E1538" t="str">
            <v>صوفی اقبال کلاتھ ہاؤس شکر گڑھ</v>
          </cell>
        </row>
        <row r="1539">
          <cell r="A1539" t="str">
            <v>518 J</v>
          </cell>
          <cell r="B1539">
            <v>11133</v>
          </cell>
          <cell r="C1539">
            <v>45688</v>
          </cell>
          <cell r="D1539" t="str">
            <v>JILANI</v>
          </cell>
          <cell r="E1539" t="str">
            <v>صوفی اقبال کلاتھ ہاؤس شکر گڑھ</v>
          </cell>
        </row>
        <row r="1540">
          <cell r="A1540" t="str">
            <v>519 J</v>
          </cell>
          <cell r="B1540">
            <v>11134</v>
          </cell>
          <cell r="C1540">
            <v>45688</v>
          </cell>
          <cell r="D1540" t="str">
            <v>JILANI</v>
          </cell>
          <cell r="E1540" t="str">
            <v>عالم بیکرز شاہدرہ</v>
          </cell>
        </row>
        <row r="1541">
          <cell r="A1541" t="str">
            <v>520 J</v>
          </cell>
          <cell r="B1541">
            <v>11134</v>
          </cell>
          <cell r="C1541">
            <v>45688</v>
          </cell>
          <cell r="D1541" t="str">
            <v>JILANI</v>
          </cell>
          <cell r="E1541" t="str">
            <v>عالم بیکرز شاہدرہ</v>
          </cell>
        </row>
        <row r="1542">
          <cell r="A1542" t="str">
            <v>521 J</v>
          </cell>
          <cell r="B1542">
            <v>11134</v>
          </cell>
          <cell r="C1542">
            <v>45688</v>
          </cell>
          <cell r="D1542" t="str">
            <v>JILANI</v>
          </cell>
          <cell r="E1542" t="str">
            <v>عالم بیکرز شاہدرہ</v>
          </cell>
        </row>
        <row r="1543">
          <cell r="A1543" t="str">
            <v>522 J</v>
          </cell>
          <cell r="B1543">
            <v>11135</v>
          </cell>
          <cell r="C1543">
            <v>45688</v>
          </cell>
          <cell r="D1543" t="str">
            <v>JILANI</v>
          </cell>
          <cell r="E1543" t="str">
            <v>شعیب آٹوز راولپنڈی</v>
          </cell>
        </row>
        <row r="1544">
          <cell r="A1544" t="str">
            <v>523 J</v>
          </cell>
          <cell r="B1544">
            <v>11136</v>
          </cell>
          <cell r="C1544">
            <v>45688</v>
          </cell>
          <cell r="D1544" t="str">
            <v>JILANI</v>
          </cell>
          <cell r="E1544" t="str">
            <v>شعیب آٹوز راولپنڈی</v>
          </cell>
        </row>
        <row r="1545">
          <cell r="A1545" t="str">
            <v>524 J</v>
          </cell>
          <cell r="B1545">
            <v>11137</v>
          </cell>
          <cell r="C1545">
            <v>45688</v>
          </cell>
          <cell r="D1545" t="str">
            <v>JILANI</v>
          </cell>
          <cell r="E1545" t="str">
            <v>اے کے سپیئر پارٹس لاہور</v>
          </cell>
        </row>
        <row r="1546">
          <cell r="A1546" t="str">
            <v>525 J</v>
          </cell>
          <cell r="B1546">
            <v>11139</v>
          </cell>
          <cell r="C1546">
            <v>45688</v>
          </cell>
          <cell r="D1546" t="str">
            <v>JILANI</v>
          </cell>
          <cell r="E1546" t="str">
            <v>امارات پلاسٹک ٹھوکر نیاز بیگ</v>
          </cell>
        </row>
        <row r="1547">
          <cell r="A1547" t="str">
            <v>526 J</v>
          </cell>
          <cell r="B1547">
            <v>11140</v>
          </cell>
          <cell r="C1547">
            <v>45688</v>
          </cell>
          <cell r="D1547" t="str">
            <v>JILANI</v>
          </cell>
          <cell r="E1547" t="str">
            <v>میزان فوم پرائیویٹ لیمٹیڈ</v>
          </cell>
        </row>
        <row r="1548">
          <cell r="A1548" t="str">
            <v>527 J</v>
          </cell>
          <cell r="B1548">
            <v>11141</v>
          </cell>
          <cell r="C1548">
            <v>45688</v>
          </cell>
          <cell r="D1548" t="str">
            <v>JILANI</v>
          </cell>
          <cell r="E1548" t="str">
            <v>شہزاد بیگ لیہ</v>
          </cell>
        </row>
        <row r="1549">
          <cell r="A1549" t="str">
            <v>6568/1</v>
          </cell>
          <cell r="B1549">
            <v>6568</v>
          </cell>
          <cell r="C1549">
            <v>45685</v>
          </cell>
          <cell r="D1549" t="str">
            <v>یونس صاحب</v>
          </cell>
          <cell r="E1549" t="str">
            <v>مھبوب مقبول گجرانوالہ</v>
          </cell>
        </row>
        <row r="1550">
          <cell r="A1550" t="str">
            <v>6568/2</v>
          </cell>
          <cell r="B1550">
            <v>6568</v>
          </cell>
          <cell r="C1550">
            <v>45685</v>
          </cell>
          <cell r="D1550" t="str">
            <v>یونس صاحب</v>
          </cell>
          <cell r="E1550" t="str">
            <v>مھبوب مقبول گجرانوالہ</v>
          </cell>
        </row>
        <row r="1551">
          <cell r="A1551" t="str">
            <v>6568/3</v>
          </cell>
          <cell r="B1551">
            <v>6568</v>
          </cell>
          <cell r="C1551">
            <v>45685</v>
          </cell>
          <cell r="D1551" t="str">
            <v>یونس صاحب</v>
          </cell>
          <cell r="E1551" t="str">
            <v>مھبوب مقبول گجرانوالہ</v>
          </cell>
        </row>
        <row r="1552">
          <cell r="A1552" t="str">
            <v>6568/4</v>
          </cell>
          <cell r="B1552">
            <v>6568</v>
          </cell>
          <cell r="C1552">
            <v>45685</v>
          </cell>
          <cell r="D1552" t="str">
            <v>یونس صاحب</v>
          </cell>
          <cell r="E1552" t="str">
            <v>مھبوب مقبول گجرانوالہ</v>
          </cell>
        </row>
        <row r="1553">
          <cell r="A1553" t="str">
            <v>6568/5</v>
          </cell>
          <cell r="B1553">
            <v>6568</v>
          </cell>
          <cell r="C1553">
            <v>45685</v>
          </cell>
          <cell r="D1553" t="str">
            <v>یونس صاحب</v>
          </cell>
          <cell r="E1553" t="str">
            <v>مھبوب مقبول گجرانوالہ</v>
          </cell>
        </row>
        <row r="1554">
          <cell r="A1554" t="str">
            <v>6568/6</v>
          </cell>
          <cell r="B1554">
            <v>6568</v>
          </cell>
          <cell r="C1554">
            <v>45685</v>
          </cell>
          <cell r="D1554" t="str">
            <v>یونس صاحب</v>
          </cell>
          <cell r="E1554" t="str">
            <v>مھبوب مقبول گجرانوالہ</v>
          </cell>
        </row>
        <row r="1555">
          <cell r="A1555" t="str">
            <v>6568/7</v>
          </cell>
          <cell r="B1555">
            <v>6568</v>
          </cell>
          <cell r="C1555">
            <v>45685</v>
          </cell>
          <cell r="D1555" t="str">
            <v>یونس صاحب</v>
          </cell>
          <cell r="E1555" t="str">
            <v>مھبوب مقبول گجرانوالہ</v>
          </cell>
        </row>
        <row r="1556">
          <cell r="A1556" t="str">
            <v>6568/8</v>
          </cell>
          <cell r="B1556">
            <v>6568</v>
          </cell>
          <cell r="C1556">
            <v>45685</v>
          </cell>
          <cell r="D1556" t="str">
            <v>یونس صاحب</v>
          </cell>
          <cell r="E1556" t="str">
            <v>مھبوب مقبول گجرانوالہ</v>
          </cell>
        </row>
        <row r="1557">
          <cell r="A1557" t="str">
            <v>6568/9</v>
          </cell>
          <cell r="B1557">
            <v>6568</v>
          </cell>
          <cell r="C1557">
            <v>45685</v>
          </cell>
          <cell r="D1557" t="str">
            <v>یونس صاحب</v>
          </cell>
          <cell r="E1557" t="str">
            <v>مھبوب مقبول گجرانوالہ</v>
          </cell>
        </row>
        <row r="1558">
          <cell r="A1558" t="str">
            <v>6568/10</v>
          </cell>
          <cell r="B1558">
            <v>6568</v>
          </cell>
          <cell r="C1558">
            <v>45685</v>
          </cell>
          <cell r="D1558" t="str">
            <v>یونس صاحب</v>
          </cell>
          <cell r="E1558" t="str">
            <v>مھبوب مقبول گجرانوالہ</v>
          </cell>
        </row>
        <row r="1559">
          <cell r="A1559" t="str">
            <v>6568/11</v>
          </cell>
          <cell r="B1559">
            <v>6568</v>
          </cell>
          <cell r="C1559">
            <v>45685</v>
          </cell>
          <cell r="D1559" t="str">
            <v>یونس صاحب</v>
          </cell>
          <cell r="E1559" t="str">
            <v>مھبوب مقبول گجرانوالہ</v>
          </cell>
        </row>
        <row r="1560">
          <cell r="A1560" t="str">
            <v>6569/1</v>
          </cell>
          <cell r="B1560">
            <v>6569</v>
          </cell>
          <cell r="C1560">
            <v>45685</v>
          </cell>
          <cell r="D1560" t="str">
            <v>یونس صاحب</v>
          </cell>
          <cell r="E1560" t="str">
            <v>مھبوب مقبول گجرانوالہ</v>
          </cell>
        </row>
        <row r="1561">
          <cell r="A1561" t="str">
            <v>6570/1</v>
          </cell>
          <cell r="B1561">
            <v>6570</v>
          </cell>
          <cell r="C1561">
            <v>45685</v>
          </cell>
          <cell r="D1561" t="str">
            <v>یونس صاحب</v>
          </cell>
          <cell r="E1561" t="str">
            <v>ایم شریف اینڈ سنز گڑھی حبیب A</v>
          </cell>
        </row>
        <row r="1562">
          <cell r="A1562" t="str">
            <v>6570/2</v>
          </cell>
          <cell r="B1562">
            <v>6570</v>
          </cell>
          <cell r="C1562">
            <v>45685</v>
          </cell>
          <cell r="D1562" t="str">
            <v>یونس صاحب</v>
          </cell>
          <cell r="E1562" t="str">
            <v>ایم شریف اینڈ سنز گڑھی حبیب A</v>
          </cell>
        </row>
        <row r="1563">
          <cell r="A1563" t="str">
            <v>6570/3</v>
          </cell>
          <cell r="B1563">
            <v>6570</v>
          </cell>
          <cell r="C1563">
            <v>45685</v>
          </cell>
          <cell r="D1563" t="str">
            <v>یونس صاحب</v>
          </cell>
          <cell r="E1563" t="str">
            <v>ایم شریف اینڈ سنز گڑھی حبیب A</v>
          </cell>
        </row>
        <row r="1564">
          <cell r="A1564" t="str">
            <v>6570/4</v>
          </cell>
          <cell r="B1564">
            <v>6570</v>
          </cell>
          <cell r="C1564">
            <v>45685</v>
          </cell>
          <cell r="D1564" t="str">
            <v>یونس صاحب</v>
          </cell>
          <cell r="E1564" t="str">
            <v>ایم شریف اینڈ سنز گڑھی حبیب A</v>
          </cell>
        </row>
        <row r="1565">
          <cell r="A1565" t="str">
            <v>6570/5</v>
          </cell>
          <cell r="B1565">
            <v>6570</v>
          </cell>
          <cell r="C1565">
            <v>45685</v>
          </cell>
          <cell r="D1565" t="str">
            <v>یونس صاحب</v>
          </cell>
          <cell r="E1565" t="str">
            <v>ایم شریف اینڈ سنز گڑھی حبیب A</v>
          </cell>
        </row>
        <row r="1566">
          <cell r="A1566" t="str">
            <v>6571/1</v>
          </cell>
          <cell r="B1566">
            <v>6571</v>
          </cell>
          <cell r="C1566">
            <v>45686</v>
          </cell>
          <cell r="D1566" t="str">
            <v>یونس صاحب</v>
          </cell>
          <cell r="E1566" t="str">
            <v>طیب پلاسٹک گوجرانوالہ</v>
          </cell>
        </row>
        <row r="1567">
          <cell r="A1567" t="str">
            <v>6571/2</v>
          </cell>
          <cell r="B1567">
            <v>6571</v>
          </cell>
          <cell r="C1567">
            <v>45686</v>
          </cell>
          <cell r="D1567" t="str">
            <v>یونس صاحب</v>
          </cell>
          <cell r="E1567" t="str">
            <v>طیب پلاسٹک گوجرانوالہ</v>
          </cell>
        </row>
        <row r="1568">
          <cell r="A1568" t="str">
            <v>6571/3</v>
          </cell>
          <cell r="B1568">
            <v>6571</v>
          </cell>
          <cell r="C1568">
            <v>45686</v>
          </cell>
          <cell r="D1568" t="str">
            <v>یونس صاحب</v>
          </cell>
          <cell r="E1568" t="str">
            <v>طیب پلاسٹک گوجرانوالہ</v>
          </cell>
        </row>
        <row r="1569">
          <cell r="A1569" t="str">
            <v>6571/4</v>
          </cell>
          <cell r="B1569">
            <v>6571</v>
          </cell>
          <cell r="C1569">
            <v>45686</v>
          </cell>
          <cell r="D1569" t="str">
            <v>یونس صاحب</v>
          </cell>
          <cell r="E1569" t="str">
            <v>طیب پلاسٹک گوجرانوالہ</v>
          </cell>
        </row>
        <row r="1570">
          <cell r="A1570" t="str">
            <v>6571/5</v>
          </cell>
          <cell r="B1570">
            <v>6571</v>
          </cell>
          <cell r="C1570">
            <v>45686</v>
          </cell>
          <cell r="D1570" t="str">
            <v>یونس صاحب</v>
          </cell>
          <cell r="E1570" t="str">
            <v>طیب پلاسٹک گوجرانوالہ</v>
          </cell>
        </row>
        <row r="1571">
          <cell r="A1571" t="str">
            <v>6571/6</v>
          </cell>
          <cell r="B1571">
            <v>6571</v>
          </cell>
          <cell r="C1571">
            <v>45686</v>
          </cell>
          <cell r="D1571" t="str">
            <v>یونس صاحب</v>
          </cell>
          <cell r="E1571" t="str">
            <v>طیب پلاسٹک گوجرانوالہ</v>
          </cell>
        </row>
        <row r="1572">
          <cell r="A1572" t="str">
            <v>6571/7</v>
          </cell>
          <cell r="B1572">
            <v>6571</v>
          </cell>
          <cell r="C1572">
            <v>45686</v>
          </cell>
          <cell r="D1572" t="str">
            <v>یونس صاحب</v>
          </cell>
          <cell r="E1572" t="str">
            <v>طیب پلاسٹک گوجرانوالہ</v>
          </cell>
        </row>
        <row r="1573">
          <cell r="A1573" t="str">
            <v>6571/8</v>
          </cell>
          <cell r="B1573">
            <v>6571</v>
          </cell>
          <cell r="C1573">
            <v>45686</v>
          </cell>
          <cell r="D1573" t="str">
            <v>یونس صاحب</v>
          </cell>
          <cell r="E1573" t="str">
            <v>طیب پلاسٹک گوجرانوالہ</v>
          </cell>
        </row>
        <row r="1574">
          <cell r="A1574" t="str">
            <v>6571/9</v>
          </cell>
          <cell r="B1574">
            <v>6571</v>
          </cell>
          <cell r="C1574">
            <v>45686</v>
          </cell>
          <cell r="D1574" t="str">
            <v>یونس صاحب</v>
          </cell>
          <cell r="E1574" t="str">
            <v>طیب پلاسٹک گوجرانوالہ</v>
          </cell>
        </row>
        <row r="1575">
          <cell r="A1575" t="str">
            <v>6571/10</v>
          </cell>
          <cell r="B1575">
            <v>6571</v>
          </cell>
          <cell r="C1575">
            <v>45686</v>
          </cell>
          <cell r="D1575" t="str">
            <v>یونس صاحب</v>
          </cell>
          <cell r="E1575" t="str">
            <v>طیب پلاسٹک گوجرانوالہ</v>
          </cell>
        </row>
        <row r="1576">
          <cell r="A1576" t="str">
            <v>6571/11</v>
          </cell>
          <cell r="B1576">
            <v>6571</v>
          </cell>
          <cell r="C1576">
            <v>45686</v>
          </cell>
          <cell r="D1576" t="str">
            <v>یونس صاحب</v>
          </cell>
          <cell r="E1576" t="str">
            <v>طیب پلاسٹک گوجرانوالہ</v>
          </cell>
        </row>
        <row r="1577">
          <cell r="A1577" t="str">
            <v>6571/12</v>
          </cell>
          <cell r="B1577">
            <v>6571</v>
          </cell>
          <cell r="C1577">
            <v>45686</v>
          </cell>
          <cell r="D1577" t="str">
            <v>یونس صاحب</v>
          </cell>
          <cell r="E1577" t="str">
            <v>طیب پلاسٹک گوجرانوالہ</v>
          </cell>
        </row>
        <row r="1578">
          <cell r="A1578" t="str">
            <v>6571/13</v>
          </cell>
          <cell r="B1578">
            <v>6571</v>
          </cell>
          <cell r="C1578">
            <v>45686</v>
          </cell>
          <cell r="D1578" t="str">
            <v>یونس صاحب</v>
          </cell>
          <cell r="E1578" t="str">
            <v>طیب پلاسٹک گوجرانوالہ</v>
          </cell>
        </row>
        <row r="1579">
          <cell r="A1579" t="str">
            <v>6571/14</v>
          </cell>
          <cell r="B1579">
            <v>6571</v>
          </cell>
          <cell r="C1579">
            <v>45686</v>
          </cell>
          <cell r="D1579" t="str">
            <v>یونس صاحب</v>
          </cell>
          <cell r="E1579" t="str">
            <v>طیب پلاسٹک گوجرانوالہ</v>
          </cell>
        </row>
        <row r="1580">
          <cell r="A1580" t="str">
            <v>6571/15</v>
          </cell>
          <cell r="B1580">
            <v>6571</v>
          </cell>
          <cell r="C1580">
            <v>45686</v>
          </cell>
          <cell r="D1580" t="str">
            <v>یونس صاحب</v>
          </cell>
          <cell r="E1580" t="str">
            <v>طیب پلاسٹک گوجرانوالہ</v>
          </cell>
        </row>
        <row r="1581">
          <cell r="A1581" t="str">
            <v>6571/16</v>
          </cell>
          <cell r="B1581">
            <v>6571</v>
          </cell>
          <cell r="C1581">
            <v>45686</v>
          </cell>
          <cell r="D1581" t="str">
            <v>یونس صاحب</v>
          </cell>
          <cell r="E1581" t="str">
            <v>طیب پلاسٹک گوجرانوالہ</v>
          </cell>
        </row>
        <row r="1582">
          <cell r="A1582" t="str">
            <v>6572/1</v>
          </cell>
          <cell r="B1582">
            <v>6572</v>
          </cell>
          <cell r="C1582">
            <v>45686</v>
          </cell>
          <cell r="D1582" t="str">
            <v>یونس صاحب</v>
          </cell>
          <cell r="E1582" t="str">
            <v>محبوب لفافہ ہری پور</v>
          </cell>
        </row>
        <row r="1583">
          <cell r="A1583" t="str">
            <v>6572/2</v>
          </cell>
          <cell r="B1583">
            <v>6572</v>
          </cell>
          <cell r="C1583">
            <v>45686</v>
          </cell>
          <cell r="D1583" t="str">
            <v>یونس صاحب</v>
          </cell>
          <cell r="E1583" t="str">
            <v>محبوب لفافہ ہری پور</v>
          </cell>
        </row>
        <row r="1584">
          <cell r="A1584" t="str">
            <v>6573/1</v>
          </cell>
          <cell r="B1584">
            <v>6573</v>
          </cell>
          <cell r="C1584">
            <v>45686</v>
          </cell>
          <cell r="D1584" t="str">
            <v>یونس صاحب</v>
          </cell>
          <cell r="E1584" t="str">
            <v>مقبول پرنٹر ہری پور</v>
          </cell>
        </row>
        <row r="1585">
          <cell r="A1585" t="str">
            <v>6573/2</v>
          </cell>
          <cell r="B1585">
            <v>6573</v>
          </cell>
          <cell r="C1585">
            <v>45686</v>
          </cell>
          <cell r="D1585" t="str">
            <v>یونس صاحب</v>
          </cell>
          <cell r="E1585" t="str">
            <v>مقبول پرنٹر ہری پور</v>
          </cell>
        </row>
        <row r="1586">
          <cell r="A1586" t="str">
            <v>6573/3</v>
          </cell>
          <cell r="B1586">
            <v>6573</v>
          </cell>
          <cell r="C1586">
            <v>45686</v>
          </cell>
          <cell r="D1586" t="str">
            <v>یونس صاحب</v>
          </cell>
          <cell r="E1586" t="str">
            <v>مقبول پرنٹر ہری پور</v>
          </cell>
        </row>
        <row r="1587">
          <cell r="A1587" t="str">
            <v>6573/4</v>
          </cell>
          <cell r="B1587">
            <v>6573</v>
          </cell>
          <cell r="C1587">
            <v>45686</v>
          </cell>
          <cell r="D1587" t="str">
            <v>یونس صاحب</v>
          </cell>
          <cell r="E1587" t="str">
            <v>مقبول پرنٹر ہری پور</v>
          </cell>
        </row>
        <row r="1588">
          <cell r="A1588" t="str">
            <v>6573/5</v>
          </cell>
          <cell r="B1588">
            <v>6573</v>
          </cell>
          <cell r="C1588">
            <v>45686</v>
          </cell>
          <cell r="D1588" t="str">
            <v>یونس صاحب</v>
          </cell>
          <cell r="E1588" t="str">
            <v>مقبول پرنٹر ہری پور</v>
          </cell>
        </row>
        <row r="1589">
          <cell r="A1589" t="str">
            <v>6574/1</v>
          </cell>
          <cell r="B1589">
            <v>6574</v>
          </cell>
          <cell r="C1589">
            <v>45686</v>
          </cell>
          <cell r="D1589" t="str">
            <v>یونس صاحب</v>
          </cell>
          <cell r="E1589" t="str">
            <v>اشرف پلاسٹک بھکر</v>
          </cell>
        </row>
        <row r="1590">
          <cell r="A1590" t="str">
            <v>6575/1</v>
          </cell>
          <cell r="B1590">
            <v>6575</v>
          </cell>
          <cell r="C1590">
            <v>45686</v>
          </cell>
          <cell r="D1590" t="str">
            <v>یونس صاحب</v>
          </cell>
          <cell r="E1590" t="str">
            <v>شمائل پلاسٹک بھکر</v>
          </cell>
        </row>
        <row r="1591">
          <cell r="A1591" t="str">
            <v>6576/1</v>
          </cell>
          <cell r="B1591">
            <v>6576</v>
          </cell>
          <cell r="C1591">
            <v>45687</v>
          </cell>
          <cell r="D1591" t="str">
            <v>یونس صاحب</v>
          </cell>
          <cell r="E1591" t="str">
            <v>مھبوب مقبول گجرانوالہ</v>
          </cell>
        </row>
        <row r="1592">
          <cell r="A1592" t="str">
            <v>6577/1</v>
          </cell>
          <cell r="B1592">
            <v>6577</v>
          </cell>
          <cell r="C1592">
            <v>45687</v>
          </cell>
          <cell r="D1592" t="str">
            <v>یونس صاحب</v>
          </cell>
          <cell r="E1592" t="str">
            <v>فیصل پلاسٹک فیصل آباد</v>
          </cell>
        </row>
        <row r="1593">
          <cell r="A1593" t="str">
            <v>6577/2</v>
          </cell>
          <cell r="B1593">
            <v>6577</v>
          </cell>
          <cell r="C1593">
            <v>45687</v>
          </cell>
          <cell r="D1593" t="str">
            <v>یونس صاحب</v>
          </cell>
          <cell r="E1593" t="str">
            <v>فیصل پلاسٹک فیصل آباد</v>
          </cell>
        </row>
        <row r="1594">
          <cell r="A1594" t="str">
            <v>6577/3</v>
          </cell>
          <cell r="B1594">
            <v>6577</v>
          </cell>
          <cell r="C1594">
            <v>45687</v>
          </cell>
          <cell r="D1594" t="str">
            <v>یونس صاحب</v>
          </cell>
          <cell r="E1594" t="str">
            <v>فیصل پلاسٹک فیصل آباد</v>
          </cell>
        </row>
        <row r="1595">
          <cell r="A1595" t="str">
            <v>6577/4</v>
          </cell>
          <cell r="B1595">
            <v>6577</v>
          </cell>
          <cell r="C1595">
            <v>45687</v>
          </cell>
          <cell r="D1595" t="str">
            <v>یونس صاحب</v>
          </cell>
          <cell r="E1595" t="str">
            <v>فیصل پلاسٹک فیصل آباد</v>
          </cell>
        </row>
        <row r="1596">
          <cell r="A1596" t="str">
            <v>6577/5</v>
          </cell>
          <cell r="B1596">
            <v>6577</v>
          </cell>
          <cell r="C1596">
            <v>45687</v>
          </cell>
          <cell r="D1596" t="str">
            <v>یونس صاحب</v>
          </cell>
          <cell r="E1596" t="str">
            <v>فیصل پلاسٹک فیصل آباد</v>
          </cell>
        </row>
        <row r="1597">
          <cell r="A1597" t="str">
            <v>6577/6</v>
          </cell>
          <cell r="B1597">
            <v>6577</v>
          </cell>
          <cell r="C1597">
            <v>45687</v>
          </cell>
          <cell r="D1597" t="str">
            <v>یونس صاحب</v>
          </cell>
          <cell r="E1597" t="str">
            <v>فیصل پلاسٹک فیصل آباد</v>
          </cell>
        </row>
        <row r="1598">
          <cell r="A1598" t="str">
            <v>6578/1</v>
          </cell>
          <cell r="B1598">
            <v>6578</v>
          </cell>
          <cell r="C1598">
            <v>45687</v>
          </cell>
          <cell r="D1598" t="str">
            <v>یونس صاحب</v>
          </cell>
          <cell r="E1598" t="str">
            <v>فیصل پلاسٹک فیصل آباد</v>
          </cell>
        </row>
        <row r="1599">
          <cell r="A1599" t="str">
            <v>6578/2</v>
          </cell>
          <cell r="B1599">
            <v>6578</v>
          </cell>
          <cell r="C1599">
            <v>45687</v>
          </cell>
          <cell r="D1599" t="str">
            <v>یونس صاحب</v>
          </cell>
          <cell r="E1599" t="str">
            <v>فیصل پلاسٹک فیصل آباد</v>
          </cell>
        </row>
        <row r="1600">
          <cell r="A1600" t="str">
            <v>6578/3</v>
          </cell>
          <cell r="B1600">
            <v>6578</v>
          </cell>
          <cell r="C1600">
            <v>45687</v>
          </cell>
          <cell r="D1600" t="str">
            <v>یونس صاحب</v>
          </cell>
          <cell r="E1600" t="str">
            <v>فیصل پلاسٹک فیصل آباد</v>
          </cell>
        </row>
        <row r="1601">
          <cell r="A1601" t="str">
            <v>6578/4</v>
          </cell>
          <cell r="B1601">
            <v>6578</v>
          </cell>
          <cell r="C1601">
            <v>45687</v>
          </cell>
          <cell r="D1601" t="str">
            <v>یونس صاحب</v>
          </cell>
          <cell r="E1601" t="str">
            <v>فیصل پلاسٹک فیصل آباد</v>
          </cell>
        </row>
        <row r="1602">
          <cell r="A1602" t="str">
            <v>6578/5</v>
          </cell>
          <cell r="B1602">
            <v>6578</v>
          </cell>
          <cell r="C1602">
            <v>45687</v>
          </cell>
          <cell r="D1602" t="str">
            <v>یونس صاحب</v>
          </cell>
          <cell r="E1602" t="str">
            <v>فیصل پلاسٹک فیصل آباد</v>
          </cell>
        </row>
        <row r="1603">
          <cell r="A1603" t="str">
            <v>6578/6</v>
          </cell>
          <cell r="B1603">
            <v>6578</v>
          </cell>
          <cell r="C1603">
            <v>45687</v>
          </cell>
          <cell r="D1603" t="str">
            <v>یونس صاحب</v>
          </cell>
          <cell r="E1603" t="str">
            <v>فیصل پلاسٹک فیصل آباد</v>
          </cell>
        </row>
        <row r="1604">
          <cell r="A1604" t="str">
            <v>6579/1</v>
          </cell>
          <cell r="B1604">
            <v>6579</v>
          </cell>
          <cell r="C1604">
            <v>45687</v>
          </cell>
          <cell r="D1604" t="str">
            <v>یونس صاحب</v>
          </cell>
          <cell r="E1604" t="str">
            <v>پپو لفافہ چیچہ وطنی</v>
          </cell>
        </row>
        <row r="1605">
          <cell r="A1605" t="str">
            <v>6579/2</v>
          </cell>
          <cell r="B1605">
            <v>6579</v>
          </cell>
          <cell r="C1605">
            <v>45687</v>
          </cell>
          <cell r="D1605" t="str">
            <v>یونس صاحب</v>
          </cell>
          <cell r="E1605" t="str">
            <v>پپو لفافہ چیچہ وطنی</v>
          </cell>
        </row>
        <row r="1606">
          <cell r="A1606" t="str">
            <v>6579/3</v>
          </cell>
          <cell r="B1606">
            <v>6579</v>
          </cell>
          <cell r="C1606">
            <v>45687</v>
          </cell>
          <cell r="D1606" t="str">
            <v>یونس صاحب</v>
          </cell>
          <cell r="E1606" t="str">
            <v>پپو لفافہ چیچہ وطنی</v>
          </cell>
        </row>
        <row r="1607">
          <cell r="A1607" t="str">
            <v>6579/4</v>
          </cell>
          <cell r="B1607">
            <v>6579</v>
          </cell>
          <cell r="C1607">
            <v>45687</v>
          </cell>
          <cell r="D1607" t="str">
            <v>یونس صاحب</v>
          </cell>
          <cell r="E1607" t="str">
            <v>پپو لفافہ چیچہ وطنی</v>
          </cell>
        </row>
        <row r="1608">
          <cell r="A1608" t="str">
            <v>6579/5</v>
          </cell>
          <cell r="B1608">
            <v>6579</v>
          </cell>
          <cell r="C1608">
            <v>45687</v>
          </cell>
          <cell r="D1608" t="str">
            <v>یونس صاحب</v>
          </cell>
          <cell r="E1608" t="str">
            <v>پپو لفافہ چیچہ وطنی</v>
          </cell>
        </row>
        <row r="1609">
          <cell r="A1609" t="str">
            <v>6579/6</v>
          </cell>
          <cell r="B1609">
            <v>6579</v>
          </cell>
          <cell r="C1609">
            <v>45687</v>
          </cell>
          <cell r="D1609" t="str">
            <v>یونس صاحب</v>
          </cell>
          <cell r="E1609" t="str">
            <v>پپو لفافہ چیچہ وطنی</v>
          </cell>
        </row>
        <row r="1610">
          <cell r="A1610" t="str">
            <v>6579/7</v>
          </cell>
          <cell r="B1610">
            <v>6579</v>
          </cell>
          <cell r="C1610">
            <v>45687</v>
          </cell>
          <cell r="D1610" t="str">
            <v>یونس صاحب</v>
          </cell>
          <cell r="E1610" t="str">
            <v>پپو لفافہ چیچہ وطنی</v>
          </cell>
        </row>
        <row r="1611">
          <cell r="A1611" t="str">
            <v>6580/1</v>
          </cell>
          <cell r="B1611">
            <v>6580</v>
          </cell>
          <cell r="C1611">
            <v>45687</v>
          </cell>
          <cell r="D1611" t="str">
            <v>یونس صاحب</v>
          </cell>
          <cell r="E1611" t="str">
            <v>مھبوب مقبول گجرانوالہ</v>
          </cell>
        </row>
        <row r="1612">
          <cell r="A1612" t="str">
            <v>6580/2</v>
          </cell>
          <cell r="B1612">
            <v>6580</v>
          </cell>
          <cell r="C1612">
            <v>45687</v>
          </cell>
          <cell r="D1612" t="str">
            <v>یونس صاحب</v>
          </cell>
          <cell r="E1612" t="str">
            <v>مھبوب مقبول گجرانوالہ</v>
          </cell>
        </row>
        <row r="1613">
          <cell r="A1613" t="str">
            <v>6580/3</v>
          </cell>
          <cell r="B1613">
            <v>6580</v>
          </cell>
          <cell r="C1613">
            <v>45687</v>
          </cell>
          <cell r="D1613" t="str">
            <v>یونس صاحب</v>
          </cell>
          <cell r="E1613" t="str">
            <v>مھبوب مقبول گجرانوالہ</v>
          </cell>
        </row>
        <row r="1614">
          <cell r="A1614" t="str">
            <v>6580/4</v>
          </cell>
          <cell r="B1614">
            <v>6580</v>
          </cell>
          <cell r="C1614">
            <v>45687</v>
          </cell>
          <cell r="D1614" t="str">
            <v>یونس صاحب</v>
          </cell>
          <cell r="E1614" t="str">
            <v>مھبوب مقبول گجرانوالہ</v>
          </cell>
        </row>
        <row r="1615">
          <cell r="A1615" t="str">
            <v>6580/5</v>
          </cell>
          <cell r="B1615">
            <v>6580</v>
          </cell>
          <cell r="C1615">
            <v>45687</v>
          </cell>
          <cell r="D1615" t="str">
            <v>یونس صاحب</v>
          </cell>
          <cell r="E1615" t="str">
            <v>مھبوب مقبول گجرانوالہ</v>
          </cell>
        </row>
        <row r="1616">
          <cell r="A1616" t="str">
            <v>6580/6</v>
          </cell>
          <cell r="B1616">
            <v>6580</v>
          </cell>
          <cell r="C1616">
            <v>45687</v>
          </cell>
          <cell r="D1616" t="str">
            <v>یونس صاحب</v>
          </cell>
          <cell r="E1616" t="str">
            <v>مھبوب مقبول گجرانوالہ</v>
          </cell>
        </row>
        <row r="1617">
          <cell r="A1617" t="str">
            <v>6580/7</v>
          </cell>
          <cell r="B1617">
            <v>6580</v>
          </cell>
          <cell r="C1617">
            <v>45687</v>
          </cell>
          <cell r="D1617" t="str">
            <v>یونس صاحب</v>
          </cell>
          <cell r="E1617" t="str">
            <v>مھبوب مقبول گجرانوالہ</v>
          </cell>
        </row>
        <row r="1618">
          <cell r="A1618" t="str">
            <v>6580/8</v>
          </cell>
          <cell r="B1618">
            <v>6580</v>
          </cell>
          <cell r="C1618">
            <v>45687</v>
          </cell>
          <cell r="D1618" t="str">
            <v>یونس صاحب</v>
          </cell>
          <cell r="E1618" t="str">
            <v>مھبوب مقبول گجرانوالہ</v>
          </cell>
        </row>
        <row r="1619">
          <cell r="A1619" t="str">
            <v>6580/9</v>
          </cell>
          <cell r="B1619">
            <v>6580</v>
          </cell>
          <cell r="C1619">
            <v>45687</v>
          </cell>
          <cell r="D1619" t="str">
            <v>یونس صاحب</v>
          </cell>
          <cell r="E1619" t="str">
            <v>مھبوب مقبول گجرانوالہ</v>
          </cell>
        </row>
        <row r="1620">
          <cell r="A1620" t="str">
            <v>6581/1</v>
          </cell>
          <cell r="B1620">
            <v>6581</v>
          </cell>
          <cell r="C1620">
            <v>45687</v>
          </cell>
          <cell r="D1620" t="str">
            <v>یونس صاحب</v>
          </cell>
          <cell r="E1620" t="str">
            <v>طاہر پلاسٹک جھنگ</v>
          </cell>
        </row>
        <row r="1621">
          <cell r="A1621" t="str">
            <v>6581/2</v>
          </cell>
          <cell r="B1621">
            <v>6581</v>
          </cell>
          <cell r="C1621">
            <v>45687</v>
          </cell>
          <cell r="D1621" t="str">
            <v>یونس صاحب</v>
          </cell>
          <cell r="E1621" t="str">
            <v>طاہر پلاسٹک جھنگ</v>
          </cell>
        </row>
        <row r="1622">
          <cell r="A1622" t="str">
            <v>6581/3</v>
          </cell>
          <cell r="B1622">
            <v>6581</v>
          </cell>
          <cell r="C1622">
            <v>45687</v>
          </cell>
          <cell r="D1622" t="str">
            <v>یونس صاحب</v>
          </cell>
          <cell r="E1622" t="str">
            <v>طاہر پلاسٹک جھنگ</v>
          </cell>
        </row>
        <row r="1623">
          <cell r="A1623" t="str">
            <v>6581/4</v>
          </cell>
          <cell r="B1623">
            <v>6581</v>
          </cell>
          <cell r="C1623">
            <v>45687</v>
          </cell>
          <cell r="D1623" t="str">
            <v>یونس صاحب</v>
          </cell>
          <cell r="E1623" t="str">
            <v>طاہر پلاسٹک جھنگ</v>
          </cell>
        </row>
        <row r="1624">
          <cell r="A1624" t="str">
            <v>6581/5</v>
          </cell>
          <cell r="B1624">
            <v>6581</v>
          </cell>
          <cell r="C1624">
            <v>45687</v>
          </cell>
          <cell r="D1624" t="str">
            <v>یونس صاحب</v>
          </cell>
          <cell r="E1624" t="str">
            <v>طاہر پلاسٹک جھنگ</v>
          </cell>
        </row>
        <row r="1625">
          <cell r="A1625" t="str">
            <v>6581/6</v>
          </cell>
          <cell r="B1625">
            <v>6581</v>
          </cell>
          <cell r="C1625">
            <v>45687</v>
          </cell>
          <cell r="D1625" t="str">
            <v>یونس صاحب</v>
          </cell>
          <cell r="E1625" t="str">
            <v>طاہر پلاسٹک جھنگ</v>
          </cell>
        </row>
        <row r="1626">
          <cell r="A1626" t="str">
            <v>6581/7</v>
          </cell>
          <cell r="B1626">
            <v>6581</v>
          </cell>
          <cell r="C1626">
            <v>45687</v>
          </cell>
          <cell r="D1626" t="str">
            <v>یونس صاحب</v>
          </cell>
          <cell r="E1626" t="str">
            <v>طاہر پلاسٹک جھنگ</v>
          </cell>
        </row>
        <row r="1627">
          <cell r="A1627" t="str">
            <v>6581/8</v>
          </cell>
          <cell r="B1627">
            <v>6581</v>
          </cell>
          <cell r="C1627">
            <v>45687</v>
          </cell>
          <cell r="D1627" t="str">
            <v>یونس صاحب</v>
          </cell>
          <cell r="E1627" t="str">
            <v>طاہر پلاسٹک جھنگ</v>
          </cell>
        </row>
        <row r="1628">
          <cell r="A1628" t="str">
            <v>6582/1</v>
          </cell>
          <cell r="B1628">
            <v>6582</v>
          </cell>
          <cell r="C1628">
            <v>45687</v>
          </cell>
          <cell r="D1628" t="str">
            <v>یونس صاحب</v>
          </cell>
          <cell r="E1628" t="str">
            <v>786لفافہ بورے والا</v>
          </cell>
        </row>
        <row r="1629">
          <cell r="A1629" t="str">
            <v>6582/2</v>
          </cell>
          <cell r="B1629">
            <v>6582</v>
          </cell>
          <cell r="C1629">
            <v>45687</v>
          </cell>
          <cell r="D1629" t="str">
            <v>یونس صاحب</v>
          </cell>
          <cell r="E1629" t="str">
            <v>786لفافہ بورے والا</v>
          </cell>
        </row>
        <row r="1630">
          <cell r="A1630" t="str">
            <v>1031 F</v>
          </cell>
          <cell r="B1630"/>
          <cell r="C1630">
            <v>45689</v>
          </cell>
          <cell r="D1630" t="str">
            <v>فینا</v>
          </cell>
          <cell r="E1630" t="str">
            <v>عثمان امین</v>
          </cell>
        </row>
        <row r="1631">
          <cell r="A1631" t="str">
            <v>1032 F</v>
          </cell>
          <cell r="B1631"/>
          <cell r="C1631">
            <v>45689</v>
          </cell>
          <cell r="D1631" t="str">
            <v>فینا</v>
          </cell>
          <cell r="E1631" t="str">
            <v>عثمان امین</v>
          </cell>
        </row>
        <row r="1632">
          <cell r="A1632" t="str">
            <v>1033 F</v>
          </cell>
          <cell r="B1632"/>
          <cell r="C1632">
            <v>45689</v>
          </cell>
          <cell r="D1632" t="str">
            <v>فینا</v>
          </cell>
          <cell r="E1632" t="str">
            <v>عثمان امین</v>
          </cell>
        </row>
        <row r="1633">
          <cell r="A1633" t="str">
            <v>1034 F</v>
          </cell>
          <cell r="B1633"/>
          <cell r="C1633">
            <v>45689</v>
          </cell>
          <cell r="D1633" t="str">
            <v>فینا</v>
          </cell>
          <cell r="E1633" t="str">
            <v>عثمان امین</v>
          </cell>
        </row>
        <row r="1634">
          <cell r="A1634" t="str">
            <v>1035 F</v>
          </cell>
          <cell r="B1634"/>
          <cell r="C1634">
            <v>45689</v>
          </cell>
          <cell r="D1634" t="str">
            <v>فینا</v>
          </cell>
          <cell r="E1634" t="str">
            <v>عثمان امین</v>
          </cell>
        </row>
        <row r="1635">
          <cell r="A1635" t="str">
            <v>1036 F</v>
          </cell>
          <cell r="B1635"/>
          <cell r="C1635">
            <v>45689</v>
          </cell>
          <cell r="D1635" t="str">
            <v>فینا</v>
          </cell>
          <cell r="E1635" t="str">
            <v>عثمان امین</v>
          </cell>
        </row>
        <row r="1636">
          <cell r="A1636" t="str">
            <v>1037 F</v>
          </cell>
          <cell r="B1636"/>
          <cell r="C1636">
            <v>45689</v>
          </cell>
          <cell r="D1636" t="str">
            <v>فینا</v>
          </cell>
          <cell r="E1636" t="str">
            <v>عثمان امین</v>
          </cell>
        </row>
        <row r="1637">
          <cell r="A1637" t="str">
            <v>1038 F</v>
          </cell>
          <cell r="B1637"/>
          <cell r="C1637">
            <v>45691</v>
          </cell>
          <cell r="D1637" t="str">
            <v>فینا</v>
          </cell>
          <cell r="E1637" t="str">
            <v>عثمان امین</v>
          </cell>
        </row>
        <row r="1638">
          <cell r="A1638" t="str">
            <v>1039 F</v>
          </cell>
          <cell r="B1638"/>
          <cell r="C1638">
            <v>45691</v>
          </cell>
          <cell r="D1638" t="str">
            <v>فینا</v>
          </cell>
          <cell r="E1638" t="str">
            <v>عثمان امین</v>
          </cell>
        </row>
        <row r="1639">
          <cell r="A1639" t="str">
            <v>1040 F</v>
          </cell>
          <cell r="B1639"/>
          <cell r="C1639">
            <v>45691</v>
          </cell>
          <cell r="D1639" t="str">
            <v>فینا</v>
          </cell>
          <cell r="E1639" t="str">
            <v>عثمان امین</v>
          </cell>
        </row>
        <row r="1640">
          <cell r="A1640" t="str">
            <v>528 J</v>
          </cell>
          <cell r="B1640">
            <v>11060</v>
          </cell>
          <cell r="C1640">
            <v>45660</v>
          </cell>
          <cell r="D1640" t="str">
            <v>JILANI</v>
          </cell>
          <cell r="E1640" t="str">
            <v>سجنی فیشن بوتیق لاہور</v>
          </cell>
        </row>
        <row r="1641">
          <cell r="A1641" t="str">
            <v>6583/1</v>
          </cell>
          <cell r="B1641">
            <v>6583</v>
          </cell>
          <cell r="C1641">
            <v>45687</v>
          </cell>
          <cell r="D1641" t="str">
            <v>یونس صاحب</v>
          </cell>
          <cell r="E1641" t="str">
            <v>لجپال پلاسٹک جھنگ</v>
          </cell>
        </row>
        <row r="1642">
          <cell r="A1642" t="str">
            <v>6584/1</v>
          </cell>
          <cell r="B1642">
            <v>6584</v>
          </cell>
          <cell r="C1642">
            <v>45688</v>
          </cell>
          <cell r="D1642" t="str">
            <v>یونس صاحب</v>
          </cell>
          <cell r="E1642" t="str">
            <v>عبدالباری وہاڑی</v>
          </cell>
        </row>
        <row r="1643">
          <cell r="A1643" t="str">
            <v>6585/1</v>
          </cell>
          <cell r="B1643">
            <v>6585</v>
          </cell>
          <cell r="C1643">
            <v>45689</v>
          </cell>
          <cell r="D1643" t="str">
            <v>یونس صاحب</v>
          </cell>
          <cell r="E1643" t="str">
            <v>طارق سوپ چکوال</v>
          </cell>
        </row>
        <row r="1644">
          <cell r="A1644" t="str">
            <v>6586/1</v>
          </cell>
          <cell r="B1644">
            <v>6586</v>
          </cell>
          <cell r="C1644">
            <v>45689</v>
          </cell>
          <cell r="D1644" t="str">
            <v>یونس صاحب</v>
          </cell>
          <cell r="E1644" t="str">
            <v>نزر پلاسٹک بہاورلپور</v>
          </cell>
        </row>
        <row r="1645">
          <cell r="A1645" t="str">
            <v>6586/2</v>
          </cell>
          <cell r="B1645">
            <v>6586</v>
          </cell>
          <cell r="C1645">
            <v>45689</v>
          </cell>
          <cell r="D1645" t="str">
            <v>یونس صاحب</v>
          </cell>
          <cell r="E1645" t="str">
            <v>نزر پلاسٹک بہاورلپور</v>
          </cell>
        </row>
        <row r="1646">
          <cell r="A1646" t="str">
            <v>6586/3</v>
          </cell>
          <cell r="B1646">
            <v>6586</v>
          </cell>
          <cell r="C1646">
            <v>45689</v>
          </cell>
          <cell r="D1646" t="str">
            <v>یونس صاحب</v>
          </cell>
          <cell r="E1646" t="str">
            <v>نزر پلاسٹک بہاورلپور</v>
          </cell>
        </row>
        <row r="1647">
          <cell r="A1647" t="str">
            <v>6586/4</v>
          </cell>
          <cell r="B1647">
            <v>6586</v>
          </cell>
          <cell r="C1647">
            <v>45689</v>
          </cell>
          <cell r="D1647" t="str">
            <v>یونس صاحب</v>
          </cell>
          <cell r="E1647" t="str">
            <v>نزر پلاسٹک بہاورلپور</v>
          </cell>
        </row>
        <row r="1648">
          <cell r="A1648" t="str">
            <v>6586/5</v>
          </cell>
          <cell r="B1648">
            <v>6586</v>
          </cell>
          <cell r="C1648">
            <v>45689</v>
          </cell>
          <cell r="D1648" t="str">
            <v>یونس صاحب</v>
          </cell>
          <cell r="E1648" t="str">
            <v>نزر پلاسٹک بہاورلپور</v>
          </cell>
        </row>
        <row r="1649">
          <cell r="A1649" t="str">
            <v>6586/6</v>
          </cell>
          <cell r="B1649">
            <v>6586</v>
          </cell>
          <cell r="C1649">
            <v>45689</v>
          </cell>
          <cell r="D1649" t="str">
            <v>یونس صاحب</v>
          </cell>
          <cell r="E1649" t="str">
            <v>نزر پلاسٹک بہاورلپور</v>
          </cell>
        </row>
        <row r="1650">
          <cell r="A1650" t="str">
            <v>6586/7</v>
          </cell>
          <cell r="B1650">
            <v>6586</v>
          </cell>
          <cell r="C1650">
            <v>45689</v>
          </cell>
          <cell r="D1650" t="str">
            <v>یونس صاحب</v>
          </cell>
          <cell r="E1650" t="str">
            <v>نزر پلاسٹک بہاورلپور</v>
          </cell>
        </row>
        <row r="1651">
          <cell r="A1651" t="str">
            <v>6587/1</v>
          </cell>
          <cell r="B1651">
            <v>6587</v>
          </cell>
          <cell r="C1651">
            <v>45689</v>
          </cell>
          <cell r="D1651" t="str">
            <v>یونس صاحب</v>
          </cell>
          <cell r="E1651" t="str">
            <v>فیصل پلاسٹک فیصل آباد</v>
          </cell>
        </row>
        <row r="1652">
          <cell r="A1652" t="str">
            <v>6587/2</v>
          </cell>
          <cell r="B1652">
            <v>6587</v>
          </cell>
          <cell r="C1652">
            <v>45689</v>
          </cell>
          <cell r="D1652" t="str">
            <v>یونس صاحب</v>
          </cell>
          <cell r="E1652" t="str">
            <v>فیصل پلاسٹک فیصل آباد</v>
          </cell>
        </row>
        <row r="1653">
          <cell r="A1653" t="str">
            <v>6587/3</v>
          </cell>
          <cell r="B1653">
            <v>6587</v>
          </cell>
          <cell r="C1653">
            <v>45689</v>
          </cell>
          <cell r="D1653" t="str">
            <v>یونس صاحب</v>
          </cell>
          <cell r="E1653" t="str">
            <v>فیصل پلاسٹک فیصل آباد</v>
          </cell>
        </row>
        <row r="1654">
          <cell r="A1654" t="str">
            <v>6587/4</v>
          </cell>
          <cell r="B1654">
            <v>6587</v>
          </cell>
          <cell r="C1654">
            <v>45689</v>
          </cell>
          <cell r="D1654" t="str">
            <v>یونس صاحب</v>
          </cell>
          <cell r="E1654" t="str">
            <v>فیصل پلاسٹک فیصل آباد</v>
          </cell>
        </row>
        <row r="1655">
          <cell r="A1655" t="str">
            <v>6587/5</v>
          </cell>
          <cell r="B1655">
            <v>6587</v>
          </cell>
          <cell r="C1655">
            <v>45689</v>
          </cell>
          <cell r="D1655" t="str">
            <v>یونس صاحب</v>
          </cell>
          <cell r="E1655" t="str">
            <v>فیصل پلاسٹک فیصل آباد</v>
          </cell>
        </row>
        <row r="1656">
          <cell r="A1656" t="str">
            <v>6588/1</v>
          </cell>
          <cell r="B1656">
            <v>6588</v>
          </cell>
          <cell r="C1656">
            <v>45689</v>
          </cell>
          <cell r="D1656" t="str">
            <v>یونس صاحب</v>
          </cell>
          <cell r="E1656" t="str">
            <v>طلحہ پلاسٹک پنڈی</v>
          </cell>
        </row>
        <row r="1657">
          <cell r="A1657" t="str">
            <v>6589/1</v>
          </cell>
          <cell r="B1657">
            <v>6589</v>
          </cell>
          <cell r="C1657">
            <v>45689</v>
          </cell>
          <cell r="D1657" t="str">
            <v>یونس صاحب</v>
          </cell>
          <cell r="E1657" t="str">
            <v>بوٹا اعظم مارکیٹ</v>
          </cell>
        </row>
        <row r="1658">
          <cell r="A1658" t="str">
            <v>6590/1</v>
          </cell>
          <cell r="B1658">
            <v>6590</v>
          </cell>
          <cell r="C1658">
            <v>45689</v>
          </cell>
          <cell r="D1658" t="str">
            <v>یونس صاحب</v>
          </cell>
          <cell r="E1658" t="str">
            <v>اسد بلال بہاولپور</v>
          </cell>
        </row>
        <row r="1659">
          <cell r="A1659" t="str">
            <v>6590/2</v>
          </cell>
          <cell r="B1659">
            <v>6590</v>
          </cell>
          <cell r="C1659">
            <v>45689</v>
          </cell>
          <cell r="D1659" t="str">
            <v>یونس صاحب</v>
          </cell>
          <cell r="E1659" t="str">
            <v>اسد بلال بہاولپور</v>
          </cell>
        </row>
        <row r="1660">
          <cell r="A1660" t="str">
            <v>6590/3</v>
          </cell>
          <cell r="B1660">
            <v>6590</v>
          </cell>
          <cell r="C1660">
            <v>45689</v>
          </cell>
          <cell r="D1660" t="str">
            <v>یونس صاحب</v>
          </cell>
          <cell r="E1660" t="str">
            <v>اسد بلال بہاولپور</v>
          </cell>
        </row>
        <row r="1661">
          <cell r="A1661" t="str">
            <v>6590/4</v>
          </cell>
          <cell r="B1661">
            <v>6590</v>
          </cell>
          <cell r="C1661">
            <v>45689</v>
          </cell>
          <cell r="D1661" t="str">
            <v>یونس صاحب</v>
          </cell>
          <cell r="E1661" t="str">
            <v>اسد بلال بہاولپور</v>
          </cell>
        </row>
        <row r="1662">
          <cell r="A1662" t="str">
            <v>6590/5</v>
          </cell>
          <cell r="B1662">
            <v>6590</v>
          </cell>
          <cell r="C1662">
            <v>45689</v>
          </cell>
          <cell r="D1662" t="str">
            <v>یونس صاحب</v>
          </cell>
          <cell r="E1662" t="str">
            <v>اسد بلال بہاولپور</v>
          </cell>
        </row>
        <row r="1663">
          <cell r="A1663" t="str">
            <v>6590/6</v>
          </cell>
          <cell r="B1663">
            <v>6590</v>
          </cell>
          <cell r="C1663">
            <v>45689</v>
          </cell>
          <cell r="D1663" t="str">
            <v>یونس صاحب</v>
          </cell>
          <cell r="E1663" t="str">
            <v>اسد بلال بہاولپور</v>
          </cell>
        </row>
        <row r="1664">
          <cell r="A1664" t="str">
            <v>6590/7</v>
          </cell>
          <cell r="B1664">
            <v>6590</v>
          </cell>
          <cell r="C1664">
            <v>45689</v>
          </cell>
          <cell r="D1664" t="str">
            <v>یونس صاحب</v>
          </cell>
          <cell r="E1664" t="str">
            <v>اسد بلال بہاولپور</v>
          </cell>
        </row>
        <row r="1665">
          <cell r="A1665" t="str">
            <v>6590/8</v>
          </cell>
          <cell r="B1665">
            <v>6590</v>
          </cell>
          <cell r="C1665">
            <v>45689</v>
          </cell>
          <cell r="D1665" t="str">
            <v>یونس صاحب</v>
          </cell>
          <cell r="E1665" t="str">
            <v>اسد بلال بہاولپور</v>
          </cell>
        </row>
        <row r="1666">
          <cell r="A1666" t="str">
            <v>6590/9</v>
          </cell>
          <cell r="B1666">
            <v>6590</v>
          </cell>
          <cell r="C1666">
            <v>45689</v>
          </cell>
          <cell r="D1666" t="str">
            <v>یونس صاحب</v>
          </cell>
          <cell r="E1666" t="str">
            <v>اسد بلال بہاولپور</v>
          </cell>
        </row>
        <row r="1667">
          <cell r="A1667" t="str">
            <v>6590/10</v>
          </cell>
          <cell r="B1667">
            <v>6590</v>
          </cell>
          <cell r="C1667">
            <v>45689</v>
          </cell>
          <cell r="D1667" t="str">
            <v>یونس صاحب</v>
          </cell>
          <cell r="E1667" t="str">
            <v>اسد بلال بہاولپور</v>
          </cell>
        </row>
        <row r="1668">
          <cell r="A1668" t="str">
            <v>6590/11</v>
          </cell>
          <cell r="B1668">
            <v>6590</v>
          </cell>
          <cell r="C1668">
            <v>45689</v>
          </cell>
          <cell r="D1668" t="str">
            <v>یونس صاحب</v>
          </cell>
          <cell r="E1668" t="str">
            <v>اسد بلال بہاولپور</v>
          </cell>
        </row>
        <row r="1669">
          <cell r="A1669" t="str">
            <v>6590/12</v>
          </cell>
          <cell r="B1669">
            <v>6590</v>
          </cell>
          <cell r="C1669">
            <v>45689</v>
          </cell>
          <cell r="D1669" t="str">
            <v>یونس صاحب</v>
          </cell>
          <cell r="E1669" t="str">
            <v>اسد بلال بہاولپور</v>
          </cell>
        </row>
        <row r="1670">
          <cell r="A1670" t="str">
            <v>6590/13</v>
          </cell>
          <cell r="B1670">
            <v>6590</v>
          </cell>
          <cell r="C1670">
            <v>45689</v>
          </cell>
          <cell r="D1670" t="str">
            <v>یونس صاحب</v>
          </cell>
          <cell r="E1670" t="str">
            <v>اسد بلال بہاولپور</v>
          </cell>
        </row>
        <row r="1671">
          <cell r="A1671" t="str">
            <v>6591/1</v>
          </cell>
          <cell r="B1671">
            <v>6591</v>
          </cell>
          <cell r="C1671">
            <v>45691</v>
          </cell>
          <cell r="D1671" t="str">
            <v>یونس صاحب</v>
          </cell>
          <cell r="E1671" t="str">
            <v>محبوب مقبول گوجرانوالہ</v>
          </cell>
        </row>
        <row r="1672">
          <cell r="A1672" t="str">
            <v>6591/2</v>
          </cell>
          <cell r="B1672">
            <v>6591</v>
          </cell>
          <cell r="C1672">
            <v>45691</v>
          </cell>
          <cell r="D1672" t="str">
            <v>یونس صاحب</v>
          </cell>
          <cell r="E1672" t="str">
            <v>محبوب مقبول گوجرانوالہ</v>
          </cell>
        </row>
        <row r="1673">
          <cell r="A1673" t="str">
            <v>6591/3</v>
          </cell>
          <cell r="B1673">
            <v>6591</v>
          </cell>
          <cell r="C1673">
            <v>45691</v>
          </cell>
          <cell r="D1673" t="str">
            <v>یونس صاحب</v>
          </cell>
          <cell r="E1673" t="str">
            <v>محبوب مقبول گوجرانوالہ</v>
          </cell>
        </row>
        <row r="1674">
          <cell r="A1674" t="str">
            <v>6591/4</v>
          </cell>
          <cell r="B1674">
            <v>6591</v>
          </cell>
          <cell r="C1674">
            <v>45691</v>
          </cell>
          <cell r="D1674" t="str">
            <v>یونس صاحب</v>
          </cell>
          <cell r="E1674" t="str">
            <v>محبوب مقبول گوجرانوالہ</v>
          </cell>
        </row>
        <row r="1675">
          <cell r="A1675" t="str">
            <v>6591/5</v>
          </cell>
          <cell r="B1675">
            <v>6591</v>
          </cell>
          <cell r="C1675">
            <v>45691</v>
          </cell>
          <cell r="D1675" t="str">
            <v>یونس صاحب</v>
          </cell>
          <cell r="E1675" t="str">
            <v>محبوب مقبول گوجرانوالہ</v>
          </cell>
        </row>
        <row r="1676">
          <cell r="A1676" t="str">
            <v>6591/6</v>
          </cell>
          <cell r="B1676">
            <v>6591</v>
          </cell>
          <cell r="C1676">
            <v>45691</v>
          </cell>
          <cell r="D1676" t="str">
            <v>یونس صاحب</v>
          </cell>
          <cell r="E1676" t="str">
            <v>محبوب مقبول گوجرانوالہ</v>
          </cell>
        </row>
        <row r="1677">
          <cell r="A1677" t="str">
            <v>6591/7</v>
          </cell>
          <cell r="B1677">
            <v>6591</v>
          </cell>
          <cell r="C1677">
            <v>45691</v>
          </cell>
          <cell r="D1677" t="str">
            <v>یونس صاحب</v>
          </cell>
          <cell r="E1677" t="str">
            <v>محبوب مقبول گوجرانوالہ</v>
          </cell>
        </row>
        <row r="1678">
          <cell r="A1678" t="str">
            <v>6591/8</v>
          </cell>
          <cell r="B1678">
            <v>6591</v>
          </cell>
          <cell r="C1678">
            <v>45691</v>
          </cell>
          <cell r="D1678" t="str">
            <v>یونس صاحب</v>
          </cell>
          <cell r="E1678" t="str">
            <v>محبوب مقبول گوجرانوالہ</v>
          </cell>
        </row>
        <row r="1679">
          <cell r="A1679" t="str">
            <v>6591/9</v>
          </cell>
          <cell r="B1679">
            <v>6591</v>
          </cell>
          <cell r="C1679">
            <v>45691</v>
          </cell>
          <cell r="D1679" t="str">
            <v>یونس صاحب</v>
          </cell>
          <cell r="E1679" t="str">
            <v>محبوب مقبول گوجرانوالہ</v>
          </cell>
        </row>
        <row r="1680">
          <cell r="A1680" t="str">
            <v>6591/10</v>
          </cell>
          <cell r="B1680">
            <v>6591</v>
          </cell>
          <cell r="C1680">
            <v>45691</v>
          </cell>
          <cell r="D1680" t="str">
            <v>یونس صاحب</v>
          </cell>
          <cell r="E1680" t="str">
            <v>محبوب مقبول گوجرانوالہ</v>
          </cell>
        </row>
        <row r="1681">
          <cell r="A1681" t="str">
            <v>6591/11</v>
          </cell>
          <cell r="B1681">
            <v>6591</v>
          </cell>
          <cell r="C1681">
            <v>45691</v>
          </cell>
          <cell r="D1681" t="str">
            <v>یونس صاحب</v>
          </cell>
          <cell r="E1681" t="str">
            <v>محبوب مقبول گوجرانوالہ</v>
          </cell>
        </row>
        <row r="1682">
          <cell r="A1682" t="str">
            <v>6591/12</v>
          </cell>
          <cell r="B1682">
            <v>6591</v>
          </cell>
          <cell r="C1682">
            <v>45691</v>
          </cell>
          <cell r="D1682" t="str">
            <v>یونس صاحب</v>
          </cell>
          <cell r="E1682" t="str">
            <v>محبوب مقبول گوجرانوالہ</v>
          </cell>
        </row>
        <row r="1683">
          <cell r="A1683" t="str">
            <v>6591/13</v>
          </cell>
          <cell r="B1683">
            <v>6591</v>
          </cell>
          <cell r="C1683">
            <v>45691</v>
          </cell>
          <cell r="D1683" t="str">
            <v>یونس صاحب</v>
          </cell>
          <cell r="E1683" t="str">
            <v>محبوب مقبول گوجرانوالہ</v>
          </cell>
        </row>
        <row r="1684">
          <cell r="A1684" t="str">
            <v>6591/14</v>
          </cell>
          <cell r="B1684">
            <v>6591</v>
          </cell>
          <cell r="C1684">
            <v>45691</v>
          </cell>
          <cell r="D1684" t="str">
            <v>یونس صاحب</v>
          </cell>
          <cell r="E1684" t="str">
            <v>محبوب مقبول گوجرانوالہ</v>
          </cell>
        </row>
        <row r="1685">
          <cell r="A1685" t="str">
            <v>6591/15</v>
          </cell>
          <cell r="B1685">
            <v>6591</v>
          </cell>
          <cell r="C1685">
            <v>45691</v>
          </cell>
          <cell r="D1685" t="str">
            <v>یونس صاحب</v>
          </cell>
          <cell r="E1685" t="str">
            <v>محبوب مقبول گوجرانوالہ</v>
          </cell>
        </row>
        <row r="1686">
          <cell r="A1686" t="str">
            <v>6591/16</v>
          </cell>
          <cell r="B1686">
            <v>6591</v>
          </cell>
          <cell r="C1686">
            <v>45691</v>
          </cell>
          <cell r="D1686" t="str">
            <v>یونس صاحب</v>
          </cell>
          <cell r="E1686" t="str">
            <v>محبوب مقبول گوجرانوالہ</v>
          </cell>
        </row>
        <row r="1687">
          <cell r="A1687">
            <v>2693</v>
          </cell>
          <cell r="B1687">
            <v>7950</v>
          </cell>
          <cell r="C1687">
            <v>45692</v>
          </cell>
          <cell r="D1687" t="str">
            <v>JILANI</v>
          </cell>
          <cell r="E1687" t="str">
            <v>ORIENT PISTON LAHORE</v>
          </cell>
        </row>
        <row r="1688">
          <cell r="A1688" t="str">
            <v>1041 F</v>
          </cell>
          <cell r="B1688"/>
          <cell r="C1688">
            <v>45692</v>
          </cell>
          <cell r="D1688" t="str">
            <v>فینا</v>
          </cell>
          <cell r="E1688" t="str">
            <v>عثمان امین</v>
          </cell>
        </row>
        <row r="1689">
          <cell r="A1689" t="str">
            <v>1042 F</v>
          </cell>
          <cell r="B1689"/>
          <cell r="C1689">
            <v>45692</v>
          </cell>
          <cell r="D1689" t="str">
            <v>فینا</v>
          </cell>
          <cell r="E1689" t="str">
            <v>عثمان امین</v>
          </cell>
        </row>
        <row r="1690">
          <cell r="A1690" t="str">
            <v>1043 F</v>
          </cell>
          <cell r="B1690"/>
          <cell r="C1690">
            <v>45692</v>
          </cell>
          <cell r="D1690" t="str">
            <v>فینا</v>
          </cell>
          <cell r="E1690" t="str">
            <v>عثمان امین</v>
          </cell>
        </row>
        <row r="1691">
          <cell r="A1691" t="str">
            <v>1044 F</v>
          </cell>
          <cell r="B1691"/>
          <cell r="C1691">
            <v>45692</v>
          </cell>
          <cell r="D1691" t="str">
            <v>فینا</v>
          </cell>
          <cell r="E1691" t="str">
            <v>عثمان امین</v>
          </cell>
        </row>
        <row r="1692">
          <cell r="A1692" t="str">
            <v>1045 F</v>
          </cell>
          <cell r="B1692"/>
          <cell r="C1692">
            <v>45692</v>
          </cell>
          <cell r="D1692" t="str">
            <v>فینا</v>
          </cell>
          <cell r="E1692" t="str">
            <v>عثمان امین</v>
          </cell>
        </row>
        <row r="1693">
          <cell r="A1693" t="str">
            <v>1046 F</v>
          </cell>
          <cell r="B1693"/>
          <cell r="C1693">
            <v>45692</v>
          </cell>
          <cell r="D1693" t="str">
            <v>فینا</v>
          </cell>
          <cell r="E1693" t="str">
            <v>عثمان امین</v>
          </cell>
        </row>
        <row r="1694">
          <cell r="A1694" t="str">
            <v>1047 F</v>
          </cell>
          <cell r="B1694"/>
          <cell r="C1694">
            <v>45692</v>
          </cell>
          <cell r="D1694" t="str">
            <v>فینا</v>
          </cell>
          <cell r="E1694" t="str">
            <v>عثمان امین</v>
          </cell>
        </row>
        <row r="1695">
          <cell r="A1695" t="str">
            <v>1048 F</v>
          </cell>
          <cell r="B1695"/>
          <cell r="C1695">
            <v>45692</v>
          </cell>
          <cell r="D1695" t="str">
            <v>فینا</v>
          </cell>
          <cell r="E1695" t="str">
            <v>عثمان امین</v>
          </cell>
        </row>
        <row r="1696">
          <cell r="A1696" t="str">
            <v>1049 F</v>
          </cell>
          <cell r="B1696"/>
          <cell r="C1696">
            <v>45692</v>
          </cell>
          <cell r="D1696" t="str">
            <v>فینا</v>
          </cell>
          <cell r="E1696" t="str">
            <v>عثمان امین</v>
          </cell>
        </row>
        <row r="1697">
          <cell r="A1697" t="str">
            <v>1050 F</v>
          </cell>
          <cell r="B1697"/>
          <cell r="C1697">
            <v>45692</v>
          </cell>
          <cell r="D1697" t="str">
            <v>فینا</v>
          </cell>
          <cell r="E1697" t="str">
            <v>عثمان امین</v>
          </cell>
        </row>
        <row r="1698">
          <cell r="A1698" t="str">
            <v>1051 F</v>
          </cell>
          <cell r="B1698"/>
          <cell r="C1698">
            <v>45692</v>
          </cell>
          <cell r="D1698" t="str">
            <v>فینا</v>
          </cell>
          <cell r="E1698" t="str">
            <v>عثمان امین</v>
          </cell>
        </row>
        <row r="1699">
          <cell r="A1699" t="str">
            <v>1052 F</v>
          </cell>
          <cell r="B1699"/>
          <cell r="C1699">
            <v>45692</v>
          </cell>
          <cell r="D1699" t="str">
            <v>فینا</v>
          </cell>
          <cell r="E1699" t="str">
            <v>عثمان امین</v>
          </cell>
        </row>
        <row r="1700">
          <cell r="A1700" t="str">
            <v>529 J</v>
          </cell>
          <cell r="B1700">
            <v>11142</v>
          </cell>
          <cell r="C1700">
            <v>45691</v>
          </cell>
          <cell r="D1700" t="str">
            <v>JILANI</v>
          </cell>
          <cell r="E1700" t="str">
            <v>خواجہ موٹرزلاہور</v>
          </cell>
        </row>
        <row r="1701">
          <cell r="A1701" t="str">
            <v>530 J</v>
          </cell>
          <cell r="B1701">
            <v>11143</v>
          </cell>
          <cell r="C1701">
            <v>45691</v>
          </cell>
          <cell r="D1701" t="str">
            <v>JILANI</v>
          </cell>
          <cell r="E1701" t="str">
            <v>جی مارٹ گجرات</v>
          </cell>
        </row>
        <row r="1702">
          <cell r="A1702" t="str">
            <v>531 J</v>
          </cell>
          <cell r="B1702">
            <v>11143</v>
          </cell>
          <cell r="C1702">
            <v>45691</v>
          </cell>
          <cell r="D1702" t="str">
            <v>JILANI</v>
          </cell>
          <cell r="E1702" t="str">
            <v>جی مارٹ گجرات</v>
          </cell>
        </row>
        <row r="1703">
          <cell r="A1703" t="str">
            <v>532 J</v>
          </cell>
          <cell r="B1703">
            <v>11143</v>
          </cell>
          <cell r="C1703">
            <v>45691</v>
          </cell>
          <cell r="D1703" t="str">
            <v>JILANI</v>
          </cell>
          <cell r="E1703" t="str">
            <v>جی مارٹ گجرات</v>
          </cell>
        </row>
        <row r="1704">
          <cell r="A1704" t="str">
            <v>533 J</v>
          </cell>
          <cell r="B1704">
            <v>11143</v>
          </cell>
          <cell r="C1704">
            <v>45691</v>
          </cell>
          <cell r="D1704" t="str">
            <v>JILANI</v>
          </cell>
          <cell r="E1704" t="str">
            <v>جی مارٹ گجرات</v>
          </cell>
        </row>
        <row r="1705">
          <cell r="A1705" t="str">
            <v>534 J</v>
          </cell>
          <cell r="B1705">
            <v>11143</v>
          </cell>
          <cell r="C1705">
            <v>45691</v>
          </cell>
          <cell r="D1705" t="str">
            <v>JILANI</v>
          </cell>
          <cell r="E1705" t="str">
            <v>جی مارٹ گجرات</v>
          </cell>
        </row>
        <row r="1706">
          <cell r="A1706" t="str">
            <v>535 J</v>
          </cell>
          <cell r="B1706">
            <v>11144</v>
          </cell>
          <cell r="C1706">
            <v>45691</v>
          </cell>
          <cell r="D1706" t="str">
            <v>JILANI</v>
          </cell>
          <cell r="E1706" t="str">
            <v>جی ایم ٹیکس لاہور</v>
          </cell>
        </row>
        <row r="1707">
          <cell r="A1707" t="str">
            <v>536 J</v>
          </cell>
          <cell r="B1707">
            <v>11145</v>
          </cell>
          <cell r="C1707">
            <v>45691</v>
          </cell>
          <cell r="D1707" t="str">
            <v>JILANI</v>
          </cell>
          <cell r="E1707" t="str">
            <v xml:space="preserve">فضل داد ٹیکسٹائل راولپنڈی </v>
          </cell>
        </row>
        <row r="1708">
          <cell r="A1708" t="str">
            <v>537 J</v>
          </cell>
          <cell r="B1708">
            <v>11146</v>
          </cell>
          <cell r="C1708">
            <v>45691</v>
          </cell>
          <cell r="D1708" t="str">
            <v>JILANI</v>
          </cell>
          <cell r="E1708" t="str">
            <v>حماد پلاسٹک گوجرانوالہ</v>
          </cell>
        </row>
        <row r="1709">
          <cell r="A1709" t="str">
            <v>538 J</v>
          </cell>
          <cell r="B1709">
            <v>11147</v>
          </cell>
          <cell r="C1709">
            <v>45691</v>
          </cell>
          <cell r="D1709" t="str">
            <v>JILANI</v>
          </cell>
          <cell r="E1709" t="str">
            <v>مدنی پرنٹنگ پریس نارنگ منڈی</v>
          </cell>
        </row>
        <row r="1710">
          <cell r="A1710" t="str">
            <v>539 J</v>
          </cell>
          <cell r="B1710">
            <v>11148</v>
          </cell>
          <cell r="C1710">
            <v>45691</v>
          </cell>
          <cell r="D1710" t="str">
            <v>JILANI</v>
          </cell>
          <cell r="E1710" t="str">
            <v>مدنی پرنٹنگ پریس نارنگ منڈی</v>
          </cell>
        </row>
        <row r="1711">
          <cell r="A1711" t="str">
            <v>540 J</v>
          </cell>
          <cell r="B1711">
            <v>11149</v>
          </cell>
          <cell r="C1711">
            <v>45691</v>
          </cell>
          <cell r="D1711" t="str">
            <v>JILANI</v>
          </cell>
          <cell r="E1711" t="str">
            <v>جیلانی ہیڈ آفس</v>
          </cell>
        </row>
        <row r="1712">
          <cell r="A1712" t="str">
            <v>541 J</v>
          </cell>
          <cell r="B1712">
            <v>11149</v>
          </cell>
          <cell r="C1712">
            <v>45691</v>
          </cell>
          <cell r="D1712" t="str">
            <v>JILANI</v>
          </cell>
          <cell r="E1712" t="str">
            <v>جیلانی ہیڈ آفس</v>
          </cell>
        </row>
        <row r="1713">
          <cell r="A1713" t="str">
            <v>542 J</v>
          </cell>
          <cell r="B1713">
            <v>11149</v>
          </cell>
          <cell r="C1713">
            <v>45691</v>
          </cell>
          <cell r="D1713" t="str">
            <v>JILANI</v>
          </cell>
          <cell r="E1713" t="str">
            <v>جیلانی ہیڈ آفس</v>
          </cell>
        </row>
        <row r="1714">
          <cell r="A1714" t="str">
            <v>543 J</v>
          </cell>
          <cell r="B1714">
            <v>11149</v>
          </cell>
          <cell r="C1714">
            <v>45691</v>
          </cell>
          <cell r="D1714" t="str">
            <v>JILANI</v>
          </cell>
          <cell r="E1714" t="str">
            <v>جیلانی ہیڈ آفس</v>
          </cell>
        </row>
        <row r="1715">
          <cell r="A1715" t="str">
            <v>544 J</v>
          </cell>
          <cell r="B1715">
            <v>11150</v>
          </cell>
          <cell r="C1715">
            <v>45691</v>
          </cell>
          <cell r="D1715" t="str">
            <v>JILANI</v>
          </cell>
          <cell r="E1715" t="str">
            <v>عالم پرنٹرز بٹ خیلہ</v>
          </cell>
        </row>
        <row r="1716">
          <cell r="A1716" t="str">
            <v>545 J</v>
          </cell>
          <cell r="B1716">
            <v>11150</v>
          </cell>
          <cell r="C1716">
            <v>45691</v>
          </cell>
          <cell r="D1716" t="str">
            <v>JILANI</v>
          </cell>
          <cell r="E1716" t="str">
            <v>عالم پرنٹرز بٹ خیلہ</v>
          </cell>
        </row>
        <row r="1717">
          <cell r="A1717" t="str">
            <v>546 J</v>
          </cell>
          <cell r="B1717">
            <v>11151</v>
          </cell>
          <cell r="C1717">
            <v>45691</v>
          </cell>
          <cell r="D1717" t="str">
            <v>JILANI</v>
          </cell>
          <cell r="E1717" t="str">
            <v>عالم پرنٹرز بٹ خیلہ</v>
          </cell>
        </row>
        <row r="1718">
          <cell r="A1718" t="str">
            <v>547 J</v>
          </cell>
          <cell r="B1718">
            <v>11151</v>
          </cell>
          <cell r="C1718">
            <v>45691</v>
          </cell>
          <cell r="D1718" t="str">
            <v>JILANI</v>
          </cell>
          <cell r="E1718" t="str">
            <v>عالم پرنٹرز بٹ خیلہ</v>
          </cell>
        </row>
        <row r="1719">
          <cell r="A1719" t="str">
            <v>548 J</v>
          </cell>
          <cell r="B1719">
            <v>11151</v>
          </cell>
          <cell r="C1719">
            <v>45691</v>
          </cell>
          <cell r="D1719" t="str">
            <v>JILANI</v>
          </cell>
          <cell r="E1719" t="str">
            <v>عالم پرنٹرز بٹ خیلہ</v>
          </cell>
        </row>
        <row r="1720">
          <cell r="A1720" t="str">
            <v>549 J</v>
          </cell>
          <cell r="B1720">
            <v>11152</v>
          </cell>
          <cell r="C1720">
            <v>45691</v>
          </cell>
          <cell r="D1720" t="str">
            <v>JILANI</v>
          </cell>
          <cell r="E1720" t="str">
            <v>عالم پرنٹرز بٹ خیلہ</v>
          </cell>
        </row>
        <row r="1721">
          <cell r="A1721" t="str">
            <v>550 J</v>
          </cell>
          <cell r="B1721">
            <v>11152</v>
          </cell>
          <cell r="C1721">
            <v>45691</v>
          </cell>
          <cell r="D1721" t="str">
            <v>JILANI</v>
          </cell>
          <cell r="E1721" t="str">
            <v>عالم پرنٹرز بٹ خیلہ</v>
          </cell>
        </row>
        <row r="1722">
          <cell r="A1722" t="str">
            <v>551 J</v>
          </cell>
          <cell r="B1722">
            <v>11153</v>
          </cell>
          <cell r="C1722">
            <v>45691</v>
          </cell>
          <cell r="D1722" t="str">
            <v>JILANI</v>
          </cell>
          <cell r="E1722" t="str">
            <v>عالم پرنٹرز بٹ خیلہ</v>
          </cell>
        </row>
        <row r="1723">
          <cell r="A1723" t="str">
            <v>552 J</v>
          </cell>
          <cell r="B1723">
            <v>11153</v>
          </cell>
          <cell r="C1723">
            <v>45691</v>
          </cell>
          <cell r="D1723" t="str">
            <v>JILANI</v>
          </cell>
          <cell r="E1723" t="str">
            <v>عالم پرنٹرز بٹ خیلہ</v>
          </cell>
        </row>
        <row r="1724">
          <cell r="A1724" t="str">
            <v>553 J</v>
          </cell>
          <cell r="B1724">
            <v>11154</v>
          </cell>
          <cell r="C1724">
            <v>45691</v>
          </cell>
          <cell r="D1724" t="str">
            <v>JILANI</v>
          </cell>
          <cell r="E1724" t="str">
            <v>عالم پرنٹرز بٹ خیلہ</v>
          </cell>
        </row>
        <row r="1725">
          <cell r="A1725" t="str">
            <v>554 J</v>
          </cell>
          <cell r="B1725">
            <v>11155</v>
          </cell>
          <cell r="C1725">
            <v>45691</v>
          </cell>
          <cell r="D1725" t="str">
            <v>JILANI</v>
          </cell>
          <cell r="E1725" t="str">
            <v>عالم پرنٹرز بٹ خیلہ</v>
          </cell>
        </row>
        <row r="1726">
          <cell r="A1726" t="str">
            <v>555 J</v>
          </cell>
          <cell r="B1726">
            <v>11156</v>
          </cell>
          <cell r="C1726">
            <v>45691</v>
          </cell>
          <cell r="D1726" t="str">
            <v>JILANI</v>
          </cell>
          <cell r="E1726" t="str">
            <v>عالم پرنٹرز بٹ خیلہ</v>
          </cell>
        </row>
        <row r="1727">
          <cell r="A1727" t="str">
            <v>556 J</v>
          </cell>
          <cell r="B1727">
            <v>11156</v>
          </cell>
          <cell r="C1727">
            <v>45691</v>
          </cell>
          <cell r="D1727" t="str">
            <v>JILANI</v>
          </cell>
          <cell r="E1727" t="str">
            <v>عالم پرنٹرز بٹ خیلہ</v>
          </cell>
        </row>
        <row r="1728">
          <cell r="A1728" t="str">
            <v>557 J</v>
          </cell>
          <cell r="B1728">
            <v>11157</v>
          </cell>
          <cell r="C1728">
            <v>45691</v>
          </cell>
          <cell r="D1728" t="str">
            <v>JILANI</v>
          </cell>
          <cell r="E1728" t="str">
            <v>راشد منہاس C/Oباٹا اینڈ سروس</v>
          </cell>
        </row>
        <row r="1729">
          <cell r="A1729" t="str">
            <v>558 J</v>
          </cell>
          <cell r="B1729">
            <v>11157</v>
          </cell>
          <cell r="C1729">
            <v>45691</v>
          </cell>
          <cell r="D1729" t="str">
            <v>JILANI</v>
          </cell>
          <cell r="E1729" t="str">
            <v>راشد منہاس C/Oباٹا اینڈ سروس</v>
          </cell>
        </row>
        <row r="1730">
          <cell r="A1730" t="str">
            <v>559 J</v>
          </cell>
          <cell r="B1730"/>
          <cell r="C1730">
            <v>45691</v>
          </cell>
          <cell r="D1730" t="str">
            <v>JILANI</v>
          </cell>
          <cell r="E1730" t="str">
            <v>زبیر شاہ لاہور</v>
          </cell>
        </row>
        <row r="1731">
          <cell r="A1731" t="str">
            <v>560 J</v>
          </cell>
          <cell r="B1731">
            <v>11159</v>
          </cell>
          <cell r="C1731">
            <v>45693</v>
          </cell>
          <cell r="D1731" t="str">
            <v>JILANI</v>
          </cell>
          <cell r="E1731" t="str">
            <v>افورڈ سپر سٹور لیہ</v>
          </cell>
        </row>
        <row r="1732">
          <cell r="A1732" t="str">
            <v>561 J</v>
          </cell>
          <cell r="B1732">
            <v>11160</v>
          </cell>
          <cell r="C1732">
            <v>45693</v>
          </cell>
          <cell r="D1732" t="str">
            <v>JILANI</v>
          </cell>
          <cell r="E1732" t="str">
            <v>وسیم شاپر ہاوس لاہور</v>
          </cell>
        </row>
        <row r="1733">
          <cell r="A1733" t="str">
            <v>562 J</v>
          </cell>
          <cell r="B1733">
            <v>11161</v>
          </cell>
          <cell r="C1733">
            <v>45693</v>
          </cell>
          <cell r="D1733" t="str">
            <v>JILANI</v>
          </cell>
          <cell r="E1733" t="str">
            <v>کے ڈی آٹو پارٹس لاہور</v>
          </cell>
        </row>
        <row r="1734">
          <cell r="A1734" t="str">
            <v>563 J</v>
          </cell>
          <cell r="B1734">
            <v>11161</v>
          </cell>
          <cell r="C1734">
            <v>45693</v>
          </cell>
          <cell r="D1734" t="str">
            <v>JILANI</v>
          </cell>
          <cell r="E1734" t="str">
            <v>کے ڈی آٹو پارٹس لاہور</v>
          </cell>
        </row>
        <row r="1735">
          <cell r="A1735" t="str">
            <v>564 J</v>
          </cell>
          <cell r="B1735">
            <v>11162</v>
          </cell>
          <cell r="C1735">
            <v>45693</v>
          </cell>
          <cell r="D1735" t="str">
            <v>JILANI</v>
          </cell>
          <cell r="E1735" t="str">
            <v>توصیف بٹ گوجرانوالہ</v>
          </cell>
        </row>
        <row r="1736">
          <cell r="A1736" t="str">
            <v>565 J</v>
          </cell>
          <cell r="B1736">
            <v>11162</v>
          </cell>
          <cell r="C1736">
            <v>45693</v>
          </cell>
          <cell r="D1736" t="str">
            <v>JILANI</v>
          </cell>
          <cell r="E1736" t="str">
            <v>توصیف بٹ گوجرانوالہ</v>
          </cell>
        </row>
        <row r="1737">
          <cell r="A1737" t="str">
            <v>566 J</v>
          </cell>
          <cell r="B1737">
            <v>11162</v>
          </cell>
          <cell r="C1737">
            <v>45693</v>
          </cell>
          <cell r="D1737" t="str">
            <v>JILANI</v>
          </cell>
          <cell r="E1737" t="str">
            <v>توصیف بٹ گوجرانوالہ</v>
          </cell>
        </row>
        <row r="1738">
          <cell r="A1738" t="str">
            <v>567 J</v>
          </cell>
          <cell r="B1738">
            <v>11162</v>
          </cell>
          <cell r="C1738">
            <v>45693</v>
          </cell>
          <cell r="D1738" t="str">
            <v>JILANI</v>
          </cell>
          <cell r="E1738" t="str">
            <v>توصیف بٹ گوجرانوالہ</v>
          </cell>
        </row>
        <row r="1739">
          <cell r="A1739" t="str">
            <v>568 J</v>
          </cell>
          <cell r="B1739">
            <v>11163</v>
          </cell>
          <cell r="C1739">
            <v>45693</v>
          </cell>
          <cell r="D1739" t="str">
            <v>JILANI</v>
          </cell>
          <cell r="E1739" t="str">
            <v>فاٹا انڈسٹری پرائیوٹ  لیمٹڈ کئیر آف علی طاہر</v>
          </cell>
        </row>
        <row r="1740">
          <cell r="A1740" t="str">
            <v>569 J</v>
          </cell>
          <cell r="B1740">
            <v>11164</v>
          </cell>
          <cell r="C1740">
            <v>45693</v>
          </cell>
          <cell r="D1740" t="str">
            <v>JILANI</v>
          </cell>
          <cell r="E1740" t="str">
            <v>ابراہیم فلٹر انڈسٹری(SMC.PVT.LTD)</v>
          </cell>
        </row>
        <row r="1741">
          <cell r="A1741" t="str">
            <v>570 J</v>
          </cell>
          <cell r="B1741">
            <v>11165</v>
          </cell>
          <cell r="C1741">
            <v>45693</v>
          </cell>
          <cell r="D1741" t="str">
            <v>JILANI</v>
          </cell>
          <cell r="E1741" t="str">
            <v>حمزہ پلاسٹک پشاور</v>
          </cell>
        </row>
        <row r="1742">
          <cell r="A1742" t="str">
            <v>571 J</v>
          </cell>
          <cell r="B1742">
            <v>11166</v>
          </cell>
          <cell r="C1742">
            <v>45693</v>
          </cell>
          <cell r="D1742" t="str">
            <v>JILANI</v>
          </cell>
          <cell r="E1742" t="str">
            <v>حمزہ پلاسٹک پشاور</v>
          </cell>
        </row>
        <row r="1743">
          <cell r="A1743" t="str">
            <v>572 J</v>
          </cell>
          <cell r="B1743">
            <v>11167</v>
          </cell>
          <cell r="C1743">
            <v>45693</v>
          </cell>
          <cell r="D1743" t="str">
            <v>JILANI</v>
          </cell>
          <cell r="E1743" t="str">
            <v>تقویٰ پلاسٹک موچی گیٹ</v>
          </cell>
        </row>
        <row r="1744">
          <cell r="A1744" t="str">
            <v>573 J</v>
          </cell>
          <cell r="B1744">
            <v>11167</v>
          </cell>
          <cell r="C1744">
            <v>45693</v>
          </cell>
          <cell r="D1744" t="str">
            <v>JILANI</v>
          </cell>
          <cell r="E1744" t="str">
            <v>تقویٰ پلاسٹک موچی گیٹ</v>
          </cell>
        </row>
        <row r="1745">
          <cell r="A1745" t="str">
            <v>574 J</v>
          </cell>
          <cell r="B1745">
            <v>11168</v>
          </cell>
          <cell r="C1745">
            <v>45693</v>
          </cell>
          <cell r="D1745" t="str">
            <v>JILANI</v>
          </cell>
          <cell r="E1745" t="str">
            <v>آر ایس سویٹس اینڈ بیکرز ننکانہ صاحب</v>
          </cell>
        </row>
        <row r="1746">
          <cell r="A1746" t="str">
            <v>575 J</v>
          </cell>
          <cell r="B1746">
            <v>11168</v>
          </cell>
          <cell r="C1746">
            <v>45693</v>
          </cell>
          <cell r="D1746" t="str">
            <v>JILANI</v>
          </cell>
          <cell r="E1746" t="str">
            <v>آر ایس سویٹس اینڈ بیکرز ننکانہ صاحب</v>
          </cell>
        </row>
        <row r="1747">
          <cell r="A1747" t="str">
            <v>576 J</v>
          </cell>
          <cell r="B1747">
            <v>11169</v>
          </cell>
          <cell r="C1747">
            <v>45693</v>
          </cell>
          <cell r="D1747" t="str">
            <v>JILANI</v>
          </cell>
          <cell r="E1747" t="str">
            <v>عالم پرنٹرز بٹ خیلہ</v>
          </cell>
        </row>
        <row r="1748">
          <cell r="A1748" t="str">
            <v>577 J</v>
          </cell>
          <cell r="B1748">
            <v>11170</v>
          </cell>
          <cell r="C1748">
            <v>45693</v>
          </cell>
          <cell r="D1748" t="str">
            <v>JILANI</v>
          </cell>
          <cell r="E1748" t="str">
            <v>ایم عمر فاروق صاحب لاہور</v>
          </cell>
        </row>
        <row r="1749">
          <cell r="A1749" t="str">
            <v>578 J</v>
          </cell>
          <cell r="B1749">
            <v>11171</v>
          </cell>
          <cell r="C1749">
            <v>45693</v>
          </cell>
          <cell r="D1749" t="str">
            <v>JILANI</v>
          </cell>
          <cell r="E1749" t="str">
            <v>سپر ڈائمنڈ فوڈکامونکی</v>
          </cell>
        </row>
        <row r="1750">
          <cell r="A1750" t="str">
            <v>579 J</v>
          </cell>
          <cell r="B1750">
            <v>11172</v>
          </cell>
          <cell r="C1750">
            <v>45693</v>
          </cell>
          <cell r="D1750" t="str">
            <v>JILANI</v>
          </cell>
          <cell r="E1750" t="str">
            <v>سپر ڈائمنڈ فوڈکامونکی</v>
          </cell>
        </row>
        <row r="1751">
          <cell r="A1751" t="str">
            <v>580 J</v>
          </cell>
          <cell r="B1751">
            <v>11173</v>
          </cell>
          <cell r="C1751">
            <v>45693</v>
          </cell>
          <cell r="D1751" t="str">
            <v>JILANI</v>
          </cell>
          <cell r="E1751" t="str">
            <v>عاصم پرنٹنگ اعظم مارکیٹ لاہور</v>
          </cell>
        </row>
        <row r="1752">
          <cell r="A1752" t="str">
            <v>581 J</v>
          </cell>
          <cell r="B1752">
            <v>11173</v>
          </cell>
          <cell r="C1752">
            <v>45693</v>
          </cell>
          <cell r="D1752" t="str">
            <v>JILANI</v>
          </cell>
          <cell r="E1752" t="str">
            <v>عاصم پرنٹنگ اعظم مارکیٹ لاہور</v>
          </cell>
        </row>
        <row r="1753">
          <cell r="A1753" t="str">
            <v>582 J</v>
          </cell>
          <cell r="B1753">
            <v>11174</v>
          </cell>
          <cell r="C1753">
            <v>45693</v>
          </cell>
          <cell r="D1753" t="str">
            <v>JILANI</v>
          </cell>
          <cell r="E1753" t="str">
            <v>زاہد منظور لاہور</v>
          </cell>
        </row>
        <row r="1754">
          <cell r="A1754" t="str">
            <v>583 J</v>
          </cell>
          <cell r="B1754">
            <v>11174</v>
          </cell>
          <cell r="C1754">
            <v>45693</v>
          </cell>
          <cell r="D1754" t="str">
            <v>JILANI</v>
          </cell>
          <cell r="E1754" t="str">
            <v>زاہد منظور لاہور</v>
          </cell>
        </row>
        <row r="1755">
          <cell r="A1755" t="str">
            <v>584 J</v>
          </cell>
          <cell r="B1755">
            <v>11175</v>
          </cell>
          <cell r="C1755">
            <v>45693</v>
          </cell>
          <cell r="D1755" t="str">
            <v>JILANI</v>
          </cell>
          <cell r="E1755" t="str">
            <v>وقاص وولن ملز گوجرانوالہ</v>
          </cell>
        </row>
        <row r="1756">
          <cell r="A1756" t="str">
            <v>585 J</v>
          </cell>
          <cell r="B1756">
            <v>11176</v>
          </cell>
          <cell r="C1756">
            <v>45693</v>
          </cell>
          <cell r="D1756" t="str">
            <v>JILANI</v>
          </cell>
          <cell r="E1756" t="str">
            <v>وقاص وولن ملز گوجرانوالہ</v>
          </cell>
        </row>
        <row r="1757">
          <cell r="A1757" t="str">
            <v>586 J</v>
          </cell>
          <cell r="B1757">
            <v>11177</v>
          </cell>
          <cell r="C1757">
            <v>45693</v>
          </cell>
          <cell r="D1757" t="str">
            <v>JILANI</v>
          </cell>
          <cell r="E1757" t="str">
            <v>وقاص وولن ملز گوجرانوالہ</v>
          </cell>
        </row>
        <row r="1758">
          <cell r="A1758" t="str">
            <v>587 J</v>
          </cell>
          <cell r="B1758">
            <v>11178</v>
          </cell>
          <cell r="C1758">
            <v>45693</v>
          </cell>
          <cell r="D1758" t="str">
            <v>JILANI</v>
          </cell>
          <cell r="E1758" t="str">
            <v>وقاص وولن ملز گوجرانوالہ</v>
          </cell>
        </row>
        <row r="1759">
          <cell r="A1759" t="str">
            <v>588 J</v>
          </cell>
          <cell r="B1759">
            <v>11178</v>
          </cell>
          <cell r="C1759">
            <v>45693</v>
          </cell>
          <cell r="D1759" t="str">
            <v>JILANI</v>
          </cell>
          <cell r="E1759" t="str">
            <v>وقاص وولن ملز گوجرانوالہ</v>
          </cell>
        </row>
        <row r="1760">
          <cell r="A1760" t="str">
            <v>589 J</v>
          </cell>
          <cell r="B1760">
            <v>11178</v>
          </cell>
          <cell r="C1760">
            <v>45693</v>
          </cell>
          <cell r="D1760" t="str">
            <v>JILANI</v>
          </cell>
          <cell r="E1760" t="str">
            <v>وقاص وولن ملز گوجرانوالہ</v>
          </cell>
        </row>
        <row r="1761">
          <cell r="A1761" t="str">
            <v>590 J</v>
          </cell>
          <cell r="B1761">
            <v>11179</v>
          </cell>
          <cell r="C1761">
            <v>45693</v>
          </cell>
          <cell r="D1761" t="str">
            <v>JILANI</v>
          </cell>
          <cell r="E1761" t="str">
            <v>پاک سویٹس خانکاہ ڈوگراں</v>
          </cell>
        </row>
        <row r="1762">
          <cell r="A1762">
            <v>2694</v>
          </cell>
          <cell r="B1762">
            <v>17736</v>
          </cell>
          <cell r="C1762">
            <v>45693</v>
          </cell>
          <cell r="D1762" t="str">
            <v>JILANI</v>
          </cell>
          <cell r="E1762" t="str">
            <v>HZRAT ALI MANGORAH</v>
          </cell>
        </row>
        <row r="1763">
          <cell r="A1763">
            <v>2695</v>
          </cell>
          <cell r="B1763">
            <v>17736</v>
          </cell>
          <cell r="C1763">
            <v>45693</v>
          </cell>
          <cell r="D1763" t="str">
            <v>JILANI</v>
          </cell>
          <cell r="E1763" t="str">
            <v>HZRAT ALI MANGORAH</v>
          </cell>
        </row>
        <row r="1764">
          <cell r="A1764">
            <v>2696</v>
          </cell>
          <cell r="B1764">
            <v>17736</v>
          </cell>
          <cell r="C1764">
            <v>45693</v>
          </cell>
          <cell r="D1764" t="str">
            <v>JILANI</v>
          </cell>
          <cell r="E1764" t="str">
            <v>AZHAR PLASTIC LOHARI</v>
          </cell>
        </row>
        <row r="1765">
          <cell r="A1765" t="str">
            <v>1053 F</v>
          </cell>
          <cell r="B1765"/>
          <cell r="C1765">
            <v>45694</v>
          </cell>
          <cell r="D1765" t="str">
            <v>فینا</v>
          </cell>
          <cell r="E1765" t="str">
            <v>عثمان امین</v>
          </cell>
        </row>
        <row r="1766">
          <cell r="A1766" t="str">
            <v>1054 F</v>
          </cell>
          <cell r="B1766"/>
          <cell r="C1766">
            <v>45694</v>
          </cell>
          <cell r="D1766" t="str">
            <v>فینا</v>
          </cell>
          <cell r="E1766" t="str">
            <v>عثمان امین</v>
          </cell>
        </row>
        <row r="1767">
          <cell r="A1767" t="str">
            <v>1055 F</v>
          </cell>
          <cell r="B1767"/>
          <cell r="C1767">
            <v>45694</v>
          </cell>
          <cell r="D1767" t="str">
            <v>فینا</v>
          </cell>
          <cell r="E1767" t="str">
            <v>عثمان امین</v>
          </cell>
        </row>
        <row r="1768">
          <cell r="A1768" t="str">
            <v>1056 F</v>
          </cell>
          <cell r="B1768"/>
          <cell r="C1768">
            <v>45695</v>
          </cell>
          <cell r="D1768" t="str">
            <v>فینا</v>
          </cell>
          <cell r="E1768" t="str">
            <v>عثمان امین</v>
          </cell>
        </row>
        <row r="1769">
          <cell r="A1769" t="str">
            <v>1057 F</v>
          </cell>
          <cell r="B1769"/>
          <cell r="C1769">
            <v>45695</v>
          </cell>
          <cell r="D1769" t="str">
            <v>فینا</v>
          </cell>
          <cell r="E1769" t="str">
            <v>عثمان امین</v>
          </cell>
        </row>
        <row r="1770">
          <cell r="A1770" t="str">
            <v>1058 F</v>
          </cell>
          <cell r="B1770"/>
          <cell r="C1770">
            <v>45695</v>
          </cell>
          <cell r="D1770" t="str">
            <v>فینا</v>
          </cell>
          <cell r="E1770" t="str">
            <v>عثمان امین</v>
          </cell>
        </row>
        <row r="1771">
          <cell r="A1771" t="str">
            <v>1059 F</v>
          </cell>
          <cell r="B1771"/>
          <cell r="C1771">
            <v>45695</v>
          </cell>
          <cell r="D1771" t="str">
            <v>فینا</v>
          </cell>
          <cell r="E1771" t="str">
            <v>عثمان امین</v>
          </cell>
        </row>
        <row r="1772">
          <cell r="A1772" t="str">
            <v>1060 F</v>
          </cell>
          <cell r="B1772"/>
          <cell r="C1772">
            <v>45695</v>
          </cell>
          <cell r="D1772" t="str">
            <v>فینا</v>
          </cell>
          <cell r="E1772" t="str">
            <v>عثمان امین</v>
          </cell>
        </row>
        <row r="1773">
          <cell r="A1773" t="str">
            <v>1061 F</v>
          </cell>
          <cell r="B1773"/>
          <cell r="C1773">
            <v>45695</v>
          </cell>
          <cell r="D1773" t="str">
            <v>فینا</v>
          </cell>
          <cell r="E1773" t="str">
            <v>عثمان امین</v>
          </cell>
        </row>
        <row r="1774">
          <cell r="A1774" t="str">
            <v>1062 F</v>
          </cell>
          <cell r="B1774"/>
          <cell r="C1774">
            <v>45695</v>
          </cell>
          <cell r="D1774" t="str">
            <v>فینا</v>
          </cell>
          <cell r="E1774" t="str">
            <v>عثمان امین</v>
          </cell>
        </row>
        <row r="1775">
          <cell r="A1775" t="str">
            <v>1063 F</v>
          </cell>
          <cell r="B1775"/>
          <cell r="C1775">
            <v>45695</v>
          </cell>
          <cell r="D1775" t="str">
            <v>فینا</v>
          </cell>
          <cell r="E1775" t="str">
            <v>عثمان امین</v>
          </cell>
        </row>
        <row r="1776">
          <cell r="A1776" t="str">
            <v>1064 F</v>
          </cell>
          <cell r="B1776"/>
          <cell r="C1776">
            <v>45695</v>
          </cell>
          <cell r="D1776" t="str">
            <v>فینا</v>
          </cell>
          <cell r="E1776" t="str">
            <v>عثمان امین</v>
          </cell>
        </row>
        <row r="1777">
          <cell r="A1777" t="str">
            <v>591 J</v>
          </cell>
          <cell r="B1777">
            <v>11180</v>
          </cell>
          <cell r="C1777">
            <v>45694</v>
          </cell>
          <cell r="D1777" t="str">
            <v>JILANI</v>
          </cell>
          <cell r="E1777" t="str">
            <v>عالم پرنٹرز بٹ خیلہ</v>
          </cell>
        </row>
        <row r="1778">
          <cell r="A1778" t="str">
            <v>592 J</v>
          </cell>
          <cell r="B1778">
            <v>11181</v>
          </cell>
          <cell r="C1778">
            <v>45694</v>
          </cell>
          <cell r="D1778" t="str">
            <v>JILANI</v>
          </cell>
          <cell r="E1778" t="str">
            <v>عالم پرنٹرز بٹ خیلہ</v>
          </cell>
        </row>
        <row r="1779">
          <cell r="A1779" t="str">
            <v>593 J</v>
          </cell>
          <cell r="B1779">
            <v>11182</v>
          </cell>
          <cell r="C1779">
            <v>45694</v>
          </cell>
          <cell r="D1779" t="str">
            <v>JILANI</v>
          </cell>
          <cell r="E1779" t="str">
            <v>عالم پرنٹرز بٹ خیلہ</v>
          </cell>
        </row>
        <row r="1780">
          <cell r="A1780" t="str">
            <v>594 J</v>
          </cell>
          <cell r="B1780">
            <v>11183</v>
          </cell>
          <cell r="C1780">
            <v>45694</v>
          </cell>
          <cell r="D1780" t="str">
            <v>JILANI</v>
          </cell>
          <cell r="E1780" t="str">
            <v>برگر سوسی شاہدرہ لاہور</v>
          </cell>
        </row>
        <row r="1781">
          <cell r="A1781" t="str">
            <v>595 J</v>
          </cell>
          <cell r="B1781">
            <v>11184</v>
          </cell>
          <cell r="C1781">
            <v>45694</v>
          </cell>
          <cell r="D1781" t="str">
            <v>JILANI</v>
          </cell>
          <cell r="E1781" t="str">
            <v>برگر سوسی شاہدرہ لاہور</v>
          </cell>
        </row>
        <row r="1782">
          <cell r="A1782" t="str">
            <v>596 J</v>
          </cell>
          <cell r="B1782">
            <v>11185</v>
          </cell>
          <cell r="C1782">
            <v>45694</v>
          </cell>
          <cell r="D1782" t="str">
            <v>JILANI</v>
          </cell>
          <cell r="E1782" t="str">
            <v>عالم پرنٹرز بٹ خیلہ</v>
          </cell>
        </row>
        <row r="1783">
          <cell r="A1783" t="str">
            <v>597 J</v>
          </cell>
          <cell r="B1783">
            <v>11185</v>
          </cell>
          <cell r="C1783">
            <v>45694</v>
          </cell>
          <cell r="D1783" t="str">
            <v>JILANI</v>
          </cell>
          <cell r="E1783" t="str">
            <v>عالم پرنٹرز بٹ خیلہ</v>
          </cell>
        </row>
        <row r="1784">
          <cell r="A1784" t="str">
            <v>598 J</v>
          </cell>
          <cell r="B1784">
            <v>11186</v>
          </cell>
          <cell r="C1784">
            <v>45694</v>
          </cell>
          <cell r="D1784" t="str">
            <v>JILANI</v>
          </cell>
          <cell r="E1784" t="str">
            <v>بک کارنر جہلم</v>
          </cell>
        </row>
        <row r="1785">
          <cell r="A1785" t="str">
            <v>599 J</v>
          </cell>
          <cell r="B1785">
            <v>11187</v>
          </cell>
          <cell r="C1785">
            <v>45694</v>
          </cell>
          <cell r="D1785" t="str">
            <v>JILANI</v>
          </cell>
          <cell r="E1785" t="str">
            <v>صدیق سویٹس اینڈ بیکرز شیخوپورہ</v>
          </cell>
        </row>
        <row r="1786">
          <cell r="A1786" t="str">
            <v>600 J</v>
          </cell>
          <cell r="B1786">
            <v>11187</v>
          </cell>
          <cell r="C1786">
            <v>45694</v>
          </cell>
          <cell r="D1786" t="str">
            <v>JILANI</v>
          </cell>
          <cell r="E1786" t="str">
            <v>صدیق سویٹس اینڈ بیکرز شیخوپورہ</v>
          </cell>
        </row>
        <row r="1787">
          <cell r="A1787" t="str">
            <v>601 J</v>
          </cell>
          <cell r="B1787">
            <v>11188</v>
          </cell>
          <cell r="C1787">
            <v>45694</v>
          </cell>
          <cell r="D1787" t="str">
            <v>JILANI</v>
          </cell>
          <cell r="E1787" t="str">
            <v>الرضا گارمنٹس شاہ عالم لاہور</v>
          </cell>
        </row>
        <row r="1788">
          <cell r="A1788" t="str">
            <v>602 J</v>
          </cell>
          <cell r="B1788">
            <v>11188</v>
          </cell>
          <cell r="C1788">
            <v>45694</v>
          </cell>
          <cell r="D1788" t="str">
            <v>JILANI</v>
          </cell>
          <cell r="E1788" t="str">
            <v>الرضا گارمنٹس شاہ عالم لاہور</v>
          </cell>
        </row>
        <row r="1789">
          <cell r="A1789" t="str">
            <v>603 J</v>
          </cell>
          <cell r="B1789">
            <v>11189</v>
          </cell>
          <cell r="C1789">
            <v>45694</v>
          </cell>
          <cell r="D1789" t="str">
            <v>JILANI</v>
          </cell>
          <cell r="E1789" t="str">
            <v>احسان کاٹن پراڈکٹس</v>
          </cell>
        </row>
        <row r="1790">
          <cell r="A1790" t="str">
            <v>604 J</v>
          </cell>
          <cell r="B1790">
            <v>11190</v>
          </cell>
          <cell r="C1790">
            <v>45694</v>
          </cell>
          <cell r="D1790" t="str">
            <v>JILANI</v>
          </cell>
          <cell r="E1790" t="str">
            <v>حاجی اسماعیل وہاڑی</v>
          </cell>
        </row>
        <row r="1791">
          <cell r="A1791" t="str">
            <v>605 J</v>
          </cell>
          <cell r="B1791">
            <v>11190</v>
          </cell>
          <cell r="C1791">
            <v>45694</v>
          </cell>
          <cell r="D1791" t="str">
            <v>JILANI</v>
          </cell>
          <cell r="E1791" t="str">
            <v>حاجی اسماعیل وہاڑی</v>
          </cell>
        </row>
        <row r="1792">
          <cell r="A1792" t="str">
            <v>606 J</v>
          </cell>
          <cell r="B1792">
            <v>11191</v>
          </cell>
          <cell r="C1792">
            <v>45694</v>
          </cell>
          <cell r="D1792" t="str">
            <v>JILANI</v>
          </cell>
          <cell r="E1792" t="str">
            <v>اٹلس ہنڈا لمیٹڈ شیخوپورہ</v>
          </cell>
        </row>
        <row r="1793">
          <cell r="A1793" t="str">
            <v>607 J</v>
          </cell>
          <cell r="B1793">
            <v>11192</v>
          </cell>
          <cell r="C1793">
            <v>45694</v>
          </cell>
          <cell r="D1793" t="str">
            <v>JILANI</v>
          </cell>
          <cell r="E1793" t="str">
            <v>اٹلس ہنڈا لمیٹڈ شیخوپورہ</v>
          </cell>
        </row>
        <row r="1794">
          <cell r="A1794" t="str">
            <v>608 J</v>
          </cell>
          <cell r="B1794">
            <v>11193</v>
          </cell>
          <cell r="C1794">
            <v>45694</v>
          </cell>
          <cell r="D1794" t="str">
            <v>JILANI</v>
          </cell>
          <cell r="E1794" t="str">
            <v>اٹلس ہنڈا لمیٹڈ شیخوپورہ</v>
          </cell>
        </row>
        <row r="1795">
          <cell r="A1795" t="str">
            <v>609 J</v>
          </cell>
          <cell r="B1795">
            <v>11194</v>
          </cell>
          <cell r="C1795">
            <v>45694</v>
          </cell>
          <cell r="D1795" t="str">
            <v>JILANI</v>
          </cell>
          <cell r="E1795" t="str">
            <v>اٹلس ہنڈا لمیٹڈ شیخوپورہ</v>
          </cell>
        </row>
        <row r="1796">
          <cell r="A1796" t="str">
            <v>610 J</v>
          </cell>
          <cell r="B1796">
            <v>11195</v>
          </cell>
          <cell r="C1796">
            <v>45694</v>
          </cell>
          <cell r="D1796" t="str">
            <v>JILANI</v>
          </cell>
          <cell r="E1796" t="str">
            <v>اٹلس ہنڈا لمیٹڈ شیخوپورہ</v>
          </cell>
        </row>
        <row r="1797">
          <cell r="A1797" t="str">
            <v>611 J</v>
          </cell>
          <cell r="B1797">
            <v>11197</v>
          </cell>
          <cell r="C1797">
            <v>45695</v>
          </cell>
          <cell r="D1797" t="str">
            <v>JILANI</v>
          </cell>
          <cell r="E1797" t="str">
            <v>شعیب آٹوز راولپنڈی</v>
          </cell>
        </row>
        <row r="1798">
          <cell r="A1798" t="str">
            <v>242 R</v>
          </cell>
          <cell r="B1798">
            <v>597</v>
          </cell>
          <cell r="C1798">
            <v>45694</v>
          </cell>
          <cell r="D1798" t="str">
            <v>REFLECTPACK</v>
          </cell>
          <cell r="E1798" t="str">
            <v>ریفلیکٹ پیک</v>
          </cell>
        </row>
        <row r="1799">
          <cell r="A1799" t="str">
            <v>1065 F</v>
          </cell>
          <cell r="B1799"/>
          <cell r="C1799">
            <v>45698</v>
          </cell>
          <cell r="D1799" t="str">
            <v>فینا</v>
          </cell>
          <cell r="E1799" t="str">
            <v>عثمان امین</v>
          </cell>
        </row>
        <row r="1800">
          <cell r="A1800" t="str">
            <v>1066 F</v>
          </cell>
          <cell r="B1800"/>
          <cell r="C1800">
            <v>45698</v>
          </cell>
          <cell r="D1800" t="str">
            <v>فینا</v>
          </cell>
          <cell r="E1800" t="str">
            <v>عثمان امین</v>
          </cell>
        </row>
        <row r="1801">
          <cell r="A1801" t="str">
            <v>1067 F</v>
          </cell>
          <cell r="B1801"/>
          <cell r="C1801">
            <v>45698</v>
          </cell>
          <cell r="D1801" t="str">
            <v>فینا</v>
          </cell>
          <cell r="E1801" t="str">
            <v>عثمان امین</v>
          </cell>
        </row>
        <row r="1802">
          <cell r="A1802" t="str">
            <v>1068 F</v>
          </cell>
          <cell r="B1802"/>
          <cell r="C1802">
            <v>45698</v>
          </cell>
          <cell r="D1802" t="str">
            <v>فینا</v>
          </cell>
          <cell r="E1802" t="str">
            <v>عثمان امین</v>
          </cell>
        </row>
        <row r="1803">
          <cell r="A1803" t="str">
            <v>1069 F</v>
          </cell>
          <cell r="B1803"/>
          <cell r="C1803">
            <v>45698</v>
          </cell>
          <cell r="D1803" t="str">
            <v>فینا</v>
          </cell>
          <cell r="E1803" t="str">
            <v>عثمان امین</v>
          </cell>
        </row>
        <row r="1804">
          <cell r="A1804" t="str">
            <v>612 J</v>
          </cell>
          <cell r="B1804">
            <v>11196</v>
          </cell>
          <cell r="C1804">
            <v>45695</v>
          </cell>
          <cell r="D1804" t="str">
            <v>JILANI</v>
          </cell>
          <cell r="E1804" t="str">
            <v>فضل کیش اینڈ کیری اسلام پورہ</v>
          </cell>
        </row>
        <row r="1805">
          <cell r="A1805" t="str">
            <v>613 J</v>
          </cell>
          <cell r="B1805">
            <v>11196</v>
          </cell>
          <cell r="C1805">
            <v>45695</v>
          </cell>
          <cell r="D1805" t="str">
            <v>JILANI</v>
          </cell>
          <cell r="E1805" t="str">
            <v>فضل کیش اینڈ کیری اسلام پورہ</v>
          </cell>
        </row>
        <row r="1806">
          <cell r="A1806" t="str">
            <v>614 J</v>
          </cell>
          <cell r="B1806">
            <v>11197</v>
          </cell>
          <cell r="C1806">
            <v>45695</v>
          </cell>
          <cell r="D1806" t="str">
            <v>JILANI</v>
          </cell>
          <cell r="E1806" t="str">
            <v>شعیب آٹوز راولپنڈی</v>
          </cell>
        </row>
        <row r="1807">
          <cell r="A1807" t="str">
            <v>615 J</v>
          </cell>
          <cell r="B1807">
            <v>11198</v>
          </cell>
          <cell r="C1807">
            <v>45695</v>
          </cell>
          <cell r="D1807" t="str">
            <v>JILANI</v>
          </cell>
          <cell r="E1807" t="str">
            <v>عثمان عارف بٹ گوجرانولہ</v>
          </cell>
        </row>
        <row r="1808">
          <cell r="A1808" t="str">
            <v>616 J</v>
          </cell>
          <cell r="B1808">
            <v>11198</v>
          </cell>
          <cell r="C1808">
            <v>45695</v>
          </cell>
          <cell r="D1808" t="str">
            <v>JILANI</v>
          </cell>
          <cell r="E1808" t="str">
            <v>عثمان عارف بٹ گوجرانولہ</v>
          </cell>
        </row>
        <row r="1809">
          <cell r="A1809" t="str">
            <v>617 J</v>
          </cell>
          <cell r="B1809">
            <v>11199</v>
          </cell>
          <cell r="C1809">
            <v>45695</v>
          </cell>
          <cell r="D1809" t="str">
            <v>JILANI</v>
          </cell>
          <cell r="E1809" t="str">
            <v>کے بی بزنس سروس</v>
          </cell>
        </row>
        <row r="1810">
          <cell r="A1810" t="str">
            <v>618 J</v>
          </cell>
          <cell r="B1810"/>
          <cell r="C1810">
            <v>45699</v>
          </cell>
          <cell r="D1810" t="str">
            <v>JILANI</v>
          </cell>
          <cell r="E1810" t="str">
            <v>جیلانی پلاسٹک</v>
          </cell>
        </row>
        <row r="1811">
          <cell r="A1811" t="str">
            <v>619 J</v>
          </cell>
          <cell r="B1811"/>
          <cell r="C1811">
            <v>45699</v>
          </cell>
          <cell r="D1811" t="str">
            <v>JILANI</v>
          </cell>
          <cell r="E1811" t="str">
            <v>جیلانی پلاسٹک</v>
          </cell>
        </row>
        <row r="1812">
          <cell r="A1812" t="str">
            <v>620 J</v>
          </cell>
          <cell r="B1812"/>
          <cell r="C1812">
            <v>45699</v>
          </cell>
          <cell r="D1812" t="str">
            <v>JILANI</v>
          </cell>
          <cell r="E1812" t="str">
            <v>جیلانی پلاسٹک</v>
          </cell>
        </row>
        <row r="1813">
          <cell r="A1813" t="str">
            <v>621 J</v>
          </cell>
          <cell r="B1813"/>
          <cell r="C1813">
            <v>45699</v>
          </cell>
          <cell r="D1813" t="str">
            <v>JILANI</v>
          </cell>
          <cell r="E1813" t="str">
            <v>جیلانی پلاسٹک</v>
          </cell>
        </row>
        <row r="1814">
          <cell r="A1814" t="str">
            <v>622 J</v>
          </cell>
          <cell r="B1814"/>
          <cell r="C1814">
            <v>45699</v>
          </cell>
          <cell r="D1814" t="str">
            <v>JILANI</v>
          </cell>
          <cell r="E1814" t="str">
            <v>جیلانی پلاسٹک</v>
          </cell>
        </row>
        <row r="1815">
          <cell r="A1815" t="str">
            <v>623 J</v>
          </cell>
          <cell r="B1815"/>
          <cell r="C1815">
            <v>45699</v>
          </cell>
          <cell r="D1815" t="str">
            <v>JILANI</v>
          </cell>
          <cell r="E1815" t="str">
            <v>جیلانی پلاسٹک</v>
          </cell>
        </row>
        <row r="1816">
          <cell r="A1816" t="str">
            <v>624 J</v>
          </cell>
          <cell r="B1816"/>
          <cell r="C1816">
            <v>45699</v>
          </cell>
          <cell r="D1816" t="str">
            <v>JILANI</v>
          </cell>
          <cell r="E1816" t="str">
            <v>جیلانی پلاسٹک</v>
          </cell>
        </row>
        <row r="1817">
          <cell r="A1817" t="str">
            <v>625 J</v>
          </cell>
          <cell r="B1817">
            <v>11200</v>
          </cell>
          <cell r="C1817">
            <v>45699</v>
          </cell>
          <cell r="D1817" t="str">
            <v>JILANI</v>
          </cell>
          <cell r="E1817" t="str">
            <v>احمد سویٹس اینڈ بیکرز چشتیاں</v>
          </cell>
        </row>
        <row r="1818">
          <cell r="A1818" t="str">
            <v>626 J</v>
          </cell>
          <cell r="B1818">
            <v>11201</v>
          </cell>
          <cell r="C1818">
            <v>45699</v>
          </cell>
          <cell r="D1818" t="str">
            <v>JILANI</v>
          </cell>
          <cell r="E1818" t="str">
            <v>پاکستان سویٹس منڈی بہاؤالدین</v>
          </cell>
        </row>
        <row r="1819">
          <cell r="A1819" t="str">
            <v>627 J</v>
          </cell>
          <cell r="B1819">
            <v>11201</v>
          </cell>
          <cell r="C1819">
            <v>45699</v>
          </cell>
          <cell r="D1819" t="str">
            <v>JILANI</v>
          </cell>
          <cell r="E1819" t="str">
            <v>پاکستان سویٹس منڈی بہاؤالدین</v>
          </cell>
        </row>
        <row r="1820">
          <cell r="A1820" t="str">
            <v>628 J</v>
          </cell>
          <cell r="B1820">
            <v>11202</v>
          </cell>
          <cell r="C1820">
            <v>45699</v>
          </cell>
          <cell r="D1820" t="str">
            <v>JILANI</v>
          </cell>
          <cell r="E1820" t="str">
            <v>عالم بیکرز شاہدرہ</v>
          </cell>
        </row>
        <row r="1821">
          <cell r="A1821" t="str">
            <v>629 J</v>
          </cell>
          <cell r="B1821">
            <v>11202</v>
          </cell>
          <cell r="C1821">
            <v>45699</v>
          </cell>
          <cell r="D1821" t="str">
            <v>JILANI</v>
          </cell>
          <cell r="E1821" t="str">
            <v>عالم بیکرز شاہدرہ</v>
          </cell>
        </row>
        <row r="1822">
          <cell r="A1822" t="str">
            <v>630 J</v>
          </cell>
          <cell r="B1822">
            <v>11203</v>
          </cell>
          <cell r="C1822">
            <v>45699</v>
          </cell>
          <cell r="D1822" t="str">
            <v>JILANI</v>
          </cell>
          <cell r="E1822" t="str">
            <v>اے ایس بی سویٹس اینڈ بیکرزجڑانوالہ</v>
          </cell>
        </row>
        <row r="1823">
          <cell r="A1823" t="str">
            <v>631 J</v>
          </cell>
          <cell r="B1823">
            <v>11204</v>
          </cell>
          <cell r="C1823">
            <v>45699</v>
          </cell>
          <cell r="D1823" t="str">
            <v>JILANI</v>
          </cell>
          <cell r="E1823" t="str">
            <v>عالم بیکرز شاہدرہ</v>
          </cell>
        </row>
        <row r="1824">
          <cell r="A1824" t="str">
            <v>632 J</v>
          </cell>
          <cell r="B1824">
            <v>11205</v>
          </cell>
          <cell r="C1824">
            <v>45699</v>
          </cell>
          <cell r="D1824" t="str">
            <v>JILANI</v>
          </cell>
          <cell r="E1824" t="str">
            <v>مشتاق صاحب لاہور</v>
          </cell>
        </row>
        <row r="1825">
          <cell r="A1825" t="str">
            <v>633 J</v>
          </cell>
          <cell r="B1825">
            <v>11205</v>
          </cell>
          <cell r="C1825">
            <v>45699</v>
          </cell>
          <cell r="D1825" t="str">
            <v>JILANI</v>
          </cell>
          <cell r="E1825" t="str">
            <v>مشتاق صاحب لاہور</v>
          </cell>
        </row>
        <row r="1826">
          <cell r="A1826" t="str">
            <v>634 J</v>
          </cell>
          <cell r="B1826">
            <v>11206</v>
          </cell>
          <cell r="C1826">
            <v>45699</v>
          </cell>
          <cell r="D1826" t="str">
            <v>JILANI</v>
          </cell>
          <cell r="E1826" t="str">
            <v>فینسی ٹیلر بند روڈ لاہور</v>
          </cell>
        </row>
        <row r="1827">
          <cell r="A1827" t="str">
            <v>635 J</v>
          </cell>
          <cell r="B1827">
            <v>11207</v>
          </cell>
          <cell r="C1827">
            <v>45699</v>
          </cell>
          <cell r="D1827" t="str">
            <v>JILANI</v>
          </cell>
          <cell r="E1827" t="str">
            <v>سروس انڈسٹری گجرات</v>
          </cell>
        </row>
        <row r="1828">
          <cell r="A1828" t="str">
            <v>636 J</v>
          </cell>
          <cell r="B1828">
            <v>11208</v>
          </cell>
          <cell r="C1828">
            <v>45699</v>
          </cell>
          <cell r="D1828" t="str">
            <v>JILANI</v>
          </cell>
          <cell r="E1828" t="str">
            <v>سروس انڈسٹری گجرات</v>
          </cell>
        </row>
        <row r="1829">
          <cell r="A1829" t="str">
            <v>637 J</v>
          </cell>
          <cell r="B1829">
            <v>11209</v>
          </cell>
          <cell r="C1829">
            <v>45699</v>
          </cell>
          <cell r="D1829" t="str">
            <v>JILANI</v>
          </cell>
          <cell r="E1829" t="str">
            <v>سروس انڈسٹری گجرات</v>
          </cell>
        </row>
        <row r="1830">
          <cell r="A1830" t="str">
            <v>638 J</v>
          </cell>
          <cell r="B1830">
            <v>11210</v>
          </cell>
          <cell r="C1830">
            <v>45699</v>
          </cell>
          <cell r="D1830" t="str">
            <v>JILANI</v>
          </cell>
          <cell r="E1830" t="str">
            <v>سروس انڈسٹری گجرات</v>
          </cell>
        </row>
        <row r="1831">
          <cell r="A1831" t="str">
            <v>1070 F</v>
          </cell>
          <cell r="B1831"/>
          <cell r="C1831">
            <v>45698</v>
          </cell>
          <cell r="D1831" t="str">
            <v>فینا</v>
          </cell>
          <cell r="E1831" t="str">
            <v>عثمان امین</v>
          </cell>
        </row>
        <row r="1832">
          <cell r="A1832" t="str">
            <v>1071 F</v>
          </cell>
          <cell r="B1832"/>
          <cell r="C1832">
            <v>45698</v>
          </cell>
          <cell r="D1832" t="str">
            <v>فینا</v>
          </cell>
          <cell r="E1832" t="str">
            <v>عثمان امین</v>
          </cell>
        </row>
        <row r="1833">
          <cell r="A1833" t="str">
            <v>1072 F</v>
          </cell>
          <cell r="B1833"/>
          <cell r="C1833">
            <v>45698</v>
          </cell>
          <cell r="D1833" t="str">
            <v>فینا</v>
          </cell>
          <cell r="E1833" t="str">
            <v>عثمان امین</v>
          </cell>
        </row>
        <row r="1834">
          <cell r="A1834" t="str">
            <v>1073 F</v>
          </cell>
          <cell r="B1834"/>
          <cell r="C1834">
            <v>45698</v>
          </cell>
          <cell r="D1834" t="str">
            <v>فینا</v>
          </cell>
          <cell r="E1834" t="str">
            <v>عثمان امین</v>
          </cell>
        </row>
        <row r="1835">
          <cell r="A1835" t="str">
            <v>1074 F</v>
          </cell>
          <cell r="B1835"/>
          <cell r="C1835">
            <v>45698</v>
          </cell>
          <cell r="D1835" t="str">
            <v>فینا</v>
          </cell>
          <cell r="E1835" t="str">
            <v>عثمان امین</v>
          </cell>
        </row>
        <row r="1836">
          <cell r="A1836" t="str">
            <v>1075 F</v>
          </cell>
          <cell r="B1836"/>
          <cell r="C1836">
            <v>45699</v>
          </cell>
          <cell r="D1836" t="str">
            <v>فینا</v>
          </cell>
          <cell r="E1836" t="str">
            <v>عثمان امین</v>
          </cell>
        </row>
        <row r="1837">
          <cell r="A1837" t="str">
            <v>1076 F</v>
          </cell>
          <cell r="B1837"/>
          <cell r="C1837">
            <v>45699</v>
          </cell>
          <cell r="D1837" t="str">
            <v>فینا</v>
          </cell>
          <cell r="E1837" t="str">
            <v>عثمان امین</v>
          </cell>
        </row>
        <row r="1838">
          <cell r="A1838" t="str">
            <v>1077 F</v>
          </cell>
          <cell r="B1838"/>
          <cell r="C1838">
            <v>45699</v>
          </cell>
          <cell r="D1838" t="str">
            <v>فینا</v>
          </cell>
          <cell r="E1838" t="str">
            <v>عثمان امین</v>
          </cell>
        </row>
        <row r="1839">
          <cell r="A1839" t="str">
            <v>1078 F</v>
          </cell>
          <cell r="B1839"/>
          <cell r="C1839">
            <v>45699</v>
          </cell>
          <cell r="D1839" t="str">
            <v>فینا</v>
          </cell>
          <cell r="E1839" t="str">
            <v>عثمان امین</v>
          </cell>
        </row>
        <row r="1840">
          <cell r="A1840" t="str">
            <v>1079 F</v>
          </cell>
          <cell r="B1840"/>
          <cell r="C1840">
            <v>45699</v>
          </cell>
          <cell r="D1840" t="str">
            <v>فینا</v>
          </cell>
          <cell r="E1840" t="str">
            <v>عثمان امین</v>
          </cell>
        </row>
        <row r="1841">
          <cell r="A1841" t="str">
            <v>639 J</v>
          </cell>
          <cell r="B1841">
            <v>11211</v>
          </cell>
          <cell r="C1841">
            <v>45699</v>
          </cell>
          <cell r="D1841" t="str">
            <v>JILANI</v>
          </cell>
          <cell r="E1841" t="str">
            <v>وقاص وولن ملز گوجرانوالہ</v>
          </cell>
        </row>
        <row r="1842">
          <cell r="A1842" t="str">
            <v>640 J</v>
          </cell>
          <cell r="B1842">
            <v>11212</v>
          </cell>
          <cell r="C1842">
            <v>45699</v>
          </cell>
          <cell r="D1842" t="str">
            <v>JILANI</v>
          </cell>
          <cell r="E1842" t="str">
            <v>پائیزر فٹ وئیر پشاور</v>
          </cell>
        </row>
        <row r="1843">
          <cell r="A1843" t="str">
            <v>641 J</v>
          </cell>
          <cell r="B1843">
            <v>11213</v>
          </cell>
          <cell r="C1843">
            <v>45699</v>
          </cell>
          <cell r="D1843" t="str">
            <v>JILANI</v>
          </cell>
          <cell r="E1843" t="str">
            <v>محبوب سنز بحیرہ</v>
          </cell>
        </row>
        <row r="1844">
          <cell r="A1844" t="str">
            <v>642 J</v>
          </cell>
          <cell r="B1844">
            <v>11213</v>
          </cell>
          <cell r="C1844">
            <v>45699</v>
          </cell>
          <cell r="D1844" t="str">
            <v>JILANI</v>
          </cell>
          <cell r="E1844" t="str">
            <v>محبوب سنز بحیرہ</v>
          </cell>
        </row>
        <row r="1845">
          <cell r="A1845" t="str">
            <v>643 J</v>
          </cell>
          <cell r="B1845">
            <v>11213</v>
          </cell>
          <cell r="C1845">
            <v>45699</v>
          </cell>
          <cell r="D1845" t="str">
            <v>JILANI</v>
          </cell>
          <cell r="E1845" t="str">
            <v>محبوب سنز بحیرہ</v>
          </cell>
        </row>
        <row r="1846">
          <cell r="A1846" t="str">
            <v>644 J</v>
          </cell>
          <cell r="B1846">
            <v>11214</v>
          </cell>
          <cell r="C1846">
            <v>45699</v>
          </cell>
          <cell r="D1846" t="str">
            <v>JILANI</v>
          </cell>
          <cell r="E1846" t="str">
            <v>مجسٹک پلاسٹک لاہورC/O عمیر پی پی اڈا کراؤن</v>
          </cell>
        </row>
        <row r="1847">
          <cell r="A1847" t="str">
            <v>645 J</v>
          </cell>
          <cell r="B1847">
            <v>11214</v>
          </cell>
          <cell r="C1847">
            <v>45699</v>
          </cell>
          <cell r="D1847" t="str">
            <v>JILANI</v>
          </cell>
          <cell r="E1847" t="str">
            <v>مجسٹک پلاسٹک لاہورC/O عمیر پی پی اڈا کراؤن</v>
          </cell>
        </row>
        <row r="1848">
          <cell r="A1848" t="str">
            <v>646 J</v>
          </cell>
          <cell r="B1848">
            <v>11215</v>
          </cell>
          <cell r="C1848">
            <v>45699</v>
          </cell>
          <cell r="D1848" t="str">
            <v>JILANI</v>
          </cell>
          <cell r="E1848" t="str">
            <v>عثمان عارف بٹ گوجرانولہ</v>
          </cell>
        </row>
        <row r="1849">
          <cell r="A1849" t="str">
            <v>647 J</v>
          </cell>
          <cell r="B1849">
            <v>11215</v>
          </cell>
          <cell r="C1849">
            <v>45699</v>
          </cell>
          <cell r="D1849" t="str">
            <v>JILANI</v>
          </cell>
          <cell r="E1849" t="str">
            <v>عثمان عارف بٹ گوجرانولہ</v>
          </cell>
        </row>
        <row r="1850">
          <cell r="A1850" t="str">
            <v>648 J</v>
          </cell>
          <cell r="B1850">
            <v>11215</v>
          </cell>
          <cell r="C1850">
            <v>45699</v>
          </cell>
          <cell r="D1850" t="str">
            <v>JILANI</v>
          </cell>
          <cell r="E1850" t="str">
            <v>عثمان عارف بٹ گوجرانولہ</v>
          </cell>
        </row>
        <row r="1851">
          <cell r="A1851" t="str">
            <v>649 J</v>
          </cell>
          <cell r="B1851">
            <v>11215</v>
          </cell>
          <cell r="C1851">
            <v>45699</v>
          </cell>
          <cell r="D1851" t="str">
            <v>JILANI</v>
          </cell>
          <cell r="E1851" t="str">
            <v>عثمان عارف بٹ گوجرانولہ</v>
          </cell>
        </row>
        <row r="1852">
          <cell r="A1852" t="str">
            <v>650 J</v>
          </cell>
          <cell r="B1852">
            <v>11216</v>
          </cell>
          <cell r="C1852">
            <v>45699</v>
          </cell>
          <cell r="D1852" t="str">
            <v>JILANI</v>
          </cell>
          <cell r="E1852" t="str">
            <v>عثمان عارف بٹ گوجرانولہ</v>
          </cell>
        </row>
        <row r="1853">
          <cell r="A1853" t="str">
            <v>651 J</v>
          </cell>
          <cell r="B1853">
            <v>11216</v>
          </cell>
          <cell r="C1853">
            <v>45699</v>
          </cell>
          <cell r="D1853" t="str">
            <v>JILANI</v>
          </cell>
          <cell r="E1853" t="str">
            <v>عثمان عارف بٹ گوجرانولہ</v>
          </cell>
        </row>
        <row r="1854">
          <cell r="A1854" t="str">
            <v>652 J</v>
          </cell>
          <cell r="B1854">
            <v>11217</v>
          </cell>
          <cell r="C1854">
            <v>45699</v>
          </cell>
          <cell r="D1854" t="str">
            <v>JILANI</v>
          </cell>
          <cell r="E1854" t="str">
            <v>عثمان عارف بٹ گوجرانولہ</v>
          </cell>
        </row>
        <row r="1855">
          <cell r="A1855" t="str">
            <v>653 J</v>
          </cell>
          <cell r="B1855">
            <v>11217</v>
          </cell>
          <cell r="C1855">
            <v>45699</v>
          </cell>
          <cell r="D1855" t="str">
            <v>JILANI</v>
          </cell>
          <cell r="E1855" t="str">
            <v>عثمان عارف بٹ گوجرانولہ</v>
          </cell>
        </row>
        <row r="1856">
          <cell r="A1856" t="str">
            <v>654 J</v>
          </cell>
          <cell r="B1856">
            <v>11217</v>
          </cell>
          <cell r="C1856">
            <v>45699</v>
          </cell>
          <cell r="D1856" t="str">
            <v>JILANI</v>
          </cell>
          <cell r="E1856" t="str">
            <v>عثمان عارف بٹ گوجرانولہ</v>
          </cell>
        </row>
        <row r="1857">
          <cell r="A1857" t="str">
            <v>655 J</v>
          </cell>
          <cell r="B1857">
            <v>11217</v>
          </cell>
          <cell r="C1857">
            <v>45699</v>
          </cell>
          <cell r="D1857" t="str">
            <v>JILANI</v>
          </cell>
          <cell r="E1857" t="str">
            <v>عثمان عارف بٹ گوجرانولہ</v>
          </cell>
        </row>
        <row r="1858">
          <cell r="A1858" t="str">
            <v>656 J</v>
          </cell>
          <cell r="B1858">
            <v>11218</v>
          </cell>
          <cell r="C1858">
            <v>45699</v>
          </cell>
          <cell r="D1858" t="str">
            <v>JILANI</v>
          </cell>
          <cell r="E1858" t="str">
            <v>رحمت بیکرز ساہیوال</v>
          </cell>
        </row>
        <row r="1859">
          <cell r="A1859" t="str">
            <v>657 J</v>
          </cell>
          <cell r="B1859">
            <v>11219</v>
          </cell>
          <cell r="C1859">
            <v>45699</v>
          </cell>
          <cell r="D1859" t="str">
            <v>JILANI</v>
          </cell>
          <cell r="E1859" t="str">
            <v>توکل کلاتھ ہاؤس لاہور</v>
          </cell>
        </row>
        <row r="1860">
          <cell r="A1860" t="str">
            <v>658 J</v>
          </cell>
          <cell r="B1860">
            <v>11220</v>
          </cell>
          <cell r="C1860">
            <v>45699</v>
          </cell>
          <cell r="D1860" t="str">
            <v>JILANI</v>
          </cell>
          <cell r="E1860" t="str">
            <v xml:space="preserve">ایم آصف پرنٹنگ لاہور </v>
          </cell>
        </row>
        <row r="1861">
          <cell r="A1861" t="str">
            <v>659 J</v>
          </cell>
          <cell r="B1861">
            <v>11221</v>
          </cell>
          <cell r="C1861">
            <v>45699</v>
          </cell>
          <cell r="D1861" t="str">
            <v>JILANI</v>
          </cell>
          <cell r="E1861" t="str">
            <v>الفتح بیکرز چیچہ وطنی</v>
          </cell>
        </row>
        <row r="1862">
          <cell r="A1862" t="str">
            <v>660 J</v>
          </cell>
          <cell r="B1862">
            <v>11222</v>
          </cell>
          <cell r="C1862">
            <v>45699</v>
          </cell>
          <cell r="D1862" t="str">
            <v>JILANI</v>
          </cell>
          <cell r="E1862" t="str">
            <v>عالم پرنٹرز بٹ خیلہ</v>
          </cell>
        </row>
        <row r="1863">
          <cell r="A1863" t="str">
            <v>661 J</v>
          </cell>
          <cell r="B1863">
            <v>11223</v>
          </cell>
          <cell r="C1863">
            <v>45699</v>
          </cell>
          <cell r="D1863" t="str">
            <v>JILANI</v>
          </cell>
          <cell r="E1863" t="str">
            <v>نواب جیلانی پلاسٹک لیہ</v>
          </cell>
        </row>
        <row r="1864">
          <cell r="A1864" t="str">
            <v>662 J</v>
          </cell>
          <cell r="B1864">
            <v>11223</v>
          </cell>
          <cell r="C1864">
            <v>45699</v>
          </cell>
          <cell r="D1864" t="str">
            <v>JILANI</v>
          </cell>
          <cell r="E1864" t="str">
            <v>نواب جیلانی پلاسٹک لیہ</v>
          </cell>
        </row>
        <row r="1865">
          <cell r="A1865" t="str">
            <v>663 J</v>
          </cell>
          <cell r="B1865">
            <v>11224</v>
          </cell>
          <cell r="C1865">
            <v>45699</v>
          </cell>
          <cell r="D1865" t="str">
            <v>JILANI</v>
          </cell>
          <cell r="E1865" t="str">
            <v>محبوب پرنٹرز گوجرانوالہ</v>
          </cell>
        </row>
        <row r="1866">
          <cell r="A1866" t="str">
            <v>664 J</v>
          </cell>
          <cell r="B1866">
            <v>11225</v>
          </cell>
          <cell r="C1866">
            <v>45699</v>
          </cell>
          <cell r="D1866" t="str">
            <v>JILANI</v>
          </cell>
          <cell r="E1866" t="str">
            <v>زم زم شاپنگ مال ٹمبرگراں</v>
          </cell>
        </row>
        <row r="1867">
          <cell r="A1867" t="str">
            <v>665 J</v>
          </cell>
          <cell r="B1867">
            <v>11225</v>
          </cell>
          <cell r="C1867">
            <v>45699</v>
          </cell>
          <cell r="D1867" t="str">
            <v>JILANI</v>
          </cell>
          <cell r="E1867" t="str">
            <v>زم زم شاپنگ مال ٹمبرگراں</v>
          </cell>
        </row>
        <row r="1868">
          <cell r="A1868" t="str">
            <v>666 J</v>
          </cell>
          <cell r="B1868">
            <v>11225</v>
          </cell>
          <cell r="C1868">
            <v>45699</v>
          </cell>
          <cell r="D1868" t="str">
            <v>JILANI</v>
          </cell>
          <cell r="E1868" t="str">
            <v>زم زم شاپنگ مال ٹمبرگراں</v>
          </cell>
        </row>
        <row r="1869">
          <cell r="A1869" t="str">
            <v>667 J</v>
          </cell>
          <cell r="B1869">
            <v>11225</v>
          </cell>
          <cell r="C1869">
            <v>45699</v>
          </cell>
          <cell r="D1869" t="str">
            <v>JILANI</v>
          </cell>
          <cell r="E1869" t="str">
            <v>زم زم شاپنگ مال ٹمبرگراں</v>
          </cell>
        </row>
        <row r="1870">
          <cell r="A1870" t="str">
            <v>668 J</v>
          </cell>
          <cell r="B1870">
            <v>11226</v>
          </cell>
          <cell r="C1870">
            <v>45699</v>
          </cell>
          <cell r="D1870" t="str">
            <v>JILANI</v>
          </cell>
          <cell r="E1870" t="str">
            <v>عالم پرنٹرز بٹ خیلہ</v>
          </cell>
        </row>
        <row r="1871">
          <cell r="A1871" t="str">
            <v>669 J</v>
          </cell>
          <cell r="B1871">
            <v>11226</v>
          </cell>
          <cell r="C1871">
            <v>45699</v>
          </cell>
          <cell r="D1871" t="str">
            <v>JILANI</v>
          </cell>
          <cell r="E1871" t="str">
            <v>عالم پرنٹرز بٹ خیلہ</v>
          </cell>
        </row>
        <row r="1872">
          <cell r="A1872" t="str">
            <v>670 J</v>
          </cell>
          <cell r="B1872">
            <v>11226</v>
          </cell>
          <cell r="C1872">
            <v>45699</v>
          </cell>
          <cell r="D1872" t="str">
            <v>JILANI</v>
          </cell>
          <cell r="E1872" t="str">
            <v>عالم پرنٹرز بٹ خیلہ</v>
          </cell>
        </row>
        <row r="1873">
          <cell r="A1873" t="str">
            <v>671 J</v>
          </cell>
          <cell r="B1873">
            <v>11227</v>
          </cell>
          <cell r="C1873">
            <v>45699</v>
          </cell>
          <cell r="D1873" t="str">
            <v>JILANI</v>
          </cell>
          <cell r="E1873" t="str">
            <v>عالم پرنٹرز بٹ خیلہ</v>
          </cell>
        </row>
        <row r="1874">
          <cell r="A1874" t="str">
            <v>672 J</v>
          </cell>
          <cell r="B1874">
            <v>11227</v>
          </cell>
          <cell r="C1874">
            <v>45699</v>
          </cell>
          <cell r="D1874" t="str">
            <v>JILANI</v>
          </cell>
          <cell r="E1874" t="str">
            <v>عالم پرنٹرز بٹ خیلہ</v>
          </cell>
        </row>
        <row r="1875">
          <cell r="A1875" t="str">
            <v>673 J</v>
          </cell>
          <cell r="B1875">
            <v>11227</v>
          </cell>
          <cell r="C1875">
            <v>45699</v>
          </cell>
          <cell r="D1875" t="str">
            <v>JILANI</v>
          </cell>
          <cell r="E1875" t="str">
            <v>عالم پرنٹرز بٹ خیلہ</v>
          </cell>
        </row>
        <row r="1876">
          <cell r="A1876" t="str">
            <v>674 J</v>
          </cell>
          <cell r="B1876">
            <v>11228</v>
          </cell>
          <cell r="C1876">
            <v>45699</v>
          </cell>
          <cell r="D1876" t="str">
            <v>JILANI</v>
          </cell>
          <cell r="E1876" t="str">
            <v>میٹرو فیبرکس بریکوٹ سوات</v>
          </cell>
        </row>
        <row r="1877">
          <cell r="A1877" t="str">
            <v>675 J</v>
          </cell>
          <cell r="B1877">
            <v>11229</v>
          </cell>
          <cell r="C1877">
            <v>45699</v>
          </cell>
          <cell r="D1877" t="str">
            <v>JILANI</v>
          </cell>
          <cell r="E1877" t="str">
            <v>النور سویٹس آزاد کشمیر</v>
          </cell>
        </row>
        <row r="1878">
          <cell r="A1878" t="str">
            <v>676 J</v>
          </cell>
          <cell r="B1878">
            <v>11230</v>
          </cell>
          <cell r="C1878">
            <v>45699</v>
          </cell>
          <cell r="D1878" t="str">
            <v>JILANI</v>
          </cell>
          <cell r="E1878" t="str">
            <v>گراسر ایپ لاہور</v>
          </cell>
        </row>
        <row r="1879">
          <cell r="A1879" t="str">
            <v>677 J</v>
          </cell>
          <cell r="B1879">
            <v>11230</v>
          </cell>
          <cell r="C1879">
            <v>45699</v>
          </cell>
          <cell r="D1879" t="str">
            <v>JILANI</v>
          </cell>
          <cell r="E1879" t="str">
            <v>گراسر ایپ لاہور</v>
          </cell>
        </row>
        <row r="1880">
          <cell r="A1880" t="str">
            <v>678 J</v>
          </cell>
          <cell r="B1880">
            <v>11230</v>
          </cell>
          <cell r="C1880">
            <v>45699</v>
          </cell>
          <cell r="D1880" t="str">
            <v>JILANI</v>
          </cell>
          <cell r="E1880" t="str">
            <v>گراسر ایپ لاہور</v>
          </cell>
        </row>
        <row r="1881">
          <cell r="A1881" t="str">
            <v>679 J</v>
          </cell>
          <cell r="B1881">
            <v>11231</v>
          </cell>
          <cell r="C1881">
            <v>45699</v>
          </cell>
          <cell r="D1881" t="str">
            <v>JILANI</v>
          </cell>
          <cell r="E1881" t="str">
            <v>گراسر ایپ لاہور</v>
          </cell>
        </row>
        <row r="1882">
          <cell r="A1882" t="str">
            <v>680 J</v>
          </cell>
          <cell r="B1882">
            <v>11232</v>
          </cell>
          <cell r="C1882">
            <v>45699</v>
          </cell>
          <cell r="D1882" t="str">
            <v>JILANI</v>
          </cell>
          <cell r="E1882" t="str">
            <v>گراسر ایپ لاہور</v>
          </cell>
        </row>
        <row r="1883">
          <cell r="A1883" t="str">
            <v>681 J</v>
          </cell>
          <cell r="B1883">
            <v>11233</v>
          </cell>
          <cell r="C1883">
            <v>45699</v>
          </cell>
          <cell r="D1883" t="str">
            <v>JILANI</v>
          </cell>
          <cell r="E1883" t="str">
            <v>شیخ اصغر علی اینڈ سنز سرگودھا</v>
          </cell>
        </row>
        <row r="1884">
          <cell r="A1884" t="str">
            <v>682 J</v>
          </cell>
          <cell r="B1884">
            <v>11233</v>
          </cell>
          <cell r="C1884">
            <v>45699</v>
          </cell>
          <cell r="D1884" t="str">
            <v>JILANI</v>
          </cell>
          <cell r="E1884" t="str">
            <v>شیخ اصغر علی اینڈ سنز سرگودھا</v>
          </cell>
        </row>
        <row r="1885">
          <cell r="A1885" t="str">
            <v>683 J</v>
          </cell>
          <cell r="B1885">
            <v>11147</v>
          </cell>
          <cell r="C1885">
            <v>45691</v>
          </cell>
          <cell r="D1885" t="str">
            <v>JILANI</v>
          </cell>
          <cell r="E1885" t="str">
            <v>جیلانی پولی سٹاک</v>
          </cell>
        </row>
        <row r="1886">
          <cell r="A1886" t="str">
            <v>684 J</v>
          </cell>
          <cell r="B1886">
            <v>11148</v>
          </cell>
          <cell r="C1886">
            <v>45691</v>
          </cell>
          <cell r="D1886" t="str">
            <v>OTHERS</v>
          </cell>
          <cell r="E1886" t="str">
            <v>جیلانی پلاسٹک</v>
          </cell>
        </row>
        <row r="1887">
          <cell r="A1887" t="str">
            <v>1080 F</v>
          </cell>
          <cell r="B1887"/>
          <cell r="C1887">
            <v>45699</v>
          </cell>
          <cell r="D1887" t="str">
            <v>فینا</v>
          </cell>
          <cell r="E1887" t="str">
            <v>عثمان امین</v>
          </cell>
        </row>
        <row r="1888">
          <cell r="A1888" t="str">
            <v>1081 F</v>
          </cell>
          <cell r="B1888"/>
          <cell r="C1888">
            <v>45699</v>
          </cell>
          <cell r="D1888" t="str">
            <v>فینا</v>
          </cell>
          <cell r="E1888" t="str">
            <v>عثمان امین</v>
          </cell>
        </row>
        <row r="1889">
          <cell r="A1889" t="str">
            <v>1082 F</v>
          </cell>
          <cell r="B1889"/>
          <cell r="C1889">
            <v>45699</v>
          </cell>
          <cell r="D1889" t="str">
            <v>فینا</v>
          </cell>
          <cell r="E1889" t="str">
            <v>عثمان امین</v>
          </cell>
        </row>
        <row r="1890">
          <cell r="A1890" t="str">
            <v>1083 F</v>
          </cell>
          <cell r="B1890"/>
          <cell r="C1890">
            <v>45700</v>
          </cell>
          <cell r="D1890" t="str">
            <v>فینا</v>
          </cell>
          <cell r="E1890" t="str">
            <v>عثمان امین</v>
          </cell>
        </row>
        <row r="1891">
          <cell r="A1891" t="str">
            <v>1084 F</v>
          </cell>
          <cell r="B1891"/>
          <cell r="C1891">
            <v>45700</v>
          </cell>
          <cell r="D1891" t="str">
            <v>فینا</v>
          </cell>
          <cell r="E1891" t="str">
            <v>عثمان امین</v>
          </cell>
        </row>
        <row r="1892">
          <cell r="A1892" t="str">
            <v>1085 F</v>
          </cell>
          <cell r="B1892"/>
          <cell r="C1892">
            <v>45700</v>
          </cell>
          <cell r="D1892" t="str">
            <v>فینا</v>
          </cell>
          <cell r="E1892" t="str">
            <v>عثمان امین</v>
          </cell>
        </row>
        <row r="1893">
          <cell r="A1893" t="str">
            <v>1086 F</v>
          </cell>
          <cell r="B1893"/>
          <cell r="C1893">
            <v>45700</v>
          </cell>
          <cell r="D1893" t="str">
            <v>فینا</v>
          </cell>
          <cell r="E1893" t="str">
            <v>عثمان امین</v>
          </cell>
        </row>
        <row r="1894">
          <cell r="A1894" t="str">
            <v>6592/1</v>
          </cell>
          <cell r="B1894">
            <v>6592</v>
          </cell>
          <cell r="C1894">
            <v>45691</v>
          </cell>
          <cell r="D1894" t="str">
            <v>یونس صاحب</v>
          </cell>
          <cell r="E1894" t="str">
            <v>عثمان امین لاہور</v>
          </cell>
        </row>
        <row r="1895">
          <cell r="A1895" t="str">
            <v>6592/2</v>
          </cell>
          <cell r="B1895">
            <v>6592</v>
          </cell>
          <cell r="C1895">
            <v>45691</v>
          </cell>
          <cell r="D1895" t="str">
            <v>یونس صاحب</v>
          </cell>
          <cell r="E1895" t="str">
            <v>عثمان امین لاہور</v>
          </cell>
        </row>
        <row r="1896">
          <cell r="A1896" t="str">
            <v>6593/1</v>
          </cell>
          <cell r="B1896">
            <v>6593</v>
          </cell>
          <cell r="C1896">
            <v>45691</v>
          </cell>
          <cell r="D1896" t="str">
            <v>یونس صاحب</v>
          </cell>
          <cell r="E1896" t="str">
            <v>ایم دین  بند ل</v>
          </cell>
        </row>
        <row r="1897">
          <cell r="A1897" t="str">
            <v>6593/2</v>
          </cell>
          <cell r="B1897">
            <v>6593</v>
          </cell>
          <cell r="C1897">
            <v>45691</v>
          </cell>
          <cell r="D1897" t="str">
            <v>یونس صاحب</v>
          </cell>
          <cell r="E1897" t="str">
            <v>ایم دین  بند ل</v>
          </cell>
        </row>
        <row r="1898">
          <cell r="A1898" t="str">
            <v>6593/3</v>
          </cell>
          <cell r="B1898">
            <v>6593</v>
          </cell>
          <cell r="C1898">
            <v>45691</v>
          </cell>
          <cell r="D1898" t="str">
            <v>یونس صاحب</v>
          </cell>
          <cell r="E1898" t="str">
            <v>ایم دین  بند ل</v>
          </cell>
        </row>
        <row r="1899">
          <cell r="A1899" t="str">
            <v>6594/1</v>
          </cell>
          <cell r="B1899">
            <v>6594</v>
          </cell>
          <cell r="C1899">
            <v>45691</v>
          </cell>
          <cell r="D1899" t="str">
            <v>یونس صاحب</v>
          </cell>
          <cell r="E1899" t="str">
            <v>عمران مشتاق پتوکی</v>
          </cell>
        </row>
        <row r="1900">
          <cell r="A1900" t="str">
            <v>6595/1</v>
          </cell>
          <cell r="B1900">
            <v>6595</v>
          </cell>
          <cell r="C1900">
            <v>45691</v>
          </cell>
          <cell r="D1900" t="str">
            <v>یونس صاحب</v>
          </cell>
          <cell r="E1900"/>
        </row>
        <row r="1901">
          <cell r="A1901" t="str">
            <v>6596/1</v>
          </cell>
          <cell r="B1901">
            <v>6596</v>
          </cell>
          <cell r="C1901">
            <v>45691</v>
          </cell>
          <cell r="D1901" t="str">
            <v>یونس صاحب</v>
          </cell>
          <cell r="E1901" t="str">
            <v>راجکپورکریانہ سٹور گھونکی</v>
          </cell>
        </row>
        <row r="1902">
          <cell r="A1902" t="str">
            <v>6596/2</v>
          </cell>
          <cell r="B1902">
            <v>6596</v>
          </cell>
          <cell r="C1902">
            <v>45691</v>
          </cell>
          <cell r="D1902" t="str">
            <v>یونس صاحب</v>
          </cell>
          <cell r="E1902" t="str">
            <v>راجکپورکریانہ سٹور گھونکی</v>
          </cell>
        </row>
        <row r="1903">
          <cell r="A1903" t="str">
            <v>6596/3</v>
          </cell>
          <cell r="B1903">
            <v>6596</v>
          </cell>
          <cell r="C1903">
            <v>45691</v>
          </cell>
          <cell r="D1903" t="str">
            <v>یونس صاحب</v>
          </cell>
          <cell r="E1903" t="str">
            <v>راجکپورکریانہ سٹور گھونکی</v>
          </cell>
        </row>
        <row r="1904">
          <cell r="A1904" t="str">
            <v>6597/1</v>
          </cell>
          <cell r="B1904">
            <v>6597</v>
          </cell>
          <cell r="C1904">
            <v>45691</v>
          </cell>
          <cell r="D1904" t="str">
            <v>یونس صاحب</v>
          </cell>
          <cell r="E1904" t="str">
            <v>ہیڈآفس لاہور</v>
          </cell>
        </row>
        <row r="1905">
          <cell r="A1905" t="str">
            <v>6598/1</v>
          </cell>
          <cell r="B1905">
            <v>6598</v>
          </cell>
          <cell r="C1905">
            <v>45691</v>
          </cell>
          <cell r="D1905" t="str">
            <v>یونس صاحب</v>
          </cell>
          <cell r="E1905" t="str">
            <v>ہیڈآفس لاہور</v>
          </cell>
        </row>
        <row r="1906">
          <cell r="A1906" t="str">
            <v>6599/1</v>
          </cell>
          <cell r="B1906">
            <v>6599</v>
          </cell>
          <cell r="C1906">
            <v>45691</v>
          </cell>
          <cell r="D1906" t="str">
            <v>یونس صاحب</v>
          </cell>
          <cell r="E1906" t="str">
            <v>العمر پلاسٹک گوجرانوالہ</v>
          </cell>
        </row>
        <row r="1907">
          <cell r="A1907" t="str">
            <v>6600/1</v>
          </cell>
          <cell r="B1907">
            <v>6600</v>
          </cell>
          <cell r="C1907">
            <v>45691</v>
          </cell>
          <cell r="D1907" t="str">
            <v>یونس صاحب</v>
          </cell>
          <cell r="E1907" t="str">
            <v>العمر پلاسٹک گوجرانوالہ</v>
          </cell>
        </row>
        <row r="1908">
          <cell r="A1908" t="str">
            <v>6601/1</v>
          </cell>
          <cell r="B1908">
            <v>6601</v>
          </cell>
          <cell r="C1908">
            <v>45691</v>
          </cell>
          <cell r="D1908" t="str">
            <v>یونس صاحب</v>
          </cell>
          <cell r="E1908" t="str">
            <v>احسن علی ملتان</v>
          </cell>
        </row>
        <row r="1909">
          <cell r="A1909" t="str">
            <v>6601/2</v>
          </cell>
          <cell r="B1909">
            <v>6601</v>
          </cell>
          <cell r="C1909">
            <v>45691</v>
          </cell>
          <cell r="D1909" t="str">
            <v>یونس صاحب</v>
          </cell>
          <cell r="E1909" t="str">
            <v>احسن علی ملتان</v>
          </cell>
        </row>
        <row r="1910">
          <cell r="A1910" t="str">
            <v>6602/1</v>
          </cell>
          <cell r="B1910">
            <v>6602</v>
          </cell>
          <cell r="C1910">
            <v>45691</v>
          </cell>
          <cell r="D1910" t="str">
            <v>یونس صاحب</v>
          </cell>
          <cell r="E1910" t="str">
            <v>حاجی اسلماعیل وہاڑی</v>
          </cell>
        </row>
        <row r="1911">
          <cell r="A1911" t="str">
            <v>6602/2</v>
          </cell>
          <cell r="B1911">
            <v>6602</v>
          </cell>
          <cell r="C1911">
            <v>45691</v>
          </cell>
          <cell r="D1911" t="str">
            <v>یونس صاحب</v>
          </cell>
          <cell r="E1911" t="str">
            <v>حاجی اسلماعیل وہاڑی</v>
          </cell>
        </row>
        <row r="1912">
          <cell r="A1912" t="str">
            <v>6603/1</v>
          </cell>
          <cell r="B1912">
            <v>6603</v>
          </cell>
          <cell r="C1912">
            <v>45691</v>
          </cell>
          <cell r="D1912" t="str">
            <v>یونس صاحب</v>
          </cell>
          <cell r="E1912" t="str">
            <v>بوٹا پلاسٹک اعظم مارکیٹ</v>
          </cell>
        </row>
        <row r="1913">
          <cell r="A1913" t="str">
            <v>6603/2</v>
          </cell>
          <cell r="B1913">
            <v>6603</v>
          </cell>
          <cell r="C1913">
            <v>45691</v>
          </cell>
          <cell r="D1913" t="str">
            <v>یونس صاحب</v>
          </cell>
          <cell r="E1913" t="str">
            <v>بوٹا پلاسٹک اعظم مارکیٹ</v>
          </cell>
        </row>
        <row r="1914">
          <cell r="A1914" t="str">
            <v>6603/3</v>
          </cell>
          <cell r="B1914">
            <v>6603</v>
          </cell>
          <cell r="C1914">
            <v>45691</v>
          </cell>
          <cell r="D1914" t="str">
            <v>یونس صاحب</v>
          </cell>
          <cell r="E1914" t="str">
            <v>بوٹا پلاسٹک اعظم مارکیٹ</v>
          </cell>
        </row>
        <row r="1915">
          <cell r="A1915" t="str">
            <v>6604/1</v>
          </cell>
          <cell r="B1915">
            <v>6604</v>
          </cell>
          <cell r="C1915">
            <v>45691</v>
          </cell>
          <cell r="D1915" t="str">
            <v>یونس صاحب</v>
          </cell>
          <cell r="E1915" t="str">
            <v>محبوب مقبول گوجرانوالہ</v>
          </cell>
        </row>
        <row r="1916">
          <cell r="A1916" t="str">
            <v>6605/1</v>
          </cell>
          <cell r="B1916">
            <v>6605</v>
          </cell>
          <cell r="C1916">
            <v>45694</v>
          </cell>
          <cell r="D1916" t="str">
            <v>یونس صاحب</v>
          </cell>
          <cell r="E1916" t="str">
            <v>ریفلکٹ پیک لاہور</v>
          </cell>
        </row>
        <row r="1917">
          <cell r="A1917" t="str">
            <v>6606/1</v>
          </cell>
          <cell r="B1917">
            <v>6606</v>
          </cell>
          <cell r="C1917">
            <v>45694</v>
          </cell>
          <cell r="D1917" t="str">
            <v>یونس صاحب</v>
          </cell>
          <cell r="E1917" t="str">
            <v>ریفلکٹ پیک لاہور</v>
          </cell>
        </row>
        <row r="1918">
          <cell r="A1918" t="str">
            <v>6607/1</v>
          </cell>
          <cell r="B1918">
            <v>6607</v>
          </cell>
          <cell r="C1918">
            <v>45694</v>
          </cell>
          <cell r="D1918" t="str">
            <v>یونس صاحب</v>
          </cell>
          <cell r="E1918" t="str">
            <v>آصف پلاسٹک سرگودھا</v>
          </cell>
        </row>
        <row r="1919">
          <cell r="A1919" t="str">
            <v>6607/2</v>
          </cell>
          <cell r="B1919">
            <v>6607</v>
          </cell>
          <cell r="C1919">
            <v>45694</v>
          </cell>
          <cell r="D1919" t="str">
            <v>یونس صاحب</v>
          </cell>
          <cell r="E1919" t="str">
            <v>آصف پلاسٹک سرگودھا</v>
          </cell>
        </row>
        <row r="1920">
          <cell r="A1920" t="str">
            <v>6607/3</v>
          </cell>
          <cell r="B1920">
            <v>6607</v>
          </cell>
          <cell r="C1920">
            <v>45694</v>
          </cell>
          <cell r="D1920" t="str">
            <v>یونس صاحب</v>
          </cell>
          <cell r="E1920" t="str">
            <v>آصف پلاسٹک سرگودھا</v>
          </cell>
        </row>
        <row r="1921">
          <cell r="A1921" t="str">
            <v>6607/4</v>
          </cell>
          <cell r="B1921">
            <v>6607</v>
          </cell>
          <cell r="C1921">
            <v>45694</v>
          </cell>
          <cell r="D1921" t="str">
            <v>یونس صاحب</v>
          </cell>
          <cell r="E1921" t="str">
            <v>آصف پلاسٹک سرگودھا</v>
          </cell>
        </row>
        <row r="1922">
          <cell r="A1922" t="str">
            <v>6607/5</v>
          </cell>
          <cell r="B1922">
            <v>6607</v>
          </cell>
          <cell r="C1922">
            <v>45694</v>
          </cell>
          <cell r="D1922" t="str">
            <v>یونس صاحب</v>
          </cell>
          <cell r="E1922" t="str">
            <v>آصف پلاسٹک سرگودھا</v>
          </cell>
        </row>
        <row r="1923">
          <cell r="A1923" t="str">
            <v>6607/6</v>
          </cell>
          <cell r="B1923">
            <v>6607</v>
          </cell>
          <cell r="C1923">
            <v>45694</v>
          </cell>
          <cell r="D1923" t="str">
            <v>یونس صاحب</v>
          </cell>
          <cell r="E1923" t="str">
            <v>آصف پلاسٹک سرگودھا</v>
          </cell>
        </row>
        <row r="1924">
          <cell r="A1924" t="str">
            <v>6607/7</v>
          </cell>
          <cell r="B1924">
            <v>6607</v>
          </cell>
          <cell r="C1924">
            <v>45694</v>
          </cell>
          <cell r="D1924" t="str">
            <v>یونس صاحب</v>
          </cell>
          <cell r="E1924" t="str">
            <v>آصف پلاسٹک سرگودھا</v>
          </cell>
        </row>
        <row r="1925">
          <cell r="A1925" t="str">
            <v>6607/8</v>
          </cell>
          <cell r="B1925">
            <v>6607</v>
          </cell>
          <cell r="C1925">
            <v>45694</v>
          </cell>
          <cell r="D1925" t="str">
            <v>یونس صاحب</v>
          </cell>
          <cell r="E1925" t="str">
            <v>آصف پلاسٹک سرگودھا</v>
          </cell>
        </row>
        <row r="1926">
          <cell r="A1926" t="str">
            <v>6607/9</v>
          </cell>
          <cell r="B1926">
            <v>6607</v>
          </cell>
          <cell r="C1926">
            <v>45694</v>
          </cell>
          <cell r="D1926" t="str">
            <v>یونس صاحب</v>
          </cell>
          <cell r="E1926" t="str">
            <v>آصف پلاسٹک سرگودھا</v>
          </cell>
        </row>
        <row r="1927">
          <cell r="A1927" t="str">
            <v>6607/10</v>
          </cell>
          <cell r="B1927">
            <v>6607</v>
          </cell>
          <cell r="C1927">
            <v>45694</v>
          </cell>
          <cell r="D1927" t="str">
            <v>یونس صاحب</v>
          </cell>
          <cell r="E1927" t="str">
            <v>آصف پلاسٹک سرگودھا</v>
          </cell>
        </row>
        <row r="1928">
          <cell r="A1928" t="str">
            <v>6607/11</v>
          </cell>
          <cell r="B1928">
            <v>6607</v>
          </cell>
          <cell r="C1928">
            <v>45694</v>
          </cell>
          <cell r="D1928" t="str">
            <v>یونس صاحب</v>
          </cell>
          <cell r="E1928" t="str">
            <v>آصف پلاسٹک سرگودھا</v>
          </cell>
        </row>
        <row r="1929">
          <cell r="A1929" t="str">
            <v>6607/12</v>
          </cell>
          <cell r="B1929">
            <v>6607</v>
          </cell>
          <cell r="C1929">
            <v>45694</v>
          </cell>
          <cell r="D1929" t="str">
            <v>یونس صاحب</v>
          </cell>
          <cell r="E1929" t="str">
            <v>آصف پلاسٹک سرگودھا</v>
          </cell>
        </row>
        <row r="1930">
          <cell r="A1930" t="str">
            <v>6608/1</v>
          </cell>
          <cell r="B1930">
            <v>6608</v>
          </cell>
          <cell r="C1930">
            <v>45696</v>
          </cell>
          <cell r="D1930" t="str">
            <v>یونس صاحب</v>
          </cell>
          <cell r="E1930" t="str">
            <v>حاجی اسلماعیل وہاڑی</v>
          </cell>
        </row>
        <row r="1931">
          <cell r="A1931" t="str">
            <v>6608/2</v>
          </cell>
          <cell r="B1931">
            <v>6608</v>
          </cell>
          <cell r="C1931">
            <v>45696</v>
          </cell>
          <cell r="D1931" t="str">
            <v>یونس صاحب</v>
          </cell>
          <cell r="E1931" t="str">
            <v>حاجی اسلماعیل وہاڑی</v>
          </cell>
        </row>
        <row r="1932">
          <cell r="A1932" t="str">
            <v>6609/1</v>
          </cell>
          <cell r="B1932">
            <v>6609</v>
          </cell>
          <cell r="C1932">
            <v>45696</v>
          </cell>
          <cell r="D1932" t="str">
            <v>یونس صاحب</v>
          </cell>
          <cell r="E1932" t="str">
            <v>احمدفاروقی جہلم</v>
          </cell>
        </row>
        <row r="1933">
          <cell r="A1933" t="str">
            <v>6610/1</v>
          </cell>
          <cell r="B1933">
            <v>6610</v>
          </cell>
          <cell r="C1933">
            <v>45696</v>
          </cell>
          <cell r="D1933" t="str">
            <v>یونس صاحب</v>
          </cell>
          <cell r="E1933" t="str">
            <v>داؤد پلاسٹک ملتان</v>
          </cell>
        </row>
        <row r="1934">
          <cell r="A1934" t="str">
            <v>6610/2</v>
          </cell>
          <cell r="B1934">
            <v>6610</v>
          </cell>
          <cell r="C1934">
            <v>45696</v>
          </cell>
          <cell r="D1934" t="str">
            <v>یونس صاحب</v>
          </cell>
          <cell r="E1934" t="str">
            <v>داؤد پلاسٹک ملتان</v>
          </cell>
        </row>
        <row r="1935">
          <cell r="A1935" t="str">
            <v>6610/3</v>
          </cell>
          <cell r="B1935">
            <v>6610</v>
          </cell>
          <cell r="C1935">
            <v>45696</v>
          </cell>
          <cell r="D1935" t="str">
            <v>یونس صاحب</v>
          </cell>
          <cell r="E1935" t="str">
            <v>داؤد پلاسٹک ملتان</v>
          </cell>
        </row>
        <row r="1936">
          <cell r="A1936" t="str">
            <v>6610/4</v>
          </cell>
          <cell r="B1936">
            <v>6610</v>
          </cell>
          <cell r="C1936">
            <v>45696</v>
          </cell>
          <cell r="D1936" t="str">
            <v>یونس صاحب</v>
          </cell>
          <cell r="E1936" t="str">
            <v>داؤد پلاسٹک ملتان</v>
          </cell>
        </row>
        <row r="1937">
          <cell r="A1937" t="str">
            <v>6610/5</v>
          </cell>
          <cell r="B1937">
            <v>6610</v>
          </cell>
          <cell r="C1937">
            <v>45696</v>
          </cell>
          <cell r="D1937" t="str">
            <v>یونس صاحب</v>
          </cell>
          <cell r="E1937" t="str">
            <v>داؤد پلاسٹک ملتان</v>
          </cell>
        </row>
        <row r="1938">
          <cell r="A1938" t="str">
            <v>6610/6</v>
          </cell>
          <cell r="B1938">
            <v>6610</v>
          </cell>
          <cell r="C1938">
            <v>45696</v>
          </cell>
          <cell r="D1938" t="str">
            <v>یونس صاحب</v>
          </cell>
          <cell r="E1938" t="str">
            <v>داؤد پلاسٹک ملتان</v>
          </cell>
        </row>
        <row r="1939">
          <cell r="A1939" t="str">
            <v>6610/7</v>
          </cell>
          <cell r="B1939">
            <v>6610</v>
          </cell>
          <cell r="C1939">
            <v>45696</v>
          </cell>
          <cell r="D1939" t="str">
            <v>یونس صاحب</v>
          </cell>
          <cell r="E1939" t="str">
            <v>داؤد پلاسٹک ملتان</v>
          </cell>
        </row>
        <row r="1940">
          <cell r="A1940" t="str">
            <v>6611/1</v>
          </cell>
          <cell r="B1940">
            <v>6611</v>
          </cell>
          <cell r="C1940">
            <v>45698</v>
          </cell>
          <cell r="D1940" t="str">
            <v>یونس صاحب</v>
          </cell>
          <cell r="E1940" t="str">
            <v>طہ پلاسٹک بندل</v>
          </cell>
        </row>
        <row r="1941">
          <cell r="A1941" t="str">
            <v>6612/1</v>
          </cell>
          <cell r="B1941">
            <v>6612</v>
          </cell>
          <cell r="C1941">
            <v>45698</v>
          </cell>
          <cell r="D1941" t="str">
            <v>یونس صاحب</v>
          </cell>
          <cell r="E1941" t="str">
            <v>محبوب مقبول گوجرانوالہ</v>
          </cell>
        </row>
        <row r="1942">
          <cell r="A1942" t="str">
            <v>6612/2</v>
          </cell>
          <cell r="B1942">
            <v>6612</v>
          </cell>
          <cell r="C1942">
            <v>45698</v>
          </cell>
          <cell r="D1942" t="str">
            <v>یونس صاحب</v>
          </cell>
          <cell r="E1942" t="str">
            <v>محبوب مقبول گوجرانوالہ</v>
          </cell>
        </row>
        <row r="1943">
          <cell r="A1943" t="str">
            <v>6612/3</v>
          </cell>
          <cell r="B1943">
            <v>6612</v>
          </cell>
          <cell r="C1943">
            <v>45698</v>
          </cell>
          <cell r="D1943" t="str">
            <v>یونس صاحب</v>
          </cell>
          <cell r="E1943" t="str">
            <v>محبوب مقبول گوجرانوالہ</v>
          </cell>
        </row>
        <row r="1944">
          <cell r="A1944" t="str">
            <v>6612/4</v>
          </cell>
          <cell r="B1944">
            <v>6612</v>
          </cell>
          <cell r="C1944">
            <v>45698</v>
          </cell>
          <cell r="D1944" t="str">
            <v>یونس صاحب</v>
          </cell>
          <cell r="E1944" t="str">
            <v>محبوب مقبول گوجرانوالہ</v>
          </cell>
        </row>
        <row r="1945">
          <cell r="A1945" t="str">
            <v>6612/5</v>
          </cell>
          <cell r="B1945">
            <v>6612</v>
          </cell>
          <cell r="C1945">
            <v>45698</v>
          </cell>
          <cell r="D1945" t="str">
            <v>یونس صاحب</v>
          </cell>
          <cell r="E1945" t="str">
            <v>محبوب مقبول گوجرانوالہ</v>
          </cell>
        </row>
        <row r="1946">
          <cell r="A1946" t="str">
            <v>6613/1</v>
          </cell>
          <cell r="B1946">
            <v>6613</v>
          </cell>
          <cell r="C1946">
            <v>45699</v>
          </cell>
          <cell r="D1946" t="str">
            <v>یونس صاحب</v>
          </cell>
          <cell r="E1946" t="str">
            <v>محبوب مقبول گوجرانوالہ</v>
          </cell>
        </row>
        <row r="1947">
          <cell r="A1947" t="str">
            <v>6613/2</v>
          </cell>
          <cell r="B1947">
            <v>6613</v>
          </cell>
          <cell r="C1947">
            <v>45699</v>
          </cell>
          <cell r="D1947" t="str">
            <v>یونس صاحب</v>
          </cell>
          <cell r="E1947" t="str">
            <v>محبوب مقبول گوجرانوالہ</v>
          </cell>
        </row>
        <row r="1948">
          <cell r="A1948" t="str">
            <v>6614/1</v>
          </cell>
          <cell r="B1948">
            <v>6614</v>
          </cell>
          <cell r="C1948">
            <v>45699</v>
          </cell>
          <cell r="D1948" t="str">
            <v>یونس صاحب</v>
          </cell>
          <cell r="E1948" t="str">
            <v>حنان پلاسٹک فیصل آباد</v>
          </cell>
        </row>
        <row r="1949">
          <cell r="A1949" t="str">
            <v>6614/2</v>
          </cell>
          <cell r="B1949">
            <v>6614</v>
          </cell>
          <cell r="C1949">
            <v>45699</v>
          </cell>
          <cell r="D1949" t="str">
            <v>یونس صاحب</v>
          </cell>
          <cell r="E1949" t="str">
            <v>حنان پلاسٹک فیصل آباد</v>
          </cell>
        </row>
        <row r="1950">
          <cell r="A1950" t="str">
            <v>6614/3</v>
          </cell>
          <cell r="B1950">
            <v>6614</v>
          </cell>
          <cell r="C1950">
            <v>45699</v>
          </cell>
          <cell r="D1950" t="str">
            <v>یونس صاحب</v>
          </cell>
          <cell r="E1950" t="str">
            <v>حنان پلاسٹک فیصل آباد</v>
          </cell>
        </row>
        <row r="1951">
          <cell r="A1951" t="str">
            <v>6614/4</v>
          </cell>
          <cell r="B1951">
            <v>6614</v>
          </cell>
          <cell r="C1951">
            <v>45699</v>
          </cell>
          <cell r="D1951" t="str">
            <v>یونس صاحب</v>
          </cell>
          <cell r="E1951" t="str">
            <v>حنان پلاسٹک فیصل آباد</v>
          </cell>
        </row>
        <row r="1952">
          <cell r="A1952" t="str">
            <v>6614/5</v>
          </cell>
          <cell r="B1952">
            <v>6614</v>
          </cell>
          <cell r="C1952">
            <v>45699</v>
          </cell>
          <cell r="D1952" t="str">
            <v>یونس صاحب</v>
          </cell>
          <cell r="E1952" t="str">
            <v>حنان پلاسٹک فیصل آباد</v>
          </cell>
        </row>
        <row r="1953">
          <cell r="A1953" t="str">
            <v>6614/6</v>
          </cell>
          <cell r="B1953">
            <v>6614</v>
          </cell>
          <cell r="C1953">
            <v>45699</v>
          </cell>
          <cell r="D1953" t="str">
            <v>یونس صاحب</v>
          </cell>
          <cell r="E1953" t="str">
            <v>حنان پلاسٹک فیصل آباد</v>
          </cell>
        </row>
        <row r="1954">
          <cell r="A1954" t="str">
            <v>6614/7</v>
          </cell>
          <cell r="B1954">
            <v>6614</v>
          </cell>
          <cell r="C1954">
            <v>45699</v>
          </cell>
          <cell r="D1954" t="str">
            <v>یونس صاحب</v>
          </cell>
          <cell r="E1954" t="str">
            <v>حنان پلاسٹک فیصل آباد</v>
          </cell>
        </row>
        <row r="1955">
          <cell r="A1955" t="str">
            <v>6614/8</v>
          </cell>
          <cell r="B1955">
            <v>6614</v>
          </cell>
          <cell r="C1955">
            <v>45699</v>
          </cell>
          <cell r="D1955" t="str">
            <v>یونس صاحب</v>
          </cell>
          <cell r="E1955" t="str">
            <v>حنان پلاسٹک فیصل آباد</v>
          </cell>
        </row>
        <row r="1956">
          <cell r="A1956" t="str">
            <v>6614/9</v>
          </cell>
          <cell r="B1956">
            <v>6614</v>
          </cell>
          <cell r="C1956">
            <v>45699</v>
          </cell>
          <cell r="D1956" t="str">
            <v>یونس صاحب</v>
          </cell>
          <cell r="E1956" t="str">
            <v>حنان پلاسٹک فیصل آباد</v>
          </cell>
        </row>
        <row r="1957">
          <cell r="A1957" t="str">
            <v>6614/10</v>
          </cell>
          <cell r="B1957">
            <v>6614</v>
          </cell>
          <cell r="C1957">
            <v>45699</v>
          </cell>
          <cell r="D1957" t="str">
            <v>یونس صاحب</v>
          </cell>
          <cell r="E1957" t="str">
            <v>حنان پلاسٹک فیصل آباد</v>
          </cell>
        </row>
        <row r="1958">
          <cell r="A1958" t="str">
            <v>6614/11</v>
          </cell>
          <cell r="B1958">
            <v>6614</v>
          </cell>
          <cell r="C1958">
            <v>45699</v>
          </cell>
          <cell r="D1958" t="str">
            <v>یونس صاحب</v>
          </cell>
          <cell r="E1958" t="str">
            <v>حنان پلاسٹک فیصل آباد</v>
          </cell>
        </row>
        <row r="1959">
          <cell r="A1959" t="str">
            <v>6614/12</v>
          </cell>
          <cell r="B1959">
            <v>6614</v>
          </cell>
          <cell r="C1959">
            <v>45699</v>
          </cell>
          <cell r="D1959" t="str">
            <v>یونس صاحب</v>
          </cell>
          <cell r="E1959" t="str">
            <v>حنان پلاسٹک فیصل آباد</v>
          </cell>
        </row>
        <row r="1960">
          <cell r="A1960" t="str">
            <v>6614/13</v>
          </cell>
          <cell r="B1960">
            <v>6614</v>
          </cell>
          <cell r="C1960">
            <v>45699</v>
          </cell>
          <cell r="D1960" t="str">
            <v>یونس صاحب</v>
          </cell>
          <cell r="E1960" t="str">
            <v>حنان پلاسٹک فیصل آباد</v>
          </cell>
        </row>
        <row r="1961">
          <cell r="A1961" t="str">
            <v>6614/14</v>
          </cell>
          <cell r="B1961">
            <v>6614</v>
          </cell>
          <cell r="C1961">
            <v>45699</v>
          </cell>
          <cell r="D1961" t="str">
            <v>یونس صاحب</v>
          </cell>
          <cell r="E1961" t="str">
            <v>حنان پلاسٹک فیصل آباد</v>
          </cell>
        </row>
        <row r="1962">
          <cell r="A1962" t="str">
            <v>6614/15</v>
          </cell>
          <cell r="B1962">
            <v>6614</v>
          </cell>
          <cell r="C1962">
            <v>45699</v>
          </cell>
          <cell r="D1962" t="str">
            <v>یونس صاحب</v>
          </cell>
          <cell r="E1962" t="str">
            <v>حنان پلاسٹک فیصل آباد</v>
          </cell>
        </row>
        <row r="1963">
          <cell r="A1963" t="str">
            <v>6615/1</v>
          </cell>
          <cell r="B1963">
            <v>6615</v>
          </cell>
          <cell r="C1963">
            <v>45699</v>
          </cell>
          <cell r="D1963" t="str">
            <v>یونس صاحب</v>
          </cell>
          <cell r="E1963" t="str">
            <v>عمران مشتاق پتوکی</v>
          </cell>
        </row>
        <row r="1964">
          <cell r="A1964" t="str">
            <v>6615/2</v>
          </cell>
          <cell r="B1964">
            <v>6615</v>
          </cell>
          <cell r="C1964">
            <v>45699</v>
          </cell>
          <cell r="D1964" t="str">
            <v>یونس صاحب</v>
          </cell>
          <cell r="E1964" t="str">
            <v>عمران مشتاق پتوکی</v>
          </cell>
        </row>
        <row r="1965">
          <cell r="A1965" t="str">
            <v>6616/1</v>
          </cell>
          <cell r="B1965">
            <v>6616</v>
          </cell>
          <cell r="C1965">
            <v>45699</v>
          </cell>
          <cell r="D1965" t="str">
            <v>یونس صاحب</v>
          </cell>
          <cell r="E1965" t="str">
            <v>آصف پلاسٹک سرگودھا</v>
          </cell>
        </row>
        <row r="1966">
          <cell r="A1966" t="str">
            <v>6616/2</v>
          </cell>
          <cell r="B1966">
            <v>6616</v>
          </cell>
          <cell r="C1966">
            <v>45699</v>
          </cell>
          <cell r="D1966" t="str">
            <v>یونس صاحب</v>
          </cell>
          <cell r="E1966" t="str">
            <v>آصف پلاسٹک سرگودھا</v>
          </cell>
        </row>
        <row r="1967">
          <cell r="A1967" t="str">
            <v>6616/3</v>
          </cell>
          <cell r="B1967">
            <v>6616</v>
          </cell>
          <cell r="C1967">
            <v>45699</v>
          </cell>
          <cell r="D1967" t="str">
            <v>یونس صاحب</v>
          </cell>
          <cell r="E1967" t="str">
            <v>آصف پلاسٹک سرگودھا</v>
          </cell>
        </row>
        <row r="1968">
          <cell r="A1968" t="str">
            <v>6616/4</v>
          </cell>
          <cell r="B1968">
            <v>6616</v>
          </cell>
          <cell r="C1968">
            <v>45699</v>
          </cell>
          <cell r="D1968" t="str">
            <v>یونس صاحب</v>
          </cell>
          <cell r="E1968" t="str">
            <v>آصف پلاسٹک سرگودھا</v>
          </cell>
        </row>
        <row r="1969">
          <cell r="A1969" t="str">
            <v>6617/1</v>
          </cell>
          <cell r="B1969">
            <v>6617</v>
          </cell>
          <cell r="C1969">
            <v>45699</v>
          </cell>
          <cell r="D1969" t="str">
            <v>یونس صاحب</v>
          </cell>
          <cell r="E1969" t="str">
            <v>مقبول پرنٹر ہری پور</v>
          </cell>
        </row>
        <row r="1970">
          <cell r="A1970" t="str">
            <v>6617/2</v>
          </cell>
          <cell r="B1970">
            <v>6617</v>
          </cell>
          <cell r="C1970">
            <v>45699</v>
          </cell>
          <cell r="D1970" t="str">
            <v>یونس صاحب</v>
          </cell>
          <cell r="E1970" t="str">
            <v>مقبول پرنٹر ہری پور</v>
          </cell>
        </row>
        <row r="1971">
          <cell r="A1971" t="str">
            <v>6617/3</v>
          </cell>
          <cell r="B1971">
            <v>6617</v>
          </cell>
          <cell r="C1971">
            <v>45699</v>
          </cell>
          <cell r="D1971" t="str">
            <v>یونس صاحب</v>
          </cell>
          <cell r="E1971" t="str">
            <v>مقبول پرنٹر ہری پور</v>
          </cell>
        </row>
        <row r="1972">
          <cell r="A1972" t="str">
            <v>6618/1</v>
          </cell>
          <cell r="B1972">
            <v>6618</v>
          </cell>
          <cell r="C1972">
            <v>45699</v>
          </cell>
          <cell r="D1972" t="str">
            <v>یونس صاحب</v>
          </cell>
          <cell r="E1972" t="str">
            <v>محبوب لفافہ ہری پور</v>
          </cell>
        </row>
        <row r="1973">
          <cell r="A1973" t="str">
            <v>6618/2</v>
          </cell>
          <cell r="B1973">
            <v>6618</v>
          </cell>
          <cell r="C1973">
            <v>45699</v>
          </cell>
          <cell r="D1973" t="str">
            <v>یونس صاحب</v>
          </cell>
          <cell r="E1973" t="str">
            <v>محبوب لفافہ ہری پور</v>
          </cell>
        </row>
        <row r="1974">
          <cell r="A1974" t="str">
            <v>685 J</v>
          </cell>
          <cell r="B1974">
            <v>11234</v>
          </cell>
          <cell r="C1974">
            <v>45699</v>
          </cell>
          <cell r="D1974" t="str">
            <v>JILANI</v>
          </cell>
          <cell r="E1974" t="str">
            <v>ایس فٹ ٹمبر مارکیٹ لاہور</v>
          </cell>
        </row>
        <row r="1975">
          <cell r="A1975" t="str">
            <v>686 J</v>
          </cell>
          <cell r="B1975">
            <v>11235</v>
          </cell>
          <cell r="C1975">
            <v>45699</v>
          </cell>
          <cell r="D1975" t="str">
            <v>JILANI</v>
          </cell>
          <cell r="E1975" t="str">
            <v>عبدالرشید فیبرکس اینڈشال ہاؤس لاہور</v>
          </cell>
        </row>
        <row r="1976">
          <cell r="A1976" t="str">
            <v>687 J</v>
          </cell>
          <cell r="B1976">
            <v>11235</v>
          </cell>
          <cell r="C1976">
            <v>45699</v>
          </cell>
          <cell r="D1976" t="str">
            <v>JILANI</v>
          </cell>
          <cell r="E1976" t="str">
            <v>عبدالرشید فیبرکس اینڈشال ہاؤس لاہور</v>
          </cell>
        </row>
        <row r="1977">
          <cell r="A1977" t="str">
            <v>688 J</v>
          </cell>
          <cell r="B1977">
            <v>11235</v>
          </cell>
          <cell r="C1977">
            <v>45699</v>
          </cell>
          <cell r="D1977" t="str">
            <v>JILANI</v>
          </cell>
          <cell r="E1977" t="str">
            <v>عبدالرشید فیبرکس اینڈشال ہاؤس لاہور</v>
          </cell>
        </row>
        <row r="1978">
          <cell r="A1978" t="str">
            <v>689 J</v>
          </cell>
          <cell r="B1978">
            <v>11235</v>
          </cell>
          <cell r="C1978">
            <v>45699</v>
          </cell>
          <cell r="D1978" t="str">
            <v>JILANI</v>
          </cell>
          <cell r="E1978" t="str">
            <v>عبدالرشید فیبرکس اینڈشال ہاؤس لاہور</v>
          </cell>
        </row>
        <row r="1979">
          <cell r="A1979" t="str">
            <v>690 J</v>
          </cell>
          <cell r="B1979">
            <v>11236</v>
          </cell>
          <cell r="C1979">
            <v>45699</v>
          </cell>
          <cell r="D1979" t="str">
            <v>JILANI</v>
          </cell>
          <cell r="E1979" t="str">
            <v>سمارٹ کیش اینڈ کیری نور کوٹ</v>
          </cell>
        </row>
        <row r="1980">
          <cell r="A1980" t="str">
            <v>691 J</v>
          </cell>
          <cell r="B1980">
            <v>11236</v>
          </cell>
          <cell r="C1980">
            <v>45699</v>
          </cell>
          <cell r="D1980" t="str">
            <v>JILANI</v>
          </cell>
          <cell r="E1980" t="str">
            <v>سمارٹ کیش اینڈ کیری نور کوٹ</v>
          </cell>
        </row>
        <row r="1981">
          <cell r="A1981" t="str">
            <v>692 J</v>
          </cell>
          <cell r="B1981">
            <v>11237</v>
          </cell>
          <cell r="C1981">
            <v>45699</v>
          </cell>
          <cell r="D1981" t="str">
            <v>JILANI</v>
          </cell>
          <cell r="E1981" t="str">
            <v>حافظ تنویر ظفروال</v>
          </cell>
        </row>
        <row r="1982">
          <cell r="A1982" t="str">
            <v>693 J</v>
          </cell>
          <cell r="B1982">
            <v>11237</v>
          </cell>
          <cell r="C1982">
            <v>45699</v>
          </cell>
          <cell r="D1982" t="str">
            <v>JILANI</v>
          </cell>
          <cell r="E1982" t="str">
            <v>حافظ تنویر ظفروال</v>
          </cell>
        </row>
        <row r="1983">
          <cell r="A1983" t="str">
            <v>694 J</v>
          </cell>
          <cell r="B1983">
            <v>11238</v>
          </cell>
          <cell r="C1983">
            <v>45699</v>
          </cell>
          <cell r="D1983" t="str">
            <v>JILANI</v>
          </cell>
          <cell r="E1983" t="str">
            <v>زاہد صاحب شکرگڑھ</v>
          </cell>
        </row>
        <row r="1984">
          <cell r="A1984" t="str">
            <v>695 J</v>
          </cell>
          <cell r="B1984">
            <v>11238</v>
          </cell>
          <cell r="C1984">
            <v>45699</v>
          </cell>
          <cell r="D1984" t="str">
            <v>JILANI</v>
          </cell>
          <cell r="E1984" t="str">
            <v>زاہد صاحب شکرگڑھ</v>
          </cell>
        </row>
        <row r="1985">
          <cell r="A1985" t="str">
            <v>696 J</v>
          </cell>
          <cell r="B1985">
            <v>11239</v>
          </cell>
          <cell r="C1985">
            <v>45699</v>
          </cell>
          <cell r="D1985" t="str">
            <v>JILANI</v>
          </cell>
          <cell r="E1985" t="str">
            <v>زاہد صاحب شکرگڑھ</v>
          </cell>
        </row>
        <row r="1986">
          <cell r="A1986" t="str">
            <v>697 J</v>
          </cell>
          <cell r="B1986">
            <v>11239</v>
          </cell>
          <cell r="C1986">
            <v>45699</v>
          </cell>
          <cell r="D1986" t="str">
            <v>JILANI</v>
          </cell>
          <cell r="E1986" t="str">
            <v>زاہد صاحب شکرگڑھ</v>
          </cell>
        </row>
        <row r="1987">
          <cell r="A1987" t="str">
            <v>698 J</v>
          </cell>
          <cell r="B1987">
            <v>11240</v>
          </cell>
          <cell r="C1987">
            <v>45699</v>
          </cell>
          <cell r="D1987" t="str">
            <v>JILANI</v>
          </cell>
          <cell r="E1987" t="str">
            <v>زاہد صاحب شکرگڑھ</v>
          </cell>
        </row>
        <row r="1988">
          <cell r="A1988" t="str">
            <v>699 J</v>
          </cell>
          <cell r="B1988">
            <v>11240</v>
          </cell>
          <cell r="C1988">
            <v>45699</v>
          </cell>
          <cell r="D1988" t="str">
            <v>JILANI</v>
          </cell>
          <cell r="E1988" t="str">
            <v>زاہد صاحب شکرگڑھ</v>
          </cell>
        </row>
        <row r="1989">
          <cell r="A1989" t="str">
            <v>700 J</v>
          </cell>
          <cell r="B1989">
            <v>11240</v>
          </cell>
          <cell r="C1989">
            <v>45699</v>
          </cell>
          <cell r="D1989" t="str">
            <v>JILANI</v>
          </cell>
          <cell r="E1989" t="str">
            <v>زاہد صاحب شکرگڑھ</v>
          </cell>
        </row>
        <row r="1990">
          <cell r="A1990" t="str">
            <v>701 J</v>
          </cell>
          <cell r="B1990">
            <v>11241</v>
          </cell>
          <cell r="C1990">
            <v>45699</v>
          </cell>
          <cell r="D1990" t="str">
            <v>JILANI</v>
          </cell>
          <cell r="E1990" t="str">
            <v>شاہدطفیل ڈسکہ</v>
          </cell>
        </row>
        <row r="1991">
          <cell r="A1991" t="str">
            <v>702 J</v>
          </cell>
          <cell r="B1991">
            <v>11241</v>
          </cell>
          <cell r="C1991">
            <v>45699</v>
          </cell>
          <cell r="D1991" t="str">
            <v>JILANI</v>
          </cell>
          <cell r="E1991" t="str">
            <v>شاہدطفیل ڈسکہ</v>
          </cell>
        </row>
        <row r="1992">
          <cell r="A1992" t="str">
            <v>703 J</v>
          </cell>
          <cell r="B1992">
            <v>11242</v>
          </cell>
          <cell r="C1992">
            <v>45699</v>
          </cell>
          <cell r="D1992" t="str">
            <v>JILANI</v>
          </cell>
          <cell r="E1992" t="str">
            <v>شاہدطفیل ڈسکہ</v>
          </cell>
        </row>
        <row r="1993">
          <cell r="A1993" t="str">
            <v>704 J</v>
          </cell>
          <cell r="B1993">
            <v>11242</v>
          </cell>
          <cell r="C1993">
            <v>45699</v>
          </cell>
          <cell r="D1993" t="str">
            <v>JILANI</v>
          </cell>
          <cell r="E1993" t="str">
            <v>شاہدطفیل ڈسکہ</v>
          </cell>
        </row>
        <row r="1994">
          <cell r="A1994" t="str">
            <v>705 J</v>
          </cell>
          <cell r="B1994">
            <v>11243</v>
          </cell>
          <cell r="C1994">
            <v>45699</v>
          </cell>
          <cell r="D1994" t="str">
            <v>JILANI</v>
          </cell>
          <cell r="E1994" t="str">
            <v>حافظ تنویر ظفروال</v>
          </cell>
        </row>
        <row r="1995">
          <cell r="A1995" t="str">
            <v>706 J</v>
          </cell>
          <cell r="B1995">
            <v>11243</v>
          </cell>
          <cell r="C1995">
            <v>45699</v>
          </cell>
          <cell r="D1995" t="str">
            <v>JILANI</v>
          </cell>
          <cell r="E1995" t="str">
            <v>حافظ تنویر ظفروال</v>
          </cell>
        </row>
        <row r="1996">
          <cell r="A1996" t="str">
            <v>707 J</v>
          </cell>
          <cell r="B1996">
            <v>11244</v>
          </cell>
          <cell r="C1996">
            <v>45699</v>
          </cell>
          <cell r="D1996" t="str">
            <v>JILANI</v>
          </cell>
          <cell r="E1996" t="str">
            <v>حافظ تنویر ظفروال</v>
          </cell>
        </row>
        <row r="1997">
          <cell r="A1997" t="str">
            <v>708 J</v>
          </cell>
          <cell r="B1997">
            <v>11244</v>
          </cell>
          <cell r="C1997">
            <v>45699</v>
          </cell>
          <cell r="D1997" t="str">
            <v>JILANI</v>
          </cell>
          <cell r="E1997" t="str">
            <v>حافظ تنویر ظفروال</v>
          </cell>
        </row>
        <row r="1998">
          <cell r="A1998" t="str">
            <v>709 J</v>
          </cell>
          <cell r="B1998">
            <v>11245</v>
          </cell>
          <cell r="C1998">
            <v>45699</v>
          </cell>
          <cell r="D1998" t="str">
            <v>JILANI</v>
          </cell>
          <cell r="E1998" t="str">
            <v>حافظ تنویر ظفروال</v>
          </cell>
        </row>
        <row r="1999">
          <cell r="A1999" t="str">
            <v>710 J</v>
          </cell>
          <cell r="B1999">
            <v>11246</v>
          </cell>
          <cell r="C1999">
            <v>45699</v>
          </cell>
          <cell r="D1999" t="str">
            <v>JILANI</v>
          </cell>
          <cell r="E1999" t="str">
            <v>سمارٹ کیش اینڈ کیری نور کوٹ</v>
          </cell>
        </row>
        <row r="2000">
          <cell r="A2000" t="str">
            <v>711 J</v>
          </cell>
          <cell r="B2000">
            <v>11247</v>
          </cell>
          <cell r="C2000">
            <v>45699</v>
          </cell>
          <cell r="D2000" t="str">
            <v>JILANI</v>
          </cell>
          <cell r="E2000" t="str">
            <v>سمارٹ کیش اینڈ کیری نور کوٹ</v>
          </cell>
        </row>
        <row r="2001">
          <cell r="A2001" t="str">
            <v>712 J</v>
          </cell>
          <cell r="B2001">
            <v>11247</v>
          </cell>
          <cell r="C2001">
            <v>45699</v>
          </cell>
          <cell r="D2001" t="str">
            <v>JILANI</v>
          </cell>
          <cell r="E2001" t="str">
            <v>سمارٹ کیش اینڈ کیری نور کوٹ</v>
          </cell>
        </row>
        <row r="2002">
          <cell r="A2002" t="str">
            <v>713 J</v>
          </cell>
          <cell r="B2002">
            <v>11247</v>
          </cell>
          <cell r="C2002">
            <v>45699</v>
          </cell>
          <cell r="D2002" t="str">
            <v>JILANI</v>
          </cell>
          <cell r="E2002" t="str">
            <v>سمارٹ کیش اینڈ کیری نور کوٹ</v>
          </cell>
        </row>
        <row r="2003">
          <cell r="A2003" t="str">
            <v>714 J</v>
          </cell>
          <cell r="B2003">
            <v>11248</v>
          </cell>
          <cell r="C2003">
            <v>45700</v>
          </cell>
          <cell r="D2003" t="str">
            <v>JILANI</v>
          </cell>
          <cell r="E2003" t="str">
            <v>عالم پرنٹرز بٹ خیلہ</v>
          </cell>
        </row>
        <row r="2004">
          <cell r="A2004" t="str">
            <v>715 J</v>
          </cell>
          <cell r="B2004">
            <v>11248</v>
          </cell>
          <cell r="C2004">
            <v>45700</v>
          </cell>
          <cell r="D2004" t="str">
            <v>JILANI</v>
          </cell>
          <cell r="E2004" t="str">
            <v>عالم پرنٹرز بٹ خیلہ</v>
          </cell>
        </row>
        <row r="2005">
          <cell r="A2005" t="str">
            <v>716 J</v>
          </cell>
          <cell r="B2005">
            <v>11248</v>
          </cell>
          <cell r="C2005">
            <v>45700</v>
          </cell>
          <cell r="D2005" t="str">
            <v>JILANI</v>
          </cell>
          <cell r="E2005" t="str">
            <v>عالم پرنٹرز بٹ خیلہ</v>
          </cell>
        </row>
        <row r="2006">
          <cell r="A2006" t="str">
            <v>717 J</v>
          </cell>
          <cell r="B2006">
            <v>11249</v>
          </cell>
          <cell r="C2006">
            <v>45700</v>
          </cell>
          <cell r="D2006" t="str">
            <v>JILANI</v>
          </cell>
          <cell r="E2006" t="str">
            <v>لائن ٹیلر ز رحیم یار خاں</v>
          </cell>
        </row>
        <row r="2007">
          <cell r="A2007" t="str">
            <v>718 J</v>
          </cell>
          <cell r="B2007">
            <v>11249</v>
          </cell>
          <cell r="C2007">
            <v>45700</v>
          </cell>
          <cell r="D2007" t="str">
            <v>JILANI</v>
          </cell>
          <cell r="E2007" t="str">
            <v>لائن ٹیلر ز رحیم یار خاں</v>
          </cell>
        </row>
        <row r="2008">
          <cell r="A2008" t="str">
            <v>719 J</v>
          </cell>
          <cell r="B2008">
            <v>11250</v>
          </cell>
          <cell r="C2008">
            <v>45700</v>
          </cell>
          <cell r="D2008" t="str">
            <v>JILANI</v>
          </cell>
          <cell r="E2008" t="str">
            <v>وسیم شاپر ہاوس لاہور</v>
          </cell>
        </row>
        <row r="2009">
          <cell r="A2009" t="str">
            <v>720 J</v>
          </cell>
          <cell r="B2009">
            <v>11250</v>
          </cell>
          <cell r="C2009">
            <v>45700</v>
          </cell>
          <cell r="D2009" t="str">
            <v>JILANI</v>
          </cell>
          <cell r="E2009" t="str">
            <v>وسیم شاپر ہاوس لاہور</v>
          </cell>
        </row>
        <row r="2010">
          <cell r="A2010" t="str">
            <v>721 J</v>
          </cell>
          <cell r="B2010">
            <v>11250</v>
          </cell>
          <cell r="C2010">
            <v>45700</v>
          </cell>
          <cell r="D2010" t="str">
            <v>JILANI</v>
          </cell>
          <cell r="E2010" t="str">
            <v>وسیم شاپر ہاوس لاہور</v>
          </cell>
        </row>
        <row r="2011">
          <cell r="A2011" t="str">
            <v>722 J</v>
          </cell>
          <cell r="B2011">
            <v>11251</v>
          </cell>
          <cell r="C2011">
            <v>45700</v>
          </cell>
          <cell r="D2011" t="str">
            <v>JILANI</v>
          </cell>
          <cell r="E2011" t="str">
            <v>وسیم شاپر ہاوس اعظم مارکیٹ</v>
          </cell>
        </row>
        <row r="2012">
          <cell r="A2012" t="str">
            <v>723 J</v>
          </cell>
          <cell r="B2012">
            <v>11254</v>
          </cell>
          <cell r="C2012">
            <v>45700</v>
          </cell>
          <cell r="D2012" t="str">
            <v>JILANI</v>
          </cell>
          <cell r="E2012" t="str">
            <v>الصادق گارمنٹس لاہور</v>
          </cell>
        </row>
        <row r="2013">
          <cell r="A2013" t="str">
            <v>724 J</v>
          </cell>
          <cell r="B2013">
            <v>11255</v>
          </cell>
          <cell r="C2013">
            <v>45700</v>
          </cell>
          <cell r="D2013" t="str">
            <v>JILANI</v>
          </cell>
          <cell r="E2013" t="str">
            <v>پاکستان سویٹس منڈی بہاؤالدین</v>
          </cell>
        </row>
        <row r="2014">
          <cell r="A2014" t="str">
            <v>725 J</v>
          </cell>
          <cell r="B2014">
            <v>194</v>
          </cell>
          <cell r="C2014">
            <v>45547</v>
          </cell>
          <cell r="D2014" t="str">
            <v>JILANI</v>
          </cell>
          <cell r="E2014" t="str">
            <v>جیلانی پولی 2PEP</v>
          </cell>
        </row>
        <row r="2015">
          <cell r="A2015" t="str">
            <v>726 J</v>
          </cell>
          <cell r="B2015"/>
          <cell r="C2015">
            <v>45547</v>
          </cell>
          <cell r="D2015" t="str">
            <v>OTHERS</v>
          </cell>
          <cell r="E2015" t="str">
            <v>جیلانی پولی سٹاک</v>
          </cell>
        </row>
        <row r="2016">
          <cell r="A2016" t="str">
            <v>727 J</v>
          </cell>
          <cell r="B2016"/>
          <cell r="C2016">
            <v>45701</v>
          </cell>
          <cell r="D2016" t="str">
            <v>OTHERS</v>
          </cell>
          <cell r="E2016" t="str">
            <v>جیلانی پولی سٹاک</v>
          </cell>
        </row>
        <row r="2017">
          <cell r="A2017" t="str">
            <v>728 J</v>
          </cell>
          <cell r="B2017"/>
          <cell r="C2017">
            <v>45701</v>
          </cell>
          <cell r="D2017" t="str">
            <v>OTHERS</v>
          </cell>
          <cell r="E2017" t="str">
            <v>جیلانی پولی سٹاک</v>
          </cell>
        </row>
        <row r="2018">
          <cell r="A2018" t="str">
            <v>729 J</v>
          </cell>
          <cell r="B2018"/>
          <cell r="C2018">
            <v>45701</v>
          </cell>
          <cell r="D2018" t="str">
            <v>OTHERS</v>
          </cell>
          <cell r="E2018" t="str">
            <v>جیلانی پولی سٹاک</v>
          </cell>
        </row>
        <row r="2019">
          <cell r="A2019" t="str">
            <v>730 J</v>
          </cell>
          <cell r="B2019"/>
          <cell r="C2019">
            <v>45701</v>
          </cell>
          <cell r="D2019" t="str">
            <v>OTHERS</v>
          </cell>
          <cell r="E2019" t="str">
            <v>جیلانی پولی سٹاک</v>
          </cell>
        </row>
        <row r="2020">
          <cell r="A2020" t="str">
            <v>731 J</v>
          </cell>
          <cell r="B2020"/>
          <cell r="C2020">
            <v>45701</v>
          </cell>
          <cell r="D2020" t="str">
            <v>OTHERS</v>
          </cell>
          <cell r="E2020" t="str">
            <v>جیلانی پولی سٹاک</v>
          </cell>
        </row>
        <row r="2021">
          <cell r="A2021" t="str">
            <v>732 J</v>
          </cell>
          <cell r="B2021"/>
          <cell r="C2021">
            <v>45701</v>
          </cell>
          <cell r="D2021" t="str">
            <v>OTHERS</v>
          </cell>
          <cell r="E2021" t="str">
            <v>جیلانی پولی سٹاک</v>
          </cell>
        </row>
        <row r="2022">
          <cell r="A2022" t="str">
            <v>733 J</v>
          </cell>
          <cell r="B2022"/>
          <cell r="C2022">
            <v>45701</v>
          </cell>
          <cell r="D2022" t="str">
            <v>OTHERS</v>
          </cell>
          <cell r="E2022" t="str">
            <v>جیلانی پولی سٹاک</v>
          </cell>
        </row>
        <row r="2023">
          <cell r="A2023" t="str">
            <v>734 J</v>
          </cell>
          <cell r="B2023"/>
          <cell r="C2023">
            <v>45701</v>
          </cell>
          <cell r="D2023" t="str">
            <v>OTHERS</v>
          </cell>
          <cell r="E2023" t="str">
            <v>جیلانی پولی سٹاک</v>
          </cell>
        </row>
        <row r="2024">
          <cell r="A2024" t="str">
            <v>735 J</v>
          </cell>
          <cell r="B2024"/>
          <cell r="C2024">
            <v>45701</v>
          </cell>
          <cell r="D2024" t="str">
            <v>OTHERS</v>
          </cell>
          <cell r="E2024" t="str">
            <v>جیلانی پولی سٹاک</v>
          </cell>
        </row>
        <row r="2025">
          <cell r="A2025" t="str">
            <v>736 J</v>
          </cell>
          <cell r="B2025"/>
          <cell r="C2025">
            <v>45701</v>
          </cell>
          <cell r="D2025" t="str">
            <v>OTHERS</v>
          </cell>
          <cell r="E2025" t="str">
            <v>جیلانی پولی سٹاک</v>
          </cell>
        </row>
        <row r="2026">
          <cell r="A2026" t="str">
            <v>737 J</v>
          </cell>
          <cell r="B2026"/>
          <cell r="C2026">
            <v>45701</v>
          </cell>
          <cell r="D2026" t="str">
            <v>OTHERS</v>
          </cell>
          <cell r="E2026" t="str">
            <v>جیلانی پولی سٹاک</v>
          </cell>
        </row>
        <row r="2027">
          <cell r="A2027" t="str">
            <v>738 J</v>
          </cell>
          <cell r="B2027"/>
          <cell r="C2027">
            <v>45701</v>
          </cell>
          <cell r="D2027" t="str">
            <v>OTHERS</v>
          </cell>
          <cell r="E2027" t="str">
            <v>جیلانی پولی سٹاک</v>
          </cell>
        </row>
        <row r="2028">
          <cell r="A2028" t="str">
            <v>739 J</v>
          </cell>
          <cell r="B2028"/>
          <cell r="C2028">
            <v>45701</v>
          </cell>
          <cell r="D2028" t="str">
            <v>OTHERS</v>
          </cell>
          <cell r="E2028" t="str">
            <v>جیلانی پولی سٹاک</v>
          </cell>
        </row>
        <row r="2029">
          <cell r="A2029" t="str">
            <v>740 J</v>
          </cell>
          <cell r="B2029"/>
          <cell r="C2029">
            <v>45701</v>
          </cell>
          <cell r="D2029" t="str">
            <v>OTHERS</v>
          </cell>
          <cell r="E2029" t="str">
            <v>جیلانی پولی سٹاک</v>
          </cell>
        </row>
        <row r="2030">
          <cell r="A2030" t="str">
            <v>741 J</v>
          </cell>
          <cell r="B2030"/>
          <cell r="C2030">
            <v>45701</v>
          </cell>
          <cell r="D2030" t="str">
            <v>OTHERS</v>
          </cell>
          <cell r="E2030" t="str">
            <v>جیلانی پولی سٹاک</v>
          </cell>
        </row>
        <row r="2031">
          <cell r="A2031" t="str">
            <v>742 J</v>
          </cell>
          <cell r="B2031"/>
          <cell r="C2031">
            <v>45701</v>
          </cell>
          <cell r="D2031" t="str">
            <v>OTHERS</v>
          </cell>
          <cell r="E2031" t="str">
            <v>جیلانی پولی سٹاک</v>
          </cell>
        </row>
        <row r="2032">
          <cell r="A2032" t="str">
            <v>743 J</v>
          </cell>
          <cell r="B2032"/>
          <cell r="C2032">
            <v>45701</v>
          </cell>
          <cell r="D2032" t="str">
            <v>OTHERS</v>
          </cell>
          <cell r="E2032" t="str">
            <v>جیلانی پولی سٹاک</v>
          </cell>
        </row>
        <row r="2033">
          <cell r="A2033" t="str">
            <v>744 J</v>
          </cell>
          <cell r="B2033"/>
          <cell r="C2033">
            <v>45701</v>
          </cell>
          <cell r="D2033" t="str">
            <v>OTHERS</v>
          </cell>
          <cell r="E2033" t="str">
            <v>جیلانی پولی سٹاک</v>
          </cell>
        </row>
        <row r="2034">
          <cell r="A2034" t="str">
            <v>745 J</v>
          </cell>
          <cell r="B2034"/>
          <cell r="C2034">
            <v>45701</v>
          </cell>
          <cell r="D2034" t="str">
            <v>OTHERS</v>
          </cell>
          <cell r="E2034" t="str">
            <v>جیلانی پولی سٹاک</v>
          </cell>
        </row>
        <row r="2035">
          <cell r="A2035" t="str">
            <v>746 J</v>
          </cell>
          <cell r="B2035"/>
          <cell r="C2035">
            <v>45701</v>
          </cell>
          <cell r="D2035" t="str">
            <v>OTHERS</v>
          </cell>
          <cell r="E2035" t="str">
            <v>جیلانی پولی سٹاک</v>
          </cell>
        </row>
        <row r="2036">
          <cell r="A2036" t="str">
            <v>747 J</v>
          </cell>
          <cell r="B2036"/>
          <cell r="C2036">
            <v>45701</v>
          </cell>
          <cell r="D2036" t="str">
            <v>OTHERS</v>
          </cell>
          <cell r="E2036" t="str">
            <v>جیلانی پولی سٹاک</v>
          </cell>
        </row>
        <row r="2037">
          <cell r="A2037" t="str">
            <v>748 J</v>
          </cell>
          <cell r="B2037"/>
          <cell r="C2037">
            <v>45701</v>
          </cell>
          <cell r="D2037" t="str">
            <v>OTHERS</v>
          </cell>
          <cell r="E2037" t="str">
            <v>جیلانی پولی سٹاک</v>
          </cell>
        </row>
        <row r="2038">
          <cell r="A2038" t="str">
            <v>749 J</v>
          </cell>
          <cell r="B2038"/>
          <cell r="C2038">
            <v>45701</v>
          </cell>
          <cell r="D2038" t="str">
            <v>OTHERS</v>
          </cell>
          <cell r="E2038" t="str">
            <v>جیلانی پولی سٹاک</v>
          </cell>
        </row>
        <row r="2039">
          <cell r="A2039" t="str">
            <v>750 J</v>
          </cell>
          <cell r="B2039"/>
          <cell r="C2039">
            <v>45701</v>
          </cell>
          <cell r="D2039" t="str">
            <v>OTHERS</v>
          </cell>
          <cell r="E2039" t="str">
            <v>جیلانی پولی سٹاک</v>
          </cell>
        </row>
        <row r="2040">
          <cell r="A2040" t="str">
            <v>751 J</v>
          </cell>
          <cell r="B2040"/>
          <cell r="C2040">
            <v>45701</v>
          </cell>
          <cell r="D2040" t="str">
            <v>OTHERS</v>
          </cell>
          <cell r="E2040" t="str">
            <v>جیلانی پولی سٹاک</v>
          </cell>
        </row>
        <row r="2041">
          <cell r="A2041" t="str">
            <v>752 J</v>
          </cell>
          <cell r="B2041"/>
          <cell r="C2041">
            <v>45701</v>
          </cell>
          <cell r="D2041" t="str">
            <v>OTHERS</v>
          </cell>
          <cell r="E2041" t="str">
            <v>جیلانی پولی سٹاک</v>
          </cell>
        </row>
        <row r="2042">
          <cell r="A2042" t="str">
            <v>753 J</v>
          </cell>
          <cell r="B2042"/>
          <cell r="C2042">
            <v>45701</v>
          </cell>
          <cell r="D2042" t="str">
            <v>OTHERS</v>
          </cell>
          <cell r="E2042" t="str">
            <v>جیلانی پولی سٹاک</v>
          </cell>
        </row>
        <row r="2043">
          <cell r="A2043" t="str">
            <v>754 J</v>
          </cell>
          <cell r="B2043"/>
          <cell r="C2043">
            <v>45701</v>
          </cell>
          <cell r="D2043" t="str">
            <v>OTHERS</v>
          </cell>
          <cell r="E2043" t="str">
            <v>جیلانی پولی سٹاک</v>
          </cell>
        </row>
        <row r="2044">
          <cell r="A2044" t="str">
            <v>755 J</v>
          </cell>
          <cell r="B2044"/>
          <cell r="C2044">
            <v>45701</v>
          </cell>
          <cell r="D2044" t="str">
            <v>OTHERS</v>
          </cell>
          <cell r="E2044" t="str">
            <v>جیلانی پولی سٹاک</v>
          </cell>
        </row>
        <row r="2045">
          <cell r="A2045" t="str">
            <v>756 J</v>
          </cell>
          <cell r="B2045"/>
          <cell r="C2045">
            <v>45701</v>
          </cell>
          <cell r="D2045" t="str">
            <v>OTHERS</v>
          </cell>
          <cell r="E2045" t="str">
            <v>جیلانی پولی سٹاک</v>
          </cell>
        </row>
        <row r="2046">
          <cell r="A2046" t="str">
            <v>757 J</v>
          </cell>
          <cell r="B2046"/>
          <cell r="C2046">
            <v>45701</v>
          </cell>
          <cell r="D2046" t="str">
            <v>OTHERS</v>
          </cell>
          <cell r="E2046" t="str">
            <v>جیلانی پولی سٹاک</v>
          </cell>
        </row>
        <row r="2047">
          <cell r="A2047" t="str">
            <v>758 J</v>
          </cell>
          <cell r="B2047">
            <v>11252</v>
          </cell>
          <cell r="C2047">
            <v>45700</v>
          </cell>
          <cell r="D2047" t="str">
            <v>JILANI</v>
          </cell>
          <cell r="E2047" t="str">
            <v>وسیم شاپر ہاوس اعظم مارکیٹ</v>
          </cell>
        </row>
        <row r="2048">
          <cell r="A2048" t="str">
            <v>759 J</v>
          </cell>
          <cell r="B2048">
            <v>11252</v>
          </cell>
          <cell r="C2048">
            <v>45700</v>
          </cell>
          <cell r="D2048" t="str">
            <v>JILANI</v>
          </cell>
          <cell r="E2048" t="str">
            <v>وسیم شاپر ہاوس اعظم مارکیٹ</v>
          </cell>
        </row>
        <row r="2049">
          <cell r="A2049" t="str">
            <v>760 J</v>
          </cell>
          <cell r="B2049">
            <v>11252</v>
          </cell>
          <cell r="C2049">
            <v>45700</v>
          </cell>
          <cell r="D2049" t="str">
            <v>JILANI</v>
          </cell>
          <cell r="E2049" t="str">
            <v>وسیم شاپر ہاوس اعظم مارکیٹ</v>
          </cell>
        </row>
        <row r="2050">
          <cell r="A2050" t="str">
            <v>761 J</v>
          </cell>
          <cell r="B2050">
            <v>11253</v>
          </cell>
          <cell r="C2050">
            <v>45700</v>
          </cell>
          <cell r="D2050" t="str">
            <v>JILANI</v>
          </cell>
          <cell r="E2050" t="str">
            <v>عالم پرنٹرز بٹ خیلہ</v>
          </cell>
        </row>
        <row r="2051">
          <cell r="A2051" t="str">
            <v>762 J</v>
          </cell>
          <cell r="B2051">
            <v>11253</v>
          </cell>
          <cell r="C2051">
            <v>45700</v>
          </cell>
          <cell r="D2051" t="str">
            <v>JILANI</v>
          </cell>
          <cell r="E2051" t="str">
            <v>عالم پرنٹرز بٹ خیلہ</v>
          </cell>
        </row>
        <row r="2052">
          <cell r="A2052" t="str">
            <v>763 J</v>
          </cell>
          <cell r="B2052">
            <v>11253</v>
          </cell>
          <cell r="C2052">
            <v>45700</v>
          </cell>
          <cell r="D2052" t="str">
            <v>JILANI</v>
          </cell>
          <cell r="E2052" t="str">
            <v>عالم پرنٹرز بٹ خیلہ</v>
          </cell>
        </row>
        <row r="2053">
          <cell r="A2053" t="str">
            <v>764 J</v>
          </cell>
          <cell r="B2053">
            <v>11253</v>
          </cell>
          <cell r="C2053">
            <v>45700</v>
          </cell>
          <cell r="D2053" t="str">
            <v>JILANI</v>
          </cell>
          <cell r="E2053" t="str">
            <v>عالم پرنٹرز بٹ خیلہ</v>
          </cell>
        </row>
        <row r="2054">
          <cell r="A2054" t="str">
            <v>765 J</v>
          </cell>
          <cell r="B2054">
            <v>11253</v>
          </cell>
          <cell r="C2054">
            <v>45700</v>
          </cell>
          <cell r="D2054" t="str">
            <v>JILANI</v>
          </cell>
          <cell r="E2054" t="str">
            <v>عالم پرنٹرز بٹ خیلہ</v>
          </cell>
        </row>
        <row r="2055">
          <cell r="A2055" t="str">
            <v>766 J</v>
          </cell>
          <cell r="B2055">
            <v>11256</v>
          </cell>
          <cell r="C2055">
            <v>45700</v>
          </cell>
          <cell r="D2055" t="str">
            <v>JILANI</v>
          </cell>
          <cell r="E2055" t="str">
            <v>عالم پرنٹرز بٹ خیلہ</v>
          </cell>
        </row>
        <row r="2056">
          <cell r="A2056" t="str">
            <v>767 J</v>
          </cell>
          <cell r="B2056">
            <v>11257</v>
          </cell>
          <cell r="C2056">
            <v>45700</v>
          </cell>
          <cell r="D2056" t="str">
            <v>JILANI</v>
          </cell>
          <cell r="E2056" t="str">
            <v>تاج دین سٹور لاہور</v>
          </cell>
        </row>
        <row r="2057">
          <cell r="A2057" t="str">
            <v>768 J</v>
          </cell>
          <cell r="B2057">
            <v>11258</v>
          </cell>
          <cell r="C2057">
            <v>45700</v>
          </cell>
          <cell r="D2057" t="str">
            <v>JILANI</v>
          </cell>
          <cell r="E2057" t="str">
            <v>عالم پرنٹرز بٹ خیلہ</v>
          </cell>
        </row>
        <row r="2058">
          <cell r="A2058" t="str">
            <v>769 J</v>
          </cell>
          <cell r="B2058">
            <v>11259</v>
          </cell>
          <cell r="C2058">
            <v>45700</v>
          </cell>
          <cell r="D2058" t="str">
            <v>JILANI</v>
          </cell>
          <cell r="E2058" t="str">
            <v>عالم پرنٹرز بٹ خیلہ</v>
          </cell>
        </row>
        <row r="2059">
          <cell r="A2059" t="str">
            <v>770 J</v>
          </cell>
          <cell r="B2059">
            <v>11260</v>
          </cell>
          <cell r="C2059">
            <v>45700</v>
          </cell>
          <cell r="D2059" t="str">
            <v>JILANI</v>
          </cell>
          <cell r="E2059" t="str">
            <v>چیئرمین فوم پرائیویٹ لیمیٹڈ</v>
          </cell>
        </row>
        <row r="2060">
          <cell r="A2060" t="str">
            <v>771 J</v>
          </cell>
          <cell r="B2060">
            <v>11261</v>
          </cell>
          <cell r="C2060">
            <v>45700</v>
          </cell>
          <cell r="D2060" t="str">
            <v>JILANI</v>
          </cell>
          <cell r="E2060" t="str">
            <v>میٹرو فیبرکس بریکوٹ سوات</v>
          </cell>
        </row>
        <row r="2061">
          <cell r="A2061" t="str">
            <v>772 J</v>
          </cell>
          <cell r="B2061">
            <v>11262</v>
          </cell>
          <cell r="C2061">
            <v>45700</v>
          </cell>
          <cell r="D2061" t="str">
            <v>JILANI</v>
          </cell>
          <cell r="E2061" t="str">
            <v>لیل پور کلاتھ ساہیوال</v>
          </cell>
        </row>
        <row r="2062">
          <cell r="A2062" t="str">
            <v>773 J</v>
          </cell>
          <cell r="B2062">
            <v>11263</v>
          </cell>
          <cell r="C2062">
            <v>45700</v>
          </cell>
          <cell r="D2062" t="str">
            <v>JILANI</v>
          </cell>
          <cell r="E2062" t="str">
            <v>مغل پلاسٹک لیہ</v>
          </cell>
        </row>
        <row r="2063">
          <cell r="A2063" t="str">
            <v>774 J</v>
          </cell>
          <cell r="B2063">
            <v>11264</v>
          </cell>
          <cell r="C2063">
            <v>45700</v>
          </cell>
          <cell r="D2063" t="str">
            <v>JILANI</v>
          </cell>
          <cell r="E2063" t="str">
            <v>فینسی گارمنٹس کامونکی</v>
          </cell>
        </row>
        <row r="2064">
          <cell r="A2064" t="str">
            <v>775 J</v>
          </cell>
          <cell r="B2064">
            <v>11265</v>
          </cell>
          <cell r="C2064">
            <v>45700</v>
          </cell>
          <cell r="D2064" t="str">
            <v>JILANI</v>
          </cell>
          <cell r="E2064" t="str">
            <v>فینسی گارمنٹس کامونکی</v>
          </cell>
        </row>
        <row r="2065">
          <cell r="A2065" t="str">
            <v>776 J</v>
          </cell>
          <cell r="B2065"/>
          <cell r="C2065">
            <v>45700</v>
          </cell>
          <cell r="D2065" t="str">
            <v>OTHERS</v>
          </cell>
          <cell r="E2065" t="str">
            <v>جیلانی پولی سٹاک</v>
          </cell>
        </row>
        <row r="2066">
          <cell r="A2066" t="str">
            <v>777 J</v>
          </cell>
          <cell r="B2066"/>
          <cell r="C2066">
            <v>45700</v>
          </cell>
          <cell r="D2066" t="str">
            <v>OTHERS</v>
          </cell>
          <cell r="E2066" t="str">
            <v>جیلانی پولی سٹاک</v>
          </cell>
        </row>
        <row r="2067">
          <cell r="A2067" t="str">
            <v>778 J</v>
          </cell>
          <cell r="B2067"/>
          <cell r="C2067">
            <v>45700</v>
          </cell>
          <cell r="D2067" t="str">
            <v>OTHERS</v>
          </cell>
          <cell r="E2067" t="str">
            <v>جیلانی پولی سٹاک</v>
          </cell>
        </row>
        <row r="2068">
          <cell r="A2068" t="str">
            <v>779 J</v>
          </cell>
          <cell r="B2068"/>
          <cell r="C2068">
            <v>45700</v>
          </cell>
          <cell r="D2068" t="str">
            <v>OTHERS</v>
          </cell>
          <cell r="E2068" t="str">
            <v>جیلانی پولی سٹاک</v>
          </cell>
        </row>
        <row r="2069">
          <cell r="A2069" t="str">
            <v>780 J</v>
          </cell>
          <cell r="B2069"/>
          <cell r="C2069">
            <v>45700</v>
          </cell>
          <cell r="D2069" t="str">
            <v>OTHERS</v>
          </cell>
          <cell r="E2069" t="str">
            <v>جیلانی پولی سٹاک</v>
          </cell>
        </row>
        <row r="2070">
          <cell r="A2070" t="str">
            <v>1087 F</v>
          </cell>
          <cell r="B2070"/>
          <cell r="C2070">
            <v>45700</v>
          </cell>
          <cell r="D2070" t="str">
            <v>فینا</v>
          </cell>
          <cell r="E2070" t="str">
            <v>عثمان امین</v>
          </cell>
        </row>
        <row r="2071">
          <cell r="A2071" t="str">
            <v>1088 F</v>
          </cell>
          <cell r="B2071"/>
          <cell r="C2071">
            <v>45700</v>
          </cell>
          <cell r="D2071" t="str">
            <v>فینا</v>
          </cell>
          <cell r="E2071" t="str">
            <v>عثمان امین</v>
          </cell>
        </row>
        <row r="2072">
          <cell r="A2072" t="str">
            <v>1089 F</v>
          </cell>
          <cell r="B2072"/>
          <cell r="C2072">
            <v>45700</v>
          </cell>
          <cell r="D2072" t="str">
            <v>فینا</v>
          </cell>
          <cell r="E2072" t="str">
            <v>عثمان امین</v>
          </cell>
        </row>
        <row r="2073">
          <cell r="A2073" t="str">
            <v>1090 F</v>
          </cell>
          <cell r="B2073"/>
          <cell r="C2073">
            <v>45700</v>
          </cell>
          <cell r="D2073" t="str">
            <v>فینا</v>
          </cell>
          <cell r="E2073" t="str">
            <v>عثمان امین</v>
          </cell>
        </row>
        <row r="2074">
          <cell r="A2074" t="str">
            <v>1091 F</v>
          </cell>
          <cell r="B2074"/>
          <cell r="C2074">
            <v>45700</v>
          </cell>
          <cell r="D2074" t="str">
            <v>فینا</v>
          </cell>
          <cell r="E2074" t="str">
            <v>عثمان امین</v>
          </cell>
        </row>
        <row r="2075">
          <cell r="A2075" t="str">
            <v>1092 F</v>
          </cell>
          <cell r="B2075"/>
          <cell r="C2075">
            <v>45700</v>
          </cell>
          <cell r="D2075" t="str">
            <v>فینا</v>
          </cell>
          <cell r="E2075" t="str">
            <v>عثمان امین</v>
          </cell>
        </row>
        <row r="2076">
          <cell r="A2076" t="str">
            <v>1093 F</v>
          </cell>
          <cell r="B2076"/>
          <cell r="C2076">
            <v>45700</v>
          </cell>
          <cell r="D2076" t="str">
            <v>فینا</v>
          </cell>
          <cell r="E2076" t="str">
            <v>عثمان امین</v>
          </cell>
        </row>
        <row r="2077">
          <cell r="A2077" t="str">
            <v>1094 F</v>
          </cell>
          <cell r="B2077"/>
          <cell r="C2077">
            <v>45700</v>
          </cell>
          <cell r="D2077" t="str">
            <v>فینا</v>
          </cell>
          <cell r="E2077" t="str">
            <v>عثمان امین</v>
          </cell>
        </row>
        <row r="2078">
          <cell r="A2078" t="str">
            <v>1095 F</v>
          </cell>
          <cell r="B2078"/>
          <cell r="C2078">
            <v>45293</v>
          </cell>
          <cell r="D2078" t="str">
            <v>فینا</v>
          </cell>
          <cell r="E2078" t="str">
            <v>عثمان امین</v>
          </cell>
        </row>
        <row r="2079">
          <cell r="A2079" t="str">
            <v>243 R</v>
          </cell>
          <cell r="B2079"/>
          <cell r="C2079">
            <v>45700</v>
          </cell>
          <cell r="D2079" t="str">
            <v>REFLECTPACK</v>
          </cell>
          <cell r="E2079" t="str">
            <v>ریفلیکٹ پیک</v>
          </cell>
        </row>
        <row r="2080">
          <cell r="A2080" t="str">
            <v>244 R</v>
          </cell>
          <cell r="B2080"/>
          <cell r="C2080">
            <v>45700</v>
          </cell>
          <cell r="D2080" t="str">
            <v>REFLECTPACK</v>
          </cell>
          <cell r="E2080" t="str">
            <v>ریفلیکٹ پیک</v>
          </cell>
        </row>
        <row r="2081">
          <cell r="A2081" t="str">
            <v>245 R</v>
          </cell>
          <cell r="B2081"/>
          <cell r="C2081">
            <v>45700</v>
          </cell>
          <cell r="D2081" t="str">
            <v>REFLECTPACK</v>
          </cell>
          <cell r="E2081" t="str">
            <v>ریفلیکٹ پیک</v>
          </cell>
        </row>
        <row r="2082">
          <cell r="A2082">
            <v>2697</v>
          </cell>
          <cell r="B2082">
            <v>17812</v>
          </cell>
          <cell r="C2082">
            <v>45703</v>
          </cell>
          <cell r="D2082" t="str">
            <v>JILANI</v>
          </cell>
          <cell r="E2082" t="str">
            <v>AZHAR PLASTIC LOHARI</v>
          </cell>
        </row>
        <row r="2083">
          <cell r="A2083">
            <v>2698</v>
          </cell>
          <cell r="B2083">
            <v>7976</v>
          </cell>
          <cell r="C2083">
            <v>45703</v>
          </cell>
          <cell r="D2083" t="str">
            <v>JILANI</v>
          </cell>
          <cell r="E2083" t="str">
            <v>ANWAR RASHEED</v>
          </cell>
        </row>
        <row r="2084">
          <cell r="A2084" t="str">
            <v>1096 F</v>
          </cell>
          <cell r="B2084"/>
          <cell r="C2084">
            <v>45702</v>
          </cell>
          <cell r="D2084" t="str">
            <v>فینا</v>
          </cell>
          <cell r="E2084" t="str">
            <v>عثمان امین</v>
          </cell>
        </row>
        <row r="2085">
          <cell r="A2085" t="str">
            <v>1097 F</v>
          </cell>
          <cell r="B2085"/>
          <cell r="C2085">
            <v>45702</v>
          </cell>
          <cell r="D2085" t="str">
            <v>فینا</v>
          </cell>
          <cell r="E2085" t="str">
            <v>عثمان امین</v>
          </cell>
        </row>
        <row r="2086">
          <cell r="A2086" t="str">
            <v>1098 F</v>
          </cell>
          <cell r="B2086"/>
          <cell r="C2086">
            <v>45702</v>
          </cell>
          <cell r="D2086" t="str">
            <v>فینا</v>
          </cell>
          <cell r="E2086" t="str">
            <v>عثمان امین</v>
          </cell>
        </row>
        <row r="2087">
          <cell r="A2087" t="str">
            <v>1099 F</v>
          </cell>
          <cell r="B2087"/>
          <cell r="C2087">
            <v>45702</v>
          </cell>
          <cell r="D2087" t="str">
            <v>فینا</v>
          </cell>
          <cell r="E2087" t="str">
            <v>عثمان امین</v>
          </cell>
        </row>
        <row r="2088">
          <cell r="A2088" t="str">
            <v>1100 F</v>
          </cell>
          <cell r="B2088"/>
          <cell r="C2088">
            <v>45702</v>
          </cell>
          <cell r="D2088" t="str">
            <v>فینا</v>
          </cell>
          <cell r="E2088" t="str">
            <v>عثمان امین</v>
          </cell>
        </row>
        <row r="2089">
          <cell r="A2089" t="str">
            <v>1101 F</v>
          </cell>
          <cell r="B2089"/>
          <cell r="C2089">
            <v>45702</v>
          </cell>
          <cell r="D2089" t="str">
            <v>فینا</v>
          </cell>
          <cell r="E2089" t="str">
            <v>عثمان امین</v>
          </cell>
        </row>
        <row r="2090">
          <cell r="A2090" t="str">
            <v>1102 F</v>
          </cell>
          <cell r="B2090"/>
          <cell r="C2090">
            <v>45702</v>
          </cell>
          <cell r="D2090" t="str">
            <v>فینا</v>
          </cell>
          <cell r="E2090" t="str">
            <v>عثمان امین</v>
          </cell>
        </row>
        <row r="2091">
          <cell r="A2091" t="str">
            <v>1103 F</v>
          </cell>
          <cell r="B2091"/>
          <cell r="C2091">
            <v>45702</v>
          </cell>
          <cell r="D2091" t="str">
            <v>فینا</v>
          </cell>
          <cell r="E2091" t="str">
            <v>عثمان امین</v>
          </cell>
        </row>
        <row r="2092">
          <cell r="A2092" t="str">
            <v>1104 F</v>
          </cell>
          <cell r="B2092"/>
          <cell r="C2092">
            <v>45702</v>
          </cell>
          <cell r="D2092" t="str">
            <v>فینا</v>
          </cell>
          <cell r="E2092" t="str">
            <v>عثمان امین</v>
          </cell>
        </row>
        <row r="2093">
          <cell r="A2093" t="str">
            <v>1105 F</v>
          </cell>
          <cell r="B2093"/>
          <cell r="C2093">
            <v>45702</v>
          </cell>
          <cell r="D2093" t="str">
            <v>فینا</v>
          </cell>
          <cell r="E2093" t="str">
            <v>عثمان امین</v>
          </cell>
        </row>
        <row r="2094">
          <cell r="A2094" t="str">
            <v>1106 F</v>
          </cell>
          <cell r="B2094"/>
          <cell r="C2094">
            <v>45702</v>
          </cell>
          <cell r="D2094" t="str">
            <v>فینا</v>
          </cell>
          <cell r="E2094" t="str">
            <v>عثمان امین</v>
          </cell>
        </row>
        <row r="2095">
          <cell r="A2095" t="str">
            <v>781 J</v>
          </cell>
          <cell r="B2095">
            <v>11266</v>
          </cell>
          <cell r="C2095">
            <v>45701</v>
          </cell>
          <cell r="D2095" t="str">
            <v>JILANI</v>
          </cell>
          <cell r="E2095" t="str">
            <v>کراچی برانڈ سٹوڈیو لاہور</v>
          </cell>
        </row>
        <row r="2096">
          <cell r="A2096" t="str">
            <v>782 J</v>
          </cell>
          <cell r="B2096">
            <v>11266</v>
          </cell>
          <cell r="C2096">
            <v>45701</v>
          </cell>
          <cell r="D2096" t="str">
            <v>JILANI</v>
          </cell>
          <cell r="E2096" t="str">
            <v>کراچی برانڈ سٹوڈیو لاہور</v>
          </cell>
        </row>
        <row r="2097">
          <cell r="A2097" t="str">
            <v>783 J</v>
          </cell>
          <cell r="B2097">
            <v>11266</v>
          </cell>
          <cell r="C2097">
            <v>45701</v>
          </cell>
          <cell r="D2097" t="str">
            <v>JILANI</v>
          </cell>
          <cell r="E2097" t="str">
            <v>کراچی برانڈ سٹوڈیو لاہور</v>
          </cell>
        </row>
        <row r="2098">
          <cell r="A2098" t="str">
            <v>784 J</v>
          </cell>
          <cell r="B2098">
            <v>11267</v>
          </cell>
          <cell r="C2098">
            <v>45701</v>
          </cell>
          <cell r="D2098" t="str">
            <v>JILANI</v>
          </cell>
          <cell r="E2098" t="str">
            <v>گولڈن کیمیکل فیصل آباد</v>
          </cell>
        </row>
        <row r="2099">
          <cell r="A2099" t="str">
            <v>785 J</v>
          </cell>
          <cell r="B2099">
            <v>11268</v>
          </cell>
          <cell r="C2099">
            <v>45701</v>
          </cell>
          <cell r="D2099" t="str">
            <v>JILANI</v>
          </cell>
          <cell r="E2099" t="str">
            <v>گولڈن کیمیکل فیصل آباد</v>
          </cell>
        </row>
        <row r="2100">
          <cell r="A2100" t="str">
            <v>786 J</v>
          </cell>
          <cell r="B2100">
            <v>11269</v>
          </cell>
          <cell r="C2100">
            <v>45701</v>
          </cell>
          <cell r="D2100" t="str">
            <v>JILANI</v>
          </cell>
          <cell r="E2100" t="str">
            <v>گولڈن کیمیکل فیصل آباد</v>
          </cell>
        </row>
        <row r="2101">
          <cell r="A2101" t="str">
            <v>787 J</v>
          </cell>
          <cell r="B2101">
            <v>11270</v>
          </cell>
          <cell r="C2101">
            <v>45701</v>
          </cell>
          <cell r="D2101" t="str">
            <v>JILANI</v>
          </cell>
          <cell r="E2101" t="str">
            <v>گولڈن کیمیکل فیصل آباد</v>
          </cell>
        </row>
        <row r="2102">
          <cell r="A2102" t="str">
            <v>788 J</v>
          </cell>
          <cell r="B2102">
            <v>11271</v>
          </cell>
          <cell r="C2102">
            <v>45701</v>
          </cell>
          <cell r="D2102" t="str">
            <v>JILANI</v>
          </cell>
          <cell r="E2102" t="str">
            <v>مغل پلاسٹک سٹور لیہ</v>
          </cell>
        </row>
        <row r="2103">
          <cell r="A2103" t="str">
            <v>789 J</v>
          </cell>
          <cell r="B2103">
            <v>11272</v>
          </cell>
          <cell r="C2103">
            <v>45701</v>
          </cell>
          <cell r="D2103" t="str">
            <v>JILANI</v>
          </cell>
          <cell r="E2103" t="str">
            <v>مغل پلاسٹک سٹور لیہ</v>
          </cell>
        </row>
        <row r="2104">
          <cell r="A2104" t="str">
            <v>790 J</v>
          </cell>
          <cell r="B2104">
            <v>11272</v>
          </cell>
          <cell r="C2104">
            <v>45701</v>
          </cell>
          <cell r="D2104" t="str">
            <v>JILANI</v>
          </cell>
          <cell r="E2104" t="str">
            <v>مغل پلاسٹک سٹور لیہ</v>
          </cell>
        </row>
        <row r="2105">
          <cell r="A2105" t="str">
            <v>791 J</v>
          </cell>
          <cell r="B2105">
            <v>11273</v>
          </cell>
          <cell r="C2105">
            <v>45701</v>
          </cell>
          <cell r="D2105" t="str">
            <v>JILANI</v>
          </cell>
          <cell r="E2105" t="str">
            <v>مغل پلاسٹک سٹور لیہ</v>
          </cell>
        </row>
        <row r="2106">
          <cell r="A2106" t="str">
            <v>792 J</v>
          </cell>
          <cell r="B2106">
            <v>11274</v>
          </cell>
          <cell r="C2106">
            <v>45701</v>
          </cell>
          <cell r="D2106" t="str">
            <v>JILANI</v>
          </cell>
          <cell r="E2106" t="str">
            <v>مغل پلاسٹک سٹور لیہ</v>
          </cell>
        </row>
        <row r="2107">
          <cell r="A2107" t="str">
            <v>793 J</v>
          </cell>
          <cell r="B2107">
            <v>11275</v>
          </cell>
          <cell r="C2107">
            <v>45701</v>
          </cell>
          <cell r="D2107" t="str">
            <v>JILANI</v>
          </cell>
          <cell r="E2107" t="str">
            <v>مغل پلاسٹک سٹور لیہ</v>
          </cell>
        </row>
        <row r="2108">
          <cell r="A2108" t="str">
            <v>794 J</v>
          </cell>
          <cell r="B2108">
            <v>11275</v>
          </cell>
          <cell r="C2108">
            <v>45701</v>
          </cell>
          <cell r="D2108" t="str">
            <v>JILANI</v>
          </cell>
          <cell r="E2108" t="str">
            <v>مغل پلاسٹک سٹور لیہ</v>
          </cell>
        </row>
        <row r="2109">
          <cell r="A2109" t="str">
            <v>795 J</v>
          </cell>
          <cell r="B2109">
            <v>11276</v>
          </cell>
          <cell r="C2109">
            <v>45701</v>
          </cell>
          <cell r="D2109" t="str">
            <v>JILANI</v>
          </cell>
          <cell r="E2109" t="str">
            <v>فینسی گارمنٹس کامونکی</v>
          </cell>
        </row>
        <row r="2110">
          <cell r="A2110" t="str">
            <v>796 J</v>
          </cell>
          <cell r="B2110">
            <v>11277</v>
          </cell>
          <cell r="C2110">
            <v>45701</v>
          </cell>
          <cell r="D2110" t="str">
            <v>JILANI</v>
          </cell>
          <cell r="E2110" t="str">
            <v>ملکن ڈیری پرائیویٹ لیمٹیڈ</v>
          </cell>
        </row>
        <row r="2111">
          <cell r="A2111" t="str">
            <v>797 J</v>
          </cell>
          <cell r="B2111">
            <v>11278</v>
          </cell>
          <cell r="C2111">
            <v>45701</v>
          </cell>
          <cell r="D2111" t="str">
            <v>JILANI</v>
          </cell>
          <cell r="E2111" t="str">
            <v>میڈی پاک لاہور</v>
          </cell>
        </row>
        <row r="2112">
          <cell r="A2112" t="str">
            <v>798 J</v>
          </cell>
          <cell r="B2112">
            <v>11279</v>
          </cell>
          <cell r="C2112">
            <v>45701</v>
          </cell>
          <cell r="D2112" t="str">
            <v>JILANI</v>
          </cell>
          <cell r="E2112" t="str">
            <v>جمال خان شرقپور</v>
          </cell>
        </row>
        <row r="2113">
          <cell r="A2113" t="str">
            <v>799 J</v>
          </cell>
          <cell r="B2113">
            <v>11279</v>
          </cell>
          <cell r="C2113">
            <v>45701</v>
          </cell>
          <cell r="D2113" t="str">
            <v>JILANI</v>
          </cell>
          <cell r="E2113" t="str">
            <v>جمال خان شرقپور</v>
          </cell>
        </row>
        <row r="2114">
          <cell r="A2114" t="str">
            <v>800 J</v>
          </cell>
          <cell r="B2114">
            <v>11280</v>
          </cell>
          <cell r="C2114">
            <v>45701</v>
          </cell>
          <cell r="D2114" t="str">
            <v>JILANI</v>
          </cell>
          <cell r="E2114" t="str">
            <v>عرفان صاحب اعظم مارکیٹ</v>
          </cell>
        </row>
        <row r="2115">
          <cell r="A2115" t="str">
            <v>1107 F</v>
          </cell>
          <cell r="B2115"/>
          <cell r="C2115">
            <v>45703</v>
          </cell>
          <cell r="D2115" t="str">
            <v>فینا</v>
          </cell>
          <cell r="E2115" t="str">
            <v>عثمان امین</v>
          </cell>
        </row>
        <row r="2116">
          <cell r="A2116" t="str">
            <v>1108 F</v>
          </cell>
          <cell r="B2116"/>
          <cell r="C2116">
            <v>45703</v>
          </cell>
          <cell r="D2116" t="str">
            <v>فینا</v>
          </cell>
          <cell r="E2116" t="str">
            <v>عثمان امین</v>
          </cell>
        </row>
        <row r="2117">
          <cell r="A2117" t="str">
            <v>1109 F</v>
          </cell>
          <cell r="B2117"/>
          <cell r="C2117">
            <v>45703</v>
          </cell>
          <cell r="D2117" t="str">
            <v>فینا</v>
          </cell>
          <cell r="E2117" t="str">
            <v>عثمان امین</v>
          </cell>
        </row>
        <row r="2118">
          <cell r="A2118" t="str">
            <v>801 J</v>
          </cell>
          <cell r="B2118">
            <v>11281</v>
          </cell>
          <cell r="C2118">
            <v>45702</v>
          </cell>
          <cell r="D2118" t="str">
            <v>JILANI</v>
          </cell>
          <cell r="E2118" t="str">
            <v>فاروق ٹیکسٹائل لاہور</v>
          </cell>
        </row>
        <row r="2119">
          <cell r="A2119" t="str">
            <v>802 J</v>
          </cell>
          <cell r="B2119">
            <v>11282</v>
          </cell>
          <cell r="C2119">
            <v>45702</v>
          </cell>
          <cell r="D2119" t="str">
            <v>JILANI</v>
          </cell>
          <cell r="E2119" t="str">
            <v>اے ایس بی سویٹس اینڈ بیکرزجڑانوالہ</v>
          </cell>
        </row>
        <row r="2120">
          <cell r="A2120" t="str">
            <v>803 J</v>
          </cell>
          <cell r="B2120">
            <v>11283</v>
          </cell>
          <cell r="C2120">
            <v>45702</v>
          </cell>
          <cell r="D2120" t="str">
            <v>JILANI</v>
          </cell>
          <cell r="E2120" t="str">
            <v>دی کڈز مال لاہور</v>
          </cell>
        </row>
        <row r="2121">
          <cell r="A2121" t="str">
            <v>804 J</v>
          </cell>
          <cell r="B2121">
            <v>11283</v>
          </cell>
          <cell r="C2121">
            <v>45702</v>
          </cell>
          <cell r="D2121" t="str">
            <v>JILANI</v>
          </cell>
          <cell r="E2121" t="str">
            <v>دی کڈز مال لاہور</v>
          </cell>
        </row>
        <row r="2122">
          <cell r="A2122" t="str">
            <v>805 J</v>
          </cell>
          <cell r="B2122">
            <v>11283</v>
          </cell>
          <cell r="C2122">
            <v>45702</v>
          </cell>
          <cell r="D2122" t="str">
            <v>JILANI</v>
          </cell>
          <cell r="E2122" t="str">
            <v>دی کڈز مال لاہور</v>
          </cell>
        </row>
        <row r="2123">
          <cell r="A2123" t="str">
            <v>806 J</v>
          </cell>
          <cell r="B2123">
            <v>11284</v>
          </cell>
          <cell r="C2123">
            <v>45702</v>
          </cell>
          <cell r="D2123" t="str">
            <v>JILANI</v>
          </cell>
          <cell r="E2123" t="str">
            <v>کارس پینٹ انڈسٹری پرائیویٹ لیمیٹڈ</v>
          </cell>
        </row>
        <row r="2124">
          <cell r="A2124" t="str">
            <v>807 J</v>
          </cell>
          <cell r="B2124">
            <v>11285</v>
          </cell>
          <cell r="C2124">
            <v>45702</v>
          </cell>
          <cell r="D2124" t="str">
            <v>JILANI</v>
          </cell>
          <cell r="E2124" t="str">
            <v>کارس پینٹ انڈسٹری پرائیویٹ لیمیٹڈ</v>
          </cell>
        </row>
        <row r="2125">
          <cell r="A2125" t="str">
            <v>808 J</v>
          </cell>
          <cell r="B2125">
            <v>11286</v>
          </cell>
          <cell r="C2125">
            <v>45702</v>
          </cell>
          <cell r="D2125" t="str">
            <v>JILANI</v>
          </cell>
          <cell r="E2125" t="str">
            <v>جمال گارمنٹس کوہاٹ</v>
          </cell>
        </row>
        <row r="2126">
          <cell r="A2126" t="str">
            <v>809 J</v>
          </cell>
          <cell r="B2126">
            <v>11287</v>
          </cell>
          <cell r="C2126">
            <v>45702</v>
          </cell>
          <cell r="D2126" t="str">
            <v>JILANI</v>
          </cell>
          <cell r="E2126" t="str">
            <v>بندوخاں لاہور</v>
          </cell>
        </row>
        <row r="2127">
          <cell r="A2127" t="str">
            <v>810 J</v>
          </cell>
          <cell r="B2127">
            <v>11287</v>
          </cell>
          <cell r="C2127">
            <v>45702</v>
          </cell>
          <cell r="D2127" t="str">
            <v>JILANI</v>
          </cell>
          <cell r="E2127" t="str">
            <v>بندوخاں لاہور</v>
          </cell>
        </row>
        <row r="2128">
          <cell r="A2128" t="str">
            <v>811 J</v>
          </cell>
          <cell r="B2128">
            <v>11287</v>
          </cell>
          <cell r="C2128">
            <v>45702</v>
          </cell>
          <cell r="D2128" t="str">
            <v>JILANI</v>
          </cell>
          <cell r="E2128" t="str">
            <v>بندوخاں لاہور</v>
          </cell>
        </row>
        <row r="2129">
          <cell r="A2129" t="str">
            <v>812 J</v>
          </cell>
          <cell r="B2129">
            <v>11288</v>
          </cell>
          <cell r="C2129">
            <v>45702</v>
          </cell>
          <cell r="D2129" t="str">
            <v>JILANI</v>
          </cell>
          <cell r="E2129" t="str">
            <v>چشتی پلاسٹک موچی گیٹ</v>
          </cell>
        </row>
        <row r="2130">
          <cell r="A2130" t="str">
            <v>813 J</v>
          </cell>
          <cell r="B2130">
            <v>11289</v>
          </cell>
          <cell r="C2130">
            <v>45702</v>
          </cell>
          <cell r="D2130" t="str">
            <v>JILANI</v>
          </cell>
          <cell r="E2130" t="str">
            <v>میرب کولیکشن رنگ محل لاہور</v>
          </cell>
        </row>
        <row r="2131">
          <cell r="A2131" t="str">
            <v>814 J</v>
          </cell>
          <cell r="B2131">
            <v>11289</v>
          </cell>
          <cell r="C2131">
            <v>45702</v>
          </cell>
          <cell r="D2131" t="str">
            <v>JILANI</v>
          </cell>
          <cell r="E2131" t="str">
            <v>میرب کولیکشن رنگ محل لاہور</v>
          </cell>
        </row>
        <row r="2132">
          <cell r="A2132" t="str">
            <v>815 J</v>
          </cell>
          <cell r="B2132">
            <v>11289</v>
          </cell>
          <cell r="C2132">
            <v>45702</v>
          </cell>
          <cell r="D2132" t="str">
            <v>JILANI</v>
          </cell>
          <cell r="E2132" t="str">
            <v>میرب کولیکشن رنگ محل لاہور</v>
          </cell>
        </row>
        <row r="2133">
          <cell r="A2133" t="str">
            <v>816 J</v>
          </cell>
          <cell r="B2133">
            <v>11290</v>
          </cell>
          <cell r="C2133">
            <v>45703</v>
          </cell>
          <cell r="D2133" t="str">
            <v>JILANI</v>
          </cell>
          <cell r="E2133" t="str">
            <v>دبئی شال ہاؤس لاہور</v>
          </cell>
        </row>
        <row r="2134">
          <cell r="A2134" t="str">
            <v>817 J</v>
          </cell>
          <cell r="B2134">
            <v>11291</v>
          </cell>
          <cell r="C2134">
            <v>45703</v>
          </cell>
          <cell r="D2134" t="str">
            <v>JILANI</v>
          </cell>
          <cell r="E2134" t="str">
            <v>شیر خاص لاہور</v>
          </cell>
        </row>
        <row r="2135">
          <cell r="A2135" t="str">
            <v>818 J</v>
          </cell>
          <cell r="B2135">
            <v>11292</v>
          </cell>
          <cell r="C2135">
            <v>45703</v>
          </cell>
          <cell r="D2135" t="str">
            <v>JILANI</v>
          </cell>
          <cell r="E2135" t="str">
            <v>عثمان عارف بٹ گوجرانولہ</v>
          </cell>
        </row>
        <row r="2136">
          <cell r="A2136" t="str">
            <v>819 J</v>
          </cell>
          <cell r="B2136">
            <v>11292</v>
          </cell>
          <cell r="C2136">
            <v>45703</v>
          </cell>
          <cell r="D2136" t="str">
            <v>JILANI</v>
          </cell>
          <cell r="E2136" t="str">
            <v>عثمان عارف بٹ گوجرانولہ</v>
          </cell>
        </row>
        <row r="2137">
          <cell r="A2137" t="str">
            <v>820 J</v>
          </cell>
          <cell r="B2137">
            <v>11292</v>
          </cell>
          <cell r="C2137">
            <v>45703</v>
          </cell>
          <cell r="D2137" t="str">
            <v>JILANI</v>
          </cell>
          <cell r="E2137" t="str">
            <v>عثمان عارف بٹ گوجرانولہ</v>
          </cell>
        </row>
        <row r="2138">
          <cell r="A2138" t="str">
            <v>821 J</v>
          </cell>
          <cell r="B2138">
            <v>11292</v>
          </cell>
          <cell r="C2138">
            <v>45703</v>
          </cell>
          <cell r="D2138" t="str">
            <v>JILANI</v>
          </cell>
          <cell r="E2138" t="str">
            <v>عثمان عارف بٹ گوجرانولہ</v>
          </cell>
        </row>
        <row r="2139">
          <cell r="A2139" t="str">
            <v>822 J</v>
          </cell>
          <cell r="B2139">
            <v>12293</v>
          </cell>
          <cell r="C2139">
            <v>45703</v>
          </cell>
          <cell r="D2139" t="str">
            <v>JILANI</v>
          </cell>
          <cell r="E2139" t="str">
            <v>عثمان عارف بٹ گوجرانولہ</v>
          </cell>
        </row>
        <row r="2140">
          <cell r="A2140" t="str">
            <v>823 J</v>
          </cell>
          <cell r="B2140">
            <v>12293</v>
          </cell>
          <cell r="C2140">
            <v>45703</v>
          </cell>
          <cell r="D2140" t="str">
            <v>JILANI</v>
          </cell>
          <cell r="E2140" t="str">
            <v>عثمان عارف بٹ گوجرانولہ</v>
          </cell>
        </row>
        <row r="2141">
          <cell r="A2141" t="str">
            <v>824 J</v>
          </cell>
          <cell r="B2141">
            <v>12293</v>
          </cell>
          <cell r="C2141">
            <v>45703</v>
          </cell>
          <cell r="D2141" t="str">
            <v>JILANI</v>
          </cell>
          <cell r="E2141" t="str">
            <v>عثمان عارف بٹ گوجرانولہ</v>
          </cell>
        </row>
        <row r="2142">
          <cell r="A2142" t="str">
            <v>825 J</v>
          </cell>
          <cell r="B2142">
            <v>12293</v>
          </cell>
          <cell r="C2142">
            <v>45703</v>
          </cell>
          <cell r="D2142" t="str">
            <v>JILANI</v>
          </cell>
          <cell r="E2142" t="str">
            <v>عثمان عارف بٹ گوجرانولہ</v>
          </cell>
        </row>
        <row r="2143">
          <cell r="A2143" t="str">
            <v>826 J</v>
          </cell>
          <cell r="B2143"/>
          <cell r="C2143">
            <v>45703</v>
          </cell>
          <cell r="D2143" t="str">
            <v>JILANI</v>
          </cell>
          <cell r="E2143" t="str">
            <v>ڈبل ٹریٹ رول</v>
          </cell>
        </row>
        <row r="2144">
          <cell r="A2144" t="str">
            <v>827 J</v>
          </cell>
          <cell r="B2144"/>
          <cell r="C2144">
            <v>45703</v>
          </cell>
          <cell r="D2144" t="str">
            <v>JILANI</v>
          </cell>
          <cell r="E2144" t="str">
            <v>ڈبل ٹریٹ رول</v>
          </cell>
        </row>
        <row r="2145">
          <cell r="A2145" t="str">
            <v>828 J</v>
          </cell>
          <cell r="B2145"/>
          <cell r="C2145">
            <v>45703</v>
          </cell>
          <cell r="D2145" t="str">
            <v>JILANI</v>
          </cell>
          <cell r="E2145" t="str">
            <v>ڈبل ٹریٹ رول</v>
          </cell>
        </row>
        <row r="2146">
          <cell r="A2146" t="str">
            <v>829 J</v>
          </cell>
          <cell r="B2146"/>
          <cell r="C2146">
            <v>45703</v>
          </cell>
          <cell r="D2146" t="str">
            <v>JILANI</v>
          </cell>
          <cell r="E2146" t="str">
            <v>ڈبل ٹریٹ رول</v>
          </cell>
        </row>
        <row r="2147">
          <cell r="A2147" t="str">
            <v>830 J</v>
          </cell>
          <cell r="B2147">
            <v>11199</v>
          </cell>
          <cell r="C2147">
            <v>45695</v>
          </cell>
          <cell r="D2147" t="str">
            <v>JILANI</v>
          </cell>
          <cell r="E2147" t="str">
            <v>جیلانی پولی سٹاک</v>
          </cell>
        </row>
        <row r="2148">
          <cell r="A2148" t="str">
            <v>1110 F</v>
          </cell>
          <cell r="B2148"/>
          <cell r="C2148">
            <v>45705</v>
          </cell>
          <cell r="D2148" t="str">
            <v>فینا</v>
          </cell>
          <cell r="E2148" t="str">
            <v>عثمان امین</v>
          </cell>
        </row>
        <row r="2149">
          <cell r="A2149" t="str">
            <v>1111 F</v>
          </cell>
          <cell r="B2149"/>
          <cell r="C2149">
            <v>45705</v>
          </cell>
          <cell r="D2149" t="str">
            <v>فینا</v>
          </cell>
          <cell r="E2149" t="str">
            <v>عثمان امین</v>
          </cell>
        </row>
        <row r="2150">
          <cell r="A2150" t="str">
            <v>1112 F</v>
          </cell>
          <cell r="B2150"/>
          <cell r="C2150">
            <v>45705</v>
          </cell>
          <cell r="D2150" t="str">
            <v>فینا</v>
          </cell>
          <cell r="E2150" t="str">
            <v>عثمان امین</v>
          </cell>
        </row>
        <row r="2151">
          <cell r="A2151">
            <v>2699</v>
          </cell>
          <cell r="B2151">
            <v>7981</v>
          </cell>
          <cell r="C2151">
            <v>45706</v>
          </cell>
          <cell r="D2151" t="str">
            <v>JILANI</v>
          </cell>
          <cell r="E2151" t="str">
            <v>FAUJI FRESH LTD</v>
          </cell>
        </row>
        <row r="2152">
          <cell r="A2152" t="str">
            <v>1113 F</v>
          </cell>
          <cell r="B2152"/>
          <cell r="C2152">
            <v>45705</v>
          </cell>
          <cell r="D2152" t="str">
            <v>فینا</v>
          </cell>
          <cell r="E2152" t="str">
            <v>عثمان امین</v>
          </cell>
        </row>
        <row r="2153">
          <cell r="A2153" t="str">
            <v>1114 F</v>
          </cell>
          <cell r="B2153"/>
          <cell r="C2153">
            <v>45705</v>
          </cell>
          <cell r="D2153" t="str">
            <v>فینا</v>
          </cell>
          <cell r="E2153" t="str">
            <v>عثمان امین</v>
          </cell>
        </row>
        <row r="2154">
          <cell r="A2154" t="str">
            <v>1115 F</v>
          </cell>
          <cell r="B2154"/>
          <cell r="C2154">
            <v>45706</v>
          </cell>
          <cell r="D2154" t="str">
            <v>فینا</v>
          </cell>
          <cell r="E2154" t="str">
            <v>عثمان امین</v>
          </cell>
        </row>
        <row r="2155">
          <cell r="A2155" t="str">
            <v>831 J</v>
          </cell>
          <cell r="B2155">
            <v>11294</v>
          </cell>
          <cell r="C2155">
            <v>45705</v>
          </cell>
          <cell r="D2155" t="str">
            <v>JILANI</v>
          </cell>
          <cell r="E2155" t="str">
            <v>جی ایس ٹی ٹریڈرز شادباغ</v>
          </cell>
        </row>
        <row r="2156">
          <cell r="A2156" t="str">
            <v>832 J</v>
          </cell>
          <cell r="B2156">
            <v>11295</v>
          </cell>
          <cell r="C2156">
            <v>45705</v>
          </cell>
          <cell r="D2156" t="str">
            <v>JILANI</v>
          </cell>
          <cell r="E2156" t="str">
            <v>جی ایس ٹی ٹریڈرز شادباغ</v>
          </cell>
        </row>
        <row r="2157">
          <cell r="A2157" t="str">
            <v>833 J</v>
          </cell>
          <cell r="B2157">
            <v>11295</v>
          </cell>
          <cell r="C2157">
            <v>45705</v>
          </cell>
          <cell r="D2157" t="str">
            <v>JILANI</v>
          </cell>
          <cell r="E2157" t="str">
            <v>جی ایس ٹی ٹریڈرز شادباغ</v>
          </cell>
        </row>
        <row r="2158">
          <cell r="A2158" t="str">
            <v>834 J</v>
          </cell>
          <cell r="B2158">
            <v>11295</v>
          </cell>
          <cell r="C2158">
            <v>45705</v>
          </cell>
          <cell r="D2158" t="str">
            <v>JILANI</v>
          </cell>
          <cell r="E2158" t="str">
            <v>جی ایس ٹی ٹریڈرز شادباغ</v>
          </cell>
        </row>
        <row r="2159">
          <cell r="A2159" t="str">
            <v>835 J</v>
          </cell>
          <cell r="B2159">
            <v>11296</v>
          </cell>
          <cell r="C2159">
            <v>45705</v>
          </cell>
          <cell r="D2159" t="str">
            <v>JILANI</v>
          </cell>
          <cell r="E2159" t="str">
            <v>صاحبزادہ پرنٹنگ سرائے نارنگ</v>
          </cell>
        </row>
        <row r="2160">
          <cell r="A2160" t="str">
            <v>836 J</v>
          </cell>
          <cell r="B2160">
            <v>11296</v>
          </cell>
          <cell r="C2160">
            <v>45705</v>
          </cell>
          <cell r="D2160" t="str">
            <v>JILANI</v>
          </cell>
          <cell r="E2160" t="str">
            <v>صاحبزادہ پرنٹنگ سرائے نارنگ</v>
          </cell>
        </row>
        <row r="2161">
          <cell r="A2161" t="str">
            <v>837 J</v>
          </cell>
          <cell r="B2161">
            <v>11297</v>
          </cell>
          <cell r="C2161">
            <v>45705</v>
          </cell>
          <cell r="D2161" t="str">
            <v>JILANI</v>
          </cell>
          <cell r="E2161" t="str">
            <v>صاحبزادہ پرنٹنگ سرائے نارنگ</v>
          </cell>
        </row>
        <row r="2162">
          <cell r="A2162" t="str">
            <v>838 J</v>
          </cell>
          <cell r="B2162">
            <v>11298</v>
          </cell>
          <cell r="C2162">
            <v>45705</v>
          </cell>
          <cell r="D2162" t="str">
            <v>JILANI</v>
          </cell>
          <cell r="E2162" t="str">
            <v>ایم عمران پاکستان مارٹ لاہور</v>
          </cell>
        </row>
        <row r="2163">
          <cell r="A2163" t="str">
            <v>839 J</v>
          </cell>
          <cell r="B2163">
            <v>11299</v>
          </cell>
          <cell r="C2163">
            <v>45705</v>
          </cell>
          <cell r="D2163" t="str">
            <v>JILANI</v>
          </cell>
          <cell r="E2163" t="str">
            <v>غوثیہ کولیکشن لاہور</v>
          </cell>
        </row>
        <row r="2164">
          <cell r="A2164" t="str">
            <v>840 J</v>
          </cell>
          <cell r="B2164">
            <v>11300</v>
          </cell>
          <cell r="C2164">
            <v>45705</v>
          </cell>
          <cell r="D2164" t="str">
            <v>JILANI</v>
          </cell>
          <cell r="E2164" t="str">
            <v>غوثیہ کولیکشن لاہور</v>
          </cell>
        </row>
        <row r="2165">
          <cell r="A2165" t="str">
            <v>841 J</v>
          </cell>
          <cell r="B2165">
            <v>11301</v>
          </cell>
          <cell r="C2165">
            <v>45705</v>
          </cell>
          <cell r="D2165" t="str">
            <v>JILANI</v>
          </cell>
          <cell r="E2165" t="str">
            <v>ایم عمران پاکستان مارکیٹ لاہور</v>
          </cell>
        </row>
        <row r="2166">
          <cell r="A2166" t="str">
            <v>842 J</v>
          </cell>
          <cell r="B2166">
            <v>11302</v>
          </cell>
          <cell r="C2166">
            <v>45705</v>
          </cell>
          <cell r="D2166" t="str">
            <v>JILANI</v>
          </cell>
          <cell r="E2166" t="str">
            <v>خواجہ واچ سنٹر لاہور</v>
          </cell>
        </row>
        <row r="2167">
          <cell r="A2167" t="str">
            <v>843 J</v>
          </cell>
          <cell r="B2167">
            <v>11303</v>
          </cell>
          <cell r="C2167">
            <v>45705</v>
          </cell>
          <cell r="D2167" t="str">
            <v>JILANI</v>
          </cell>
          <cell r="E2167" t="str">
            <v>مبشر آٹو پارٹس لاہور</v>
          </cell>
        </row>
        <row r="2168">
          <cell r="A2168" t="str">
            <v>844 J</v>
          </cell>
          <cell r="B2168">
            <v>11304</v>
          </cell>
          <cell r="C2168">
            <v>45705</v>
          </cell>
          <cell r="D2168" t="str">
            <v>JILANI</v>
          </cell>
          <cell r="E2168" t="str">
            <v>وی آئی پی ٹیلرز مریدکے</v>
          </cell>
        </row>
        <row r="2169">
          <cell r="A2169" t="str">
            <v>845 J</v>
          </cell>
          <cell r="B2169">
            <v>11305</v>
          </cell>
          <cell r="C2169">
            <v>45705</v>
          </cell>
          <cell r="D2169" t="str">
            <v>JILANI</v>
          </cell>
          <cell r="E2169" t="str">
            <v>صباء شوز گوجرانوالہ</v>
          </cell>
        </row>
        <row r="2170">
          <cell r="A2170" t="str">
            <v>846 J</v>
          </cell>
          <cell r="B2170">
            <v>11306</v>
          </cell>
          <cell r="C2170">
            <v>45705</v>
          </cell>
          <cell r="D2170" t="str">
            <v>JILANI</v>
          </cell>
          <cell r="E2170" t="str">
            <v>شعیب آٹوز راولپنڈی</v>
          </cell>
        </row>
        <row r="2171">
          <cell r="A2171" t="str">
            <v>847 J</v>
          </cell>
          <cell r="B2171">
            <v>11307</v>
          </cell>
          <cell r="C2171">
            <v>45705</v>
          </cell>
          <cell r="D2171" t="str">
            <v>JILANI</v>
          </cell>
          <cell r="E2171" t="str">
            <v>شعیب آٹوز راولپنڈی</v>
          </cell>
        </row>
        <row r="2172">
          <cell r="A2172" t="str">
            <v>848 J</v>
          </cell>
          <cell r="B2172">
            <v>11308</v>
          </cell>
          <cell r="C2172">
            <v>45705</v>
          </cell>
          <cell r="D2172" t="str">
            <v>JILANI</v>
          </cell>
          <cell r="E2172" t="str">
            <v>وزیر سوٹنگ سینٹر لاہور</v>
          </cell>
        </row>
        <row r="2173">
          <cell r="A2173" t="str">
            <v>849 J</v>
          </cell>
          <cell r="B2173">
            <v>11309</v>
          </cell>
          <cell r="C2173">
            <v>45705</v>
          </cell>
          <cell r="D2173" t="str">
            <v>JILANI</v>
          </cell>
          <cell r="E2173" t="str">
            <v>پیزا بنک فاسٹ فوڈ کامونکی</v>
          </cell>
        </row>
        <row r="2174">
          <cell r="A2174" t="str">
            <v>850 J</v>
          </cell>
          <cell r="B2174">
            <v>11310</v>
          </cell>
          <cell r="C2174">
            <v>45705</v>
          </cell>
          <cell r="D2174" t="str">
            <v>JILANI</v>
          </cell>
          <cell r="E2174" t="str">
            <v>عالم پرنٹرز بٹ خیلہ</v>
          </cell>
        </row>
        <row r="2175">
          <cell r="A2175" t="str">
            <v>851 J</v>
          </cell>
          <cell r="B2175">
            <v>11311</v>
          </cell>
          <cell r="C2175">
            <v>45706</v>
          </cell>
          <cell r="D2175" t="str">
            <v>JILANI</v>
          </cell>
          <cell r="E2175" t="str">
            <v>عالم بیکرز شیخوپورہ</v>
          </cell>
        </row>
        <row r="2176">
          <cell r="A2176" t="str">
            <v>852 J</v>
          </cell>
          <cell r="B2176">
            <v>11311</v>
          </cell>
          <cell r="C2176">
            <v>45706</v>
          </cell>
          <cell r="D2176" t="str">
            <v>JILANI</v>
          </cell>
          <cell r="E2176" t="str">
            <v>عالم بیکرز شیخوپورہ</v>
          </cell>
        </row>
        <row r="2177">
          <cell r="A2177" t="str">
            <v>853 J</v>
          </cell>
          <cell r="B2177">
            <v>11311</v>
          </cell>
          <cell r="C2177">
            <v>45706</v>
          </cell>
          <cell r="D2177" t="str">
            <v>JILANI</v>
          </cell>
          <cell r="E2177" t="str">
            <v>عالم بیکرز شیخوپورہ</v>
          </cell>
        </row>
        <row r="2178">
          <cell r="A2178" t="str">
            <v>854 J</v>
          </cell>
          <cell r="B2178">
            <v>11312</v>
          </cell>
          <cell r="C2178">
            <v>45706</v>
          </cell>
          <cell r="D2178" t="str">
            <v>JILANI</v>
          </cell>
          <cell r="E2178" t="str">
            <v>عالم بیکرز شیخوپورہ</v>
          </cell>
        </row>
        <row r="2179">
          <cell r="A2179" t="str">
            <v>855 J</v>
          </cell>
          <cell r="B2179">
            <v>11312</v>
          </cell>
          <cell r="C2179">
            <v>45706</v>
          </cell>
          <cell r="D2179" t="str">
            <v>JILANI</v>
          </cell>
          <cell r="E2179" t="str">
            <v>عالم بیکرز شیخوپورہ</v>
          </cell>
        </row>
        <row r="2180">
          <cell r="A2180" t="str">
            <v>856 J</v>
          </cell>
          <cell r="B2180">
            <v>11312</v>
          </cell>
          <cell r="C2180">
            <v>45706</v>
          </cell>
          <cell r="D2180" t="str">
            <v>JILANI</v>
          </cell>
          <cell r="E2180" t="str">
            <v>عالم بیکرز شیخوپورہ</v>
          </cell>
        </row>
        <row r="2181">
          <cell r="A2181" t="str">
            <v>857 J</v>
          </cell>
          <cell r="B2181">
            <v>11312</v>
          </cell>
          <cell r="C2181">
            <v>45706</v>
          </cell>
          <cell r="D2181" t="str">
            <v>JILANI</v>
          </cell>
          <cell r="E2181" t="str">
            <v>عالم بیکرز شیخوپورہ</v>
          </cell>
        </row>
        <row r="2182">
          <cell r="A2182" t="str">
            <v>858 J</v>
          </cell>
          <cell r="B2182">
            <v>11313</v>
          </cell>
          <cell r="C2182">
            <v>45706</v>
          </cell>
          <cell r="D2182" t="str">
            <v>JILANI</v>
          </cell>
          <cell r="E2182" t="str">
            <v>زمیندار فوڈ کمپنی بنوں</v>
          </cell>
        </row>
        <row r="2183">
          <cell r="A2183" t="str">
            <v>859 J</v>
          </cell>
          <cell r="B2183">
            <v>11314</v>
          </cell>
          <cell r="C2183">
            <v>45706</v>
          </cell>
          <cell r="D2183" t="str">
            <v>OTHERS</v>
          </cell>
          <cell r="E2183" t="str">
            <v>زمیندار فوڈ کمپنی بنوں</v>
          </cell>
        </row>
        <row r="2184">
          <cell r="A2184" t="str">
            <v>6619/1</v>
          </cell>
          <cell r="B2184">
            <v>6619</v>
          </cell>
          <cell r="C2184">
            <v>45699</v>
          </cell>
          <cell r="D2184" t="str">
            <v>یونس صاحب</v>
          </cell>
          <cell r="E2184" t="str">
            <v>اسلم  بلا خانپور</v>
          </cell>
        </row>
        <row r="2185">
          <cell r="A2185" t="str">
            <v>6619/2</v>
          </cell>
          <cell r="B2185">
            <v>6619</v>
          </cell>
          <cell r="C2185">
            <v>45699</v>
          </cell>
          <cell r="D2185" t="str">
            <v>یونس صاحب</v>
          </cell>
          <cell r="E2185" t="str">
            <v>اسلم  بلا خانپور</v>
          </cell>
        </row>
        <row r="2186">
          <cell r="A2186" t="str">
            <v>6620/1</v>
          </cell>
          <cell r="B2186">
            <v>6620</v>
          </cell>
          <cell r="C2186">
            <v>45699</v>
          </cell>
          <cell r="D2186" t="str">
            <v>یونس صاحب</v>
          </cell>
          <cell r="E2186" t="str">
            <v>نورعلی لیہ</v>
          </cell>
        </row>
        <row r="2187">
          <cell r="A2187" t="str">
            <v>6620/2</v>
          </cell>
          <cell r="B2187">
            <v>6620</v>
          </cell>
          <cell r="C2187">
            <v>45699</v>
          </cell>
          <cell r="D2187" t="str">
            <v>یونس صاحب</v>
          </cell>
          <cell r="E2187" t="str">
            <v>نورعلی لیہ</v>
          </cell>
        </row>
        <row r="2188">
          <cell r="A2188" t="str">
            <v>6620/3</v>
          </cell>
          <cell r="B2188">
            <v>6620</v>
          </cell>
          <cell r="C2188">
            <v>45699</v>
          </cell>
          <cell r="D2188" t="str">
            <v>یونس صاحب</v>
          </cell>
          <cell r="E2188" t="str">
            <v>نورعلی لیہ</v>
          </cell>
        </row>
        <row r="2189">
          <cell r="A2189" t="str">
            <v>6620/4</v>
          </cell>
          <cell r="B2189">
            <v>6620</v>
          </cell>
          <cell r="C2189">
            <v>45699</v>
          </cell>
          <cell r="D2189" t="str">
            <v>یونس صاحب</v>
          </cell>
          <cell r="E2189" t="str">
            <v>نورعلی لیہ</v>
          </cell>
        </row>
        <row r="2190">
          <cell r="A2190" t="str">
            <v>6620/5</v>
          </cell>
          <cell r="B2190">
            <v>6620</v>
          </cell>
          <cell r="C2190">
            <v>45699</v>
          </cell>
          <cell r="D2190" t="str">
            <v>یونس صاحب</v>
          </cell>
          <cell r="E2190" t="str">
            <v>نورعلی لیہ</v>
          </cell>
        </row>
        <row r="2191">
          <cell r="A2191" t="str">
            <v>6620/6</v>
          </cell>
          <cell r="B2191">
            <v>6620</v>
          </cell>
          <cell r="C2191">
            <v>45699</v>
          </cell>
          <cell r="D2191" t="str">
            <v>یونس صاحب</v>
          </cell>
          <cell r="E2191" t="str">
            <v>نورعلی لیہ</v>
          </cell>
        </row>
        <row r="2192">
          <cell r="A2192" t="str">
            <v>6620/7</v>
          </cell>
          <cell r="B2192">
            <v>6620</v>
          </cell>
          <cell r="C2192">
            <v>45699</v>
          </cell>
          <cell r="D2192" t="str">
            <v>یونس صاحب</v>
          </cell>
          <cell r="E2192" t="str">
            <v>نورعلی لیہ</v>
          </cell>
        </row>
        <row r="2193">
          <cell r="A2193" t="str">
            <v>6620/8</v>
          </cell>
          <cell r="B2193">
            <v>6620</v>
          </cell>
          <cell r="C2193">
            <v>45699</v>
          </cell>
          <cell r="D2193" t="str">
            <v>یونس صاحب</v>
          </cell>
          <cell r="E2193" t="str">
            <v>نورعلی لیہ</v>
          </cell>
        </row>
        <row r="2194">
          <cell r="A2194" t="str">
            <v>6620/9</v>
          </cell>
          <cell r="B2194">
            <v>6620</v>
          </cell>
          <cell r="C2194">
            <v>45699</v>
          </cell>
          <cell r="D2194" t="str">
            <v>یونس صاحب</v>
          </cell>
          <cell r="E2194" t="str">
            <v>نورعلی لیہ</v>
          </cell>
        </row>
        <row r="2195">
          <cell r="A2195" t="str">
            <v>6620/10</v>
          </cell>
          <cell r="B2195">
            <v>6620</v>
          </cell>
          <cell r="C2195">
            <v>45699</v>
          </cell>
          <cell r="D2195" t="str">
            <v>یونس صاحب</v>
          </cell>
          <cell r="E2195" t="str">
            <v>نورعلی لیہ</v>
          </cell>
        </row>
        <row r="2196">
          <cell r="A2196" t="str">
            <v>6620/11</v>
          </cell>
          <cell r="B2196">
            <v>6620</v>
          </cell>
          <cell r="C2196">
            <v>45699</v>
          </cell>
          <cell r="D2196" t="str">
            <v>یونس صاحب</v>
          </cell>
          <cell r="E2196" t="str">
            <v>نورعلی لیہ</v>
          </cell>
        </row>
        <row r="2197">
          <cell r="A2197" t="str">
            <v>6620/12</v>
          </cell>
          <cell r="B2197">
            <v>6620</v>
          </cell>
          <cell r="C2197">
            <v>45699</v>
          </cell>
          <cell r="D2197" t="str">
            <v>یونس صاحب</v>
          </cell>
          <cell r="E2197" t="str">
            <v>نورعلی لیہ</v>
          </cell>
        </row>
        <row r="2198">
          <cell r="A2198" t="str">
            <v>6621/1</v>
          </cell>
          <cell r="B2198">
            <v>6621</v>
          </cell>
          <cell r="C2198">
            <v>45700</v>
          </cell>
          <cell r="D2198" t="str">
            <v>یونس صاحب</v>
          </cell>
          <cell r="E2198" t="str">
            <v>گڈ لک شوز سگیاں پل</v>
          </cell>
        </row>
        <row r="2199">
          <cell r="A2199" t="str">
            <v>6623/1</v>
          </cell>
          <cell r="B2199">
            <v>6623</v>
          </cell>
          <cell r="C2199">
            <v>45700</v>
          </cell>
          <cell r="D2199" t="str">
            <v>یونس صاحب</v>
          </cell>
          <cell r="E2199" t="str">
            <v>العمر پلاسٹک گوجرانوالہ</v>
          </cell>
        </row>
        <row r="2200">
          <cell r="A2200" t="str">
            <v>6623/2</v>
          </cell>
          <cell r="B2200">
            <v>6623</v>
          </cell>
          <cell r="C2200">
            <v>45700</v>
          </cell>
          <cell r="D2200" t="str">
            <v>یونس صاحب</v>
          </cell>
          <cell r="E2200" t="str">
            <v>العمر پلاسٹک گوجرانوالہ</v>
          </cell>
        </row>
        <row r="2201">
          <cell r="A2201" t="str">
            <v>6623/3</v>
          </cell>
          <cell r="B2201">
            <v>6623</v>
          </cell>
          <cell r="C2201">
            <v>45700</v>
          </cell>
          <cell r="D2201" t="str">
            <v>یونس صاحب</v>
          </cell>
          <cell r="E2201" t="str">
            <v>العمر پلاسٹک گوجرانوالہ</v>
          </cell>
        </row>
        <row r="2202">
          <cell r="A2202" t="str">
            <v>6623/4</v>
          </cell>
          <cell r="B2202">
            <v>6623</v>
          </cell>
          <cell r="C2202">
            <v>45700</v>
          </cell>
          <cell r="D2202" t="str">
            <v>یونس صاحب</v>
          </cell>
          <cell r="E2202" t="str">
            <v>العمر پلاسٹک گوجرانوالہ</v>
          </cell>
        </row>
        <row r="2203">
          <cell r="A2203" t="str">
            <v>6624/1</v>
          </cell>
          <cell r="B2203">
            <v>6624</v>
          </cell>
          <cell r="C2203">
            <v>45700</v>
          </cell>
          <cell r="D2203" t="str">
            <v>یونس صاحب</v>
          </cell>
          <cell r="E2203" t="str">
            <v>العمر پلاسٹک گوجرانوالہ</v>
          </cell>
        </row>
        <row r="2204">
          <cell r="A2204" t="str">
            <v>6624/2</v>
          </cell>
          <cell r="B2204">
            <v>6624</v>
          </cell>
          <cell r="C2204">
            <v>45700</v>
          </cell>
          <cell r="D2204" t="str">
            <v>یونس صاحب</v>
          </cell>
          <cell r="E2204" t="str">
            <v>العمر پلاسٹک گوجرانوالہ</v>
          </cell>
        </row>
        <row r="2205">
          <cell r="A2205" t="str">
            <v>6624/3</v>
          </cell>
          <cell r="B2205">
            <v>6624</v>
          </cell>
          <cell r="C2205">
            <v>45700</v>
          </cell>
          <cell r="D2205" t="str">
            <v>یونس صاحب</v>
          </cell>
          <cell r="E2205" t="str">
            <v>العمر پلاسٹک گوجرانوالہ</v>
          </cell>
        </row>
        <row r="2206">
          <cell r="A2206" t="str">
            <v>6624/4</v>
          </cell>
          <cell r="B2206">
            <v>6624</v>
          </cell>
          <cell r="C2206">
            <v>45700</v>
          </cell>
          <cell r="D2206" t="str">
            <v>یونس صاحب</v>
          </cell>
          <cell r="E2206" t="str">
            <v>العمر پلاسٹک گوجرانوالہ</v>
          </cell>
        </row>
        <row r="2207">
          <cell r="A2207" t="str">
            <v>6624/5</v>
          </cell>
          <cell r="B2207">
            <v>6624</v>
          </cell>
          <cell r="C2207">
            <v>45700</v>
          </cell>
          <cell r="D2207" t="str">
            <v>یونس صاحب</v>
          </cell>
          <cell r="E2207" t="str">
            <v>العمر پلاسٹک گوجرانوالہ</v>
          </cell>
        </row>
        <row r="2208">
          <cell r="A2208" t="str">
            <v>6624/6</v>
          </cell>
          <cell r="B2208">
            <v>6624</v>
          </cell>
          <cell r="C2208">
            <v>45700</v>
          </cell>
          <cell r="D2208" t="str">
            <v>یونس صاحب</v>
          </cell>
          <cell r="E2208" t="str">
            <v>العمر پلاسٹک گوجرانوالہ</v>
          </cell>
        </row>
        <row r="2209">
          <cell r="A2209" t="str">
            <v>6624/7</v>
          </cell>
          <cell r="B2209">
            <v>6624</v>
          </cell>
          <cell r="C2209">
            <v>45700</v>
          </cell>
          <cell r="D2209" t="str">
            <v>یونس صاحب</v>
          </cell>
          <cell r="E2209" t="str">
            <v>العمر پلاسٹک گوجرانوالہ</v>
          </cell>
        </row>
        <row r="2210">
          <cell r="A2210" t="str">
            <v>6624/8</v>
          </cell>
          <cell r="B2210">
            <v>6624</v>
          </cell>
          <cell r="C2210">
            <v>45700</v>
          </cell>
          <cell r="D2210" t="str">
            <v>یونس صاحب</v>
          </cell>
          <cell r="E2210" t="str">
            <v>العمر پلاسٹک گوجرانوالہ</v>
          </cell>
        </row>
        <row r="2211">
          <cell r="A2211" t="str">
            <v>6624/9</v>
          </cell>
          <cell r="B2211">
            <v>6624</v>
          </cell>
          <cell r="C2211">
            <v>45700</v>
          </cell>
          <cell r="D2211" t="str">
            <v>یونس صاحب</v>
          </cell>
          <cell r="E2211" t="str">
            <v>العمر پلاسٹک گوجرانوالہ</v>
          </cell>
        </row>
        <row r="2212">
          <cell r="A2212" t="str">
            <v>6624/10</v>
          </cell>
          <cell r="B2212">
            <v>6624</v>
          </cell>
          <cell r="C2212">
            <v>45700</v>
          </cell>
          <cell r="D2212" t="str">
            <v>یونس صاحب</v>
          </cell>
          <cell r="E2212" t="str">
            <v>العمر پلاسٹک گوجرانوالہ</v>
          </cell>
        </row>
        <row r="2213">
          <cell r="A2213" t="str">
            <v>6624/11</v>
          </cell>
          <cell r="B2213">
            <v>6624</v>
          </cell>
          <cell r="C2213">
            <v>45700</v>
          </cell>
          <cell r="D2213" t="str">
            <v>یونس صاحب</v>
          </cell>
          <cell r="E2213" t="str">
            <v>العمر پلاسٹک گوجرانوالہ</v>
          </cell>
        </row>
        <row r="2214">
          <cell r="A2214" t="str">
            <v>6625/1</v>
          </cell>
          <cell r="B2214">
            <v>6625</v>
          </cell>
          <cell r="C2214">
            <v>45700</v>
          </cell>
          <cell r="D2214" t="str">
            <v>یونس صاحب</v>
          </cell>
          <cell r="E2214" t="str">
            <v>العمر پلاسٹک گوجرانوالہ</v>
          </cell>
        </row>
        <row r="2215">
          <cell r="A2215" t="str">
            <v>6625/2</v>
          </cell>
          <cell r="B2215">
            <v>6625</v>
          </cell>
          <cell r="C2215">
            <v>45700</v>
          </cell>
          <cell r="D2215" t="str">
            <v>یونس صاحب</v>
          </cell>
          <cell r="E2215" t="str">
            <v>العمر پلاسٹک گوجرانوالہ</v>
          </cell>
        </row>
        <row r="2216">
          <cell r="A2216" t="str">
            <v>6625/3</v>
          </cell>
          <cell r="B2216">
            <v>6625</v>
          </cell>
          <cell r="C2216">
            <v>45700</v>
          </cell>
          <cell r="D2216" t="str">
            <v>یونس صاحب</v>
          </cell>
          <cell r="E2216" t="str">
            <v>العمر پلاسٹک گوجرانوالہ</v>
          </cell>
        </row>
        <row r="2217">
          <cell r="A2217" t="str">
            <v>6625/4</v>
          </cell>
          <cell r="B2217">
            <v>6625</v>
          </cell>
          <cell r="C2217">
            <v>45700</v>
          </cell>
          <cell r="D2217" t="str">
            <v>یونس صاحب</v>
          </cell>
          <cell r="E2217" t="str">
            <v>العمر پلاسٹک گوجرانوالہ</v>
          </cell>
        </row>
        <row r="2218">
          <cell r="A2218" t="str">
            <v>6625/5</v>
          </cell>
          <cell r="B2218">
            <v>6625</v>
          </cell>
          <cell r="C2218">
            <v>45700</v>
          </cell>
          <cell r="D2218" t="str">
            <v>یونس صاحب</v>
          </cell>
          <cell r="E2218" t="str">
            <v>العمر پلاسٹک گوجرانوالہ</v>
          </cell>
        </row>
        <row r="2219">
          <cell r="A2219" t="str">
            <v>6625/6</v>
          </cell>
          <cell r="B2219">
            <v>6625</v>
          </cell>
          <cell r="C2219">
            <v>45700</v>
          </cell>
          <cell r="D2219" t="str">
            <v>یونس صاحب</v>
          </cell>
          <cell r="E2219" t="str">
            <v>العمر پلاسٹک گوجرانوالہ</v>
          </cell>
        </row>
        <row r="2220">
          <cell r="A2220" t="str">
            <v>6625/7</v>
          </cell>
          <cell r="B2220">
            <v>6625</v>
          </cell>
          <cell r="C2220">
            <v>45700</v>
          </cell>
          <cell r="D2220" t="str">
            <v>یونس صاحب</v>
          </cell>
          <cell r="E2220" t="str">
            <v>العمر پلاسٹک گوجرانوالہ</v>
          </cell>
        </row>
        <row r="2221">
          <cell r="A2221" t="str">
            <v>6625/8</v>
          </cell>
          <cell r="B2221">
            <v>6625</v>
          </cell>
          <cell r="C2221">
            <v>45700</v>
          </cell>
          <cell r="D2221" t="str">
            <v>یونس صاحب</v>
          </cell>
          <cell r="E2221" t="str">
            <v>العمر پلاسٹک گوجرانوالہ</v>
          </cell>
        </row>
        <row r="2222">
          <cell r="A2222" t="str">
            <v>6625/9</v>
          </cell>
          <cell r="B2222">
            <v>6625</v>
          </cell>
          <cell r="C2222">
            <v>45700</v>
          </cell>
          <cell r="D2222" t="str">
            <v>یونس صاحب</v>
          </cell>
          <cell r="E2222" t="str">
            <v>العمر پلاسٹک گوجرانوالہ</v>
          </cell>
        </row>
        <row r="2223">
          <cell r="A2223" t="str">
            <v>6626/1</v>
          </cell>
          <cell r="B2223">
            <v>6626</v>
          </cell>
          <cell r="C2223">
            <v>45700</v>
          </cell>
          <cell r="D2223" t="str">
            <v>یونس صاحب</v>
          </cell>
          <cell r="E2223" t="str">
            <v>خرم پلاسٹک لالہ موسی</v>
          </cell>
        </row>
        <row r="2224">
          <cell r="A2224" t="str">
            <v>6626/2</v>
          </cell>
          <cell r="B2224">
            <v>6626</v>
          </cell>
          <cell r="C2224">
            <v>45700</v>
          </cell>
          <cell r="D2224" t="str">
            <v>یونس صاحب</v>
          </cell>
          <cell r="E2224" t="str">
            <v>خرم پلاسٹک لالہ موسی</v>
          </cell>
        </row>
        <row r="2225">
          <cell r="A2225" t="str">
            <v>6626/3</v>
          </cell>
          <cell r="B2225">
            <v>6626</v>
          </cell>
          <cell r="C2225">
            <v>45700</v>
          </cell>
          <cell r="D2225" t="str">
            <v>یونس صاحب</v>
          </cell>
          <cell r="E2225" t="str">
            <v>خرم پلاسٹک لالہ موسی</v>
          </cell>
        </row>
        <row r="2226">
          <cell r="A2226" t="str">
            <v>6626/4</v>
          </cell>
          <cell r="B2226">
            <v>6626</v>
          </cell>
          <cell r="C2226">
            <v>45700</v>
          </cell>
          <cell r="D2226" t="str">
            <v>یونس صاحب</v>
          </cell>
          <cell r="E2226" t="str">
            <v>خرم پلاسٹک لالہ موسی</v>
          </cell>
        </row>
        <row r="2227">
          <cell r="A2227" t="str">
            <v>6626/5</v>
          </cell>
          <cell r="B2227">
            <v>6626</v>
          </cell>
          <cell r="C2227">
            <v>45700</v>
          </cell>
          <cell r="D2227" t="str">
            <v>یونس صاحب</v>
          </cell>
          <cell r="E2227" t="str">
            <v>خرم پلاسٹک لالہ موسی</v>
          </cell>
        </row>
        <row r="2228">
          <cell r="A2228" t="str">
            <v>6626/6</v>
          </cell>
          <cell r="B2228">
            <v>6626</v>
          </cell>
          <cell r="C2228">
            <v>45700</v>
          </cell>
          <cell r="D2228" t="str">
            <v>یونس صاحب</v>
          </cell>
          <cell r="E2228" t="str">
            <v>خرم پلاسٹک لالہ موسی</v>
          </cell>
        </row>
        <row r="2229">
          <cell r="A2229" t="str">
            <v>6627/1</v>
          </cell>
          <cell r="B2229">
            <v>6627</v>
          </cell>
          <cell r="C2229">
            <v>45700</v>
          </cell>
          <cell r="D2229" t="str">
            <v>یونس صاحب</v>
          </cell>
          <cell r="E2229" t="str">
            <v>ملک خالد سلیم فیصل آباد</v>
          </cell>
        </row>
        <row r="2230">
          <cell r="A2230" t="str">
            <v>6627/2</v>
          </cell>
          <cell r="B2230">
            <v>6627</v>
          </cell>
          <cell r="C2230">
            <v>45700</v>
          </cell>
          <cell r="D2230" t="str">
            <v>یونس صاحب</v>
          </cell>
          <cell r="E2230" t="str">
            <v>ملک خالد سلیم فیصل آباد</v>
          </cell>
        </row>
        <row r="2231">
          <cell r="A2231" t="str">
            <v>6627/3</v>
          </cell>
          <cell r="B2231">
            <v>6627</v>
          </cell>
          <cell r="C2231">
            <v>45700</v>
          </cell>
          <cell r="D2231" t="str">
            <v>یونس صاحب</v>
          </cell>
          <cell r="E2231" t="str">
            <v>ملک خالد سلیم فیصل آباد</v>
          </cell>
        </row>
        <row r="2232">
          <cell r="A2232" t="str">
            <v>6627/4</v>
          </cell>
          <cell r="B2232">
            <v>6627</v>
          </cell>
          <cell r="C2232">
            <v>45700</v>
          </cell>
          <cell r="D2232" t="str">
            <v>یونس صاحب</v>
          </cell>
          <cell r="E2232" t="str">
            <v>ملک خالد سلیم فیصل آباد</v>
          </cell>
        </row>
        <row r="2233">
          <cell r="A2233" t="str">
            <v>6627/5</v>
          </cell>
          <cell r="B2233">
            <v>6627</v>
          </cell>
          <cell r="C2233">
            <v>45700</v>
          </cell>
          <cell r="D2233" t="str">
            <v>یونس صاحب</v>
          </cell>
          <cell r="E2233" t="str">
            <v>ملک خالد سلیم فیصل آباد</v>
          </cell>
        </row>
        <row r="2234">
          <cell r="A2234" t="str">
            <v>6627/6</v>
          </cell>
          <cell r="B2234">
            <v>6627</v>
          </cell>
          <cell r="C2234">
            <v>45700</v>
          </cell>
          <cell r="D2234" t="str">
            <v>یونس صاحب</v>
          </cell>
          <cell r="E2234" t="str">
            <v>ملک خالد سلیم فیصل آباد</v>
          </cell>
        </row>
        <row r="2235">
          <cell r="A2235" t="str">
            <v>6627/7</v>
          </cell>
          <cell r="B2235">
            <v>6627</v>
          </cell>
          <cell r="C2235">
            <v>45700</v>
          </cell>
          <cell r="D2235" t="str">
            <v>یونس صاحب</v>
          </cell>
          <cell r="E2235" t="str">
            <v>ملک خالد سلیم فیصل آباد</v>
          </cell>
        </row>
        <row r="2236">
          <cell r="A2236" t="str">
            <v>6627/8</v>
          </cell>
          <cell r="B2236">
            <v>6627</v>
          </cell>
          <cell r="C2236">
            <v>45700</v>
          </cell>
          <cell r="D2236" t="str">
            <v>یونس صاحب</v>
          </cell>
          <cell r="E2236" t="str">
            <v>ملک خالد سلیم فیصل آباد</v>
          </cell>
        </row>
        <row r="2237">
          <cell r="A2237" t="str">
            <v>6627/9</v>
          </cell>
          <cell r="B2237">
            <v>6627</v>
          </cell>
          <cell r="C2237">
            <v>45700</v>
          </cell>
          <cell r="D2237" t="str">
            <v>یونس صاحب</v>
          </cell>
          <cell r="E2237" t="str">
            <v>ملک خالد سلیم فیصل آباد</v>
          </cell>
        </row>
        <row r="2238">
          <cell r="A2238" t="str">
            <v>6627/10</v>
          </cell>
          <cell r="B2238">
            <v>6627</v>
          </cell>
          <cell r="C2238">
            <v>45700</v>
          </cell>
          <cell r="D2238" t="str">
            <v>یونس صاحب</v>
          </cell>
          <cell r="E2238" t="str">
            <v>ملک خالد سلیم فیصل آباد</v>
          </cell>
        </row>
        <row r="2239">
          <cell r="A2239" t="str">
            <v>6627/11</v>
          </cell>
          <cell r="B2239">
            <v>6627</v>
          </cell>
          <cell r="C2239">
            <v>45700</v>
          </cell>
          <cell r="D2239" t="str">
            <v>یونس صاحب</v>
          </cell>
          <cell r="E2239" t="str">
            <v>ملک خالد سلیم فیصل آباد</v>
          </cell>
        </row>
        <row r="2240">
          <cell r="A2240" t="str">
            <v>6627/12</v>
          </cell>
          <cell r="B2240">
            <v>6627</v>
          </cell>
          <cell r="C2240">
            <v>45700</v>
          </cell>
          <cell r="D2240" t="str">
            <v>یونس صاحب</v>
          </cell>
          <cell r="E2240" t="str">
            <v>ملک خالد سلیم فیصل آباد</v>
          </cell>
        </row>
        <row r="2241">
          <cell r="A2241" t="str">
            <v>6627/13</v>
          </cell>
          <cell r="B2241">
            <v>6627</v>
          </cell>
          <cell r="C2241">
            <v>45700</v>
          </cell>
          <cell r="D2241" t="str">
            <v>یونس صاحب</v>
          </cell>
          <cell r="E2241" t="str">
            <v>ملک خالد سلیم فیصل آباد</v>
          </cell>
        </row>
        <row r="2242">
          <cell r="A2242" t="str">
            <v>6627/14</v>
          </cell>
          <cell r="B2242">
            <v>6627</v>
          </cell>
          <cell r="C2242">
            <v>45700</v>
          </cell>
          <cell r="D2242" t="str">
            <v>یونس صاحب</v>
          </cell>
          <cell r="E2242" t="str">
            <v>ملک خالد سلیم فیصل آباد</v>
          </cell>
        </row>
        <row r="2243">
          <cell r="A2243" t="str">
            <v>6627/15</v>
          </cell>
          <cell r="B2243">
            <v>6627</v>
          </cell>
          <cell r="C2243">
            <v>45700</v>
          </cell>
          <cell r="D2243" t="str">
            <v>یونس صاحب</v>
          </cell>
          <cell r="E2243" t="str">
            <v>ملک خالد سلیم فیصل آباد</v>
          </cell>
        </row>
        <row r="2244">
          <cell r="A2244" t="str">
            <v>6627/16</v>
          </cell>
          <cell r="B2244">
            <v>6627</v>
          </cell>
          <cell r="C2244">
            <v>45700</v>
          </cell>
          <cell r="D2244" t="str">
            <v>یونس صاحب</v>
          </cell>
          <cell r="E2244" t="str">
            <v>ملک خالد سلیم فیصل آباد</v>
          </cell>
        </row>
        <row r="2245">
          <cell r="A2245" t="str">
            <v>6627/17</v>
          </cell>
          <cell r="B2245">
            <v>6627</v>
          </cell>
          <cell r="C2245">
            <v>45700</v>
          </cell>
          <cell r="D2245" t="str">
            <v>یونس صاحب</v>
          </cell>
          <cell r="E2245" t="str">
            <v>ملک خالد سلیم فیصل آباد</v>
          </cell>
        </row>
        <row r="2246">
          <cell r="A2246" t="str">
            <v>6627/18</v>
          </cell>
          <cell r="B2246">
            <v>6627</v>
          </cell>
          <cell r="C2246">
            <v>45700</v>
          </cell>
          <cell r="D2246" t="str">
            <v>یونس صاحب</v>
          </cell>
          <cell r="E2246" t="str">
            <v>ملک خالد سلیم فیصل آباد</v>
          </cell>
        </row>
        <row r="2247">
          <cell r="A2247" t="str">
            <v>6627/19</v>
          </cell>
          <cell r="B2247">
            <v>6627</v>
          </cell>
          <cell r="C2247">
            <v>45700</v>
          </cell>
          <cell r="D2247" t="str">
            <v>یونس صاحب</v>
          </cell>
          <cell r="E2247" t="str">
            <v>ملک خالد سلیم فیصل آباد</v>
          </cell>
        </row>
        <row r="2248">
          <cell r="A2248" t="str">
            <v>6627/20</v>
          </cell>
          <cell r="B2248">
            <v>6627</v>
          </cell>
          <cell r="C2248">
            <v>45700</v>
          </cell>
          <cell r="D2248" t="str">
            <v>یونس صاحب</v>
          </cell>
          <cell r="E2248" t="str">
            <v>ملک خالد سلیم فیصل آباد</v>
          </cell>
        </row>
        <row r="2249">
          <cell r="A2249" t="str">
            <v>6627/21</v>
          </cell>
          <cell r="B2249">
            <v>6627</v>
          </cell>
          <cell r="C2249">
            <v>45700</v>
          </cell>
          <cell r="D2249" t="str">
            <v>یونس صاحب</v>
          </cell>
          <cell r="E2249" t="str">
            <v>ملک خالد سلیم فیصل آباد</v>
          </cell>
        </row>
        <row r="2250">
          <cell r="A2250" t="str">
            <v>6627/22</v>
          </cell>
          <cell r="B2250">
            <v>6627</v>
          </cell>
          <cell r="C2250">
            <v>45700</v>
          </cell>
          <cell r="D2250" t="str">
            <v>یونس صاحب</v>
          </cell>
          <cell r="E2250" t="str">
            <v>ملک خالد سلیم فیصل آباد</v>
          </cell>
        </row>
        <row r="2251">
          <cell r="A2251" t="str">
            <v>6627/23</v>
          </cell>
          <cell r="B2251">
            <v>6627</v>
          </cell>
          <cell r="C2251">
            <v>45700</v>
          </cell>
          <cell r="D2251" t="str">
            <v>یونس صاحب</v>
          </cell>
          <cell r="E2251" t="str">
            <v>ملک خالد سلیم فیصل آباد</v>
          </cell>
        </row>
        <row r="2252">
          <cell r="A2252" t="str">
            <v>6627/24</v>
          </cell>
          <cell r="B2252">
            <v>6627</v>
          </cell>
          <cell r="C2252">
            <v>45700</v>
          </cell>
          <cell r="D2252" t="str">
            <v>یونس صاحب</v>
          </cell>
          <cell r="E2252" t="str">
            <v>ملک خالد سلیم فیصل آباد</v>
          </cell>
        </row>
        <row r="2253">
          <cell r="A2253" t="str">
            <v>6628/1</v>
          </cell>
          <cell r="B2253">
            <v>6628</v>
          </cell>
          <cell r="C2253">
            <v>45700</v>
          </cell>
          <cell r="D2253" t="str">
            <v>یونس صاحب</v>
          </cell>
          <cell r="E2253" t="str">
            <v>فقیر پلاسٹک عارف والا</v>
          </cell>
        </row>
        <row r="2254">
          <cell r="A2254" t="str">
            <v>6628/2</v>
          </cell>
          <cell r="B2254">
            <v>6628</v>
          </cell>
          <cell r="C2254">
            <v>45700</v>
          </cell>
          <cell r="D2254" t="str">
            <v>یونس صاحب</v>
          </cell>
          <cell r="E2254" t="str">
            <v>فقیر پلاسٹک عارف والا</v>
          </cell>
        </row>
        <row r="2255">
          <cell r="A2255" t="str">
            <v>6628/3</v>
          </cell>
          <cell r="B2255">
            <v>6628</v>
          </cell>
          <cell r="C2255">
            <v>45700</v>
          </cell>
          <cell r="D2255" t="str">
            <v>یونس صاحب</v>
          </cell>
          <cell r="E2255" t="str">
            <v>فقیر پلاسٹک عارف والا</v>
          </cell>
        </row>
        <row r="2256">
          <cell r="A2256" t="str">
            <v>6629/1</v>
          </cell>
          <cell r="B2256">
            <v>6629</v>
          </cell>
          <cell r="C2256">
            <v>45701</v>
          </cell>
          <cell r="D2256" t="str">
            <v>یونس صاحب</v>
          </cell>
          <cell r="E2256" t="str">
            <v>وہاڑی پلاسٹک وہاڑی</v>
          </cell>
        </row>
        <row r="2257">
          <cell r="A2257" t="str">
            <v>6630/1</v>
          </cell>
          <cell r="B2257">
            <v>6630</v>
          </cell>
          <cell r="C2257">
            <v>45701</v>
          </cell>
          <cell r="D2257" t="str">
            <v>یونس صاحب</v>
          </cell>
          <cell r="E2257" t="str">
            <v>علمد بن حاصلپور</v>
          </cell>
        </row>
        <row r="2258">
          <cell r="A2258" t="str">
            <v>6631/1</v>
          </cell>
          <cell r="B2258">
            <v>6631</v>
          </cell>
          <cell r="C2258">
            <v>45701</v>
          </cell>
          <cell r="D2258" t="str">
            <v>یونس صاحب</v>
          </cell>
          <cell r="E2258" t="str">
            <v>حاجی اسلماعیل وہاڑی</v>
          </cell>
        </row>
        <row r="2259">
          <cell r="A2259" t="str">
            <v>6631/2</v>
          </cell>
          <cell r="B2259">
            <v>6631</v>
          </cell>
          <cell r="C2259">
            <v>45701</v>
          </cell>
          <cell r="D2259" t="str">
            <v>یونس صاحب</v>
          </cell>
          <cell r="E2259" t="str">
            <v>حاجی اسلماعیل وہاڑی</v>
          </cell>
        </row>
        <row r="2260">
          <cell r="A2260" t="str">
            <v>6631/3</v>
          </cell>
          <cell r="B2260">
            <v>6631</v>
          </cell>
          <cell r="C2260">
            <v>45701</v>
          </cell>
          <cell r="D2260" t="str">
            <v>یونس صاحب</v>
          </cell>
          <cell r="E2260" t="str">
            <v>حاجی اسلماعیل وہاڑی</v>
          </cell>
        </row>
        <row r="2261">
          <cell r="A2261" t="str">
            <v>6631/4</v>
          </cell>
          <cell r="B2261">
            <v>6631</v>
          </cell>
          <cell r="C2261">
            <v>45701</v>
          </cell>
          <cell r="D2261" t="str">
            <v>یونس صاحب</v>
          </cell>
          <cell r="E2261" t="str">
            <v>حاجی اسلماعیل وہاڑی</v>
          </cell>
        </row>
        <row r="2262">
          <cell r="A2262" t="str">
            <v>6631/5</v>
          </cell>
          <cell r="B2262">
            <v>6631</v>
          </cell>
          <cell r="C2262">
            <v>45701</v>
          </cell>
          <cell r="D2262" t="str">
            <v>یونس صاحب</v>
          </cell>
          <cell r="E2262" t="str">
            <v>حاجی اسلماعیل وہاڑی</v>
          </cell>
        </row>
        <row r="2263">
          <cell r="A2263" t="str">
            <v>6631/6</v>
          </cell>
          <cell r="B2263">
            <v>6631</v>
          </cell>
          <cell r="C2263">
            <v>45701</v>
          </cell>
          <cell r="D2263" t="str">
            <v>یونس صاحب</v>
          </cell>
          <cell r="E2263" t="str">
            <v>حاجی اسلماعیل وہاڑی</v>
          </cell>
        </row>
        <row r="2264">
          <cell r="A2264">
            <v>2700</v>
          </cell>
          <cell r="B2264"/>
          <cell r="C2264">
            <v>45708</v>
          </cell>
          <cell r="D2264" t="str">
            <v>JILANI</v>
          </cell>
          <cell r="E2264" t="str">
            <v>SINUAGE</v>
          </cell>
        </row>
        <row r="2265">
          <cell r="A2265" t="str">
            <v>860 J</v>
          </cell>
          <cell r="B2265">
            <v>11313</v>
          </cell>
          <cell r="C2265">
            <v>45706</v>
          </cell>
          <cell r="D2265" t="str">
            <v>JILANI</v>
          </cell>
          <cell r="E2265" t="str">
            <v>عارف کڑاھی لاہور</v>
          </cell>
        </row>
        <row r="2266">
          <cell r="A2266" t="str">
            <v>861 J</v>
          </cell>
          <cell r="B2266">
            <v>11314</v>
          </cell>
          <cell r="C2266">
            <v>45706</v>
          </cell>
          <cell r="D2266" t="str">
            <v>JILANI</v>
          </cell>
          <cell r="E2266" t="str">
            <v>عالم پرنٹرز بٹ خیلہ</v>
          </cell>
        </row>
        <row r="2267">
          <cell r="A2267" t="str">
            <v>862 J</v>
          </cell>
          <cell r="B2267">
            <v>11315</v>
          </cell>
          <cell r="C2267">
            <v>45706</v>
          </cell>
          <cell r="D2267" t="str">
            <v>JILANI</v>
          </cell>
          <cell r="E2267" t="str">
            <v>توصیف بٹ گوجرانوالہ</v>
          </cell>
        </row>
        <row r="2268">
          <cell r="A2268" t="str">
            <v>863 J</v>
          </cell>
          <cell r="B2268">
            <v>11315</v>
          </cell>
          <cell r="C2268">
            <v>45706</v>
          </cell>
          <cell r="D2268" t="str">
            <v>JILANI</v>
          </cell>
          <cell r="E2268" t="str">
            <v>توصیف بٹ گوجرانوالہ</v>
          </cell>
        </row>
        <row r="2269">
          <cell r="A2269" t="str">
            <v>864 J</v>
          </cell>
          <cell r="B2269">
            <v>11315</v>
          </cell>
          <cell r="C2269">
            <v>45706</v>
          </cell>
          <cell r="D2269" t="str">
            <v>JILANI</v>
          </cell>
          <cell r="E2269" t="str">
            <v>توصیف بٹ گوجرانوالہ</v>
          </cell>
        </row>
        <row r="2270">
          <cell r="A2270" t="str">
            <v>865 J</v>
          </cell>
          <cell r="B2270">
            <v>11316</v>
          </cell>
          <cell r="C2270">
            <v>45706</v>
          </cell>
          <cell r="D2270" t="str">
            <v>JILANI</v>
          </cell>
          <cell r="E2270" t="str">
            <v>عرفان صاحب اعظم مارکیٹ</v>
          </cell>
        </row>
        <row r="2271">
          <cell r="A2271" t="str">
            <v>866 J</v>
          </cell>
          <cell r="B2271">
            <v>11317</v>
          </cell>
          <cell r="C2271">
            <v>45706</v>
          </cell>
          <cell r="D2271" t="str">
            <v>JILANI</v>
          </cell>
          <cell r="E2271" t="str">
            <v>عالم پرنٹرز بٹ خیلہ</v>
          </cell>
        </row>
        <row r="2272">
          <cell r="A2272" t="str">
            <v>867 J</v>
          </cell>
          <cell r="B2272">
            <v>11317</v>
          </cell>
          <cell r="C2272">
            <v>45706</v>
          </cell>
          <cell r="D2272" t="str">
            <v>JILANI</v>
          </cell>
          <cell r="E2272" t="str">
            <v>عالم پرنٹرز بٹ خیلہ</v>
          </cell>
        </row>
        <row r="2273">
          <cell r="A2273" t="str">
            <v>868 J</v>
          </cell>
          <cell r="B2273">
            <v>11317</v>
          </cell>
          <cell r="C2273">
            <v>45706</v>
          </cell>
          <cell r="D2273" t="str">
            <v>JILANI</v>
          </cell>
          <cell r="E2273" t="str">
            <v>عالم پرنٹرز بٹ خیلہ</v>
          </cell>
        </row>
        <row r="2274">
          <cell r="A2274" t="str">
            <v>869 J</v>
          </cell>
          <cell r="B2274">
            <v>11317</v>
          </cell>
          <cell r="C2274">
            <v>45706</v>
          </cell>
          <cell r="D2274" t="str">
            <v>JILANI</v>
          </cell>
          <cell r="E2274" t="str">
            <v>عالم پرنٹرز بٹ خیلہ</v>
          </cell>
        </row>
        <row r="2275">
          <cell r="A2275" t="str">
            <v>870 J</v>
          </cell>
          <cell r="B2275">
            <v>11318</v>
          </cell>
          <cell r="C2275">
            <v>45706</v>
          </cell>
          <cell r="D2275" t="str">
            <v>JILANI</v>
          </cell>
          <cell r="E2275" t="str">
            <v>پنجاب رسک لاہور</v>
          </cell>
        </row>
        <row r="2276">
          <cell r="A2276" t="str">
            <v>871 J</v>
          </cell>
          <cell r="B2276">
            <v>11318</v>
          </cell>
          <cell r="C2276">
            <v>45706</v>
          </cell>
          <cell r="D2276" t="str">
            <v>JILANI</v>
          </cell>
          <cell r="E2276" t="str">
            <v>پنجاب رسک لاہور</v>
          </cell>
        </row>
        <row r="2277">
          <cell r="A2277" t="str">
            <v>872 J</v>
          </cell>
          <cell r="B2277">
            <v>11319</v>
          </cell>
          <cell r="C2277">
            <v>45706</v>
          </cell>
          <cell r="D2277" t="str">
            <v>JILANI</v>
          </cell>
          <cell r="E2277" t="str">
            <v>حماد پلاسٹک گوجرانوالہ</v>
          </cell>
        </row>
        <row r="2278">
          <cell r="A2278" t="str">
            <v>873 J</v>
          </cell>
          <cell r="B2278">
            <v>11320</v>
          </cell>
          <cell r="C2278">
            <v>45706</v>
          </cell>
          <cell r="D2278" t="str">
            <v>JILANI</v>
          </cell>
          <cell r="E2278" t="str">
            <v>اصغر بٹ گوجرانولہ</v>
          </cell>
        </row>
        <row r="2279">
          <cell r="A2279" t="str">
            <v>874 J</v>
          </cell>
          <cell r="B2279">
            <v>11320</v>
          </cell>
          <cell r="C2279">
            <v>45706</v>
          </cell>
          <cell r="D2279" t="str">
            <v>JILANI</v>
          </cell>
          <cell r="E2279" t="str">
            <v>اصغر بٹ گوجرانولہ</v>
          </cell>
        </row>
        <row r="2280">
          <cell r="A2280" t="str">
            <v>875 J</v>
          </cell>
          <cell r="B2280">
            <v>11320</v>
          </cell>
          <cell r="C2280">
            <v>45706</v>
          </cell>
          <cell r="D2280" t="str">
            <v>JILANI</v>
          </cell>
          <cell r="E2280" t="str">
            <v>اصغر بٹ گوجرانولہ</v>
          </cell>
        </row>
        <row r="2281">
          <cell r="A2281" t="str">
            <v>876 J</v>
          </cell>
          <cell r="B2281">
            <v>11321</v>
          </cell>
          <cell r="C2281">
            <v>45706</v>
          </cell>
          <cell r="D2281" t="str">
            <v>JILANI</v>
          </cell>
          <cell r="E2281" t="str">
            <v>موسی صاحب لاہور</v>
          </cell>
        </row>
        <row r="2282">
          <cell r="A2282" t="str">
            <v>877 J</v>
          </cell>
          <cell r="B2282">
            <v>11322</v>
          </cell>
          <cell r="C2282">
            <v>45706</v>
          </cell>
          <cell r="D2282" t="str">
            <v>JILANI</v>
          </cell>
          <cell r="E2282" t="str">
            <v>بک کارنر جہلم</v>
          </cell>
        </row>
        <row r="2283">
          <cell r="A2283" t="str">
            <v>878 J</v>
          </cell>
          <cell r="B2283">
            <v>11323</v>
          </cell>
          <cell r="C2283">
            <v>45706</v>
          </cell>
          <cell r="D2283" t="str">
            <v>JILANI</v>
          </cell>
          <cell r="E2283" t="str">
            <v>مدنی پرنٹنگ پریس نارنگ منڈی</v>
          </cell>
        </row>
        <row r="2284">
          <cell r="A2284" t="str">
            <v>879 J</v>
          </cell>
          <cell r="B2284">
            <v>11323</v>
          </cell>
          <cell r="C2284">
            <v>45706</v>
          </cell>
          <cell r="D2284" t="str">
            <v>JILANI</v>
          </cell>
          <cell r="E2284" t="str">
            <v>مدنی پرنٹنگ پریس نارنگ منڈی</v>
          </cell>
        </row>
        <row r="2285">
          <cell r="A2285" t="str">
            <v>880 J</v>
          </cell>
          <cell r="B2285">
            <v>11324</v>
          </cell>
          <cell r="C2285">
            <v>45706</v>
          </cell>
          <cell r="D2285" t="str">
            <v>JILANI</v>
          </cell>
          <cell r="E2285" t="str">
            <v>عالم پرنٹرز بٹ خیلہ</v>
          </cell>
        </row>
        <row r="2286">
          <cell r="A2286" t="str">
            <v>881 J</v>
          </cell>
          <cell r="B2286">
            <v>11325</v>
          </cell>
          <cell r="C2286">
            <v>45706</v>
          </cell>
          <cell r="D2286" t="str">
            <v>JILANI</v>
          </cell>
          <cell r="E2286" t="str">
            <v>معظمی پلاسٹک ساہیوال</v>
          </cell>
        </row>
        <row r="2287">
          <cell r="A2287" t="str">
            <v>882 J</v>
          </cell>
          <cell r="B2287">
            <v>11326</v>
          </cell>
          <cell r="C2287">
            <v>45706</v>
          </cell>
          <cell r="D2287" t="str">
            <v>JILANI</v>
          </cell>
          <cell r="E2287" t="str">
            <v>ایچ اے انڈسٹریز پشاور</v>
          </cell>
        </row>
        <row r="2288">
          <cell r="A2288" t="str">
            <v>883 J</v>
          </cell>
          <cell r="B2288">
            <v>11327</v>
          </cell>
          <cell r="C2288">
            <v>45706</v>
          </cell>
          <cell r="D2288" t="str">
            <v>JILANI</v>
          </cell>
          <cell r="E2288" t="str">
            <v>حرم نور کولیکشن لاہور</v>
          </cell>
        </row>
        <row r="2289">
          <cell r="A2289" t="str">
            <v>884 J</v>
          </cell>
          <cell r="B2289">
            <v>11328</v>
          </cell>
          <cell r="C2289">
            <v>45706</v>
          </cell>
          <cell r="D2289" t="str">
            <v>JILANI</v>
          </cell>
          <cell r="E2289" t="str">
            <v>امارات پلاسٹک ٹھوکر نیاز بیگ</v>
          </cell>
        </row>
        <row r="2290">
          <cell r="A2290" t="str">
            <v>885 J</v>
          </cell>
          <cell r="B2290">
            <v>11329</v>
          </cell>
          <cell r="C2290">
            <v>45706</v>
          </cell>
          <cell r="D2290" t="str">
            <v>JILANI</v>
          </cell>
          <cell r="E2290" t="str">
            <v>آر ایس سویٹس اینڈ بیکرز ننکانہ صاحب</v>
          </cell>
        </row>
        <row r="2291">
          <cell r="A2291" t="str">
            <v>886 J</v>
          </cell>
          <cell r="B2291">
            <v>11329</v>
          </cell>
          <cell r="C2291">
            <v>45706</v>
          </cell>
          <cell r="D2291" t="str">
            <v>JILANI</v>
          </cell>
          <cell r="E2291" t="str">
            <v>آر ایس سویٹس اینڈ بیکرز ننکانہ صاحب</v>
          </cell>
        </row>
        <row r="2292">
          <cell r="A2292" t="str">
            <v>887 J</v>
          </cell>
          <cell r="B2292">
            <v>11329</v>
          </cell>
          <cell r="C2292">
            <v>45706</v>
          </cell>
          <cell r="D2292" t="str">
            <v>JILANI</v>
          </cell>
          <cell r="E2292" t="str">
            <v>آر ایس سویٹس اینڈ بیکرز ننکانہ صاحب</v>
          </cell>
        </row>
        <row r="2293">
          <cell r="A2293" t="str">
            <v>888 J</v>
          </cell>
          <cell r="B2293">
            <v>11330</v>
          </cell>
          <cell r="C2293">
            <v>45706</v>
          </cell>
          <cell r="D2293" t="str">
            <v>JILANI</v>
          </cell>
          <cell r="E2293" t="str">
            <v>لاہور فارمز لاہور</v>
          </cell>
        </row>
        <row r="2294">
          <cell r="A2294" t="str">
            <v>889 J</v>
          </cell>
          <cell r="B2294">
            <v>11331</v>
          </cell>
          <cell r="C2294">
            <v>45706</v>
          </cell>
          <cell r="D2294" t="str">
            <v>JILANI</v>
          </cell>
          <cell r="E2294" t="str">
            <v>عثمان عارف بٹ گوجرانولہ</v>
          </cell>
        </row>
        <row r="2295">
          <cell r="A2295" t="str">
            <v>890 J</v>
          </cell>
          <cell r="B2295">
            <v>11331</v>
          </cell>
          <cell r="C2295">
            <v>45706</v>
          </cell>
          <cell r="D2295" t="str">
            <v>JILANI</v>
          </cell>
          <cell r="E2295" t="str">
            <v>عثمان عارف بٹ گوجرانولہ</v>
          </cell>
        </row>
        <row r="2296">
          <cell r="A2296" t="str">
            <v>891 J</v>
          </cell>
          <cell r="B2296">
            <v>11331</v>
          </cell>
          <cell r="C2296">
            <v>45706</v>
          </cell>
          <cell r="D2296" t="str">
            <v>JILANI</v>
          </cell>
          <cell r="E2296" t="str">
            <v>عثمان عارف بٹ گوجرانولہ</v>
          </cell>
        </row>
        <row r="2297">
          <cell r="A2297" t="str">
            <v>892 J</v>
          </cell>
          <cell r="B2297">
            <v>11331</v>
          </cell>
          <cell r="C2297">
            <v>45706</v>
          </cell>
          <cell r="D2297" t="str">
            <v>JILANI</v>
          </cell>
          <cell r="E2297" t="str">
            <v>عثمان عارف بٹ گوجرانولہ</v>
          </cell>
        </row>
        <row r="2298">
          <cell r="A2298" t="str">
            <v>893 J</v>
          </cell>
          <cell r="B2298">
            <v>11332</v>
          </cell>
          <cell r="C2298">
            <v>45706</v>
          </cell>
          <cell r="D2298" t="str">
            <v>JILANI</v>
          </cell>
          <cell r="E2298" t="str">
            <v>عثمان عارف بٹ گوجرانولہ</v>
          </cell>
        </row>
        <row r="2299">
          <cell r="A2299" t="str">
            <v>894 J</v>
          </cell>
          <cell r="B2299">
            <v>11333</v>
          </cell>
          <cell r="C2299">
            <v>45706</v>
          </cell>
          <cell r="D2299" t="str">
            <v>JILANI</v>
          </cell>
          <cell r="E2299" t="str">
            <v>البراق  ڈیپارٹمنٹ سٹور لاہور</v>
          </cell>
        </row>
        <row r="2300">
          <cell r="A2300" t="str">
            <v>895 J</v>
          </cell>
          <cell r="B2300">
            <v>11333</v>
          </cell>
          <cell r="C2300">
            <v>45706</v>
          </cell>
          <cell r="D2300" t="str">
            <v>JILANI</v>
          </cell>
          <cell r="E2300" t="str">
            <v>البراق  ڈیپارٹمنٹ سٹور لاہور</v>
          </cell>
        </row>
        <row r="2301">
          <cell r="A2301" t="str">
            <v>896 J</v>
          </cell>
          <cell r="B2301">
            <v>11333</v>
          </cell>
          <cell r="C2301">
            <v>45706</v>
          </cell>
          <cell r="D2301" t="str">
            <v>JILANI</v>
          </cell>
          <cell r="E2301" t="str">
            <v>البراق  ڈیپارٹمنٹ سٹور لاہور</v>
          </cell>
        </row>
        <row r="2302">
          <cell r="A2302" t="str">
            <v>897 J</v>
          </cell>
          <cell r="B2302">
            <v>11334</v>
          </cell>
          <cell r="C2302">
            <v>45706</v>
          </cell>
          <cell r="D2302" t="str">
            <v>JILANI</v>
          </cell>
          <cell r="E2302" t="str">
            <v>الرضا گارمنٹس شاہ عالم لاہور</v>
          </cell>
        </row>
        <row r="2303">
          <cell r="A2303" t="str">
            <v>898 J</v>
          </cell>
          <cell r="B2303">
            <v>11335</v>
          </cell>
          <cell r="C2303">
            <v>45706</v>
          </cell>
          <cell r="D2303" t="str">
            <v>JILANI</v>
          </cell>
          <cell r="E2303" t="str">
            <v>رضا گارمنٹس لاہور</v>
          </cell>
        </row>
        <row r="2304">
          <cell r="A2304" t="str">
            <v>899 J</v>
          </cell>
          <cell r="B2304">
            <v>11336</v>
          </cell>
          <cell r="C2304">
            <v>45706</v>
          </cell>
          <cell r="D2304" t="str">
            <v>JILANI</v>
          </cell>
          <cell r="E2304" t="str">
            <v>راشد منہاس C/Oباٹا اینڈ سروس</v>
          </cell>
        </row>
        <row r="2305">
          <cell r="A2305" t="str">
            <v>900 J</v>
          </cell>
          <cell r="B2305">
            <v>11336</v>
          </cell>
          <cell r="C2305">
            <v>45706</v>
          </cell>
          <cell r="D2305" t="str">
            <v>JILANI</v>
          </cell>
          <cell r="E2305" t="str">
            <v>راشد منہاس C/Oباٹا اینڈ سروس</v>
          </cell>
        </row>
        <row r="2306">
          <cell r="A2306" t="str">
            <v>901 J</v>
          </cell>
          <cell r="B2306">
            <v>11337</v>
          </cell>
          <cell r="C2306">
            <v>45706</v>
          </cell>
          <cell r="D2306" t="str">
            <v>JILANI</v>
          </cell>
          <cell r="E2306" t="str">
            <v>رضا گارمنٹس لاہور</v>
          </cell>
        </row>
        <row r="2307">
          <cell r="A2307" t="str">
            <v>902 J</v>
          </cell>
          <cell r="B2307">
            <v>11338</v>
          </cell>
          <cell r="C2307">
            <v>45706</v>
          </cell>
          <cell r="D2307" t="str">
            <v>JILANI</v>
          </cell>
          <cell r="E2307" t="str">
            <v>وسیم شاپر ہاوس اعظم مارکیٹ</v>
          </cell>
        </row>
        <row r="2308">
          <cell r="A2308" t="str">
            <v>903 J</v>
          </cell>
          <cell r="B2308">
            <v>11338</v>
          </cell>
          <cell r="C2308">
            <v>45706</v>
          </cell>
          <cell r="D2308" t="str">
            <v>JILANI</v>
          </cell>
          <cell r="E2308" t="str">
            <v>وسیم شاپر ہاوس اعظم مارکیٹ</v>
          </cell>
        </row>
        <row r="2309">
          <cell r="A2309" t="str">
            <v>904 J</v>
          </cell>
          <cell r="B2309">
            <v>11338</v>
          </cell>
          <cell r="C2309">
            <v>45706</v>
          </cell>
          <cell r="D2309" t="str">
            <v>JILANI</v>
          </cell>
          <cell r="E2309" t="str">
            <v>وسیم شاپر ہاوس اعظم مارکیٹ</v>
          </cell>
        </row>
        <row r="2310">
          <cell r="A2310" t="str">
            <v>905 J</v>
          </cell>
          <cell r="B2310">
            <v>11339</v>
          </cell>
          <cell r="C2310">
            <v>45706</v>
          </cell>
          <cell r="D2310" t="str">
            <v>JILANI</v>
          </cell>
          <cell r="E2310" t="str">
            <v>وسیم شاپر ہاوس اعظم مارکیٹ</v>
          </cell>
        </row>
        <row r="2311">
          <cell r="A2311" t="str">
            <v>906 J</v>
          </cell>
          <cell r="B2311">
            <v>11340</v>
          </cell>
          <cell r="C2311">
            <v>45706</v>
          </cell>
          <cell r="D2311" t="str">
            <v>JILANI</v>
          </cell>
          <cell r="E2311" t="str">
            <v>وسیم شاپر ہاوس اعظم مارکیٹ</v>
          </cell>
        </row>
        <row r="2312">
          <cell r="A2312" t="str">
            <v>1116 F</v>
          </cell>
          <cell r="B2312"/>
          <cell r="C2312">
            <v>45708</v>
          </cell>
          <cell r="D2312" t="str">
            <v>فینا</v>
          </cell>
          <cell r="E2312" t="str">
            <v>عثمان امین</v>
          </cell>
        </row>
        <row r="2313">
          <cell r="A2313" t="str">
            <v>1117 F</v>
          </cell>
          <cell r="B2313"/>
          <cell r="C2313">
            <v>45708</v>
          </cell>
          <cell r="D2313" t="str">
            <v>فینا</v>
          </cell>
          <cell r="E2313" t="str">
            <v>عثمان امین</v>
          </cell>
        </row>
        <row r="2314">
          <cell r="A2314" t="str">
            <v>1118 F</v>
          </cell>
          <cell r="B2314"/>
          <cell r="C2314">
            <v>45708</v>
          </cell>
          <cell r="D2314" t="str">
            <v>فینا</v>
          </cell>
          <cell r="E2314" t="str">
            <v>عثمان امین</v>
          </cell>
        </row>
        <row r="2315">
          <cell r="A2315" t="str">
            <v>1119 F</v>
          </cell>
          <cell r="B2315"/>
          <cell r="C2315">
            <v>45708</v>
          </cell>
          <cell r="D2315" t="str">
            <v>فینا</v>
          </cell>
          <cell r="E2315" t="str">
            <v>عثمان امین</v>
          </cell>
        </row>
        <row r="2316">
          <cell r="A2316" t="str">
            <v>1120 F</v>
          </cell>
          <cell r="B2316"/>
          <cell r="C2316">
            <v>45708</v>
          </cell>
          <cell r="D2316" t="str">
            <v>فینا</v>
          </cell>
          <cell r="E2316" t="str">
            <v>عثمان امین</v>
          </cell>
        </row>
        <row r="2317">
          <cell r="A2317" t="str">
            <v>1121 F</v>
          </cell>
          <cell r="B2317"/>
          <cell r="C2317">
            <v>45708</v>
          </cell>
          <cell r="D2317" t="str">
            <v>فینا</v>
          </cell>
          <cell r="E2317" t="str">
            <v>عثمان امین</v>
          </cell>
        </row>
        <row r="2318">
          <cell r="A2318" t="str">
            <v>1122 F</v>
          </cell>
          <cell r="B2318"/>
          <cell r="C2318">
            <v>45708</v>
          </cell>
          <cell r="D2318" t="str">
            <v>فینا</v>
          </cell>
          <cell r="E2318" t="str">
            <v>عثمان امین</v>
          </cell>
        </row>
        <row r="2319">
          <cell r="A2319" t="str">
            <v>1123 F</v>
          </cell>
          <cell r="B2319"/>
          <cell r="C2319">
            <v>45708</v>
          </cell>
          <cell r="D2319" t="str">
            <v>فینا</v>
          </cell>
          <cell r="E2319" t="str">
            <v>عثمان امین</v>
          </cell>
        </row>
        <row r="2320">
          <cell r="A2320" t="str">
            <v>1124 F</v>
          </cell>
          <cell r="B2320"/>
          <cell r="C2320">
            <v>45708</v>
          </cell>
          <cell r="D2320" t="str">
            <v>فینا</v>
          </cell>
          <cell r="E2320" t="str">
            <v>عثمان امین</v>
          </cell>
        </row>
        <row r="2321">
          <cell r="A2321" t="str">
            <v>1125 F</v>
          </cell>
          <cell r="B2321"/>
          <cell r="C2321">
            <v>45708</v>
          </cell>
          <cell r="D2321" t="str">
            <v>فینا</v>
          </cell>
          <cell r="E2321" t="str">
            <v>عثمان امین</v>
          </cell>
        </row>
        <row r="2322">
          <cell r="A2322" t="str">
            <v>1126 F</v>
          </cell>
          <cell r="B2322"/>
          <cell r="C2322">
            <v>45708</v>
          </cell>
          <cell r="D2322" t="str">
            <v>فینا</v>
          </cell>
          <cell r="E2322" t="str">
            <v>عثمان امین</v>
          </cell>
        </row>
        <row r="2323">
          <cell r="A2323">
            <v>2701</v>
          </cell>
          <cell r="B2323"/>
          <cell r="C2323">
            <v>45709</v>
          </cell>
          <cell r="D2323" t="str">
            <v>PLASTIC</v>
          </cell>
          <cell r="E2323" t="str">
            <v>USMAN AMIN FINA</v>
          </cell>
        </row>
        <row r="2324">
          <cell r="A2324" t="str">
            <v>1127 F</v>
          </cell>
          <cell r="B2324"/>
          <cell r="C2324">
            <v>45709</v>
          </cell>
          <cell r="D2324" t="str">
            <v>فینا</v>
          </cell>
          <cell r="E2324" t="str">
            <v>عثمان امین</v>
          </cell>
        </row>
        <row r="2325">
          <cell r="A2325" t="str">
            <v>1128 F</v>
          </cell>
          <cell r="B2325"/>
          <cell r="C2325">
            <v>45709</v>
          </cell>
          <cell r="D2325" t="str">
            <v>فینا</v>
          </cell>
          <cell r="E2325" t="str">
            <v>عثمان امین</v>
          </cell>
        </row>
        <row r="2326">
          <cell r="A2326" t="str">
            <v>1129 F</v>
          </cell>
          <cell r="B2326"/>
          <cell r="C2326">
            <v>45709</v>
          </cell>
          <cell r="D2326" t="str">
            <v>فینا</v>
          </cell>
          <cell r="E2326" t="str">
            <v>عثمان امین</v>
          </cell>
        </row>
        <row r="2327">
          <cell r="A2327" t="str">
            <v>1130 F</v>
          </cell>
          <cell r="B2327"/>
          <cell r="C2327">
            <v>45709</v>
          </cell>
          <cell r="D2327" t="str">
            <v>فینا</v>
          </cell>
          <cell r="E2327" t="str">
            <v>عثمان امین</v>
          </cell>
        </row>
        <row r="2328">
          <cell r="A2328" t="str">
            <v>1131 F</v>
          </cell>
          <cell r="B2328"/>
          <cell r="C2328">
            <v>45709</v>
          </cell>
          <cell r="D2328" t="str">
            <v>فینا</v>
          </cell>
          <cell r="E2328" t="str">
            <v>عثمان امین</v>
          </cell>
        </row>
        <row r="2329">
          <cell r="A2329" t="str">
            <v>1132 F</v>
          </cell>
          <cell r="B2329"/>
          <cell r="C2329">
            <v>45709</v>
          </cell>
          <cell r="D2329" t="str">
            <v>فینا</v>
          </cell>
          <cell r="E2329" t="str">
            <v>عثمان امین</v>
          </cell>
        </row>
        <row r="2330">
          <cell r="A2330" t="str">
            <v>1133 F</v>
          </cell>
          <cell r="B2330"/>
          <cell r="C2330">
            <v>45709</v>
          </cell>
          <cell r="D2330" t="str">
            <v>فینا</v>
          </cell>
          <cell r="E2330" t="str">
            <v>عثمان امین</v>
          </cell>
        </row>
        <row r="2331">
          <cell r="A2331" t="str">
            <v>1134 F</v>
          </cell>
          <cell r="B2331"/>
          <cell r="C2331">
            <v>45710</v>
          </cell>
          <cell r="D2331" t="str">
            <v>فینا</v>
          </cell>
          <cell r="E2331" t="str">
            <v>عثمان امین</v>
          </cell>
        </row>
        <row r="2332">
          <cell r="A2332" t="str">
            <v>1135 F</v>
          </cell>
          <cell r="B2332"/>
          <cell r="C2332">
            <v>45710</v>
          </cell>
          <cell r="D2332" t="str">
            <v>فینا</v>
          </cell>
          <cell r="E2332" t="str">
            <v>عثمان امین</v>
          </cell>
        </row>
        <row r="2333">
          <cell r="A2333" t="str">
            <v>1136 F</v>
          </cell>
          <cell r="B2333"/>
          <cell r="C2333">
            <v>45710</v>
          </cell>
          <cell r="D2333" t="str">
            <v>فینا</v>
          </cell>
          <cell r="E2333" t="str">
            <v>عثمان امین</v>
          </cell>
        </row>
        <row r="2334">
          <cell r="A2334" t="str">
            <v>1137 F</v>
          </cell>
          <cell r="B2334"/>
          <cell r="C2334">
            <v>45710</v>
          </cell>
          <cell r="D2334" t="str">
            <v>فینا</v>
          </cell>
          <cell r="E2334" t="str">
            <v>عثمان امین</v>
          </cell>
        </row>
        <row r="2335">
          <cell r="A2335" t="str">
            <v>907 J</v>
          </cell>
          <cell r="B2335">
            <v>11341</v>
          </cell>
          <cell r="C2335">
            <v>45707</v>
          </cell>
          <cell r="D2335" t="str">
            <v>JILANI</v>
          </cell>
          <cell r="E2335" t="str">
            <v>برجر پینٹ لاہور</v>
          </cell>
        </row>
        <row r="2336">
          <cell r="A2336" t="str">
            <v>908 J</v>
          </cell>
          <cell r="B2336">
            <v>11342</v>
          </cell>
          <cell r="C2336">
            <v>45707</v>
          </cell>
          <cell r="D2336" t="str">
            <v>JILANI</v>
          </cell>
          <cell r="E2336" t="str">
            <v>برجر پینٹ لاہور</v>
          </cell>
        </row>
        <row r="2337">
          <cell r="A2337" t="str">
            <v>909 J</v>
          </cell>
          <cell r="B2337">
            <v>11343</v>
          </cell>
          <cell r="C2337">
            <v>45707</v>
          </cell>
          <cell r="D2337" t="str">
            <v>JILANI</v>
          </cell>
          <cell r="E2337" t="str">
            <v>نصیر صاحب چنیوٹ</v>
          </cell>
        </row>
        <row r="2338">
          <cell r="A2338" t="str">
            <v>910 J</v>
          </cell>
          <cell r="B2338">
            <v>11344</v>
          </cell>
          <cell r="C2338">
            <v>45707</v>
          </cell>
          <cell r="D2338" t="str">
            <v>JILANI</v>
          </cell>
          <cell r="E2338" t="str">
            <v>محبوب پرنٹرز گوجرانوالہ</v>
          </cell>
        </row>
        <row r="2339">
          <cell r="A2339" t="str">
            <v>911 J</v>
          </cell>
          <cell r="B2339">
            <v>11344</v>
          </cell>
          <cell r="C2339">
            <v>45707</v>
          </cell>
          <cell r="D2339" t="str">
            <v>JILANI</v>
          </cell>
          <cell r="E2339" t="str">
            <v>محبوب پرنٹرز گوجرانوالہ</v>
          </cell>
        </row>
        <row r="2340">
          <cell r="A2340" t="str">
            <v>912 J</v>
          </cell>
          <cell r="B2340">
            <v>11345</v>
          </cell>
          <cell r="C2340">
            <v>45707</v>
          </cell>
          <cell r="D2340" t="str">
            <v>JILANI</v>
          </cell>
          <cell r="E2340" t="str">
            <v>محبوب پرنٹرز گوجرانوالہ</v>
          </cell>
        </row>
        <row r="2341">
          <cell r="A2341" t="str">
            <v>913 J</v>
          </cell>
          <cell r="B2341">
            <v>11345</v>
          </cell>
          <cell r="C2341">
            <v>45707</v>
          </cell>
          <cell r="D2341" t="str">
            <v>JILANI</v>
          </cell>
          <cell r="E2341" t="str">
            <v>محبوب پرنٹرز گوجرانوالہ</v>
          </cell>
        </row>
        <row r="2342">
          <cell r="A2342" t="str">
            <v>914 J</v>
          </cell>
          <cell r="B2342">
            <v>11346</v>
          </cell>
          <cell r="C2342">
            <v>45707</v>
          </cell>
          <cell r="D2342" t="str">
            <v>JILANI</v>
          </cell>
          <cell r="E2342" t="str">
            <v>فضل ربی چکوال</v>
          </cell>
        </row>
        <row r="2343">
          <cell r="A2343" t="str">
            <v>915 J</v>
          </cell>
          <cell r="B2343">
            <v>11347</v>
          </cell>
          <cell r="C2343">
            <v>45707</v>
          </cell>
          <cell r="D2343" t="str">
            <v>JILANI</v>
          </cell>
          <cell r="E2343" t="str">
            <v>ولایت بٹ لالہ موسی</v>
          </cell>
        </row>
        <row r="2344">
          <cell r="A2344" t="str">
            <v>916 J</v>
          </cell>
          <cell r="B2344">
            <v>11347</v>
          </cell>
          <cell r="C2344">
            <v>45707</v>
          </cell>
          <cell r="D2344" t="str">
            <v>JILANI</v>
          </cell>
          <cell r="E2344" t="str">
            <v>ولایت بٹ لالہ موسی</v>
          </cell>
        </row>
        <row r="2345">
          <cell r="A2345" t="str">
            <v>917 J</v>
          </cell>
          <cell r="B2345">
            <v>11347</v>
          </cell>
          <cell r="C2345">
            <v>45707</v>
          </cell>
          <cell r="D2345" t="str">
            <v>JILANI</v>
          </cell>
          <cell r="E2345" t="str">
            <v>ولایت بٹ لالہ موسی</v>
          </cell>
        </row>
        <row r="2346">
          <cell r="A2346" t="str">
            <v>918 J</v>
          </cell>
          <cell r="B2346">
            <v>11347</v>
          </cell>
          <cell r="C2346">
            <v>45707</v>
          </cell>
          <cell r="D2346" t="str">
            <v>JILANI</v>
          </cell>
          <cell r="E2346" t="str">
            <v>ولایت بٹ لالہ موسی</v>
          </cell>
        </row>
        <row r="2347">
          <cell r="A2347" t="str">
            <v>919 J</v>
          </cell>
          <cell r="B2347">
            <v>11348</v>
          </cell>
          <cell r="C2347">
            <v>45707</v>
          </cell>
          <cell r="D2347" t="str">
            <v>JILANI</v>
          </cell>
          <cell r="E2347" t="str">
            <v>وسیم شاپر ہاوس اعظم مارکیٹ</v>
          </cell>
        </row>
        <row r="2348">
          <cell r="A2348" t="str">
            <v>920 J</v>
          </cell>
          <cell r="B2348">
            <v>11348</v>
          </cell>
          <cell r="C2348">
            <v>45707</v>
          </cell>
          <cell r="D2348" t="str">
            <v>JILANI</v>
          </cell>
          <cell r="E2348" t="str">
            <v>وسیم شاپر ہاوس اعظم مارکیٹ</v>
          </cell>
        </row>
        <row r="2349">
          <cell r="A2349" t="str">
            <v>921 J</v>
          </cell>
          <cell r="B2349">
            <v>11348</v>
          </cell>
          <cell r="C2349">
            <v>45707</v>
          </cell>
          <cell r="D2349" t="str">
            <v>JILANI</v>
          </cell>
          <cell r="E2349" t="str">
            <v>وسیم شاپر ہاوس اعظم مارکیٹ</v>
          </cell>
        </row>
        <row r="2350">
          <cell r="A2350" t="str">
            <v>922 J</v>
          </cell>
          <cell r="B2350">
            <v>11348</v>
          </cell>
          <cell r="C2350">
            <v>45707</v>
          </cell>
          <cell r="D2350" t="str">
            <v>JILANI</v>
          </cell>
          <cell r="E2350" t="str">
            <v>وسیم شاپر ہاوس اعظم مارکیٹ</v>
          </cell>
        </row>
        <row r="2351">
          <cell r="A2351" t="str">
            <v>923 J</v>
          </cell>
          <cell r="B2351">
            <v>11348</v>
          </cell>
          <cell r="C2351">
            <v>45707</v>
          </cell>
          <cell r="D2351" t="str">
            <v>JILANI</v>
          </cell>
          <cell r="E2351" t="str">
            <v>وسیم شاپر ہاوس اعظم مارکیٹ</v>
          </cell>
        </row>
        <row r="2352">
          <cell r="A2352" t="str">
            <v>924 J</v>
          </cell>
          <cell r="B2352">
            <v>11349</v>
          </cell>
          <cell r="C2352">
            <v>45707</v>
          </cell>
          <cell r="D2352" t="str">
            <v>JILANI</v>
          </cell>
          <cell r="E2352" t="str">
            <v>مدنی پرنٹنگ پریس نارنگ منڈی</v>
          </cell>
        </row>
        <row r="2353">
          <cell r="A2353" t="str">
            <v>925 J</v>
          </cell>
          <cell r="B2353">
            <v>11350</v>
          </cell>
          <cell r="C2353">
            <v>45707</v>
          </cell>
          <cell r="D2353" t="str">
            <v>JILANI</v>
          </cell>
          <cell r="E2353" t="str">
            <v>عالم پرنٹرز بٹ خیلہ</v>
          </cell>
        </row>
        <row r="2354">
          <cell r="A2354" t="str">
            <v>926 J</v>
          </cell>
          <cell r="B2354">
            <v>11350</v>
          </cell>
          <cell r="C2354">
            <v>45707</v>
          </cell>
          <cell r="D2354" t="str">
            <v>JILANI</v>
          </cell>
          <cell r="E2354" t="str">
            <v>عالم پرنٹرز بٹ خیلہ</v>
          </cell>
        </row>
        <row r="2355">
          <cell r="A2355" t="str">
            <v>927 J</v>
          </cell>
          <cell r="B2355">
            <v>11351</v>
          </cell>
          <cell r="C2355">
            <v>45707</v>
          </cell>
          <cell r="D2355" t="str">
            <v>JILANI</v>
          </cell>
          <cell r="E2355" t="str">
            <v>عالم پرنٹرز بٹ خیلہ</v>
          </cell>
        </row>
        <row r="2356">
          <cell r="A2356" t="str">
            <v>928 J</v>
          </cell>
          <cell r="B2356">
            <v>11351</v>
          </cell>
          <cell r="C2356">
            <v>45707</v>
          </cell>
          <cell r="D2356" t="str">
            <v>JILANI</v>
          </cell>
          <cell r="E2356" t="str">
            <v>عالم پرنٹرز بٹ خیلہ</v>
          </cell>
        </row>
        <row r="2357">
          <cell r="A2357" t="str">
            <v>929 J</v>
          </cell>
          <cell r="B2357">
            <v>11352</v>
          </cell>
          <cell r="C2357">
            <v>45707</v>
          </cell>
          <cell r="D2357" t="str">
            <v>JILANI</v>
          </cell>
          <cell r="E2357" t="str">
            <v>احسان کاٹن پراڈکٹس</v>
          </cell>
        </row>
        <row r="2358">
          <cell r="A2358" t="str">
            <v>930 J</v>
          </cell>
          <cell r="B2358">
            <v>11352</v>
          </cell>
          <cell r="C2358">
            <v>45707</v>
          </cell>
          <cell r="D2358" t="str">
            <v>JILANI</v>
          </cell>
          <cell r="E2358" t="str">
            <v>احسان کاٹن پراڈکٹس</v>
          </cell>
        </row>
        <row r="2359">
          <cell r="A2359" t="str">
            <v>931 J</v>
          </cell>
          <cell r="B2359">
            <v>11353</v>
          </cell>
          <cell r="C2359">
            <v>45707</v>
          </cell>
          <cell r="D2359" t="str">
            <v>JILANI</v>
          </cell>
          <cell r="E2359" t="str">
            <v>احسان کاٹن پراڈکٹس</v>
          </cell>
        </row>
        <row r="2360">
          <cell r="A2360" t="str">
            <v>932 J</v>
          </cell>
          <cell r="B2360">
            <v>11353</v>
          </cell>
          <cell r="C2360">
            <v>45707</v>
          </cell>
          <cell r="D2360" t="str">
            <v>JILANI</v>
          </cell>
          <cell r="E2360" t="str">
            <v>احسان کاٹن پراڈکٹس</v>
          </cell>
        </row>
        <row r="2361">
          <cell r="A2361" t="str">
            <v>933 J</v>
          </cell>
          <cell r="B2361">
            <v>11353</v>
          </cell>
          <cell r="C2361">
            <v>45707</v>
          </cell>
          <cell r="D2361" t="str">
            <v>JILANI</v>
          </cell>
          <cell r="E2361" t="str">
            <v>احسان کاٹن پراڈکٹس</v>
          </cell>
        </row>
        <row r="2362">
          <cell r="A2362" t="str">
            <v>934 J</v>
          </cell>
          <cell r="B2362">
            <v>11353</v>
          </cell>
          <cell r="C2362">
            <v>45707</v>
          </cell>
          <cell r="D2362" t="str">
            <v>JILANI</v>
          </cell>
          <cell r="E2362" t="str">
            <v>احسان کاٹن پراڈکٹس</v>
          </cell>
        </row>
        <row r="2363">
          <cell r="A2363" t="str">
            <v>935 J</v>
          </cell>
          <cell r="B2363">
            <v>11354</v>
          </cell>
          <cell r="C2363">
            <v>45707</v>
          </cell>
          <cell r="D2363" t="str">
            <v>JILANI</v>
          </cell>
          <cell r="E2363" t="str">
            <v>واہ نوبل پرائیویٹ لمیٹڈ</v>
          </cell>
        </row>
        <row r="2364">
          <cell r="A2364" t="str">
            <v>936 J</v>
          </cell>
          <cell r="B2364">
            <v>11355</v>
          </cell>
          <cell r="C2364">
            <v>45707</v>
          </cell>
          <cell r="D2364" t="str">
            <v>JILANI</v>
          </cell>
          <cell r="E2364" t="str">
            <v>واہ نوبل پرائیویٹ لمیٹڈ</v>
          </cell>
        </row>
        <row r="2365">
          <cell r="A2365" t="str">
            <v>937 J</v>
          </cell>
          <cell r="B2365">
            <v>11356</v>
          </cell>
          <cell r="C2365">
            <v>45707</v>
          </cell>
          <cell r="D2365" t="str">
            <v>JILANI</v>
          </cell>
          <cell r="E2365" t="str">
            <v>واہ نوبل پرائیویٹ لمیٹڈ</v>
          </cell>
        </row>
        <row r="2366">
          <cell r="A2366" t="str">
            <v>938 J</v>
          </cell>
          <cell r="B2366">
            <v>11357</v>
          </cell>
          <cell r="C2366">
            <v>45707</v>
          </cell>
          <cell r="D2366" t="str">
            <v>JILANI</v>
          </cell>
          <cell r="E2366" t="str">
            <v>فاروق ٹیکسٹائل لاہور</v>
          </cell>
        </row>
        <row r="2367">
          <cell r="A2367" t="str">
            <v>939 J</v>
          </cell>
          <cell r="B2367">
            <v>11358</v>
          </cell>
          <cell r="C2367">
            <v>45708</v>
          </cell>
          <cell r="D2367" t="str">
            <v>JILANI</v>
          </cell>
          <cell r="E2367" t="str">
            <v>لیاقت بھٹی رنگ محل لاہور</v>
          </cell>
        </row>
        <row r="2368">
          <cell r="A2368" t="str">
            <v>940 J</v>
          </cell>
          <cell r="B2368">
            <v>11358</v>
          </cell>
          <cell r="C2368">
            <v>45708</v>
          </cell>
          <cell r="D2368" t="str">
            <v>JILANI</v>
          </cell>
          <cell r="E2368" t="str">
            <v>لیاقت بھٹی رنگ محل لاہور</v>
          </cell>
        </row>
        <row r="2369">
          <cell r="A2369" t="str">
            <v>941 J</v>
          </cell>
          <cell r="B2369">
            <v>11358</v>
          </cell>
          <cell r="C2369">
            <v>45708</v>
          </cell>
          <cell r="D2369" t="str">
            <v>JILANI</v>
          </cell>
          <cell r="E2369" t="str">
            <v>لیاقت بھٹی رنگ محل لاہور</v>
          </cell>
        </row>
        <row r="2370">
          <cell r="A2370" t="str">
            <v>942 J</v>
          </cell>
          <cell r="B2370">
            <v>11358</v>
          </cell>
          <cell r="C2370">
            <v>45708</v>
          </cell>
          <cell r="D2370" t="str">
            <v>JILANI</v>
          </cell>
          <cell r="E2370" t="str">
            <v>لیاقت بھٹی رنگ محل لاہور</v>
          </cell>
        </row>
        <row r="2371">
          <cell r="A2371" t="str">
            <v>943 J</v>
          </cell>
          <cell r="B2371">
            <v>11359</v>
          </cell>
          <cell r="C2371">
            <v>45708</v>
          </cell>
          <cell r="D2371" t="str">
            <v>JILANI</v>
          </cell>
          <cell r="E2371" t="str">
            <v>سبحان ٹریڈرز آوٹ فال روڈ لاہور</v>
          </cell>
        </row>
        <row r="2372">
          <cell r="A2372" t="str">
            <v>944 J</v>
          </cell>
          <cell r="B2372">
            <v>11359</v>
          </cell>
          <cell r="C2372">
            <v>45708</v>
          </cell>
          <cell r="D2372" t="str">
            <v>JILANI</v>
          </cell>
          <cell r="E2372" t="str">
            <v>سبحان ٹریڈرز آوٹ فال روڈ لاہور</v>
          </cell>
        </row>
        <row r="2373">
          <cell r="A2373" t="str">
            <v>945 J</v>
          </cell>
          <cell r="B2373">
            <v>11360</v>
          </cell>
          <cell r="C2373">
            <v>45708</v>
          </cell>
          <cell r="D2373" t="str">
            <v>JILANI</v>
          </cell>
          <cell r="E2373" t="str">
            <v>پاک سویٹس خانکاہ ڈوگراں</v>
          </cell>
        </row>
        <row r="2374">
          <cell r="A2374" t="str">
            <v>946 J</v>
          </cell>
          <cell r="B2374">
            <v>11360</v>
          </cell>
          <cell r="C2374">
            <v>45708</v>
          </cell>
          <cell r="D2374" t="str">
            <v>JILANI</v>
          </cell>
          <cell r="E2374" t="str">
            <v>پاک سویٹس خانکاہ ڈوگراں</v>
          </cell>
        </row>
        <row r="2375">
          <cell r="A2375" t="str">
            <v>947 J</v>
          </cell>
          <cell r="B2375">
            <v>11360</v>
          </cell>
          <cell r="C2375">
            <v>45708</v>
          </cell>
          <cell r="D2375" t="str">
            <v>JILANI</v>
          </cell>
          <cell r="E2375" t="str">
            <v>پاک سویٹس خانکاہ ڈوگراں</v>
          </cell>
        </row>
        <row r="2376">
          <cell r="A2376" t="str">
            <v>948 J</v>
          </cell>
          <cell r="B2376">
            <v>11361</v>
          </cell>
          <cell r="C2376">
            <v>45708</v>
          </cell>
          <cell r="D2376" t="str">
            <v>JILANI</v>
          </cell>
          <cell r="E2376" t="str">
            <v>نواب جیلانی پلاسٹک لیہ</v>
          </cell>
        </row>
        <row r="2377">
          <cell r="A2377" t="str">
            <v>949 J</v>
          </cell>
          <cell r="B2377">
            <v>11362</v>
          </cell>
          <cell r="C2377">
            <v>45708</v>
          </cell>
          <cell r="D2377" t="str">
            <v>JILANI</v>
          </cell>
          <cell r="E2377" t="str">
            <v>نواب جیلانی پلاسٹک لیہ</v>
          </cell>
        </row>
        <row r="2378">
          <cell r="A2378" t="str">
            <v>950 J</v>
          </cell>
          <cell r="B2378">
            <v>11363</v>
          </cell>
          <cell r="C2378">
            <v>45708</v>
          </cell>
          <cell r="D2378" t="str">
            <v>JILANI</v>
          </cell>
          <cell r="E2378" t="str">
            <v>زاہد محمود شاہ عالم لاہور</v>
          </cell>
        </row>
        <row r="2379">
          <cell r="A2379" t="str">
            <v>951 J</v>
          </cell>
          <cell r="B2379">
            <v>11363</v>
          </cell>
          <cell r="C2379">
            <v>45708</v>
          </cell>
          <cell r="D2379" t="str">
            <v>JILANI</v>
          </cell>
          <cell r="E2379" t="str">
            <v>زاہد محمود شاہ عالم لاہور</v>
          </cell>
        </row>
        <row r="2380">
          <cell r="A2380" t="str">
            <v>952 J</v>
          </cell>
          <cell r="B2380">
            <v>11363</v>
          </cell>
          <cell r="C2380">
            <v>45708</v>
          </cell>
          <cell r="D2380" t="str">
            <v>JILANI</v>
          </cell>
          <cell r="E2380" t="str">
            <v>زاہد محمود شاہ عالم لاہور</v>
          </cell>
        </row>
        <row r="2381">
          <cell r="A2381" t="str">
            <v>953 J</v>
          </cell>
          <cell r="B2381">
            <v>11363</v>
          </cell>
          <cell r="C2381">
            <v>45708</v>
          </cell>
          <cell r="D2381" t="str">
            <v>JILANI</v>
          </cell>
          <cell r="E2381" t="str">
            <v>زاہد محمود شاہ عالم لاہور</v>
          </cell>
        </row>
        <row r="2382">
          <cell r="A2382" t="str">
            <v>954 J</v>
          </cell>
          <cell r="B2382">
            <v>11364</v>
          </cell>
          <cell r="C2382">
            <v>45708</v>
          </cell>
          <cell r="D2382" t="str">
            <v>JILANI</v>
          </cell>
          <cell r="E2382" t="str">
            <v>ایم کے بی پشاور</v>
          </cell>
        </row>
        <row r="2383">
          <cell r="A2383" t="str">
            <v>955 J</v>
          </cell>
          <cell r="B2383">
            <v>11365</v>
          </cell>
          <cell r="C2383">
            <v>45708</v>
          </cell>
          <cell r="D2383" t="str">
            <v>JILANI</v>
          </cell>
          <cell r="E2383" t="str">
            <v>ہبلے انٹرنیشنل اقبال ٹاؤن لاہور</v>
          </cell>
        </row>
        <row r="2384">
          <cell r="A2384" t="str">
            <v>956 J</v>
          </cell>
          <cell r="B2384" t="str">
            <v>-</v>
          </cell>
          <cell r="C2384">
            <v>45708</v>
          </cell>
          <cell r="D2384" t="str">
            <v>-</v>
          </cell>
          <cell r="E2384" t="str">
            <v>-</v>
          </cell>
        </row>
        <row r="2385">
          <cell r="A2385" t="str">
            <v>957 J</v>
          </cell>
          <cell r="B2385">
            <v>11366</v>
          </cell>
          <cell r="C2385">
            <v>45708</v>
          </cell>
          <cell r="D2385" t="str">
            <v>JILANI</v>
          </cell>
          <cell r="E2385" t="str">
            <v>صاحبزادہ پرنٹنگ سرائے نارنگ</v>
          </cell>
        </row>
        <row r="2386">
          <cell r="A2386" t="str">
            <v>958 J</v>
          </cell>
          <cell r="B2386">
            <v>11367</v>
          </cell>
          <cell r="C2386">
            <v>45708</v>
          </cell>
          <cell r="D2386" t="str">
            <v>JILANI</v>
          </cell>
          <cell r="E2386" t="str">
            <v>صاحبزادہ پرنٹنگ سرائے نارنگ</v>
          </cell>
        </row>
        <row r="2387">
          <cell r="A2387" t="str">
            <v>959 J</v>
          </cell>
          <cell r="B2387">
            <v>11368</v>
          </cell>
          <cell r="C2387">
            <v>45708</v>
          </cell>
          <cell r="D2387" t="str">
            <v>JILANI</v>
          </cell>
          <cell r="E2387" t="str">
            <v>صاحبزادہ پرنٹنگ سرائے نارنگ</v>
          </cell>
        </row>
        <row r="2388">
          <cell r="A2388" t="str">
            <v>960 J</v>
          </cell>
          <cell r="B2388">
            <v>11369</v>
          </cell>
          <cell r="C2388">
            <v>45708</v>
          </cell>
          <cell r="D2388" t="str">
            <v>JILANI</v>
          </cell>
          <cell r="E2388" t="str">
            <v>حسن فیبرکس لاہور</v>
          </cell>
        </row>
        <row r="2389">
          <cell r="A2389" t="str">
            <v>961 J</v>
          </cell>
          <cell r="B2389">
            <v>11370</v>
          </cell>
          <cell r="C2389">
            <v>45708</v>
          </cell>
          <cell r="D2389" t="str">
            <v>JILANI</v>
          </cell>
          <cell r="E2389" t="str">
            <v>حسن فیبرکس لاہور</v>
          </cell>
        </row>
        <row r="2390">
          <cell r="A2390" t="str">
            <v>962 J</v>
          </cell>
          <cell r="B2390"/>
          <cell r="C2390">
            <v>45708</v>
          </cell>
          <cell r="D2390" t="str">
            <v>OTHERS</v>
          </cell>
          <cell r="E2390" t="str">
            <v>جیلانی پلاسٹک</v>
          </cell>
        </row>
        <row r="2391">
          <cell r="A2391" t="str">
            <v>963 J</v>
          </cell>
          <cell r="B2391"/>
          <cell r="C2391">
            <v>45708</v>
          </cell>
          <cell r="D2391" t="str">
            <v>OTHERS</v>
          </cell>
          <cell r="E2391" t="str">
            <v>جیلانی پلاسٹک</v>
          </cell>
        </row>
        <row r="2392">
          <cell r="A2392" t="str">
            <v>964 J</v>
          </cell>
          <cell r="B2392"/>
          <cell r="C2392">
            <v>45708</v>
          </cell>
          <cell r="D2392" t="str">
            <v>OTHERS</v>
          </cell>
          <cell r="E2392" t="str">
            <v>جیلانی پلاسٹک</v>
          </cell>
        </row>
        <row r="2393">
          <cell r="A2393" t="str">
            <v>965 J</v>
          </cell>
          <cell r="B2393">
            <v>11307</v>
          </cell>
          <cell r="C2393">
            <v>45708</v>
          </cell>
          <cell r="D2393" t="str">
            <v>OTHERS</v>
          </cell>
          <cell r="E2393" t="str">
            <v>جیلانی پولی سٹاک</v>
          </cell>
        </row>
        <row r="2394">
          <cell r="A2394" t="str">
            <v>966 J</v>
          </cell>
          <cell r="B2394"/>
          <cell r="C2394">
            <v>45708</v>
          </cell>
          <cell r="D2394" t="str">
            <v>OTHERS</v>
          </cell>
          <cell r="E2394" t="str">
            <v>ایچ ایس ایم فوڈ لاہور</v>
          </cell>
        </row>
        <row r="2395">
          <cell r="A2395" t="str">
            <v>967 J</v>
          </cell>
          <cell r="B2395"/>
          <cell r="C2395">
            <v>45708</v>
          </cell>
          <cell r="D2395" t="str">
            <v>OTHERS</v>
          </cell>
          <cell r="E2395" t="str">
            <v>جیلانی پلاسٹک</v>
          </cell>
        </row>
        <row r="2396">
          <cell r="A2396" t="str">
            <v>968 J</v>
          </cell>
          <cell r="B2396"/>
          <cell r="C2396">
            <v>45708</v>
          </cell>
          <cell r="D2396" t="str">
            <v>OTHERS</v>
          </cell>
          <cell r="E2396" t="str">
            <v>جیلانی پلاسٹک</v>
          </cell>
        </row>
        <row r="2397">
          <cell r="A2397" t="str">
            <v>969 J</v>
          </cell>
          <cell r="B2397"/>
          <cell r="C2397">
            <v>45708</v>
          </cell>
          <cell r="D2397" t="str">
            <v>OTHERS</v>
          </cell>
          <cell r="E2397" t="str">
            <v>جیلانی پلاسٹک</v>
          </cell>
        </row>
        <row r="2398">
          <cell r="A2398" t="str">
            <v>970 J</v>
          </cell>
          <cell r="B2398">
            <v>11371</v>
          </cell>
          <cell r="C2398">
            <v>45709</v>
          </cell>
          <cell r="D2398" t="str">
            <v>JILANI</v>
          </cell>
          <cell r="E2398" t="str">
            <v>عمر پرنٹنگ خانکاہ ڈوگراں</v>
          </cell>
        </row>
        <row r="2399">
          <cell r="A2399" t="str">
            <v>971 J</v>
          </cell>
          <cell r="B2399">
            <v>11372</v>
          </cell>
          <cell r="C2399">
            <v>45709</v>
          </cell>
          <cell r="D2399" t="str">
            <v>JILANI</v>
          </cell>
          <cell r="E2399" t="str">
            <v>امارات پلاسٹک ٹھوکر نیاز بیگ</v>
          </cell>
        </row>
        <row r="2400">
          <cell r="A2400" t="str">
            <v>972 J</v>
          </cell>
          <cell r="B2400">
            <v>11372</v>
          </cell>
          <cell r="C2400">
            <v>45709</v>
          </cell>
          <cell r="D2400" t="str">
            <v>JILANI</v>
          </cell>
          <cell r="E2400" t="str">
            <v>امارات پلاسٹک ٹھوکر نیاز بیگ</v>
          </cell>
        </row>
        <row r="2401">
          <cell r="A2401" t="str">
            <v>973 J</v>
          </cell>
          <cell r="B2401">
            <v>11373</v>
          </cell>
          <cell r="C2401">
            <v>45709</v>
          </cell>
          <cell r="D2401" t="str">
            <v>JILANI</v>
          </cell>
          <cell r="E2401" t="str">
            <v>توکل کلاتھ ہاؤس لاہور</v>
          </cell>
        </row>
        <row r="2402">
          <cell r="A2402" t="str">
            <v>974 J</v>
          </cell>
          <cell r="B2402">
            <v>11373</v>
          </cell>
          <cell r="C2402">
            <v>45709</v>
          </cell>
          <cell r="D2402" t="str">
            <v>JILANI</v>
          </cell>
          <cell r="E2402" t="str">
            <v>توکل کلاتھ ہاؤس لاہور</v>
          </cell>
        </row>
        <row r="2403">
          <cell r="A2403" t="str">
            <v>975 J</v>
          </cell>
          <cell r="B2403">
            <v>11374</v>
          </cell>
          <cell r="C2403">
            <v>45709</v>
          </cell>
          <cell r="D2403" t="str">
            <v>JILANI</v>
          </cell>
          <cell r="E2403" t="str">
            <v>مقامی پلاسٹک ساہیوال</v>
          </cell>
        </row>
        <row r="2404">
          <cell r="A2404" t="str">
            <v>976 J</v>
          </cell>
          <cell r="B2404">
            <v>11375</v>
          </cell>
          <cell r="C2404">
            <v>45709</v>
          </cell>
          <cell r="D2404" t="str">
            <v>JILANI</v>
          </cell>
          <cell r="E2404" t="str">
            <v>ہائی کلاس بیکرز گجرات</v>
          </cell>
        </row>
        <row r="2405">
          <cell r="A2405" t="str">
            <v>977 J</v>
          </cell>
          <cell r="B2405">
            <v>11375</v>
          </cell>
          <cell r="C2405">
            <v>45709</v>
          </cell>
          <cell r="D2405" t="str">
            <v>JILANI</v>
          </cell>
          <cell r="E2405" t="str">
            <v>ہائی کلاس بیکرز گجرات</v>
          </cell>
        </row>
        <row r="2406">
          <cell r="A2406" t="str">
            <v>978 J</v>
          </cell>
          <cell r="B2406">
            <v>11376</v>
          </cell>
          <cell r="C2406">
            <v>45709</v>
          </cell>
          <cell r="D2406" t="str">
            <v>JILANI</v>
          </cell>
          <cell r="E2406" t="str">
            <v>ہائی کلاس بیکرز گجرات</v>
          </cell>
        </row>
        <row r="2407">
          <cell r="A2407" t="str">
            <v>979 J</v>
          </cell>
          <cell r="B2407">
            <v>11376</v>
          </cell>
          <cell r="C2407">
            <v>45709</v>
          </cell>
          <cell r="D2407" t="str">
            <v>JILANI</v>
          </cell>
          <cell r="E2407" t="str">
            <v>ہائی کلاس بیکرز گجرات</v>
          </cell>
        </row>
        <row r="2408">
          <cell r="A2408" t="str">
            <v>980 J</v>
          </cell>
          <cell r="B2408">
            <v>11377</v>
          </cell>
          <cell r="C2408">
            <v>45709</v>
          </cell>
          <cell r="D2408" t="str">
            <v>JILANI</v>
          </cell>
          <cell r="E2408" t="str">
            <v>ہائی کلاس بیکرز گجرات</v>
          </cell>
        </row>
        <row r="2409">
          <cell r="A2409" t="str">
            <v>981 J</v>
          </cell>
          <cell r="B2409">
            <v>11377</v>
          </cell>
          <cell r="C2409">
            <v>45709</v>
          </cell>
          <cell r="D2409" t="str">
            <v>JILANI</v>
          </cell>
          <cell r="E2409" t="str">
            <v>ہائی کلاس بیکرز گجرات</v>
          </cell>
        </row>
        <row r="2410">
          <cell r="A2410" t="str">
            <v>982 J</v>
          </cell>
          <cell r="B2410">
            <v>11377</v>
          </cell>
          <cell r="C2410">
            <v>45709</v>
          </cell>
          <cell r="D2410" t="str">
            <v>JILANI</v>
          </cell>
          <cell r="E2410" t="str">
            <v>ہائی کلاس بیکرز گجرات</v>
          </cell>
        </row>
        <row r="2411">
          <cell r="A2411" t="str">
            <v>983 J</v>
          </cell>
          <cell r="B2411">
            <v>11377</v>
          </cell>
          <cell r="C2411">
            <v>45709</v>
          </cell>
          <cell r="D2411" t="str">
            <v>JILANI</v>
          </cell>
          <cell r="E2411" t="str">
            <v>ہائی کلاس بیکرز گجرات</v>
          </cell>
        </row>
        <row r="2412">
          <cell r="A2412" t="str">
            <v>984 J</v>
          </cell>
          <cell r="B2412">
            <v>11377</v>
          </cell>
          <cell r="C2412">
            <v>45709</v>
          </cell>
          <cell r="D2412" t="str">
            <v>JILANI</v>
          </cell>
          <cell r="E2412" t="str">
            <v>ہائی کلاس بیکرز گجرات</v>
          </cell>
        </row>
        <row r="2413">
          <cell r="A2413" t="str">
            <v>985 J</v>
          </cell>
          <cell r="B2413">
            <v>11378</v>
          </cell>
          <cell r="C2413">
            <v>45709</v>
          </cell>
          <cell r="D2413" t="str">
            <v>JILANI</v>
          </cell>
          <cell r="E2413" t="str">
            <v>ایم عمران پلاسٹک پاکستان مارکیٹ</v>
          </cell>
        </row>
        <row r="2414">
          <cell r="A2414" t="str">
            <v>986 J</v>
          </cell>
          <cell r="B2414">
            <v>11379</v>
          </cell>
          <cell r="C2414">
            <v>45709</v>
          </cell>
          <cell r="D2414" t="str">
            <v>JILANI</v>
          </cell>
          <cell r="E2414" t="str">
            <v>محبوب پرنٹرز گوجرانوالہ</v>
          </cell>
        </row>
        <row r="2415">
          <cell r="A2415" t="str">
            <v>987 J</v>
          </cell>
          <cell r="B2415">
            <v>11379</v>
          </cell>
          <cell r="C2415">
            <v>45709</v>
          </cell>
          <cell r="D2415" t="str">
            <v>JILANI</v>
          </cell>
          <cell r="E2415" t="str">
            <v>محبوب پرنٹرز گوجرانوالہ</v>
          </cell>
        </row>
        <row r="2416">
          <cell r="A2416" t="str">
            <v>988 J</v>
          </cell>
          <cell r="B2416">
            <v>11379</v>
          </cell>
          <cell r="C2416">
            <v>45709</v>
          </cell>
          <cell r="D2416" t="str">
            <v>JILANI</v>
          </cell>
          <cell r="E2416" t="str">
            <v>محبوب پرنٹرز گوجرانوالہ</v>
          </cell>
        </row>
        <row r="2417">
          <cell r="A2417" t="str">
            <v>989 J</v>
          </cell>
          <cell r="B2417">
            <v>11379</v>
          </cell>
          <cell r="C2417">
            <v>45709</v>
          </cell>
          <cell r="D2417" t="str">
            <v>JILANI</v>
          </cell>
          <cell r="E2417" t="str">
            <v>محبوب پرنٹرز گوجرانوالہ</v>
          </cell>
        </row>
        <row r="2418">
          <cell r="A2418" t="str">
            <v>990 J</v>
          </cell>
          <cell r="B2418">
            <v>11380</v>
          </cell>
          <cell r="C2418">
            <v>45709</v>
          </cell>
          <cell r="D2418" t="str">
            <v>JILANI</v>
          </cell>
          <cell r="E2418" t="str">
            <v>رائل بروک لاہور</v>
          </cell>
        </row>
        <row r="2419">
          <cell r="A2419" t="str">
            <v>991 J</v>
          </cell>
          <cell r="B2419">
            <v>11380</v>
          </cell>
          <cell r="C2419">
            <v>45709</v>
          </cell>
          <cell r="D2419" t="str">
            <v>JILANI</v>
          </cell>
          <cell r="E2419" t="str">
            <v>رائل بروک لاہور</v>
          </cell>
        </row>
        <row r="2420">
          <cell r="A2420" t="str">
            <v>992 J</v>
          </cell>
          <cell r="B2420">
            <v>11380</v>
          </cell>
          <cell r="C2420">
            <v>45709</v>
          </cell>
          <cell r="D2420" t="str">
            <v>JILANI</v>
          </cell>
          <cell r="E2420" t="str">
            <v>رائل بروک لاہور</v>
          </cell>
        </row>
        <row r="2421">
          <cell r="A2421" t="str">
            <v>993 J</v>
          </cell>
          <cell r="B2421">
            <v>11380</v>
          </cell>
          <cell r="C2421">
            <v>45709</v>
          </cell>
          <cell r="D2421" t="str">
            <v>JILANI</v>
          </cell>
          <cell r="E2421" t="str">
            <v>رائل بروک لاہور</v>
          </cell>
        </row>
        <row r="2422">
          <cell r="A2422" t="str">
            <v>994 J</v>
          </cell>
          <cell r="B2422">
            <v>11380</v>
          </cell>
          <cell r="C2422">
            <v>45709</v>
          </cell>
          <cell r="D2422" t="str">
            <v>JILANI</v>
          </cell>
          <cell r="E2422" t="str">
            <v>رائل بروک لاہور</v>
          </cell>
        </row>
        <row r="2423">
          <cell r="A2423" t="str">
            <v>995 J</v>
          </cell>
          <cell r="B2423">
            <v>11381</v>
          </cell>
          <cell r="C2423">
            <v>45709</v>
          </cell>
          <cell r="D2423" t="str">
            <v>JILANI</v>
          </cell>
          <cell r="E2423" t="str">
            <v>معیز ٹریڈرز غازی روڈ لاہور</v>
          </cell>
        </row>
        <row r="2424">
          <cell r="A2424" t="str">
            <v>996 J</v>
          </cell>
          <cell r="B2424">
            <v>11382</v>
          </cell>
          <cell r="C2424">
            <v>45710</v>
          </cell>
          <cell r="D2424" t="str">
            <v>JILANI</v>
          </cell>
          <cell r="E2424" t="str">
            <v>میکی چکن برگر گوجرانوالہ</v>
          </cell>
        </row>
        <row r="2425">
          <cell r="A2425" t="str">
            <v>997 J</v>
          </cell>
          <cell r="B2425">
            <v>11383</v>
          </cell>
          <cell r="C2425">
            <v>45710</v>
          </cell>
          <cell r="D2425" t="str">
            <v>JILANI</v>
          </cell>
          <cell r="E2425" t="str">
            <v>پنجاب سویٹس اینڈ بیکرز کوٹ رادہ کشن</v>
          </cell>
        </row>
        <row r="2426">
          <cell r="A2426" t="str">
            <v>998 J</v>
          </cell>
          <cell r="B2426">
            <v>11383</v>
          </cell>
          <cell r="C2426">
            <v>45710</v>
          </cell>
          <cell r="D2426" t="str">
            <v>JILANI</v>
          </cell>
          <cell r="E2426" t="str">
            <v>پنجاب سویٹس اینڈ بیکرز کوٹ رادہ کشن</v>
          </cell>
        </row>
        <row r="2427">
          <cell r="A2427" t="str">
            <v>999 J</v>
          </cell>
          <cell r="B2427">
            <v>11383</v>
          </cell>
          <cell r="C2427">
            <v>45710</v>
          </cell>
          <cell r="D2427" t="str">
            <v>JILANI</v>
          </cell>
          <cell r="E2427" t="str">
            <v>پنجاب سویٹس اینڈ بیکرز کوٹ رادہ کشن</v>
          </cell>
        </row>
        <row r="2428">
          <cell r="A2428" t="str">
            <v>1000 J</v>
          </cell>
          <cell r="B2428">
            <v>11384</v>
          </cell>
          <cell r="C2428">
            <v>45710</v>
          </cell>
          <cell r="D2428" t="str">
            <v>JILANI</v>
          </cell>
          <cell r="E2428" t="str">
            <v>ہیڈ آفس لاہور</v>
          </cell>
        </row>
        <row r="2429">
          <cell r="A2429" t="str">
            <v>1001 J</v>
          </cell>
          <cell r="B2429">
            <v>11384</v>
          </cell>
          <cell r="C2429">
            <v>45710</v>
          </cell>
          <cell r="D2429" t="str">
            <v>JILANI</v>
          </cell>
          <cell r="E2429" t="str">
            <v>ہیڈ آفس لاہور</v>
          </cell>
        </row>
        <row r="2430">
          <cell r="A2430" t="str">
            <v>1002 J</v>
          </cell>
          <cell r="B2430">
            <v>11384</v>
          </cell>
          <cell r="C2430">
            <v>45710</v>
          </cell>
          <cell r="D2430" t="str">
            <v>JILANI</v>
          </cell>
          <cell r="E2430" t="str">
            <v>ہیڈ آفس لاہور</v>
          </cell>
        </row>
        <row r="2431">
          <cell r="A2431" t="str">
            <v>1003 J</v>
          </cell>
          <cell r="B2431">
            <v>11384</v>
          </cell>
          <cell r="C2431">
            <v>45710</v>
          </cell>
          <cell r="D2431" t="str">
            <v>JILANI</v>
          </cell>
          <cell r="E2431" t="str">
            <v>ہیڈ آفس لاہور</v>
          </cell>
        </row>
        <row r="2432">
          <cell r="A2432" t="str">
            <v>1004 J</v>
          </cell>
          <cell r="B2432">
            <v>11385</v>
          </cell>
          <cell r="C2432">
            <v>45710</v>
          </cell>
          <cell r="D2432" t="str">
            <v>OTHERS</v>
          </cell>
          <cell r="E2432" t="str">
            <v>ہیڈ آفس لاہور</v>
          </cell>
        </row>
        <row r="2433">
          <cell r="A2433" t="str">
            <v>1005 J</v>
          </cell>
          <cell r="B2433">
            <v>11385</v>
          </cell>
          <cell r="C2433">
            <v>45710</v>
          </cell>
          <cell r="D2433" t="str">
            <v>OTHERS</v>
          </cell>
          <cell r="E2433" t="str">
            <v>ہیڈ آفس لاہور</v>
          </cell>
        </row>
        <row r="2434">
          <cell r="A2434" t="str">
            <v>1006 J</v>
          </cell>
          <cell r="B2434">
            <v>11386</v>
          </cell>
          <cell r="C2434">
            <v>45710</v>
          </cell>
          <cell r="D2434" t="str">
            <v>JILANI</v>
          </cell>
          <cell r="E2434" t="str">
            <v>شفعی فوم لاہور</v>
          </cell>
        </row>
        <row r="2435">
          <cell r="A2435" t="str">
            <v>1007 J</v>
          </cell>
          <cell r="B2435">
            <v>11387</v>
          </cell>
          <cell r="C2435">
            <v>45710</v>
          </cell>
          <cell r="D2435" t="str">
            <v>JILANI</v>
          </cell>
          <cell r="E2435" t="str">
            <v>عالم پرنٹرز بٹ خیلہ</v>
          </cell>
        </row>
        <row r="2436">
          <cell r="A2436" t="str">
            <v>1008 J</v>
          </cell>
          <cell r="B2436">
            <v>11388</v>
          </cell>
          <cell r="C2436">
            <v>45710</v>
          </cell>
          <cell r="D2436" t="str">
            <v>JILANI</v>
          </cell>
          <cell r="E2436" t="str">
            <v>علی شیر شیخوپورہ</v>
          </cell>
        </row>
        <row r="2437">
          <cell r="A2437" t="str">
            <v>1009 J</v>
          </cell>
          <cell r="B2437">
            <v>11388</v>
          </cell>
          <cell r="C2437">
            <v>45710</v>
          </cell>
          <cell r="D2437" t="str">
            <v>JILANI</v>
          </cell>
          <cell r="E2437" t="str">
            <v>علی شیر شیخوپورہ</v>
          </cell>
        </row>
        <row r="2438">
          <cell r="A2438" t="str">
            <v>1010 J</v>
          </cell>
          <cell r="B2438">
            <v>11389</v>
          </cell>
          <cell r="C2438">
            <v>45710</v>
          </cell>
          <cell r="D2438" t="str">
            <v>JILANI</v>
          </cell>
          <cell r="E2438" t="str">
            <v>شیخ سویٹس منڈی فیض آباد</v>
          </cell>
        </row>
        <row r="2439">
          <cell r="A2439" t="str">
            <v>1011 J</v>
          </cell>
          <cell r="B2439">
            <v>11389</v>
          </cell>
          <cell r="C2439">
            <v>45710</v>
          </cell>
          <cell r="D2439" t="str">
            <v>JILANI</v>
          </cell>
          <cell r="E2439" t="str">
            <v>شیخ سویٹس منڈی فیض آباد</v>
          </cell>
        </row>
        <row r="2440">
          <cell r="A2440" t="str">
            <v>1012 J</v>
          </cell>
          <cell r="B2440">
            <v>11390</v>
          </cell>
          <cell r="C2440">
            <v>45710</v>
          </cell>
          <cell r="D2440" t="str">
            <v>JILANI</v>
          </cell>
          <cell r="E2440" t="str">
            <v>حامد پلاسٹک گوجرانوالہ</v>
          </cell>
        </row>
        <row r="2441">
          <cell r="A2441" t="str">
            <v>1013 J</v>
          </cell>
          <cell r="B2441">
            <v>11391</v>
          </cell>
          <cell r="C2441">
            <v>45710</v>
          </cell>
          <cell r="D2441" t="str">
            <v>JILANI</v>
          </cell>
          <cell r="E2441" t="str">
            <v>البابر گارمنٹس لاہور</v>
          </cell>
        </row>
        <row r="2442">
          <cell r="A2442" t="str">
            <v>1014 J</v>
          </cell>
          <cell r="B2442">
            <v>11392</v>
          </cell>
          <cell r="C2442">
            <v>45710</v>
          </cell>
          <cell r="D2442" t="str">
            <v>JILANI</v>
          </cell>
          <cell r="E2442" t="str">
            <v>جھنگیر حسین +حسین گو جرانولہ</v>
          </cell>
        </row>
        <row r="2443">
          <cell r="A2443" t="str">
            <v>1015 J</v>
          </cell>
          <cell r="B2443">
            <v>11392</v>
          </cell>
          <cell r="C2443">
            <v>45710</v>
          </cell>
          <cell r="D2443" t="str">
            <v>JILANI</v>
          </cell>
          <cell r="E2443" t="str">
            <v>جھنگیر حسین +حسین گو جرانولہ</v>
          </cell>
        </row>
        <row r="2444">
          <cell r="A2444" t="str">
            <v>1016 J</v>
          </cell>
          <cell r="B2444">
            <v>11392</v>
          </cell>
          <cell r="C2444">
            <v>45710</v>
          </cell>
          <cell r="D2444" t="str">
            <v>JILANI</v>
          </cell>
          <cell r="E2444" t="str">
            <v>جھنگیر حسین +حسین گو جرانولہ</v>
          </cell>
        </row>
        <row r="2445">
          <cell r="A2445" t="str">
            <v>1017 J</v>
          </cell>
          <cell r="B2445">
            <v>11393</v>
          </cell>
          <cell r="C2445">
            <v>45710</v>
          </cell>
          <cell r="D2445" t="str">
            <v>JILANI</v>
          </cell>
          <cell r="E2445" t="str">
            <v>جہانگیر حسین گوجرانوالہ</v>
          </cell>
        </row>
        <row r="2446">
          <cell r="A2446" t="str">
            <v>1018 J</v>
          </cell>
          <cell r="B2446">
            <v>11393</v>
          </cell>
          <cell r="C2446">
            <v>45710</v>
          </cell>
          <cell r="D2446" t="str">
            <v>JILANI</v>
          </cell>
          <cell r="E2446" t="str">
            <v>جہانگیر حسین گوجرانوالہ</v>
          </cell>
        </row>
        <row r="2447">
          <cell r="A2447" t="str">
            <v>1019 J</v>
          </cell>
          <cell r="B2447">
            <v>11393</v>
          </cell>
          <cell r="C2447">
            <v>45710</v>
          </cell>
          <cell r="D2447" t="str">
            <v>JILANI</v>
          </cell>
          <cell r="E2447" t="str">
            <v>جہانگیر حسین گوجرانوالہ</v>
          </cell>
        </row>
        <row r="2448">
          <cell r="A2448" t="str">
            <v>1020 J</v>
          </cell>
          <cell r="B2448">
            <v>11393</v>
          </cell>
          <cell r="C2448">
            <v>45710</v>
          </cell>
          <cell r="D2448" t="str">
            <v>JILANI</v>
          </cell>
          <cell r="E2448" t="str">
            <v>جہانگیر حسین گوجرانوالہ</v>
          </cell>
        </row>
        <row r="2449">
          <cell r="A2449" t="str">
            <v>1021 J</v>
          </cell>
          <cell r="B2449">
            <v>11394</v>
          </cell>
          <cell r="C2449">
            <v>45710</v>
          </cell>
          <cell r="D2449" t="str">
            <v>JILANI</v>
          </cell>
          <cell r="E2449" t="str">
            <v>الفتح بیکرز C/O ببر شیر</v>
          </cell>
        </row>
        <row r="2450">
          <cell r="A2450" t="str">
            <v>1022 J</v>
          </cell>
          <cell r="B2450">
            <v>11395</v>
          </cell>
          <cell r="C2450">
            <v>45710</v>
          </cell>
          <cell r="D2450" t="str">
            <v>JILANI</v>
          </cell>
          <cell r="E2450" t="str">
            <v>ایم۔جے پلاسٹک پشاور</v>
          </cell>
        </row>
        <row r="2451">
          <cell r="A2451" t="str">
            <v>1023 J</v>
          </cell>
          <cell r="B2451">
            <v>11396</v>
          </cell>
          <cell r="C2451">
            <v>45710</v>
          </cell>
          <cell r="D2451" t="str">
            <v>JILANI</v>
          </cell>
          <cell r="E2451" t="str">
            <v>اٹلس ہنڈا لمیٹڈ شیخوپورہ</v>
          </cell>
        </row>
        <row r="2452">
          <cell r="A2452" t="str">
            <v>1024 J</v>
          </cell>
          <cell r="B2452"/>
          <cell r="C2452">
            <v>45710</v>
          </cell>
          <cell r="D2452" t="str">
            <v>OTHERS</v>
          </cell>
          <cell r="E2452" t="str">
            <v>جیلانی پولی سٹاک</v>
          </cell>
        </row>
        <row r="2453">
          <cell r="A2453" t="str">
            <v>6632/1</v>
          </cell>
          <cell r="B2453">
            <v>6632</v>
          </cell>
          <cell r="C2453">
            <v>45705</v>
          </cell>
          <cell r="D2453" t="str">
            <v>یونس صاحب</v>
          </cell>
          <cell r="E2453" t="str">
            <v>اسد پلاسٹک صادق ٓاباد</v>
          </cell>
        </row>
        <row r="2454">
          <cell r="A2454" t="str">
            <v>6632/2</v>
          </cell>
          <cell r="B2454">
            <v>6632</v>
          </cell>
          <cell r="C2454">
            <v>45705</v>
          </cell>
          <cell r="D2454" t="str">
            <v>یونس صاحب</v>
          </cell>
          <cell r="E2454" t="str">
            <v>اسد پلاسٹک صادق ٓاباد</v>
          </cell>
        </row>
        <row r="2455">
          <cell r="A2455" t="str">
            <v>6632/3</v>
          </cell>
          <cell r="B2455">
            <v>6632</v>
          </cell>
          <cell r="C2455">
            <v>45705</v>
          </cell>
          <cell r="D2455" t="str">
            <v>یونس صاحب</v>
          </cell>
          <cell r="E2455" t="str">
            <v>اسد پلاسٹک صادق ٓاباد</v>
          </cell>
        </row>
        <row r="2456">
          <cell r="A2456" t="str">
            <v>6632/4</v>
          </cell>
          <cell r="B2456">
            <v>6632</v>
          </cell>
          <cell r="C2456">
            <v>45705</v>
          </cell>
          <cell r="D2456" t="str">
            <v>یونس صاحب</v>
          </cell>
          <cell r="E2456" t="str">
            <v>اسد پلاسٹک صادق ٓاباد</v>
          </cell>
        </row>
        <row r="2457">
          <cell r="A2457" t="str">
            <v>6632/5</v>
          </cell>
          <cell r="B2457">
            <v>6632</v>
          </cell>
          <cell r="C2457">
            <v>45705</v>
          </cell>
          <cell r="D2457" t="str">
            <v>یونس صاحب</v>
          </cell>
          <cell r="E2457" t="str">
            <v>اسد پلاسٹک صادق ٓاباد</v>
          </cell>
        </row>
        <row r="2458">
          <cell r="A2458" t="str">
            <v>6632/6</v>
          </cell>
          <cell r="B2458">
            <v>6632</v>
          </cell>
          <cell r="C2458">
            <v>45705</v>
          </cell>
          <cell r="D2458" t="str">
            <v>یونس صاحب</v>
          </cell>
          <cell r="E2458" t="str">
            <v>اسد پلاسٹک صادق ٓاباد</v>
          </cell>
        </row>
        <row r="2459">
          <cell r="A2459" t="str">
            <v>6632/7</v>
          </cell>
          <cell r="B2459">
            <v>6632</v>
          </cell>
          <cell r="C2459">
            <v>45705</v>
          </cell>
          <cell r="D2459" t="str">
            <v>یونس صاحب</v>
          </cell>
          <cell r="E2459" t="str">
            <v>اسد پلاسٹک صادق ٓاباد</v>
          </cell>
        </row>
        <row r="2460">
          <cell r="A2460" t="str">
            <v>6632/8</v>
          </cell>
          <cell r="B2460">
            <v>6632</v>
          </cell>
          <cell r="C2460">
            <v>45705</v>
          </cell>
          <cell r="D2460" t="str">
            <v>یونس صاحب</v>
          </cell>
          <cell r="E2460" t="str">
            <v>اسد پلاسٹک صادق ٓاباد</v>
          </cell>
        </row>
        <row r="2461">
          <cell r="A2461" t="str">
            <v>6632/9</v>
          </cell>
          <cell r="B2461">
            <v>6632</v>
          </cell>
          <cell r="C2461">
            <v>45705</v>
          </cell>
          <cell r="D2461" t="str">
            <v>یونس صاحب</v>
          </cell>
          <cell r="E2461" t="str">
            <v>اسد پلاسٹک صادق ٓاباد</v>
          </cell>
        </row>
        <row r="2462">
          <cell r="A2462" t="str">
            <v>6632/10</v>
          </cell>
          <cell r="B2462">
            <v>6632</v>
          </cell>
          <cell r="C2462">
            <v>45705</v>
          </cell>
          <cell r="D2462" t="str">
            <v>یونس صاحب</v>
          </cell>
          <cell r="E2462" t="str">
            <v>اسد پلاسٹک صادق ٓاباد</v>
          </cell>
        </row>
        <row r="2463">
          <cell r="A2463" t="str">
            <v>6632/11</v>
          </cell>
          <cell r="B2463">
            <v>6632</v>
          </cell>
          <cell r="C2463">
            <v>45705</v>
          </cell>
          <cell r="D2463" t="str">
            <v>یونس صاحب</v>
          </cell>
          <cell r="E2463" t="str">
            <v>اسد پلاسٹک صادق ٓاباد</v>
          </cell>
        </row>
        <row r="2464">
          <cell r="A2464" t="str">
            <v>6632/12</v>
          </cell>
          <cell r="B2464">
            <v>6632</v>
          </cell>
          <cell r="C2464">
            <v>45705</v>
          </cell>
          <cell r="D2464" t="str">
            <v>یونس صاحب</v>
          </cell>
          <cell r="E2464" t="str">
            <v>اسد پلاسٹک صادق ٓاباد</v>
          </cell>
        </row>
        <row r="2465">
          <cell r="A2465" t="str">
            <v>6632/13</v>
          </cell>
          <cell r="B2465">
            <v>6632</v>
          </cell>
          <cell r="C2465">
            <v>45705</v>
          </cell>
          <cell r="D2465" t="str">
            <v>یونس صاحب</v>
          </cell>
          <cell r="E2465" t="str">
            <v>اسد پلاسٹک صادق ٓاباد</v>
          </cell>
        </row>
        <row r="2466">
          <cell r="A2466" t="str">
            <v>6632/14</v>
          </cell>
          <cell r="B2466">
            <v>6632</v>
          </cell>
          <cell r="C2466">
            <v>45705</v>
          </cell>
          <cell r="D2466" t="str">
            <v>یونس صاحب</v>
          </cell>
          <cell r="E2466" t="str">
            <v>اسد پلاسٹک صادق ٓاباد</v>
          </cell>
        </row>
        <row r="2467">
          <cell r="A2467" t="str">
            <v>6632/15</v>
          </cell>
          <cell r="B2467">
            <v>6632</v>
          </cell>
          <cell r="C2467">
            <v>45705</v>
          </cell>
          <cell r="D2467" t="str">
            <v>یونس صاحب</v>
          </cell>
          <cell r="E2467" t="str">
            <v>اسد پلاسٹک صادق ٓاباد</v>
          </cell>
        </row>
        <row r="2468">
          <cell r="A2468" t="str">
            <v>6632/16</v>
          </cell>
          <cell r="B2468">
            <v>6632</v>
          </cell>
          <cell r="C2468">
            <v>45705</v>
          </cell>
          <cell r="D2468" t="str">
            <v>یونس صاحب</v>
          </cell>
          <cell r="E2468" t="str">
            <v>اسد پلاسٹک صادق ٓاباد</v>
          </cell>
        </row>
        <row r="2469">
          <cell r="A2469" t="str">
            <v>6632/17</v>
          </cell>
          <cell r="B2469">
            <v>6632</v>
          </cell>
          <cell r="C2469">
            <v>45705</v>
          </cell>
          <cell r="D2469" t="str">
            <v>یونس صاحب</v>
          </cell>
          <cell r="E2469" t="str">
            <v>اسد پلاسٹک صادق ٓاباد</v>
          </cell>
        </row>
        <row r="2470">
          <cell r="A2470" t="str">
            <v>6632/18</v>
          </cell>
          <cell r="B2470">
            <v>6632</v>
          </cell>
          <cell r="C2470">
            <v>45705</v>
          </cell>
          <cell r="D2470" t="str">
            <v>یونس صاحب</v>
          </cell>
          <cell r="E2470" t="str">
            <v>اسد پلاسٹک صادق ٓاباد</v>
          </cell>
        </row>
        <row r="2471">
          <cell r="A2471" t="str">
            <v>6632/19</v>
          </cell>
          <cell r="B2471">
            <v>6632</v>
          </cell>
          <cell r="C2471">
            <v>45705</v>
          </cell>
          <cell r="D2471" t="str">
            <v>یونس صاحب</v>
          </cell>
          <cell r="E2471" t="str">
            <v>اسد پلاسٹک صادق ٓاباد</v>
          </cell>
        </row>
        <row r="2472">
          <cell r="A2472" t="str">
            <v>6632/20</v>
          </cell>
          <cell r="B2472">
            <v>6632</v>
          </cell>
          <cell r="C2472">
            <v>45705</v>
          </cell>
          <cell r="D2472" t="str">
            <v>یونس صاحب</v>
          </cell>
          <cell r="E2472" t="str">
            <v>اسد پلاسٹک صادق ٓاباد</v>
          </cell>
        </row>
        <row r="2473">
          <cell r="A2473" t="str">
            <v>6632/21</v>
          </cell>
          <cell r="B2473">
            <v>6632</v>
          </cell>
          <cell r="C2473">
            <v>45705</v>
          </cell>
          <cell r="D2473" t="str">
            <v>یونس صاحب</v>
          </cell>
          <cell r="E2473" t="str">
            <v>اسد پلاسٹک صادق ٓاباد</v>
          </cell>
        </row>
        <row r="2474">
          <cell r="A2474" t="str">
            <v>6633/1</v>
          </cell>
          <cell r="B2474">
            <v>6633</v>
          </cell>
          <cell r="C2474">
            <v>45705</v>
          </cell>
          <cell r="D2474" t="str">
            <v>یونس صاحب</v>
          </cell>
          <cell r="E2474" t="str">
            <v>اختر علی چیچہ وطنی</v>
          </cell>
        </row>
        <row r="2475">
          <cell r="A2475" t="str">
            <v>6633/2</v>
          </cell>
          <cell r="B2475">
            <v>6633</v>
          </cell>
          <cell r="C2475">
            <v>45705</v>
          </cell>
          <cell r="D2475" t="str">
            <v>یونس صاحب</v>
          </cell>
          <cell r="E2475" t="str">
            <v>اختر علی چیچہ وطنی</v>
          </cell>
        </row>
        <row r="2476">
          <cell r="A2476" t="str">
            <v>6633/3</v>
          </cell>
          <cell r="B2476">
            <v>6633</v>
          </cell>
          <cell r="C2476">
            <v>45705</v>
          </cell>
          <cell r="D2476" t="str">
            <v>یونس صاحب</v>
          </cell>
          <cell r="E2476" t="str">
            <v>اختر علی چیچہ وطنی</v>
          </cell>
        </row>
        <row r="2477">
          <cell r="A2477" t="str">
            <v>6633/4</v>
          </cell>
          <cell r="B2477">
            <v>6633</v>
          </cell>
          <cell r="C2477">
            <v>45705</v>
          </cell>
          <cell r="D2477" t="str">
            <v>یونس صاحب</v>
          </cell>
          <cell r="E2477" t="str">
            <v>اختر علی چیچہ وطنی</v>
          </cell>
        </row>
        <row r="2478">
          <cell r="A2478" t="str">
            <v>6633/5</v>
          </cell>
          <cell r="B2478">
            <v>6633</v>
          </cell>
          <cell r="C2478">
            <v>45705</v>
          </cell>
          <cell r="D2478" t="str">
            <v>یونس صاحب</v>
          </cell>
          <cell r="E2478" t="str">
            <v>اختر علی چیچہ وطنی</v>
          </cell>
        </row>
        <row r="2479">
          <cell r="A2479" t="str">
            <v>6633/6</v>
          </cell>
          <cell r="B2479">
            <v>6633</v>
          </cell>
          <cell r="C2479">
            <v>45705</v>
          </cell>
          <cell r="D2479" t="str">
            <v>یونس صاحب</v>
          </cell>
          <cell r="E2479" t="str">
            <v>اختر علی چیچہ وطنی</v>
          </cell>
        </row>
        <row r="2480">
          <cell r="A2480" t="str">
            <v>6633/7</v>
          </cell>
          <cell r="B2480">
            <v>6633</v>
          </cell>
          <cell r="C2480">
            <v>45705</v>
          </cell>
          <cell r="D2480" t="str">
            <v>یونس صاحب</v>
          </cell>
          <cell r="E2480" t="str">
            <v>اختر علی چیچہ وطنی</v>
          </cell>
        </row>
        <row r="2481">
          <cell r="A2481" t="str">
            <v>6634/1</v>
          </cell>
          <cell r="B2481">
            <v>6634</v>
          </cell>
          <cell r="C2481">
            <v>45705</v>
          </cell>
          <cell r="D2481" t="str">
            <v>یونس صاحب</v>
          </cell>
          <cell r="E2481" t="str">
            <v>ربانی پلاسٹک شاہ کوٹ</v>
          </cell>
        </row>
        <row r="2482">
          <cell r="A2482" t="str">
            <v>6635/1</v>
          </cell>
          <cell r="B2482">
            <v>6635</v>
          </cell>
          <cell r="C2482">
            <v>45705</v>
          </cell>
          <cell r="D2482" t="str">
            <v>یونس صاحب</v>
          </cell>
          <cell r="E2482" t="str">
            <v>مقبول پرنٹر ہری پور</v>
          </cell>
        </row>
        <row r="2483">
          <cell r="A2483" t="str">
            <v>6636/1</v>
          </cell>
          <cell r="B2483">
            <v>6636</v>
          </cell>
          <cell r="C2483">
            <v>45705</v>
          </cell>
          <cell r="D2483" t="str">
            <v>یونس صاحب</v>
          </cell>
          <cell r="E2483" t="str">
            <v>امارت پلاسٹک چوہنگ</v>
          </cell>
        </row>
        <row r="2484">
          <cell r="A2484" t="str">
            <v>6636/2</v>
          </cell>
          <cell r="B2484">
            <v>6636</v>
          </cell>
          <cell r="C2484">
            <v>45705</v>
          </cell>
          <cell r="D2484" t="str">
            <v>یونس صاحب</v>
          </cell>
          <cell r="E2484" t="str">
            <v>امارت پلاسٹک چوہنگ</v>
          </cell>
        </row>
        <row r="2485">
          <cell r="A2485" t="str">
            <v>6636/3</v>
          </cell>
          <cell r="B2485">
            <v>6636</v>
          </cell>
          <cell r="C2485">
            <v>45705</v>
          </cell>
          <cell r="D2485" t="str">
            <v>یونس صاحب</v>
          </cell>
          <cell r="E2485" t="str">
            <v>امارت پلاسٹک چوہنگ</v>
          </cell>
        </row>
        <row r="2486">
          <cell r="A2486" t="str">
            <v>6636/4</v>
          </cell>
          <cell r="B2486">
            <v>6636</v>
          </cell>
          <cell r="C2486">
            <v>45705</v>
          </cell>
          <cell r="D2486" t="str">
            <v>یونس صاحب</v>
          </cell>
          <cell r="E2486" t="str">
            <v>امارت پلاسٹک چوہنگ</v>
          </cell>
        </row>
        <row r="2487">
          <cell r="A2487" t="str">
            <v>6636/5</v>
          </cell>
          <cell r="B2487">
            <v>6636</v>
          </cell>
          <cell r="C2487">
            <v>45705</v>
          </cell>
          <cell r="D2487" t="str">
            <v>یونس صاحب</v>
          </cell>
          <cell r="E2487" t="str">
            <v>امارت پلاسٹک چوہنگ</v>
          </cell>
        </row>
        <row r="2488">
          <cell r="A2488" t="str">
            <v>6636/6</v>
          </cell>
          <cell r="B2488">
            <v>6636</v>
          </cell>
          <cell r="C2488">
            <v>45705</v>
          </cell>
          <cell r="D2488" t="str">
            <v>یونس صاحب</v>
          </cell>
          <cell r="E2488" t="str">
            <v>امارت پلاسٹک چوہنگ</v>
          </cell>
        </row>
        <row r="2489">
          <cell r="A2489" t="str">
            <v>6636/7</v>
          </cell>
          <cell r="B2489">
            <v>6636</v>
          </cell>
          <cell r="C2489">
            <v>45705</v>
          </cell>
          <cell r="D2489" t="str">
            <v>یونس صاحب</v>
          </cell>
          <cell r="E2489" t="str">
            <v>امارت پلاسٹک چوہنگ</v>
          </cell>
        </row>
        <row r="2490">
          <cell r="A2490" t="str">
            <v>6636/8</v>
          </cell>
          <cell r="B2490">
            <v>6636</v>
          </cell>
          <cell r="C2490">
            <v>45705</v>
          </cell>
          <cell r="D2490" t="str">
            <v>یونس صاحب</v>
          </cell>
          <cell r="E2490" t="str">
            <v>امارت پلاسٹک چوہنگ</v>
          </cell>
        </row>
        <row r="2491">
          <cell r="A2491" t="str">
            <v>6636/9</v>
          </cell>
          <cell r="B2491">
            <v>6636</v>
          </cell>
          <cell r="C2491">
            <v>45705</v>
          </cell>
          <cell r="D2491" t="str">
            <v>یونس صاحب</v>
          </cell>
          <cell r="E2491" t="str">
            <v>امارت پلاسٹک چوہنگ</v>
          </cell>
        </row>
        <row r="2492">
          <cell r="A2492" t="str">
            <v>6637/1</v>
          </cell>
          <cell r="B2492">
            <v>6637</v>
          </cell>
          <cell r="C2492">
            <v>45705</v>
          </cell>
          <cell r="D2492" t="str">
            <v>یونس صاحب</v>
          </cell>
          <cell r="E2492" t="str">
            <v>عبدالرشید اسلام ٓاباد</v>
          </cell>
        </row>
        <row r="2493">
          <cell r="A2493" t="str">
            <v>6638/1</v>
          </cell>
          <cell r="B2493">
            <v>6638</v>
          </cell>
          <cell r="C2493">
            <v>45705</v>
          </cell>
          <cell r="D2493" t="str">
            <v>یونس صاحب</v>
          </cell>
          <cell r="E2493" t="str">
            <v>عرفان احمد اعظم مارکیٹ</v>
          </cell>
        </row>
        <row r="2494">
          <cell r="A2494" t="str">
            <v>6638/2</v>
          </cell>
          <cell r="B2494">
            <v>6638</v>
          </cell>
          <cell r="C2494">
            <v>45705</v>
          </cell>
          <cell r="D2494" t="str">
            <v>یونس صاحب</v>
          </cell>
          <cell r="E2494" t="str">
            <v>عرفان احمد اعظم مارکیٹ</v>
          </cell>
        </row>
        <row r="2495">
          <cell r="A2495" t="str">
            <v>6638/3</v>
          </cell>
          <cell r="B2495">
            <v>6638</v>
          </cell>
          <cell r="C2495">
            <v>45705</v>
          </cell>
          <cell r="D2495" t="str">
            <v>یونس صاحب</v>
          </cell>
          <cell r="E2495" t="str">
            <v>عرفان احمد اعظم مارکیٹ</v>
          </cell>
        </row>
        <row r="2496">
          <cell r="A2496" t="str">
            <v>6639/1</v>
          </cell>
          <cell r="B2496">
            <v>6639</v>
          </cell>
          <cell r="C2496">
            <v>45705</v>
          </cell>
          <cell r="D2496" t="str">
            <v>یونس صاحب</v>
          </cell>
          <cell r="E2496" t="str">
            <v>عثمان امین لاہور</v>
          </cell>
        </row>
        <row r="2497">
          <cell r="A2497" t="str">
            <v>6640/1</v>
          </cell>
          <cell r="B2497">
            <v>6640</v>
          </cell>
          <cell r="C2497">
            <v>45706</v>
          </cell>
          <cell r="D2497" t="str">
            <v>یونس صاحب</v>
          </cell>
          <cell r="E2497" t="str">
            <v>ایم عمران پاکستان مارکیٹ</v>
          </cell>
        </row>
        <row r="2498">
          <cell r="A2498" t="str">
            <v>6640/2</v>
          </cell>
          <cell r="B2498">
            <v>6640</v>
          </cell>
          <cell r="C2498">
            <v>45706</v>
          </cell>
          <cell r="D2498" t="str">
            <v>یونس صاحب</v>
          </cell>
          <cell r="E2498" t="str">
            <v>ایم عمران پاکستان مارکیٹ</v>
          </cell>
        </row>
        <row r="2499">
          <cell r="A2499" t="str">
            <v>6640/3</v>
          </cell>
          <cell r="B2499">
            <v>6640</v>
          </cell>
          <cell r="C2499">
            <v>45706</v>
          </cell>
          <cell r="D2499" t="str">
            <v>یونس صاحب</v>
          </cell>
          <cell r="E2499" t="str">
            <v>ایم عمران پاکستان مارکیٹ</v>
          </cell>
        </row>
        <row r="2500">
          <cell r="A2500" t="str">
            <v>6640/4</v>
          </cell>
          <cell r="B2500">
            <v>6640</v>
          </cell>
          <cell r="C2500">
            <v>45706</v>
          </cell>
          <cell r="D2500" t="str">
            <v>یونس صاحب</v>
          </cell>
          <cell r="E2500" t="str">
            <v>ایم عمران پاکستان مارکیٹ</v>
          </cell>
        </row>
        <row r="2501">
          <cell r="A2501" t="str">
            <v>6640/5</v>
          </cell>
          <cell r="B2501">
            <v>6640</v>
          </cell>
          <cell r="C2501">
            <v>45706</v>
          </cell>
          <cell r="D2501" t="str">
            <v>یونس صاحب</v>
          </cell>
          <cell r="E2501" t="str">
            <v>ایم عمران پاکستان مارکیٹ</v>
          </cell>
        </row>
        <row r="2502">
          <cell r="A2502" t="str">
            <v>6640/6</v>
          </cell>
          <cell r="B2502">
            <v>6640</v>
          </cell>
          <cell r="C2502">
            <v>45706</v>
          </cell>
          <cell r="D2502" t="str">
            <v>یونس صاحب</v>
          </cell>
          <cell r="E2502" t="str">
            <v>ایم عمران پاکستان مارکیٹ</v>
          </cell>
        </row>
        <row r="2503">
          <cell r="A2503" t="str">
            <v>6640/7</v>
          </cell>
          <cell r="B2503">
            <v>6640</v>
          </cell>
          <cell r="C2503">
            <v>45706</v>
          </cell>
          <cell r="D2503" t="str">
            <v>یونس صاحب</v>
          </cell>
          <cell r="E2503" t="str">
            <v>ایم عمران پاکستان مارکیٹ</v>
          </cell>
        </row>
        <row r="2504">
          <cell r="A2504" t="str">
            <v>6640/8</v>
          </cell>
          <cell r="B2504">
            <v>6640</v>
          </cell>
          <cell r="C2504">
            <v>45706</v>
          </cell>
          <cell r="D2504" t="str">
            <v>یونس صاحب</v>
          </cell>
          <cell r="E2504" t="str">
            <v>ایم عمران پاکستان مارکیٹ</v>
          </cell>
        </row>
        <row r="2505">
          <cell r="A2505" t="str">
            <v>6640/9</v>
          </cell>
          <cell r="B2505">
            <v>6640</v>
          </cell>
          <cell r="C2505">
            <v>45706</v>
          </cell>
          <cell r="D2505" t="str">
            <v>یونس صاحب</v>
          </cell>
          <cell r="E2505" t="str">
            <v>ایم عمران پاکستان مارکیٹ</v>
          </cell>
        </row>
        <row r="2506">
          <cell r="A2506" t="str">
            <v>6640/10</v>
          </cell>
          <cell r="B2506">
            <v>6640</v>
          </cell>
          <cell r="C2506">
            <v>45706</v>
          </cell>
          <cell r="D2506" t="str">
            <v>یونس صاحب</v>
          </cell>
          <cell r="E2506" t="str">
            <v>ایم عمران پاکستان مارکیٹ</v>
          </cell>
        </row>
        <row r="2507">
          <cell r="A2507" t="str">
            <v>6640/11</v>
          </cell>
          <cell r="B2507">
            <v>6640</v>
          </cell>
          <cell r="C2507">
            <v>45706</v>
          </cell>
          <cell r="D2507" t="str">
            <v>یونس صاحب</v>
          </cell>
          <cell r="E2507" t="str">
            <v>ایم عمران پاکستان مارکیٹ</v>
          </cell>
        </row>
        <row r="2508">
          <cell r="A2508" t="str">
            <v>6641/1</v>
          </cell>
          <cell r="B2508">
            <v>6641</v>
          </cell>
          <cell r="C2508">
            <v>45706</v>
          </cell>
          <cell r="D2508" t="str">
            <v>یونس صاحب</v>
          </cell>
          <cell r="E2508" t="str">
            <v>بلال جاوید فیصل آباد</v>
          </cell>
        </row>
        <row r="2509">
          <cell r="A2509" t="str">
            <v>6641/2</v>
          </cell>
          <cell r="B2509">
            <v>6641</v>
          </cell>
          <cell r="C2509">
            <v>45706</v>
          </cell>
          <cell r="D2509" t="str">
            <v>یونس صاحب</v>
          </cell>
          <cell r="E2509" t="str">
            <v>بلال جاوید فیصل آباد</v>
          </cell>
        </row>
        <row r="2510">
          <cell r="A2510" t="str">
            <v>6641/3</v>
          </cell>
          <cell r="B2510">
            <v>6641</v>
          </cell>
          <cell r="C2510">
            <v>45706</v>
          </cell>
          <cell r="D2510" t="str">
            <v>یونس صاحب</v>
          </cell>
          <cell r="E2510" t="str">
            <v>بلال جاوید فیصل آباد</v>
          </cell>
        </row>
        <row r="2511">
          <cell r="A2511" t="str">
            <v>6641/4</v>
          </cell>
          <cell r="B2511">
            <v>6641</v>
          </cell>
          <cell r="C2511">
            <v>45706</v>
          </cell>
          <cell r="D2511" t="str">
            <v>یونس صاحب</v>
          </cell>
          <cell r="E2511" t="str">
            <v>بلال جاوید فیصل آباد</v>
          </cell>
        </row>
        <row r="2512">
          <cell r="A2512" t="str">
            <v>6641/5</v>
          </cell>
          <cell r="B2512">
            <v>6641</v>
          </cell>
          <cell r="C2512">
            <v>45706</v>
          </cell>
          <cell r="D2512" t="str">
            <v>یونس صاحب</v>
          </cell>
          <cell r="E2512" t="str">
            <v>بلال جاوید فیصل آباد</v>
          </cell>
        </row>
        <row r="2513">
          <cell r="A2513" t="str">
            <v>6641/6</v>
          </cell>
          <cell r="B2513">
            <v>6641</v>
          </cell>
          <cell r="C2513">
            <v>45706</v>
          </cell>
          <cell r="D2513" t="str">
            <v>یونس صاحب</v>
          </cell>
          <cell r="E2513" t="str">
            <v>بلال جاوید فیصل آباد</v>
          </cell>
        </row>
        <row r="2514">
          <cell r="A2514" t="str">
            <v>6641/7</v>
          </cell>
          <cell r="B2514">
            <v>6641</v>
          </cell>
          <cell r="C2514">
            <v>45706</v>
          </cell>
          <cell r="D2514" t="str">
            <v>یونس صاحب</v>
          </cell>
          <cell r="E2514" t="str">
            <v>بلال جاوید فیصل آباد</v>
          </cell>
        </row>
        <row r="2515">
          <cell r="A2515" t="str">
            <v>6641/8</v>
          </cell>
          <cell r="B2515">
            <v>6641</v>
          </cell>
          <cell r="C2515">
            <v>45706</v>
          </cell>
          <cell r="D2515" t="str">
            <v>یونس صاحب</v>
          </cell>
          <cell r="E2515" t="str">
            <v>بلال جاوید فیصل آباد</v>
          </cell>
        </row>
        <row r="2516">
          <cell r="A2516" t="str">
            <v>6641/9</v>
          </cell>
          <cell r="B2516">
            <v>6641</v>
          </cell>
          <cell r="C2516">
            <v>45706</v>
          </cell>
          <cell r="D2516" t="str">
            <v>یونس صاحب</v>
          </cell>
          <cell r="E2516" t="str">
            <v>بلال جاوید فیصل آباد</v>
          </cell>
        </row>
        <row r="2517">
          <cell r="A2517" t="str">
            <v>6641/10</v>
          </cell>
          <cell r="B2517">
            <v>6641</v>
          </cell>
          <cell r="C2517">
            <v>45706</v>
          </cell>
          <cell r="D2517" t="str">
            <v>یونس صاحب</v>
          </cell>
          <cell r="E2517" t="str">
            <v>بلال جاوید فیصل آباد</v>
          </cell>
        </row>
        <row r="2518">
          <cell r="A2518" t="str">
            <v>6641/11</v>
          </cell>
          <cell r="B2518">
            <v>6641</v>
          </cell>
          <cell r="C2518">
            <v>45706</v>
          </cell>
          <cell r="D2518" t="str">
            <v>یونس صاحب</v>
          </cell>
          <cell r="E2518" t="str">
            <v>بلال جاوید فیصل آباد</v>
          </cell>
        </row>
        <row r="2519">
          <cell r="A2519" t="str">
            <v>6641/12</v>
          </cell>
          <cell r="B2519">
            <v>6641</v>
          </cell>
          <cell r="C2519">
            <v>45706</v>
          </cell>
          <cell r="D2519" t="str">
            <v>یونس صاحب</v>
          </cell>
          <cell r="E2519" t="str">
            <v>بلال جاوید فیصل آباد</v>
          </cell>
        </row>
        <row r="2520">
          <cell r="A2520" t="str">
            <v>6642/1</v>
          </cell>
          <cell r="B2520">
            <v>6642</v>
          </cell>
          <cell r="C2520">
            <v>45706</v>
          </cell>
          <cell r="D2520" t="str">
            <v>یونس صاحب</v>
          </cell>
          <cell r="E2520" t="str">
            <v>بلال جاوید فیصل آباد</v>
          </cell>
        </row>
        <row r="2521">
          <cell r="A2521" t="str">
            <v>6642/2</v>
          </cell>
          <cell r="B2521">
            <v>6642</v>
          </cell>
          <cell r="C2521">
            <v>45706</v>
          </cell>
          <cell r="D2521" t="str">
            <v>یونس صاحب</v>
          </cell>
          <cell r="E2521" t="str">
            <v>بلال جاوید فیصل آباد</v>
          </cell>
        </row>
        <row r="2522">
          <cell r="A2522" t="str">
            <v>6642/3</v>
          </cell>
          <cell r="B2522">
            <v>6642</v>
          </cell>
          <cell r="C2522">
            <v>45706</v>
          </cell>
          <cell r="D2522" t="str">
            <v>یونس صاحب</v>
          </cell>
          <cell r="E2522" t="str">
            <v>بلال جاوید فیصل آباد</v>
          </cell>
        </row>
        <row r="2523">
          <cell r="A2523" t="str">
            <v>6643/1</v>
          </cell>
          <cell r="B2523">
            <v>6643</v>
          </cell>
          <cell r="C2523">
            <v>45706</v>
          </cell>
          <cell r="D2523" t="str">
            <v>یونس صاحب</v>
          </cell>
          <cell r="E2523" t="str">
            <v>عثمان امین لاہور</v>
          </cell>
        </row>
        <row r="2524">
          <cell r="A2524" t="str">
            <v>6644/1</v>
          </cell>
          <cell r="B2524">
            <v>6644</v>
          </cell>
          <cell r="C2524">
            <v>45706</v>
          </cell>
          <cell r="D2524" t="str">
            <v>یونس صاحب</v>
          </cell>
          <cell r="E2524" t="str">
            <v>عظیم ٹوائز شاہ عالم</v>
          </cell>
        </row>
        <row r="2525">
          <cell r="A2525">
            <v>2702</v>
          </cell>
          <cell r="B2525"/>
          <cell r="C2525">
            <v>45713</v>
          </cell>
          <cell r="D2525" t="str">
            <v>PLASTIC</v>
          </cell>
          <cell r="E2525" t="str">
            <v>UNIT 2</v>
          </cell>
        </row>
        <row r="2526">
          <cell r="A2526">
            <v>2703</v>
          </cell>
          <cell r="B2526"/>
          <cell r="C2526">
            <v>45713</v>
          </cell>
          <cell r="D2526" t="str">
            <v>PLASTIC</v>
          </cell>
          <cell r="E2526" t="str">
            <v>UNIT 2</v>
          </cell>
        </row>
        <row r="2527">
          <cell r="A2527">
            <v>2704</v>
          </cell>
          <cell r="B2527"/>
          <cell r="C2527">
            <v>45713</v>
          </cell>
          <cell r="D2527" t="str">
            <v>PLASTIC</v>
          </cell>
          <cell r="E2527" t="str">
            <v>UNIT 2</v>
          </cell>
        </row>
        <row r="2528">
          <cell r="A2528">
            <v>2705</v>
          </cell>
          <cell r="B2528"/>
          <cell r="C2528">
            <v>45713</v>
          </cell>
          <cell r="D2528" t="str">
            <v>PLASTIC</v>
          </cell>
          <cell r="E2528" t="str">
            <v>UNIT 2</v>
          </cell>
        </row>
        <row r="2529">
          <cell r="A2529" t="str">
            <v>1038 J</v>
          </cell>
          <cell r="B2529">
            <v>11410</v>
          </cell>
          <cell r="C2529">
            <v>45712</v>
          </cell>
          <cell r="D2529" t="str">
            <v>JILANI</v>
          </cell>
          <cell r="E2529" t="str">
            <v>اعجاز شیر صوابی</v>
          </cell>
        </row>
        <row r="2530">
          <cell r="A2530" t="str">
            <v>1039 J</v>
          </cell>
          <cell r="B2530">
            <v>11411</v>
          </cell>
          <cell r="C2530">
            <v>45712</v>
          </cell>
          <cell r="D2530" t="str">
            <v>JILANI</v>
          </cell>
          <cell r="E2530" t="str">
            <v>زاہد محمود شاہ عالم لاہور</v>
          </cell>
        </row>
        <row r="2531">
          <cell r="A2531" t="str">
            <v>1040 J</v>
          </cell>
          <cell r="B2531">
            <v>11411</v>
          </cell>
          <cell r="C2531">
            <v>45712</v>
          </cell>
          <cell r="D2531" t="str">
            <v>JILANI</v>
          </cell>
          <cell r="E2531" t="str">
            <v>زاہد محمود شاہ عالم لاہور</v>
          </cell>
        </row>
        <row r="2532">
          <cell r="A2532" t="str">
            <v>1041 J</v>
          </cell>
          <cell r="B2532">
            <v>11412</v>
          </cell>
          <cell r="C2532">
            <v>45712</v>
          </cell>
          <cell r="D2532" t="str">
            <v>JILANI</v>
          </cell>
          <cell r="E2532" t="str">
            <v>ایم عمر فاروق صاحب لاہور</v>
          </cell>
        </row>
        <row r="2533">
          <cell r="A2533" t="str">
            <v>1042 J</v>
          </cell>
          <cell r="B2533">
            <v>11413</v>
          </cell>
          <cell r="C2533">
            <v>45712</v>
          </cell>
          <cell r="D2533" t="str">
            <v>JILANI</v>
          </cell>
          <cell r="E2533" t="str">
            <v>پولی پلاسٹک اچھرہ</v>
          </cell>
        </row>
        <row r="2534">
          <cell r="A2534" t="str">
            <v>1043 J</v>
          </cell>
          <cell r="B2534">
            <v>11414</v>
          </cell>
          <cell r="C2534">
            <v>45712</v>
          </cell>
          <cell r="D2534" t="str">
            <v>JILANI</v>
          </cell>
          <cell r="E2534" t="str">
            <v>آوٹ کلاس اینڈ ومن کڈزلاہور</v>
          </cell>
        </row>
        <row r="2535">
          <cell r="A2535" t="str">
            <v>1044 J</v>
          </cell>
          <cell r="B2535">
            <v>11414</v>
          </cell>
          <cell r="C2535">
            <v>45712</v>
          </cell>
          <cell r="D2535" t="str">
            <v>JILANI</v>
          </cell>
          <cell r="E2535" t="str">
            <v>آوٹ کلاس اینڈ ومن کڈزلاہور</v>
          </cell>
        </row>
        <row r="2536">
          <cell r="A2536" t="str">
            <v>1045 J</v>
          </cell>
          <cell r="B2536">
            <v>11415</v>
          </cell>
          <cell r="C2536">
            <v>45712</v>
          </cell>
          <cell r="D2536" t="str">
            <v>JILANI</v>
          </cell>
          <cell r="E2536" t="str">
            <v>نیو رائل سویٹس اینڈ بیکرز کوہاٹ</v>
          </cell>
        </row>
        <row r="2537">
          <cell r="A2537" t="str">
            <v>1046 J</v>
          </cell>
          <cell r="B2537">
            <v>11415</v>
          </cell>
          <cell r="C2537">
            <v>45712</v>
          </cell>
          <cell r="D2537" t="str">
            <v>JILANI</v>
          </cell>
          <cell r="E2537" t="str">
            <v>نیو رائل سویٹس اینڈ بیکرز کوہاٹ</v>
          </cell>
        </row>
        <row r="2538">
          <cell r="A2538" t="str">
            <v>1047 J</v>
          </cell>
          <cell r="B2538">
            <v>11415</v>
          </cell>
          <cell r="C2538">
            <v>45712</v>
          </cell>
          <cell r="D2538" t="str">
            <v>JILANI</v>
          </cell>
          <cell r="E2538" t="str">
            <v>نیو رائل سویٹس اینڈ بیکرز کوہاٹ</v>
          </cell>
        </row>
        <row r="2539">
          <cell r="A2539" t="str">
            <v>1048 J</v>
          </cell>
          <cell r="B2539">
            <v>11416</v>
          </cell>
          <cell r="C2539">
            <v>45712</v>
          </cell>
          <cell r="D2539" t="str">
            <v>JILANI</v>
          </cell>
          <cell r="E2539" t="str">
            <v>ایچ اے انڈسٹریز پشاور</v>
          </cell>
        </row>
        <row r="2540">
          <cell r="A2540" t="str">
            <v>1049 J</v>
          </cell>
          <cell r="B2540">
            <v>11417</v>
          </cell>
          <cell r="C2540">
            <v>45712</v>
          </cell>
          <cell r="D2540" t="str">
            <v>JILANI</v>
          </cell>
          <cell r="E2540" t="str">
            <v>زم زم کیپ لاہور</v>
          </cell>
        </row>
        <row r="2541">
          <cell r="A2541" t="str">
            <v>1050 J</v>
          </cell>
          <cell r="B2541">
            <v>11418</v>
          </cell>
          <cell r="C2541">
            <v>45712</v>
          </cell>
          <cell r="D2541" t="str">
            <v>JILANI</v>
          </cell>
          <cell r="E2541" t="str">
            <v>وسیم گارمنٹس شیخوپورا</v>
          </cell>
        </row>
        <row r="2542">
          <cell r="A2542" t="str">
            <v>1051 J</v>
          </cell>
          <cell r="B2542">
            <v>11419</v>
          </cell>
          <cell r="C2542">
            <v>45712</v>
          </cell>
          <cell r="D2542" t="str">
            <v>JILANI</v>
          </cell>
          <cell r="E2542" t="str">
            <v>وسیم گارمنٹس شیخوپورہ</v>
          </cell>
        </row>
        <row r="2543">
          <cell r="A2543" t="str">
            <v>1052 J</v>
          </cell>
          <cell r="B2543">
            <v>11420</v>
          </cell>
          <cell r="C2543">
            <v>45712</v>
          </cell>
          <cell r="D2543" t="str">
            <v>JILANI</v>
          </cell>
          <cell r="E2543" t="str">
            <v>برائٹ گولڈ نارووال</v>
          </cell>
        </row>
        <row r="2544">
          <cell r="A2544" t="str">
            <v>1053 J</v>
          </cell>
          <cell r="B2544">
            <v>11421</v>
          </cell>
          <cell r="C2544">
            <v>45712</v>
          </cell>
          <cell r="D2544" t="str">
            <v>JILANI</v>
          </cell>
          <cell r="E2544" t="str">
            <v>نواب جیلانی پلاسٹک لیہ</v>
          </cell>
        </row>
        <row r="2545">
          <cell r="A2545" t="str">
            <v>1054 J</v>
          </cell>
          <cell r="B2545">
            <v>11422</v>
          </cell>
          <cell r="C2545">
            <v>45712</v>
          </cell>
          <cell r="D2545" t="str">
            <v>JILANI</v>
          </cell>
          <cell r="E2545" t="str">
            <v>عثمان عارف بٹ گوجرانولہ</v>
          </cell>
        </row>
        <row r="2546">
          <cell r="A2546" t="str">
            <v>1055 J</v>
          </cell>
          <cell r="B2546">
            <v>11423</v>
          </cell>
          <cell r="C2546">
            <v>45712</v>
          </cell>
          <cell r="D2546" t="str">
            <v>JILANI</v>
          </cell>
          <cell r="E2546" t="str">
            <v>فینسی گارمنٹس کامونکی</v>
          </cell>
        </row>
        <row r="2547">
          <cell r="A2547" t="str">
            <v>1056 J</v>
          </cell>
          <cell r="B2547">
            <v>11424</v>
          </cell>
          <cell r="C2547">
            <v>45712</v>
          </cell>
          <cell r="D2547" t="str">
            <v>JILANI</v>
          </cell>
          <cell r="E2547" t="str">
            <v>فینسی گارمنٹس کامونکی</v>
          </cell>
        </row>
        <row r="2548">
          <cell r="A2548" t="str">
            <v>1057 J</v>
          </cell>
          <cell r="B2548">
            <v>11425</v>
          </cell>
          <cell r="C2548">
            <v>45712</v>
          </cell>
          <cell r="D2548" t="str">
            <v>JILANI</v>
          </cell>
          <cell r="E2548" t="str">
            <v>فینسی گارمنٹس کامونکی</v>
          </cell>
        </row>
        <row r="2549">
          <cell r="A2549" t="str">
            <v>1058 J</v>
          </cell>
          <cell r="B2549">
            <v>11425</v>
          </cell>
          <cell r="C2549">
            <v>45712</v>
          </cell>
          <cell r="D2549" t="str">
            <v>JILANI</v>
          </cell>
          <cell r="E2549" t="str">
            <v>فینسی گارمنٹس کامونکی</v>
          </cell>
        </row>
        <row r="2550">
          <cell r="A2550" t="str">
            <v>1059 J</v>
          </cell>
          <cell r="B2550"/>
          <cell r="C2550">
            <v>45712</v>
          </cell>
          <cell r="D2550"/>
          <cell r="E2550"/>
        </row>
        <row r="2551">
          <cell r="A2551" t="str">
            <v>1060 J</v>
          </cell>
          <cell r="B2551"/>
          <cell r="C2551">
            <v>45713</v>
          </cell>
          <cell r="D2551" t="str">
            <v>OTHERS</v>
          </cell>
          <cell r="E2551" t="str">
            <v>جیلانی پلاسٹک</v>
          </cell>
        </row>
        <row r="2552">
          <cell r="A2552" t="str">
            <v>1061 J</v>
          </cell>
          <cell r="B2552"/>
          <cell r="C2552">
            <v>45713</v>
          </cell>
          <cell r="D2552" t="str">
            <v>OTHERS</v>
          </cell>
          <cell r="E2552" t="str">
            <v>جیلانی پولی سٹاک</v>
          </cell>
        </row>
        <row r="2553">
          <cell r="A2553" t="str">
            <v>1062 J</v>
          </cell>
          <cell r="B2553"/>
          <cell r="C2553">
            <v>45713</v>
          </cell>
          <cell r="D2553" t="str">
            <v>OTHERS</v>
          </cell>
          <cell r="E2553" t="str">
            <v>جیلانی پولی سٹاک</v>
          </cell>
        </row>
        <row r="2554">
          <cell r="A2554" t="str">
            <v>1063 J</v>
          </cell>
          <cell r="B2554">
            <v>11426</v>
          </cell>
          <cell r="C2554">
            <v>45712</v>
          </cell>
          <cell r="D2554" t="str">
            <v>JILANI</v>
          </cell>
          <cell r="E2554" t="str">
            <v>زاہد محمود شاہ عالم لاہور</v>
          </cell>
        </row>
        <row r="2555">
          <cell r="A2555" t="str">
            <v>1064 J</v>
          </cell>
          <cell r="B2555">
            <v>11426</v>
          </cell>
          <cell r="C2555">
            <v>45712</v>
          </cell>
          <cell r="D2555" t="str">
            <v>JILANI</v>
          </cell>
          <cell r="E2555" t="str">
            <v>زاہد محمود شاہ عالم لاہور</v>
          </cell>
        </row>
        <row r="2556">
          <cell r="A2556" t="str">
            <v>1065 J</v>
          </cell>
          <cell r="B2556">
            <v>11426</v>
          </cell>
          <cell r="C2556">
            <v>45712</v>
          </cell>
          <cell r="D2556" t="str">
            <v>JILANI</v>
          </cell>
          <cell r="E2556" t="str">
            <v>زاہد محمود شاہ عالم لاہور</v>
          </cell>
        </row>
        <row r="2557">
          <cell r="A2557" t="str">
            <v>1066 J</v>
          </cell>
          <cell r="B2557"/>
          <cell r="C2557">
            <v>45713</v>
          </cell>
          <cell r="D2557" t="str">
            <v>OTHERS</v>
          </cell>
          <cell r="E2557" t="str">
            <v>جیلانی پولی سٹاک</v>
          </cell>
        </row>
        <row r="2558">
          <cell r="A2558" t="str">
            <v>1067 J</v>
          </cell>
          <cell r="B2558"/>
          <cell r="C2558">
            <v>45713</v>
          </cell>
          <cell r="D2558" t="str">
            <v>OTHERS</v>
          </cell>
          <cell r="E2558" t="str">
            <v>جیلانی پولی سٹاک</v>
          </cell>
        </row>
        <row r="2559">
          <cell r="A2559" t="str">
            <v>1068 J</v>
          </cell>
          <cell r="B2559"/>
          <cell r="C2559">
            <v>45713</v>
          </cell>
          <cell r="D2559" t="str">
            <v>OTHERS</v>
          </cell>
          <cell r="E2559" t="str">
            <v>جیلانی پولی سٹاک</v>
          </cell>
        </row>
        <row r="2560">
          <cell r="A2560" t="str">
            <v>1069 J</v>
          </cell>
          <cell r="B2560"/>
          <cell r="C2560">
            <v>45713</v>
          </cell>
          <cell r="D2560" t="str">
            <v>OTHERS</v>
          </cell>
          <cell r="E2560" t="str">
            <v>جیلانی پولی سٹاک</v>
          </cell>
        </row>
        <row r="2561">
          <cell r="A2561" t="str">
            <v>1070 J</v>
          </cell>
          <cell r="B2561"/>
          <cell r="C2561">
            <v>45713</v>
          </cell>
          <cell r="D2561" t="str">
            <v>OTHERS</v>
          </cell>
          <cell r="E2561" t="str">
            <v>گاربیج رول</v>
          </cell>
        </row>
        <row r="2562">
          <cell r="A2562" t="str">
            <v>1071 J</v>
          </cell>
          <cell r="B2562"/>
          <cell r="C2562">
            <v>45713</v>
          </cell>
          <cell r="D2562" t="str">
            <v>OTHERS</v>
          </cell>
          <cell r="E2562" t="str">
            <v>گاربیج رول</v>
          </cell>
        </row>
        <row r="2563">
          <cell r="A2563" t="str">
            <v>1072 J</v>
          </cell>
          <cell r="B2563"/>
          <cell r="C2563">
            <v>45713</v>
          </cell>
          <cell r="D2563" t="str">
            <v>OTHERS</v>
          </cell>
          <cell r="E2563" t="str">
            <v>گاربیج رول</v>
          </cell>
        </row>
        <row r="2564">
          <cell r="A2564" t="str">
            <v>1073 J</v>
          </cell>
          <cell r="B2564"/>
          <cell r="C2564">
            <v>45713</v>
          </cell>
          <cell r="D2564" t="str">
            <v>OTHERS</v>
          </cell>
          <cell r="E2564" t="str">
            <v>جیلانی پولی سٹاک</v>
          </cell>
        </row>
        <row r="2565">
          <cell r="A2565" t="str">
            <v>1138 F</v>
          </cell>
          <cell r="B2565"/>
          <cell r="C2565">
            <v>45712</v>
          </cell>
          <cell r="D2565" t="str">
            <v>فینا</v>
          </cell>
          <cell r="E2565" t="str">
            <v>عثمان امین</v>
          </cell>
        </row>
        <row r="2566">
          <cell r="A2566" t="str">
            <v>1139 F</v>
          </cell>
          <cell r="B2566"/>
          <cell r="C2566">
            <v>45712</v>
          </cell>
          <cell r="D2566" t="str">
            <v>فینا</v>
          </cell>
          <cell r="E2566" t="str">
            <v>عثمان امین</v>
          </cell>
        </row>
        <row r="2567">
          <cell r="A2567" t="str">
            <v>1140 F</v>
          </cell>
          <cell r="B2567"/>
          <cell r="C2567">
            <v>45712</v>
          </cell>
          <cell r="D2567" t="str">
            <v>فینا</v>
          </cell>
          <cell r="E2567" t="str">
            <v>عثمان امین</v>
          </cell>
        </row>
        <row r="2568">
          <cell r="A2568" t="str">
            <v>1141 F</v>
          </cell>
          <cell r="B2568"/>
          <cell r="C2568">
            <v>45712</v>
          </cell>
          <cell r="D2568" t="str">
            <v>فینا</v>
          </cell>
          <cell r="E2568" t="str">
            <v>عثمان امین</v>
          </cell>
        </row>
        <row r="2569">
          <cell r="A2569" t="str">
            <v>1142 F</v>
          </cell>
          <cell r="B2569"/>
          <cell r="C2569">
            <v>45712</v>
          </cell>
          <cell r="D2569" t="str">
            <v>فینا</v>
          </cell>
          <cell r="E2569" t="str">
            <v>عثمان امین</v>
          </cell>
        </row>
        <row r="2570">
          <cell r="A2570" t="str">
            <v>1143 F</v>
          </cell>
          <cell r="B2570"/>
          <cell r="C2570">
            <v>45712</v>
          </cell>
          <cell r="D2570" t="str">
            <v>فینا</v>
          </cell>
          <cell r="E2570" t="str">
            <v>عثمان امین</v>
          </cell>
        </row>
        <row r="2571">
          <cell r="A2571" t="str">
            <v>1144 F</v>
          </cell>
          <cell r="B2571"/>
          <cell r="C2571">
            <v>45712</v>
          </cell>
          <cell r="D2571" t="str">
            <v>فینا</v>
          </cell>
          <cell r="E2571" t="str">
            <v>عثمان امین</v>
          </cell>
        </row>
        <row r="2572">
          <cell r="A2572" t="str">
            <v>1145 F</v>
          </cell>
          <cell r="B2572"/>
          <cell r="C2572">
            <v>45713</v>
          </cell>
          <cell r="D2572" t="str">
            <v>فینا</v>
          </cell>
          <cell r="E2572" t="str">
            <v>عثمان امین</v>
          </cell>
        </row>
        <row r="2573">
          <cell r="A2573" t="str">
            <v>1146 F</v>
          </cell>
          <cell r="B2573"/>
          <cell r="C2573">
            <v>45713</v>
          </cell>
          <cell r="D2573" t="str">
            <v>فینا</v>
          </cell>
          <cell r="E2573" t="str">
            <v>عثمان امین</v>
          </cell>
        </row>
        <row r="2574">
          <cell r="A2574" t="str">
            <v>1147 F</v>
          </cell>
          <cell r="B2574"/>
          <cell r="C2574">
            <v>45713</v>
          </cell>
          <cell r="D2574" t="str">
            <v>فینا</v>
          </cell>
          <cell r="E2574" t="str">
            <v>عثمان امین</v>
          </cell>
        </row>
        <row r="2575">
          <cell r="A2575" t="str">
            <v>1148 F</v>
          </cell>
          <cell r="B2575"/>
          <cell r="C2575">
            <v>45713</v>
          </cell>
          <cell r="D2575" t="str">
            <v>فینا</v>
          </cell>
          <cell r="E2575" t="str">
            <v>عثمان امین</v>
          </cell>
        </row>
        <row r="2576">
          <cell r="A2576" t="str">
            <v>1149 F</v>
          </cell>
          <cell r="B2576"/>
          <cell r="C2576">
            <v>45713</v>
          </cell>
          <cell r="D2576" t="str">
            <v>فینا</v>
          </cell>
          <cell r="E2576" t="str">
            <v>عثمان امین</v>
          </cell>
        </row>
        <row r="2577">
          <cell r="A2577">
            <v>2706</v>
          </cell>
          <cell r="B2577">
            <v>2671</v>
          </cell>
          <cell r="C2577">
            <v>45713</v>
          </cell>
          <cell r="D2577" t="str">
            <v>PLASTIC</v>
          </cell>
          <cell r="E2577" t="str">
            <v>MATCO FOOD</v>
          </cell>
        </row>
        <row r="2578">
          <cell r="A2578">
            <v>2707</v>
          </cell>
          <cell r="B2578">
            <v>1636</v>
          </cell>
          <cell r="C2578">
            <v>45714</v>
          </cell>
          <cell r="D2578" t="str">
            <v>JILANI</v>
          </cell>
          <cell r="E2578" t="str">
            <v>USMAN AMIN FINA</v>
          </cell>
        </row>
        <row r="2579">
          <cell r="A2579">
            <v>2708</v>
          </cell>
          <cell r="B2579">
            <v>1647</v>
          </cell>
          <cell r="C2579">
            <v>45715</v>
          </cell>
          <cell r="D2579" t="str">
            <v>JILANI</v>
          </cell>
          <cell r="E2579" t="str">
            <v>USMAN AMIN FINA</v>
          </cell>
        </row>
        <row r="2580">
          <cell r="A2580" t="str">
            <v>1150 F</v>
          </cell>
          <cell r="B2580"/>
          <cell r="C2580">
            <v>45713</v>
          </cell>
          <cell r="D2580" t="str">
            <v>فینا</v>
          </cell>
          <cell r="E2580" t="str">
            <v>عثمان امین</v>
          </cell>
        </row>
        <row r="2581">
          <cell r="A2581" t="str">
            <v>1151 F</v>
          </cell>
          <cell r="B2581"/>
          <cell r="C2581">
            <v>45713</v>
          </cell>
          <cell r="D2581" t="str">
            <v>فینا</v>
          </cell>
          <cell r="E2581" t="str">
            <v>عثمان امین</v>
          </cell>
        </row>
        <row r="2582">
          <cell r="A2582" t="str">
            <v>1152 F</v>
          </cell>
          <cell r="B2582"/>
          <cell r="C2582">
            <v>45713</v>
          </cell>
          <cell r="D2582" t="str">
            <v>فینا</v>
          </cell>
          <cell r="E2582" t="str">
            <v>عثمان امین</v>
          </cell>
        </row>
        <row r="2583">
          <cell r="A2583" t="str">
            <v>1153 F</v>
          </cell>
          <cell r="B2583"/>
          <cell r="C2583">
            <v>45714</v>
          </cell>
          <cell r="D2583" t="str">
            <v>فینا</v>
          </cell>
          <cell r="E2583" t="str">
            <v>عثمان امین</v>
          </cell>
        </row>
        <row r="2584">
          <cell r="A2584" t="str">
            <v>1154 F</v>
          </cell>
          <cell r="B2584"/>
          <cell r="C2584">
            <v>45714</v>
          </cell>
          <cell r="D2584" t="str">
            <v>فینا</v>
          </cell>
          <cell r="E2584" t="str">
            <v>عثمان امین</v>
          </cell>
        </row>
        <row r="2585">
          <cell r="A2585" t="str">
            <v>1074 J</v>
          </cell>
          <cell r="B2585"/>
          <cell r="C2585">
            <v>45714</v>
          </cell>
          <cell r="D2585" t="str">
            <v>OTHERS</v>
          </cell>
          <cell r="E2585" t="str">
            <v>زمیندار فوڈ کمپنی بنوں</v>
          </cell>
        </row>
        <row r="2586">
          <cell r="A2586" t="str">
            <v>1075 J</v>
          </cell>
          <cell r="B2586"/>
          <cell r="C2586">
            <v>45714</v>
          </cell>
          <cell r="D2586" t="str">
            <v>OTHERS</v>
          </cell>
          <cell r="E2586" t="str">
            <v>زمیندار فوڈ کمپنی بنوں</v>
          </cell>
        </row>
        <row r="2587">
          <cell r="A2587" t="str">
            <v>1076 J</v>
          </cell>
          <cell r="B2587"/>
          <cell r="C2587">
            <v>45714</v>
          </cell>
          <cell r="D2587" t="str">
            <v>OTHERS</v>
          </cell>
          <cell r="E2587" t="str">
            <v>زمیندار فوڈ کمپنی بنوں</v>
          </cell>
        </row>
        <row r="2588">
          <cell r="A2588" t="str">
            <v>1077 J</v>
          </cell>
          <cell r="B2588"/>
          <cell r="C2588">
            <v>45714</v>
          </cell>
          <cell r="D2588" t="str">
            <v>OTHERS</v>
          </cell>
          <cell r="E2588" t="str">
            <v>وقار اکرم مغل چنیوٹ C/O نصیر صاحب</v>
          </cell>
        </row>
        <row r="2589">
          <cell r="A2589" t="str">
            <v>1078 J</v>
          </cell>
          <cell r="B2589"/>
          <cell r="C2589">
            <v>45714</v>
          </cell>
          <cell r="D2589" t="str">
            <v>OTHERS</v>
          </cell>
          <cell r="E2589" t="str">
            <v>وقار اکرم مغل چنیوٹ C/O نصیر صاحب</v>
          </cell>
        </row>
        <row r="2590">
          <cell r="A2590" t="str">
            <v>1079 J</v>
          </cell>
          <cell r="B2590"/>
          <cell r="C2590">
            <v>45714</v>
          </cell>
          <cell r="D2590" t="str">
            <v>OTHERS</v>
          </cell>
          <cell r="E2590" t="str">
            <v>وقار اکرم مغل چنیوٹ C/O نصیر صاحب</v>
          </cell>
        </row>
        <row r="2591">
          <cell r="A2591" t="str">
            <v>1080 J</v>
          </cell>
          <cell r="B2591"/>
          <cell r="C2591">
            <v>45714</v>
          </cell>
          <cell r="D2591" t="str">
            <v>OTHERS</v>
          </cell>
          <cell r="E2591" t="str">
            <v>وقار اکرم مغل چنیوٹ C/O نصیر صاحب</v>
          </cell>
        </row>
        <row r="2592">
          <cell r="A2592" t="str">
            <v>1081 J</v>
          </cell>
          <cell r="B2592"/>
          <cell r="C2592">
            <v>45714</v>
          </cell>
          <cell r="D2592" t="str">
            <v>OTHERS</v>
          </cell>
          <cell r="E2592" t="str">
            <v>وقار اکرم مغل چنیوٹ C/O نصیر صاحب</v>
          </cell>
        </row>
        <row r="2593">
          <cell r="A2593" t="str">
            <v>1082 J</v>
          </cell>
          <cell r="B2593"/>
          <cell r="C2593">
            <v>45714</v>
          </cell>
          <cell r="D2593" t="str">
            <v>OTHERS</v>
          </cell>
          <cell r="E2593" t="str">
            <v>وقار اکرم مغل چنیوٹ C/O نصیر صاحب</v>
          </cell>
        </row>
        <row r="2594">
          <cell r="A2594" t="str">
            <v>1083 J</v>
          </cell>
          <cell r="B2594"/>
          <cell r="C2594">
            <v>45714</v>
          </cell>
          <cell r="D2594" t="str">
            <v>OTHERS</v>
          </cell>
          <cell r="E2594" t="str">
            <v>وقار اکرم مغل چنیوٹ C/O نصیر صاحب</v>
          </cell>
        </row>
        <row r="2595">
          <cell r="A2595" t="str">
            <v>1084 J</v>
          </cell>
          <cell r="B2595"/>
          <cell r="C2595">
            <v>45714</v>
          </cell>
          <cell r="D2595" t="str">
            <v>OTHERS</v>
          </cell>
          <cell r="E2595" t="str">
            <v>وقار اکرم مغل چنیوٹ C/O نصیر صاحب</v>
          </cell>
        </row>
        <row r="2596">
          <cell r="A2596" t="str">
            <v>1085 J</v>
          </cell>
          <cell r="B2596"/>
          <cell r="C2596">
            <v>45714</v>
          </cell>
          <cell r="D2596" t="str">
            <v>OTHERS</v>
          </cell>
          <cell r="E2596" t="str">
            <v>وقار اکرم مغل چنیوٹ C/O نصیر صاحب</v>
          </cell>
        </row>
        <row r="2597">
          <cell r="A2597" t="str">
            <v>1086 J</v>
          </cell>
          <cell r="B2597"/>
          <cell r="C2597">
            <v>45713</v>
          </cell>
          <cell r="D2597" t="str">
            <v>OTHERS</v>
          </cell>
          <cell r="E2597" t="str">
            <v>جیلانی پلاسٹک</v>
          </cell>
        </row>
        <row r="2598">
          <cell r="A2598" t="str">
            <v>1087 J</v>
          </cell>
          <cell r="B2598"/>
          <cell r="C2598">
            <v>45713</v>
          </cell>
          <cell r="D2598" t="str">
            <v>OTHERS</v>
          </cell>
          <cell r="E2598" t="str">
            <v xml:space="preserve">جیلانی پولی یونٹ 2 </v>
          </cell>
        </row>
        <row r="2599">
          <cell r="A2599" t="str">
            <v>1088 J</v>
          </cell>
          <cell r="B2599"/>
          <cell r="C2599">
            <v>45713</v>
          </cell>
          <cell r="D2599" t="str">
            <v>OTHERS</v>
          </cell>
          <cell r="E2599" t="str">
            <v xml:space="preserve">جیلانی پولی یونٹ 2 </v>
          </cell>
        </row>
        <row r="2600">
          <cell r="A2600" t="str">
            <v>1089 J</v>
          </cell>
          <cell r="B2600"/>
          <cell r="C2600">
            <v>45713</v>
          </cell>
          <cell r="D2600" t="str">
            <v>OTHERS</v>
          </cell>
          <cell r="E2600" t="str">
            <v xml:space="preserve">جیلانی پولی یونٹ 2 </v>
          </cell>
        </row>
        <row r="2601">
          <cell r="A2601" t="str">
            <v>1090 J</v>
          </cell>
          <cell r="B2601"/>
          <cell r="C2601">
            <v>45713</v>
          </cell>
          <cell r="D2601" t="str">
            <v>OTHERS</v>
          </cell>
          <cell r="E2601" t="str">
            <v xml:space="preserve">جیلانی پولی یونٹ 2 </v>
          </cell>
        </row>
        <row r="2602">
          <cell r="A2602" t="str">
            <v>1091 J</v>
          </cell>
          <cell r="B2602">
            <v>11427</v>
          </cell>
          <cell r="C2602">
            <v>45713</v>
          </cell>
          <cell r="D2602" t="str">
            <v>JILANI</v>
          </cell>
          <cell r="E2602" t="str">
            <v>زم زم شاپنگ مال ٹمبرگراں</v>
          </cell>
        </row>
        <row r="2603">
          <cell r="A2603" t="str">
            <v>1092 J</v>
          </cell>
          <cell r="B2603">
            <v>11428</v>
          </cell>
          <cell r="C2603">
            <v>45713</v>
          </cell>
          <cell r="D2603" t="str">
            <v>JILANI</v>
          </cell>
          <cell r="E2603" t="str">
            <v>سلور سپون گجرات</v>
          </cell>
        </row>
        <row r="2604">
          <cell r="A2604" t="str">
            <v>1093 J</v>
          </cell>
          <cell r="B2604">
            <v>11428</v>
          </cell>
          <cell r="C2604">
            <v>45713</v>
          </cell>
          <cell r="D2604" t="str">
            <v>JILANI</v>
          </cell>
          <cell r="E2604" t="str">
            <v>سلور سپون گجرات</v>
          </cell>
        </row>
        <row r="2605">
          <cell r="A2605" t="str">
            <v>1094 J</v>
          </cell>
          <cell r="B2605">
            <v>11429</v>
          </cell>
          <cell r="C2605">
            <v>45713</v>
          </cell>
          <cell r="D2605" t="str">
            <v>JILANI</v>
          </cell>
          <cell r="E2605" t="str">
            <v>لطیف بیکرز بادامی باغ</v>
          </cell>
        </row>
        <row r="2606">
          <cell r="A2606" t="str">
            <v>1095 J</v>
          </cell>
          <cell r="B2606">
            <v>11429</v>
          </cell>
          <cell r="C2606">
            <v>45713</v>
          </cell>
          <cell r="D2606" t="str">
            <v>JILANI</v>
          </cell>
          <cell r="E2606" t="str">
            <v>لطیف بیکرز بادامی باغ</v>
          </cell>
        </row>
        <row r="2607">
          <cell r="A2607" t="str">
            <v>1096 J</v>
          </cell>
          <cell r="B2607">
            <v>11430</v>
          </cell>
          <cell r="C2607">
            <v>45713</v>
          </cell>
          <cell r="D2607" t="str">
            <v>JILANI</v>
          </cell>
          <cell r="E2607" t="str">
            <v>عالم پرنٹرز بٹ خیلہ</v>
          </cell>
        </row>
        <row r="2608">
          <cell r="A2608" t="str">
            <v>1097 J</v>
          </cell>
          <cell r="B2608">
            <v>11431</v>
          </cell>
          <cell r="C2608">
            <v>45713</v>
          </cell>
          <cell r="D2608" t="str">
            <v>JILANI</v>
          </cell>
          <cell r="E2608" t="str">
            <v>رمادا ملتان</v>
          </cell>
        </row>
        <row r="2609">
          <cell r="A2609" t="str">
            <v>1098 J</v>
          </cell>
          <cell r="B2609">
            <v>11432</v>
          </cell>
          <cell r="C2609">
            <v>45713</v>
          </cell>
          <cell r="D2609" t="str">
            <v>JILANI</v>
          </cell>
          <cell r="E2609" t="str">
            <v>نواب جیلانی پلاسٹک لیہ</v>
          </cell>
        </row>
        <row r="2610">
          <cell r="A2610" t="str">
            <v>1099 J</v>
          </cell>
          <cell r="B2610">
            <v>11433</v>
          </cell>
          <cell r="C2610">
            <v>45713</v>
          </cell>
          <cell r="D2610" t="str">
            <v>JILANI</v>
          </cell>
          <cell r="E2610" t="str">
            <v>عالم پرنٹرز بٹ خیلہ</v>
          </cell>
        </row>
        <row r="2611">
          <cell r="A2611" t="str">
            <v>1100 J</v>
          </cell>
          <cell r="B2611">
            <v>11433</v>
          </cell>
          <cell r="C2611">
            <v>45713</v>
          </cell>
          <cell r="D2611" t="str">
            <v>JILANI</v>
          </cell>
          <cell r="E2611" t="str">
            <v>عالم پرنٹرز بٹ خیلہ</v>
          </cell>
        </row>
        <row r="2612">
          <cell r="A2612" t="str">
            <v>1101 J</v>
          </cell>
          <cell r="B2612">
            <v>11433</v>
          </cell>
          <cell r="C2612">
            <v>45713</v>
          </cell>
          <cell r="D2612" t="str">
            <v>JILANI</v>
          </cell>
          <cell r="E2612" t="str">
            <v>عالم پرنٹرز بٹ خیلہ</v>
          </cell>
        </row>
        <row r="2613">
          <cell r="A2613" t="str">
            <v>1102 J</v>
          </cell>
          <cell r="B2613">
            <v>11433</v>
          </cell>
          <cell r="C2613">
            <v>45713</v>
          </cell>
          <cell r="D2613" t="str">
            <v>JILANI</v>
          </cell>
          <cell r="E2613" t="str">
            <v>عالم پرنٹرز بٹ خیلہ</v>
          </cell>
        </row>
        <row r="2614">
          <cell r="A2614" t="str">
            <v>1103 J</v>
          </cell>
          <cell r="B2614">
            <v>11433</v>
          </cell>
          <cell r="C2614">
            <v>45713</v>
          </cell>
          <cell r="D2614" t="str">
            <v>JILANI</v>
          </cell>
          <cell r="E2614" t="str">
            <v>عالم پرنٹرز بٹ خیلہ</v>
          </cell>
        </row>
        <row r="2615">
          <cell r="A2615" t="str">
            <v>1104 J</v>
          </cell>
          <cell r="B2615">
            <v>11433</v>
          </cell>
          <cell r="C2615">
            <v>45713</v>
          </cell>
          <cell r="D2615" t="str">
            <v>JILANI</v>
          </cell>
          <cell r="E2615" t="str">
            <v>عالم پرنٹرز بٹ خیلہ</v>
          </cell>
        </row>
        <row r="2616">
          <cell r="A2616" t="str">
            <v>1105 J</v>
          </cell>
          <cell r="B2616">
            <v>11434</v>
          </cell>
          <cell r="C2616">
            <v>45713</v>
          </cell>
          <cell r="D2616" t="str">
            <v>JILANI</v>
          </cell>
          <cell r="E2616" t="str">
            <v>ارمانی ڈرائی کلینر منڈی بہاؤالدین</v>
          </cell>
        </row>
        <row r="2617">
          <cell r="A2617" t="str">
            <v>1106 J</v>
          </cell>
          <cell r="B2617">
            <v>11435</v>
          </cell>
          <cell r="C2617">
            <v>45713</v>
          </cell>
          <cell r="D2617" t="str">
            <v>JILANI</v>
          </cell>
          <cell r="E2617" t="str">
            <v>ارمانی ڈرائی کلینر منڈی بہاؤالدین</v>
          </cell>
        </row>
        <row r="2618">
          <cell r="A2618" t="str">
            <v>1107 J</v>
          </cell>
          <cell r="B2618">
            <v>11436</v>
          </cell>
          <cell r="C2618">
            <v>45713</v>
          </cell>
          <cell r="D2618" t="str">
            <v>JILANI</v>
          </cell>
          <cell r="E2618" t="str">
            <v>شعیب آٹوز راولپنڈی</v>
          </cell>
        </row>
        <row r="2619">
          <cell r="A2619" t="str">
            <v>1108 J</v>
          </cell>
          <cell r="B2619">
            <v>11436</v>
          </cell>
          <cell r="C2619">
            <v>45713</v>
          </cell>
          <cell r="D2619" t="str">
            <v>JILANI</v>
          </cell>
          <cell r="E2619" t="str">
            <v>شعیب آٹوز راولپنڈی</v>
          </cell>
        </row>
        <row r="2620">
          <cell r="A2620" t="str">
            <v>1109 J</v>
          </cell>
          <cell r="B2620">
            <v>11437</v>
          </cell>
          <cell r="C2620">
            <v>45713</v>
          </cell>
          <cell r="D2620" t="str">
            <v>JILANI</v>
          </cell>
          <cell r="E2620" t="str">
            <v xml:space="preserve">فضل داد ٹیکسٹائل راولپنڈی </v>
          </cell>
        </row>
        <row r="2621">
          <cell r="A2621" t="str">
            <v>1110 J</v>
          </cell>
          <cell r="B2621">
            <v>11437</v>
          </cell>
          <cell r="C2621">
            <v>45713</v>
          </cell>
          <cell r="D2621" t="str">
            <v>JILANI</v>
          </cell>
          <cell r="E2621" t="str">
            <v xml:space="preserve">فضل داد ٹیکسٹائل راولپنڈی </v>
          </cell>
        </row>
        <row r="2622">
          <cell r="A2622" t="str">
            <v>1111 J</v>
          </cell>
          <cell r="B2622">
            <v>11438</v>
          </cell>
          <cell r="C2622">
            <v>45713</v>
          </cell>
          <cell r="D2622" t="str">
            <v>JILANI</v>
          </cell>
          <cell r="E2622" t="str">
            <v>عالم پرنٹرز بٹ خیلہ</v>
          </cell>
        </row>
        <row r="2623">
          <cell r="A2623" t="str">
            <v>1112 J</v>
          </cell>
          <cell r="B2623">
            <v>11438</v>
          </cell>
          <cell r="C2623">
            <v>45713</v>
          </cell>
          <cell r="D2623" t="str">
            <v>JILANI</v>
          </cell>
          <cell r="E2623" t="str">
            <v>عالم پرنٹرز بٹ خیلہ</v>
          </cell>
        </row>
        <row r="2624">
          <cell r="A2624" t="str">
            <v>1113 J</v>
          </cell>
          <cell r="B2624">
            <v>11438</v>
          </cell>
          <cell r="C2624">
            <v>45713</v>
          </cell>
          <cell r="D2624" t="str">
            <v>JILANI</v>
          </cell>
          <cell r="E2624" t="str">
            <v>عالم پرنٹرز بٹ خیلہ</v>
          </cell>
        </row>
        <row r="2625">
          <cell r="A2625" t="str">
            <v>1114 J</v>
          </cell>
          <cell r="B2625">
            <v>11439</v>
          </cell>
          <cell r="C2625">
            <v>45713</v>
          </cell>
          <cell r="D2625" t="str">
            <v>JILANI</v>
          </cell>
          <cell r="E2625" t="str">
            <v>صاحبزادہ پرنٹنگ سرائے نارنگ</v>
          </cell>
        </row>
        <row r="2626">
          <cell r="A2626" t="str">
            <v>1115 J</v>
          </cell>
          <cell r="B2626">
            <v>11440</v>
          </cell>
          <cell r="C2626">
            <v>45713</v>
          </cell>
          <cell r="D2626" t="str">
            <v>JILANI</v>
          </cell>
          <cell r="E2626" t="str">
            <v xml:space="preserve">جے ڈی فبرکس سٹور </v>
          </cell>
        </row>
        <row r="2627">
          <cell r="A2627" t="str">
            <v>1024 J</v>
          </cell>
          <cell r="B2627"/>
          <cell r="C2627">
            <v>45710</v>
          </cell>
          <cell r="D2627" t="str">
            <v>OTHERS</v>
          </cell>
          <cell r="E2627" t="str">
            <v>جیلانی پولی سٹاک</v>
          </cell>
        </row>
        <row r="2628">
          <cell r="A2628" t="str">
            <v>1025 J</v>
          </cell>
          <cell r="B2628">
            <v>11397</v>
          </cell>
          <cell r="C2628">
            <v>45712</v>
          </cell>
          <cell r="D2628" t="str">
            <v>JILANI</v>
          </cell>
          <cell r="E2628" t="str">
            <v>اٹلس ہنڈا لمیٹڈ شیخوپورہ</v>
          </cell>
        </row>
        <row r="2629">
          <cell r="A2629" t="str">
            <v>1026 J</v>
          </cell>
          <cell r="B2629">
            <v>11398</v>
          </cell>
          <cell r="C2629">
            <v>45712</v>
          </cell>
          <cell r="D2629" t="str">
            <v>JILANI</v>
          </cell>
          <cell r="E2629" t="str">
            <v>اٹلس ہنڈا لمیٹڈ شیخوپورہ</v>
          </cell>
        </row>
        <row r="2630">
          <cell r="A2630" t="str">
            <v>1027 J</v>
          </cell>
          <cell r="B2630">
            <v>11399</v>
          </cell>
          <cell r="C2630">
            <v>45712</v>
          </cell>
          <cell r="D2630" t="str">
            <v>JILANI</v>
          </cell>
          <cell r="E2630" t="str">
            <v>اٹلس ہنڈا لمیٹڈ شیخوپورہ</v>
          </cell>
        </row>
        <row r="2631">
          <cell r="A2631" t="str">
            <v>1028 J</v>
          </cell>
          <cell r="B2631">
            <v>11400</v>
          </cell>
          <cell r="C2631">
            <v>45712</v>
          </cell>
          <cell r="D2631" t="str">
            <v>JILANI</v>
          </cell>
          <cell r="E2631" t="str">
            <v>اٹلس ہنڈا لمیٹڈ شیخوپورہ</v>
          </cell>
        </row>
        <row r="2632">
          <cell r="A2632" t="str">
            <v>1029 J</v>
          </cell>
          <cell r="B2632">
            <v>11401</v>
          </cell>
          <cell r="C2632">
            <v>45712</v>
          </cell>
          <cell r="D2632" t="str">
            <v>JILANI</v>
          </cell>
          <cell r="E2632" t="str">
            <v>اٹلس ہنڈا لمیٹڈ شیخوپورہ</v>
          </cell>
        </row>
        <row r="2633">
          <cell r="A2633" t="str">
            <v>1030 J</v>
          </cell>
          <cell r="B2633">
            <v>11402</v>
          </cell>
          <cell r="C2633">
            <v>45712</v>
          </cell>
          <cell r="D2633" t="str">
            <v>JILANI</v>
          </cell>
          <cell r="E2633" t="str">
            <v>اٹلس ہنڈا لمیٹڈ شیخوپورہ</v>
          </cell>
        </row>
        <row r="2634">
          <cell r="A2634" t="str">
            <v>1031 J</v>
          </cell>
          <cell r="B2634">
            <v>11403</v>
          </cell>
          <cell r="C2634">
            <v>45712</v>
          </cell>
          <cell r="D2634" t="str">
            <v>JILANI</v>
          </cell>
          <cell r="E2634" t="str">
            <v>اٹلس ہنڈا لمیٹڈ شیخوپورہ</v>
          </cell>
        </row>
        <row r="2635">
          <cell r="A2635" t="str">
            <v>1032 J</v>
          </cell>
          <cell r="B2635">
            <v>11404</v>
          </cell>
          <cell r="C2635">
            <v>45712</v>
          </cell>
          <cell r="D2635" t="str">
            <v>JILANI</v>
          </cell>
          <cell r="E2635" t="str">
            <v>اٹلس ہنڈا لمیٹڈ شیخوپورہ</v>
          </cell>
        </row>
        <row r="2636">
          <cell r="A2636" t="str">
            <v>1033 J</v>
          </cell>
          <cell r="B2636">
            <v>11405</v>
          </cell>
          <cell r="C2636">
            <v>45712</v>
          </cell>
          <cell r="D2636" t="str">
            <v>JILANI</v>
          </cell>
          <cell r="E2636" t="str">
            <v>اٹلس ہنڈا لمیٹڈ شیخوپورہ</v>
          </cell>
        </row>
        <row r="2637">
          <cell r="A2637" t="str">
            <v>1034 J</v>
          </cell>
          <cell r="B2637">
            <v>11406</v>
          </cell>
          <cell r="C2637">
            <v>45712</v>
          </cell>
          <cell r="D2637" t="str">
            <v>JILANI</v>
          </cell>
          <cell r="E2637" t="str">
            <v>اٹلس ہنڈا لمیٹڈ شیخوپورہ</v>
          </cell>
        </row>
        <row r="2638">
          <cell r="A2638" t="str">
            <v>1035 J</v>
          </cell>
          <cell r="B2638">
            <v>11407</v>
          </cell>
          <cell r="C2638">
            <v>45712</v>
          </cell>
          <cell r="D2638" t="str">
            <v>JILANI</v>
          </cell>
          <cell r="E2638" t="str">
            <v>عبد A ٹریڈرز لاہور</v>
          </cell>
        </row>
        <row r="2639">
          <cell r="A2639" t="str">
            <v>1036 J</v>
          </cell>
          <cell r="B2639">
            <v>11408</v>
          </cell>
          <cell r="C2639">
            <v>45712</v>
          </cell>
          <cell r="D2639" t="str">
            <v>JILANI</v>
          </cell>
          <cell r="E2639" t="str">
            <v>خالد پرنٹرز شادمان لاہور</v>
          </cell>
        </row>
        <row r="2640">
          <cell r="A2640" t="str">
            <v>1037 J</v>
          </cell>
          <cell r="B2640">
            <v>11409</v>
          </cell>
          <cell r="C2640">
            <v>45712</v>
          </cell>
          <cell r="D2640" t="str">
            <v>JILANI</v>
          </cell>
          <cell r="E2640" t="str">
            <v>ائیری فوڈ گوجرانوالہ</v>
          </cell>
        </row>
        <row r="2641">
          <cell r="A2641" t="str">
            <v>1155 F</v>
          </cell>
          <cell r="B2641"/>
          <cell r="C2641">
            <v>45715</v>
          </cell>
          <cell r="D2641" t="str">
            <v>فینا</v>
          </cell>
          <cell r="E2641" t="str">
            <v>عثمان امین</v>
          </cell>
        </row>
        <row r="2642">
          <cell r="A2642" t="str">
            <v>1156 F</v>
          </cell>
          <cell r="B2642"/>
          <cell r="C2642">
            <v>45715</v>
          </cell>
          <cell r="D2642" t="str">
            <v>فینا</v>
          </cell>
          <cell r="E2642" t="str">
            <v>عثمان امین</v>
          </cell>
        </row>
        <row r="2643">
          <cell r="A2643" t="str">
            <v>1157 F</v>
          </cell>
          <cell r="B2643"/>
          <cell r="C2643">
            <v>45715</v>
          </cell>
          <cell r="D2643" t="str">
            <v>فینا</v>
          </cell>
          <cell r="E2643" t="str">
            <v>عثمان امین</v>
          </cell>
        </row>
        <row r="2644">
          <cell r="A2644" t="str">
            <v>1158 F</v>
          </cell>
          <cell r="B2644"/>
          <cell r="C2644">
            <v>45715</v>
          </cell>
          <cell r="D2644" t="str">
            <v>فینا</v>
          </cell>
          <cell r="E2644" t="str">
            <v>عثمان امین</v>
          </cell>
        </row>
        <row r="2645">
          <cell r="A2645" t="str">
            <v>1159 F</v>
          </cell>
          <cell r="B2645"/>
          <cell r="C2645">
            <v>45715</v>
          </cell>
          <cell r="D2645" t="str">
            <v>فینا</v>
          </cell>
          <cell r="E2645" t="str">
            <v>عثمان امین</v>
          </cell>
        </row>
        <row r="2646">
          <cell r="A2646" t="str">
            <v>1160 F</v>
          </cell>
          <cell r="B2646"/>
          <cell r="C2646">
            <v>45715</v>
          </cell>
          <cell r="D2646" t="str">
            <v>فینا</v>
          </cell>
          <cell r="E2646" t="str">
            <v>عثمان امین</v>
          </cell>
        </row>
        <row r="2647">
          <cell r="A2647" t="str">
            <v>1161 F</v>
          </cell>
          <cell r="B2647"/>
          <cell r="C2647">
            <v>45715</v>
          </cell>
          <cell r="D2647" t="str">
            <v>فینا</v>
          </cell>
          <cell r="E2647" t="str">
            <v>عثمان امین</v>
          </cell>
        </row>
        <row r="2648">
          <cell r="A2648" t="str">
            <v>1116 J</v>
          </cell>
          <cell r="B2648"/>
          <cell r="C2648">
            <v>45713</v>
          </cell>
          <cell r="D2648" t="str">
            <v>OTHERS</v>
          </cell>
          <cell r="E2648" t="str">
            <v>ایچ ایس ایم فوڈ لاہور</v>
          </cell>
        </row>
        <row r="2649">
          <cell r="A2649" t="str">
            <v>1117 J</v>
          </cell>
          <cell r="B2649">
            <v>11441</v>
          </cell>
          <cell r="C2649">
            <v>45714</v>
          </cell>
          <cell r="D2649" t="str">
            <v>JILANI</v>
          </cell>
          <cell r="E2649" t="str">
            <v>البابر گارمنٹس لاہور</v>
          </cell>
        </row>
        <row r="2650">
          <cell r="A2650" t="str">
            <v>1118 J</v>
          </cell>
          <cell r="B2650">
            <v>11441</v>
          </cell>
          <cell r="C2650">
            <v>45714</v>
          </cell>
          <cell r="D2650" t="str">
            <v>JILANI</v>
          </cell>
          <cell r="E2650" t="str">
            <v>البابر گارمنٹس لاہور</v>
          </cell>
        </row>
        <row r="2651">
          <cell r="A2651" t="str">
            <v>1119 J</v>
          </cell>
          <cell r="B2651">
            <v>11442</v>
          </cell>
          <cell r="C2651">
            <v>45714</v>
          </cell>
          <cell r="D2651" t="str">
            <v>JILANI</v>
          </cell>
          <cell r="E2651" t="str">
            <v>پشاور زلمی شوز سٹور چنیوٹ</v>
          </cell>
        </row>
        <row r="2652">
          <cell r="A2652" t="str">
            <v>1120 J</v>
          </cell>
          <cell r="B2652">
            <v>11443</v>
          </cell>
          <cell r="C2652">
            <v>45714</v>
          </cell>
          <cell r="D2652" t="str">
            <v>JILANI</v>
          </cell>
          <cell r="E2652" t="str">
            <v>وی آئی پی مال چیچہ وطنی</v>
          </cell>
        </row>
        <row r="2653">
          <cell r="A2653" t="str">
            <v>1121 J</v>
          </cell>
          <cell r="B2653">
            <v>11143</v>
          </cell>
          <cell r="C2653">
            <v>45714</v>
          </cell>
          <cell r="D2653" t="str">
            <v>JILANI</v>
          </cell>
          <cell r="E2653" t="str">
            <v>وی آئی پی مال چیچہ وطنی</v>
          </cell>
        </row>
        <row r="2654">
          <cell r="A2654" t="str">
            <v>1122 J</v>
          </cell>
          <cell r="B2654">
            <v>11444</v>
          </cell>
          <cell r="C2654">
            <v>45714</v>
          </cell>
          <cell r="D2654" t="str">
            <v>JILANI</v>
          </cell>
          <cell r="E2654" t="str">
            <v xml:space="preserve">احمد شکیل پرنٹنگ لاہور </v>
          </cell>
        </row>
        <row r="2655">
          <cell r="A2655" t="str">
            <v>1123 J</v>
          </cell>
          <cell r="B2655">
            <v>11445</v>
          </cell>
          <cell r="C2655">
            <v>45714</v>
          </cell>
          <cell r="D2655" t="str">
            <v>JILANI</v>
          </cell>
          <cell r="E2655" t="str">
            <v>ایم جی ایس شیخو پورہ</v>
          </cell>
        </row>
        <row r="2656">
          <cell r="A2656" t="str">
            <v>1124 J</v>
          </cell>
          <cell r="B2656">
            <v>11445</v>
          </cell>
          <cell r="C2656">
            <v>45714</v>
          </cell>
          <cell r="D2656" t="str">
            <v>JILANI</v>
          </cell>
          <cell r="E2656" t="str">
            <v>ایم جی ایس شیخو پورہ</v>
          </cell>
        </row>
        <row r="2657">
          <cell r="A2657" t="str">
            <v>1125 J</v>
          </cell>
          <cell r="B2657">
            <v>11446</v>
          </cell>
          <cell r="C2657">
            <v>45714</v>
          </cell>
          <cell r="D2657" t="str">
            <v>JILANI</v>
          </cell>
          <cell r="E2657" t="str">
            <v>ایم جی ایس شیخو پورہ</v>
          </cell>
        </row>
        <row r="2658">
          <cell r="A2658">
            <v>2709</v>
          </cell>
          <cell r="B2658">
            <v>1660</v>
          </cell>
          <cell r="C2658">
            <v>45715</v>
          </cell>
          <cell r="D2658" t="str">
            <v>JILANI</v>
          </cell>
          <cell r="E2658" t="str">
            <v>USMAN AMIN FINA</v>
          </cell>
        </row>
        <row r="2659">
          <cell r="A2659" t="str">
            <v>1162 F</v>
          </cell>
          <cell r="B2659"/>
          <cell r="C2659">
            <v>45716</v>
          </cell>
          <cell r="D2659" t="str">
            <v>فینا</v>
          </cell>
          <cell r="E2659" t="str">
            <v>عثمان امین</v>
          </cell>
        </row>
        <row r="2660">
          <cell r="A2660" t="str">
            <v>1163 F</v>
          </cell>
          <cell r="B2660"/>
          <cell r="C2660">
            <v>45716</v>
          </cell>
          <cell r="D2660" t="str">
            <v>فینا</v>
          </cell>
          <cell r="E2660" t="str">
            <v>عثمان امین</v>
          </cell>
        </row>
        <row r="2661">
          <cell r="A2661" t="str">
            <v>1164 F</v>
          </cell>
          <cell r="B2661"/>
          <cell r="C2661">
            <v>45716</v>
          </cell>
          <cell r="D2661" t="str">
            <v>فینا</v>
          </cell>
          <cell r="E2661" t="str">
            <v>عثمان امین</v>
          </cell>
        </row>
        <row r="2662">
          <cell r="A2662" t="str">
            <v>1165 F</v>
          </cell>
          <cell r="B2662"/>
          <cell r="C2662">
            <v>45716</v>
          </cell>
          <cell r="D2662" t="str">
            <v>فینا</v>
          </cell>
          <cell r="E2662" t="str">
            <v>عثمان امین</v>
          </cell>
        </row>
        <row r="2663">
          <cell r="A2663" t="str">
            <v>1126 J</v>
          </cell>
          <cell r="B2663">
            <v>11287</v>
          </cell>
          <cell r="C2663">
            <v>45714</v>
          </cell>
          <cell r="D2663" t="str">
            <v>JILANI</v>
          </cell>
          <cell r="E2663" t="str">
            <v>بندوخاں لاہور</v>
          </cell>
        </row>
        <row r="2664">
          <cell r="A2664" t="str">
            <v>1127 J</v>
          </cell>
          <cell r="B2664">
            <v>11447</v>
          </cell>
          <cell r="C2664">
            <v>45715</v>
          </cell>
          <cell r="D2664" t="str">
            <v>JILANI</v>
          </cell>
          <cell r="E2664" t="str">
            <v>اے ایس کلاتھ ہاؤس اعظم مارکیٹ</v>
          </cell>
        </row>
        <row r="2665">
          <cell r="A2665" t="str">
            <v>1128 J</v>
          </cell>
          <cell r="B2665">
            <v>11448</v>
          </cell>
          <cell r="C2665">
            <v>45715</v>
          </cell>
          <cell r="D2665" t="str">
            <v>JILANI</v>
          </cell>
          <cell r="E2665" t="str">
            <v>خان چپلی کباب اینڈ فش کارنرلاہور</v>
          </cell>
        </row>
        <row r="2666">
          <cell r="A2666" t="str">
            <v>1129 J</v>
          </cell>
          <cell r="B2666">
            <v>11449</v>
          </cell>
          <cell r="C2666">
            <v>45715</v>
          </cell>
          <cell r="D2666" t="str">
            <v>JILANI</v>
          </cell>
          <cell r="E2666" t="str">
            <v>پنجاب رسک لاہور</v>
          </cell>
        </row>
        <row r="2667">
          <cell r="A2667" t="str">
            <v>1130 J</v>
          </cell>
          <cell r="B2667">
            <v>11449</v>
          </cell>
          <cell r="C2667">
            <v>45715</v>
          </cell>
          <cell r="D2667" t="str">
            <v>JILANI</v>
          </cell>
          <cell r="E2667" t="str">
            <v>پنجاب رسک لاہور</v>
          </cell>
        </row>
        <row r="2668">
          <cell r="A2668" t="str">
            <v>1131 J</v>
          </cell>
          <cell r="B2668">
            <v>11450</v>
          </cell>
          <cell r="C2668">
            <v>45715</v>
          </cell>
          <cell r="D2668" t="str">
            <v>JILANI</v>
          </cell>
          <cell r="E2668" t="str">
            <v>بے بی پنک کڈز وئیر لاہور</v>
          </cell>
        </row>
        <row r="2669">
          <cell r="A2669" t="str">
            <v>1132 J</v>
          </cell>
          <cell r="B2669">
            <v>11450</v>
          </cell>
          <cell r="C2669">
            <v>45715</v>
          </cell>
          <cell r="D2669" t="str">
            <v>JILANI</v>
          </cell>
          <cell r="E2669" t="str">
            <v>بے بی پنک کڈز وئیر لاہور</v>
          </cell>
        </row>
        <row r="2670">
          <cell r="A2670" t="str">
            <v>1133 J</v>
          </cell>
          <cell r="B2670">
            <v>11451</v>
          </cell>
          <cell r="C2670">
            <v>45715</v>
          </cell>
          <cell r="D2670" t="str">
            <v>JILANI</v>
          </cell>
          <cell r="E2670" t="str">
            <v>چک زون لاہور</v>
          </cell>
        </row>
        <row r="2671">
          <cell r="A2671" t="str">
            <v>1134 J</v>
          </cell>
          <cell r="B2671">
            <v>11452</v>
          </cell>
          <cell r="C2671">
            <v>45715</v>
          </cell>
          <cell r="D2671" t="str">
            <v>JILANI</v>
          </cell>
          <cell r="E2671" t="str">
            <v>عرفان صاحب اعظم مارکیٹ</v>
          </cell>
        </row>
        <row r="2672">
          <cell r="A2672" t="str">
            <v>1135 J</v>
          </cell>
          <cell r="B2672">
            <v>11453</v>
          </cell>
          <cell r="C2672">
            <v>45715</v>
          </cell>
          <cell r="D2672" t="str">
            <v>JILANI</v>
          </cell>
          <cell r="E2672" t="str">
            <v>عرفان صاحب اعظم مارکیٹ</v>
          </cell>
        </row>
        <row r="2673">
          <cell r="A2673" t="str">
            <v>1136 J</v>
          </cell>
          <cell r="B2673">
            <v>11454</v>
          </cell>
          <cell r="C2673">
            <v>45715</v>
          </cell>
          <cell r="D2673" t="str">
            <v>JILANI</v>
          </cell>
          <cell r="E2673" t="str">
            <v>عرفان صاحب اعظم مارکیٹ</v>
          </cell>
        </row>
        <row r="2674">
          <cell r="A2674" t="str">
            <v>1137 J</v>
          </cell>
          <cell r="B2674">
            <v>11455</v>
          </cell>
          <cell r="C2674">
            <v>45715</v>
          </cell>
          <cell r="D2674" t="str">
            <v>JILANI</v>
          </cell>
          <cell r="E2674" t="str">
            <v>سیالکوٹ سویٹس گوجرانوالہ</v>
          </cell>
        </row>
        <row r="2675">
          <cell r="A2675" t="str">
            <v>1138 J</v>
          </cell>
          <cell r="B2675">
            <v>11456</v>
          </cell>
          <cell r="C2675">
            <v>45715</v>
          </cell>
          <cell r="D2675" t="str">
            <v>JILANI</v>
          </cell>
          <cell r="E2675" t="str">
            <v>ابوبکر بٹ لاہور</v>
          </cell>
        </row>
        <row r="2676">
          <cell r="A2676" t="str">
            <v>1139 J</v>
          </cell>
          <cell r="B2676">
            <v>11456</v>
          </cell>
          <cell r="C2676">
            <v>45715</v>
          </cell>
          <cell r="D2676" t="str">
            <v>JILANI</v>
          </cell>
          <cell r="E2676" t="str">
            <v>ابوبکر بٹ لاہور</v>
          </cell>
        </row>
        <row r="2677">
          <cell r="A2677" t="str">
            <v>1166 F</v>
          </cell>
          <cell r="B2677"/>
          <cell r="C2677">
            <v>45717</v>
          </cell>
          <cell r="D2677" t="str">
            <v>فینا</v>
          </cell>
          <cell r="E2677" t="str">
            <v>عثمان امین</v>
          </cell>
        </row>
        <row r="2678">
          <cell r="A2678" t="str">
            <v>1167 F</v>
          </cell>
          <cell r="B2678"/>
          <cell r="C2678">
            <v>45717</v>
          </cell>
          <cell r="D2678" t="str">
            <v>فینا</v>
          </cell>
          <cell r="E2678" t="str">
            <v>عثمان امین</v>
          </cell>
        </row>
        <row r="2679">
          <cell r="A2679" t="str">
            <v>1168 F</v>
          </cell>
          <cell r="B2679"/>
          <cell r="C2679">
            <v>45717</v>
          </cell>
          <cell r="D2679" t="str">
            <v>فینا</v>
          </cell>
          <cell r="E2679" t="str">
            <v>عثمان امین</v>
          </cell>
        </row>
        <row r="2680">
          <cell r="A2680" t="str">
            <v>1169 F</v>
          </cell>
          <cell r="B2680"/>
          <cell r="C2680">
            <v>45717</v>
          </cell>
          <cell r="D2680" t="str">
            <v>فینا</v>
          </cell>
          <cell r="E2680" t="str">
            <v>عثمان امین</v>
          </cell>
        </row>
        <row r="2681">
          <cell r="A2681" t="str">
            <v>1170 F</v>
          </cell>
          <cell r="B2681"/>
          <cell r="C2681">
            <v>45717</v>
          </cell>
          <cell r="D2681" t="str">
            <v>فینا</v>
          </cell>
          <cell r="E2681" t="str">
            <v>عثمان امین</v>
          </cell>
        </row>
        <row r="2682">
          <cell r="A2682" t="str">
            <v>1140 J</v>
          </cell>
          <cell r="B2682">
            <v>11457</v>
          </cell>
          <cell r="C2682">
            <v>45715</v>
          </cell>
          <cell r="D2682" t="str">
            <v>JILANI</v>
          </cell>
          <cell r="E2682" t="str">
            <v>کراچی پلاسٹک فیصل آباد</v>
          </cell>
        </row>
        <row r="2683">
          <cell r="A2683" t="str">
            <v>1141 J</v>
          </cell>
          <cell r="B2683">
            <v>11457</v>
          </cell>
          <cell r="C2683">
            <v>45715</v>
          </cell>
          <cell r="D2683" t="str">
            <v>JILANI</v>
          </cell>
          <cell r="E2683" t="str">
            <v>کراچی پلاسٹک فیصل آباد</v>
          </cell>
        </row>
        <row r="2684">
          <cell r="A2684" t="str">
            <v>1142 J</v>
          </cell>
          <cell r="B2684">
            <v>11457</v>
          </cell>
          <cell r="C2684">
            <v>45715</v>
          </cell>
          <cell r="D2684" t="str">
            <v>JILANI</v>
          </cell>
          <cell r="E2684" t="str">
            <v>کراچی پلاسٹک فیصل آباد</v>
          </cell>
        </row>
        <row r="2685">
          <cell r="A2685" t="str">
            <v>1143 J</v>
          </cell>
          <cell r="B2685">
            <v>11458</v>
          </cell>
          <cell r="C2685">
            <v>45715</v>
          </cell>
          <cell r="D2685" t="str">
            <v>JILANI</v>
          </cell>
          <cell r="E2685" t="str">
            <v>جمال خان شرقپور</v>
          </cell>
        </row>
        <row r="2686">
          <cell r="A2686" t="str">
            <v>1144 J</v>
          </cell>
          <cell r="B2686">
            <v>11459</v>
          </cell>
          <cell r="C2686">
            <v>45715</v>
          </cell>
          <cell r="D2686" t="str">
            <v>JILANI</v>
          </cell>
          <cell r="E2686" t="str">
            <v>عثمان عارف بٹ گوجرانولہ</v>
          </cell>
        </row>
        <row r="2687">
          <cell r="A2687" t="str">
            <v>1145 J</v>
          </cell>
          <cell r="B2687">
            <v>11459</v>
          </cell>
          <cell r="C2687">
            <v>45715</v>
          </cell>
          <cell r="D2687" t="str">
            <v>JILANI</v>
          </cell>
          <cell r="E2687" t="str">
            <v>عثمان عارف بٹ گوجرانولہ</v>
          </cell>
        </row>
        <row r="2688">
          <cell r="A2688" t="str">
            <v>1146 J</v>
          </cell>
          <cell r="B2688">
            <v>11459</v>
          </cell>
          <cell r="C2688">
            <v>45715</v>
          </cell>
          <cell r="D2688" t="str">
            <v>JILANI</v>
          </cell>
          <cell r="E2688" t="str">
            <v>عثمان عارف بٹ گوجرانولہ</v>
          </cell>
        </row>
        <row r="2689">
          <cell r="A2689" t="str">
            <v>1147 J</v>
          </cell>
          <cell r="B2689">
            <v>11459</v>
          </cell>
          <cell r="C2689">
            <v>45715</v>
          </cell>
          <cell r="D2689" t="str">
            <v>JILANI</v>
          </cell>
          <cell r="E2689" t="str">
            <v>عثمان عارف بٹ گوجرانولہ</v>
          </cell>
        </row>
        <row r="2690">
          <cell r="A2690" t="str">
            <v>1148 J</v>
          </cell>
          <cell r="B2690">
            <v>11460</v>
          </cell>
          <cell r="C2690">
            <v>45715</v>
          </cell>
          <cell r="D2690" t="str">
            <v>JILANI</v>
          </cell>
          <cell r="E2690" t="str">
            <v>ایم ساجد فاروق آباد</v>
          </cell>
        </row>
        <row r="2691">
          <cell r="A2691" t="str">
            <v>1149 J</v>
          </cell>
          <cell r="B2691">
            <v>11460</v>
          </cell>
          <cell r="C2691">
            <v>45715</v>
          </cell>
          <cell r="D2691" t="str">
            <v>JILANI</v>
          </cell>
          <cell r="E2691" t="str">
            <v>ایم ساجد فاروق آباد</v>
          </cell>
        </row>
        <row r="2692">
          <cell r="A2692" t="str">
            <v>1150 J</v>
          </cell>
          <cell r="B2692">
            <v>11460</v>
          </cell>
          <cell r="C2692">
            <v>45715</v>
          </cell>
          <cell r="D2692" t="str">
            <v>JILANI</v>
          </cell>
          <cell r="E2692" t="str">
            <v>ایم ساجد فاروق آباد</v>
          </cell>
        </row>
        <row r="2693">
          <cell r="A2693" t="str">
            <v>1151 J</v>
          </cell>
          <cell r="B2693">
            <v>11461</v>
          </cell>
          <cell r="C2693">
            <v>45715</v>
          </cell>
          <cell r="D2693" t="str">
            <v>JILANI</v>
          </cell>
          <cell r="E2693" t="str">
            <v>فینسی گارمنٹس کامونکی</v>
          </cell>
        </row>
        <row r="2694">
          <cell r="A2694" t="str">
            <v>1152 J</v>
          </cell>
          <cell r="B2694">
            <v>11462</v>
          </cell>
          <cell r="C2694">
            <v>45715</v>
          </cell>
          <cell r="D2694" t="str">
            <v>JILANI</v>
          </cell>
          <cell r="E2694" t="str">
            <v>ڈریس اینڈ ڈیزائن شاہدرہ لاہور</v>
          </cell>
        </row>
        <row r="2695">
          <cell r="A2695" t="str">
            <v>1153 J</v>
          </cell>
          <cell r="B2695">
            <v>11463</v>
          </cell>
          <cell r="C2695">
            <v>45715</v>
          </cell>
          <cell r="D2695" t="str">
            <v>JILANI</v>
          </cell>
          <cell r="E2695" t="str">
            <v>بولان پیسٹری کوئٹہ</v>
          </cell>
        </row>
        <row r="2696">
          <cell r="A2696" t="str">
            <v>1154 J</v>
          </cell>
          <cell r="B2696">
            <v>11463</v>
          </cell>
          <cell r="C2696">
            <v>45715</v>
          </cell>
          <cell r="D2696" t="str">
            <v>JILANI</v>
          </cell>
          <cell r="E2696" t="str">
            <v>بولان پیسٹری کوئٹہ</v>
          </cell>
        </row>
        <row r="2697">
          <cell r="A2697" t="str">
            <v>1155 J</v>
          </cell>
          <cell r="B2697">
            <v>11464</v>
          </cell>
          <cell r="C2697">
            <v>45715</v>
          </cell>
          <cell r="D2697" t="str">
            <v>JILANI</v>
          </cell>
          <cell r="E2697" t="str">
            <v>وقاص وولن ملز گوجرانوالہ</v>
          </cell>
        </row>
        <row r="2698">
          <cell r="A2698" t="str">
            <v>1156 J</v>
          </cell>
          <cell r="B2698">
            <v>11465</v>
          </cell>
          <cell r="C2698">
            <v>45715</v>
          </cell>
          <cell r="D2698" t="str">
            <v>JILANI</v>
          </cell>
          <cell r="E2698" t="str">
            <v>وقاص وولن ملز گوجرانوالہ</v>
          </cell>
        </row>
        <row r="2699">
          <cell r="A2699" t="str">
            <v>1157 J</v>
          </cell>
          <cell r="B2699">
            <v>11465</v>
          </cell>
          <cell r="C2699">
            <v>45715</v>
          </cell>
          <cell r="D2699" t="str">
            <v>JILANI</v>
          </cell>
          <cell r="E2699" t="str">
            <v>وقاص وولن ملز گوجرانوالہ</v>
          </cell>
        </row>
        <row r="2700">
          <cell r="A2700" t="str">
            <v>1158 J</v>
          </cell>
          <cell r="B2700">
            <v>11466</v>
          </cell>
          <cell r="C2700">
            <v>45715</v>
          </cell>
          <cell r="D2700" t="str">
            <v>JILANI</v>
          </cell>
          <cell r="E2700" t="str">
            <v>وقاص وولن ملز گوجرانوالہ</v>
          </cell>
        </row>
        <row r="2701">
          <cell r="A2701" t="str">
            <v>1159 J</v>
          </cell>
          <cell r="B2701">
            <v>11467</v>
          </cell>
          <cell r="C2701">
            <v>45715</v>
          </cell>
          <cell r="D2701" t="str">
            <v>JILANI</v>
          </cell>
          <cell r="E2701" t="str">
            <v>وقاص وولن ملز گوجرانوالہ</v>
          </cell>
        </row>
        <row r="2702">
          <cell r="A2702" t="str">
            <v>1160 J</v>
          </cell>
          <cell r="B2702">
            <v>11467</v>
          </cell>
          <cell r="C2702">
            <v>45715</v>
          </cell>
          <cell r="D2702" t="str">
            <v>JILANI</v>
          </cell>
          <cell r="E2702" t="str">
            <v>وقاص وولن ملز گوجرانوالہ</v>
          </cell>
        </row>
        <row r="2703">
          <cell r="A2703" t="str">
            <v>1161 J</v>
          </cell>
          <cell r="B2703">
            <v>11468</v>
          </cell>
          <cell r="C2703">
            <v>45715</v>
          </cell>
          <cell r="D2703" t="str">
            <v>JILANI</v>
          </cell>
          <cell r="E2703" t="str">
            <v>وقاص وولن ملز گوجرانوالہ</v>
          </cell>
        </row>
        <row r="2704">
          <cell r="A2704" t="str">
            <v>1162 J</v>
          </cell>
          <cell r="B2704">
            <v>11468</v>
          </cell>
          <cell r="C2704">
            <v>45715</v>
          </cell>
          <cell r="D2704" t="str">
            <v>JILANI</v>
          </cell>
          <cell r="E2704" t="str">
            <v>وقاص وولن ملز گوجرانوالہ</v>
          </cell>
        </row>
        <row r="2705">
          <cell r="A2705" t="str">
            <v>1163 J</v>
          </cell>
          <cell r="B2705">
            <v>11469</v>
          </cell>
          <cell r="C2705">
            <v>45715</v>
          </cell>
          <cell r="D2705" t="str">
            <v>JILANI</v>
          </cell>
          <cell r="E2705" t="str">
            <v>وقاص وولن ملز گوجرانوالہ</v>
          </cell>
        </row>
        <row r="2706">
          <cell r="A2706" t="str">
            <v>1164 J</v>
          </cell>
          <cell r="B2706">
            <v>11470</v>
          </cell>
          <cell r="C2706">
            <v>45715</v>
          </cell>
          <cell r="D2706" t="str">
            <v>JILANI</v>
          </cell>
          <cell r="E2706" t="str">
            <v>وقاص وولن ملز گوجرانوالہ</v>
          </cell>
        </row>
        <row r="2707">
          <cell r="A2707" t="str">
            <v>1165 J</v>
          </cell>
          <cell r="B2707">
            <v>11470</v>
          </cell>
          <cell r="C2707">
            <v>45715</v>
          </cell>
          <cell r="D2707" t="str">
            <v>JILANI</v>
          </cell>
          <cell r="E2707" t="str">
            <v>وقاص وولن ملز گوجرانوالہ</v>
          </cell>
        </row>
        <row r="2708">
          <cell r="A2708" t="str">
            <v>1166 J</v>
          </cell>
          <cell r="B2708">
            <v>11471</v>
          </cell>
          <cell r="C2708">
            <v>45715</v>
          </cell>
          <cell r="D2708" t="str">
            <v>JILANI</v>
          </cell>
          <cell r="E2708" t="str">
            <v>وقاص وولن ملز گوجرانوالہ</v>
          </cell>
        </row>
        <row r="2709">
          <cell r="A2709" t="str">
            <v>1167 J</v>
          </cell>
          <cell r="B2709">
            <v>11471</v>
          </cell>
          <cell r="C2709">
            <v>45715</v>
          </cell>
          <cell r="D2709" t="str">
            <v>JILANI</v>
          </cell>
          <cell r="E2709" t="str">
            <v>وقاص وولن ملز گوجرانوالہ</v>
          </cell>
        </row>
        <row r="2710">
          <cell r="A2710" t="str">
            <v>1168 J</v>
          </cell>
          <cell r="B2710">
            <v>11471</v>
          </cell>
          <cell r="C2710">
            <v>45715</v>
          </cell>
          <cell r="D2710" t="str">
            <v>JILANI</v>
          </cell>
          <cell r="E2710" t="str">
            <v>وقاص وولن ملز گوجرانوالہ</v>
          </cell>
        </row>
        <row r="2711">
          <cell r="A2711" t="str">
            <v>1169 J</v>
          </cell>
          <cell r="B2711">
            <v>11471</v>
          </cell>
          <cell r="C2711">
            <v>45715</v>
          </cell>
          <cell r="D2711" t="str">
            <v>JILANI</v>
          </cell>
          <cell r="E2711" t="str">
            <v>وقاص وولن ملز گوجرانوالہ</v>
          </cell>
        </row>
        <row r="2712">
          <cell r="A2712" t="str">
            <v>1170 J</v>
          </cell>
          <cell r="B2712">
            <v>11472</v>
          </cell>
          <cell r="C2712">
            <v>45715</v>
          </cell>
          <cell r="D2712" t="str">
            <v>JILANI</v>
          </cell>
          <cell r="E2712" t="str">
            <v>چائنہ سلک سنٹر اعظم مارکیٹ لاہور</v>
          </cell>
        </row>
        <row r="2713">
          <cell r="A2713" t="str">
            <v>1171 J</v>
          </cell>
          <cell r="B2713">
            <v>11473</v>
          </cell>
          <cell r="C2713">
            <v>45715</v>
          </cell>
          <cell r="D2713" t="str">
            <v>JILANI</v>
          </cell>
          <cell r="E2713" t="str">
            <v>فیشن ہاؤس شاہدرہ</v>
          </cell>
        </row>
        <row r="2714">
          <cell r="A2714" t="str">
            <v>1172 J</v>
          </cell>
          <cell r="B2714"/>
          <cell r="C2714">
            <v>45717</v>
          </cell>
          <cell r="D2714" t="str">
            <v>JILANI</v>
          </cell>
          <cell r="E2714" t="str">
            <v>سٹاک</v>
          </cell>
        </row>
        <row r="2715">
          <cell r="A2715" t="str">
            <v>6645/1</v>
          </cell>
          <cell r="B2715">
            <v>6645</v>
          </cell>
          <cell r="C2715">
            <v>45706</v>
          </cell>
          <cell r="D2715" t="str">
            <v>یونس صاحب</v>
          </cell>
          <cell r="E2715" t="str">
            <v>محبوب مقبول گوجرانوالہ</v>
          </cell>
        </row>
        <row r="2716">
          <cell r="A2716" t="str">
            <v>6645/2</v>
          </cell>
          <cell r="B2716">
            <v>6645</v>
          </cell>
          <cell r="C2716">
            <v>45706</v>
          </cell>
          <cell r="D2716" t="str">
            <v>یونس صاحب</v>
          </cell>
          <cell r="E2716" t="str">
            <v>محبوب مقبول گوجرانوالہ</v>
          </cell>
        </row>
        <row r="2717">
          <cell r="A2717" t="str">
            <v>6645/3</v>
          </cell>
          <cell r="B2717">
            <v>6645</v>
          </cell>
          <cell r="C2717">
            <v>45706</v>
          </cell>
          <cell r="D2717" t="str">
            <v>یونس صاحب</v>
          </cell>
          <cell r="E2717" t="str">
            <v>محبوب مقبول گوجرانوالہ</v>
          </cell>
        </row>
        <row r="2718">
          <cell r="A2718" t="str">
            <v>6646/1</v>
          </cell>
          <cell r="B2718">
            <v>6646</v>
          </cell>
          <cell r="C2718">
            <v>45706</v>
          </cell>
          <cell r="D2718" t="str">
            <v>یونس صاحب</v>
          </cell>
          <cell r="E2718" t="str">
            <v>ایم شریف اینڈ سنز گڑھی حبیب A</v>
          </cell>
        </row>
        <row r="2719">
          <cell r="A2719" t="str">
            <v>6646/2</v>
          </cell>
          <cell r="B2719">
            <v>6646</v>
          </cell>
          <cell r="C2719">
            <v>45706</v>
          </cell>
          <cell r="D2719" t="str">
            <v>یونس صاحب</v>
          </cell>
          <cell r="E2719" t="str">
            <v>ایم شریف اینڈ سنز گڑھی حبیب A</v>
          </cell>
        </row>
        <row r="2720">
          <cell r="A2720" t="str">
            <v>6646/3</v>
          </cell>
          <cell r="B2720">
            <v>6646</v>
          </cell>
          <cell r="C2720">
            <v>45706</v>
          </cell>
          <cell r="D2720" t="str">
            <v>یونس صاحب</v>
          </cell>
          <cell r="E2720" t="str">
            <v>ایم شریف اینڈ سنز گڑھی حبیب A</v>
          </cell>
        </row>
        <row r="2721">
          <cell r="A2721" t="str">
            <v>6647/1</v>
          </cell>
          <cell r="B2721">
            <v>6647</v>
          </cell>
          <cell r="C2721">
            <v>45706</v>
          </cell>
          <cell r="D2721" t="str">
            <v>یونس صاحب</v>
          </cell>
          <cell r="E2721" t="str">
            <v>ایم دین  بند ل</v>
          </cell>
        </row>
        <row r="2722">
          <cell r="A2722" t="str">
            <v>6648/1</v>
          </cell>
          <cell r="B2722">
            <v>6648</v>
          </cell>
          <cell r="C2722">
            <v>45708</v>
          </cell>
          <cell r="D2722" t="str">
            <v>یونس صاحب</v>
          </cell>
          <cell r="E2722" t="str">
            <v>فیصل پلاسٹک فیصل آباد</v>
          </cell>
        </row>
        <row r="2723">
          <cell r="A2723" t="str">
            <v>6648/2</v>
          </cell>
          <cell r="B2723">
            <v>6648</v>
          </cell>
          <cell r="C2723">
            <v>45708</v>
          </cell>
          <cell r="D2723" t="str">
            <v>یونس صاحب</v>
          </cell>
          <cell r="E2723" t="str">
            <v>فیصل پلاسٹک فیصل آباد</v>
          </cell>
        </row>
        <row r="2724">
          <cell r="A2724" t="str">
            <v>6648/3</v>
          </cell>
          <cell r="B2724">
            <v>6648</v>
          </cell>
          <cell r="C2724">
            <v>45708</v>
          </cell>
          <cell r="D2724" t="str">
            <v>یونس صاحب</v>
          </cell>
          <cell r="E2724" t="str">
            <v>فیصل پلاسٹک فیصل آباد</v>
          </cell>
        </row>
        <row r="2725">
          <cell r="A2725" t="str">
            <v>6648/4</v>
          </cell>
          <cell r="B2725">
            <v>6648</v>
          </cell>
          <cell r="C2725">
            <v>45708</v>
          </cell>
          <cell r="D2725" t="str">
            <v>یونس صاحب</v>
          </cell>
          <cell r="E2725" t="str">
            <v>فیصل پلاسٹک فیصل آباد</v>
          </cell>
        </row>
        <row r="2726">
          <cell r="A2726" t="str">
            <v>6648/5</v>
          </cell>
          <cell r="B2726">
            <v>6648</v>
          </cell>
          <cell r="C2726">
            <v>45708</v>
          </cell>
          <cell r="D2726" t="str">
            <v>یونس صاحب</v>
          </cell>
          <cell r="E2726" t="str">
            <v>فیصل پلاسٹک فیصل آباد</v>
          </cell>
        </row>
        <row r="2727">
          <cell r="A2727" t="str">
            <v>6648/6</v>
          </cell>
          <cell r="B2727">
            <v>6648</v>
          </cell>
          <cell r="C2727">
            <v>45708</v>
          </cell>
          <cell r="D2727" t="str">
            <v>یونس صاحب</v>
          </cell>
          <cell r="E2727" t="str">
            <v>فیصل پلاسٹک فیصل آباد</v>
          </cell>
        </row>
        <row r="2728">
          <cell r="A2728" t="str">
            <v>6649/1</v>
          </cell>
          <cell r="B2728">
            <v>6649</v>
          </cell>
          <cell r="C2728">
            <v>45708</v>
          </cell>
          <cell r="D2728" t="str">
            <v>یونس صاحب</v>
          </cell>
          <cell r="E2728" t="str">
            <v>ایم سلمان پاکستان مارکیٹ</v>
          </cell>
        </row>
        <row r="2729">
          <cell r="A2729" t="str">
            <v>6650/1</v>
          </cell>
          <cell r="B2729">
            <v>6650</v>
          </cell>
          <cell r="C2729">
            <v>45708</v>
          </cell>
          <cell r="D2729" t="str">
            <v>یونس صاحب</v>
          </cell>
          <cell r="E2729" t="str">
            <v>فائیوسٹاربرینڈ دائو فیصل</v>
          </cell>
        </row>
        <row r="2730">
          <cell r="A2730" t="str">
            <v>6651/1</v>
          </cell>
          <cell r="B2730">
            <v>6651</v>
          </cell>
          <cell r="C2730">
            <v>45708</v>
          </cell>
          <cell r="D2730" t="str">
            <v>یونس صاحب</v>
          </cell>
          <cell r="E2730" t="str">
            <v>ایم سلمان پاکستان مارکیٹ</v>
          </cell>
        </row>
        <row r="2731">
          <cell r="A2731" t="str">
            <v>6651/2</v>
          </cell>
          <cell r="B2731">
            <v>6651</v>
          </cell>
          <cell r="C2731">
            <v>45708</v>
          </cell>
          <cell r="D2731" t="str">
            <v>یونس صاحب</v>
          </cell>
          <cell r="E2731" t="str">
            <v>ایم سلمان پاکستان مارکیٹ</v>
          </cell>
        </row>
        <row r="2732">
          <cell r="A2732" t="str">
            <v>CANCLE</v>
          </cell>
          <cell r="B2732">
            <v>6652</v>
          </cell>
          <cell r="C2732">
            <v>45708</v>
          </cell>
          <cell r="D2732" t="str">
            <v>یونس صاحب</v>
          </cell>
          <cell r="E2732"/>
        </row>
        <row r="2733">
          <cell r="A2733" t="str">
            <v>6653/1</v>
          </cell>
          <cell r="B2733">
            <v>6653</v>
          </cell>
          <cell r="C2733">
            <v>45708</v>
          </cell>
          <cell r="D2733" t="str">
            <v>یونس صاحب</v>
          </cell>
          <cell r="E2733" t="str">
            <v>داؤد پلاسٹک ملتان</v>
          </cell>
        </row>
        <row r="2734">
          <cell r="A2734" t="str">
            <v>6653/2</v>
          </cell>
          <cell r="B2734">
            <v>6653</v>
          </cell>
          <cell r="C2734">
            <v>45708</v>
          </cell>
          <cell r="D2734" t="str">
            <v>یونس صاحب</v>
          </cell>
          <cell r="E2734" t="str">
            <v>داؤد پلاسٹک ملتان</v>
          </cell>
        </row>
        <row r="2735">
          <cell r="A2735" t="str">
            <v>6653/3</v>
          </cell>
          <cell r="B2735">
            <v>6653</v>
          </cell>
          <cell r="C2735">
            <v>45708</v>
          </cell>
          <cell r="D2735" t="str">
            <v>یونس صاحب</v>
          </cell>
          <cell r="E2735" t="str">
            <v>داؤد پلاسٹک ملتان</v>
          </cell>
        </row>
        <row r="2736">
          <cell r="A2736" t="str">
            <v>6653/4</v>
          </cell>
          <cell r="B2736">
            <v>6653</v>
          </cell>
          <cell r="C2736">
            <v>45708</v>
          </cell>
          <cell r="D2736" t="str">
            <v>یونس صاحب</v>
          </cell>
          <cell r="E2736" t="str">
            <v>داؤد پلاسٹک ملتان</v>
          </cell>
        </row>
        <row r="2737">
          <cell r="A2737" t="str">
            <v>6653/5</v>
          </cell>
          <cell r="B2737">
            <v>6653</v>
          </cell>
          <cell r="C2737">
            <v>45708</v>
          </cell>
          <cell r="D2737" t="str">
            <v>یونس صاحب</v>
          </cell>
          <cell r="E2737" t="str">
            <v>داؤد پلاسٹک ملتان</v>
          </cell>
        </row>
        <row r="2738">
          <cell r="A2738" t="str">
            <v>6653/6</v>
          </cell>
          <cell r="B2738">
            <v>6653</v>
          </cell>
          <cell r="C2738">
            <v>45708</v>
          </cell>
          <cell r="D2738" t="str">
            <v>یونس صاحب</v>
          </cell>
          <cell r="E2738" t="str">
            <v>داؤد پلاسٹک ملتان</v>
          </cell>
        </row>
        <row r="2739">
          <cell r="A2739" t="str">
            <v>6653/7</v>
          </cell>
          <cell r="B2739">
            <v>6653</v>
          </cell>
          <cell r="C2739">
            <v>45708</v>
          </cell>
          <cell r="D2739" t="str">
            <v>یونس صاحب</v>
          </cell>
          <cell r="E2739" t="str">
            <v>داؤد پلاسٹک ملتان</v>
          </cell>
        </row>
        <row r="2740">
          <cell r="A2740" t="str">
            <v>6653/8</v>
          </cell>
          <cell r="B2740">
            <v>6653</v>
          </cell>
          <cell r="C2740">
            <v>45708</v>
          </cell>
          <cell r="D2740" t="str">
            <v>یونس صاحب</v>
          </cell>
          <cell r="E2740" t="str">
            <v>داؤد پلاسٹک ملتان</v>
          </cell>
        </row>
        <row r="2741">
          <cell r="A2741" t="str">
            <v>6653/9</v>
          </cell>
          <cell r="B2741">
            <v>6653</v>
          </cell>
          <cell r="C2741">
            <v>45708</v>
          </cell>
          <cell r="D2741" t="str">
            <v>یونس صاحب</v>
          </cell>
          <cell r="E2741" t="str">
            <v>داؤد پلاسٹک ملتان</v>
          </cell>
        </row>
        <row r="2742">
          <cell r="A2742" t="str">
            <v>6653/10</v>
          </cell>
          <cell r="B2742">
            <v>6653</v>
          </cell>
          <cell r="C2742">
            <v>45708</v>
          </cell>
          <cell r="D2742" t="str">
            <v>یونس صاحب</v>
          </cell>
          <cell r="E2742" t="str">
            <v>داؤد پلاسٹک ملتان</v>
          </cell>
        </row>
        <row r="2743">
          <cell r="A2743" t="str">
            <v>6654/1</v>
          </cell>
          <cell r="B2743">
            <v>6654</v>
          </cell>
          <cell r="C2743">
            <v>45709</v>
          </cell>
          <cell r="D2743" t="str">
            <v>یونس صاحب</v>
          </cell>
          <cell r="E2743" t="str">
            <v>وحید پلاسٹک گوجرانوالہ</v>
          </cell>
        </row>
        <row r="2744">
          <cell r="A2744" t="str">
            <v>6654/2</v>
          </cell>
          <cell r="B2744">
            <v>6654</v>
          </cell>
          <cell r="C2744">
            <v>45709</v>
          </cell>
          <cell r="D2744" t="str">
            <v>یونس صاحب</v>
          </cell>
          <cell r="E2744" t="str">
            <v>وحید پلاسٹک گوجرانوالہ</v>
          </cell>
        </row>
        <row r="2745">
          <cell r="A2745" t="str">
            <v>6654/3</v>
          </cell>
          <cell r="B2745">
            <v>6654</v>
          </cell>
          <cell r="C2745">
            <v>45709</v>
          </cell>
          <cell r="D2745" t="str">
            <v>یونس صاحب</v>
          </cell>
          <cell r="E2745" t="str">
            <v>وحید پلاسٹک گوجرانوالہ</v>
          </cell>
        </row>
        <row r="2746">
          <cell r="A2746" t="str">
            <v>6654/4</v>
          </cell>
          <cell r="B2746">
            <v>6654</v>
          </cell>
          <cell r="C2746">
            <v>45709</v>
          </cell>
          <cell r="D2746" t="str">
            <v>یونس صاحب</v>
          </cell>
          <cell r="E2746" t="str">
            <v>وحید پلاسٹک گوجرانوالہ</v>
          </cell>
        </row>
        <row r="2747">
          <cell r="A2747" t="str">
            <v>6654/5</v>
          </cell>
          <cell r="B2747">
            <v>6654</v>
          </cell>
          <cell r="C2747">
            <v>45709</v>
          </cell>
          <cell r="D2747" t="str">
            <v>یونس صاحب</v>
          </cell>
          <cell r="E2747" t="str">
            <v>وحید پلاسٹک گوجرانوالہ</v>
          </cell>
        </row>
        <row r="2748">
          <cell r="A2748" t="str">
            <v>6654/6</v>
          </cell>
          <cell r="B2748">
            <v>6654</v>
          </cell>
          <cell r="C2748">
            <v>45709</v>
          </cell>
          <cell r="D2748" t="str">
            <v>یونس صاحب</v>
          </cell>
          <cell r="E2748" t="str">
            <v>وحید پلاسٹک گوجرانوالہ</v>
          </cell>
        </row>
        <row r="2749">
          <cell r="A2749" t="str">
            <v>6654/7</v>
          </cell>
          <cell r="B2749">
            <v>6654</v>
          </cell>
          <cell r="C2749">
            <v>45709</v>
          </cell>
          <cell r="D2749" t="str">
            <v>یونس صاحب</v>
          </cell>
          <cell r="E2749" t="str">
            <v>وحید پلاسٹک گوجرانوالہ</v>
          </cell>
        </row>
        <row r="2750">
          <cell r="A2750" t="str">
            <v>6654/8</v>
          </cell>
          <cell r="B2750">
            <v>6654</v>
          </cell>
          <cell r="C2750">
            <v>45709</v>
          </cell>
          <cell r="D2750" t="str">
            <v>یونس صاحب</v>
          </cell>
          <cell r="E2750" t="str">
            <v>وحید پلاسٹک گوجرانوالہ</v>
          </cell>
        </row>
        <row r="2751">
          <cell r="A2751" t="str">
            <v>6654/9</v>
          </cell>
          <cell r="B2751">
            <v>6654</v>
          </cell>
          <cell r="C2751">
            <v>45709</v>
          </cell>
          <cell r="D2751" t="str">
            <v>یونس صاحب</v>
          </cell>
          <cell r="E2751" t="str">
            <v>وحید پلاسٹک گوجرانوالہ</v>
          </cell>
        </row>
        <row r="2752">
          <cell r="A2752" t="str">
            <v>6654/10</v>
          </cell>
          <cell r="B2752">
            <v>6654</v>
          </cell>
          <cell r="C2752">
            <v>45709</v>
          </cell>
          <cell r="D2752" t="str">
            <v>یونس صاحب</v>
          </cell>
          <cell r="E2752" t="str">
            <v>وحید پلاسٹک گوجرانوالہ</v>
          </cell>
        </row>
        <row r="2753">
          <cell r="A2753" t="str">
            <v>6654/11</v>
          </cell>
          <cell r="B2753">
            <v>6654</v>
          </cell>
          <cell r="C2753">
            <v>45709</v>
          </cell>
          <cell r="D2753" t="str">
            <v>یونس صاحب</v>
          </cell>
          <cell r="E2753" t="str">
            <v>وحید پلاسٹک گوجرانوالہ</v>
          </cell>
        </row>
        <row r="2754">
          <cell r="A2754" t="str">
            <v>6654/12</v>
          </cell>
          <cell r="B2754">
            <v>6654</v>
          </cell>
          <cell r="C2754">
            <v>45709</v>
          </cell>
          <cell r="D2754" t="str">
            <v>یونس صاحب</v>
          </cell>
          <cell r="E2754" t="str">
            <v>وحید پلاسٹک گوجرانوالہ</v>
          </cell>
        </row>
        <row r="2755">
          <cell r="A2755" t="str">
            <v>6654/13</v>
          </cell>
          <cell r="B2755">
            <v>6654</v>
          </cell>
          <cell r="C2755">
            <v>45709</v>
          </cell>
          <cell r="D2755" t="str">
            <v>یونس صاحب</v>
          </cell>
          <cell r="E2755" t="str">
            <v>وحید پلاسٹک گوجرانوالہ</v>
          </cell>
        </row>
        <row r="2756">
          <cell r="A2756" t="str">
            <v>6654/14</v>
          </cell>
          <cell r="B2756">
            <v>6654</v>
          </cell>
          <cell r="C2756">
            <v>45709</v>
          </cell>
          <cell r="D2756" t="str">
            <v>یونس صاحب</v>
          </cell>
          <cell r="E2756" t="str">
            <v>وحید پلاسٹک گوجرانوالہ</v>
          </cell>
        </row>
        <row r="2757">
          <cell r="A2757" t="str">
            <v>6654/15</v>
          </cell>
          <cell r="B2757">
            <v>6654</v>
          </cell>
          <cell r="C2757">
            <v>45709</v>
          </cell>
          <cell r="D2757" t="str">
            <v>یونس صاحب</v>
          </cell>
          <cell r="E2757" t="str">
            <v>وحید پلاسٹک گوجرانوالہ</v>
          </cell>
        </row>
        <row r="2758">
          <cell r="A2758" t="str">
            <v>6655/1</v>
          </cell>
          <cell r="B2758">
            <v>6655</v>
          </cell>
          <cell r="C2758">
            <v>45709</v>
          </cell>
          <cell r="D2758" t="str">
            <v>یونس صاحب</v>
          </cell>
          <cell r="E2758" t="str">
            <v>عرفان احمد اعظم مارکیٹ</v>
          </cell>
        </row>
        <row r="2759">
          <cell r="A2759" t="str">
            <v>6656/1</v>
          </cell>
          <cell r="B2759">
            <v>6656</v>
          </cell>
          <cell r="C2759">
            <v>45710</v>
          </cell>
          <cell r="D2759" t="str">
            <v>یونس صاحب</v>
          </cell>
          <cell r="E2759" t="str">
            <v>عثمان امین لاہور</v>
          </cell>
        </row>
        <row r="2760">
          <cell r="A2760" t="str">
            <v>6656/2</v>
          </cell>
          <cell r="B2760">
            <v>6656</v>
          </cell>
          <cell r="C2760">
            <v>45710</v>
          </cell>
          <cell r="D2760" t="str">
            <v>یونس صاحب</v>
          </cell>
          <cell r="E2760" t="str">
            <v>عثمان امین لاہور</v>
          </cell>
        </row>
        <row r="2761">
          <cell r="A2761" t="str">
            <v>6656/3</v>
          </cell>
          <cell r="B2761">
            <v>6656</v>
          </cell>
          <cell r="C2761">
            <v>45710</v>
          </cell>
          <cell r="D2761" t="str">
            <v>یونس صاحب</v>
          </cell>
          <cell r="E2761" t="str">
            <v>عثمان امین لاہور</v>
          </cell>
        </row>
        <row r="2762">
          <cell r="A2762" t="str">
            <v>6656/4</v>
          </cell>
          <cell r="B2762">
            <v>6656</v>
          </cell>
          <cell r="C2762">
            <v>45710</v>
          </cell>
          <cell r="D2762" t="str">
            <v>یونس صاحب</v>
          </cell>
          <cell r="E2762" t="str">
            <v>عثمان امین لاہور</v>
          </cell>
        </row>
        <row r="2763">
          <cell r="A2763" t="str">
            <v>6656/5</v>
          </cell>
          <cell r="B2763">
            <v>6656</v>
          </cell>
          <cell r="C2763">
            <v>45710</v>
          </cell>
          <cell r="D2763" t="str">
            <v>یونس صاحب</v>
          </cell>
          <cell r="E2763" t="str">
            <v>عثمان امین لاہور</v>
          </cell>
        </row>
        <row r="2764">
          <cell r="A2764" t="str">
            <v>6656/6</v>
          </cell>
          <cell r="B2764">
            <v>6656</v>
          </cell>
          <cell r="C2764">
            <v>45710</v>
          </cell>
          <cell r="D2764" t="str">
            <v>یونس صاحب</v>
          </cell>
          <cell r="E2764" t="str">
            <v>عثمان امین لاہور</v>
          </cell>
        </row>
        <row r="2765">
          <cell r="A2765" t="str">
            <v>6657/1</v>
          </cell>
          <cell r="B2765">
            <v>6657</v>
          </cell>
          <cell r="C2765">
            <v>45710</v>
          </cell>
          <cell r="D2765" t="str">
            <v>یونس صاحب</v>
          </cell>
          <cell r="E2765" t="str">
            <v>فیصل پلاسٹک فیصل آباد</v>
          </cell>
        </row>
        <row r="2766">
          <cell r="A2766" t="str">
            <v>6658/1</v>
          </cell>
          <cell r="B2766">
            <v>6658</v>
          </cell>
          <cell r="C2766">
            <v>45712</v>
          </cell>
          <cell r="D2766" t="str">
            <v>یونس صاحب</v>
          </cell>
          <cell r="E2766" t="str">
            <v>نواب جیلانی لیہ</v>
          </cell>
        </row>
        <row r="2767">
          <cell r="A2767" t="str">
            <v>6658/2</v>
          </cell>
          <cell r="B2767">
            <v>6658</v>
          </cell>
          <cell r="C2767">
            <v>45712</v>
          </cell>
          <cell r="D2767" t="str">
            <v>یونس صاحب</v>
          </cell>
          <cell r="E2767" t="str">
            <v>نواب جیلانی لیہ</v>
          </cell>
        </row>
        <row r="2768">
          <cell r="A2768" t="str">
            <v>6658/3</v>
          </cell>
          <cell r="B2768">
            <v>6658</v>
          </cell>
          <cell r="C2768">
            <v>45712</v>
          </cell>
          <cell r="D2768" t="str">
            <v>یونس صاحب</v>
          </cell>
          <cell r="E2768" t="str">
            <v>نواب جیلانی لیہ</v>
          </cell>
        </row>
        <row r="2769">
          <cell r="A2769" t="str">
            <v>6658/4</v>
          </cell>
          <cell r="B2769">
            <v>6658</v>
          </cell>
          <cell r="C2769">
            <v>45712</v>
          </cell>
          <cell r="D2769" t="str">
            <v>یونس صاحب</v>
          </cell>
          <cell r="E2769" t="str">
            <v>نواب جیلانی لیہ</v>
          </cell>
        </row>
        <row r="2770">
          <cell r="A2770" t="str">
            <v>6658/5</v>
          </cell>
          <cell r="B2770">
            <v>6658</v>
          </cell>
          <cell r="C2770">
            <v>45712</v>
          </cell>
          <cell r="D2770" t="str">
            <v>یونس صاحب</v>
          </cell>
          <cell r="E2770" t="str">
            <v>نواب جیلانی لیہ</v>
          </cell>
        </row>
        <row r="2771">
          <cell r="A2771" t="str">
            <v>6659/1</v>
          </cell>
          <cell r="B2771">
            <v>6659</v>
          </cell>
          <cell r="C2771">
            <v>45712</v>
          </cell>
          <cell r="D2771" t="str">
            <v>یونس صاحب</v>
          </cell>
          <cell r="E2771" t="str">
            <v>حزیفہ پلاسٹک اعظم مارکیٹ</v>
          </cell>
        </row>
        <row r="2772">
          <cell r="A2772" t="str">
            <v>6660/1</v>
          </cell>
          <cell r="B2772">
            <v>6660</v>
          </cell>
          <cell r="C2772">
            <v>45712</v>
          </cell>
          <cell r="D2772" t="str">
            <v>یونس صاحب</v>
          </cell>
          <cell r="E2772" t="str">
            <v>اعظم ٹوائے شاہ عالم</v>
          </cell>
        </row>
        <row r="2773">
          <cell r="A2773" t="str">
            <v>6660/2</v>
          </cell>
          <cell r="B2773">
            <v>6660</v>
          </cell>
          <cell r="C2773">
            <v>45712</v>
          </cell>
          <cell r="D2773" t="str">
            <v>یونس صاحب</v>
          </cell>
          <cell r="E2773" t="str">
            <v>اعظم ٹوائے شاہ عالم</v>
          </cell>
        </row>
        <row r="2774">
          <cell r="A2774" t="str">
            <v>6660/3</v>
          </cell>
          <cell r="B2774">
            <v>6660</v>
          </cell>
          <cell r="C2774">
            <v>45712</v>
          </cell>
          <cell r="D2774" t="str">
            <v>یونس صاحب</v>
          </cell>
          <cell r="E2774" t="str">
            <v>اعظم ٹوائے شاہ عالم</v>
          </cell>
        </row>
        <row r="2775">
          <cell r="A2775" t="str">
            <v>6660/4</v>
          </cell>
          <cell r="B2775">
            <v>6660</v>
          </cell>
          <cell r="C2775">
            <v>45712</v>
          </cell>
          <cell r="D2775" t="str">
            <v>یونس صاحب</v>
          </cell>
          <cell r="E2775" t="str">
            <v>اعظم ٹوائے شاہ عالم</v>
          </cell>
        </row>
        <row r="2776">
          <cell r="A2776" t="str">
            <v>6661/1</v>
          </cell>
          <cell r="B2776">
            <v>6661</v>
          </cell>
          <cell r="C2776">
            <v>45712</v>
          </cell>
          <cell r="D2776" t="str">
            <v>یونس صاحب</v>
          </cell>
          <cell r="E2776" t="str">
            <v>محبوب مقبول گوجرانوالہ</v>
          </cell>
        </row>
        <row r="2777">
          <cell r="A2777" t="str">
            <v>6661/2</v>
          </cell>
          <cell r="B2777">
            <v>6661</v>
          </cell>
          <cell r="C2777">
            <v>45712</v>
          </cell>
          <cell r="D2777" t="str">
            <v>یونس صاحب</v>
          </cell>
          <cell r="E2777" t="str">
            <v>محبوب مقبول گوجرانوالہ</v>
          </cell>
        </row>
        <row r="2778">
          <cell r="A2778" t="str">
            <v>6661/3</v>
          </cell>
          <cell r="B2778">
            <v>6661</v>
          </cell>
          <cell r="C2778">
            <v>45712</v>
          </cell>
          <cell r="D2778" t="str">
            <v>یونس صاحب</v>
          </cell>
          <cell r="E2778" t="str">
            <v>محبوب مقبول گوجرانوالہ</v>
          </cell>
        </row>
        <row r="2779">
          <cell r="A2779" t="str">
            <v>6661/4</v>
          </cell>
          <cell r="B2779">
            <v>6661</v>
          </cell>
          <cell r="C2779">
            <v>45712</v>
          </cell>
          <cell r="D2779" t="str">
            <v>یونس صاحب</v>
          </cell>
          <cell r="E2779" t="str">
            <v>محبوب مقبول گوجرانوالہ</v>
          </cell>
        </row>
        <row r="2780">
          <cell r="A2780" t="str">
            <v>6661/5</v>
          </cell>
          <cell r="B2780">
            <v>6661</v>
          </cell>
          <cell r="C2780">
            <v>45712</v>
          </cell>
          <cell r="D2780" t="str">
            <v>یونس صاحب</v>
          </cell>
          <cell r="E2780" t="str">
            <v>محبوب مقبول گوجرانوالہ</v>
          </cell>
        </row>
        <row r="2781">
          <cell r="A2781" t="str">
            <v>6661/6</v>
          </cell>
          <cell r="B2781">
            <v>6661</v>
          </cell>
          <cell r="C2781">
            <v>45712</v>
          </cell>
          <cell r="D2781" t="str">
            <v>یونس صاحب</v>
          </cell>
          <cell r="E2781" t="str">
            <v>محبوب مقبول گوجرانوالہ</v>
          </cell>
        </row>
        <row r="2782">
          <cell r="A2782" t="str">
            <v>6661/7</v>
          </cell>
          <cell r="B2782">
            <v>6661</v>
          </cell>
          <cell r="C2782">
            <v>45712</v>
          </cell>
          <cell r="D2782" t="str">
            <v>یونس صاحب</v>
          </cell>
          <cell r="E2782" t="str">
            <v>محبوب مقبول گوجرانوالہ</v>
          </cell>
        </row>
        <row r="2783">
          <cell r="A2783" t="str">
            <v>6661/8</v>
          </cell>
          <cell r="B2783">
            <v>6661</v>
          </cell>
          <cell r="C2783">
            <v>45712</v>
          </cell>
          <cell r="D2783" t="str">
            <v>یونس صاحب</v>
          </cell>
          <cell r="E2783" t="str">
            <v>محبوب مقبول گوجرانوالہ</v>
          </cell>
        </row>
        <row r="2784">
          <cell r="A2784" t="str">
            <v>6661/9</v>
          </cell>
          <cell r="B2784">
            <v>6661</v>
          </cell>
          <cell r="C2784">
            <v>45712</v>
          </cell>
          <cell r="D2784" t="str">
            <v>یونس صاحب</v>
          </cell>
          <cell r="E2784" t="str">
            <v>محبوب مقبول گوجرانوالہ</v>
          </cell>
        </row>
        <row r="2785">
          <cell r="A2785" t="str">
            <v>6662/1</v>
          </cell>
          <cell r="B2785">
            <v>6662</v>
          </cell>
          <cell r="C2785">
            <v>45712</v>
          </cell>
          <cell r="D2785" t="str">
            <v>یونس صاحب</v>
          </cell>
          <cell r="E2785" t="str">
            <v>ملک الطاف اعظم مارکیٹ</v>
          </cell>
        </row>
        <row r="2786">
          <cell r="A2786" t="str">
            <v>6663/1</v>
          </cell>
          <cell r="B2786">
            <v>6663</v>
          </cell>
          <cell r="C2786">
            <v>45713</v>
          </cell>
          <cell r="D2786" t="str">
            <v>یونس صاحب</v>
          </cell>
          <cell r="E2786" t="str">
            <v>زوہیب ٹریذز ٹمبر مارکیٹ</v>
          </cell>
        </row>
        <row r="2787">
          <cell r="A2787" t="str">
            <v>6664/1</v>
          </cell>
          <cell r="B2787">
            <v>6664</v>
          </cell>
          <cell r="C2787">
            <v>45713</v>
          </cell>
          <cell r="D2787" t="str">
            <v>یونس صاحب</v>
          </cell>
          <cell r="E2787" t="str">
            <v>باباپلاسٹک پاکستان مارکیٹ</v>
          </cell>
        </row>
        <row r="2788">
          <cell r="A2788" t="str">
            <v>6665/1</v>
          </cell>
          <cell r="B2788">
            <v>6665</v>
          </cell>
          <cell r="C2788">
            <v>45713</v>
          </cell>
          <cell r="D2788" t="str">
            <v>یونس صاحب</v>
          </cell>
          <cell r="E2788" t="str">
            <v>رحمانی شاپر چیچہ وطنی</v>
          </cell>
        </row>
        <row r="2789">
          <cell r="A2789" t="str">
            <v>6666/1</v>
          </cell>
          <cell r="B2789">
            <v>6666</v>
          </cell>
          <cell r="C2789">
            <v>45713</v>
          </cell>
          <cell r="D2789" t="str">
            <v>یونس صاحب</v>
          </cell>
          <cell r="E2789" t="str">
            <v>محبوب مقبول گوجرانوالہ</v>
          </cell>
        </row>
        <row r="2790">
          <cell r="A2790" t="str">
            <v>6666/2</v>
          </cell>
          <cell r="B2790">
            <v>6666</v>
          </cell>
          <cell r="C2790">
            <v>45713</v>
          </cell>
          <cell r="D2790" t="str">
            <v>یونس صاحب</v>
          </cell>
          <cell r="E2790" t="str">
            <v>محبوب مقبول گوجرانوالہ</v>
          </cell>
        </row>
        <row r="2791">
          <cell r="A2791" t="str">
            <v>6666/3</v>
          </cell>
          <cell r="B2791">
            <v>6666</v>
          </cell>
          <cell r="C2791">
            <v>45713</v>
          </cell>
          <cell r="D2791" t="str">
            <v>یونس صاحب</v>
          </cell>
          <cell r="E2791" t="str">
            <v>محبوب مقبول گوجرانوالہ</v>
          </cell>
        </row>
        <row r="2792">
          <cell r="A2792" t="str">
            <v>6666/4</v>
          </cell>
          <cell r="B2792">
            <v>6666</v>
          </cell>
          <cell r="C2792">
            <v>45713</v>
          </cell>
          <cell r="D2792" t="str">
            <v>یونس صاحب</v>
          </cell>
          <cell r="E2792" t="str">
            <v>محبوب مقبول گوجرانوالہ</v>
          </cell>
        </row>
        <row r="2793">
          <cell r="A2793" t="str">
            <v>6666/5</v>
          </cell>
          <cell r="B2793">
            <v>6666</v>
          </cell>
          <cell r="C2793">
            <v>45713</v>
          </cell>
          <cell r="D2793" t="str">
            <v>یونس صاحب</v>
          </cell>
          <cell r="E2793" t="str">
            <v>محبوب مقبول گوجرانوالہ</v>
          </cell>
        </row>
        <row r="2794">
          <cell r="A2794" t="str">
            <v>6666/6</v>
          </cell>
          <cell r="B2794">
            <v>6666</v>
          </cell>
          <cell r="C2794">
            <v>45713</v>
          </cell>
          <cell r="D2794" t="str">
            <v>یونس صاحب</v>
          </cell>
          <cell r="E2794" t="str">
            <v>محبوب مقبول گوجرانوالہ</v>
          </cell>
        </row>
        <row r="2795">
          <cell r="A2795" t="str">
            <v>6666/7</v>
          </cell>
          <cell r="B2795">
            <v>6666</v>
          </cell>
          <cell r="C2795">
            <v>45713</v>
          </cell>
          <cell r="D2795" t="str">
            <v>یونس صاحب</v>
          </cell>
          <cell r="E2795" t="str">
            <v>محبوب مقبول گوجرانوالہ</v>
          </cell>
        </row>
        <row r="2796">
          <cell r="A2796" t="str">
            <v>6666/8</v>
          </cell>
          <cell r="B2796">
            <v>6666</v>
          </cell>
          <cell r="C2796">
            <v>45713</v>
          </cell>
          <cell r="D2796" t="str">
            <v>یونس صاحب</v>
          </cell>
          <cell r="E2796" t="str">
            <v>محبوب مقبول گوجرانوالہ</v>
          </cell>
        </row>
        <row r="2797">
          <cell r="A2797" t="str">
            <v>6666/9</v>
          </cell>
          <cell r="B2797">
            <v>6666</v>
          </cell>
          <cell r="C2797">
            <v>45713</v>
          </cell>
          <cell r="D2797" t="str">
            <v>یونس صاحب</v>
          </cell>
          <cell r="E2797" t="str">
            <v>محبوب مقبول گوجرانوالہ</v>
          </cell>
        </row>
        <row r="2798">
          <cell r="A2798" t="str">
            <v>6666/10</v>
          </cell>
          <cell r="B2798">
            <v>6666</v>
          </cell>
          <cell r="C2798">
            <v>45713</v>
          </cell>
          <cell r="D2798" t="str">
            <v>یونس صاحب</v>
          </cell>
          <cell r="E2798" t="str">
            <v>محبوب مقبول گوجرانوالہ</v>
          </cell>
        </row>
        <row r="2799">
          <cell r="A2799" t="str">
            <v>6666/11</v>
          </cell>
          <cell r="B2799">
            <v>6666</v>
          </cell>
          <cell r="C2799">
            <v>45713</v>
          </cell>
          <cell r="D2799" t="str">
            <v>یونس صاحب</v>
          </cell>
          <cell r="E2799" t="str">
            <v>محبوب مقبول گوجرانوالہ</v>
          </cell>
        </row>
        <row r="2800">
          <cell r="A2800" t="str">
            <v>6666/12</v>
          </cell>
          <cell r="B2800">
            <v>6666</v>
          </cell>
          <cell r="C2800">
            <v>45713</v>
          </cell>
          <cell r="D2800" t="str">
            <v>یونس صاحب</v>
          </cell>
          <cell r="E2800" t="str">
            <v>محبوب مقبول گوجرانوالہ</v>
          </cell>
        </row>
        <row r="2801">
          <cell r="A2801" t="str">
            <v>6667/1</v>
          </cell>
          <cell r="B2801">
            <v>6667</v>
          </cell>
          <cell r="C2801">
            <v>45713</v>
          </cell>
          <cell r="D2801" t="str">
            <v>یونس صاحب</v>
          </cell>
          <cell r="E2801" t="str">
            <v>بلال جاوید فیصل آباد</v>
          </cell>
        </row>
        <row r="2802">
          <cell r="A2802" t="str">
            <v>6667/2</v>
          </cell>
          <cell r="B2802">
            <v>6667</v>
          </cell>
          <cell r="C2802">
            <v>45713</v>
          </cell>
          <cell r="D2802" t="str">
            <v>یونس صاحب</v>
          </cell>
          <cell r="E2802" t="str">
            <v>بلال جاوید فیصل آباد</v>
          </cell>
        </row>
        <row r="2803">
          <cell r="A2803" t="str">
            <v>6667/3</v>
          </cell>
          <cell r="B2803">
            <v>6667</v>
          </cell>
          <cell r="C2803">
            <v>45713</v>
          </cell>
          <cell r="D2803" t="str">
            <v>یونس صاحب</v>
          </cell>
          <cell r="E2803" t="str">
            <v>بلال جاوید فیصل آباد</v>
          </cell>
        </row>
        <row r="2804">
          <cell r="A2804" t="str">
            <v>6668/1</v>
          </cell>
          <cell r="B2804">
            <v>6668</v>
          </cell>
          <cell r="C2804">
            <v>45714</v>
          </cell>
          <cell r="D2804" t="str">
            <v>یونس صاحب</v>
          </cell>
          <cell r="E2804"/>
        </row>
        <row r="2805">
          <cell r="A2805" t="str">
            <v>6669/1</v>
          </cell>
          <cell r="B2805">
            <v>6669</v>
          </cell>
          <cell r="C2805">
            <v>45714</v>
          </cell>
          <cell r="D2805" t="str">
            <v>یونس صاحب</v>
          </cell>
          <cell r="E2805" t="str">
            <v>اکرم بلو کریانہ خانیور</v>
          </cell>
        </row>
        <row r="2806">
          <cell r="A2806" t="str">
            <v>6669/2</v>
          </cell>
          <cell r="B2806">
            <v>6669</v>
          </cell>
          <cell r="C2806">
            <v>45714</v>
          </cell>
          <cell r="D2806" t="str">
            <v>یونس صاحب</v>
          </cell>
          <cell r="E2806" t="str">
            <v>اکرم بلو کریانہ خانیور</v>
          </cell>
        </row>
        <row r="2807">
          <cell r="A2807" t="str">
            <v>6669/3</v>
          </cell>
          <cell r="B2807">
            <v>6669</v>
          </cell>
          <cell r="C2807">
            <v>45714</v>
          </cell>
          <cell r="D2807" t="str">
            <v>یونس صاحب</v>
          </cell>
          <cell r="E2807" t="str">
            <v>اکرم بلو کریانہ خانیور</v>
          </cell>
        </row>
        <row r="2808">
          <cell r="A2808" t="str">
            <v>6669/4</v>
          </cell>
          <cell r="B2808">
            <v>6669</v>
          </cell>
          <cell r="C2808">
            <v>45714</v>
          </cell>
          <cell r="D2808" t="str">
            <v>یونس صاحب</v>
          </cell>
          <cell r="E2808" t="str">
            <v>اکرم بلو کریانہ خانیور</v>
          </cell>
        </row>
        <row r="2809">
          <cell r="A2809" t="str">
            <v>6669/5</v>
          </cell>
          <cell r="B2809">
            <v>6669</v>
          </cell>
          <cell r="C2809">
            <v>45714</v>
          </cell>
          <cell r="D2809" t="str">
            <v>یونس صاحب</v>
          </cell>
          <cell r="E2809" t="str">
            <v>اکرم بلو کریانہ خانیور</v>
          </cell>
        </row>
        <row r="2810">
          <cell r="A2810" t="str">
            <v>6669/6</v>
          </cell>
          <cell r="B2810">
            <v>6669</v>
          </cell>
          <cell r="C2810">
            <v>45714</v>
          </cell>
          <cell r="D2810" t="str">
            <v>یونس صاحب</v>
          </cell>
          <cell r="E2810" t="str">
            <v>اکرم بلو کریانہ خانیور</v>
          </cell>
        </row>
        <row r="2811">
          <cell r="A2811" t="str">
            <v>6669/7</v>
          </cell>
          <cell r="B2811">
            <v>6669</v>
          </cell>
          <cell r="C2811">
            <v>45714</v>
          </cell>
          <cell r="D2811" t="str">
            <v>یونس صاحب</v>
          </cell>
          <cell r="E2811" t="str">
            <v>اکرم بلو کریانہ خانیور</v>
          </cell>
        </row>
        <row r="2812">
          <cell r="A2812" t="str">
            <v>6670/1</v>
          </cell>
          <cell r="B2812">
            <v>6670</v>
          </cell>
          <cell r="C2812">
            <v>45714</v>
          </cell>
          <cell r="D2812" t="str">
            <v>یونس صاحب</v>
          </cell>
          <cell r="E2812" t="str">
            <v>ایم رمضان  صاد ق آباد</v>
          </cell>
        </row>
        <row r="2813">
          <cell r="A2813" t="str">
            <v>6670/2</v>
          </cell>
          <cell r="B2813">
            <v>6670</v>
          </cell>
          <cell r="C2813">
            <v>45714</v>
          </cell>
          <cell r="D2813" t="str">
            <v>یونس صاحب</v>
          </cell>
          <cell r="E2813" t="str">
            <v>ایم رمضان  صاد ق آباد</v>
          </cell>
        </row>
        <row r="2814">
          <cell r="A2814" t="str">
            <v>6670/3</v>
          </cell>
          <cell r="B2814">
            <v>6670</v>
          </cell>
          <cell r="C2814">
            <v>45714</v>
          </cell>
          <cell r="D2814" t="str">
            <v>یونس صاحب</v>
          </cell>
          <cell r="E2814" t="str">
            <v>ایم رمضان  صاد ق آباد</v>
          </cell>
        </row>
        <row r="2815">
          <cell r="A2815" t="str">
            <v>6670/4</v>
          </cell>
          <cell r="B2815">
            <v>6670</v>
          </cell>
          <cell r="C2815">
            <v>45714</v>
          </cell>
          <cell r="D2815" t="str">
            <v>یونس صاحب</v>
          </cell>
          <cell r="E2815" t="str">
            <v>ایم رمضان  صاد ق آباد</v>
          </cell>
        </row>
        <row r="2816">
          <cell r="A2816" t="str">
            <v>6670/5</v>
          </cell>
          <cell r="B2816">
            <v>6670</v>
          </cell>
          <cell r="C2816">
            <v>45714</v>
          </cell>
          <cell r="D2816" t="str">
            <v>یونس صاحب</v>
          </cell>
          <cell r="E2816" t="str">
            <v>ایم رمضان  صاد ق آباد</v>
          </cell>
        </row>
        <row r="2817">
          <cell r="A2817" t="str">
            <v>6670/6</v>
          </cell>
          <cell r="B2817">
            <v>6670</v>
          </cell>
          <cell r="C2817">
            <v>45714</v>
          </cell>
          <cell r="D2817" t="str">
            <v>یونس صاحب</v>
          </cell>
          <cell r="E2817" t="str">
            <v>ایم رمضان  صاد ق آباد</v>
          </cell>
        </row>
        <row r="2818">
          <cell r="A2818" t="str">
            <v>6671/1</v>
          </cell>
          <cell r="B2818">
            <v>6671</v>
          </cell>
          <cell r="C2818">
            <v>45714</v>
          </cell>
          <cell r="D2818" t="str">
            <v>یونس صاحب</v>
          </cell>
          <cell r="E2818" t="str">
            <v>ریفلکٹ پیک لاہور</v>
          </cell>
        </row>
        <row r="2819">
          <cell r="A2819" t="str">
            <v>6672/2</v>
          </cell>
          <cell r="B2819">
            <v>6672</v>
          </cell>
          <cell r="C2819">
            <v>45714</v>
          </cell>
          <cell r="D2819" t="str">
            <v>یونس صاحب</v>
          </cell>
          <cell r="E2819" t="str">
            <v>ریفلکٹ پیک لاہور</v>
          </cell>
        </row>
        <row r="2820">
          <cell r="A2820" t="str">
            <v>6673/1</v>
          </cell>
          <cell r="B2820">
            <v>6673</v>
          </cell>
          <cell r="C2820">
            <v>45714</v>
          </cell>
          <cell r="D2820" t="str">
            <v>یونس صاحب</v>
          </cell>
          <cell r="E2820" t="str">
            <v>ہیڈآفس لاہور</v>
          </cell>
        </row>
        <row r="2821">
          <cell r="A2821" t="str">
            <v>6673/2</v>
          </cell>
          <cell r="B2821">
            <v>6673</v>
          </cell>
          <cell r="C2821">
            <v>45714</v>
          </cell>
          <cell r="D2821" t="str">
            <v>یونس صاحب</v>
          </cell>
          <cell r="E2821" t="str">
            <v>ہیڈآفس لاہور</v>
          </cell>
        </row>
        <row r="2822">
          <cell r="A2822" t="str">
            <v>6674/1</v>
          </cell>
          <cell r="B2822">
            <v>6674</v>
          </cell>
          <cell r="C2822">
            <v>45715</v>
          </cell>
          <cell r="D2822" t="str">
            <v>یونس صاحب</v>
          </cell>
          <cell r="E2822" t="str">
            <v>ہیڈآفس لاہور</v>
          </cell>
        </row>
        <row r="2823">
          <cell r="A2823" t="str">
            <v>6674/2</v>
          </cell>
          <cell r="B2823">
            <v>6674</v>
          </cell>
          <cell r="C2823">
            <v>45715</v>
          </cell>
          <cell r="D2823" t="str">
            <v>یونس صاحب</v>
          </cell>
          <cell r="E2823" t="str">
            <v>ہیڈآفس لاہور</v>
          </cell>
        </row>
        <row r="2824">
          <cell r="A2824" t="str">
            <v>6674/3</v>
          </cell>
          <cell r="B2824">
            <v>6674</v>
          </cell>
          <cell r="C2824">
            <v>45715</v>
          </cell>
          <cell r="D2824" t="str">
            <v>یونس صاحب</v>
          </cell>
          <cell r="E2824" t="str">
            <v>ہیڈآفس لاہور</v>
          </cell>
        </row>
        <row r="2825">
          <cell r="A2825" t="str">
            <v>6674/4</v>
          </cell>
          <cell r="B2825">
            <v>6674</v>
          </cell>
          <cell r="C2825">
            <v>45715</v>
          </cell>
          <cell r="D2825" t="str">
            <v>یونس صاحب</v>
          </cell>
          <cell r="E2825" t="str">
            <v>ہیڈآفس لاہور</v>
          </cell>
        </row>
        <row r="2826">
          <cell r="A2826" t="str">
            <v>6674/5</v>
          </cell>
          <cell r="B2826">
            <v>6674</v>
          </cell>
          <cell r="C2826">
            <v>45715</v>
          </cell>
          <cell r="D2826" t="str">
            <v>یونس صاحب</v>
          </cell>
          <cell r="E2826" t="str">
            <v>ہیڈآفس لاہور</v>
          </cell>
        </row>
        <row r="2827">
          <cell r="A2827" t="str">
            <v>6674/6</v>
          </cell>
          <cell r="B2827">
            <v>6674</v>
          </cell>
          <cell r="C2827">
            <v>45715</v>
          </cell>
          <cell r="D2827" t="str">
            <v>یونس صاحب</v>
          </cell>
          <cell r="E2827" t="str">
            <v>ہیڈآفس لاہور</v>
          </cell>
        </row>
        <row r="2828">
          <cell r="A2828" t="str">
            <v>6674/7</v>
          </cell>
          <cell r="B2828">
            <v>6674</v>
          </cell>
          <cell r="C2828">
            <v>45715</v>
          </cell>
          <cell r="D2828" t="str">
            <v>یونس صاحب</v>
          </cell>
          <cell r="E2828" t="str">
            <v>ہیڈآفس لاہور</v>
          </cell>
        </row>
        <row r="2829">
          <cell r="A2829" t="str">
            <v>6674/8</v>
          </cell>
          <cell r="B2829">
            <v>6674</v>
          </cell>
          <cell r="C2829">
            <v>45715</v>
          </cell>
          <cell r="D2829" t="str">
            <v>یونس صاحب</v>
          </cell>
          <cell r="E2829" t="str">
            <v>ہیڈآفس لاہور</v>
          </cell>
        </row>
        <row r="2830">
          <cell r="A2830" t="str">
            <v>6674/9</v>
          </cell>
          <cell r="B2830">
            <v>6674</v>
          </cell>
          <cell r="C2830">
            <v>45715</v>
          </cell>
          <cell r="D2830" t="str">
            <v>یونس صاحب</v>
          </cell>
          <cell r="E2830" t="str">
            <v>ہیڈآفس لاہور</v>
          </cell>
        </row>
        <row r="2831">
          <cell r="A2831" t="str">
            <v>6674/10</v>
          </cell>
          <cell r="B2831">
            <v>6674</v>
          </cell>
          <cell r="C2831">
            <v>45715</v>
          </cell>
          <cell r="D2831" t="str">
            <v>یونس صاحب</v>
          </cell>
          <cell r="E2831" t="str">
            <v>ہیڈآفس لاہور</v>
          </cell>
        </row>
        <row r="2832">
          <cell r="A2832" t="str">
            <v>6674/11</v>
          </cell>
          <cell r="B2832">
            <v>6674</v>
          </cell>
          <cell r="C2832">
            <v>45715</v>
          </cell>
          <cell r="D2832" t="str">
            <v>یونس صاحب</v>
          </cell>
          <cell r="E2832" t="str">
            <v>ہیڈآفس لاہور</v>
          </cell>
        </row>
        <row r="2833">
          <cell r="A2833" t="str">
            <v>6674/12</v>
          </cell>
          <cell r="B2833">
            <v>6674</v>
          </cell>
          <cell r="C2833">
            <v>45715</v>
          </cell>
          <cell r="D2833" t="str">
            <v>یونس صاحب</v>
          </cell>
          <cell r="E2833" t="str">
            <v>ہیڈآفس لاہور</v>
          </cell>
        </row>
        <row r="2834">
          <cell r="A2834" t="str">
            <v>6674/13</v>
          </cell>
          <cell r="B2834">
            <v>6674</v>
          </cell>
          <cell r="C2834">
            <v>45715</v>
          </cell>
          <cell r="D2834" t="str">
            <v>یونس صاحب</v>
          </cell>
          <cell r="E2834" t="str">
            <v>ہیڈآفس لاہور</v>
          </cell>
        </row>
        <row r="2835">
          <cell r="A2835" t="str">
            <v>6674/14</v>
          </cell>
          <cell r="B2835">
            <v>6674</v>
          </cell>
          <cell r="C2835">
            <v>45715</v>
          </cell>
          <cell r="D2835" t="str">
            <v>یونس صاحب</v>
          </cell>
          <cell r="E2835" t="str">
            <v>ہیڈآفس لاہور</v>
          </cell>
        </row>
        <row r="2836">
          <cell r="A2836" t="str">
            <v>6674/15</v>
          </cell>
          <cell r="B2836">
            <v>6674</v>
          </cell>
          <cell r="C2836">
            <v>45715</v>
          </cell>
          <cell r="D2836" t="str">
            <v>یونس صاحب</v>
          </cell>
          <cell r="E2836" t="str">
            <v>ہیڈآفس لاہور</v>
          </cell>
        </row>
        <row r="2837">
          <cell r="A2837" t="str">
            <v>6674/16</v>
          </cell>
          <cell r="B2837">
            <v>6674</v>
          </cell>
          <cell r="C2837">
            <v>45715</v>
          </cell>
          <cell r="D2837" t="str">
            <v>یونس صاحب</v>
          </cell>
          <cell r="E2837" t="str">
            <v>ہیڈآفس لاہور</v>
          </cell>
        </row>
        <row r="2838">
          <cell r="A2838" t="str">
            <v>6674/17</v>
          </cell>
          <cell r="B2838">
            <v>6674</v>
          </cell>
          <cell r="C2838">
            <v>45715</v>
          </cell>
          <cell r="D2838" t="str">
            <v>یونس صاحب</v>
          </cell>
          <cell r="E2838" t="str">
            <v>ہیڈآفس لاہور</v>
          </cell>
        </row>
        <row r="2839">
          <cell r="A2839" t="str">
            <v>6674/18</v>
          </cell>
          <cell r="B2839">
            <v>6674</v>
          </cell>
          <cell r="C2839">
            <v>45715</v>
          </cell>
          <cell r="D2839" t="str">
            <v>یونس صاحب</v>
          </cell>
          <cell r="E2839" t="str">
            <v>ہیڈآفس لاہور</v>
          </cell>
        </row>
        <row r="2840">
          <cell r="A2840" t="str">
            <v>6674/19</v>
          </cell>
          <cell r="B2840">
            <v>6674</v>
          </cell>
          <cell r="C2840">
            <v>45715</v>
          </cell>
          <cell r="D2840" t="str">
            <v>یونس صاحب</v>
          </cell>
          <cell r="E2840" t="str">
            <v>ہیڈآفس لاہور</v>
          </cell>
        </row>
        <row r="2841">
          <cell r="A2841" t="str">
            <v>6675/1</v>
          </cell>
          <cell r="B2841">
            <v>6675</v>
          </cell>
          <cell r="C2841">
            <v>45715</v>
          </cell>
          <cell r="D2841" t="str">
            <v>یونس صاحب</v>
          </cell>
          <cell r="E2841" t="str">
            <v>راجکپور کریانہ سٹور گھوٹکی</v>
          </cell>
        </row>
        <row r="2842">
          <cell r="A2842" t="str">
            <v>6676/1</v>
          </cell>
          <cell r="B2842">
            <v>6676</v>
          </cell>
          <cell r="C2842">
            <v>45715</v>
          </cell>
          <cell r="D2842" t="str">
            <v>یونس صاحب</v>
          </cell>
          <cell r="E2842" t="str">
            <v>العرپلاسٹک گوجرانوالہ</v>
          </cell>
        </row>
        <row r="2843">
          <cell r="A2843" t="str">
            <v>6677/1</v>
          </cell>
          <cell r="B2843">
            <v>6677</v>
          </cell>
          <cell r="C2843">
            <v>45715</v>
          </cell>
          <cell r="D2843" t="str">
            <v>یونس صاحب</v>
          </cell>
          <cell r="E2843" t="str">
            <v>پپو لفافہ چیچہ وطنی</v>
          </cell>
        </row>
        <row r="2844">
          <cell r="A2844" t="str">
            <v>6677/2</v>
          </cell>
          <cell r="B2844">
            <v>6677</v>
          </cell>
          <cell r="C2844">
            <v>45715</v>
          </cell>
          <cell r="D2844" t="str">
            <v>یونس صاحب</v>
          </cell>
          <cell r="E2844" t="str">
            <v>پپو لفافہ چیچہ وطنی</v>
          </cell>
        </row>
        <row r="2845">
          <cell r="A2845" t="str">
            <v>6678/1</v>
          </cell>
          <cell r="B2845">
            <v>6678</v>
          </cell>
          <cell r="C2845">
            <v>45715</v>
          </cell>
          <cell r="D2845" t="str">
            <v>یونس صاحب</v>
          </cell>
          <cell r="E2845" t="str">
            <v>آصف پلاسٹک سرگودھا</v>
          </cell>
        </row>
        <row r="2846">
          <cell r="A2846" t="str">
            <v>6678/2</v>
          </cell>
          <cell r="B2846">
            <v>6678</v>
          </cell>
          <cell r="C2846">
            <v>45715</v>
          </cell>
          <cell r="D2846" t="str">
            <v>یونس صاحب</v>
          </cell>
          <cell r="E2846" t="str">
            <v>آصف پلاسٹک سرگودھا</v>
          </cell>
        </row>
        <row r="2847">
          <cell r="A2847" t="str">
            <v>6678/3</v>
          </cell>
          <cell r="B2847">
            <v>6678</v>
          </cell>
          <cell r="C2847">
            <v>45715</v>
          </cell>
          <cell r="D2847" t="str">
            <v>یونس صاحب</v>
          </cell>
          <cell r="E2847" t="str">
            <v>آصف پلاسٹک سرگودھا</v>
          </cell>
        </row>
        <row r="2848">
          <cell r="A2848" t="str">
            <v>6678/4</v>
          </cell>
          <cell r="B2848">
            <v>6678</v>
          </cell>
          <cell r="C2848">
            <v>45715</v>
          </cell>
          <cell r="D2848" t="str">
            <v>یونس صاحب</v>
          </cell>
          <cell r="E2848" t="str">
            <v>آصف پلاسٹک سرگودھا</v>
          </cell>
        </row>
        <row r="2849">
          <cell r="A2849" t="str">
            <v>6678/5</v>
          </cell>
          <cell r="B2849">
            <v>6678</v>
          </cell>
          <cell r="C2849">
            <v>45715</v>
          </cell>
          <cell r="D2849" t="str">
            <v>یونس صاحب</v>
          </cell>
          <cell r="E2849" t="str">
            <v>آصف پلاسٹک سرگودھا</v>
          </cell>
        </row>
        <row r="2850">
          <cell r="A2850" t="str">
            <v>6678/6</v>
          </cell>
          <cell r="B2850">
            <v>6678</v>
          </cell>
          <cell r="C2850">
            <v>45715</v>
          </cell>
          <cell r="D2850" t="str">
            <v>یونس صاحب</v>
          </cell>
          <cell r="E2850" t="str">
            <v>آصف پلاسٹک سرگودھا</v>
          </cell>
        </row>
        <row r="2851">
          <cell r="A2851" t="str">
            <v>6678/7</v>
          </cell>
          <cell r="B2851">
            <v>6678</v>
          </cell>
          <cell r="C2851">
            <v>45715</v>
          </cell>
          <cell r="D2851" t="str">
            <v>یونس صاحب</v>
          </cell>
          <cell r="E2851" t="str">
            <v>آصف پلاسٹک سرگودھا</v>
          </cell>
        </row>
        <row r="2852">
          <cell r="A2852" t="str">
            <v>6678/8</v>
          </cell>
          <cell r="B2852">
            <v>6678</v>
          </cell>
          <cell r="C2852">
            <v>45715</v>
          </cell>
          <cell r="D2852" t="str">
            <v>یونس صاحب</v>
          </cell>
          <cell r="E2852" t="str">
            <v>آصف پلاسٹک سرگودھا</v>
          </cell>
        </row>
        <row r="2853">
          <cell r="A2853" t="str">
            <v>6678/9</v>
          </cell>
          <cell r="B2853">
            <v>6678</v>
          </cell>
          <cell r="C2853">
            <v>45715</v>
          </cell>
          <cell r="D2853" t="str">
            <v>یونس صاحب</v>
          </cell>
          <cell r="E2853" t="str">
            <v>آصف پلاسٹک سرگودھا</v>
          </cell>
        </row>
        <row r="2854">
          <cell r="A2854" t="str">
            <v>6678/10</v>
          </cell>
          <cell r="B2854">
            <v>6678</v>
          </cell>
          <cell r="C2854">
            <v>45715</v>
          </cell>
          <cell r="D2854" t="str">
            <v>یونس صاحب</v>
          </cell>
          <cell r="E2854" t="str">
            <v>آصف پلاسٹک سرگودھا</v>
          </cell>
        </row>
        <row r="2855">
          <cell r="A2855" t="str">
            <v>6678/11</v>
          </cell>
          <cell r="B2855">
            <v>6678</v>
          </cell>
          <cell r="C2855">
            <v>45715</v>
          </cell>
          <cell r="D2855" t="str">
            <v>یونس صاحب</v>
          </cell>
          <cell r="E2855" t="str">
            <v>آصف پلاسٹک سرگودھا</v>
          </cell>
        </row>
        <row r="2856">
          <cell r="A2856" t="str">
            <v>6678/12</v>
          </cell>
          <cell r="B2856">
            <v>6678</v>
          </cell>
          <cell r="C2856">
            <v>45715</v>
          </cell>
          <cell r="D2856" t="str">
            <v>یونس صاحب</v>
          </cell>
          <cell r="E2856" t="str">
            <v>آصف پلاسٹک سرگودھا</v>
          </cell>
        </row>
        <row r="2857">
          <cell r="A2857" t="str">
            <v>6679/1</v>
          </cell>
          <cell r="B2857">
            <v>6679</v>
          </cell>
          <cell r="C2857">
            <v>45715</v>
          </cell>
          <cell r="D2857" t="str">
            <v>یونس صاحب</v>
          </cell>
          <cell r="E2857" t="str">
            <v>عبد A بورے والا</v>
          </cell>
        </row>
        <row r="2858">
          <cell r="A2858" t="str">
            <v>6679/2</v>
          </cell>
          <cell r="B2858">
            <v>6679</v>
          </cell>
          <cell r="C2858">
            <v>45715</v>
          </cell>
          <cell r="D2858" t="str">
            <v>یونس صاحب</v>
          </cell>
          <cell r="E2858" t="str">
            <v>عبد A بورے والا</v>
          </cell>
        </row>
        <row r="2859">
          <cell r="A2859" t="str">
            <v>6680/1</v>
          </cell>
          <cell r="B2859">
            <v>6680</v>
          </cell>
          <cell r="C2859">
            <v>45715</v>
          </cell>
          <cell r="D2859" t="str">
            <v>یونس صاحب</v>
          </cell>
          <cell r="E2859" t="str">
            <v>عمیر پلاسٹک وہازی</v>
          </cell>
        </row>
        <row r="2860">
          <cell r="A2860" t="str">
            <v>6680/2</v>
          </cell>
          <cell r="B2860">
            <v>6680</v>
          </cell>
          <cell r="C2860">
            <v>45715</v>
          </cell>
          <cell r="D2860" t="str">
            <v>یونس صاحب</v>
          </cell>
          <cell r="E2860" t="str">
            <v>عمیر پلاسٹک وہازی</v>
          </cell>
        </row>
        <row r="2861">
          <cell r="A2861" t="str">
            <v>6681/1</v>
          </cell>
          <cell r="B2861">
            <v>6681</v>
          </cell>
          <cell r="C2861">
            <v>45715</v>
          </cell>
          <cell r="D2861" t="str">
            <v>یونس صاحب</v>
          </cell>
          <cell r="E2861" t="str">
            <v>عمران مشتاق پتوکی</v>
          </cell>
        </row>
        <row r="2862">
          <cell r="A2862" t="str">
            <v>6681/2</v>
          </cell>
          <cell r="B2862">
            <v>6681</v>
          </cell>
          <cell r="C2862">
            <v>45715</v>
          </cell>
          <cell r="D2862" t="str">
            <v>یونس صاحب</v>
          </cell>
          <cell r="E2862" t="str">
            <v>عمران مشتاق پتوکی</v>
          </cell>
        </row>
        <row r="2863">
          <cell r="A2863" t="str">
            <v>6681/3</v>
          </cell>
          <cell r="B2863">
            <v>6681</v>
          </cell>
          <cell r="C2863">
            <v>45715</v>
          </cell>
          <cell r="D2863" t="str">
            <v>یونس صاحب</v>
          </cell>
          <cell r="E2863" t="str">
            <v>عمران مشتاق پتوکی</v>
          </cell>
        </row>
        <row r="2864">
          <cell r="A2864" t="str">
            <v>6681/4</v>
          </cell>
          <cell r="B2864">
            <v>6681</v>
          </cell>
          <cell r="C2864">
            <v>45715</v>
          </cell>
          <cell r="D2864" t="str">
            <v>یونس صاحب</v>
          </cell>
          <cell r="E2864" t="str">
            <v>عمران مشتاق پتوکی</v>
          </cell>
        </row>
        <row r="2865">
          <cell r="A2865" t="str">
            <v>6681/5</v>
          </cell>
          <cell r="B2865">
            <v>6681</v>
          </cell>
          <cell r="C2865">
            <v>45715</v>
          </cell>
          <cell r="D2865" t="str">
            <v>یونس صاحب</v>
          </cell>
          <cell r="E2865" t="str">
            <v>عمران مشتاق پتوکی</v>
          </cell>
        </row>
        <row r="2866">
          <cell r="A2866" t="str">
            <v>6681/6</v>
          </cell>
          <cell r="B2866">
            <v>6681</v>
          </cell>
          <cell r="C2866">
            <v>45715</v>
          </cell>
          <cell r="D2866" t="str">
            <v>یونس صاحب</v>
          </cell>
          <cell r="E2866" t="str">
            <v>عمران مشتاق پتوکی</v>
          </cell>
        </row>
        <row r="2867">
          <cell r="A2867" t="str">
            <v>6681/7</v>
          </cell>
          <cell r="B2867">
            <v>6681</v>
          </cell>
          <cell r="C2867">
            <v>45715</v>
          </cell>
          <cell r="D2867" t="str">
            <v>یونس صاحب</v>
          </cell>
          <cell r="E2867" t="str">
            <v>عمران مشتاق پتوکی</v>
          </cell>
        </row>
        <row r="2868">
          <cell r="A2868" t="str">
            <v>6681/8</v>
          </cell>
          <cell r="B2868">
            <v>6681</v>
          </cell>
          <cell r="C2868">
            <v>45715</v>
          </cell>
          <cell r="D2868" t="str">
            <v>یونس صاحب</v>
          </cell>
          <cell r="E2868" t="str">
            <v>عمران مشتاق پتوکی</v>
          </cell>
        </row>
        <row r="2869">
          <cell r="A2869" t="str">
            <v>6681/9</v>
          </cell>
          <cell r="B2869">
            <v>6681</v>
          </cell>
          <cell r="C2869">
            <v>45715</v>
          </cell>
          <cell r="D2869" t="str">
            <v>یونس صاحب</v>
          </cell>
          <cell r="E2869" t="str">
            <v>عمران مشتاق پتوکی</v>
          </cell>
        </row>
        <row r="2870">
          <cell r="A2870" t="str">
            <v>6681/10</v>
          </cell>
          <cell r="B2870">
            <v>6681</v>
          </cell>
          <cell r="C2870">
            <v>45715</v>
          </cell>
          <cell r="D2870" t="str">
            <v>یونس صاحب</v>
          </cell>
          <cell r="E2870" t="str">
            <v>عمران مشتاق پتوکی</v>
          </cell>
        </row>
        <row r="2871">
          <cell r="A2871" t="str">
            <v>6682/1</v>
          </cell>
          <cell r="B2871">
            <v>6682</v>
          </cell>
          <cell r="C2871">
            <v>45715</v>
          </cell>
          <cell r="D2871" t="str">
            <v>یونس صاحب</v>
          </cell>
          <cell r="E2871" t="str">
            <v>مقبول پرنٹر ہری پور</v>
          </cell>
        </row>
        <row r="2872">
          <cell r="A2872" t="str">
            <v>6682/2</v>
          </cell>
          <cell r="B2872">
            <v>6682</v>
          </cell>
          <cell r="C2872">
            <v>45715</v>
          </cell>
          <cell r="D2872" t="str">
            <v>یونس صاحب</v>
          </cell>
          <cell r="E2872" t="str">
            <v>مقبول پرنٹر ہری پور</v>
          </cell>
        </row>
        <row r="2873">
          <cell r="A2873" t="str">
            <v>6683/1</v>
          </cell>
          <cell r="B2873">
            <v>6683</v>
          </cell>
          <cell r="C2873">
            <v>45715</v>
          </cell>
          <cell r="D2873" t="str">
            <v>یونس صاحب</v>
          </cell>
          <cell r="E2873" t="str">
            <v>قیصرپلاسٹک وزیر آباد</v>
          </cell>
        </row>
        <row r="2874">
          <cell r="A2874" t="str">
            <v>6683/2</v>
          </cell>
          <cell r="B2874">
            <v>6683</v>
          </cell>
          <cell r="C2874">
            <v>45715</v>
          </cell>
          <cell r="D2874" t="str">
            <v>یونس صاحب</v>
          </cell>
          <cell r="E2874" t="str">
            <v>قیصرپلاسٹک وزیر آباد</v>
          </cell>
        </row>
        <row r="2875">
          <cell r="A2875" t="str">
            <v>6683/3</v>
          </cell>
          <cell r="B2875">
            <v>6683</v>
          </cell>
          <cell r="C2875">
            <v>45715</v>
          </cell>
          <cell r="D2875" t="str">
            <v>یونس صاحب</v>
          </cell>
          <cell r="E2875" t="str">
            <v>قیصرپلاسٹک وزیر آباد</v>
          </cell>
        </row>
        <row r="2876">
          <cell r="A2876" t="str">
            <v>6684/1</v>
          </cell>
          <cell r="B2876">
            <v>6684</v>
          </cell>
          <cell r="C2876">
            <v>45715</v>
          </cell>
          <cell r="D2876" t="str">
            <v>یونس صاحب</v>
          </cell>
          <cell r="E2876" t="str">
            <v>حاجی اسلماعیل وہاڑی</v>
          </cell>
        </row>
        <row r="2877">
          <cell r="A2877" t="str">
            <v>6684/2</v>
          </cell>
          <cell r="B2877">
            <v>6684</v>
          </cell>
          <cell r="C2877">
            <v>45715</v>
          </cell>
          <cell r="D2877" t="str">
            <v>یونس صاحب</v>
          </cell>
          <cell r="E2877" t="str">
            <v>حاجی اسلماعیل وہاڑی</v>
          </cell>
        </row>
        <row r="2878">
          <cell r="A2878" t="str">
            <v>6684/3</v>
          </cell>
          <cell r="B2878">
            <v>6684</v>
          </cell>
          <cell r="C2878">
            <v>45715</v>
          </cell>
          <cell r="D2878" t="str">
            <v>یونس صاحب</v>
          </cell>
          <cell r="E2878" t="str">
            <v>حاجی اسلماعیل وہاڑی</v>
          </cell>
        </row>
        <row r="2879">
          <cell r="A2879" t="str">
            <v>6684/4</v>
          </cell>
          <cell r="B2879">
            <v>6684</v>
          </cell>
          <cell r="C2879">
            <v>45715</v>
          </cell>
          <cell r="D2879" t="str">
            <v>یونس صاحب</v>
          </cell>
          <cell r="E2879" t="str">
            <v>حاجی اسلماعیل وہاڑی</v>
          </cell>
        </row>
        <row r="2880">
          <cell r="A2880" t="str">
            <v>6685/1</v>
          </cell>
          <cell r="B2880">
            <v>6685</v>
          </cell>
          <cell r="C2880">
            <v>45716</v>
          </cell>
          <cell r="D2880" t="str">
            <v>یونس صاحب</v>
          </cell>
          <cell r="E2880" t="str">
            <v>ایم دین  بند ل</v>
          </cell>
        </row>
        <row r="2881">
          <cell r="A2881" t="str">
            <v>6685/2</v>
          </cell>
          <cell r="B2881">
            <v>6685</v>
          </cell>
          <cell r="C2881">
            <v>45716</v>
          </cell>
          <cell r="D2881" t="str">
            <v>یونس صاحب</v>
          </cell>
          <cell r="E2881" t="str">
            <v>ایم دین  بند ل</v>
          </cell>
        </row>
        <row r="2882">
          <cell r="A2882" t="str">
            <v>6685/3</v>
          </cell>
          <cell r="B2882">
            <v>6685</v>
          </cell>
          <cell r="C2882">
            <v>45716</v>
          </cell>
          <cell r="D2882" t="str">
            <v>یونس صاحب</v>
          </cell>
          <cell r="E2882" t="str">
            <v>ایم دین  بند ل</v>
          </cell>
        </row>
        <row r="2883">
          <cell r="A2883" t="str">
            <v>6685/4</v>
          </cell>
          <cell r="B2883">
            <v>6685</v>
          </cell>
          <cell r="C2883">
            <v>45716</v>
          </cell>
          <cell r="D2883" t="str">
            <v>یونس صاحب</v>
          </cell>
          <cell r="E2883" t="str">
            <v>ایم دین  بند ل</v>
          </cell>
        </row>
        <row r="2884">
          <cell r="A2884" t="str">
            <v>6685/5</v>
          </cell>
          <cell r="B2884">
            <v>6685</v>
          </cell>
          <cell r="C2884">
            <v>45716</v>
          </cell>
          <cell r="D2884" t="str">
            <v>یونس صاحب</v>
          </cell>
          <cell r="E2884" t="str">
            <v>ایم دین  بند ل</v>
          </cell>
        </row>
        <row r="2885">
          <cell r="A2885" t="str">
            <v>6685/6</v>
          </cell>
          <cell r="B2885">
            <v>6685</v>
          </cell>
          <cell r="C2885">
            <v>45716</v>
          </cell>
          <cell r="D2885" t="str">
            <v>یونس صاحب</v>
          </cell>
          <cell r="E2885" t="str">
            <v>ایم دین  بند ل</v>
          </cell>
        </row>
        <row r="2886">
          <cell r="A2886" t="str">
            <v>6686/1</v>
          </cell>
          <cell r="B2886">
            <v>6686</v>
          </cell>
          <cell r="C2886">
            <v>45716</v>
          </cell>
          <cell r="D2886" t="str">
            <v>یونس صاحب</v>
          </cell>
          <cell r="E2886" t="str">
            <v>عزیز ٹریڈرز ہاؤس لاہور</v>
          </cell>
        </row>
        <row r="2887">
          <cell r="A2887" t="str">
            <v>6687/1</v>
          </cell>
          <cell r="B2887">
            <v>6687</v>
          </cell>
          <cell r="C2887">
            <v>45716</v>
          </cell>
          <cell r="D2887" t="str">
            <v>یونس صاحب</v>
          </cell>
          <cell r="E2887" t="str">
            <v>العرپلاسٹک گوجرانوالہ</v>
          </cell>
        </row>
        <row r="2888">
          <cell r="A2888" t="str">
            <v>6687/2</v>
          </cell>
          <cell r="B2888">
            <v>6687</v>
          </cell>
          <cell r="C2888">
            <v>45716</v>
          </cell>
          <cell r="D2888" t="str">
            <v>یونس صاحب</v>
          </cell>
          <cell r="E2888" t="str">
            <v>العرپلاسٹک گوجرانوالہ</v>
          </cell>
        </row>
        <row r="2889">
          <cell r="A2889" t="str">
            <v>6687/3</v>
          </cell>
          <cell r="B2889">
            <v>6687</v>
          </cell>
          <cell r="C2889">
            <v>45716</v>
          </cell>
          <cell r="D2889" t="str">
            <v>یونس صاحب</v>
          </cell>
          <cell r="E2889" t="str">
            <v>العرپلاسٹک گوجرانوالہ</v>
          </cell>
        </row>
        <row r="2890">
          <cell r="A2890" t="str">
            <v>6687/4</v>
          </cell>
          <cell r="B2890">
            <v>6687</v>
          </cell>
          <cell r="C2890">
            <v>45716</v>
          </cell>
          <cell r="D2890" t="str">
            <v>یونس صاحب</v>
          </cell>
          <cell r="E2890" t="str">
            <v>العرپلاسٹک گوجرانوالہ</v>
          </cell>
        </row>
        <row r="2891">
          <cell r="A2891" t="str">
            <v>6687/5</v>
          </cell>
          <cell r="B2891">
            <v>6687</v>
          </cell>
          <cell r="C2891">
            <v>45716</v>
          </cell>
          <cell r="D2891" t="str">
            <v>یونس صاحب</v>
          </cell>
          <cell r="E2891" t="str">
            <v>العرپلاسٹک گوجرانوالہ</v>
          </cell>
        </row>
        <row r="2892">
          <cell r="A2892" t="str">
            <v>6687/6</v>
          </cell>
          <cell r="B2892">
            <v>6687</v>
          </cell>
          <cell r="C2892">
            <v>45716</v>
          </cell>
          <cell r="D2892" t="str">
            <v>یونس صاحب</v>
          </cell>
          <cell r="E2892" t="str">
            <v>العرپلاسٹک گوجرانوالہ</v>
          </cell>
        </row>
        <row r="2893">
          <cell r="A2893" t="str">
            <v>6687/7</v>
          </cell>
          <cell r="B2893">
            <v>6687</v>
          </cell>
          <cell r="C2893">
            <v>45716</v>
          </cell>
          <cell r="D2893" t="str">
            <v>یونس صاحب</v>
          </cell>
          <cell r="E2893" t="str">
            <v>العرپلاسٹک گوجرانوالہ</v>
          </cell>
        </row>
        <row r="2894">
          <cell r="A2894" t="str">
            <v>6687/8</v>
          </cell>
          <cell r="B2894">
            <v>6687</v>
          </cell>
          <cell r="C2894">
            <v>45716</v>
          </cell>
          <cell r="D2894" t="str">
            <v>یونس صاحب</v>
          </cell>
          <cell r="E2894" t="str">
            <v>العرپلاسٹک گوجرانوالہ</v>
          </cell>
        </row>
        <row r="2895">
          <cell r="A2895" t="str">
            <v>6688/1</v>
          </cell>
          <cell r="B2895">
            <v>6688</v>
          </cell>
          <cell r="C2895">
            <v>45716</v>
          </cell>
          <cell r="D2895" t="str">
            <v>یونس صاحب</v>
          </cell>
          <cell r="E2895" t="str">
            <v>محبوب مقبول گوجرانوالہ</v>
          </cell>
        </row>
        <row r="2896">
          <cell r="A2896" t="str">
            <v>6688/2</v>
          </cell>
          <cell r="B2896">
            <v>6688</v>
          </cell>
          <cell r="C2896">
            <v>45716</v>
          </cell>
          <cell r="D2896" t="str">
            <v>یونس صاحب</v>
          </cell>
          <cell r="E2896" t="str">
            <v>محبوب مقبول گوجرانوالہ</v>
          </cell>
        </row>
        <row r="2897">
          <cell r="A2897" t="str">
            <v>6688/3</v>
          </cell>
          <cell r="B2897">
            <v>6688</v>
          </cell>
          <cell r="C2897">
            <v>45716</v>
          </cell>
          <cell r="D2897" t="str">
            <v>یونس صاحب</v>
          </cell>
          <cell r="E2897" t="str">
            <v>محبوب مقبول گوجرانوالہ</v>
          </cell>
        </row>
        <row r="2898">
          <cell r="A2898" t="str">
            <v>6688/4</v>
          </cell>
          <cell r="B2898">
            <v>6688</v>
          </cell>
          <cell r="C2898">
            <v>45716</v>
          </cell>
          <cell r="D2898" t="str">
            <v>یونس صاحب</v>
          </cell>
          <cell r="E2898" t="str">
            <v>محبوب مقبول گوجرانوالہ</v>
          </cell>
        </row>
        <row r="2899">
          <cell r="A2899" t="str">
            <v>6688/5</v>
          </cell>
          <cell r="B2899">
            <v>6688</v>
          </cell>
          <cell r="C2899">
            <v>45716</v>
          </cell>
          <cell r="D2899" t="str">
            <v>یونس صاحب</v>
          </cell>
          <cell r="E2899" t="str">
            <v>محبوب مقبول گوجرانوالہ</v>
          </cell>
        </row>
        <row r="2900">
          <cell r="A2900" t="str">
            <v>6689/1</v>
          </cell>
          <cell r="B2900">
            <v>6689</v>
          </cell>
          <cell r="C2900">
            <v>45716</v>
          </cell>
          <cell r="D2900" t="str">
            <v>یونس صاحب</v>
          </cell>
          <cell r="E2900" t="str">
            <v>عمران علی بہاولپور</v>
          </cell>
        </row>
        <row r="2901">
          <cell r="A2901" t="str">
            <v>6689/2</v>
          </cell>
          <cell r="B2901">
            <v>6689</v>
          </cell>
          <cell r="C2901">
            <v>45716</v>
          </cell>
          <cell r="D2901" t="str">
            <v>یونس صاحب</v>
          </cell>
          <cell r="E2901" t="str">
            <v>عمران علی بہاولپور</v>
          </cell>
        </row>
        <row r="2902">
          <cell r="A2902" t="str">
            <v>6689/3</v>
          </cell>
          <cell r="B2902">
            <v>6689</v>
          </cell>
          <cell r="C2902">
            <v>45716</v>
          </cell>
          <cell r="D2902" t="str">
            <v>یونس صاحب</v>
          </cell>
          <cell r="E2902" t="str">
            <v>عمران علی بہاولپور</v>
          </cell>
        </row>
        <row r="2903">
          <cell r="A2903" t="str">
            <v>6689/4</v>
          </cell>
          <cell r="B2903">
            <v>6689</v>
          </cell>
          <cell r="C2903">
            <v>45716</v>
          </cell>
          <cell r="D2903" t="str">
            <v>یونس صاحب</v>
          </cell>
          <cell r="E2903" t="str">
            <v>عمران علی بہاولپور</v>
          </cell>
        </row>
        <row r="2904">
          <cell r="A2904" t="str">
            <v>6690/1</v>
          </cell>
          <cell r="B2904">
            <v>6690</v>
          </cell>
          <cell r="C2904">
            <v>45716</v>
          </cell>
          <cell r="D2904" t="str">
            <v>یونس صاحب</v>
          </cell>
          <cell r="E2904" t="str">
            <v>786 لفافہ بورے والا</v>
          </cell>
        </row>
        <row r="2905">
          <cell r="A2905" t="str">
            <v>6690/2</v>
          </cell>
          <cell r="B2905">
            <v>6690</v>
          </cell>
          <cell r="C2905">
            <v>45716</v>
          </cell>
          <cell r="D2905" t="str">
            <v>یونس صاحب</v>
          </cell>
          <cell r="E2905" t="str">
            <v>786 لفافہ بورے والا</v>
          </cell>
        </row>
        <row r="2906">
          <cell r="A2906" t="str">
            <v>6690/3</v>
          </cell>
          <cell r="B2906">
            <v>6690</v>
          </cell>
          <cell r="C2906">
            <v>45716</v>
          </cell>
          <cell r="D2906" t="str">
            <v>یونس صاحب</v>
          </cell>
          <cell r="E2906" t="str">
            <v>786 لفافہ بورے والا</v>
          </cell>
        </row>
        <row r="2907">
          <cell r="A2907" t="str">
            <v>6691/1</v>
          </cell>
          <cell r="B2907">
            <v>6691</v>
          </cell>
          <cell r="C2907">
            <v>45716</v>
          </cell>
          <cell r="D2907" t="str">
            <v>یونس صاحب</v>
          </cell>
          <cell r="E2907" t="str">
            <v>ملک الطاف اعظم مارکیٹ</v>
          </cell>
        </row>
        <row r="2908">
          <cell r="A2908" t="str">
            <v>1173 J</v>
          </cell>
          <cell r="B2908">
            <v>11474</v>
          </cell>
          <cell r="C2908">
            <v>45717</v>
          </cell>
          <cell r="D2908" t="str">
            <v>JILANI</v>
          </cell>
          <cell r="E2908" t="str">
            <v>عثمان عارف بٹ گوجرانولہ</v>
          </cell>
        </row>
        <row r="2909">
          <cell r="A2909" t="str">
            <v>1174 J</v>
          </cell>
          <cell r="B2909">
            <v>11475</v>
          </cell>
          <cell r="C2909">
            <v>45717</v>
          </cell>
          <cell r="D2909" t="str">
            <v>JILANI</v>
          </cell>
          <cell r="E2909" t="str">
            <v>عثمان عارف بٹ گوجرانولہ</v>
          </cell>
        </row>
        <row r="2910">
          <cell r="A2910" t="str">
            <v>1175 J</v>
          </cell>
          <cell r="B2910">
            <v>11476</v>
          </cell>
          <cell r="C2910">
            <v>45717</v>
          </cell>
          <cell r="D2910" t="str">
            <v>JILANI</v>
          </cell>
          <cell r="E2910" t="str">
            <v>ملک عصمت سوپ مریدکے</v>
          </cell>
        </row>
        <row r="2911">
          <cell r="A2911" t="str">
            <v>1176 J</v>
          </cell>
          <cell r="B2911">
            <v>11476</v>
          </cell>
          <cell r="C2911">
            <v>45717</v>
          </cell>
          <cell r="D2911" t="str">
            <v>JILANI</v>
          </cell>
          <cell r="E2911" t="str">
            <v>ملک عصمت سوپ مریدکے</v>
          </cell>
        </row>
        <row r="2912">
          <cell r="A2912" t="str">
            <v>1177 J</v>
          </cell>
          <cell r="B2912">
            <v>11477</v>
          </cell>
          <cell r="C2912">
            <v>45717</v>
          </cell>
          <cell r="D2912" t="str">
            <v>JILANI</v>
          </cell>
          <cell r="E2912" t="str">
            <v>جحان ٹیکسائل شادمان لاہور</v>
          </cell>
        </row>
        <row r="2913">
          <cell r="A2913" t="str">
            <v>1178 J</v>
          </cell>
          <cell r="B2913">
            <v>11478</v>
          </cell>
          <cell r="C2913">
            <v>45717</v>
          </cell>
          <cell r="D2913" t="str">
            <v>JILANI</v>
          </cell>
          <cell r="E2913" t="str">
            <v>برانڈ ویلی لاہور</v>
          </cell>
        </row>
        <row r="2914">
          <cell r="A2914" t="str">
            <v>1179 J</v>
          </cell>
          <cell r="B2914">
            <v>11479</v>
          </cell>
          <cell r="C2914">
            <v>45717</v>
          </cell>
          <cell r="D2914" t="str">
            <v>JILANI</v>
          </cell>
          <cell r="E2914" t="str">
            <v>معظمی پلاسٹک ساہیوال</v>
          </cell>
        </row>
        <row r="2915">
          <cell r="A2915" t="str">
            <v>1180 J</v>
          </cell>
          <cell r="B2915">
            <v>11480</v>
          </cell>
          <cell r="C2915">
            <v>45717</v>
          </cell>
          <cell r="D2915" t="str">
            <v>JILANI</v>
          </cell>
          <cell r="E2915" t="str">
            <v>فینسی گارمنٹس کامونکی</v>
          </cell>
        </row>
        <row r="2916">
          <cell r="A2916" t="str">
            <v>1181 J</v>
          </cell>
          <cell r="B2916">
            <v>11481</v>
          </cell>
          <cell r="C2916">
            <v>45717</v>
          </cell>
          <cell r="D2916" t="str">
            <v>JILANI</v>
          </cell>
          <cell r="E2916" t="str">
            <v>فینسی گارمنٹس کامونکی</v>
          </cell>
        </row>
        <row r="2917">
          <cell r="A2917" t="str">
            <v>1182 J</v>
          </cell>
          <cell r="B2917">
            <v>11481</v>
          </cell>
          <cell r="C2917">
            <v>45717</v>
          </cell>
          <cell r="D2917" t="str">
            <v>JILANI</v>
          </cell>
          <cell r="E2917" t="str">
            <v>فینسی گارمنٹس کامونکی</v>
          </cell>
        </row>
        <row r="2918">
          <cell r="A2918" t="str">
            <v>1183 J</v>
          </cell>
          <cell r="B2918">
            <v>11482</v>
          </cell>
          <cell r="C2918">
            <v>45717</v>
          </cell>
          <cell r="D2918" t="str">
            <v>JILANI</v>
          </cell>
          <cell r="E2918" t="str">
            <v>فینسی گارمنٹس کامونکی</v>
          </cell>
        </row>
        <row r="2919">
          <cell r="A2919" t="str">
            <v>1184 J</v>
          </cell>
          <cell r="B2919">
            <v>11483</v>
          </cell>
          <cell r="C2919">
            <v>45717</v>
          </cell>
          <cell r="D2919" t="str">
            <v>JILANI</v>
          </cell>
          <cell r="E2919" t="str">
            <v>فینسی گارمنٹس کامونکی</v>
          </cell>
        </row>
        <row r="2920">
          <cell r="A2920" t="str">
            <v>1185 J</v>
          </cell>
          <cell r="B2920">
            <v>11483</v>
          </cell>
          <cell r="C2920">
            <v>45717</v>
          </cell>
          <cell r="D2920" t="str">
            <v>JILANI</v>
          </cell>
          <cell r="E2920" t="str">
            <v>فینسی گارمنٹس کامونکی</v>
          </cell>
        </row>
        <row r="2921">
          <cell r="A2921" t="str">
            <v>1186 J</v>
          </cell>
          <cell r="B2921"/>
          <cell r="C2921">
            <v>45719</v>
          </cell>
          <cell r="D2921" t="str">
            <v>JILANI</v>
          </cell>
          <cell r="E2921" t="str">
            <v>جیلانی پلاسٹک</v>
          </cell>
        </row>
        <row r="2922">
          <cell r="A2922" t="str">
            <v>1187 J</v>
          </cell>
          <cell r="B2922"/>
          <cell r="C2922">
            <v>45719</v>
          </cell>
          <cell r="D2922" t="str">
            <v>JILANI</v>
          </cell>
          <cell r="E2922" t="str">
            <v>جیلانی پلاسٹک</v>
          </cell>
        </row>
        <row r="2923">
          <cell r="A2923" t="str">
            <v>1188 J</v>
          </cell>
          <cell r="B2923"/>
          <cell r="C2923">
            <v>45719</v>
          </cell>
          <cell r="D2923" t="str">
            <v>JILANI</v>
          </cell>
          <cell r="E2923" t="str">
            <v>جیلانی پلاسٹک</v>
          </cell>
        </row>
        <row r="2924">
          <cell r="A2924" t="str">
            <v>1189 J</v>
          </cell>
          <cell r="B2924"/>
          <cell r="C2924">
            <v>45719</v>
          </cell>
          <cell r="D2924" t="str">
            <v>JILANI</v>
          </cell>
          <cell r="E2924" t="str">
            <v>NON WOVEN PLAIN</v>
          </cell>
        </row>
        <row r="2925">
          <cell r="A2925" t="str">
            <v>1171 F</v>
          </cell>
          <cell r="B2925"/>
          <cell r="C2925">
            <v>45691</v>
          </cell>
          <cell r="D2925" t="str">
            <v>فینا</v>
          </cell>
          <cell r="E2925" t="str">
            <v>عثمان امین</v>
          </cell>
        </row>
        <row r="2926">
          <cell r="A2926" t="str">
            <v>1172 F</v>
          </cell>
          <cell r="B2926"/>
          <cell r="C2926">
            <v>45691</v>
          </cell>
          <cell r="D2926" t="str">
            <v>فینا</v>
          </cell>
          <cell r="E2926" t="str">
            <v>عثمان امین</v>
          </cell>
        </row>
        <row r="2927">
          <cell r="A2927" t="str">
            <v>1173 F</v>
          </cell>
          <cell r="B2927"/>
          <cell r="C2927">
            <v>45691</v>
          </cell>
          <cell r="D2927" t="str">
            <v>فینا</v>
          </cell>
          <cell r="E2927" t="str">
            <v>عثمان امین</v>
          </cell>
        </row>
        <row r="2928">
          <cell r="A2928" t="str">
            <v>1174 F</v>
          </cell>
          <cell r="B2928"/>
          <cell r="C2928">
            <v>45691</v>
          </cell>
          <cell r="D2928" t="str">
            <v>فینا</v>
          </cell>
          <cell r="E2928" t="str">
            <v>عثمان امین</v>
          </cell>
        </row>
        <row r="2929">
          <cell r="A2929" t="str">
            <v>1175 F</v>
          </cell>
          <cell r="B2929"/>
          <cell r="C2929">
            <v>45692</v>
          </cell>
          <cell r="D2929" t="str">
            <v>فینا</v>
          </cell>
          <cell r="E2929" t="str">
            <v>عثمان امین</v>
          </cell>
        </row>
        <row r="2930">
          <cell r="A2930" t="str">
            <v>1176 F</v>
          </cell>
          <cell r="B2930"/>
          <cell r="C2930">
            <v>45692</v>
          </cell>
          <cell r="D2930" t="str">
            <v>فینا</v>
          </cell>
          <cell r="E2930" t="str">
            <v>عثمان امین</v>
          </cell>
        </row>
        <row r="2931">
          <cell r="A2931" t="str">
            <v>1177 F</v>
          </cell>
          <cell r="B2931"/>
          <cell r="C2931">
            <v>45692</v>
          </cell>
          <cell r="D2931" t="str">
            <v>فینا</v>
          </cell>
          <cell r="E2931" t="str">
            <v>عثمان امین</v>
          </cell>
        </row>
        <row r="2932">
          <cell r="A2932" t="str">
            <v>1178 F</v>
          </cell>
          <cell r="B2932"/>
          <cell r="C2932">
            <v>45692</v>
          </cell>
          <cell r="D2932" t="str">
            <v>فینا</v>
          </cell>
          <cell r="E2932" t="str">
            <v>عثمان امین</v>
          </cell>
        </row>
        <row r="2933">
          <cell r="A2933" t="str">
            <v>1179 F</v>
          </cell>
          <cell r="B2933"/>
          <cell r="C2933">
            <v>45692</v>
          </cell>
          <cell r="D2933" t="str">
            <v>فینا</v>
          </cell>
          <cell r="E2933" t="str">
            <v>عثمان امین</v>
          </cell>
        </row>
        <row r="2934">
          <cell r="A2934" t="str">
            <v>1180 F</v>
          </cell>
          <cell r="B2934"/>
          <cell r="C2934">
            <v>45692</v>
          </cell>
          <cell r="D2934" t="str">
            <v>فینا</v>
          </cell>
          <cell r="E2934" t="str">
            <v>عثمان امین</v>
          </cell>
        </row>
        <row r="2935">
          <cell r="A2935" t="str">
            <v>1181 F</v>
          </cell>
          <cell r="B2935"/>
          <cell r="C2935">
            <v>45692</v>
          </cell>
          <cell r="D2935" t="str">
            <v>فینا</v>
          </cell>
          <cell r="E2935" t="str">
            <v>عثمان امین</v>
          </cell>
        </row>
        <row r="2936">
          <cell r="A2936" t="str">
            <v>1182 F</v>
          </cell>
          <cell r="B2936"/>
          <cell r="C2936">
            <v>45692</v>
          </cell>
          <cell r="D2936" t="str">
            <v>فینا</v>
          </cell>
          <cell r="E2936" t="str">
            <v>عثمان امین</v>
          </cell>
        </row>
        <row r="2937">
          <cell r="A2937" t="str">
            <v>1183 F</v>
          </cell>
          <cell r="B2937"/>
          <cell r="C2937">
            <v>45692</v>
          </cell>
          <cell r="D2937" t="str">
            <v>فینا</v>
          </cell>
          <cell r="E2937" t="str">
            <v>عثمان امین</v>
          </cell>
        </row>
        <row r="2938">
          <cell r="A2938" t="str">
            <v>1184 F</v>
          </cell>
          <cell r="B2938"/>
          <cell r="C2938">
            <v>45692</v>
          </cell>
          <cell r="D2938" t="str">
            <v>فینا</v>
          </cell>
          <cell r="E2938" t="str">
            <v>عثمان امین</v>
          </cell>
        </row>
        <row r="2939">
          <cell r="A2939" t="str">
            <v>1185 F</v>
          </cell>
          <cell r="B2939"/>
          <cell r="C2939">
            <v>45692</v>
          </cell>
          <cell r="D2939" t="str">
            <v>فینا</v>
          </cell>
          <cell r="E2939" t="str">
            <v>عثمان امین</v>
          </cell>
        </row>
        <row r="2940">
          <cell r="A2940" t="str">
            <v>1186 F</v>
          </cell>
          <cell r="B2940"/>
          <cell r="C2940">
            <v>45692</v>
          </cell>
          <cell r="D2940" t="str">
            <v>فینا</v>
          </cell>
          <cell r="E2940" t="str">
            <v>عثمان امین</v>
          </cell>
        </row>
        <row r="2941">
          <cell r="A2941" t="str">
            <v>1187 F</v>
          </cell>
          <cell r="B2941"/>
          <cell r="C2941">
            <v>45692</v>
          </cell>
          <cell r="D2941" t="str">
            <v>فینا</v>
          </cell>
          <cell r="E2941" t="str">
            <v>عثمان امین</v>
          </cell>
        </row>
        <row r="2942">
          <cell r="A2942" t="str">
            <v>1188 F</v>
          </cell>
          <cell r="B2942"/>
          <cell r="C2942">
            <v>45693</v>
          </cell>
          <cell r="D2942" t="str">
            <v>فینا</v>
          </cell>
          <cell r="E2942" t="str">
            <v>عثمان امین</v>
          </cell>
        </row>
        <row r="2943">
          <cell r="A2943" t="str">
            <v>1189 F</v>
          </cell>
          <cell r="B2943"/>
          <cell r="C2943">
            <v>45693</v>
          </cell>
          <cell r="D2943" t="str">
            <v>فینا</v>
          </cell>
          <cell r="E2943" t="str">
            <v>عثمان امین</v>
          </cell>
        </row>
        <row r="2944">
          <cell r="A2944" t="str">
            <v>1190 F</v>
          </cell>
          <cell r="B2944"/>
          <cell r="C2944">
            <v>45693</v>
          </cell>
          <cell r="D2944" t="str">
            <v>فینا</v>
          </cell>
          <cell r="E2944" t="str">
            <v>عثمان امین</v>
          </cell>
        </row>
        <row r="2945">
          <cell r="A2945" t="str">
            <v>1190 J</v>
          </cell>
          <cell r="B2945">
            <v>11484</v>
          </cell>
          <cell r="C2945">
            <v>45720</v>
          </cell>
          <cell r="D2945" t="str">
            <v>JILANI</v>
          </cell>
          <cell r="E2945" t="str">
            <v>عرفان صاحب اعظم مارکیٹ لاہور</v>
          </cell>
        </row>
        <row r="2946">
          <cell r="A2946" t="str">
            <v>1191 J</v>
          </cell>
          <cell r="B2946">
            <v>11485</v>
          </cell>
          <cell r="C2946">
            <v>45719</v>
          </cell>
          <cell r="D2946" t="str">
            <v>JILANI</v>
          </cell>
          <cell r="E2946" t="str">
            <v>لیدر ٹیکس ٹینری</v>
          </cell>
        </row>
        <row r="2947">
          <cell r="A2947" t="str">
            <v>1192 J</v>
          </cell>
          <cell r="B2947">
            <v>11485</v>
          </cell>
          <cell r="C2947">
            <v>45719</v>
          </cell>
          <cell r="D2947" t="str">
            <v>JILANI</v>
          </cell>
          <cell r="E2947" t="str">
            <v>لیدر ٹیکس ٹینری</v>
          </cell>
        </row>
        <row r="2948">
          <cell r="A2948" t="str">
            <v>1193 J</v>
          </cell>
          <cell r="B2948">
            <v>11486</v>
          </cell>
          <cell r="C2948">
            <v>45719</v>
          </cell>
          <cell r="D2948" t="str">
            <v>JILANI</v>
          </cell>
          <cell r="E2948" t="str">
            <v>بولان پیسٹری کوئٹہ</v>
          </cell>
        </row>
        <row r="2949">
          <cell r="A2949" t="str">
            <v>1194 J</v>
          </cell>
          <cell r="B2949">
            <v>11487</v>
          </cell>
          <cell r="C2949">
            <v>45719</v>
          </cell>
          <cell r="D2949" t="str">
            <v>JILANI</v>
          </cell>
          <cell r="E2949" t="str">
            <v>گوہر ہوم اپلائنس گوجرانوالہ</v>
          </cell>
        </row>
        <row r="2950">
          <cell r="A2950" t="str">
            <v>1195 J</v>
          </cell>
          <cell r="B2950">
            <v>11488</v>
          </cell>
          <cell r="C2950">
            <v>45719</v>
          </cell>
          <cell r="D2950" t="str">
            <v>JILANI</v>
          </cell>
          <cell r="E2950" t="str">
            <v>عالم بیکرز شاہدرہ</v>
          </cell>
        </row>
        <row r="2951">
          <cell r="A2951" t="str">
            <v>1196 J</v>
          </cell>
          <cell r="B2951">
            <v>11488</v>
          </cell>
          <cell r="C2951">
            <v>45719</v>
          </cell>
          <cell r="D2951" t="str">
            <v>JILANI</v>
          </cell>
          <cell r="E2951" t="str">
            <v>عالم بیکرز شاہدرہ</v>
          </cell>
        </row>
        <row r="2952">
          <cell r="A2952" t="str">
            <v>1197 J</v>
          </cell>
          <cell r="B2952">
            <v>11488</v>
          </cell>
          <cell r="C2952">
            <v>45719</v>
          </cell>
          <cell r="D2952" t="str">
            <v>JILANI</v>
          </cell>
          <cell r="E2952" t="str">
            <v>عالم بیکرز شاہدرہ</v>
          </cell>
        </row>
        <row r="2953">
          <cell r="A2953" t="str">
            <v>1198 J</v>
          </cell>
          <cell r="B2953">
            <v>11488</v>
          </cell>
          <cell r="C2953">
            <v>45719</v>
          </cell>
          <cell r="D2953" t="str">
            <v>JILANI</v>
          </cell>
          <cell r="E2953" t="str">
            <v>عالم بیکرز شاہدرہ</v>
          </cell>
        </row>
        <row r="2954">
          <cell r="A2954" t="str">
            <v>1199 J</v>
          </cell>
          <cell r="B2954">
            <v>11489</v>
          </cell>
          <cell r="C2954">
            <v>45719</v>
          </cell>
          <cell r="D2954" t="str">
            <v>JILANI</v>
          </cell>
          <cell r="E2954" t="str">
            <v>ترکی شال ہاؤس لاہور</v>
          </cell>
        </row>
        <row r="2955">
          <cell r="A2955" t="str">
            <v>1200 J</v>
          </cell>
          <cell r="B2955">
            <v>11490</v>
          </cell>
          <cell r="C2955">
            <v>45719</v>
          </cell>
          <cell r="D2955" t="str">
            <v>JILANI</v>
          </cell>
          <cell r="E2955" t="str">
            <v>عرفان صاحب اعظم مارکیٹ</v>
          </cell>
        </row>
        <row r="2956">
          <cell r="A2956" t="str">
            <v>1201 J</v>
          </cell>
          <cell r="B2956">
            <v>11490</v>
          </cell>
          <cell r="C2956">
            <v>45719</v>
          </cell>
          <cell r="D2956" t="str">
            <v>JILANI</v>
          </cell>
          <cell r="E2956" t="str">
            <v>عرفان صاحب اعظم مارکیٹ</v>
          </cell>
        </row>
        <row r="2957">
          <cell r="A2957" t="str">
            <v>1202 J</v>
          </cell>
          <cell r="B2957">
            <v>11490</v>
          </cell>
          <cell r="C2957">
            <v>45719</v>
          </cell>
          <cell r="D2957" t="str">
            <v>JILANI</v>
          </cell>
          <cell r="E2957" t="str">
            <v>عرفان صاحب اعظم مارکیٹ</v>
          </cell>
        </row>
        <row r="2958">
          <cell r="A2958" t="str">
            <v>1203 J</v>
          </cell>
          <cell r="B2958">
            <v>11491</v>
          </cell>
          <cell r="C2958">
            <v>45719</v>
          </cell>
          <cell r="D2958" t="str">
            <v>JILANI</v>
          </cell>
          <cell r="E2958" t="str">
            <v>عرفان صاحب اعظم مارکیٹ</v>
          </cell>
        </row>
        <row r="2959">
          <cell r="A2959" t="str">
            <v>1204 J</v>
          </cell>
          <cell r="B2959">
            <v>11492</v>
          </cell>
          <cell r="C2959">
            <v>45719</v>
          </cell>
          <cell r="D2959" t="str">
            <v>JILANI</v>
          </cell>
          <cell r="E2959" t="str">
            <v>احسان بلال فیصل آباد</v>
          </cell>
        </row>
        <row r="2960">
          <cell r="A2960" t="str">
            <v>1205 J</v>
          </cell>
          <cell r="B2960">
            <v>11493</v>
          </cell>
          <cell r="C2960">
            <v>45719</v>
          </cell>
          <cell r="D2960" t="str">
            <v>JILANI</v>
          </cell>
          <cell r="E2960" t="str">
            <v>نصیر صاحب چنیوٹ</v>
          </cell>
        </row>
        <row r="2961">
          <cell r="A2961" t="str">
            <v>1206 J</v>
          </cell>
          <cell r="B2961">
            <v>11494</v>
          </cell>
          <cell r="C2961">
            <v>45719</v>
          </cell>
          <cell r="D2961" t="str">
            <v>JILANI</v>
          </cell>
          <cell r="E2961" t="str">
            <v>ایم کے بی پشاور</v>
          </cell>
        </row>
        <row r="2962">
          <cell r="A2962" t="str">
            <v>1207 J</v>
          </cell>
          <cell r="B2962">
            <v>11495</v>
          </cell>
          <cell r="C2962">
            <v>45719</v>
          </cell>
          <cell r="D2962" t="str">
            <v>JILANI</v>
          </cell>
          <cell r="E2962" t="str">
            <v>جمال خان شرقپور</v>
          </cell>
        </row>
        <row r="2963">
          <cell r="A2963" t="str">
            <v>1208 J</v>
          </cell>
          <cell r="B2963">
            <v>11495</v>
          </cell>
          <cell r="C2963">
            <v>45719</v>
          </cell>
          <cell r="D2963" t="str">
            <v>JILANI</v>
          </cell>
          <cell r="E2963" t="str">
            <v>جمال خان شرقپور</v>
          </cell>
        </row>
        <row r="2964">
          <cell r="A2964" t="str">
            <v>1209 J</v>
          </cell>
          <cell r="B2964">
            <v>11496</v>
          </cell>
          <cell r="C2964">
            <v>45719</v>
          </cell>
          <cell r="D2964" t="str">
            <v>JILANI</v>
          </cell>
          <cell r="E2964" t="str">
            <v>کیکس سنٹر اینڈ سویٹس لاہور</v>
          </cell>
        </row>
        <row r="2965">
          <cell r="A2965" t="str">
            <v>1210 J</v>
          </cell>
          <cell r="B2965">
            <v>11496</v>
          </cell>
          <cell r="C2965">
            <v>45719</v>
          </cell>
          <cell r="D2965" t="str">
            <v>JILANI</v>
          </cell>
          <cell r="E2965" t="str">
            <v>کیکس سنٹر اینڈ سویٹس لاہور</v>
          </cell>
        </row>
        <row r="2966">
          <cell r="A2966" t="str">
            <v>1211 J</v>
          </cell>
          <cell r="B2966">
            <v>11496</v>
          </cell>
          <cell r="C2966">
            <v>45719</v>
          </cell>
          <cell r="D2966" t="str">
            <v>JILANI</v>
          </cell>
          <cell r="E2966" t="str">
            <v>کیکس سنٹر اینڈ سویٹس لاہور</v>
          </cell>
        </row>
        <row r="2967">
          <cell r="A2967" t="str">
            <v>1213 J</v>
          </cell>
          <cell r="B2967">
            <v>11497</v>
          </cell>
          <cell r="C2967">
            <v>45719</v>
          </cell>
          <cell r="D2967" t="str">
            <v>JILANI</v>
          </cell>
          <cell r="E2967" t="str">
            <v>وسیم شاپر ہاوس اعظم مارکیٹ</v>
          </cell>
        </row>
        <row r="2968">
          <cell r="A2968" t="str">
            <v>1214 J</v>
          </cell>
          <cell r="B2968">
            <v>11498</v>
          </cell>
          <cell r="C2968">
            <v>45719</v>
          </cell>
          <cell r="D2968" t="str">
            <v>JILANI</v>
          </cell>
          <cell r="E2968" t="str">
            <v>وسیم شاپر ہاوس لاہور</v>
          </cell>
        </row>
        <row r="2969">
          <cell r="A2969" t="str">
            <v>1215 J</v>
          </cell>
          <cell r="B2969"/>
          <cell r="C2969">
            <v>45720</v>
          </cell>
          <cell r="D2969" t="str">
            <v>JILANI</v>
          </cell>
          <cell r="E2969" t="str">
            <v>جیلانی پولی سٹاک</v>
          </cell>
        </row>
        <row r="2970">
          <cell r="A2970">
            <v>2710</v>
          </cell>
          <cell r="B2970">
            <v>18112</v>
          </cell>
          <cell r="C2970">
            <v>45722</v>
          </cell>
          <cell r="D2970" t="str">
            <v>JILANI</v>
          </cell>
          <cell r="E2970" t="str">
            <v>ATOU PEK KALER SHA KARKO</v>
          </cell>
        </row>
        <row r="2971">
          <cell r="A2971">
            <v>2711</v>
          </cell>
          <cell r="B2971"/>
          <cell r="C2971">
            <v>45722</v>
          </cell>
          <cell r="D2971" t="str">
            <v>JILANI</v>
          </cell>
          <cell r="E2971" t="str">
            <v>JILANI POLY</v>
          </cell>
        </row>
        <row r="2972">
          <cell r="A2972" t="str">
            <v>1191 F</v>
          </cell>
          <cell r="B2972"/>
          <cell r="C2972">
            <v>45693</v>
          </cell>
          <cell r="D2972" t="str">
            <v>فینا</v>
          </cell>
          <cell r="E2972" t="str">
            <v>عثمان امین</v>
          </cell>
        </row>
        <row r="2973">
          <cell r="A2973" t="str">
            <v>1192 F</v>
          </cell>
          <cell r="B2973"/>
          <cell r="C2973">
            <v>45722</v>
          </cell>
          <cell r="D2973" t="str">
            <v>فینا</v>
          </cell>
          <cell r="E2973" t="str">
            <v>عثمان امین</v>
          </cell>
        </row>
        <row r="2974">
          <cell r="A2974" t="str">
            <v>1193 F</v>
          </cell>
          <cell r="B2974"/>
          <cell r="C2974">
            <v>45722</v>
          </cell>
          <cell r="D2974" t="str">
            <v>فینا</v>
          </cell>
          <cell r="E2974" t="str">
            <v>عثمان امین</v>
          </cell>
        </row>
        <row r="2975">
          <cell r="A2975" t="str">
            <v>1194 F</v>
          </cell>
          <cell r="B2975"/>
          <cell r="C2975">
            <v>45722</v>
          </cell>
          <cell r="D2975" t="str">
            <v>فینا</v>
          </cell>
          <cell r="E2975" t="str">
            <v>عثمان امین</v>
          </cell>
        </row>
        <row r="2976">
          <cell r="A2976" t="str">
            <v>1195 F</v>
          </cell>
          <cell r="B2976"/>
          <cell r="C2976">
            <v>45722</v>
          </cell>
          <cell r="D2976" t="str">
            <v>فینا</v>
          </cell>
          <cell r="E2976" t="str">
            <v>عثمان امین</v>
          </cell>
        </row>
        <row r="2977">
          <cell r="A2977" t="str">
            <v>1196 F</v>
          </cell>
          <cell r="B2977"/>
          <cell r="C2977">
            <v>45722</v>
          </cell>
          <cell r="D2977" t="str">
            <v>فینا</v>
          </cell>
          <cell r="E2977" t="str">
            <v>عثمان امین</v>
          </cell>
        </row>
        <row r="2978">
          <cell r="A2978" t="str">
            <v>1216 J</v>
          </cell>
          <cell r="B2978">
            <v>11499</v>
          </cell>
          <cell r="C2978">
            <v>45721</v>
          </cell>
          <cell r="D2978" t="str">
            <v>JILANI</v>
          </cell>
          <cell r="E2978" t="str">
            <v>احسان کاٹن پراڈکٹس</v>
          </cell>
        </row>
        <row r="2979">
          <cell r="A2979" t="str">
            <v>1217 J</v>
          </cell>
          <cell r="B2979">
            <v>11500</v>
          </cell>
          <cell r="C2979">
            <v>45721</v>
          </cell>
          <cell r="D2979" t="str">
            <v>JILANI</v>
          </cell>
          <cell r="E2979" t="str">
            <v>عالم پرنٹرز بٹ خیلہ</v>
          </cell>
        </row>
        <row r="2980">
          <cell r="A2980" t="str">
            <v>1218 J</v>
          </cell>
          <cell r="B2980">
            <v>11500</v>
          </cell>
          <cell r="C2980">
            <v>45721</v>
          </cell>
          <cell r="D2980" t="str">
            <v>JILANI</v>
          </cell>
          <cell r="E2980" t="str">
            <v>عالم پرنٹرز بٹ خیلہ</v>
          </cell>
        </row>
        <row r="2981">
          <cell r="A2981" t="str">
            <v>1219 J</v>
          </cell>
          <cell r="B2981">
            <v>11500</v>
          </cell>
          <cell r="C2981">
            <v>45721</v>
          </cell>
          <cell r="D2981" t="str">
            <v>JILANI</v>
          </cell>
          <cell r="E2981" t="str">
            <v>عالم پرنٹرز بٹ خیلہ</v>
          </cell>
        </row>
        <row r="2982">
          <cell r="A2982" t="str">
            <v>1220 J</v>
          </cell>
          <cell r="B2982">
            <v>11501</v>
          </cell>
          <cell r="C2982">
            <v>45721</v>
          </cell>
          <cell r="D2982" t="str">
            <v>JILANI</v>
          </cell>
          <cell r="E2982" t="str">
            <v>عالم پرنٹرز بٹ خیلہ</v>
          </cell>
        </row>
        <row r="2983">
          <cell r="A2983" t="str">
            <v>1221 J</v>
          </cell>
          <cell r="B2983">
            <v>11501</v>
          </cell>
          <cell r="C2983">
            <v>45721</v>
          </cell>
          <cell r="D2983" t="str">
            <v>JILANI</v>
          </cell>
          <cell r="E2983" t="str">
            <v>عالم پرنٹرز بٹ خیلہ</v>
          </cell>
        </row>
        <row r="2984">
          <cell r="A2984" t="str">
            <v>1222 J</v>
          </cell>
          <cell r="B2984">
            <v>11502</v>
          </cell>
          <cell r="C2984">
            <v>45721</v>
          </cell>
          <cell r="D2984" t="str">
            <v>JILANI</v>
          </cell>
          <cell r="E2984" t="str">
            <v>فینسی گارمنٹس کامونکی</v>
          </cell>
        </row>
        <row r="2985">
          <cell r="A2985" t="str">
            <v>1223 J</v>
          </cell>
          <cell r="B2985">
            <v>11503</v>
          </cell>
          <cell r="C2985">
            <v>45721</v>
          </cell>
          <cell r="D2985" t="str">
            <v>JILANI</v>
          </cell>
          <cell r="E2985" t="str">
            <v>فینسی گارمنٹس کامونکی</v>
          </cell>
        </row>
        <row r="2986">
          <cell r="A2986" t="str">
            <v>1224 J</v>
          </cell>
          <cell r="B2986">
            <v>11504</v>
          </cell>
          <cell r="C2986">
            <v>45721</v>
          </cell>
          <cell r="D2986" t="str">
            <v>JILANI</v>
          </cell>
          <cell r="E2986" t="str">
            <v>زاہد محمود شاہ عالم</v>
          </cell>
        </row>
        <row r="2987">
          <cell r="A2987" t="str">
            <v>1225 J</v>
          </cell>
          <cell r="B2987">
            <v>11505</v>
          </cell>
          <cell r="C2987">
            <v>45721</v>
          </cell>
          <cell r="D2987" t="str">
            <v>JILANI</v>
          </cell>
          <cell r="E2987" t="str">
            <v>وسیم شاپر ہاؤس لاہور</v>
          </cell>
        </row>
        <row r="2988">
          <cell r="A2988" t="str">
            <v>1226 J</v>
          </cell>
          <cell r="B2988">
            <v>11506</v>
          </cell>
          <cell r="C2988">
            <v>45721</v>
          </cell>
          <cell r="D2988" t="str">
            <v>JILANI</v>
          </cell>
          <cell r="E2988" t="str">
            <v>معیز ٹریڈرز غازی روڈ لاہور</v>
          </cell>
        </row>
        <row r="2989">
          <cell r="A2989" t="str">
            <v>1227 J</v>
          </cell>
          <cell r="B2989">
            <v>11507</v>
          </cell>
          <cell r="C2989">
            <v>45721</v>
          </cell>
          <cell r="D2989" t="str">
            <v>JILANI</v>
          </cell>
          <cell r="E2989" t="str">
            <v>ائیری فوڈ گوجرانوالہ</v>
          </cell>
        </row>
        <row r="2990">
          <cell r="A2990" t="str">
            <v>1228 J</v>
          </cell>
          <cell r="B2990">
            <v>11508</v>
          </cell>
          <cell r="C2990">
            <v>45721</v>
          </cell>
          <cell r="D2990" t="str">
            <v>JILANI</v>
          </cell>
          <cell r="E2990" t="str">
            <v>بندوخاں لاہور</v>
          </cell>
        </row>
        <row r="2991">
          <cell r="A2991" t="str">
            <v>1229 J</v>
          </cell>
          <cell r="B2991">
            <v>11509</v>
          </cell>
          <cell r="C2991">
            <v>45721</v>
          </cell>
          <cell r="D2991" t="str">
            <v>JILANI</v>
          </cell>
          <cell r="E2991" t="str">
            <v>شعیب آٹوز راولپنڈی</v>
          </cell>
        </row>
        <row r="2992">
          <cell r="A2992" t="str">
            <v>1230 J</v>
          </cell>
          <cell r="B2992">
            <v>11509</v>
          </cell>
          <cell r="C2992">
            <v>45721</v>
          </cell>
          <cell r="D2992" t="str">
            <v>JILANI</v>
          </cell>
          <cell r="E2992" t="str">
            <v>شعیب آٹوز راولپنڈی</v>
          </cell>
        </row>
        <row r="2993">
          <cell r="A2993" t="str">
            <v>1231 J</v>
          </cell>
          <cell r="B2993">
            <v>11510</v>
          </cell>
          <cell r="C2993">
            <v>45721</v>
          </cell>
          <cell r="D2993" t="str">
            <v>JILANI</v>
          </cell>
          <cell r="E2993" t="str">
            <v>شعیب آٹوز راولپنڈی</v>
          </cell>
        </row>
        <row r="2994">
          <cell r="A2994" t="str">
            <v>1232 J</v>
          </cell>
          <cell r="B2994">
            <v>11511</v>
          </cell>
          <cell r="C2994">
            <v>45721</v>
          </cell>
          <cell r="D2994" t="str">
            <v>JILANI</v>
          </cell>
          <cell r="E2994" t="str">
            <v>اشرف پلاسٹک جھنگ</v>
          </cell>
        </row>
        <row r="2995">
          <cell r="A2995" t="str">
            <v>1233 J</v>
          </cell>
          <cell r="B2995">
            <v>11511</v>
          </cell>
          <cell r="C2995">
            <v>45721</v>
          </cell>
          <cell r="D2995" t="str">
            <v>JILANI</v>
          </cell>
          <cell r="E2995" t="str">
            <v>اشرف پلاسٹک جھنگ</v>
          </cell>
        </row>
        <row r="2996">
          <cell r="A2996" t="str">
            <v>1234 J</v>
          </cell>
          <cell r="B2996">
            <v>11512</v>
          </cell>
          <cell r="C2996">
            <v>45721</v>
          </cell>
          <cell r="D2996" t="str">
            <v>JILANI</v>
          </cell>
          <cell r="E2996" t="str">
            <v>شیخ شیراز سیالکوٹ</v>
          </cell>
        </row>
        <row r="2997">
          <cell r="A2997" t="str">
            <v>1235 J</v>
          </cell>
          <cell r="B2997">
            <v>11513</v>
          </cell>
          <cell r="C2997">
            <v>45721</v>
          </cell>
          <cell r="D2997" t="str">
            <v>JILANI</v>
          </cell>
          <cell r="E2997" t="str">
            <v>زاہد منظور لاہور</v>
          </cell>
        </row>
        <row r="2998">
          <cell r="A2998" t="str">
            <v>1236 J</v>
          </cell>
          <cell r="B2998">
            <v>11513</v>
          </cell>
          <cell r="C2998">
            <v>45721</v>
          </cell>
          <cell r="D2998" t="str">
            <v>JILANI</v>
          </cell>
          <cell r="E2998" t="str">
            <v>زاہد منظور لاہور</v>
          </cell>
        </row>
        <row r="2999">
          <cell r="A2999" t="str">
            <v>1237 J</v>
          </cell>
          <cell r="B2999">
            <v>11513</v>
          </cell>
          <cell r="C2999">
            <v>45721</v>
          </cell>
          <cell r="D2999" t="str">
            <v>JILANI</v>
          </cell>
          <cell r="E2999" t="str">
            <v>زاہد منظور لاہور</v>
          </cell>
        </row>
        <row r="3000">
          <cell r="A3000" t="str">
            <v>1238 J</v>
          </cell>
          <cell r="B3000">
            <v>11514</v>
          </cell>
          <cell r="C3000">
            <v>45721</v>
          </cell>
          <cell r="D3000" t="str">
            <v>JILANI</v>
          </cell>
          <cell r="E3000" t="str">
            <v>پیزا بنک فاسٹ فوڈ کامونکی</v>
          </cell>
        </row>
        <row r="3001">
          <cell r="A3001" t="str">
            <v>1239 J</v>
          </cell>
          <cell r="B3001">
            <v>11514</v>
          </cell>
          <cell r="C3001">
            <v>45721</v>
          </cell>
          <cell r="D3001" t="str">
            <v>JILANI</v>
          </cell>
          <cell r="E3001" t="str">
            <v>پیزا بنک فاسٹ فوڈ کامونکی</v>
          </cell>
        </row>
        <row r="3002">
          <cell r="A3002" t="str">
            <v>1240 J</v>
          </cell>
          <cell r="B3002">
            <v>11515</v>
          </cell>
          <cell r="C3002">
            <v>45721</v>
          </cell>
          <cell r="D3002" t="str">
            <v>JILANI</v>
          </cell>
          <cell r="E3002" t="str">
            <v>پیزا بنک فاسٹ فوڈ کامونکی</v>
          </cell>
        </row>
        <row r="3003">
          <cell r="A3003" t="str">
            <v>1241 J</v>
          </cell>
          <cell r="B3003">
            <v>11515</v>
          </cell>
          <cell r="C3003">
            <v>45721</v>
          </cell>
          <cell r="D3003" t="str">
            <v>JILANI</v>
          </cell>
          <cell r="E3003" t="str">
            <v>پیزا بنک فاسٹ فوڈ کامونکی</v>
          </cell>
        </row>
        <row r="3004">
          <cell r="A3004" t="str">
            <v>1242 J</v>
          </cell>
          <cell r="B3004">
            <v>11515</v>
          </cell>
          <cell r="C3004">
            <v>45721</v>
          </cell>
          <cell r="D3004" t="str">
            <v>JILANI</v>
          </cell>
          <cell r="E3004" t="str">
            <v>پیزا بنک فاسٹ فوڈ کامونکی</v>
          </cell>
        </row>
        <row r="3005">
          <cell r="A3005" t="str">
            <v>1243 J</v>
          </cell>
          <cell r="B3005">
            <v>11516</v>
          </cell>
          <cell r="C3005">
            <v>45721</v>
          </cell>
          <cell r="D3005" t="str">
            <v>JILANI</v>
          </cell>
          <cell r="E3005" t="str">
            <v>مہران فوم انٹرپرائزیز پرائیوٹ لیمیٹڈ</v>
          </cell>
        </row>
        <row r="3006">
          <cell r="A3006" t="str">
            <v>1244 J</v>
          </cell>
          <cell r="B3006">
            <v>11517</v>
          </cell>
          <cell r="C3006">
            <v>45721</v>
          </cell>
          <cell r="D3006" t="str">
            <v>JILANI</v>
          </cell>
          <cell r="E3006" t="str">
            <v>ہدایت خان پشاور</v>
          </cell>
        </row>
        <row r="3007">
          <cell r="A3007" t="str">
            <v>1245 J</v>
          </cell>
          <cell r="B3007">
            <v>11517</v>
          </cell>
          <cell r="C3007">
            <v>45721</v>
          </cell>
          <cell r="D3007" t="str">
            <v>JILANI</v>
          </cell>
          <cell r="E3007" t="str">
            <v>ہدایت خان پشاور</v>
          </cell>
        </row>
        <row r="3008">
          <cell r="A3008" t="str">
            <v>1246 J</v>
          </cell>
          <cell r="B3008">
            <v>11517</v>
          </cell>
          <cell r="C3008">
            <v>45721</v>
          </cell>
          <cell r="D3008" t="str">
            <v>JILANI</v>
          </cell>
          <cell r="E3008" t="str">
            <v>ہدایت خان پشاور</v>
          </cell>
        </row>
        <row r="3009">
          <cell r="A3009" t="str">
            <v>1247 J</v>
          </cell>
          <cell r="B3009">
            <v>11517</v>
          </cell>
          <cell r="C3009">
            <v>45721</v>
          </cell>
          <cell r="D3009" t="str">
            <v>JILANI</v>
          </cell>
          <cell r="E3009" t="str">
            <v>ہدایت خان پشاور</v>
          </cell>
        </row>
        <row r="3010">
          <cell r="A3010" t="str">
            <v>1248 J</v>
          </cell>
          <cell r="B3010">
            <v>11518</v>
          </cell>
          <cell r="C3010">
            <v>45721</v>
          </cell>
          <cell r="D3010" t="str">
            <v>JILANI</v>
          </cell>
          <cell r="E3010" t="str">
            <v>عالم پرنٹرز بٹ خیلہ</v>
          </cell>
        </row>
        <row r="3011">
          <cell r="A3011" t="str">
            <v>1249 J</v>
          </cell>
          <cell r="B3011">
            <v>11519</v>
          </cell>
          <cell r="C3011">
            <v>45721</v>
          </cell>
          <cell r="D3011" t="str">
            <v>JILANI</v>
          </cell>
          <cell r="E3011" t="str">
            <v>قمر کلاتھ ہاؤس کروڑ</v>
          </cell>
        </row>
        <row r="3012">
          <cell r="A3012" t="str">
            <v>1250 J</v>
          </cell>
          <cell r="B3012">
            <v>11519</v>
          </cell>
          <cell r="C3012">
            <v>45721</v>
          </cell>
          <cell r="D3012" t="str">
            <v>JILANI</v>
          </cell>
          <cell r="E3012" t="str">
            <v>قمر کلاتھ ہاؤس کروڑ</v>
          </cell>
        </row>
        <row r="3013">
          <cell r="A3013" t="str">
            <v>1251 J</v>
          </cell>
          <cell r="B3013">
            <v>11520</v>
          </cell>
          <cell r="C3013">
            <v>45721</v>
          </cell>
          <cell r="D3013" t="str">
            <v>JILANI</v>
          </cell>
          <cell r="E3013" t="str">
            <v>بولان پیسٹری کوئٹہ</v>
          </cell>
        </row>
        <row r="3014">
          <cell r="A3014" t="str">
            <v>1252 J</v>
          </cell>
          <cell r="B3014">
            <v>11520</v>
          </cell>
          <cell r="C3014">
            <v>45721</v>
          </cell>
          <cell r="D3014" t="str">
            <v>JILANI</v>
          </cell>
          <cell r="E3014" t="str">
            <v>بولان پیسٹری کوئٹہ</v>
          </cell>
        </row>
        <row r="3015">
          <cell r="A3015" t="str">
            <v>1253 J</v>
          </cell>
          <cell r="B3015">
            <v>11521</v>
          </cell>
          <cell r="C3015">
            <v>45722</v>
          </cell>
          <cell r="D3015" t="str">
            <v>JILANI</v>
          </cell>
          <cell r="E3015" t="str">
            <v>بولان پیسٹری کوئٹہ</v>
          </cell>
        </row>
        <row r="3016">
          <cell r="A3016" t="str">
            <v>1254 J</v>
          </cell>
          <cell r="B3016">
            <v>11522</v>
          </cell>
          <cell r="C3016">
            <v>45722</v>
          </cell>
          <cell r="D3016" t="str">
            <v>JILANI</v>
          </cell>
          <cell r="E3016" t="str">
            <v>ملکرز ڈیریزسیالکوٹ</v>
          </cell>
        </row>
        <row r="3017">
          <cell r="A3017" t="str">
            <v>1255 J</v>
          </cell>
          <cell r="B3017">
            <v>11523</v>
          </cell>
          <cell r="C3017">
            <v>45722</v>
          </cell>
          <cell r="D3017" t="str">
            <v>JILANI</v>
          </cell>
          <cell r="E3017" t="str">
            <v>عالم پرنٹرز بٹ خیلہ</v>
          </cell>
        </row>
        <row r="3018">
          <cell r="A3018" t="str">
            <v>1256 J</v>
          </cell>
          <cell r="B3018">
            <v>11524</v>
          </cell>
          <cell r="C3018">
            <v>45722</v>
          </cell>
          <cell r="D3018" t="str">
            <v>JILANI</v>
          </cell>
          <cell r="E3018" t="str">
            <v>محبوب پرنٹرز گوجرانوالہ</v>
          </cell>
        </row>
        <row r="3019">
          <cell r="A3019" t="str">
            <v>1257 J</v>
          </cell>
          <cell r="B3019">
            <v>11525</v>
          </cell>
          <cell r="C3019">
            <v>45722</v>
          </cell>
          <cell r="D3019" t="str">
            <v>JILANI</v>
          </cell>
          <cell r="E3019" t="str">
            <v>افورڈ سپر سٹور لیہ</v>
          </cell>
        </row>
        <row r="3020">
          <cell r="A3020" t="str">
            <v>1258 J</v>
          </cell>
          <cell r="B3020">
            <v>11525</v>
          </cell>
          <cell r="C3020">
            <v>45722</v>
          </cell>
          <cell r="D3020" t="str">
            <v>JILANI</v>
          </cell>
          <cell r="E3020" t="str">
            <v>افورڈ سپر سٹور لیہ</v>
          </cell>
        </row>
        <row r="3021">
          <cell r="A3021" t="str">
            <v>1259 J</v>
          </cell>
          <cell r="B3021">
            <v>11526</v>
          </cell>
          <cell r="C3021">
            <v>45722</v>
          </cell>
          <cell r="D3021" t="str">
            <v>JILANI</v>
          </cell>
          <cell r="E3021" t="str">
            <v>ماجد منظور عوان ٹاؤن لاہور</v>
          </cell>
        </row>
        <row r="3022">
          <cell r="A3022" t="str">
            <v>1260 J</v>
          </cell>
          <cell r="B3022">
            <v>11527</v>
          </cell>
          <cell r="C3022">
            <v>45722</v>
          </cell>
          <cell r="D3022" t="str">
            <v>JILANI</v>
          </cell>
          <cell r="E3022" t="str">
            <v>گراسر ایپ لاہور</v>
          </cell>
        </row>
        <row r="3023">
          <cell r="A3023" t="str">
            <v>1261 J</v>
          </cell>
          <cell r="B3023">
            <v>11527</v>
          </cell>
          <cell r="C3023">
            <v>45722</v>
          </cell>
          <cell r="D3023" t="str">
            <v>JILANI</v>
          </cell>
          <cell r="E3023" t="str">
            <v>گراسر ایپ لاہور</v>
          </cell>
        </row>
        <row r="3024">
          <cell r="A3024" t="str">
            <v>1262 J</v>
          </cell>
          <cell r="B3024">
            <v>11528</v>
          </cell>
          <cell r="C3024">
            <v>45722</v>
          </cell>
          <cell r="D3024" t="str">
            <v>JILANI</v>
          </cell>
          <cell r="E3024" t="str">
            <v>توصیف بٹ گوجرانوالہ</v>
          </cell>
        </row>
        <row r="3025">
          <cell r="A3025" t="str">
            <v>1263 J</v>
          </cell>
          <cell r="B3025">
            <v>11528</v>
          </cell>
          <cell r="C3025">
            <v>45722</v>
          </cell>
          <cell r="D3025" t="str">
            <v>JILANI</v>
          </cell>
          <cell r="E3025" t="str">
            <v>توصیف بٹ گوجرانوالہ</v>
          </cell>
        </row>
        <row r="3026">
          <cell r="A3026" t="str">
            <v>1264 J</v>
          </cell>
          <cell r="B3026">
            <v>11528</v>
          </cell>
          <cell r="C3026">
            <v>45722</v>
          </cell>
          <cell r="D3026" t="str">
            <v>JILANI</v>
          </cell>
          <cell r="E3026" t="str">
            <v>توصیف بٹ گوجرانوالہ</v>
          </cell>
        </row>
        <row r="3027">
          <cell r="A3027" t="str">
            <v>1265 J</v>
          </cell>
          <cell r="B3027">
            <v>11528</v>
          </cell>
          <cell r="C3027">
            <v>45722</v>
          </cell>
          <cell r="D3027" t="str">
            <v>JILANI</v>
          </cell>
          <cell r="E3027" t="str">
            <v>توصیف بٹ گوجرانوالہ</v>
          </cell>
        </row>
        <row r="3028">
          <cell r="A3028" t="str">
            <v>1266 J</v>
          </cell>
          <cell r="B3028">
            <v>11529</v>
          </cell>
          <cell r="C3028">
            <v>45722</v>
          </cell>
          <cell r="D3028" t="str">
            <v>JILANI</v>
          </cell>
          <cell r="E3028" t="str">
            <v>نظر قمر پلاسٹک C/Oصابر پلاسٹک شاہدرہ</v>
          </cell>
        </row>
        <row r="3029">
          <cell r="A3029" t="str">
            <v>1267 J</v>
          </cell>
          <cell r="B3029">
            <v>11529</v>
          </cell>
          <cell r="C3029">
            <v>45722</v>
          </cell>
          <cell r="D3029" t="str">
            <v>JILANI</v>
          </cell>
          <cell r="E3029" t="str">
            <v>نظر قمر پلاسٹک C/Oصابر پلاسٹک شاہدرہ</v>
          </cell>
        </row>
        <row r="3030">
          <cell r="A3030" t="str">
            <v>1268 J</v>
          </cell>
          <cell r="B3030">
            <v>11529</v>
          </cell>
          <cell r="C3030">
            <v>45722</v>
          </cell>
          <cell r="D3030" t="str">
            <v>JILANI</v>
          </cell>
          <cell r="E3030" t="str">
            <v>نظر قمر پلاسٹک C/Oصابر پلاسٹک شاہدرہ</v>
          </cell>
        </row>
        <row r="3031">
          <cell r="A3031" t="str">
            <v>1269 J</v>
          </cell>
          <cell r="B3031">
            <v>11529</v>
          </cell>
          <cell r="C3031">
            <v>45722</v>
          </cell>
          <cell r="D3031" t="str">
            <v>JILANI</v>
          </cell>
          <cell r="E3031" t="str">
            <v>نظر قمر پلاسٹک C/Oصابر پلاسٹک شاہدرہ</v>
          </cell>
        </row>
        <row r="3032">
          <cell r="A3032" t="str">
            <v>1270 J</v>
          </cell>
          <cell r="B3032">
            <v>11529</v>
          </cell>
          <cell r="C3032">
            <v>45722</v>
          </cell>
          <cell r="D3032" t="str">
            <v>JILANI</v>
          </cell>
          <cell r="E3032" t="str">
            <v>نظر قمر پلاسٹک C/Oصابر پلاسٹک شاہدرہ</v>
          </cell>
        </row>
        <row r="3033">
          <cell r="A3033" t="str">
            <v>1271 J</v>
          </cell>
          <cell r="B3033">
            <v>11530</v>
          </cell>
          <cell r="C3033">
            <v>45722</v>
          </cell>
          <cell r="D3033" t="str">
            <v>JILANI</v>
          </cell>
          <cell r="E3033" t="str">
            <v xml:space="preserve">پاک الیکٹرون لیمیٹڈ  </v>
          </cell>
        </row>
        <row r="3034">
          <cell r="A3034" t="str">
            <v>1272 J</v>
          </cell>
          <cell r="B3034">
            <v>11530</v>
          </cell>
          <cell r="C3034">
            <v>45722</v>
          </cell>
          <cell r="D3034" t="str">
            <v>JILANI</v>
          </cell>
          <cell r="E3034" t="str">
            <v xml:space="preserve">پاک الیکٹرون لیمیٹڈ  </v>
          </cell>
        </row>
        <row r="3035">
          <cell r="A3035" t="str">
            <v>1273 J</v>
          </cell>
          <cell r="B3035">
            <v>11531</v>
          </cell>
          <cell r="C3035">
            <v>45722</v>
          </cell>
          <cell r="D3035" t="str">
            <v>JILANI</v>
          </cell>
          <cell r="E3035" t="str">
            <v xml:space="preserve">پاک الیکٹرون لیمیٹڈ  </v>
          </cell>
        </row>
        <row r="3036">
          <cell r="A3036" t="str">
            <v>1274 J</v>
          </cell>
          <cell r="B3036">
            <v>11532</v>
          </cell>
          <cell r="C3036">
            <v>45722</v>
          </cell>
          <cell r="D3036" t="str">
            <v>JILANI</v>
          </cell>
          <cell r="E3036" t="str">
            <v>ابراہیم فلٹر انڈسٹری(SMC.PVT.LTD)</v>
          </cell>
        </row>
        <row r="3037">
          <cell r="A3037" t="str">
            <v>1275 J</v>
          </cell>
          <cell r="B3037">
            <v>11533</v>
          </cell>
          <cell r="C3037">
            <v>45722</v>
          </cell>
          <cell r="D3037" t="str">
            <v>JILANI</v>
          </cell>
          <cell r="E3037" t="str">
            <v>پاک پلاسٹک لاہور</v>
          </cell>
        </row>
        <row r="3038">
          <cell r="A3038" t="str">
            <v>1276 J</v>
          </cell>
          <cell r="B3038">
            <v>11534</v>
          </cell>
          <cell r="C3038">
            <v>45722</v>
          </cell>
          <cell r="D3038" t="str">
            <v>JILANI</v>
          </cell>
          <cell r="E3038" t="str">
            <v>احسان کاٹن پراڈکٹس</v>
          </cell>
        </row>
        <row r="3039">
          <cell r="A3039" t="str">
            <v>1277 J</v>
          </cell>
          <cell r="B3039">
            <v>11535</v>
          </cell>
          <cell r="C3039">
            <v>45722</v>
          </cell>
          <cell r="D3039" t="str">
            <v>JILANI</v>
          </cell>
          <cell r="E3039" t="str">
            <v>احسان کاٹن پراڈکٹس</v>
          </cell>
        </row>
        <row r="3040">
          <cell r="A3040" t="str">
            <v>1278 J</v>
          </cell>
          <cell r="B3040">
            <v>11535</v>
          </cell>
          <cell r="C3040">
            <v>45722</v>
          </cell>
          <cell r="D3040" t="str">
            <v>JILANI</v>
          </cell>
          <cell r="E3040" t="str">
            <v>احسان کاٹن پراڈکٹس</v>
          </cell>
        </row>
        <row r="3041">
          <cell r="A3041" t="str">
            <v>1279 J</v>
          </cell>
          <cell r="B3041">
            <v>11536</v>
          </cell>
          <cell r="C3041">
            <v>45722</v>
          </cell>
          <cell r="D3041" t="str">
            <v>JILANI</v>
          </cell>
          <cell r="E3041" t="str">
            <v>عالم بیکرز شاہدرہ</v>
          </cell>
        </row>
        <row r="3042">
          <cell r="A3042" t="str">
            <v>1280 J</v>
          </cell>
          <cell r="B3042">
            <v>11536</v>
          </cell>
          <cell r="C3042">
            <v>45722</v>
          </cell>
          <cell r="D3042" t="str">
            <v>JILANI</v>
          </cell>
          <cell r="E3042" t="str">
            <v>عالم بیکرز شاہدرہ</v>
          </cell>
        </row>
        <row r="3043">
          <cell r="A3043" t="str">
            <v>1281 J</v>
          </cell>
          <cell r="B3043">
            <v>11536</v>
          </cell>
          <cell r="C3043">
            <v>45722</v>
          </cell>
          <cell r="D3043" t="str">
            <v>JILANI</v>
          </cell>
          <cell r="E3043" t="str">
            <v>عالم بیکرز شاہدرہ</v>
          </cell>
        </row>
        <row r="3044">
          <cell r="A3044" t="str">
            <v>1282 J</v>
          </cell>
          <cell r="B3044">
            <v>11536</v>
          </cell>
          <cell r="C3044">
            <v>45722</v>
          </cell>
          <cell r="D3044" t="str">
            <v>JILANI</v>
          </cell>
          <cell r="E3044" t="str">
            <v>عالم بیکرز شاہدرہ</v>
          </cell>
        </row>
        <row r="3045">
          <cell r="A3045" t="str">
            <v>1283 J</v>
          </cell>
          <cell r="B3045">
            <v>11537</v>
          </cell>
          <cell r="C3045">
            <v>45722</v>
          </cell>
          <cell r="D3045" t="str">
            <v>JILANI</v>
          </cell>
          <cell r="E3045" t="str">
            <v>نائیک انجینئرنگ ورکس گجرات</v>
          </cell>
        </row>
        <row r="3046">
          <cell r="A3046" t="str">
            <v>1284 J</v>
          </cell>
          <cell r="B3046">
            <v>11538</v>
          </cell>
          <cell r="C3046">
            <v>45722</v>
          </cell>
          <cell r="D3046" t="str">
            <v>JILANI</v>
          </cell>
          <cell r="E3046" t="str">
            <v>اٹلس ہنڈا لمیٹڈ شیخوپورہ</v>
          </cell>
        </row>
        <row r="3047">
          <cell r="A3047" t="str">
            <v>1285 J</v>
          </cell>
          <cell r="B3047">
            <v>11539</v>
          </cell>
          <cell r="C3047">
            <v>45722</v>
          </cell>
          <cell r="D3047" t="str">
            <v>JILANI</v>
          </cell>
          <cell r="E3047" t="str">
            <v>اٹلس ہنڈا لمیٹڈ شیخوپورہ</v>
          </cell>
        </row>
        <row r="3048">
          <cell r="A3048" t="str">
            <v>1286 J</v>
          </cell>
          <cell r="B3048">
            <v>11540</v>
          </cell>
          <cell r="C3048">
            <v>45722</v>
          </cell>
          <cell r="D3048" t="str">
            <v>JILANI</v>
          </cell>
          <cell r="E3048" t="str">
            <v>اٹلس ہنڈا لمیٹڈ شیخوپورہ</v>
          </cell>
        </row>
        <row r="3049">
          <cell r="A3049" t="str">
            <v>1287 J</v>
          </cell>
          <cell r="B3049">
            <v>11541</v>
          </cell>
          <cell r="C3049">
            <v>45722</v>
          </cell>
          <cell r="D3049" t="str">
            <v>JILANI</v>
          </cell>
          <cell r="E3049" t="str">
            <v>اٹلس ہنڈا لمیٹڈ شیخوپورہ</v>
          </cell>
        </row>
        <row r="3050">
          <cell r="A3050" t="str">
            <v>1288 J</v>
          </cell>
          <cell r="B3050">
            <v>11542</v>
          </cell>
          <cell r="C3050">
            <v>45722</v>
          </cell>
          <cell r="D3050" t="str">
            <v>JILANI</v>
          </cell>
          <cell r="E3050" t="str">
            <v>اٹلس ہنڈا لمیٹڈ شیخوپورہ</v>
          </cell>
        </row>
        <row r="3051">
          <cell r="A3051" t="str">
            <v>1289 J</v>
          </cell>
          <cell r="B3051">
            <v>11543</v>
          </cell>
          <cell r="C3051">
            <v>45722</v>
          </cell>
          <cell r="D3051" t="str">
            <v>JILANI</v>
          </cell>
          <cell r="E3051" t="str">
            <v>کیکس اینڈ بیکس لاہور</v>
          </cell>
        </row>
        <row r="3052">
          <cell r="A3052" t="str">
            <v>1290 J</v>
          </cell>
          <cell r="B3052">
            <v>11544</v>
          </cell>
          <cell r="C3052">
            <v>45722</v>
          </cell>
          <cell r="D3052" t="str">
            <v>JILANI</v>
          </cell>
          <cell r="E3052" t="str">
            <v>کیکس اینڈ بیکس لاہور</v>
          </cell>
        </row>
        <row r="3053">
          <cell r="A3053" t="str">
            <v>1291 J</v>
          </cell>
          <cell r="B3053">
            <v>11545</v>
          </cell>
          <cell r="C3053">
            <v>45722</v>
          </cell>
          <cell r="D3053" t="str">
            <v>JILANI</v>
          </cell>
          <cell r="E3053" t="str">
            <v>کیکس اینڈ بیکس لاہور</v>
          </cell>
        </row>
        <row r="3054">
          <cell r="A3054" t="str">
            <v>1292 J</v>
          </cell>
          <cell r="B3054">
            <v>11546</v>
          </cell>
          <cell r="C3054">
            <v>45722</v>
          </cell>
          <cell r="D3054" t="str">
            <v>JILANI</v>
          </cell>
          <cell r="E3054" t="str">
            <v>کیکس اینڈ بیکس لاہور</v>
          </cell>
        </row>
        <row r="3055">
          <cell r="A3055" t="str">
            <v>1293 J</v>
          </cell>
          <cell r="B3055">
            <v>11546</v>
          </cell>
          <cell r="C3055">
            <v>45722</v>
          </cell>
          <cell r="D3055" t="str">
            <v>JILANI</v>
          </cell>
          <cell r="E3055" t="str">
            <v>کیکس اینڈ بیکس لاہور</v>
          </cell>
        </row>
        <row r="3056">
          <cell r="A3056" t="str">
            <v>1294 J</v>
          </cell>
          <cell r="B3056">
            <v>11547</v>
          </cell>
          <cell r="C3056">
            <v>45722</v>
          </cell>
          <cell r="D3056" t="str">
            <v>JILANI</v>
          </cell>
          <cell r="E3056" t="str">
            <v>کیکس اینڈ بیکس لاہور</v>
          </cell>
        </row>
        <row r="3057">
          <cell r="A3057" t="str">
            <v>1295 J</v>
          </cell>
          <cell r="B3057">
            <v>11547</v>
          </cell>
          <cell r="C3057">
            <v>45722</v>
          </cell>
          <cell r="D3057" t="str">
            <v>JILANI</v>
          </cell>
          <cell r="E3057" t="str">
            <v>کیکس اینڈ بیکس لاہور</v>
          </cell>
        </row>
        <row r="3058">
          <cell r="A3058" t="str">
            <v>1296 J</v>
          </cell>
          <cell r="B3058">
            <v>11547</v>
          </cell>
          <cell r="C3058">
            <v>45722</v>
          </cell>
          <cell r="D3058" t="str">
            <v>JILANI</v>
          </cell>
          <cell r="E3058" t="str">
            <v>کیکس اینڈ بیکس لاہور</v>
          </cell>
        </row>
        <row r="3059">
          <cell r="A3059" t="str">
            <v>1297 J</v>
          </cell>
          <cell r="B3059"/>
          <cell r="C3059">
            <v>45722</v>
          </cell>
          <cell r="D3059" t="str">
            <v>OTHERS</v>
          </cell>
          <cell r="E3059" t="str">
            <v>پاک چائنہ کیمیکل پرائیویٹ لمیٹڈ</v>
          </cell>
        </row>
        <row r="3060">
          <cell r="A3060" t="str">
            <v>1298 J</v>
          </cell>
          <cell r="B3060"/>
          <cell r="C3060">
            <v>45722</v>
          </cell>
          <cell r="D3060" t="str">
            <v>OTHERS</v>
          </cell>
          <cell r="E3060" t="str">
            <v>پاک چائنہ کیمیکل پرائیویٹ لمیٹڈ</v>
          </cell>
        </row>
        <row r="3061">
          <cell r="A3061" t="str">
            <v>1299 J</v>
          </cell>
          <cell r="B3061"/>
          <cell r="C3061">
            <v>45722</v>
          </cell>
          <cell r="D3061" t="str">
            <v>OTHERS</v>
          </cell>
          <cell r="E3061" t="str">
            <v>پاک چائنہ کیمیکل پرائیویٹ لمیٹڈ</v>
          </cell>
        </row>
        <row r="3062">
          <cell r="A3062" t="str">
            <v>1300 J</v>
          </cell>
          <cell r="B3062"/>
          <cell r="C3062">
            <v>45722</v>
          </cell>
          <cell r="D3062" t="str">
            <v>OTHERS</v>
          </cell>
          <cell r="E3062" t="str">
            <v>پاک چائنہ کیمیکل پرائیویٹ لمیٹڈ</v>
          </cell>
        </row>
        <row r="3063">
          <cell r="A3063" t="str">
            <v>1301 J</v>
          </cell>
          <cell r="B3063"/>
          <cell r="C3063">
            <v>45722</v>
          </cell>
          <cell r="D3063" t="str">
            <v>OTHERS</v>
          </cell>
          <cell r="E3063" t="str">
            <v>جیلانی پولی سٹاک</v>
          </cell>
        </row>
        <row r="3064">
          <cell r="A3064" t="str">
            <v>1302 J</v>
          </cell>
          <cell r="B3064"/>
          <cell r="C3064">
            <v>45722</v>
          </cell>
          <cell r="D3064" t="str">
            <v>OTHERS</v>
          </cell>
          <cell r="E3064" t="str">
            <v>جیلانی پولی سٹاک</v>
          </cell>
        </row>
        <row r="3065">
          <cell r="A3065" t="str">
            <v>1303 J</v>
          </cell>
          <cell r="B3065">
            <v>11548</v>
          </cell>
          <cell r="C3065">
            <v>45722</v>
          </cell>
          <cell r="D3065" t="str">
            <v>JILANI</v>
          </cell>
          <cell r="E3065" t="str">
            <v>سمارٹ کیش اینڈ کیری نور کوٹ</v>
          </cell>
        </row>
        <row r="3066">
          <cell r="A3066" t="str">
            <v>1304 J</v>
          </cell>
          <cell r="B3066">
            <v>11548</v>
          </cell>
          <cell r="C3066">
            <v>45722</v>
          </cell>
          <cell r="D3066" t="str">
            <v>JILANI</v>
          </cell>
          <cell r="E3066" t="str">
            <v>سمارٹ کیش اینڈ کیری نور کوٹ</v>
          </cell>
        </row>
        <row r="3067">
          <cell r="A3067" t="str">
            <v>1305 J</v>
          </cell>
          <cell r="B3067">
            <v>11549</v>
          </cell>
          <cell r="C3067">
            <v>45722</v>
          </cell>
          <cell r="D3067" t="str">
            <v>JILANI</v>
          </cell>
          <cell r="E3067" t="str">
            <v>شاہدطفیل ڈسکہ</v>
          </cell>
        </row>
        <row r="3068">
          <cell r="A3068" t="str">
            <v>1306 J</v>
          </cell>
          <cell r="B3068">
            <v>11549</v>
          </cell>
          <cell r="C3068">
            <v>45722</v>
          </cell>
          <cell r="D3068" t="str">
            <v>JILANI</v>
          </cell>
          <cell r="E3068" t="str">
            <v>شاہدطفیل ڈسکہ</v>
          </cell>
        </row>
        <row r="3069">
          <cell r="A3069" t="str">
            <v>1307 J</v>
          </cell>
          <cell r="B3069">
            <v>11550</v>
          </cell>
          <cell r="C3069">
            <v>45722</v>
          </cell>
          <cell r="D3069" t="str">
            <v>JILANI</v>
          </cell>
          <cell r="E3069" t="str">
            <v>زاہد صاحب شکرگڑھ</v>
          </cell>
        </row>
        <row r="3070">
          <cell r="A3070" t="str">
            <v>1308 J</v>
          </cell>
          <cell r="B3070">
            <v>11550</v>
          </cell>
          <cell r="C3070">
            <v>45722</v>
          </cell>
          <cell r="D3070" t="str">
            <v>JILANI</v>
          </cell>
          <cell r="E3070" t="str">
            <v>زاہد صاحب شکرگڑھ</v>
          </cell>
        </row>
        <row r="3071">
          <cell r="A3071" t="str">
            <v>1309 J</v>
          </cell>
          <cell r="B3071">
            <v>11551</v>
          </cell>
          <cell r="C3071">
            <v>45722</v>
          </cell>
          <cell r="D3071" t="str">
            <v>JILANI</v>
          </cell>
          <cell r="E3071" t="str">
            <v>حافظ تنویر ظفروال</v>
          </cell>
        </row>
        <row r="3072">
          <cell r="A3072" t="str">
            <v>1310 J</v>
          </cell>
          <cell r="B3072">
            <v>11551</v>
          </cell>
          <cell r="C3072">
            <v>45722</v>
          </cell>
          <cell r="D3072" t="str">
            <v>JILANI</v>
          </cell>
          <cell r="E3072" t="str">
            <v>حافظ تنویر ظفروال</v>
          </cell>
        </row>
        <row r="3073">
          <cell r="A3073" t="str">
            <v>1311 J</v>
          </cell>
          <cell r="B3073">
            <v>11552</v>
          </cell>
          <cell r="C3073">
            <v>45722</v>
          </cell>
          <cell r="D3073" t="str">
            <v>JILANI</v>
          </cell>
          <cell r="E3073" t="str">
            <v>اے وائے کینز لاہور</v>
          </cell>
        </row>
        <row r="3074">
          <cell r="A3074" t="str">
            <v>1312 J</v>
          </cell>
          <cell r="B3074">
            <v>11553</v>
          </cell>
          <cell r="C3074">
            <v>45722</v>
          </cell>
          <cell r="D3074" t="str">
            <v>JILANI</v>
          </cell>
          <cell r="E3074" t="str">
            <v>سروس انڈسٹری گجرات</v>
          </cell>
        </row>
        <row r="3075">
          <cell r="A3075" t="str">
            <v>1313 J</v>
          </cell>
          <cell r="B3075">
            <v>11554</v>
          </cell>
          <cell r="C3075">
            <v>45722</v>
          </cell>
          <cell r="D3075" t="str">
            <v>JILANI</v>
          </cell>
          <cell r="E3075" t="str">
            <v>سروس انڈسٹری گجرات</v>
          </cell>
        </row>
        <row r="3076">
          <cell r="A3076" t="str">
            <v>1314 J</v>
          </cell>
          <cell r="B3076">
            <v>11555</v>
          </cell>
          <cell r="C3076">
            <v>45722</v>
          </cell>
          <cell r="D3076" t="str">
            <v>JILANI</v>
          </cell>
          <cell r="E3076" t="str">
            <v>یو ایس ڈینم ملز پرائیویٹ لیمیٹڈ</v>
          </cell>
        </row>
        <row r="3077">
          <cell r="A3077" t="str">
            <v>1315 J</v>
          </cell>
          <cell r="B3077">
            <v>11556</v>
          </cell>
          <cell r="C3077">
            <v>45722</v>
          </cell>
          <cell r="D3077" t="str">
            <v>JILANI</v>
          </cell>
          <cell r="E3077" t="str">
            <v>عالم پرنٹرز بٹ خیلہ</v>
          </cell>
        </row>
        <row r="3078">
          <cell r="A3078" t="str">
            <v>1316 J</v>
          </cell>
          <cell r="B3078">
            <v>11556</v>
          </cell>
          <cell r="C3078">
            <v>45722</v>
          </cell>
          <cell r="D3078" t="str">
            <v>JILANI</v>
          </cell>
          <cell r="E3078" t="str">
            <v>عالم پرنٹرز بٹ خیلہ</v>
          </cell>
        </row>
        <row r="3079">
          <cell r="A3079" t="str">
            <v>1317 J</v>
          </cell>
          <cell r="B3079">
            <v>11556</v>
          </cell>
          <cell r="C3079">
            <v>45722</v>
          </cell>
          <cell r="D3079" t="str">
            <v>JILANI</v>
          </cell>
          <cell r="E3079" t="str">
            <v>عالم پرنٹرز بٹ خیلہ</v>
          </cell>
        </row>
        <row r="3080">
          <cell r="A3080" t="str">
            <v>1197 F</v>
          </cell>
          <cell r="B3080"/>
          <cell r="C3080">
            <v>45724</v>
          </cell>
          <cell r="D3080" t="str">
            <v>فینا</v>
          </cell>
          <cell r="E3080" t="str">
            <v>عثمان امین</v>
          </cell>
        </row>
        <row r="3081">
          <cell r="A3081" t="str">
            <v>1198 F</v>
          </cell>
          <cell r="B3081"/>
          <cell r="C3081">
            <v>45724</v>
          </cell>
          <cell r="D3081" t="str">
            <v>فینا</v>
          </cell>
          <cell r="E3081" t="str">
            <v>عثمان امین</v>
          </cell>
        </row>
        <row r="3082">
          <cell r="A3082" t="str">
            <v>1199 F</v>
          </cell>
          <cell r="B3082"/>
          <cell r="C3082">
            <v>45724</v>
          </cell>
          <cell r="D3082" t="str">
            <v>فینا</v>
          </cell>
          <cell r="E3082" t="str">
            <v>عثمان امین</v>
          </cell>
        </row>
        <row r="3083">
          <cell r="A3083" t="str">
            <v>1200 F</v>
          </cell>
          <cell r="B3083"/>
          <cell r="C3083">
            <v>45724</v>
          </cell>
          <cell r="D3083" t="str">
            <v>فینا</v>
          </cell>
          <cell r="E3083" t="str">
            <v>عثمان امین</v>
          </cell>
        </row>
        <row r="3084">
          <cell r="A3084" t="str">
            <v>1201 F</v>
          </cell>
          <cell r="B3084"/>
          <cell r="C3084">
            <v>45724</v>
          </cell>
          <cell r="D3084" t="str">
            <v>فینا</v>
          </cell>
          <cell r="E3084" t="str">
            <v>عثمان امین</v>
          </cell>
        </row>
        <row r="3085">
          <cell r="A3085" t="str">
            <v>1202 F</v>
          </cell>
          <cell r="B3085"/>
          <cell r="C3085">
            <v>45724</v>
          </cell>
          <cell r="D3085" t="str">
            <v>فینا</v>
          </cell>
          <cell r="E3085" t="str">
            <v>عثمان امین</v>
          </cell>
        </row>
        <row r="3086">
          <cell r="A3086" t="str">
            <v>1203 F</v>
          </cell>
          <cell r="B3086"/>
          <cell r="C3086">
            <v>45724</v>
          </cell>
          <cell r="D3086" t="str">
            <v>فینا</v>
          </cell>
          <cell r="E3086" t="str">
            <v>عثمان امین</v>
          </cell>
        </row>
        <row r="3087">
          <cell r="A3087" t="str">
            <v>1204 F</v>
          </cell>
          <cell r="B3087"/>
          <cell r="C3087">
            <v>45724</v>
          </cell>
          <cell r="D3087" t="str">
            <v>فینا</v>
          </cell>
          <cell r="E3087" t="str">
            <v>عثمان امین</v>
          </cell>
        </row>
        <row r="3088">
          <cell r="A3088" t="str">
            <v>1205 F</v>
          </cell>
          <cell r="B3088"/>
          <cell r="C3088">
            <v>45724</v>
          </cell>
          <cell r="D3088" t="str">
            <v>فینا</v>
          </cell>
          <cell r="E3088" t="str">
            <v>عثمان امین</v>
          </cell>
        </row>
        <row r="3089">
          <cell r="A3089" t="str">
            <v>1206 F</v>
          </cell>
          <cell r="B3089"/>
          <cell r="C3089">
            <v>45724</v>
          </cell>
          <cell r="D3089" t="str">
            <v>فینا</v>
          </cell>
          <cell r="E3089" t="str">
            <v>عثمان امین</v>
          </cell>
        </row>
        <row r="3090">
          <cell r="A3090" t="str">
            <v>1207 F</v>
          </cell>
          <cell r="B3090"/>
          <cell r="C3090">
            <v>45724</v>
          </cell>
          <cell r="D3090" t="str">
            <v>فینا</v>
          </cell>
          <cell r="E3090" t="str">
            <v>عثمان امین</v>
          </cell>
        </row>
        <row r="3091">
          <cell r="A3091" t="str">
            <v>6692/1</v>
          </cell>
          <cell r="B3091">
            <v>6692</v>
          </cell>
          <cell r="C3091">
            <v>45716</v>
          </cell>
          <cell r="D3091" t="str">
            <v>یونس صاحب</v>
          </cell>
          <cell r="E3091" t="str">
            <v xml:space="preserve">رفیق پلاسٹک اوکاڑہ </v>
          </cell>
        </row>
        <row r="3092">
          <cell r="A3092" t="str">
            <v>6692/2</v>
          </cell>
          <cell r="B3092">
            <v>6692</v>
          </cell>
          <cell r="C3092">
            <v>45716</v>
          </cell>
          <cell r="D3092" t="str">
            <v>یونس صاحب</v>
          </cell>
          <cell r="E3092" t="str">
            <v xml:space="preserve">رفیق پلاسٹک اوکاڑہ </v>
          </cell>
        </row>
        <row r="3093">
          <cell r="A3093" t="str">
            <v>6692/3</v>
          </cell>
          <cell r="B3093">
            <v>6692</v>
          </cell>
          <cell r="C3093">
            <v>45716</v>
          </cell>
          <cell r="D3093" t="str">
            <v>یونس صاحب</v>
          </cell>
          <cell r="E3093" t="str">
            <v xml:space="preserve">رفیق پلاسٹک اوکاڑہ </v>
          </cell>
        </row>
        <row r="3094">
          <cell r="A3094" t="str">
            <v>6692/4</v>
          </cell>
          <cell r="B3094">
            <v>6692</v>
          </cell>
          <cell r="C3094">
            <v>45716</v>
          </cell>
          <cell r="D3094" t="str">
            <v>یونس صاحب</v>
          </cell>
          <cell r="E3094" t="str">
            <v xml:space="preserve">رفیق پلاسٹک اوکاڑہ </v>
          </cell>
        </row>
        <row r="3095">
          <cell r="A3095" t="str">
            <v>6692/5</v>
          </cell>
          <cell r="B3095">
            <v>6692</v>
          </cell>
          <cell r="C3095">
            <v>45716</v>
          </cell>
          <cell r="D3095" t="str">
            <v>یونس صاحب</v>
          </cell>
          <cell r="E3095" t="str">
            <v xml:space="preserve">رفیق پلاسٹک اوکاڑہ </v>
          </cell>
        </row>
        <row r="3096">
          <cell r="A3096" t="str">
            <v>6692/6</v>
          </cell>
          <cell r="B3096">
            <v>6692</v>
          </cell>
          <cell r="C3096">
            <v>45716</v>
          </cell>
          <cell r="D3096" t="str">
            <v>یونس صاحب</v>
          </cell>
          <cell r="E3096" t="str">
            <v xml:space="preserve">رفیق پلاسٹک اوکاڑہ </v>
          </cell>
        </row>
        <row r="3097">
          <cell r="A3097" t="str">
            <v>6692/7</v>
          </cell>
          <cell r="B3097">
            <v>6692</v>
          </cell>
          <cell r="C3097">
            <v>45716</v>
          </cell>
          <cell r="D3097" t="str">
            <v>یونس صاحب</v>
          </cell>
          <cell r="E3097" t="str">
            <v xml:space="preserve">رفیق پلاسٹک اوکاڑہ </v>
          </cell>
        </row>
        <row r="3098">
          <cell r="A3098" t="str">
            <v>6692/8</v>
          </cell>
          <cell r="B3098">
            <v>6692</v>
          </cell>
          <cell r="C3098">
            <v>45716</v>
          </cell>
          <cell r="D3098" t="str">
            <v>یونس صاحب</v>
          </cell>
          <cell r="E3098" t="str">
            <v xml:space="preserve">رفیق پلاسٹک اوکاڑہ </v>
          </cell>
        </row>
        <row r="3099">
          <cell r="A3099" t="str">
            <v>6692/9</v>
          </cell>
          <cell r="B3099">
            <v>6692</v>
          </cell>
          <cell r="C3099">
            <v>45716</v>
          </cell>
          <cell r="D3099" t="str">
            <v>یونس صاحب</v>
          </cell>
          <cell r="E3099" t="str">
            <v xml:space="preserve">رفیق پلاسٹک اوکاڑہ </v>
          </cell>
        </row>
        <row r="3100">
          <cell r="A3100" t="str">
            <v>6692/10</v>
          </cell>
          <cell r="B3100">
            <v>6692</v>
          </cell>
          <cell r="C3100">
            <v>45716</v>
          </cell>
          <cell r="D3100" t="str">
            <v>یونس صاحب</v>
          </cell>
          <cell r="E3100" t="str">
            <v xml:space="preserve">رفیق پلاسٹک اوکاڑہ </v>
          </cell>
        </row>
        <row r="3101">
          <cell r="A3101" t="str">
            <v>6692/11</v>
          </cell>
          <cell r="B3101">
            <v>6692</v>
          </cell>
          <cell r="C3101">
            <v>45716</v>
          </cell>
          <cell r="D3101" t="str">
            <v>یونس صاحب</v>
          </cell>
          <cell r="E3101" t="str">
            <v xml:space="preserve">رفیق پلاسٹک اوکاڑہ </v>
          </cell>
        </row>
        <row r="3102">
          <cell r="A3102" t="str">
            <v>6692/12</v>
          </cell>
          <cell r="B3102">
            <v>6692</v>
          </cell>
          <cell r="C3102">
            <v>45716</v>
          </cell>
          <cell r="D3102" t="str">
            <v>یونس صاحب</v>
          </cell>
          <cell r="E3102" t="str">
            <v xml:space="preserve">رفیق پلاسٹک اوکاڑہ </v>
          </cell>
        </row>
        <row r="3103">
          <cell r="A3103" t="str">
            <v>6692/13</v>
          </cell>
          <cell r="B3103">
            <v>6692</v>
          </cell>
          <cell r="C3103">
            <v>45716</v>
          </cell>
          <cell r="D3103" t="str">
            <v>یونس صاحب</v>
          </cell>
          <cell r="E3103" t="str">
            <v xml:space="preserve">رفیق پلاسٹک اوکاڑہ </v>
          </cell>
        </row>
        <row r="3104">
          <cell r="A3104" t="str">
            <v>6693/1</v>
          </cell>
          <cell r="B3104">
            <v>6693</v>
          </cell>
          <cell r="C3104">
            <v>45716</v>
          </cell>
          <cell r="D3104" t="str">
            <v>یونس صاحب</v>
          </cell>
          <cell r="E3104" t="str">
            <v>عمران مشتاق پتوکی</v>
          </cell>
        </row>
        <row r="3105">
          <cell r="A3105" t="str">
            <v>6694/1</v>
          </cell>
          <cell r="B3105">
            <v>6693</v>
          </cell>
          <cell r="C3105">
            <v>45716</v>
          </cell>
          <cell r="D3105" t="str">
            <v>یونس صاحب</v>
          </cell>
          <cell r="E3105" t="str">
            <v>محبوب مقبول گوجرانوالہ</v>
          </cell>
        </row>
        <row r="3106">
          <cell r="A3106" t="str">
            <v>6694/2</v>
          </cell>
          <cell r="B3106">
            <v>6694</v>
          </cell>
          <cell r="C3106">
            <v>45721</v>
          </cell>
          <cell r="D3106" t="str">
            <v>یونس صاحب</v>
          </cell>
          <cell r="E3106" t="str">
            <v>محبوب مقبول گوجرانوالہ</v>
          </cell>
        </row>
        <row r="3107">
          <cell r="A3107" t="str">
            <v>6694/3</v>
          </cell>
          <cell r="B3107">
            <v>6694</v>
          </cell>
          <cell r="C3107">
            <v>45721</v>
          </cell>
          <cell r="D3107" t="str">
            <v>یونس صاحب</v>
          </cell>
          <cell r="E3107" t="str">
            <v>محبوب مقبول گوجرانوالہ</v>
          </cell>
        </row>
        <row r="3108">
          <cell r="A3108" t="str">
            <v>6694/4</v>
          </cell>
          <cell r="B3108">
            <v>6694</v>
          </cell>
          <cell r="C3108">
            <v>45721</v>
          </cell>
          <cell r="D3108" t="str">
            <v>یونس صاحب</v>
          </cell>
          <cell r="E3108" t="str">
            <v>محبوب مقبول گوجرانوالہ</v>
          </cell>
        </row>
        <row r="3109">
          <cell r="A3109" t="str">
            <v>6694/5</v>
          </cell>
          <cell r="B3109">
            <v>6694</v>
          </cell>
          <cell r="C3109">
            <v>45721</v>
          </cell>
          <cell r="D3109" t="str">
            <v>یونس صاحب</v>
          </cell>
          <cell r="E3109" t="str">
            <v>محبوب مقبول گوجرانوالہ</v>
          </cell>
        </row>
        <row r="3110">
          <cell r="A3110" t="str">
            <v>6694/6</v>
          </cell>
          <cell r="B3110">
            <v>6694</v>
          </cell>
          <cell r="C3110">
            <v>45721</v>
          </cell>
          <cell r="D3110" t="str">
            <v>یونس صاحب</v>
          </cell>
          <cell r="E3110" t="str">
            <v>محبوب مقبول گوجرانوالہ</v>
          </cell>
        </row>
        <row r="3111">
          <cell r="A3111" t="str">
            <v>6694/7</v>
          </cell>
          <cell r="B3111">
            <v>6694</v>
          </cell>
          <cell r="C3111">
            <v>45721</v>
          </cell>
          <cell r="D3111" t="str">
            <v>یونس صاحب</v>
          </cell>
          <cell r="E3111" t="str">
            <v>محبوب مقبول گوجرانوالہ</v>
          </cell>
        </row>
        <row r="3112">
          <cell r="A3112" t="str">
            <v>6694/8</v>
          </cell>
          <cell r="B3112">
            <v>6694</v>
          </cell>
          <cell r="C3112">
            <v>45721</v>
          </cell>
          <cell r="D3112" t="str">
            <v>یونس صاحب</v>
          </cell>
          <cell r="E3112" t="str">
            <v>محبوب مقبول گوجرانوالہ</v>
          </cell>
        </row>
        <row r="3113">
          <cell r="A3113" t="str">
            <v>6694/9</v>
          </cell>
          <cell r="B3113">
            <v>6694</v>
          </cell>
          <cell r="C3113">
            <v>45721</v>
          </cell>
          <cell r="D3113" t="str">
            <v>یونس صاحب</v>
          </cell>
          <cell r="E3113" t="str">
            <v>محبوب مقبول گوجرانوالہ</v>
          </cell>
        </row>
        <row r="3114">
          <cell r="A3114" t="str">
            <v>6694/10</v>
          </cell>
          <cell r="B3114">
            <v>6694</v>
          </cell>
          <cell r="C3114">
            <v>45721</v>
          </cell>
          <cell r="D3114" t="str">
            <v>یونس صاحب</v>
          </cell>
          <cell r="E3114" t="str">
            <v>محبوب مقبول گوجرانوالہ</v>
          </cell>
        </row>
        <row r="3115">
          <cell r="A3115" t="str">
            <v>6694/11</v>
          </cell>
          <cell r="B3115">
            <v>6694</v>
          </cell>
          <cell r="C3115">
            <v>45721</v>
          </cell>
          <cell r="D3115" t="str">
            <v>یونس صاحب</v>
          </cell>
          <cell r="E3115" t="str">
            <v>محبوب مقبول گوجرانوالہ</v>
          </cell>
        </row>
        <row r="3116">
          <cell r="A3116" t="str">
            <v>6694/12</v>
          </cell>
          <cell r="B3116">
            <v>6694</v>
          </cell>
          <cell r="C3116">
            <v>45721</v>
          </cell>
          <cell r="D3116" t="str">
            <v>یونس صاحب</v>
          </cell>
          <cell r="E3116" t="str">
            <v>محبوب مقبول گوجرانوالہ</v>
          </cell>
        </row>
        <row r="3117">
          <cell r="A3117" t="str">
            <v>6694/13</v>
          </cell>
          <cell r="B3117">
            <v>6694</v>
          </cell>
          <cell r="C3117">
            <v>45721</v>
          </cell>
          <cell r="D3117" t="str">
            <v>یونس صاحب</v>
          </cell>
          <cell r="E3117" t="str">
            <v>محبوب مقبول گوجرانوالہ</v>
          </cell>
        </row>
        <row r="3118">
          <cell r="A3118" t="str">
            <v>6694/14</v>
          </cell>
          <cell r="B3118">
            <v>6694</v>
          </cell>
          <cell r="C3118">
            <v>45721</v>
          </cell>
          <cell r="D3118" t="str">
            <v>یونس صاحب</v>
          </cell>
          <cell r="E3118" t="str">
            <v>محبوب مقبول گوجرانوالہ</v>
          </cell>
        </row>
        <row r="3119">
          <cell r="A3119" t="str">
            <v>6694/15</v>
          </cell>
          <cell r="B3119">
            <v>6694</v>
          </cell>
          <cell r="C3119">
            <v>45721</v>
          </cell>
          <cell r="D3119" t="str">
            <v>یونس صاحب</v>
          </cell>
          <cell r="E3119" t="str">
            <v>محبوب مقبول گوجرانوالہ</v>
          </cell>
        </row>
        <row r="3120">
          <cell r="A3120" t="str">
            <v>6694/16</v>
          </cell>
          <cell r="B3120">
            <v>6694</v>
          </cell>
          <cell r="C3120">
            <v>45721</v>
          </cell>
          <cell r="D3120" t="str">
            <v>یونس صاحب</v>
          </cell>
          <cell r="E3120" t="str">
            <v>محبوب مقبول گوجرانوالہ</v>
          </cell>
        </row>
        <row r="3121">
          <cell r="A3121" t="str">
            <v>6695/1</v>
          </cell>
          <cell r="B3121">
            <v>6695</v>
          </cell>
          <cell r="C3121">
            <v>45721</v>
          </cell>
          <cell r="D3121" t="str">
            <v>یونس صاحب</v>
          </cell>
          <cell r="E3121" t="str">
            <v>عثمان امین لاہور</v>
          </cell>
        </row>
        <row r="3122">
          <cell r="A3122" t="str">
            <v>6695/2</v>
          </cell>
          <cell r="B3122">
            <v>6695</v>
          </cell>
          <cell r="C3122">
            <v>45721</v>
          </cell>
          <cell r="D3122" t="str">
            <v>یونس صاحب</v>
          </cell>
          <cell r="E3122" t="str">
            <v>عثمان امین لاہور</v>
          </cell>
        </row>
        <row r="3123">
          <cell r="A3123" t="str">
            <v>6695/3</v>
          </cell>
          <cell r="B3123">
            <v>6695</v>
          </cell>
          <cell r="C3123">
            <v>45721</v>
          </cell>
          <cell r="D3123" t="str">
            <v>یونس صاحب</v>
          </cell>
          <cell r="E3123" t="str">
            <v>عثمان امین لاہور</v>
          </cell>
        </row>
        <row r="3124">
          <cell r="A3124" t="str">
            <v>6695/4</v>
          </cell>
          <cell r="B3124">
            <v>6695</v>
          </cell>
          <cell r="C3124">
            <v>45721</v>
          </cell>
          <cell r="D3124" t="str">
            <v>یونس صاحب</v>
          </cell>
          <cell r="E3124" t="str">
            <v>عثمان امین لاہور</v>
          </cell>
        </row>
        <row r="3125">
          <cell r="A3125" t="str">
            <v>6695/5</v>
          </cell>
          <cell r="B3125">
            <v>6695</v>
          </cell>
          <cell r="C3125">
            <v>45721</v>
          </cell>
          <cell r="D3125" t="str">
            <v>یونس صاحب</v>
          </cell>
          <cell r="E3125" t="str">
            <v>عثمان امین لاہور</v>
          </cell>
        </row>
        <row r="3126">
          <cell r="A3126" t="str">
            <v>6695/6</v>
          </cell>
          <cell r="B3126">
            <v>6695</v>
          </cell>
          <cell r="C3126">
            <v>45721</v>
          </cell>
          <cell r="D3126" t="str">
            <v>یونس صاحب</v>
          </cell>
          <cell r="E3126" t="str">
            <v>عثمان امین لاہور</v>
          </cell>
        </row>
        <row r="3127">
          <cell r="A3127" t="str">
            <v>6696/1</v>
          </cell>
          <cell r="B3127">
            <v>6696</v>
          </cell>
          <cell r="C3127">
            <v>45721</v>
          </cell>
          <cell r="D3127" t="str">
            <v>یونس صاحب</v>
          </cell>
          <cell r="E3127" t="str">
            <v>گڈ لک شوز سگیاں پل</v>
          </cell>
        </row>
        <row r="3128">
          <cell r="A3128" t="str">
            <v>6697/1</v>
          </cell>
          <cell r="B3128">
            <v>6697</v>
          </cell>
          <cell r="C3128">
            <v>45721</v>
          </cell>
          <cell r="D3128" t="str">
            <v>یونس صاحب</v>
          </cell>
          <cell r="E3128" t="str">
            <v xml:space="preserve">جناح پیپر اردو بازار </v>
          </cell>
        </row>
        <row r="3129">
          <cell r="A3129" t="str">
            <v>6697/2</v>
          </cell>
          <cell r="B3129">
            <v>6697</v>
          </cell>
          <cell r="C3129">
            <v>45721</v>
          </cell>
          <cell r="D3129" t="str">
            <v>یونس صاحب</v>
          </cell>
          <cell r="E3129" t="str">
            <v xml:space="preserve">جناح پیپر اردو بازار </v>
          </cell>
        </row>
        <row r="3130">
          <cell r="A3130" t="str">
            <v>6698/1</v>
          </cell>
          <cell r="B3130">
            <v>6698</v>
          </cell>
          <cell r="C3130">
            <v>45723</v>
          </cell>
          <cell r="D3130" t="str">
            <v>یونس صاحب</v>
          </cell>
          <cell r="E3130" t="str">
            <v xml:space="preserve">جناح پیپر اردو بازار </v>
          </cell>
        </row>
        <row r="3131">
          <cell r="A3131" t="str">
            <v>6698/2</v>
          </cell>
          <cell r="B3131">
            <v>6698</v>
          </cell>
          <cell r="C3131">
            <v>45723</v>
          </cell>
          <cell r="D3131" t="str">
            <v>یونس صاحب</v>
          </cell>
          <cell r="E3131" t="str">
            <v xml:space="preserve">جناح پیپر اردو بازار </v>
          </cell>
        </row>
        <row r="3132">
          <cell r="A3132" t="str">
            <v>6699/1</v>
          </cell>
          <cell r="B3132">
            <v>6699</v>
          </cell>
          <cell r="C3132">
            <v>45723</v>
          </cell>
          <cell r="D3132" t="str">
            <v>یونس صاحب</v>
          </cell>
          <cell r="E3132" t="str">
            <v>وحید پلاسٹک گوجرانوالہ</v>
          </cell>
        </row>
        <row r="3133">
          <cell r="A3133" t="str">
            <v>6700/1</v>
          </cell>
          <cell r="B3133">
            <v>6700</v>
          </cell>
          <cell r="C3133">
            <v>45723</v>
          </cell>
          <cell r="D3133" t="str">
            <v>یونس صاحب</v>
          </cell>
          <cell r="E3133" t="str">
            <v>وحید پلاسٹک گوجرانوالہ</v>
          </cell>
        </row>
        <row r="3134">
          <cell r="A3134" t="str">
            <v>6700/2</v>
          </cell>
          <cell r="B3134">
            <v>6700</v>
          </cell>
          <cell r="C3134">
            <v>45723</v>
          </cell>
          <cell r="D3134" t="str">
            <v>یونس صاحب</v>
          </cell>
          <cell r="E3134" t="str">
            <v>وحید پلاسٹک گوجرانوالہ</v>
          </cell>
        </row>
        <row r="3135">
          <cell r="A3135" t="str">
            <v>6700/3</v>
          </cell>
          <cell r="B3135">
            <v>6700</v>
          </cell>
          <cell r="C3135">
            <v>45723</v>
          </cell>
          <cell r="D3135" t="str">
            <v>یونس صاحب</v>
          </cell>
          <cell r="E3135" t="str">
            <v>وحید پلاسٹک گوجرانوالہ</v>
          </cell>
        </row>
        <row r="3136">
          <cell r="A3136" t="str">
            <v>6700/4</v>
          </cell>
          <cell r="B3136">
            <v>6700</v>
          </cell>
          <cell r="C3136">
            <v>45723</v>
          </cell>
          <cell r="D3136" t="str">
            <v>یونس صاحب</v>
          </cell>
          <cell r="E3136" t="str">
            <v>وحید پلاسٹک گوجرانوالہ</v>
          </cell>
        </row>
        <row r="3137">
          <cell r="A3137" t="str">
            <v>6700/5</v>
          </cell>
          <cell r="B3137">
            <v>6700</v>
          </cell>
          <cell r="C3137">
            <v>45723</v>
          </cell>
          <cell r="D3137" t="str">
            <v>یونس صاحب</v>
          </cell>
          <cell r="E3137" t="str">
            <v>وحید پلاسٹک گوجرانوالہ</v>
          </cell>
        </row>
        <row r="3138">
          <cell r="A3138" t="str">
            <v>6700/6</v>
          </cell>
          <cell r="B3138">
            <v>6700</v>
          </cell>
          <cell r="C3138">
            <v>45723</v>
          </cell>
          <cell r="D3138" t="str">
            <v>یونس صاحب</v>
          </cell>
          <cell r="E3138" t="str">
            <v>وحید پلاسٹک گوجرانوالہ</v>
          </cell>
        </row>
        <row r="3139">
          <cell r="A3139" t="str">
            <v>6700/7</v>
          </cell>
          <cell r="B3139">
            <v>6700</v>
          </cell>
          <cell r="C3139">
            <v>45723</v>
          </cell>
          <cell r="D3139" t="str">
            <v>یونس صاحب</v>
          </cell>
          <cell r="E3139" t="str">
            <v>وحید پلاسٹک گوجرانوالہ</v>
          </cell>
        </row>
        <row r="3140">
          <cell r="A3140" t="str">
            <v>6700/8</v>
          </cell>
          <cell r="B3140">
            <v>6700</v>
          </cell>
          <cell r="C3140">
            <v>45723</v>
          </cell>
          <cell r="D3140" t="str">
            <v>یونس صاحب</v>
          </cell>
          <cell r="E3140" t="str">
            <v>وحید پلاسٹک گوجرانوالہ</v>
          </cell>
        </row>
        <row r="3141">
          <cell r="A3141" t="str">
            <v>6700/9</v>
          </cell>
          <cell r="B3141">
            <v>6700</v>
          </cell>
          <cell r="C3141">
            <v>45723</v>
          </cell>
          <cell r="D3141" t="str">
            <v>یونس صاحب</v>
          </cell>
          <cell r="E3141" t="str">
            <v>وحید پلاسٹک گوجرانوالہ</v>
          </cell>
        </row>
        <row r="3142">
          <cell r="A3142" t="str">
            <v>6700/10</v>
          </cell>
          <cell r="B3142">
            <v>6700</v>
          </cell>
          <cell r="C3142">
            <v>45723</v>
          </cell>
          <cell r="D3142" t="str">
            <v>یونس صاحب</v>
          </cell>
          <cell r="E3142" t="str">
            <v>وحید پلاسٹک گوجرانوالہ</v>
          </cell>
        </row>
        <row r="3143">
          <cell r="A3143" t="str">
            <v>6700/11</v>
          </cell>
          <cell r="B3143">
            <v>6700</v>
          </cell>
          <cell r="C3143">
            <v>45723</v>
          </cell>
          <cell r="D3143" t="str">
            <v>یونس صاحب</v>
          </cell>
          <cell r="E3143" t="str">
            <v>وحید پلاسٹک گوجرانوالہ</v>
          </cell>
        </row>
        <row r="3144">
          <cell r="A3144" t="str">
            <v>6700/12</v>
          </cell>
          <cell r="B3144">
            <v>6700</v>
          </cell>
          <cell r="C3144">
            <v>45723</v>
          </cell>
          <cell r="D3144" t="str">
            <v>یونس صاحب</v>
          </cell>
          <cell r="E3144" t="str">
            <v>وحید پلاسٹک گوجرانوالہ</v>
          </cell>
        </row>
        <row r="3145">
          <cell r="A3145" t="str">
            <v>6700/13</v>
          </cell>
          <cell r="B3145">
            <v>6700</v>
          </cell>
          <cell r="C3145">
            <v>45723</v>
          </cell>
          <cell r="D3145" t="str">
            <v>یونس صاحب</v>
          </cell>
          <cell r="E3145" t="str">
            <v>وحید پلاسٹک گوجرانوالہ</v>
          </cell>
        </row>
        <row r="3146">
          <cell r="A3146" t="str">
            <v>6700/14</v>
          </cell>
          <cell r="B3146">
            <v>6700</v>
          </cell>
          <cell r="C3146">
            <v>45723</v>
          </cell>
          <cell r="D3146" t="str">
            <v>یونس صاحب</v>
          </cell>
          <cell r="E3146" t="str">
            <v>وحید پلاسٹک گوجرانوالہ</v>
          </cell>
        </row>
        <row r="3147">
          <cell r="A3147" t="str">
            <v>6700/15</v>
          </cell>
          <cell r="B3147">
            <v>6700</v>
          </cell>
          <cell r="C3147">
            <v>45723</v>
          </cell>
          <cell r="D3147" t="str">
            <v>یونس صاحب</v>
          </cell>
          <cell r="E3147" t="str">
            <v>وحید پلاسٹک گوجرانوالہ</v>
          </cell>
        </row>
        <row r="3148">
          <cell r="A3148" t="str">
            <v>6701/1</v>
          </cell>
          <cell r="B3148">
            <v>6701</v>
          </cell>
          <cell r="C3148">
            <v>45723</v>
          </cell>
          <cell r="D3148" t="str">
            <v>یونس صاحب</v>
          </cell>
          <cell r="E3148" t="str">
            <v>عرفان سید اعظم مارکیٹ</v>
          </cell>
        </row>
        <row r="3149">
          <cell r="A3149" t="str">
            <v>6701/2</v>
          </cell>
          <cell r="B3149">
            <v>6701</v>
          </cell>
          <cell r="C3149">
            <v>45723</v>
          </cell>
          <cell r="D3149" t="str">
            <v>یونس صاحب</v>
          </cell>
          <cell r="E3149" t="str">
            <v>عرفان سید اعظم مارکیٹ</v>
          </cell>
        </row>
        <row r="3150">
          <cell r="A3150" t="str">
            <v>6702/1</v>
          </cell>
          <cell r="B3150">
            <v>6702</v>
          </cell>
          <cell r="C3150">
            <v>45723</v>
          </cell>
          <cell r="D3150" t="str">
            <v>یونس صاحب</v>
          </cell>
          <cell r="E3150" t="str">
            <v>خرم پلاسٹک لالہ موسی</v>
          </cell>
        </row>
        <row r="3151">
          <cell r="A3151" t="str">
            <v>6702/2</v>
          </cell>
          <cell r="B3151">
            <v>6702</v>
          </cell>
          <cell r="C3151">
            <v>45723</v>
          </cell>
          <cell r="D3151" t="str">
            <v>یونس صاحب</v>
          </cell>
          <cell r="E3151" t="str">
            <v>خرم پلاسٹک لالہ موسی</v>
          </cell>
        </row>
        <row r="3152">
          <cell r="A3152" t="str">
            <v>6702/3</v>
          </cell>
          <cell r="B3152">
            <v>6702</v>
          </cell>
          <cell r="C3152">
            <v>45723</v>
          </cell>
          <cell r="D3152" t="str">
            <v>یونس صاحب</v>
          </cell>
          <cell r="E3152" t="str">
            <v>خرم پلاسٹک لالہ موسی</v>
          </cell>
        </row>
        <row r="3153">
          <cell r="A3153" t="str">
            <v>6702/4</v>
          </cell>
          <cell r="B3153">
            <v>6702</v>
          </cell>
          <cell r="C3153">
            <v>45723</v>
          </cell>
          <cell r="D3153" t="str">
            <v>یونس صاحب</v>
          </cell>
          <cell r="E3153" t="str">
            <v>خرم پلاسٹک لالہ موسی</v>
          </cell>
        </row>
        <row r="3154">
          <cell r="A3154" t="str">
            <v>1318 J</v>
          </cell>
          <cell r="B3154"/>
          <cell r="C3154">
            <v>45724</v>
          </cell>
          <cell r="D3154" t="str">
            <v>OTHERS</v>
          </cell>
          <cell r="E3154" t="str">
            <v>جیلانی پولی سٹاک</v>
          </cell>
        </row>
        <row r="3155">
          <cell r="A3155" t="str">
            <v>1319 J</v>
          </cell>
          <cell r="B3155"/>
          <cell r="C3155">
            <v>45724</v>
          </cell>
          <cell r="D3155" t="str">
            <v>OTHERS</v>
          </cell>
          <cell r="E3155" t="str">
            <v>جیلانی پولی سٹاک</v>
          </cell>
        </row>
        <row r="3156">
          <cell r="A3156" t="str">
            <v>1320 J</v>
          </cell>
          <cell r="B3156"/>
          <cell r="C3156">
            <v>45724</v>
          </cell>
          <cell r="D3156" t="str">
            <v>OTHERS</v>
          </cell>
          <cell r="E3156" t="str">
            <v>جیلانی پولی سٹاک</v>
          </cell>
        </row>
        <row r="3157">
          <cell r="A3157" t="str">
            <v>1321 J</v>
          </cell>
          <cell r="B3157"/>
          <cell r="C3157">
            <v>45724</v>
          </cell>
          <cell r="D3157" t="str">
            <v>OTHERS</v>
          </cell>
          <cell r="E3157" t="str">
            <v>جیلانی پلاسٹک</v>
          </cell>
        </row>
        <row r="3158">
          <cell r="A3158" t="str">
            <v>1322 J</v>
          </cell>
          <cell r="B3158"/>
          <cell r="C3158">
            <v>45724</v>
          </cell>
          <cell r="D3158" t="str">
            <v>OTHERS</v>
          </cell>
          <cell r="E3158" t="str">
            <v>جیلانی پلاسٹک</v>
          </cell>
        </row>
        <row r="3159">
          <cell r="A3159" t="str">
            <v>1323 J</v>
          </cell>
          <cell r="B3159"/>
          <cell r="C3159">
            <v>45724</v>
          </cell>
          <cell r="D3159" t="str">
            <v>OTHERS</v>
          </cell>
          <cell r="E3159" t="str">
            <v>جیلانی پلاسٹک</v>
          </cell>
        </row>
        <row r="3160">
          <cell r="A3160" t="str">
            <v>1324 J</v>
          </cell>
          <cell r="B3160"/>
          <cell r="C3160">
            <v>45724</v>
          </cell>
          <cell r="D3160" t="str">
            <v>OTHERS</v>
          </cell>
          <cell r="E3160" t="str">
            <v>جیلانی پلاسٹک</v>
          </cell>
        </row>
        <row r="3161">
          <cell r="A3161" t="str">
            <v>1325 J</v>
          </cell>
          <cell r="B3161"/>
          <cell r="C3161">
            <v>45724</v>
          </cell>
          <cell r="D3161" t="str">
            <v>OTHERS</v>
          </cell>
          <cell r="E3161" t="str">
            <v>جیلانی پلاسٹک</v>
          </cell>
        </row>
        <row r="3162">
          <cell r="A3162" t="str">
            <v>1326 J</v>
          </cell>
          <cell r="B3162"/>
          <cell r="C3162">
            <v>45724</v>
          </cell>
          <cell r="D3162" t="str">
            <v>OTHERS</v>
          </cell>
          <cell r="E3162" t="str">
            <v>جیلانی پولی سٹاک</v>
          </cell>
        </row>
        <row r="3163">
          <cell r="A3163" t="str">
            <v>1327 J</v>
          </cell>
          <cell r="B3163"/>
          <cell r="C3163">
            <v>45724</v>
          </cell>
          <cell r="D3163" t="str">
            <v>OTHERS</v>
          </cell>
          <cell r="E3163" t="str">
            <v>جیلانی پولی سٹاک</v>
          </cell>
        </row>
        <row r="3164">
          <cell r="A3164" t="str">
            <v>1328 J</v>
          </cell>
          <cell r="B3164"/>
          <cell r="C3164">
            <v>45724</v>
          </cell>
          <cell r="D3164" t="str">
            <v>OTHERS</v>
          </cell>
          <cell r="E3164" t="str">
            <v>جیلانی پولی سٹاک</v>
          </cell>
        </row>
        <row r="3165">
          <cell r="A3165" t="str">
            <v>1329 J</v>
          </cell>
          <cell r="B3165"/>
          <cell r="C3165">
            <v>45724</v>
          </cell>
          <cell r="D3165" t="str">
            <v>OTHERS</v>
          </cell>
          <cell r="E3165" t="str">
            <v>جیلانی پولی سٹاک</v>
          </cell>
        </row>
        <row r="3166">
          <cell r="A3166" t="str">
            <v>1330 J</v>
          </cell>
          <cell r="B3166"/>
          <cell r="C3166">
            <v>45724</v>
          </cell>
          <cell r="D3166" t="str">
            <v>OTHERS</v>
          </cell>
          <cell r="E3166" t="str">
            <v>جیلانی پولی سٹاک</v>
          </cell>
        </row>
        <row r="3167">
          <cell r="A3167" t="str">
            <v>1331 J</v>
          </cell>
          <cell r="B3167"/>
          <cell r="C3167">
            <v>45724</v>
          </cell>
          <cell r="D3167" t="str">
            <v>OTHERS</v>
          </cell>
          <cell r="E3167" t="str">
            <v>جیلانی پولی سٹاک</v>
          </cell>
        </row>
        <row r="3168">
          <cell r="A3168" t="str">
            <v>1332 J</v>
          </cell>
          <cell r="B3168"/>
          <cell r="C3168">
            <v>45724</v>
          </cell>
          <cell r="D3168" t="str">
            <v>OTHERS</v>
          </cell>
          <cell r="E3168" t="str">
            <v>جیلانی پولی 2PEP</v>
          </cell>
        </row>
        <row r="3169">
          <cell r="A3169" t="str">
            <v>1333 J</v>
          </cell>
          <cell r="B3169">
            <v>11557</v>
          </cell>
          <cell r="C3169">
            <v>45724</v>
          </cell>
          <cell r="D3169" t="str">
            <v>JILANI</v>
          </cell>
          <cell r="E3169" t="str">
            <v>ریحان بٹ انارکلی</v>
          </cell>
        </row>
        <row r="3170">
          <cell r="A3170" t="str">
            <v>1334 J</v>
          </cell>
          <cell r="B3170">
            <v>11558</v>
          </cell>
          <cell r="C3170">
            <v>45724</v>
          </cell>
          <cell r="D3170" t="str">
            <v>JILANI</v>
          </cell>
          <cell r="E3170" t="str">
            <v>نواب جیلانی پلاسٹک لیہ</v>
          </cell>
        </row>
        <row r="3171">
          <cell r="A3171" t="str">
            <v>1335 J</v>
          </cell>
          <cell r="B3171">
            <v>11559</v>
          </cell>
          <cell r="C3171">
            <v>45724</v>
          </cell>
          <cell r="D3171" t="str">
            <v>JILANI</v>
          </cell>
          <cell r="E3171" t="str">
            <v>عالم پرنٹرز بٹ خیلہ</v>
          </cell>
        </row>
        <row r="3172">
          <cell r="A3172" t="str">
            <v>1336 J</v>
          </cell>
          <cell r="B3172">
            <v>11560</v>
          </cell>
          <cell r="C3172">
            <v>45724</v>
          </cell>
          <cell r="D3172" t="str">
            <v>JILANI</v>
          </cell>
          <cell r="E3172" t="str">
            <v>شعیب آٹوز راولپنڈی</v>
          </cell>
        </row>
        <row r="3173">
          <cell r="A3173" t="str">
            <v>1337 J</v>
          </cell>
          <cell r="B3173">
            <v>11560</v>
          </cell>
          <cell r="C3173">
            <v>45724</v>
          </cell>
          <cell r="D3173" t="str">
            <v>JILANI</v>
          </cell>
          <cell r="E3173" t="str">
            <v>شعیب آٹوز راولپنڈی</v>
          </cell>
        </row>
        <row r="3174">
          <cell r="A3174" t="str">
            <v>1338 J</v>
          </cell>
          <cell r="B3174">
            <v>11560</v>
          </cell>
          <cell r="C3174">
            <v>45724</v>
          </cell>
          <cell r="D3174" t="str">
            <v>JILANI</v>
          </cell>
          <cell r="E3174" t="str">
            <v>شعیب آٹوز راولپنڈی</v>
          </cell>
        </row>
        <row r="3175">
          <cell r="A3175" t="str">
            <v>1339 J</v>
          </cell>
          <cell r="B3175">
            <v>11561</v>
          </cell>
          <cell r="C3175">
            <v>45724</v>
          </cell>
          <cell r="D3175" t="str">
            <v>JILANI</v>
          </cell>
          <cell r="E3175" t="str">
            <v>ایم بی نلکی لالہ موسی</v>
          </cell>
        </row>
        <row r="3176">
          <cell r="A3176" t="str">
            <v>1340 J</v>
          </cell>
          <cell r="B3176">
            <v>11561</v>
          </cell>
          <cell r="C3176">
            <v>45724</v>
          </cell>
          <cell r="D3176" t="str">
            <v>JILANI</v>
          </cell>
          <cell r="E3176" t="str">
            <v>ایم بی نلکی لالہ موسی</v>
          </cell>
        </row>
        <row r="3177">
          <cell r="A3177" t="str">
            <v>1341 J</v>
          </cell>
          <cell r="B3177">
            <v>11562</v>
          </cell>
          <cell r="C3177">
            <v>45724</v>
          </cell>
          <cell r="D3177" t="str">
            <v>JILANI</v>
          </cell>
          <cell r="E3177" t="str">
            <v>محبوب پرنٹرز گوجرانوالہ</v>
          </cell>
        </row>
        <row r="3178">
          <cell r="A3178" t="str">
            <v>1342 J</v>
          </cell>
          <cell r="B3178">
            <v>11563</v>
          </cell>
          <cell r="C3178">
            <v>45724</v>
          </cell>
          <cell r="D3178" t="str">
            <v>JILANI</v>
          </cell>
          <cell r="E3178" t="str">
            <v>عثمان عارف بٹ گوجرانولہ</v>
          </cell>
        </row>
        <row r="3179">
          <cell r="A3179" t="str">
            <v>1343 J</v>
          </cell>
          <cell r="B3179">
            <v>11563</v>
          </cell>
          <cell r="C3179">
            <v>45724</v>
          </cell>
          <cell r="D3179" t="str">
            <v>JILANI</v>
          </cell>
          <cell r="E3179" t="str">
            <v>عثمان عارف بٹ گوجرانولہ</v>
          </cell>
        </row>
        <row r="3180">
          <cell r="A3180" t="str">
            <v>1344 J</v>
          </cell>
          <cell r="B3180">
            <v>11564</v>
          </cell>
          <cell r="C3180">
            <v>45724</v>
          </cell>
          <cell r="D3180" t="str">
            <v>JILANI</v>
          </cell>
          <cell r="E3180" t="str">
            <v>عثمان عارف بٹ گوجرانولہ</v>
          </cell>
        </row>
        <row r="3181">
          <cell r="A3181" t="str">
            <v>1345 J</v>
          </cell>
          <cell r="B3181">
            <v>11565</v>
          </cell>
          <cell r="C3181">
            <v>45724</v>
          </cell>
          <cell r="D3181" t="str">
            <v>JILANI</v>
          </cell>
          <cell r="E3181" t="str">
            <v>نواب سویٹس اینڈ بیکرز پتوکی</v>
          </cell>
        </row>
        <row r="3182">
          <cell r="A3182" t="str">
            <v>1346 J</v>
          </cell>
          <cell r="B3182">
            <v>11565</v>
          </cell>
          <cell r="C3182">
            <v>45724</v>
          </cell>
          <cell r="D3182" t="str">
            <v>JILANI</v>
          </cell>
          <cell r="E3182" t="str">
            <v>نواب سویٹس اینڈ بیکرز پتوکی</v>
          </cell>
        </row>
        <row r="3183">
          <cell r="A3183" t="str">
            <v>1347 J</v>
          </cell>
          <cell r="B3183">
            <v>11565</v>
          </cell>
          <cell r="C3183">
            <v>45724</v>
          </cell>
          <cell r="D3183" t="str">
            <v>JILANI</v>
          </cell>
          <cell r="E3183" t="str">
            <v>نواب سویٹس اینڈ بیکرز پتوکی</v>
          </cell>
        </row>
        <row r="3184">
          <cell r="A3184" t="str">
            <v>1348 J</v>
          </cell>
          <cell r="B3184">
            <v>11566</v>
          </cell>
          <cell r="C3184">
            <v>45724</v>
          </cell>
          <cell r="D3184" t="str">
            <v>JILANI</v>
          </cell>
          <cell r="E3184" t="str">
            <v>الحبیب بیکرز راولپنڈی</v>
          </cell>
        </row>
        <row r="3185">
          <cell r="A3185" t="str">
            <v>1349 J</v>
          </cell>
          <cell r="B3185">
            <v>11567</v>
          </cell>
          <cell r="C3185">
            <v>45724</v>
          </cell>
          <cell r="D3185" t="str">
            <v>JILANI</v>
          </cell>
          <cell r="E3185" t="str">
            <v>علی سویٹس اینڈ بیکرز رحیم یار خان</v>
          </cell>
        </row>
        <row r="3186">
          <cell r="A3186" t="str">
            <v>1350 J</v>
          </cell>
          <cell r="B3186">
            <v>11568</v>
          </cell>
          <cell r="C3186">
            <v>45724</v>
          </cell>
          <cell r="D3186" t="str">
            <v>JILANI</v>
          </cell>
          <cell r="E3186" t="str">
            <v>علی سویٹس اینڈ بیکرز رحیم یار خان</v>
          </cell>
        </row>
        <row r="3187">
          <cell r="A3187" t="str">
            <v>1351 J</v>
          </cell>
          <cell r="B3187">
            <v>11568</v>
          </cell>
          <cell r="C3187">
            <v>45724</v>
          </cell>
          <cell r="D3187" t="str">
            <v>JILANI</v>
          </cell>
          <cell r="E3187" t="str">
            <v>علی سویٹس اینڈ بیکرز رحیم یار خان</v>
          </cell>
        </row>
        <row r="3188">
          <cell r="A3188" t="str">
            <v>1352 J</v>
          </cell>
          <cell r="B3188">
            <v>11569</v>
          </cell>
          <cell r="C3188">
            <v>45724</v>
          </cell>
          <cell r="D3188" t="str">
            <v>JILANI</v>
          </cell>
          <cell r="E3188" t="str">
            <v>علی سویٹس اینڈ بیکرز رحیم یار خان</v>
          </cell>
        </row>
        <row r="3189">
          <cell r="A3189" t="str">
            <v>1353 J</v>
          </cell>
          <cell r="B3189">
            <v>11570</v>
          </cell>
          <cell r="C3189">
            <v>45724</v>
          </cell>
          <cell r="D3189" t="str">
            <v>JILANI</v>
          </cell>
          <cell r="E3189" t="str">
            <v>عالم پرنٹرز بٹ خیلہ</v>
          </cell>
        </row>
        <row r="3190">
          <cell r="A3190" t="str">
            <v>1354 J</v>
          </cell>
          <cell r="B3190">
            <v>11571</v>
          </cell>
          <cell r="C3190">
            <v>45724</v>
          </cell>
          <cell r="D3190" t="str">
            <v>JILANI</v>
          </cell>
          <cell r="E3190" t="str">
            <v>عالم پرنٹرز بٹ خیلہ</v>
          </cell>
        </row>
        <row r="3191">
          <cell r="A3191" t="str">
            <v>1355 J</v>
          </cell>
          <cell r="B3191">
            <v>11572</v>
          </cell>
          <cell r="C3191">
            <v>45724</v>
          </cell>
          <cell r="D3191" t="str">
            <v>JILANI</v>
          </cell>
          <cell r="E3191" t="str">
            <v>طیب صاحب شیخوپورہ</v>
          </cell>
        </row>
        <row r="3192">
          <cell r="A3192" t="str">
            <v>1356 J</v>
          </cell>
          <cell r="B3192">
            <v>11573</v>
          </cell>
          <cell r="C3192">
            <v>45724</v>
          </cell>
          <cell r="D3192" t="str">
            <v>JILANI</v>
          </cell>
          <cell r="E3192" t="str">
            <v>عرفان صاحب اعظم مارکیٹ لاہور</v>
          </cell>
        </row>
        <row r="3193">
          <cell r="A3193" t="str">
            <v>1357 J</v>
          </cell>
          <cell r="B3193">
            <v>11574</v>
          </cell>
          <cell r="C3193">
            <v>45726</v>
          </cell>
          <cell r="D3193" t="str">
            <v>JILANI</v>
          </cell>
          <cell r="E3193" t="str">
            <v>فینسی گارمنٹس کامونکی</v>
          </cell>
        </row>
        <row r="3194">
          <cell r="A3194" t="str">
            <v>1358 J</v>
          </cell>
          <cell r="B3194">
            <v>11575</v>
          </cell>
          <cell r="C3194">
            <v>45726</v>
          </cell>
          <cell r="D3194" t="str">
            <v>JILANI</v>
          </cell>
          <cell r="E3194" t="str">
            <v>فینسی گارمنٹس کامونکی</v>
          </cell>
        </row>
        <row r="3195">
          <cell r="A3195" t="str">
            <v>1359 J</v>
          </cell>
          <cell r="B3195">
            <v>11575</v>
          </cell>
          <cell r="C3195">
            <v>45726</v>
          </cell>
          <cell r="D3195" t="str">
            <v>JILANI</v>
          </cell>
          <cell r="E3195" t="str">
            <v>فینسی گارمنٹس کامونکی</v>
          </cell>
        </row>
        <row r="3196">
          <cell r="A3196" t="str">
            <v>1360 J</v>
          </cell>
          <cell r="B3196">
            <v>11576</v>
          </cell>
          <cell r="C3196">
            <v>45726</v>
          </cell>
          <cell r="D3196" t="str">
            <v>JILANI</v>
          </cell>
          <cell r="E3196" t="str">
            <v>نسوار سنٹر بٹ خیلہ</v>
          </cell>
        </row>
        <row r="3197">
          <cell r="A3197" t="str">
            <v>1361 J</v>
          </cell>
          <cell r="B3197">
            <v>11576</v>
          </cell>
          <cell r="C3197">
            <v>45726</v>
          </cell>
          <cell r="D3197" t="str">
            <v>JILANI</v>
          </cell>
          <cell r="E3197" t="str">
            <v>نسوار سنٹر بٹ خیلہ</v>
          </cell>
        </row>
        <row r="3198">
          <cell r="A3198" t="str">
            <v>1362 J</v>
          </cell>
          <cell r="B3198">
            <v>11577</v>
          </cell>
          <cell r="C3198">
            <v>45726</v>
          </cell>
          <cell r="D3198" t="str">
            <v>JILANI</v>
          </cell>
          <cell r="E3198" t="str">
            <v>نیو لائف ٹریڈرز سٹیشنری اردو بازار لاہور</v>
          </cell>
        </row>
        <row r="3199">
          <cell r="A3199" t="str">
            <v>1363 J</v>
          </cell>
          <cell r="B3199">
            <v>11578</v>
          </cell>
          <cell r="C3199">
            <v>45726</v>
          </cell>
          <cell r="D3199" t="str">
            <v>JILANI</v>
          </cell>
          <cell r="E3199" t="str">
            <v>نیو لائف ٹریڈرز سٹیشنری اردو بازار لاہور</v>
          </cell>
        </row>
        <row r="3200">
          <cell r="A3200" t="str">
            <v>1364 J</v>
          </cell>
          <cell r="B3200">
            <v>11579</v>
          </cell>
          <cell r="C3200">
            <v>45726</v>
          </cell>
          <cell r="D3200" t="str">
            <v>JILANI</v>
          </cell>
          <cell r="E3200" t="str">
            <v>مدنی پرنٹنگ پریس نارنگ منڈی</v>
          </cell>
        </row>
        <row r="3201">
          <cell r="A3201" t="str">
            <v>1365 J</v>
          </cell>
          <cell r="B3201">
            <v>11580</v>
          </cell>
          <cell r="C3201">
            <v>45726</v>
          </cell>
          <cell r="D3201" t="str">
            <v>JILANI</v>
          </cell>
          <cell r="E3201" t="str">
            <v>مدنی پرنٹنگ پریس نارنگ منڈی</v>
          </cell>
        </row>
        <row r="3202">
          <cell r="A3202" t="str">
            <v>1366 J</v>
          </cell>
          <cell r="B3202">
            <v>11581</v>
          </cell>
          <cell r="C3202">
            <v>45726</v>
          </cell>
          <cell r="D3202" t="str">
            <v>JILANI</v>
          </cell>
          <cell r="E3202" t="str">
            <v>خرم کلاتھ ہاؤس ملتان</v>
          </cell>
        </row>
        <row r="3203">
          <cell r="A3203" t="str">
            <v>1367 J</v>
          </cell>
          <cell r="B3203">
            <v>11582</v>
          </cell>
          <cell r="C3203">
            <v>45726</v>
          </cell>
          <cell r="D3203" t="str">
            <v>JILANI</v>
          </cell>
          <cell r="E3203" t="str">
            <v>شیخ اصغر علی اینڈ سنز سرگودھا</v>
          </cell>
        </row>
        <row r="3204">
          <cell r="A3204" t="str">
            <v>1368 J</v>
          </cell>
          <cell r="B3204">
            <v>11583</v>
          </cell>
          <cell r="C3204">
            <v>45726</v>
          </cell>
          <cell r="D3204" t="str">
            <v>JILANI</v>
          </cell>
          <cell r="E3204" t="str">
            <v>عالم بیکرز حافظ آباد</v>
          </cell>
        </row>
        <row r="3205">
          <cell r="A3205" t="str">
            <v>1369 J</v>
          </cell>
          <cell r="B3205">
            <v>11583</v>
          </cell>
          <cell r="C3205">
            <v>45726</v>
          </cell>
          <cell r="D3205" t="str">
            <v>JILANI</v>
          </cell>
          <cell r="E3205" t="str">
            <v>عالم بیکرز حافظ آباد</v>
          </cell>
        </row>
        <row r="3206">
          <cell r="A3206" t="str">
            <v>1370 J</v>
          </cell>
          <cell r="B3206">
            <v>11584</v>
          </cell>
          <cell r="C3206">
            <v>45726</v>
          </cell>
          <cell r="D3206" t="str">
            <v>JILANI</v>
          </cell>
          <cell r="E3206" t="str">
            <v>شیخ شیراز سیالکوٹ</v>
          </cell>
        </row>
        <row r="3207">
          <cell r="A3207" t="str">
            <v>1371 J</v>
          </cell>
          <cell r="B3207">
            <v>11584</v>
          </cell>
          <cell r="C3207">
            <v>45726</v>
          </cell>
          <cell r="D3207" t="str">
            <v>JILANI</v>
          </cell>
          <cell r="E3207" t="str">
            <v>شیخ شیراز سیالکوٹ</v>
          </cell>
        </row>
        <row r="3208">
          <cell r="A3208" t="str">
            <v>1372 J</v>
          </cell>
          <cell r="B3208">
            <v>11585</v>
          </cell>
          <cell r="C3208">
            <v>45726</v>
          </cell>
          <cell r="D3208" t="str">
            <v>JILANI</v>
          </cell>
          <cell r="E3208" t="str">
            <v>فینسی گارمنٹس کامونکی</v>
          </cell>
        </row>
        <row r="3209">
          <cell r="A3209" t="str">
            <v>1373 J</v>
          </cell>
          <cell r="B3209">
            <v>11585</v>
          </cell>
          <cell r="C3209">
            <v>45726</v>
          </cell>
          <cell r="D3209" t="str">
            <v>JILANI</v>
          </cell>
          <cell r="E3209" t="str">
            <v>فینسی گارمنٹس کامونکی</v>
          </cell>
        </row>
        <row r="3210">
          <cell r="A3210" t="str">
            <v>1374 J</v>
          </cell>
          <cell r="B3210">
            <v>11585</v>
          </cell>
          <cell r="C3210">
            <v>45726</v>
          </cell>
          <cell r="D3210" t="str">
            <v>JILANI</v>
          </cell>
          <cell r="E3210" t="str">
            <v>فینسی گارمنٹس کامونکی</v>
          </cell>
        </row>
        <row r="3211">
          <cell r="A3211" t="str">
            <v>1375 J</v>
          </cell>
          <cell r="B3211">
            <v>11585</v>
          </cell>
          <cell r="C3211">
            <v>45726</v>
          </cell>
          <cell r="D3211" t="str">
            <v>JILANI</v>
          </cell>
          <cell r="E3211" t="str">
            <v>فینسی گارمنٹس کامونکی</v>
          </cell>
        </row>
        <row r="3212">
          <cell r="A3212" t="str">
            <v>1208 F</v>
          </cell>
          <cell r="B3212"/>
          <cell r="C3212">
            <v>45726</v>
          </cell>
          <cell r="D3212" t="str">
            <v>فینا</v>
          </cell>
          <cell r="E3212" t="str">
            <v>عثمان امین</v>
          </cell>
        </row>
        <row r="3213">
          <cell r="A3213" t="str">
            <v>1209 F</v>
          </cell>
          <cell r="B3213"/>
          <cell r="C3213">
            <v>45726</v>
          </cell>
          <cell r="D3213" t="str">
            <v>فینا</v>
          </cell>
          <cell r="E3213" t="str">
            <v>عثمان امین</v>
          </cell>
        </row>
        <row r="3214">
          <cell r="A3214" t="str">
            <v>1210 F</v>
          </cell>
          <cell r="B3214"/>
          <cell r="C3214">
            <v>45726</v>
          </cell>
          <cell r="D3214" t="str">
            <v>فینا</v>
          </cell>
          <cell r="E3214" t="str">
            <v>عثمان امین</v>
          </cell>
        </row>
        <row r="3215">
          <cell r="A3215" t="str">
            <v>1211 F</v>
          </cell>
          <cell r="B3215"/>
          <cell r="C3215">
            <v>45726</v>
          </cell>
          <cell r="D3215" t="str">
            <v>فینا</v>
          </cell>
          <cell r="E3215" t="str">
            <v>عثمان امین</v>
          </cell>
        </row>
        <row r="3216">
          <cell r="A3216" t="str">
            <v>1212 F</v>
          </cell>
          <cell r="B3216"/>
          <cell r="C3216">
            <v>45726</v>
          </cell>
          <cell r="D3216" t="str">
            <v>فینا</v>
          </cell>
          <cell r="E3216" t="str">
            <v>عثمان امین</v>
          </cell>
        </row>
        <row r="3217">
          <cell r="A3217" t="str">
            <v>1213 F</v>
          </cell>
          <cell r="B3217"/>
          <cell r="C3217">
            <v>45726</v>
          </cell>
          <cell r="D3217" t="str">
            <v>فینا</v>
          </cell>
          <cell r="E3217" t="str">
            <v>عثمان امین</v>
          </cell>
        </row>
        <row r="3218">
          <cell r="A3218" t="str">
            <v>1214 F</v>
          </cell>
          <cell r="B3218"/>
          <cell r="C3218">
            <v>45726</v>
          </cell>
          <cell r="D3218" t="str">
            <v>فینا</v>
          </cell>
          <cell r="E3218" t="str">
            <v>عثمان امین</v>
          </cell>
        </row>
        <row r="3219">
          <cell r="A3219" t="str">
            <v>1215 F</v>
          </cell>
          <cell r="B3219"/>
          <cell r="C3219">
            <v>45726</v>
          </cell>
          <cell r="D3219" t="str">
            <v>فینا</v>
          </cell>
          <cell r="E3219" t="str">
            <v>عثمان امین</v>
          </cell>
        </row>
        <row r="3220">
          <cell r="A3220" t="str">
            <v>1216 F</v>
          </cell>
          <cell r="B3220"/>
          <cell r="C3220">
            <v>45726</v>
          </cell>
          <cell r="D3220" t="str">
            <v>فینا</v>
          </cell>
          <cell r="E3220" t="str">
            <v>عثمان امین</v>
          </cell>
        </row>
        <row r="3221">
          <cell r="A3221" t="str">
            <v>6703/1</v>
          </cell>
          <cell r="B3221">
            <v>6703</v>
          </cell>
          <cell r="C3221">
            <v>45724</v>
          </cell>
          <cell r="D3221" t="str">
            <v>یونس صاحب</v>
          </cell>
          <cell r="E3221" t="str">
            <v>ہیڈآفس لاہور</v>
          </cell>
        </row>
        <row r="3222">
          <cell r="A3222" t="str">
            <v>6703/2</v>
          </cell>
          <cell r="B3222">
            <v>6703</v>
          </cell>
          <cell r="C3222">
            <v>45724</v>
          </cell>
          <cell r="D3222" t="str">
            <v>یونس صاحب</v>
          </cell>
          <cell r="E3222" t="str">
            <v>ہیڈآفس لاہور</v>
          </cell>
        </row>
        <row r="3223">
          <cell r="A3223" t="str">
            <v>6703/3</v>
          </cell>
          <cell r="B3223">
            <v>6703</v>
          </cell>
          <cell r="C3223">
            <v>45724</v>
          </cell>
          <cell r="D3223" t="str">
            <v>یونس صاحب</v>
          </cell>
          <cell r="E3223" t="str">
            <v>ہیڈآفس لاہور</v>
          </cell>
        </row>
        <row r="3224">
          <cell r="A3224" t="str">
            <v>6704/1</v>
          </cell>
          <cell r="B3224">
            <v>6704</v>
          </cell>
          <cell r="C3224">
            <v>45724</v>
          </cell>
          <cell r="D3224" t="str">
            <v>یونس صاحب</v>
          </cell>
          <cell r="E3224" t="str">
            <v>شیخ انوار لیہ</v>
          </cell>
        </row>
        <row r="3225">
          <cell r="A3225" t="str">
            <v>4704/2</v>
          </cell>
          <cell r="B3225">
            <v>6704</v>
          </cell>
          <cell r="C3225">
            <v>45724</v>
          </cell>
          <cell r="D3225" t="str">
            <v>یونس صاحب</v>
          </cell>
          <cell r="E3225" t="str">
            <v>شیخ انوار لیہ</v>
          </cell>
        </row>
        <row r="3226">
          <cell r="A3226" t="str">
            <v>6705/1</v>
          </cell>
          <cell r="B3226">
            <v>6705</v>
          </cell>
          <cell r="C3226">
            <v>45724</v>
          </cell>
          <cell r="D3226" t="str">
            <v>یونس صاحب</v>
          </cell>
          <cell r="E3226" t="str">
            <v>طاہر پلاسٹک جھنگ</v>
          </cell>
        </row>
        <row r="3227">
          <cell r="A3227" t="str">
            <v>6705/2</v>
          </cell>
          <cell r="B3227">
            <v>6705</v>
          </cell>
          <cell r="C3227">
            <v>45724</v>
          </cell>
          <cell r="D3227" t="str">
            <v>یونس صاحب</v>
          </cell>
          <cell r="E3227" t="str">
            <v>طاہر پلاسٹک جھنگ</v>
          </cell>
        </row>
        <row r="3228">
          <cell r="A3228" t="str">
            <v>6705/3</v>
          </cell>
          <cell r="B3228">
            <v>6705</v>
          </cell>
          <cell r="C3228">
            <v>45724</v>
          </cell>
          <cell r="D3228" t="str">
            <v>یونس صاحب</v>
          </cell>
          <cell r="E3228" t="str">
            <v>طاہر پلاسٹک جھنگ</v>
          </cell>
        </row>
        <row r="3229">
          <cell r="A3229" t="str">
            <v>6705/4</v>
          </cell>
          <cell r="B3229">
            <v>6705</v>
          </cell>
          <cell r="C3229">
            <v>45724</v>
          </cell>
          <cell r="D3229" t="str">
            <v>یونس صاحب</v>
          </cell>
          <cell r="E3229" t="str">
            <v>طاہر پلاسٹک جھنگ</v>
          </cell>
        </row>
        <row r="3230">
          <cell r="A3230" t="str">
            <v>6705/5</v>
          </cell>
          <cell r="B3230">
            <v>6705</v>
          </cell>
          <cell r="C3230">
            <v>45724</v>
          </cell>
          <cell r="D3230" t="str">
            <v>یونس صاحب</v>
          </cell>
          <cell r="E3230" t="str">
            <v>طاہر پلاسٹک جھنگ</v>
          </cell>
        </row>
        <row r="3231">
          <cell r="A3231" t="str">
            <v>6705/6</v>
          </cell>
          <cell r="B3231">
            <v>6705</v>
          </cell>
          <cell r="C3231">
            <v>45724</v>
          </cell>
          <cell r="D3231" t="str">
            <v>یونس صاحب</v>
          </cell>
          <cell r="E3231" t="str">
            <v>طاہر پلاسٹک جھنگ</v>
          </cell>
        </row>
        <row r="3232">
          <cell r="A3232" t="str">
            <v>6705/7</v>
          </cell>
          <cell r="B3232">
            <v>6705</v>
          </cell>
          <cell r="C3232">
            <v>45724</v>
          </cell>
          <cell r="D3232" t="str">
            <v>یونس صاحب</v>
          </cell>
          <cell r="E3232" t="str">
            <v>طاہر پلاسٹک جھنگ</v>
          </cell>
        </row>
        <row r="3233">
          <cell r="A3233" t="str">
            <v>6706/1</v>
          </cell>
          <cell r="B3233">
            <v>6706</v>
          </cell>
          <cell r="C3233">
            <v>45724</v>
          </cell>
          <cell r="D3233" t="str">
            <v>یونس صاحب</v>
          </cell>
          <cell r="E3233" t="str">
            <v>محبوب مقبول گوجرانوالہ</v>
          </cell>
        </row>
        <row r="3234">
          <cell r="A3234" t="str">
            <v>6706/2</v>
          </cell>
          <cell r="B3234">
            <v>6706</v>
          </cell>
          <cell r="C3234">
            <v>45724</v>
          </cell>
          <cell r="D3234" t="str">
            <v>یونس صاحب</v>
          </cell>
          <cell r="E3234" t="str">
            <v>محبوب مقبول گوجرانوالہ</v>
          </cell>
        </row>
        <row r="3235">
          <cell r="A3235" t="str">
            <v>6707/1</v>
          </cell>
          <cell r="B3235">
            <v>6707</v>
          </cell>
          <cell r="C3235">
            <v>45724</v>
          </cell>
          <cell r="D3235" t="str">
            <v>یونس صاحب</v>
          </cell>
          <cell r="E3235"/>
        </row>
        <row r="3236">
          <cell r="A3236" t="str">
            <v>6707/2</v>
          </cell>
          <cell r="B3236">
            <v>6707</v>
          </cell>
          <cell r="C3236">
            <v>45724</v>
          </cell>
          <cell r="D3236" t="str">
            <v>یونس صاحب</v>
          </cell>
          <cell r="E3236"/>
        </row>
        <row r="3237">
          <cell r="A3237" t="str">
            <v>6707/3</v>
          </cell>
          <cell r="B3237">
            <v>6707</v>
          </cell>
          <cell r="C3237">
            <v>45724</v>
          </cell>
          <cell r="D3237" t="str">
            <v>یونس صاحب</v>
          </cell>
          <cell r="E3237"/>
        </row>
        <row r="3238">
          <cell r="A3238" t="str">
            <v>6708/1</v>
          </cell>
          <cell r="B3238">
            <v>6708</v>
          </cell>
          <cell r="C3238">
            <v>45724</v>
          </cell>
          <cell r="D3238" t="str">
            <v>یونس صاحب</v>
          </cell>
          <cell r="E3238" t="str">
            <v>شمائل پلاسٹک بھکر</v>
          </cell>
        </row>
        <row r="3239">
          <cell r="A3239" t="str">
            <v>6709/1</v>
          </cell>
          <cell r="B3239">
            <v>6709</v>
          </cell>
          <cell r="C3239">
            <v>45727</v>
          </cell>
          <cell r="D3239" t="str">
            <v>یونس صاحب</v>
          </cell>
          <cell r="E3239" t="str">
            <v>ریفلکٹ پیک لاہور</v>
          </cell>
        </row>
        <row r="3240">
          <cell r="A3240" t="str">
            <v>6710/1</v>
          </cell>
          <cell r="B3240">
            <v>6710</v>
          </cell>
          <cell r="C3240">
            <v>45727</v>
          </cell>
          <cell r="D3240" t="str">
            <v>یونس صاحب</v>
          </cell>
          <cell r="E3240" t="str">
            <v>محبوب مقبول گوجرانوالہ</v>
          </cell>
        </row>
        <row r="3241">
          <cell r="A3241" t="str">
            <v>6710/2</v>
          </cell>
          <cell r="B3241">
            <v>6710</v>
          </cell>
          <cell r="C3241">
            <v>45727</v>
          </cell>
          <cell r="D3241" t="str">
            <v>یونس صاحب</v>
          </cell>
          <cell r="E3241" t="str">
            <v>محبوب مقبول گوجرانوالہ</v>
          </cell>
        </row>
        <row r="3242">
          <cell r="A3242" t="str">
            <v>6710/3</v>
          </cell>
          <cell r="B3242">
            <v>6710</v>
          </cell>
          <cell r="C3242">
            <v>45727</v>
          </cell>
          <cell r="D3242" t="str">
            <v>یونس صاحب</v>
          </cell>
          <cell r="E3242" t="str">
            <v>محبوب مقبول گوجرانوالہ</v>
          </cell>
        </row>
        <row r="3243">
          <cell r="A3243" t="str">
            <v>6710/4</v>
          </cell>
          <cell r="B3243">
            <v>6710</v>
          </cell>
          <cell r="C3243">
            <v>45727</v>
          </cell>
          <cell r="D3243" t="str">
            <v>یونس صاحب</v>
          </cell>
          <cell r="E3243" t="str">
            <v>محبوب مقبول گوجرانوالہ</v>
          </cell>
        </row>
        <row r="3244">
          <cell r="A3244" t="str">
            <v>6710/5</v>
          </cell>
          <cell r="B3244">
            <v>6710</v>
          </cell>
          <cell r="C3244">
            <v>45727</v>
          </cell>
          <cell r="D3244" t="str">
            <v>یونس صاحب</v>
          </cell>
          <cell r="E3244" t="str">
            <v>محبوب مقبول گوجرانوالہ</v>
          </cell>
        </row>
        <row r="3245">
          <cell r="A3245" t="str">
            <v>6711/1</v>
          </cell>
          <cell r="B3245">
            <v>6711</v>
          </cell>
          <cell r="C3245">
            <v>45727</v>
          </cell>
          <cell r="D3245" t="str">
            <v>یونس صاحب</v>
          </cell>
          <cell r="E3245" t="str">
            <v>العرپلاسٹک گوجرانوالہ</v>
          </cell>
        </row>
        <row r="3246">
          <cell r="A3246" t="str">
            <v>6711/2</v>
          </cell>
          <cell r="B3246">
            <v>6711</v>
          </cell>
          <cell r="C3246">
            <v>45727</v>
          </cell>
          <cell r="D3246" t="str">
            <v>یونس صاحب</v>
          </cell>
          <cell r="E3246" t="str">
            <v>العرپلاسٹک گوجرانوالہ</v>
          </cell>
        </row>
        <row r="3247">
          <cell r="A3247" t="str">
            <v>6711/3</v>
          </cell>
          <cell r="B3247">
            <v>6711</v>
          </cell>
          <cell r="C3247">
            <v>45727</v>
          </cell>
          <cell r="D3247" t="str">
            <v>یونس صاحب</v>
          </cell>
          <cell r="E3247" t="str">
            <v>العرپلاسٹک گوجرانوالہ</v>
          </cell>
        </row>
        <row r="3248">
          <cell r="A3248" t="str">
            <v>6711/4</v>
          </cell>
          <cell r="B3248">
            <v>6711</v>
          </cell>
          <cell r="C3248">
            <v>45727</v>
          </cell>
          <cell r="D3248" t="str">
            <v>یونس صاحب</v>
          </cell>
          <cell r="E3248" t="str">
            <v>العرپلاسٹک گوجرانوالہ</v>
          </cell>
        </row>
        <row r="3249">
          <cell r="A3249" t="str">
            <v>6711/5</v>
          </cell>
          <cell r="B3249">
            <v>6711</v>
          </cell>
          <cell r="C3249">
            <v>45727</v>
          </cell>
          <cell r="D3249" t="str">
            <v>یونس صاحب</v>
          </cell>
          <cell r="E3249" t="str">
            <v>العرپلاسٹک گوجرانوالہ</v>
          </cell>
        </row>
        <row r="3250">
          <cell r="A3250" t="str">
            <v>6711/6</v>
          </cell>
          <cell r="B3250">
            <v>6711</v>
          </cell>
          <cell r="C3250">
            <v>45727</v>
          </cell>
          <cell r="D3250" t="str">
            <v>یونس صاحب</v>
          </cell>
          <cell r="E3250" t="str">
            <v>العرپلاسٹک گوجرانوالہ</v>
          </cell>
        </row>
        <row r="3251">
          <cell r="A3251" t="str">
            <v>6711/7</v>
          </cell>
          <cell r="B3251">
            <v>6711</v>
          </cell>
          <cell r="C3251">
            <v>45727</v>
          </cell>
          <cell r="D3251" t="str">
            <v>یونس صاحب</v>
          </cell>
          <cell r="E3251" t="str">
            <v>العرپلاسٹک گوجرانوالہ</v>
          </cell>
        </row>
        <row r="3252">
          <cell r="A3252" t="str">
            <v>6711/8</v>
          </cell>
          <cell r="B3252">
            <v>6711</v>
          </cell>
          <cell r="C3252">
            <v>45727</v>
          </cell>
          <cell r="D3252" t="str">
            <v>یونس صاحب</v>
          </cell>
          <cell r="E3252" t="str">
            <v>العرپلاسٹک گوجرانوالہ</v>
          </cell>
        </row>
        <row r="3253">
          <cell r="A3253" t="str">
            <v>6712/1</v>
          </cell>
          <cell r="B3253">
            <v>6712</v>
          </cell>
          <cell r="C3253">
            <v>45727</v>
          </cell>
          <cell r="D3253" t="str">
            <v>یونس صاحب</v>
          </cell>
          <cell r="E3253" t="str">
            <v>آصف پلاسٹک سرگودھا</v>
          </cell>
        </row>
        <row r="3254">
          <cell r="A3254" t="str">
            <v>6712/2</v>
          </cell>
          <cell r="B3254">
            <v>6712</v>
          </cell>
          <cell r="C3254">
            <v>45727</v>
          </cell>
          <cell r="D3254" t="str">
            <v>یونس صاحب</v>
          </cell>
          <cell r="E3254" t="str">
            <v>آصف پلاسٹک سرگودھا</v>
          </cell>
        </row>
        <row r="3255">
          <cell r="A3255" t="str">
            <v>6712/3</v>
          </cell>
          <cell r="B3255">
            <v>6712</v>
          </cell>
          <cell r="C3255">
            <v>45727</v>
          </cell>
          <cell r="D3255" t="str">
            <v>یونس صاحب</v>
          </cell>
          <cell r="E3255" t="str">
            <v>آصف پلاسٹک سرگودھا</v>
          </cell>
        </row>
        <row r="3256">
          <cell r="A3256" t="str">
            <v>6712/4</v>
          </cell>
          <cell r="B3256">
            <v>6712</v>
          </cell>
          <cell r="C3256">
            <v>45727</v>
          </cell>
          <cell r="D3256" t="str">
            <v>یونس صاحب</v>
          </cell>
          <cell r="E3256" t="str">
            <v>آصف پلاسٹک سرگودھا</v>
          </cell>
        </row>
        <row r="3257">
          <cell r="A3257" t="str">
            <v>6713/1</v>
          </cell>
          <cell r="B3257">
            <v>6713</v>
          </cell>
          <cell r="C3257">
            <v>45727</v>
          </cell>
          <cell r="D3257" t="str">
            <v>یونس صاحب</v>
          </cell>
          <cell r="E3257" t="str">
            <v>کیپ انٹر نیشنل لاہور</v>
          </cell>
        </row>
        <row r="3258">
          <cell r="A3258" t="str">
            <v>6714/1</v>
          </cell>
          <cell r="B3258">
            <v>6714</v>
          </cell>
          <cell r="C3258">
            <v>45727</v>
          </cell>
          <cell r="D3258" t="str">
            <v>یونس صاحب</v>
          </cell>
          <cell r="E3258" t="str">
            <v>العرپلاسٹک گوجرانوالہ</v>
          </cell>
        </row>
        <row r="3259">
          <cell r="A3259" t="str">
            <v>6414/2</v>
          </cell>
          <cell r="B3259">
            <v>6714</v>
          </cell>
          <cell r="C3259">
            <v>45727</v>
          </cell>
          <cell r="D3259" t="str">
            <v>یونس صاحب</v>
          </cell>
          <cell r="E3259" t="str">
            <v>العرپلاسٹک گوجرانوالہ</v>
          </cell>
        </row>
        <row r="3260">
          <cell r="A3260" t="str">
            <v>6715/1</v>
          </cell>
          <cell r="B3260">
            <v>6715</v>
          </cell>
          <cell r="C3260">
            <v>45727</v>
          </cell>
          <cell r="D3260" t="str">
            <v>یونس صاحب</v>
          </cell>
          <cell r="E3260" t="str">
            <v>نذیر پلاسٹک ملتان</v>
          </cell>
        </row>
        <row r="3261">
          <cell r="A3261" t="str">
            <v>6715/2</v>
          </cell>
          <cell r="B3261">
            <v>6715</v>
          </cell>
          <cell r="C3261">
            <v>45727</v>
          </cell>
          <cell r="D3261" t="str">
            <v>یونس صاحب</v>
          </cell>
          <cell r="E3261" t="str">
            <v>نذیر پلاسٹک ملتان</v>
          </cell>
        </row>
        <row r="3262">
          <cell r="A3262" t="str">
            <v>6715/3</v>
          </cell>
          <cell r="B3262">
            <v>6715</v>
          </cell>
          <cell r="C3262">
            <v>45727</v>
          </cell>
          <cell r="D3262" t="str">
            <v>یونس صاحب</v>
          </cell>
          <cell r="E3262" t="str">
            <v>نذیر پلاسٹک ملتان</v>
          </cell>
        </row>
        <row r="3263">
          <cell r="A3263" t="str">
            <v>6716/1</v>
          </cell>
          <cell r="B3263">
            <v>6716</v>
          </cell>
          <cell r="C3263">
            <v>45728</v>
          </cell>
          <cell r="D3263" t="str">
            <v>یونس صاحب</v>
          </cell>
          <cell r="E3263" t="str">
            <v>فقیر پلاسٹک عارف والا</v>
          </cell>
        </row>
        <row r="3264">
          <cell r="A3264" t="str">
            <v>6716/2</v>
          </cell>
          <cell r="B3264">
            <v>6716</v>
          </cell>
          <cell r="C3264">
            <v>45728</v>
          </cell>
          <cell r="D3264" t="str">
            <v>یونس صاحب</v>
          </cell>
          <cell r="E3264" t="str">
            <v>فقیر پلاسٹک عارف والا</v>
          </cell>
        </row>
        <row r="3265">
          <cell r="A3265" t="str">
            <v>6717/1</v>
          </cell>
          <cell r="B3265">
            <v>6717</v>
          </cell>
          <cell r="C3265">
            <v>45728</v>
          </cell>
          <cell r="D3265" t="str">
            <v>یونس صاحب</v>
          </cell>
          <cell r="E3265" t="str">
            <v>ایم سلمان پاکستان مارکیٹ</v>
          </cell>
        </row>
        <row r="3266">
          <cell r="A3266" t="str">
            <v>6717/2</v>
          </cell>
          <cell r="B3266">
            <v>6717</v>
          </cell>
          <cell r="C3266">
            <v>45728</v>
          </cell>
          <cell r="D3266" t="str">
            <v>یونس صاحب</v>
          </cell>
          <cell r="E3266" t="str">
            <v>ایم سلمان پاکستان مارکیٹ</v>
          </cell>
        </row>
        <row r="3267">
          <cell r="A3267" t="str">
            <v>6718/1</v>
          </cell>
          <cell r="B3267">
            <v>6718</v>
          </cell>
          <cell r="C3267">
            <v>45728</v>
          </cell>
          <cell r="D3267" t="str">
            <v>یونس صاحب</v>
          </cell>
          <cell r="E3267" t="str">
            <v>ملک ثناء حویلیاں</v>
          </cell>
        </row>
        <row r="3268">
          <cell r="A3268" t="str">
            <v>6718/2</v>
          </cell>
          <cell r="B3268">
            <v>6718</v>
          </cell>
          <cell r="C3268">
            <v>45728</v>
          </cell>
          <cell r="D3268" t="str">
            <v>یونس صاحب</v>
          </cell>
          <cell r="E3268" t="str">
            <v>ملک ثناء حویلیاں</v>
          </cell>
        </row>
        <row r="3269">
          <cell r="A3269" t="str">
            <v>6718/3</v>
          </cell>
          <cell r="B3269">
            <v>6718</v>
          </cell>
          <cell r="C3269">
            <v>45728</v>
          </cell>
          <cell r="D3269" t="str">
            <v>یونس صاحب</v>
          </cell>
          <cell r="E3269" t="str">
            <v>ملک ثناء حویلیاں</v>
          </cell>
        </row>
        <row r="3270">
          <cell r="A3270" t="str">
            <v>6719/1</v>
          </cell>
          <cell r="B3270">
            <v>6719</v>
          </cell>
          <cell r="C3270">
            <v>45729</v>
          </cell>
          <cell r="D3270" t="str">
            <v>یونس صاحب</v>
          </cell>
          <cell r="E3270" t="str">
            <v>مقبول پرنٹر ہری پور</v>
          </cell>
        </row>
        <row r="3271">
          <cell r="A3271" t="str">
            <v>6719/2</v>
          </cell>
          <cell r="B3271">
            <v>6719</v>
          </cell>
          <cell r="C3271">
            <v>45729</v>
          </cell>
          <cell r="D3271" t="str">
            <v>یونس صاحب</v>
          </cell>
          <cell r="E3271" t="str">
            <v>مقبول پرنٹر ہری پور</v>
          </cell>
        </row>
        <row r="3272">
          <cell r="A3272" t="str">
            <v>6720/1</v>
          </cell>
          <cell r="B3272">
            <v>6720</v>
          </cell>
          <cell r="C3272">
            <v>45729</v>
          </cell>
          <cell r="D3272" t="str">
            <v>یونس صاحب</v>
          </cell>
          <cell r="E3272" t="str">
            <v>محبوب لفافہ ہری پور</v>
          </cell>
        </row>
        <row r="3273">
          <cell r="A3273" t="str">
            <v>6721/1</v>
          </cell>
          <cell r="B3273">
            <v>6721</v>
          </cell>
          <cell r="C3273">
            <v>45729</v>
          </cell>
          <cell r="D3273" t="str">
            <v>یونس صاحب</v>
          </cell>
          <cell r="E3273" t="str">
            <v>آصف پلاسٹک سرگودھا</v>
          </cell>
        </row>
        <row r="3274">
          <cell r="A3274" t="str">
            <v>6721/2</v>
          </cell>
          <cell r="B3274">
            <v>6721</v>
          </cell>
          <cell r="C3274">
            <v>45729</v>
          </cell>
          <cell r="D3274" t="str">
            <v>یونس صاحب</v>
          </cell>
          <cell r="E3274" t="str">
            <v>آصف پلاسٹک سرگودھا</v>
          </cell>
        </row>
        <row r="3275">
          <cell r="A3275" t="str">
            <v>6721/3</v>
          </cell>
          <cell r="B3275">
            <v>6721</v>
          </cell>
          <cell r="C3275">
            <v>45729</v>
          </cell>
          <cell r="D3275" t="str">
            <v>یونس صاحب</v>
          </cell>
          <cell r="E3275" t="str">
            <v>آصف پلاسٹک سرگودھا</v>
          </cell>
        </row>
        <row r="3276">
          <cell r="A3276" t="str">
            <v>6721/4</v>
          </cell>
          <cell r="B3276">
            <v>6721</v>
          </cell>
          <cell r="C3276">
            <v>45729</v>
          </cell>
          <cell r="D3276" t="str">
            <v>یونس صاحب</v>
          </cell>
          <cell r="E3276" t="str">
            <v>آصف پلاسٹک سرگودھا</v>
          </cell>
        </row>
        <row r="3277">
          <cell r="A3277" t="str">
            <v>6721/5</v>
          </cell>
          <cell r="B3277">
            <v>6721</v>
          </cell>
          <cell r="C3277">
            <v>45729</v>
          </cell>
          <cell r="D3277" t="str">
            <v>یونس صاحب</v>
          </cell>
          <cell r="E3277" t="str">
            <v>آصف پلاسٹک سرگودھا</v>
          </cell>
        </row>
        <row r="3278">
          <cell r="A3278" t="str">
            <v>6721/6</v>
          </cell>
          <cell r="B3278">
            <v>6721</v>
          </cell>
          <cell r="C3278">
            <v>45729</v>
          </cell>
          <cell r="D3278" t="str">
            <v>یونس صاحب</v>
          </cell>
          <cell r="E3278" t="str">
            <v>آصف پلاسٹک سرگودھا</v>
          </cell>
        </row>
        <row r="3279">
          <cell r="A3279" t="str">
            <v>6722/1</v>
          </cell>
          <cell r="B3279">
            <v>6722</v>
          </cell>
          <cell r="C3279">
            <v>45729</v>
          </cell>
          <cell r="D3279" t="str">
            <v>یونس صاحب</v>
          </cell>
          <cell r="E3279" t="str">
            <v>علمد بن حاصلپور</v>
          </cell>
        </row>
        <row r="3280">
          <cell r="A3280" t="str">
            <v>6723/1</v>
          </cell>
          <cell r="B3280">
            <v>6723</v>
          </cell>
          <cell r="C3280">
            <v>45729</v>
          </cell>
          <cell r="D3280" t="str">
            <v>یونس صاحب</v>
          </cell>
          <cell r="E3280" t="str">
            <v>محبوب مقبول گوجرانوالہ</v>
          </cell>
        </row>
        <row r="3281">
          <cell r="A3281" t="str">
            <v>6724/1</v>
          </cell>
          <cell r="B3281">
            <v>6724</v>
          </cell>
          <cell r="C3281">
            <v>45729</v>
          </cell>
          <cell r="D3281" t="str">
            <v>یونس صاحب</v>
          </cell>
          <cell r="E3281" t="str">
            <v>نذیر پلاسٹک بہاولپور</v>
          </cell>
        </row>
        <row r="3282">
          <cell r="A3282" t="str">
            <v>6724/2</v>
          </cell>
          <cell r="B3282">
            <v>6724</v>
          </cell>
          <cell r="C3282">
            <v>45729</v>
          </cell>
          <cell r="D3282" t="str">
            <v>یونس صاحب</v>
          </cell>
          <cell r="E3282" t="str">
            <v>نذیر پلاسٹک بہاولپور</v>
          </cell>
        </row>
        <row r="3283">
          <cell r="A3283" t="str">
            <v>6724/3</v>
          </cell>
          <cell r="B3283">
            <v>6724</v>
          </cell>
          <cell r="C3283">
            <v>45729</v>
          </cell>
          <cell r="D3283" t="str">
            <v>یونس صاحب</v>
          </cell>
          <cell r="E3283" t="str">
            <v>نذیر پلاسٹک بہاولپور</v>
          </cell>
        </row>
        <row r="3284">
          <cell r="A3284" t="str">
            <v>6725/1</v>
          </cell>
          <cell r="B3284">
            <v>6725</v>
          </cell>
          <cell r="C3284">
            <v>45729</v>
          </cell>
          <cell r="D3284" t="str">
            <v>یونس صاحب</v>
          </cell>
          <cell r="E3284" t="str">
            <v>ملک اسلم خانپور</v>
          </cell>
        </row>
        <row r="3285">
          <cell r="A3285" t="str">
            <v>6725/2</v>
          </cell>
          <cell r="B3285">
            <v>6725</v>
          </cell>
          <cell r="C3285">
            <v>45729</v>
          </cell>
          <cell r="D3285" t="str">
            <v>یونس صاحب</v>
          </cell>
          <cell r="E3285" t="str">
            <v>ملک اسلم خانپور</v>
          </cell>
        </row>
        <row r="3286">
          <cell r="A3286" t="str">
            <v>6725/3</v>
          </cell>
          <cell r="B3286">
            <v>6725</v>
          </cell>
          <cell r="C3286">
            <v>45729</v>
          </cell>
          <cell r="D3286" t="str">
            <v>یونس صاحب</v>
          </cell>
          <cell r="E3286" t="str">
            <v>ملک اسلم خانپور</v>
          </cell>
        </row>
        <row r="3287">
          <cell r="A3287" t="str">
            <v>6725/4</v>
          </cell>
          <cell r="B3287">
            <v>6725</v>
          </cell>
          <cell r="C3287">
            <v>45729</v>
          </cell>
          <cell r="D3287" t="str">
            <v>یونس صاحب</v>
          </cell>
          <cell r="E3287" t="str">
            <v>ملک اسلم خانپور</v>
          </cell>
        </row>
        <row r="3288">
          <cell r="A3288" t="str">
            <v>6726/1</v>
          </cell>
          <cell r="B3288">
            <v>6726</v>
          </cell>
          <cell r="C3288">
            <v>45729</v>
          </cell>
          <cell r="D3288" t="str">
            <v>یونس صاحب</v>
          </cell>
          <cell r="E3288" t="str">
            <v>عبد الباری وہاڑی</v>
          </cell>
        </row>
        <row r="3289">
          <cell r="A3289" t="str">
            <v>6726/2</v>
          </cell>
          <cell r="B3289">
            <v>6726</v>
          </cell>
          <cell r="C3289">
            <v>45729</v>
          </cell>
          <cell r="D3289" t="str">
            <v>یونس صاحب</v>
          </cell>
          <cell r="E3289" t="str">
            <v>عبد الباری وہاڑی</v>
          </cell>
        </row>
        <row r="3290">
          <cell r="A3290" t="str">
            <v>6727/1</v>
          </cell>
          <cell r="B3290">
            <v>6727</v>
          </cell>
          <cell r="C3290">
            <v>45729</v>
          </cell>
          <cell r="D3290" t="str">
            <v>یونس صاحب</v>
          </cell>
          <cell r="E3290" t="str">
            <v>حنان پلاسٹک فیصل آباد</v>
          </cell>
        </row>
        <row r="3291">
          <cell r="A3291" t="str">
            <v>6727/2</v>
          </cell>
          <cell r="B3291">
            <v>6727</v>
          </cell>
          <cell r="C3291">
            <v>45729</v>
          </cell>
          <cell r="D3291" t="str">
            <v>یونس صاحب</v>
          </cell>
          <cell r="E3291" t="str">
            <v>حنان پلاسٹک فیصل آباد</v>
          </cell>
        </row>
        <row r="3292">
          <cell r="A3292" t="str">
            <v>6728/1</v>
          </cell>
          <cell r="B3292">
            <v>6728</v>
          </cell>
          <cell r="C3292">
            <v>45729</v>
          </cell>
          <cell r="D3292" t="str">
            <v>یونس صاحب</v>
          </cell>
          <cell r="E3292" t="str">
            <v>گڈ لک شاہ عالم</v>
          </cell>
        </row>
        <row r="3293">
          <cell r="A3293" t="str">
            <v>6729/1</v>
          </cell>
          <cell r="B3293">
            <v>6729</v>
          </cell>
          <cell r="C3293">
            <v>45729</v>
          </cell>
          <cell r="D3293" t="str">
            <v>یونس صاحب</v>
          </cell>
          <cell r="E3293" t="str">
            <v>محبوب مقبول گوجرانوالہ</v>
          </cell>
        </row>
        <row r="3294">
          <cell r="A3294" t="str">
            <v>6729/2</v>
          </cell>
          <cell r="B3294">
            <v>6729</v>
          </cell>
          <cell r="C3294">
            <v>45729</v>
          </cell>
          <cell r="D3294" t="str">
            <v>یونس صاحب</v>
          </cell>
          <cell r="E3294" t="str">
            <v>محبوب مقبول گوجرانوالہ</v>
          </cell>
        </row>
        <row r="3295">
          <cell r="A3295" t="str">
            <v>1376 J</v>
          </cell>
          <cell r="B3295">
            <v>11586</v>
          </cell>
          <cell r="C3295">
            <v>45727</v>
          </cell>
          <cell r="D3295" t="str">
            <v>JILANI</v>
          </cell>
          <cell r="E3295" t="str">
            <v>کیکس اینڈ بیکس لاہور</v>
          </cell>
        </row>
        <row r="3296">
          <cell r="A3296" t="str">
            <v>1377 J</v>
          </cell>
          <cell r="B3296">
            <v>11587</v>
          </cell>
          <cell r="C3296">
            <v>45727</v>
          </cell>
          <cell r="D3296" t="str">
            <v>JILANI</v>
          </cell>
          <cell r="E3296" t="str">
            <v>عالم پرنٹرز بٹ خیلہ</v>
          </cell>
        </row>
        <row r="3297">
          <cell r="A3297" t="str">
            <v>1378 J</v>
          </cell>
          <cell r="B3297">
            <v>11587</v>
          </cell>
          <cell r="C3297">
            <v>45727</v>
          </cell>
          <cell r="D3297" t="str">
            <v>JILANI</v>
          </cell>
          <cell r="E3297" t="str">
            <v>عالم پرنٹرز بٹ خیلہ</v>
          </cell>
        </row>
        <row r="3298">
          <cell r="A3298" t="str">
            <v>1379 J</v>
          </cell>
          <cell r="B3298">
            <v>11588</v>
          </cell>
          <cell r="C3298">
            <v>45727</v>
          </cell>
          <cell r="D3298" t="str">
            <v>JILANI</v>
          </cell>
          <cell r="E3298" t="str">
            <v>ایچ اے انڈسٹریز پشاور</v>
          </cell>
        </row>
        <row r="3299">
          <cell r="A3299" t="str">
            <v>1380 J</v>
          </cell>
          <cell r="B3299">
            <v>11589</v>
          </cell>
          <cell r="C3299">
            <v>45727</v>
          </cell>
          <cell r="D3299" t="str">
            <v>JILANI</v>
          </cell>
          <cell r="E3299" t="str">
            <v>عالم پرنٹرز بٹ خیلہ</v>
          </cell>
        </row>
        <row r="3300">
          <cell r="A3300" t="str">
            <v>1381 J</v>
          </cell>
          <cell r="B3300">
            <v>11590</v>
          </cell>
          <cell r="C3300">
            <v>45727</v>
          </cell>
          <cell r="D3300" t="str">
            <v>JILANI</v>
          </cell>
          <cell r="E3300" t="str">
            <v>انٹرنیشنل انڈسٹری لیمیٹڈ</v>
          </cell>
        </row>
        <row r="3301">
          <cell r="A3301" t="str">
            <v>1382 J</v>
          </cell>
          <cell r="B3301">
            <v>11591</v>
          </cell>
          <cell r="C3301">
            <v>45727</v>
          </cell>
          <cell r="D3301" t="str">
            <v>JILANI</v>
          </cell>
          <cell r="E3301" t="str">
            <v>رواج گارمنٹس سیالکوٹ</v>
          </cell>
        </row>
        <row r="3302">
          <cell r="A3302" t="str">
            <v>1383 J</v>
          </cell>
          <cell r="B3302">
            <v>11592</v>
          </cell>
          <cell r="C3302">
            <v>45727</v>
          </cell>
          <cell r="D3302" t="str">
            <v>JILANI</v>
          </cell>
          <cell r="E3302" t="str">
            <v>احسان کاٹن پراڈکٹس</v>
          </cell>
        </row>
        <row r="3303">
          <cell r="A3303" t="str">
            <v>1384 J</v>
          </cell>
          <cell r="B3303">
            <v>11592</v>
          </cell>
          <cell r="C3303">
            <v>45727</v>
          </cell>
          <cell r="D3303" t="str">
            <v>JILANI</v>
          </cell>
          <cell r="E3303" t="str">
            <v>احسان کاٹن پراڈکٹس</v>
          </cell>
        </row>
        <row r="3304">
          <cell r="A3304" t="str">
            <v>1385 J</v>
          </cell>
          <cell r="B3304">
            <v>11593</v>
          </cell>
          <cell r="C3304">
            <v>45728</v>
          </cell>
          <cell r="D3304" t="str">
            <v>JILANI</v>
          </cell>
          <cell r="E3304" t="str">
            <v>خان بابا فیبرکس لاہور</v>
          </cell>
        </row>
        <row r="3305">
          <cell r="A3305" t="str">
            <v>1386 J</v>
          </cell>
          <cell r="B3305">
            <v>11593</v>
          </cell>
          <cell r="C3305">
            <v>45728</v>
          </cell>
          <cell r="D3305" t="str">
            <v>JILANI</v>
          </cell>
          <cell r="E3305" t="str">
            <v>خان بابا فیبرکس لاہور</v>
          </cell>
        </row>
        <row r="3306">
          <cell r="A3306" t="str">
            <v>1387 J</v>
          </cell>
          <cell r="B3306">
            <v>11594</v>
          </cell>
          <cell r="C3306">
            <v>45728</v>
          </cell>
          <cell r="D3306" t="str">
            <v>JILANI</v>
          </cell>
          <cell r="E3306" t="str">
            <v>بولان پیسٹری کوئٹہ</v>
          </cell>
        </row>
        <row r="3307">
          <cell r="A3307" t="str">
            <v>1388 J</v>
          </cell>
          <cell r="B3307">
            <v>11595</v>
          </cell>
          <cell r="C3307">
            <v>45728</v>
          </cell>
          <cell r="D3307" t="str">
            <v>JILANI</v>
          </cell>
          <cell r="E3307" t="str">
            <v>رضا گارمنٹس لاہور</v>
          </cell>
        </row>
        <row r="3308">
          <cell r="A3308" t="str">
            <v>1389 J</v>
          </cell>
          <cell r="B3308">
            <v>11596</v>
          </cell>
          <cell r="C3308">
            <v>45728</v>
          </cell>
          <cell r="D3308" t="str">
            <v>JILANI</v>
          </cell>
          <cell r="E3308" t="str">
            <v>حق آرتھوپیڈک ہسپتال لاہور</v>
          </cell>
        </row>
        <row r="3309">
          <cell r="A3309" t="str">
            <v>1390 J</v>
          </cell>
          <cell r="B3309">
            <v>11597</v>
          </cell>
          <cell r="C3309">
            <v>45728</v>
          </cell>
          <cell r="D3309" t="str">
            <v>JILANI</v>
          </cell>
          <cell r="E3309" t="str">
            <v>ایچ ایم ڈی ٹریڈرز اسلام آباد</v>
          </cell>
        </row>
        <row r="3310">
          <cell r="A3310" t="str">
            <v>1391 J</v>
          </cell>
          <cell r="B3310">
            <v>11597</v>
          </cell>
          <cell r="C3310">
            <v>45728</v>
          </cell>
          <cell r="D3310" t="str">
            <v>JILANI</v>
          </cell>
          <cell r="E3310" t="str">
            <v>ایچ ایم ڈی ٹریڈرز اسلام آباد</v>
          </cell>
        </row>
        <row r="3311">
          <cell r="A3311" t="str">
            <v>1392 J</v>
          </cell>
          <cell r="B3311">
            <v>11598</v>
          </cell>
          <cell r="C3311">
            <v>45728</v>
          </cell>
          <cell r="D3311" t="str">
            <v>JILANI</v>
          </cell>
          <cell r="E3311" t="str">
            <v>ایچ ایم ڈی ٹریڈرز اسلام آباد</v>
          </cell>
        </row>
        <row r="3312">
          <cell r="A3312" t="str">
            <v>1393 J</v>
          </cell>
          <cell r="B3312">
            <v>11599</v>
          </cell>
          <cell r="C3312">
            <v>45728</v>
          </cell>
          <cell r="D3312" t="str">
            <v>JILANI</v>
          </cell>
          <cell r="E3312" t="str">
            <v>کراچی لیس سنٹر لاہور</v>
          </cell>
        </row>
        <row r="3313">
          <cell r="A3313" t="str">
            <v>1394 J</v>
          </cell>
          <cell r="B3313">
            <v>11599</v>
          </cell>
          <cell r="C3313">
            <v>45728</v>
          </cell>
          <cell r="D3313" t="str">
            <v>JILANI</v>
          </cell>
          <cell r="E3313" t="str">
            <v>کراچی لیس سنٹر لاہور</v>
          </cell>
        </row>
        <row r="3314">
          <cell r="A3314" t="str">
            <v>1395 J</v>
          </cell>
          <cell r="B3314">
            <v>11600</v>
          </cell>
          <cell r="C3314">
            <v>45728</v>
          </cell>
          <cell r="D3314" t="str">
            <v>JILANI</v>
          </cell>
          <cell r="E3314" t="str">
            <v>جیلانی ہیڈ آفس</v>
          </cell>
        </row>
        <row r="3315">
          <cell r="A3315" t="str">
            <v>1396 J</v>
          </cell>
          <cell r="B3315">
            <v>11600</v>
          </cell>
          <cell r="C3315">
            <v>45728</v>
          </cell>
          <cell r="D3315" t="str">
            <v>JILANI</v>
          </cell>
          <cell r="E3315" t="str">
            <v>جیلانی ہیڈ آفس</v>
          </cell>
        </row>
        <row r="3316">
          <cell r="A3316" t="str">
            <v>1397 J</v>
          </cell>
          <cell r="B3316">
            <v>11601</v>
          </cell>
          <cell r="C3316">
            <v>45728</v>
          </cell>
          <cell r="D3316" t="str">
            <v>JILANI</v>
          </cell>
          <cell r="E3316" t="str">
            <v>ملک وے ملک لاہور</v>
          </cell>
        </row>
        <row r="3317">
          <cell r="A3317" t="str">
            <v>1398 J</v>
          </cell>
          <cell r="B3317">
            <v>11602</v>
          </cell>
          <cell r="C3317">
            <v>45729</v>
          </cell>
          <cell r="D3317" t="str">
            <v>JILANI</v>
          </cell>
          <cell r="E3317" t="str">
            <v>برگر سوسی شاہدرہ لاہور</v>
          </cell>
        </row>
        <row r="3318">
          <cell r="A3318" t="str">
            <v>1399 J</v>
          </cell>
          <cell r="B3318">
            <v>11602</v>
          </cell>
          <cell r="C3318">
            <v>45729</v>
          </cell>
          <cell r="D3318" t="str">
            <v>JILANI</v>
          </cell>
          <cell r="E3318" t="str">
            <v>برگر سوسی شاہدرہ لاہور</v>
          </cell>
        </row>
        <row r="3319">
          <cell r="A3319" t="str">
            <v>1400 J</v>
          </cell>
          <cell r="B3319">
            <v>11602</v>
          </cell>
          <cell r="C3319">
            <v>45729</v>
          </cell>
          <cell r="D3319" t="str">
            <v>JILANI</v>
          </cell>
          <cell r="E3319" t="str">
            <v>برگر سوسی شاہدرہ لاہور</v>
          </cell>
        </row>
        <row r="3320">
          <cell r="A3320" t="str">
            <v>1401 J</v>
          </cell>
          <cell r="B3320">
            <v>11603</v>
          </cell>
          <cell r="C3320">
            <v>45729</v>
          </cell>
          <cell r="D3320" t="str">
            <v>JILANI</v>
          </cell>
          <cell r="E3320" t="str">
            <v>قدیر پلاسٹک فیصل آباد</v>
          </cell>
        </row>
        <row r="3321">
          <cell r="A3321" t="str">
            <v>1402 J</v>
          </cell>
          <cell r="B3321">
            <v>11603</v>
          </cell>
          <cell r="C3321">
            <v>45729</v>
          </cell>
          <cell r="D3321" t="str">
            <v>JILANI</v>
          </cell>
          <cell r="E3321" t="str">
            <v>قدیر پرنٹنگ فیصل آباد</v>
          </cell>
        </row>
        <row r="3322">
          <cell r="A3322" t="str">
            <v>1403 J</v>
          </cell>
          <cell r="B3322">
            <v>11604</v>
          </cell>
          <cell r="C3322">
            <v>45729</v>
          </cell>
          <cell r="D3322" t="str">
            <v>JILANI</v>
          </cell>
          <cell r="E3322" t="str">
            <v>نیو رائل سویٹس اینڈ بیکرز کوہاٹ</v>
          </cell>
        </row>
        <row r="3323">
          <cell r="A3323" t="str">
            <v>1404 J</v>
          </cell>
          <cell r="B3323">
            <v>11604</v>
          </cell>
          <cell r="C3323">
            <v>45729</v>
          </cell>
          <cell r="D3323" t="str">
            <v>JILANI</v>
          </cell>
          <cell r="E3323" t="str">
            <v>نیو رائل سویٹس اینڈ بیکرز کوہاٹ</v>
          </cell>
        </row>
        <row r="3324">
          <cell r="A3324" t="str">
            <v>1405 J</v>
          </cell>
          <cell r="B3324">
            <v>11605</v>
          </cell>
          <cell r="C3324">
            <v>45729</v>
          </cell>
          <cell r="D3324" t="str">
            <v>JILANI</v>
          </cell>
          <cell r="E3324" t="str">
            <v>شعیب آٹوز راولپنڈی</v>
          </cell>
        </row>
        <row r="3325">
          <cell r="A3325" t="str">
            <v>1406 J</v>
          </cell>
          <cell r="B3325">
            <v>11606</v>
          </cell>
          <cell r="C3325">
            <v>45729</v>
          </cell>
          <cell r="D3325" t="str">
            <v>JILANI</v>
          </cell>
          <cell r="E3325" t="str">
            <v>شعیب آٹوز راولپنڈی</v>
          </cell>
        </row>
        <row r="3326">
          <cell r="A3326" t="str">
            <v>1407 J</v>
          </cell>
          <cell r="B3326">
            <v>11606</v>
          </cell>
          <cell r="C3326">
            <v>45729</v>
          </cell>
          <cell r="D3326" t="str">
            <v>JILANI</v>
          </cell>
          <cell r="E3326" t="str">
            <v>شعیب آٹوز راولپنڈی</v>
          </cell>
        </row>
        <row r="3327">
          <cell r="A3327" t="str">
            <v>1408 J</v>
          </cell>
          <cell r="B3327">
            <v>11606</v>
          </cell>
          <cell r="C3327">
            <v>45729</v>
          </cell>
          <cell r="D3327" t="str">
            <v>JILANI</v>
          </cell>
          <cell r="E3327" t="str">
            <v>شعیب آٹوز راولپنڈی</v>
          </cell>
        </row>
        <row r="3328">
          <cell r="A3328" t="str">
            <v>1409 J</v>
          </cell>
          <cell r="B3328">
            <v>11606</v>
          </cell>
          <cell r="C3328">
            <v>45729</v>
          </cell>
          <cell r="D3328" t="str">
            <v>JILANI</v>
          </cell>
          <cell r="E3328" t="str">
            <v>شعیب آٹوز راولپنڈی</v>
          </cell>
        </row>
        <row r="3329">
          <cell r="A3329" t="str">
            <v>1410 J</v>
          </cell>
          <cell r="B3329">
            <v>11607</v>
          </cell>
          <cell r="C3329">
            <v>45729</v>
          </cell>
          <cell r="D3329" t="str">
            <v>JILANI</v>
          </cell>
          <cell r="E3329" t="str">
            <v>شعیب آٹوز راولپنڈی</v>
          </cell>
        </row>
        <row r="3330">
          <cell r="A3330" t="str">
            <v>1411 J</v>
          </cell>
          <cell r="B3330">
            <v>11607</v>
          </cell>
          <cell r="C3330">
            <v>45729</v>
          </cell>
          <cell r="D3330" t="str">
            <v>JILANI</v>
          </cell>
          <cell r="E3330" t="str">
            <v>شعیب آٹوز راولپنڈی</v>
          </cell>
        </row>
        <row r="3331">
          <cell r="A3331" t="str">
            <v>1412 J</v>
          </cell>
          <cell r="B3331">
            <v>11607</v>
          </cell>
          <cell r="C3331">
            <v>45729</v>
          </cell>
          <cell r="D3331" t="str">
            <v>JILANI</v>
          </cell>
          <cell r="E3331" t="str">
            <v>شعیب آٹوز راولپنڈی</v>
          </cell>
        </row>
        <row r="3332">
          <cell r="A3332" t="str">
            <v>1413 J</v>
          </cell>
          <cell r="B3332">
            <v>11607</v>
          </cell>
          <cell r="C3332">
            <v>45729</v>
          </cell>
          <cell r="D3332" t="str">
            <v>JILANI</v>
          </cell>
          <cell r="E3332" t="str">
            <v>شعیب آٹوز راولپنڈی</v>
          </cell>
        </row>
        <row r="3333">
          <cell r="A3333" t="str">
            <v>1414 J</v>
          </cell>
          <cell r="B3333">
            <v>11608</v>
          </cell>
          <cell r="C3333">
            <v>45730</v>
          </cell>
          <cell r="D3333" t="str">
            <v>JILANI</v>
          </cell>
          <cell r="E3333" t="str">
            <v>الکرم فارمیسی ڈنگہ</v>
          </cell>
        </row>
        <row r="3334">
          <cell r="A3334" t="str">
            <v>1415 J</v>
          </cell>
          <cell r="B3334">
            <v>11609</v>
          </cell>
          <cell r="C3334">
            <v>45730</v>
          </cell>
          <cell r="D3334" t="str">
            <v>JILANI</v>
          </cell>
          <cell r="E3334" t="str">
            <v>دی کڈز مال لاہور</v>
          </cell>
        </row>
        <row r="3335">
          <cell r="A3335" t="str">
            <v>1416 J</v>
          </cell>
          <cell r="B3335">
            <v>11609</v>
          </cell>
          <cell r="C3335">
            <v>45730</v>
          </cell>
          <cell r="D3335" t="str">
            <v>JILANI</v>
          </cell>
          <cell r="E3335" t="str">
            <v>دی کڈز مال لاہور</v>
          </cell>
        </row>
        <row r="3336">
          <cell r="A3336" t="str">
            <v>1417 J</v>
          </cell>
          <cell r="B3336">
            <v>11609</v>
          </cell>
          <cell r="C3336">
            <v>45730</v>
          </cell>
          <cell r="D3336" t="str">
            <v>JILANI</v>
          </cell>
          <cell r="E3336" t="str">
            <v>دی کڈز مال لاہور</v>
          </cell>
        </row>
        <row r="3337">
          <cell r="A3337" t="str">
            <v>1418 J</v>
          </cell>
          <cell r="B3337">
            <v>11610</v>
          </cell>
          <cell r="C3337">
            <v>45730</v>
          </cell>
          <cell r="D3337" t="str">
            <v>JILANI</v>
          </cell>
          <cell r="E3337" t="str">
            <v>ایم کے بی پشاور</v>
          </cell>
        </row>
        <row r="3338">
          <cell r="A3338" t="str">
            <v>1419 J</v>
          </cell>
          <cell r="B3338">
            <v>11610</v>
          </cell>
          <cell r="C3338">
            <v>45730</v>
          </cell>
          <cell r="D3338" t="str">
            <v>JILANI</v>
          </cell>
          <cell r="E3338" t="str">
            <v>ایم کے بی پشاور</v>
          </cell>
        </row>
        <row r="3339">
          <cell r="A3339" t="str">
            <v>1420 J</v>
          </cell>
          <cell r="B3339">
            <v>11611</v>
          </cell>
          <cell r="C3339">
            <v>45730</v>
          </cell>
          <cell r="D3339" t="str">
            <v>JILANI</v>
          </cell>
          <cell r="E3339" t="str">
            <v>ریحان بٹ انار کلی</v>
          </cell>
        </row>
        <row r="3340">
          <cell r="A3340" t="str">
            <v>1421 J</v>
          </cell>
          <cell r="B3340"/>
          <cell r="C3340">
            <v>45731</v>
          </cell>
          <cell r="D3340" t="str">
            <v>OTHERS</v>
          </cell>
          <cell r="E3340" t="str">
            <v>جیلانی پولی سٹاک</v>
          </cell>
        </row>
        <row r="3341">
          <cell r="A3341" t="str">
            <v>1422 J</v>
          </cell>
          <cell r="B3341"/>
          <cell r="C3341">
            <v>45731</v>
          </cell>
          <cell r="D3341" t="str">
            <v>OTHERS</v>
          </cell>
          <cell r="E3341" t="str">
            <v>جیلانی پولی سٹاک</v>
          </cell>
        </row>
        <row r="3342">
          <cell r="A3342" t="str">
            <v>1423 J</v>
          </cell>
          <cell r="B3342"/>
          <cell r="C3342">
            <v>45731</v>
          </cell>
          <cell r="D3342" t="str">
            <v>OTHERS</v>
          </cell>
          <cell r="E3342" t="str">
            <v>جیلانی پولی سٹاک</v>
          </cell>
        </row>
        <row r="3343">
          <cell r="A3343" t="str">
            <v>1424 J</v>
          </cell>
          <cell r="B3343"/>
          <cell r="C3343">
            <v>45731</v>
          </cell>
          <cell r="D3343" t="str">
            <v>OTHERS</v>
          </cell>
          <cell r="E3343" t="str">
            <v>جیلانی پولی سٹاک</v>
          </cell>
        </row>
        <row r="3344">
          <cell r="A3344" t="str">
            <v>1425 J</v>
          </cell>
          <cell r="B3344"/>
          <cell r="C3344">
            <v>45731</v>
          </cell>
          <cell r="D3344" t="str">
            <v>OTHERS</v>
          </cell>
          <cell r="E3344" t="str">
            <v>جیلانی پولی سٹاک</v>
          </cell>
        </row>
        <row r="3345">
          <cell r="A3345" t="str">
            <v>1426 J</v>
          </cell>
          <cell r="B3345"/>
          <cell r="C3345">
            <v>45731</v>
          </cell>
          <cell r="D3345" t="str">
            <v>OTHERS</v>
          </cell>
          <cell r="E3345" t="str">
            <v>جیلانی پولی سٹاک</v>
          </cell>
        </row>
        <row r="3346">
          <cell r="A3346" t="str">
            <v>1427 J</v>
          </cell>
          <cell r="B3346"/>
          <cell r="C3346">
            <v>45731</v>
          </cell>
          <cell r="D3346" t="str">
            <v>OTHERS</v>
          </cell>
          <cell r="E3346" t="str">
            <v>جیلانی پلاسٹک</v>
          </cell>
        </row>
        <row r="3347">
          <cell r="A3347" t="str">
            <v>1428 J</v>
          </cell>
          <cell r="B3347"/>
          <cell r="C3347">
            <v>45731</v>
          </cell>
          <cell r="D3347" t="str">
            <v>OTHERS</v>
          </cell>
          <cell r="E3347" t="str">
            <v>جیلانی پلاسٹک</v>
          </cell>
        </row>
        <row r="3348">
          <cell r="A3348" t="str">
            <v>1429 J</v>
          </cell>
          <cell r="B3348"/>
          <cell r="C3348">
            <v>45731</v>
          </cell>
          <cell r="D3348" t="str">
            <v>OTHERS</v>
          </cell>
          <cell r="E3348" t="str">
            <v>جیلانی پلاسٹک</v>
          </cell>
        </row>
        <row r="3349">
          <cell r="A3349" t="str">
            <v>1430 J</v>
          </cell>
          <cell r="B3349"/>
          <cell r="C3349">
            <v>45731</v>
          </cell>
          <cell r="D3349" t="str">
            <v>OTHERS</v>
          </cell>
          <cell r="E3349" t="str">
            <v>جیلانی پلاسٹک</v>
          </cell>
        </row>
        <row r="3350">
          <cell r="A3350" t="str">
            <v>1431 J</v>
          </cell>
          <cell r="B3350"/>
          <cell r="C3350">
            <v>45731</v>
          </cell>
          <cell r="D3350" t="str">
            <v>OTHERS</v>
          </cell>
          <cell r="E3350" t="str">
            <v>جیلانی پلاسٹک</v>
          </cell>
        </row>
        <row r="3351">
          <cell r="A3351" t="str">
            <v>1432 J</v>
          </cell>
          <cell r="B3351"/>
          <cell r="C3351">
            <v>45731</v>
          </cell>
          <cell r="D3351" t="str">
            <v>OTHERS</v>
          </cell>
          <cell r="E3351" t="str">
            <v>جیلانی پلاسٹک</v>
          </cell>
        </row>
        <row r="3352">
          <cell r="A3352" t="str">
            <v>1434 J</v>
          </cell>
          <cell r="B3352"/>
          <cell r="C3352">
            <v>45731</v>
          </cell>
          <cell r="D3352" t="str">
            <v>OTHERS</v>
          </cell>
          <cell r="E3352" t="str">
            <v>جیلانی پلاسٹک</v>
          </cell>
        </row>
        <row r="3353">
          <cell r="A3353" t="str">
            <v>1435 J</v>
          </cell>
          <cell r="B3353"/>
          <cell r="C3353">
            <v>45731</v>
          </cell>
          <cell r="D3353" t="str">
            <v>OTHERS</v>
          </cell>
          <cell r="E3353" t="str">
            <v>جیلانی پلاسٹک</v>
          </cell>
        </row>
        <row r="3354">
          <cell r="A3354" t="str">
            <v>1436 J</v>
          </cell>
          <cell r="B3354"/>
          <cell r="C3354">
            <v>45731</v>
          </cell>
          <cell r="D3354" t="str">
            <v>OTHERS</v>
          </cell>
          <cell r="E3354" t="str">
            <v>جیلانی پلاسٹک</v>
          </cell>
        </row>
        <row r="3355">
          <cell r="A3355" t="str">
            <v>1437 J</v>
          </cell>
          <cell r="B3355"/>
          <cell r="C3355">
            <v>45731</v>
          </cell>
          <cell r="D3355" t="str">
            <v>OTHERS</v>
          </cell>
          <cell r="E3355" t="str">
            <v>جیلانی پلاسٹک</v>
          </cell>
        </row>
        <row r="3356">
          <cell r="A3356" t="str">
            <v>1438 J</v>
          </cell>
          <cell r="B3356"/>
          <cell r="C3356">
            <v>45731</v>
          </cell>
          <cell r="D3356" t="str">
            <v>OTHERS</v>
          </cell>
          <cell r="E3356" t="str">
            <v>جیلانی پلاسٹک</v>
          </cell>
        </row>
        <row r="3357">
          <cell r="A3357" t="str">
            <v>1217 F</v>
          </cell>
          <cell r="B3357"/>
          <cell r="C3357">
            <v>45729</v>
          </cell>
          <cell r="D3357" t="str">
            <v>فینا</v>
          </cell>
          <cell r="E3357" t="str">
            <v>عثمان امین</v>
          </cell>
        </row>
        <row r="3358">
          <cell r="A3358" t="str">
            <v>1218 F</v>
          </cell>
          <cell r="B3358"/>
          <cell r="C3358">
            <v>45729</v>
          </cell>
          <cell r="D3358" t="str">
            <v>فینا</v>
          </cell>
          <cell r="E3358" t="str">
            <v>عثمان امین</v>
          </cell>
        </row>
        <row r="3359">
          <cell r="A3359" t="str">
            <v>1219 F</v>
          </cell>
          <cell r="B3359"/>
          <cell r="C3359">
            <v>45729</v>
          </cell>
          <cell r="D3359" t="str">
            <v>فینا</v>
          </cell>
          <cell r="E3359" t="str">
            <v>عثمان امین</v>
          </cell>
        </row>
        <row r="3360">
          <cell r="A3360" t="str">
            <v>1220 F</v>
          </cell>
          <cell r="B3360"/>
          <cell r="C3360">
            <v>45729</v>
          </cell>
          <cell r="D3360" t="str">
            <v>فینا</v>
          </cell>
          <cell r="E3360" t="str">
            <v>عثمان امین</v>
          </cell>
        </row>
        <row r="3361">
          <cell r="A3361" t="str">
            <v>1221 F</v>
          </cell>
          <cell r="B3361"/>
          <cell r="C3361">
            <v>45729</v>
          </cell>
          <cell r="D3361" t="str">
            <v>فینا</v>
          </cell>
          <cell r="E3361" t="str">
            <v>عثمان امین</v>
          </cell>
        </row>
        <row r="3362">
          <cell r="A3362" t="str">
            <v>1222 F</v>
          </cell>
          <cell r="B3362"/>
          <cell r="C3362">
            <v>45729</v>
          </cell>
          <cell r="D3362" t="str">
            <v>فینا</v>
          </cell>
          <cell r="E3362" t="str">
            <v>عثمان امین</v>
          </cell>
        </row>
        <row r="3363">
          <cell r="A3363" t="str">
            <v>1223 F</v>
          </cell>
          <cell r="B3363"/>
          <cell r="C3363">
            <v>45729</v>
          </cell>
          <cell r="D3363" t="str">
            <v>فینا</v>
          </cell>
          <cell r="E3363" t="str">
            <v>عثمان امین</v>
          </cell>
        </row>
        <row r="3364">
          <cell r="A3364" t="str">
            <v>1224 F</v>
          </cell>
          <cell r="B3364"/>
          <cell r="C3364">
            <v>45729</v>
          </cell>
          <cell r="D3364" t="str">
            <v>فینا</v>
          </cell>
          <cell r="E3364" t="str">
            <v>عثمان امین</v>
          </cell>
        </row>
        <row r="3365">
          <cell r="A3365" t="str">
            <v>1225 F</v>
          </cell>
          <cell r="B3365"/>
          <cell r="C3365">
            <v>45729</v>
          </cell>
          <cell r="D3365" t="str">
            <v>فینا</v>
          </cell>
          <cell r="E3365" t="str">
            <v>عثمان امین</v>
          </cell>
        </row>
        <row r="3366">
          <cell r="A3366" t="str">
            <v>1226 F</v>
          </cell>
          <cell r="B3366"/>
          <cell r="C3366">
            <v>45730</v>
          </cell>
          <cell r="D3366" t="str">
            <v>فینا</v>
          </cell>
          <cell r="E3366" t="str">
            <v>عثمان امین</v>
          </cell>
        </row>
        <row r="3367">
          <cell r="A3367" t="str">
            <v>1227 F</v>
          </cell>
          <cell r="B3367"/>
          <cell r="C3367">
            <v>45730</v>
          </cell>
          <cell r="D3367" t="str">
            <v>فینا</v>
          </cell>
          <cell r="E3367" t="str">
            <v>عثمان امین</v>
          </cell>
        </row>
        <row r="3368">
          <cell r="A3368" t="str">
            <v>1228 F</v>
          </cell>
          <cell r="B3368"/>
          <cell r="C3368">
            <v>45730</v>
          </cell>
          <cell r="D3368" t="str">
            <v>فینا</v>
          </cell>
          <cell r="E3368" t="str">
            <v>عثمان امین</v>
          </cell>
        </row>
        <row r="3369">
          <cell r="A3369" t="str">
            <v>1229 F</v>
          </cell>
          <cell r="B3369"/>
          <cell r="C3369">
            <v>45730</v>
          </cell>
          <cell r="D3369" t="str">
            <v>فینا</v>
          </cell>
          <cell r="E3369" t="str">
            <v>عثمان امین</v>
          </cell>
        </row>
        <row r="3370">
          <cell r="A3370" t="str">
            <v>1230 F</v>
          </cell>
          <cell r="B3370"/>
          <cell r="C3370">
            <v>45730</v>
          </cell>
          <cell r="D3370" t="str">
            <v>فینا</v>
          </cell>
          <cell r="E3370" t="str">
            <v>عثمان امین</v>
          </cell>
        </row>
        <row r="3371">
          <cell r="A3371" t="str">
            <v>1231 F</v>
          </cell>
          <cell r="B3371"/>
          <cell r="C3371">
            <v>45730</v>
          </cell>
          <cell r="D3371" t="str">
            <v>فینا</v>
          </cell>
          <cell r="E3371" t="str">
            <v>عثمان امین</v>
          </cell>
        </row>
        <row r="3372">
          <cell r="A3372" t="str">
            <v>1232 F</v>
          </cell>
          <cell r="B3372"/>
          <cell r="C3372">
            <v>45730</v>
          </cell>
          <cell r="D3372" t="str">
            <v>فینا</v>
          </cell>
          <cell r="E3372" t="str">
            <v>عثمان امین</v>
          </cell>
        </row>
        <row r="3373">
          <cell r="A3373" t="str">
            <v>1233 F</v>
          </cell>
          <cell r="B3373"/>
          <cell r="C3373">
            <v>45730</v>
          </cell>
          <cell r="D3373" t="str">
            <v>فینا</v>
          </cell>
          <cell r="E3373" t="str">
            <v>عثمان امین</v>
          </cell>
        </row>
        <row r="3374">
          <cell r="A3374" t="str">
            <v>1234 F</v>
          </cell>
          <cell r="B3374"/>
          <cell r="C3374">
            <v>45730</v>
          </cell>
          <cell r="D3374" t="str">
            <v>فینا</v>
          </cell>
          <cell r="E3374" t="str">
            <v>عثمان امین</v>
          </cell>
        </row>
        <row r="3375">
          <cell r="A3375" t="str">
            <v>1235 F</v>
          </cell>
          <cell r="B3375"/>
          <cell r="C3375">
            <v>45730</v>
          </cell>
          <cell r="D3375" t="str">
            <v>فینا</v>
          </cell>
          <cell r="E3375" t="str">
            <v>عثمان امین</v>
          </cell>
        </row>
        <row r="3376">
          <cell r="A3376" t="str">
            <v>1236 F</v>
          </cell>
          <cell r="B3376"/>
          <cell r="C3376">
            <v>45730</v>
          </cell>
          <cell r="D3376" t="str">
            <v>فینا</v>
          </cell>
          <cell r="E3376" t="str">
            <v>عثمان امین</v>
          </cell>
        </row>
        <row r="3377">
          <cell r="A3377" t="str">
            <v>1237 F</v>
          </cell>
          <cell r="B3377"/>
          <cell r="C3377">
            <v>45730</v>
          </cell>
          <cell r="D3377" t="str">
            <v>فینا</v>
          </cell>
          <cell r="E3377" t="str">
            <v>عثمان امین</v>
          </cell>
        </row>
        <row r="3378">
          <cell r="A3378" t="str">
            <v>1238 F</v>
          </cell>
          <cell r="B3378"/>
          <cell r="C3378">
            <v>45730</v>
          </cell>
          <cell r="D3378" t="str">
            <v>فینا</v>
          </cell>
          <cell r="E3378" t="str">
            <v>عثمان امین</v>
          </cell>
        </row>
        <row r="3379">
          <cell r="A3379" t="str">
            <v>1239 F</v>
          </cell>
          <cell r="B3379"/>
          <cell r="C3379">
            <v>45730</v>
          </cell>
          <cell r="D3379" t="str">
            <v>فینا</v>
          </cell>
          <cell r="E3379" t="str">
            <v>عثمان امین</v>
          </cell>
        </row>
        <row r="3380">
          <cell r="A3380" t="str">
            <v>1240 F</v>
          </cell>
          <cell r="B3380"/>
          <cell r="C3380">
            <v>45730</v>
          </cell>
          <cell r="D3380" t="str">
            <v>فینا</v>
          </cell>
          <cell r="E3380" t="str">
            <v>عثمان امین</v>
          </cell>
        </row>
        <row r="3381">
          <cell r="A3381" t="str">
            <v>1241 F</v>
          </cell>
          <cell r="B3381"/>
          <cell r="C3381">
            <v>45730</v>
          </cell>
          <cell r="D3381" t="str">
            <v>فینا</v>
          </cell>
          <cell r="E3381" t="str">
            <v>عثمان امین</v>
          </cell>
        </row>
        <row r="3382">
          <cell r="A3382" t="str">
            <v>1242 F</v>
          </cell>
          <cell r="B3382"/>
          <cell r="C3382">
            <v>45730</v>
          </cell>
          <cell r="D3382" t="str">
            <v>فینا</v>
          </cell>
          <cell r="E3382" t="str">
            <v>عثمان امین</v>
          </cell>
        </row>
        <row r="3383">
          <cell r="A3383" t="str">
            <v>1243 F</v>
          </cell>
          <cell r="B3383"/>
          <cell r="C3383">
            <v>45731</v>
          </cell>
          <cell r="D3383" t="str">
            <v>فینا</v>
          </cell>
          <cell r="E3383" t="str">
            <v>عثمان امین</v>
          </cell>
        </row>
        <row r="3384">
          <cell r="A3384" t="str">
            <v>1244 F</v>
          </cell>
          <cell r="B3384"/>
          <cell r="C3384">
            <v>45731</v>
          </cell>
          <cell r="D3384" t="str">
            <v>فینا</v>
          </cell>
          <cell r="E3384" t="str">
            <v>عثمان امین</v>
          </cell>
        </row>
        <row r="3385">
          <cell r="A3385" t="str">
            <v>1245 F</v>
          </cell>
          <cell r="B3385"/>
          <cell r="C3385">
            <v>45731</v>
          </cell>
          <cell r="D3385" t="str">
            <v>فینا</v>
          </cell>
          <cell r="E3385" t="str">
            <v>عثمان امین</v>
          </cell>
        </row>
        <row r="3386">
          <cell r="A3386" t="str">
            <v>1246 F</v>
          </cell>
          <cell r="B3386"/>
          <cell r="C3386">
            <v>45731</v>
          </cell>
          <cell r="D3386" t="str">
            <v>فینا</v>
          </cell>
          <cell r="E3386" t="str">
            <v>عثمان امین</v>
          </cell>
        </row>
        <row r="3387">
          <cell r="A3387" t="str">
            <v>1247 F</v>
          </cell>
          <cell r="B3387"/>
          <cell r="C3387">
            <v>45731</v>
          </cell>
          <cell r="D3387" t="str">
            <v>فینا</v>
          </cell>
          <cell r="E3387" t="str">
            <v>عثمان امین</v>
          </cell>
        </row>
        <row r="3388">
          <cell r="A3388" t="str">
            <v>1248 F</v>
          </cell>
          <cell r="B3388"/>
          <cell r="C3388">
            <v>45731</v>
          </cell>
          <cell r="D3388" t="str">
            <v>فینا</v>
          </cell>
          <cell r="E3388" t="str">
            <v>عثمان امین</v>
          </cell>
        </row>
        <row r="3389">
          <cell r="A3389" t="str">
            <v>1249 F</v>
          </cell>
          <cell r="B3389"/>
          <cell r="C3389">
            <v>45733</v>
          </cell>
          <cell r="D3389" t="str">
            <v>فینا</v>
          </cell>
          <cell r="E3389" t="str">
            <v>عثمان امین</v>
          </cell>
        </row>
        <row r="3390">
          <cell r="A3390" t="str">
            <v>1250 F</v>
          </cell>
          <cell r="B3390"/>
          <cell r="C3390">
            <v>45733</v>
          </cell>
          <cell r="D3390" t="str">
            <v>فینا</v>
          </cell>
          <cell r="E3390" t="str">
            <v>عثمان امین</v>
          </cell>
        </row>
        <row r="3391">
          <cell r="A3391" t="str">
            <v>1251 F</v>
          </cell>
          <cell r="B3391"/>
          <cell r="C3391">
            <v>45733</v>
          </cell>
          <cell r="D3391" t="str">
            <v>فینا</v>
          </cell>
          <cell r="E3391" t="str">
            <v>عثمان امین</v>
          </cell>
        </row>
        <row r="3392">
          <cell r="A3392" t="str">
            <v>1252 F</v>
          </cell>
          <cell r="B3392"/>
          <cell r="C3392">
            <v>45733</v>
          </cell>
          <cell r="D3392" t="str">
            <v>فینا</v>
          </cell>
          <cell r="E3392" t="str">
            <v>عثمان امین</v>
          </cell>
        </row>
        <row r="3393">
          <cell r="A3393" t="str">
            <v>1253 F</v>
          </cell>
          <cell r="B3393"/>
          <cell r="C3393">
            <v>45733</v>
          </cell>
          <cell r="D3393" t="str">
            <v>فینا</v>
          </cell>
          <cell r="E3393" t="str">
            <v>عثمان امین</v>
          </cell>
        </row>
        <row r="3394">
          <cell r="A3394" t="str">
            <v>1254 F</v>
          </cell>
          <cell r="B3394"/>
          <cell r="C3394">
            <v>45733</v>
          </cell>
          <cell r="D3394" t="str">
            <v>فینا</v>
          </cell>
          <cell r="E3394" t="str">
            <v>عثمان امین</v>
          </cell>
        </row>
        <row r="3395">
          <cell r="A3395" t="str">
            <v>1255 F</v>
          </cell>
          <cell r="B3395"/>
          <cell r="C3395">
            <v>45733</v>
          </cell>
          <cell r="D3395" t="str">
            <v>فینا</v>
          </cell>
          <cell r="E3395" t="str">
            <v>عثمان امین</v>
          </cell>
        </row>
        <row r="3396">
          <cell r="A3396" t="str">
            <v>1256 F</v>
          </cell>
          <cell r="B3396"/>
          <cell r="C3396">
            <v>45733</v>
          </cell>
          <cell r="D3396" t="str">
            <v>فینا</v>
          </cell>
          <cell r="E3396" t="str">
            <v>عثمان امین</v>
          </cell>
        </row>
        <row r="3397">
          <cell r="A3397" t="str">
            <v>1257 F</v>
          </cell>
          <cell r="B3397"/>
          <cell r="C3397">
            <v>45733</v>
          </cell>
          <cell r="D3397" t="str">
            <v>فینا</v>
          </cell>
          <cell r="E3397" t="str">
            <v>عثمان امین</v>
          </cell>
        </row>
        <row r="3398">
          <cell r="A3398" t="str">
            <v>1258 F</v>
          </cell>
          <cell r="B3398"/>
          <cell r="C3398">
            <v>45733</v>
          </cell>
          <cell r="D3398" t="str">
            <v>فینا</v>
          </cell>
          <cell r="E3398" t="str">
            <v>عثمان امین</v>
          </cell>
        </row>
        <row r="3399">
          <cell r="A3399" t="str">
            <v>1439 J</v>
          </cell>
          <cell r="B3399"/>
          <cell r="C3399">
            <v>45731</v>
          </cell>
          <cell r="D3399" t="str">
            <v>OTHERS</v>
          </cell>
          <cell r="E3399" t="str">
            <v>جیلانی پلاسٹک</v>
          </cell>
        </row>
        <row r="3400">
          <cell r="A3400" t="str">
            <v>1440 J</v>
          </cell>
          <cell r="B3400"/>
          <cell r="C3400">
            <v>45732</v>
          </cell>
          <cell r="D3400" t="str">
            <v>OTHERS</v>
          </cell>
          <cell r="E3400" t="str">
            <v>جیلانی پلاسٹک</v>
          </cell>
        </row>
        <row r="3401">
          <cell r="A3401" t="str">
            <v>1441 J</v>
          </cell>
          <cell r="B3401">
            <v>11613</v>
          </cell>
          <cell r="C3401">
            <v>45733</v>
          </cell>
          <cell r="D3401" t="str">
            <v>JILANI</v>
          </cell>
          <cell r="E3401" t="str">
            <v>ولایت بٹ لالہ موسی</v>
          </cell>
        </row>
        <row r="3402">
          <cell r="A3402" t="str">
            <v>1442 J</v>
          </cell>
          <cell r="B3402">
            <v>11613</v>
          </cell>
          <cell r="C3402">
            <v>45733</v>
          </cell>
          <cell r="D3402" t="str">
            <v>JILANI</v>
          </cell>
          <cell r="E3402" t="str">
            <v>ولایت بٹ لالہ موسی</v>
          </cell>
        </row>
        <row r="3403">
          <cell r="A3403" t="str">
            <v>1443 J</v>
          </cell>
          <cell r="B3403">
            <v>11613</v>
          </cell>
          <cell r="C3403">
            <v>45733</v>
          </cell>
          <cell r="D3403" t="str">
            <v>JILANI</v>
          </cell>
          <cell r="E3403" t="str">
            <v>ولایت بٹ لالہ موسی</v>
          </cell>
        </row>
        <row r="3404">
          <cell r="A3404" t="str">
            <v>1444 J</v>
          </cell>
          <cell r="B3404">
            <v>11613</v>
          </cell>
          <cell r="C3404">
            <v>45733</v>
          </cell>
          <cell r="D3404" t="str">
            <v>JILANI</v>
          </cell>
          <cell r="E3404" t="str">
            <v>ولایت بٹ لالہ موسی</v>
          </cell>
        </row>
        <row r="3405">
          <cell r="A3405" t="str">
            <v>1445 J</v>
          </cell>
          <cell r="B3405">
            <v>11614</v>
          </cell>
          <cell r="C3405">
            <v>45733</v>
          </cell>
          <cell r="D3405" t="str">
            <v>JILANI</v>
          </cell>
          <cell r="E3405" t="str">
            <v>عرفان صاحب اعظم مارکیٹ لاہور</v>
          </cell>
        </row>
        <row r="3406">
          <cell r="A3406" t="str">
            <v>1446 J</v>
          </cell>
          <cell r="B3406">
            <v>11614</v>
          </cell>
          <cell r="C3406">
            <v>45733</v>
          </cell>
          <cell r="D3406" t="str">
            <v>JILANI</v>
          </cell>
          <cell r="E3406" t="str">
            <v>عرفان صاحب اعظم مارکیٹ لاہور</v>
          </cell>
        </row>
        <row r="3407">
          <cell r="A3407" t="str">
            <v>1447 J</v>
          </cell>
          <cell r="B3407">
            <v>11614</v>
          </cell>
          <cell r="C3407">
            <v>45733</v>
          </cell>
          <cell r="D3407" t="str">
            <v>JILANI</v>
          </cell>
          <cell r="E3407" t="str">
            <v>عرفان صاحب اعظم مارکیٹ لاہور</v>
          </cell>
        </row>
        <row r="3408">
          <cell r="A3408" t="str">
            <v>1448 J</v>
          </cell>
          <cell r="B3408">
            <v>11614</v>
          </cell>
          <cell r="C3408">
            <v>45733</v>
          </cell>
          <cell r="D3408" t="str">
            <v>JILANI</v>
          </cell>
          <cell r="E3408" t="str">
            <v>عرفان صاحب اعظم مارکیٹ لاہور</v>
          </cell>
        </row>
        <row r="3409">
          <cell r="A3409" t="str">
            <v>1449 J</v>
          </cell>
          <cell r="B3409">
            <v>11614</v>
          </cell>
          <cell r="C3409">
            <v>45733</v>
          </cell>
          <cell r="D3409" t="str">
            <v>JILANI</v>
          </cell>
          <cell r="E3409" t="str">
            <v>عرفان صاحب اعظم مارکیٹ لاہور</v>
          </cell>
        </row>
        <row r="3410">
          <cell r="A3410" t="str">
            <v>1450 J</v>
          </cell>
          <cell r="B3410">
            <v>11615</v>
          </cell>
          <cell r="C3410">
            <v>45733</v>
          </cell>
          <cell r="D3410" t="str">
            <v>JILANI</v>
          </cell>
          <cell r="E3410" t="str">
            <v>المیزان کریانہ سٹور سیالکوٹ</v>
          </cell>
        </row>
        <row r="3411">
          <cell r="A3411" t="str">
            <v>246 R</v>
          </cell>
          <cell r="B3411">
            <v>654</v>
          </cell>
          <cell r="C3411">
            <v>45729</v>
          </cell>
          <cell r="D3411" t="str">
            <v>REFLECTPACK</v>
          </cell>
          <cell r="E3411" t="str">
            <v>ریفلیکٹ پیک</v>
          </cell>
        </row>
        <row r="3412">
          <cell r="A3412" t="str">
            <v>247 R</v>
          </cell>
          <cell r="B3412"/>
          <cell r="C3412">
            <v>45729</v>
          </cell>
          <cell r="D3412" t="str">
            <v>REFLECTPACK</v>
          </cell>
          <cell r="E3412" t="str">
            <v>ریفلیکٹ پیک</v>
          </cell>
        </row>
        <row r="3413">
          <cell r="A3413" t="str">
            <v>1451 J</v>
          </cell>
          <cell r="B3413">
            <v>11616</v>
          </cell>
          <cell r="C3413">
            <v>45733</v>
          </cell>
          <cell r="D3413" t="str">
            <v>JILANI</v>
          </cell>
          <cell r="E3413" t="str">
            <v>شعیب آٹوز راولپنڈی</v>
          </cell>
        </row>
        <row r="3414">
          <cell r="A3414" t="str">
            <v>1452 J</v>
          </cell>
          <cell r="B3414">
            <v>11617</v>
          </cell>
          <cell r="C3414">
            <v>45733</v>
          </cell>
          <cell r="D3414" t="str">
            <v>JILANI</v>
          </cell>
          <cell r="E3414" t="str">
            <v>سینان پرنٹنگ بنوں</v>
          </cell>
        </row>
        <row r="3415">
          <cell r="A3415" t="str">
            <v>1453 J</v>
          </cell>
          <cell r="B3415">
            <v>11618</v>
          </cell>
          <cell r="C3415">
            <v>45733</v>
          </cell>
          <cell r="D3415" t="str">
            <v>JILANI</v>
          </cell>
          <cell r="E3415" t="str">
            <v>بائیو پاک لاہور</v>
          </cell>
        </row>
        <row r="3416">
          <cell r="A3416" t="str">
            <v>1454 J</v>
          </cell>
          <cell r="B3416">
            <v>11619</v>
          </cell>
          <cell r="C3416">
            <v>45733</v>
          </cell>
          <cell r="D3416" t="str">
            <v>JILANI</v>
          </cell>
          <cell r="E3416" t="str">
            <v>گولڈن کیمیکل فیصل آباد</v>
          </cell>
        </row>
        <row r="3417">
          <cell r="A3417" t="str">
            <v>1455 J</v>
          </cell>
          <cell r="B3417">
            <v>11619</v>
          </cell>
          <cell r="C3417">
            <v>45733</v>
          </cell>
          <cell r="D3417" t="str">
            <v>JILANI</v>
          </cell>
          <cell r="E3417" t="str">
            <v>گولڈن کیمیکل فیصل آباد</v>
          </cell>
        </row>
        <row r="3418">
          <cell r="A3418" t="str">
            <v>1456 J</v>
          </cell>
          <cell r="B3418">
            <v>11620</v>
          </cell>
          <cell r="C3418">
            <v>45733</v>
          </cell>
          <cell r="D3418" t="str">
            <v>JILANI</v>
          </cell>
          <cell r="E3418" t="str">
            <v>محبوب پرنٹرز گوجرانوالہ</v>
          </cell>
        </row>
        <row r="3419">
          <cell r="A3419" t="str">
            <v>1457 J</v>
          </cell>
          <cell r="B3419">
            <v>11620</v>
          </cell>
          <cell r="C3419">
            <v>45733</v>
          </cell>
          <cell r="D3419" t="str">
            <v>JILANI</v>
          </cell>
          <cell r="E3419" t="str">
            <v>محبوب پرنٹرز گوجرانوالہ</v>
          </cell>
        </row>
        <row r="3420">
          <cell r="A3420" t="str">
            <v>1458 J</v>
          </cell>
          <cell r="B3420">
            <v>11621</v>
          </cell>
          <cell r="C3420">
            <v>45733</v>
          </cell>
          <cell r="D3420" t="str">
            <v>JILANI</v>
          </cell>
          <cell r="E3420" t="str">
            <v>گولڈن کیمیکل فیصل آباد</v>
          </cell>
        </row>
        <row r="3421">
          <cell r="A3421" t="str">
            <v>1459 J</v>
          </cell>
          <cell r="B3421">
            <v>11622</v>
          </cell>
          <cell r="C3421">
            <v>45733</v>
          </cell>
          <cell r="D3421" t="str">
            <v>JILANI</v>
          </cell>
          <cell r="E3421" t="str">
            <v>عالم پرنٹرز بٹ خیلہ</v>
          </cell>
        </row>
        <row r="3422">
          <cell r="A3422" t="str">
            <v>1460 J</v>
          </cell>
          <cell r="B3422">
            <v>11623</v>
          </cell>
          <cell r="C3422">
            <v>45733</v>
          </cell>
          <cell r="D3422" t="str">
            <v>JILANI</v>
          </cell>
          <cell r="E3422" t="str">
            <v>عالم پرنٹرز بٹ خیلہ</v>
          </cell>
        </row>
        <row r="3423">
          <cell r="A3423" t="str">
            <v>1461 J</v>
          </cell>
          <cell r="B3423">
            <v>11624</v>
          </cell>
          <cell r="C3423">
            <v>45733</v>
          </cell>
          <cell r="D3423" t="str">
            <v>JILANI</v>
          </cell>
          <cell r="E3423" t="str">
            <v>عالم پرنٹرز بٹ خیلہ</v>
          </cell>
        </row>
        <row r="3424">
          <cell r="A3424" t="str">
            <v>1462 J</v>
          </cell>
          <cell r="B3424">
            <v>11625</v>
          </cell>
          <cell r="C3424">
            <v>45733</v>
          </cell>
          <cell r="D3424" t="str">
            <v>JILANI</v>
          </cell>
          <cell r="E3424" t="str">
            <v>عالم پرنٹرز بٹ خیلہ</v>
          </cell>
        </row>
        <row r="3425">
          <cell r="A3425" t="str">
            <v>1463 J</v>
          </cell>
          <cell r="B3425">
            <v>11625</v>
          </cell>
          <cell r="C3425">
            <v>45733</v>
          </cell>
          <cell r="D3425" t="str">
            <v>JILANI</v>
          </cell>
          <cell r="E3425" t="str">
            <v>عالم پرنٹرز بٹ خیلہ</v>
          </cell>
        </row>
        <row r="3426">
          <cell r="A3426" t="str">
            <v>1464 J</v>
          </cell>
          <cell r="B3426">
            <v>11626</v>
          </cell>
          <cell r="C3426">
            <v>45733</v>
          </cell>
          <cell r="D3426" t="str">
            <v>JILANI</v>
          </cell>
          <cell r="E3426" t="str">
            <v>بادشاہ کمپیوٹر گجراونالہ</v>
          </cell>
        </row>
        <row r="3427">
          <cell r="A3427" t="str">
            <v>1465 J</v>
          </cell>
          <cell r="B3427">
            <v>11627</v>
          </cell>
          <cell r="C3427">
            <v>45733</v>
          </cell>
          <cell r="D3427" t="str">
            <v>JILANI</v>
          </cell>
          <cell r="E3427" t="str">
            <v>آٹو ٹیک لاہور</v>
          </cell>
        </row>
        <row r="3428">
          <cell r="A3428" t="str">
            <v>1466 J</v>
          </cell>
          <cell r="B3428">
            <v>11628</v>
          </cell>
          <cell r="C3428">
            <v>45733</v>
          </cell>
          <cell r="D3428" t="str">
            <v>JILANI</v>
          </cell>
          <cell r="E3428" t="str">
            <v>عجوافیبرکس وہاڑی</v>
          </cell>
        </row>
        <row r="3429">
          <cell r="A3429" t="str">
            <v>1467 J</v>
          </cell>
          <cell r="B3429">
            <v>11628</v>
          </cell>
          <cell r="C3429">
            <v>45733</v>
          </cell>
          <cell r="D3429" t="str">
            <v>JILANI</v>
          </cell>
          <cell r="E3429" t="str">
            <v>عجوافیبرکس وہاڑی</v>
          </cell>
        </row>
        <row r="3430">
          <cell r="A3430" t="str">
            <v>1468 J</v>
          </cell>
          <cell r="B3430">
            <v>11628</v>
          </cell>
          <cell r="C3430">
            <v>45733</v>
          </cell>
          <cell r="D3430" t="str">
            <v>JILANI</v>
          </cell>
          <cell r="E3430" t="str">
            <v>عجوافیبرکس وہاڑی</v>
          </cell>
        </row>
        <row r="3431">
          <cell r="A3431" t="str">
            <v>1469 J</v>
          </cell>
          <cell r="B3431">
            <v>11629</v>
          </cell>
          <cell r="C3431">
            <v>45733</v>
          </cell>
          <cell r="D3431" t="str">
            <v>JILANI</v>
          </cell>
          <cell r="E3431" t="str">
            <v>سنی فیشن لاہور</v>
          </cell>
        </row>
        <row r="3432">
          <cell r="A3432" t="str">
            <v>1470 J</v>
          </cell>
          <cell r="B3432">
            <v>11630</v>
          </cell>
          <cell r="C3432">
            <v>45733</v>
          </cell>
          <cell r="D3432" t="str">
            <v>JILANI</v>
          </cell>
          <cell r="E3432" t="str">
            <v>سنی فیشن لاہور</v>
          </cell>
        </row>
        <row r="3433">
          <cell r="A3433" t="str">
            <v>1471 J</v>
          </cell>
          <cell r="B3433">
            <v>11630</v>
          </cell>
          <cell r="C3433">
            <v>45733</v>
          </cell>
          <cell r="D3433" t="str">
            <v>JILANI</v>
          </cell>
          <cell r="E3433" t="str">
            <v>سنی فیشن لاہور</v>
          </cell>
        </row>
        <row r="3434">
          <cell r="A3434" t="str">
            <v>1249 F</v>
          </cell>
          <cell r="B3434"/>
          <cell r="C3434">
            <v>45733</v>
          </cell>
          <cell r="D3434" t="str">
            <v>فینا</v>
          </cell>
          <cell r="E3434" t="str">
            <v>عثمان امین</v>
          </cell>
        </row>
        <row r="3435">
          <cell r="A3435" t="str">
            <v>1250 F</v>
          </cell>
          <cell r="B3435"/>
          <cell r="C3435">
            <v>45733</v>
          </cell>
          <cell r="D3435" t="str">
            <v>فینا</v>
          </cell>
          <cell r="E3435" t="str">
            <v>عثمان امین</v>
          </cell>
        </row>
        <row r="3436">
          <cell r="A3436" t="str">
            <v>1251 F</v>
          </cell>
          <cell r="B3436"/>
          <cell r="C3436">
            <v>45733</v>
          </cell>
          <cell r="D3436" t="str">
            <v>فینا</v>
          </cell>
          <cell r="E3436" t="str">
            <v>عثمان امین</v>
          </cell>
        </row>
        <row r="3437">
          <cell r="A3437" t="str">
            <v>1252 F</v>
          </cell>
          <cell r="B3437"/>
          <cell r="C3437">
            <v>45733</v>
          </cell>
          <cell r="D3437" t="str">
            <v>فینا</v>
          </cell>
          <cell r="E3437" t="str">
            <v>عثمان امین</v>
          </cell>
        </row>
        <row r="3438">
          <cell r="A3438" t="str">
            <v>1253 F</v>
          </cell>
          <cell r="B3438"/>
          <cell r="C3438">
            <v>45733</v>
          </cell>
          <cell r="D3438" t="str">
            <v>فینا</v>
          </cell>
          <cell r="E3438" t="str">
            <v>عثمان امین</v>
          </cell>
        </row>
        <row r="3439">
          <cell r="A3439" t="str">
            <v>1254 F</v>
          </cell>
          <cell r="B3439"/>
          <cell r="C3439">
            <v>45733</v>
          </cell>
          <cell r="D3439" t="str">
            <v>فینا</v>
          </cell>
          <cell r="E3439" t="str">
            <v>عثمان امین</v>
          </cell>
        </row>
        <row r="3440">
          <cell r="A3440" t="str">
            <v>1255 F</v>
          </cell>
          <cell r="B3440"/>
          <cell r="C3440">
            <v>45733</v>
          </cell>
          <cell r="D3440" t="str">
            <v>فینا</v>
          </cell>
          <cell r="E3440" t="str">
            <v>عثمان امین</v>
          </cell>
        </row>
        <row r="3441">
          <cell r="A3441" t="str">
            <v>1256 F</v>
          </cell>
          <cell r="B3441"/>
          <cell r="C3441">
            <v>45733</v>
          </cell>
          <cell r="D3441" t="str">
            <v>فینا</v>
          </cell>
          <cell r="E3441" t="str">
            <v>عثمان امین</v>
          </cell>
        </row>
        <row r="3442">
          <cell r="A3442" t="str">
            <v>1257 F</v>
          </cell>
          <cell r="B3442"/>
          <cell r="C3442">
            <v>45733</v>
          </cell>
          <cell r="D3442" t="str">
            <v>فینا</v>
          </cell>
          <cell r="E3442" t="str">
            <v>عثمان امین</v>
          </cell>
        </row>
        <row r="3443">
          <cell r="A3443" t="str">
            <v>1258 F</v>
          </cell>
          <cell r="B3443"/>
          <cell r="C3443">
            <v>45733</v>
          </cell>
          <cell r="D3443" t="str">
            <v>فینا</v>
          </cell>
          <cell r="E3443" t="str">
            <v>عثمان امین</v>
          </cell>
        </row>
        <row r="3444">
          <cell r="A3444" t="str">
            <v>1259 F</v>
          </cell>
          <cell r="B3444"/>
          <cell r="C3444">
            <v>45734</v>
          </cell>
          <cell r="D3444" t="str">
            <v>فینا</v>
          </cell>
          <cell r="E3444" t="str">
            <v>عثمان امین</v>
          </cell>
        </row>
        <row r="3445">
          <cell r="A3445" t="str">
            <v>1260 F</v>
          </cell>
          <cell r="B3445"/>
          <cell r="C3445">
            <v>45734</v>
          </cell>
          <cell r="D3445" t="str">
            <v>فینا</v>
          </cell>
          <cell r="E3445" t="str">
            <v>عثمان امین</v>
          </cell>
        </row>
        <row r="3446">
          <cell r="A3446" t="str">
            <v>1261 F</v>
          </cell>
          <cell r="B3446"/>
          <cell r="C3446">
            <v>45734</v>
          </cell>
          <cell r="D3446" t="str">
            <v>فینا</v>
          </cell>
          <cell r="E3446" t="str">
            <v>عثمان امین</v>
          </cell>
        </row>
        <row r="3447">
          <cell r="A3447" t="str">
            <v>1262 F</v>
          </cell>
          <cell r="B3447"/>
          <cell r="C3447">
            <v>45734</v>
          </cell>
          <cell r="D3447" t="str">
            <v>فینا</v>
          </cell>
          <cell r="E3447" t="str">
            <v>عثمان امین</v>
          </cell>
        </row>
        <row r="3448">
          <cell r="A3448" t="str">
            <v>1263 F</v>
          </cell>
          <cell r="B3448"/>
          <cell r="C3448">
            <v>45734</v>
          </cell>
          <cell r="D3448" t="str">
            <v>فینا</v>
          </cell>
          <cell r="E3448" t="str">
            <v>عثمان امین</v>
          </cell>
        </row>
        <row r="3449">
          <cell r="A3449" t="str">
            <v>1264 F</v>
          </cell>
          <cell r="B3449"/>
          <cell r="C3449">
            <v>45734</v>
          </cell>
          <cell r="D3449" t="str">
            <v>فینا</v>
          </cell>
          <cell r="E3449" t="str">
            <v>عثمان امین</v>
          </cell>
        </row>
        <row r="3450">
          <cell r="A3450" t="str">
            <v>1265 F</v>
          </cell>
          <cell r="B3450"/>
          <cell r="C3450">
            <v>45734</v>
          </cell>
          <cell r="D3450" t="str">
            <v>فینا</v>
          </cell>
          <cell r="E3450" t="str">
            <v>عثمان امین</v>
          </cell>
        </row>
        <row r="3451">
          <cell r="A3451" t="str">
            <v>1266 F</v>
          </cell>
          <cell r="B3451"/>
          <cell r="C3451">
            <v>45734</v>
          </cell>
          <cell r="D3451" t="str">
            <v>فینا</v>
          </cell>
          <cell r="E3451" t="str">
            <v>عثمان امین</v>
          </cell>
        </row>
        <row r="3452">
          <cell r="A3452" t="str">
            <v>1267 F</v>
          </cell>
          <cell r="B3452"/>
          <cell r="C3452">
            <v>45734</v>
          </cell>
          <cell r="D3452" t="str">
            <v>فینا</v>
          </cell>
          <cell r="E3452" t="str">
            <v>عثمان امین</v>
          </cell>
        </row>
        <row r="3453">
          <cell r="A3453" t="str">
            <v>1472 J</v>
          </cell>
          <cell r="B3453">
            <v>11632</v>
          </cell>
          <cell r="C3453">
            <v>45733</v>
          </cell>
          <cell r="D3453" t="str">
            <v>JILANI</v>
          </cell>
          <cell r="E3453" t="str">
            <v>کیمیکل لاہور SYNT</v>
          </cell>
        </row>
        <row r="3454">
          <cell r="A3454" t="str">
            <v>1473 J</v>
          </cell>
          <cell r="B3454">
            <v>11633</v>
          </cell>
          <cell r="C3454">
            <v>45733</v>
          </cell>
          <cell r="D3454" t="str">
            <v>JILANI</v>
          </cell>
          <cell r="E3454" t="str">
            <v>نعمت شیریں لاہور</v>
          </cell>
        </row>
        <row r="3455">
          <cell r="A3455" t="str">
            <v>1474 J</v>
          </cell>
          <cell r="B3455">
            <v>11633</v>
          </cell>
          <cell r="C3455">
            <v>45733</v>
          </cell>
          <cell r="D3455" t="str">
            <v>JILANI</v>
          </cell>
          <cell r="E3455" t="str">
            <v>نعمت شیریں لاہور</v>
          </cell>
        </row>
        <row r="3456">
          <cell r="A3456" t="str">
            <v>1475 J</v>
          </cell>
          <cell r="B3456">
            <v>11634</v>
          </cell>
          <cell r="C3456">
            <v>45733</v>
          </cell>
          <cell r="D3456" t="str">
            <v>JILANI</v>
          </cell>
          <cell r="E3456" t="str">
            <v>شی سٹور کامیٹکس لاہور</v>
          </cell>
        </row>
        <row r="3457">
          <cell r="A3457" t="str">
            <v>1476 J</v>
          </cell>
          <cell r="B3457">
            <v>11634</v>
          </cell>
          <cell r="C3457">
            <v>45733</v>
          </cell>
          <cell r="D3457" t="str">
            <v>JILANI</v>
          </cell>
          <cell r="E3457" t="str">
            <v>شی سٹور کامیٹکس لاہور</v>
          </cell>
        </row>
        <row r="3458">
          <cell r="A3458" t="str">
            <v>1477 J</v>
          </cell>
          <cell r="B3458">
            <v>11635</v>
          </cell>
          <cell r="C3458">
            <v>45733</v>
          </cell>
          <cell r="D3458" t="str">
            <v>JILANI</v>
          </cell>
          <cell r="E3458" t="str">
            <v>زمرد کلاتھ ہاؤس سرائے عالمگیر</v>
          </cell>
        </row>
        <row r="3459">
          <cell r="A3459" t="str">
            <v>1478 J</v>
          </cell>
          <cell r="B3459">
            <v>11636</v>
          </cell>
          <cell r="C3459">
            <v>45733</v>
          </cell>
          <cell r="D3459" t="str">
            <v>JILANI</v>
          </cell>
          <cell r="E3459" t="str">
            <v>فینسی گارمنٹس کامونکی</v>
          </cell>
        </row>
        <row r="3460">
          <cell r="A3460" t="str">
            <v>1479 J</v>
          </cell>
          <cell r="B3460">
            <v>11637</v>
          </cell>
          <cell r="C3460">
            <v>45733</v>
          </cell>
          <cell r="D3460" t="str">
            <v>JILANI</v>
          </cell>
          <cell r="E3460" t="str">
            <v>فینسی گارمنٹس کامونکی</v>
          </cell>
        </row>
        <row r="3461">
          <cell r="A3461" t="str">
            <v>1480 J</v>
          </cell>
          <cell r="B3461">
            <v>11638</v>
          </cell>
          <cell r="C3461">
            <v>45733</v>
          </cell>
          <cell r="D3461" t="str">
            <v>JILANI</v>
          </cell>
          <cell r="E3461" t="str">
            <v>سٹائل سٹیچرزلاہور</v>
          </cell>
        </row>
        <row r="3462">
          <cell r="A3462" t="str">
            <v>1481 J</v>
          </cell>
          <cell r="B3462">
            <v>11639</v>
          </cell>
          <cell r="C3462">
            <v>45733</v>
          </cell>
          <cell r="D3462" t="str">
            <v>JILANI</v>
          </cell>
          <cell r="E3462" t="str">
            <v>نسوار سنٹر بٹ خیلہ</v>
          </cell>
        </row>
        <row r="3463">
          <cell r="A3463" t="str">
            <v>1482 J</v>
          </cell>
          <cell r="B3463">
            <v>11639</v>
          </cell>
          <cell r="C3463">
            <v>45733</v>
          </cell>
          <cell r="D3463" t="str">
            <v>JILANI</v>
          </cell>
          <cell r="E3463" t="str">
            <v>نسوار سنٹر بٹ خیلہ</v>
          </cell>
        </row>
        <row r="3464">
          <cell r="A3464" t="str">
            <v>1483 J</v>
          </cell>
          <cell r="B3464">
            <v>11612</v>
          </cell>
          <cell r="C3464">
            <v>45733</v>
          </cell>
          <cell r="D3464" t="str">
            <v>JILANI</v>
          </cell>
          <cell r="E3464" t="str">
            <v>چراغ دین سویٹس اینڈ بیکرز لاہور</v>
          </cell>
        </row>
        <row r="3465">
          <cell r="A3465" t="str">
            <v>1484 J</v>
          </cell>
          <cell r="B3465">
            <v>11640</v>
          </cell>
          <cell r="C3465">
            <v>45734</v>
          </cell>
          <cell r="D3465" t="str">
            <v>JILANI</v>
          </cell>
          <cell r="E3465" t="str">
            <v>چوہدری ملک سویٹس اینڈ بیکرز جھنگ</v>
          </cell>
        </row>
        <row r="3466">
          <cell r="A3466" t="str">
            <v>1485 J</v>
          </cell>
          <cell r="B3466">
            <v>11640</v>
          </cell>
          <cell r="C3466">
            <v>45734</v>
          </cell>
          <cell r="D3466" t="str">
            <v>JILANI</v>
          </cell>
          <cell r="E3466" t="str">
            <v>چوہدری ملک سویٹس اینڈ بیکرز جھنگ</v>
          </cell>
        </row>
        <row r="3467">
          <cell r="A3467" t="str">
            <v>1486 J</v>
          </cell>
          <cell r="B3467">
            <v>11641</v>
          </cell>
          <cell r="C3467">
            <v>45734</v>
          </cell>
          <cell r="D3467" t="str">
            <v>JILANI</v>
          </cell>
          <cell r="E3467" t="str">
            <v>چوہدری ملک سویٹس اینڈ بیکرز جھنگ</v>
          </cell>
        </row>
        <row r="3468">
          <cell r="A3468" t="str">
            <v>1487 J</v>
          </cell>
          <cell r="B3468">
            <v>11642</v>
          </cell>
          <cell r="C3468">
            <v>45734</v>
          </cell>
          <cell r="D3468" t="str">
            <v>JILANI</v>
          </cell>
          <cell r="E3468" t="str">
            <v>چوہدری ملک سویٹس اینڈ بیکرز جھنگ</v>
          </cell>
        </row>
        <row r="3469">
          <cell r="A3469" t="str">
            <v>1488 J</v>
          </cell>
          <cell r="B3469">
            <v>11643</v>
          </cell>
          <cell r="C3469">
            <v>45734</v>
          </cell>
          <cell r="D3469" t="str">
            <v>JILANI</v>
          </cell>
          <cell r="E3469" t="str">
            <v>تقویٰ پلاسٹک موچی گیٹ</v>
          </cell>
        </row>
        <row r="3470">
          <cell r="A3470" t="str">
            <v>1489 J</v>
          </cell>
          <cell r="B3470">
            <v>11644</v>
          </cell>
          <cell r="C3470">
            <v>45734</v>
          </cell>
          <cell r="D3470" t="str">
            <v>JILANI</v>
          </cell>
          <cell r="E3470" t="str">
            <v>تقویٰ پلاسٹک موچی گیٹ</v>
          </cell>
        </row>
        <row r="3471">
          <cell r="A3471" t="str">
            <v>1490 J</v>
          </cell>
          <cell r="B3471">
            <v>11644</v>
          </cell>
          <cell r="C3471">
            <v>45734</v>
          </cell>
          <cell r="D3471" t="str">
            <v>JILANI</v>
          </cell>
          <cell r="E3471" t="str">
            <v>تقویٰ پلاسٹک موچی گیٹ</v>
          </cell>
        </row>
        <row r="3472">
          <cell r="A3472" t="str">
            <v>1491 J</v>
          </cell>
          <cell r="B3472">
            <v>11644</v>
          </cell>
          <cell r="C3472">
            <v>45734</v>
          </cell>
          <cell r="D3472" t="str">
            <v>JILANI</v>
          </cell>
          <cell r="E3472" t="str">
            <v>تقویٰ پلاسٹک موچی گیٹ</v>
          </cell>
        </row>
        <row r="3473">
          <cell r="A3473" t="str">
            <v>1492 J</v>
          </cell>
          <cell r="B3473">
            <v>11645</v>
          </cell>
          <cell r="C3473">
            <v>45734</v>
          </cell>
          <cell r="D3473" t="str">
            <v>JILANI</v>
          </cell>
          <cell r="E3473" t="str">
            <v>وقاص وولن ملز گوجرانوالہ</v>
          </cell>
        </row>
        <row r="3474">
          <cell r="A3474" t="str">
            <v>1493 J</v>
          </cell>
          <cell r="B3474">
            <v>11645</v>
          </cell>
          <cell r="C3474">
            <v>45734</v>
          </cell>
          <cell r="D3474" t="str">
            <v>JILANI</v>
          </cell>
          <cell r="E3474" t="str">
            <v>وقاص وولن ملز گوجرانوالہ</v>
          </cell>
        </row>
        <row r="3475">
          <cell r="A3475" t="str">
            <v>1494 J</v>
          </cell>
          <cell r="B3475">
            <v>11645</v>
          </cell>
          <cell r="C3475">
            <v>45734</v>
          </cell>
          <cell r="D3475" t="str">
            <v>JILANI</v>
          </cell>
          <cell r="E3475" t="str">
            <v>وقاص وولن ملز گوجرانوالہ</v>
          </cell>
        </row>
        <row r="3476">
          <cell r="A3476" t="str">
            <v>1495 J</v>
          </cell>
          <cell r="B3476">
            <v>11645</v>
          </cell>
          <cell r="C3476">
            <v>45734</v>
          </cell>
          <cell r="D3476" t="str">
            <v>JILANI</v>
          </cell>
          <cell r="E3476" t="str">
            <v>وقاص وولن ملز گوجرانوالہ</v>
          </cell>
        </row>
        <row r="3477">
          <cell r="A3477" t="str">
            <v>1496 J</v>
          </cell>
          <cell r="B3477">
            <v>11646</v>
          </cell>
          <cell r="C3477">
            <v>45734</v>
          </cell>
          <cell r="D3477" t="str">
            <v>JILANI</v>
          </cell>
          <cell r="E3477" t="str">
            <v>وقاص وولن ملز گوجرانوالہ</v>
          </cell>
        </row>
        <row r="3478">
          <cell r="A3478" t="str">
            <v>1497 J</v>
          </cell>
          <cell r="B3478">
            <v>11646</v>
          </cell>
          <cell r="C3478">
            <v>45734</v>
          </cell>
          <cell r="D3478" t="str">
            <v>JILANI</v>
          </cell>
          <cell r="E3478" t="str">
            <v>وقاص وولن ملز گوجرانوالہ</v>
          </cell>
        </row>
        <row r="3479">
          <cell r="A3479" t="str">
            <v>1498 J</v>
          </cell>
          <cell r="B3479">
            <v>11646</v>
          </cell>
          <cell r="C3479">
            <v>45734</v>
          </cell>
          <cell r="D3479" t="str">
            <v>JILANI</v>
          </cell>
          <cell r="E3479" t="str">
            <v>وقاص وولن ملز گوجرانوالہ</v>
          </cell>
        </row>
        <row r="3480">
          <cell r="A3480" t="str">
            <v>1499 J</v>
          </cell>
          <cell r="B3480">
            <v>11646</v>
          </cell>
          <cell r="C3480">
            <v>45734</v>
          </cell>
          <cell r="D3480" t="str">
            <v>JILANI</v>
          </cell>
          <cell r="E3480" t="str">
            <v>وقاص وولن ملز گوجرانوالہ</v>
          </cell>
        </row>
        <row r="3481">
          <cell r="A3481" t="str">
            <v>1500 J</v>
          </cell>
          <cell r="B3481">
            <v>11646</v>
          </cell>
          <cell r="C3481">
            <v>45734</v>
          </cell>
          <cell r="D3481" t="str">
            <v>JILANI</v>
          </cell>
          <cell r="E3481" t="str">
            <v>وقاص وولن ملز گوجرانوالہ</v>
          </cell>
        </row>
        <row r="3482">
          <cell r="A3482" t="str">
            <v>1501 J</v>
          </cell>
          <cell r="B3482">
            <v>11646</v>
          </cell>
          <cell r="C3482">
            <v>45734</v>
          </cell>
          <cell r="D3482" t="str">
            <v>JILANI</v>
          </cell>
          <cell r="E3482" t="str">
            <v>وقاص وولن ملز گوجرانوالہ</v>
          </cell>
        </row>
        <row r="3483">
          <cell r="A3483" t="str">
            <v>1502 J</v>
          </cell>
          <cell r="B3483">
            <v>11646</v>
          </cell>
          <cell r="C3483">
            <v>45734</v>
          </cell>
          <cell r="D3483" t="str">
            <v>JILANI</v>
          </cell>
          <cell r="E3483" t="str">
            <v>وقاص وولن ملز گوجرانوالہ</v>
          </cell>
        </row>
        <row r="3484">
          <cell r="A3484" t="str">
            <v>1503 J</v>
          </cell>
          <cell r="B3484">
            <v>11647</v>
          </cell>
          <cell r="C3484">
            <v>45734</v>
          </cell>
          <cell r="D3484" t="str">
            <v>JILANI</v>
          </cell>
          <cell r="E3484" t="str">
            <v>وقاص وولن ملز گوجرانوالہ</v>
          </cell>
        </row>
        <row r="3485">
          <cell r="A3485" t="str">
            <v>1504 J</v>
          </cell>
          <cell r="B3485">
            <v>11648</v>
          </cell>
          <cell r="C3485">
            <v>45734</v>
          </cell>
          <cell r="D3485" t="str">
            <v>JILANI</v>
          </cell>
          <cell r="E3485" t="str">
            <v>وقاص وولن ملز گوجرانوالہ</v>
          </cell>
        </row>
        <row r="3486">
          <cell r="A3486" t="str">
            <v>1505 J</v>
          </cell>
          <cell r="B3486">
            <v>11649</v>
          </cell>
          <cell r="C3486">
            <v>45734</v>
          </cell>
          <cell r="D3486" t="str">
            <v>JILANI</v>
          </cell>
          <cell r="E3486" t="str">
            <v>وقاص وولن ملز گوجرانوالہ</v>
          </cell>
        </row>
        <row r="3487">
          <cell r="A3487" t="str">
            <v>1506 J</v>
          </cell>
          <cell r="B3487">
            <v>11650</v>
          </cell>
          <cell r="C3487">
            <v>45766</v>
          </cell>
          <cell r="D3487" t="str">
            <v>JILANI</v>
          </cell>
          <cell r="E3487" t="str">
            <v>وقاص وولن ملز گوجرانوالہ</v>
          </cell>
        </row>
        <row r="3488">
          <cell r="A3488" t="str">
            <v>1507 J</v>
          </cell>
          <cell r="B3488">
            <v>11650</v>
          </cell>
          <cell r="C3488">
            <v>45734</v>
          </cell>
          <cell r="D3488" t="str">
            <v>JILANI</v>
          </cell>
          <cell r="E3488" t="str">
            <v>وقاص وولن ملز گوجرانوالہ</v>
          </cell>
        </row>
        <row r="3489">
          <cell r="A3489" t="str">
            <v>1508 J</v>
          </cell>
          <cell r="B3489">
            <v>11650</v>
          </cell>
          <cell r="C3489">
            <v>45734</v>
          </cell>
          <cell r="D3489" t="str">
            <v>JILANI</v>
          </cell>
          <cell r="E3489" t="str">
            <v>وقاص وولن ملز گوجرانوالہ</v>
          </cell>
        </row>
        <row r="3490">
          <cell r="A3490" t="str">
            <v>1509 J</v>
          </cell>
          <cell r="B3490">
            <v>11651</v>
          </cell>
          <cell r="C3490">
            <v>45734</v>
          </cell>
          <cell r="D3490" t="str">
            <v>JILANI</v>
          </cell>
          <cell r="E3490" t="str">
            <v>وقاص وولن ملز گوجرانوالہ</v>
          </cell>
        </row>
        <row r="3491">
          <cell r="A3491" t="str">
            <v>1510 J</v>
          </cell>
          <cell r="B3491">
            <v>11651</v>
          </cell>
          <cell r="C3491">
            <v>45734</v>
          </cell>
          <cell r="D3491" t="str">
            <v>JILANI</v>
          </cell>
          <cell r="E3491" t="str">
            <v>وقاص وولن ملز گوجرانوالہ</v>
          </cell>
        </row>
        <row r="3492">
          <cell r="A3492" t="str">
            <v>1511 J</v>
          </cell>
          <cell r="B3492">
            <v>11652</v>
          </cell>
          <cell r="C3492">
            <v>45734</v>
          </cell>
          <cell r="D3492" t="str">
            <v>JILANI</v>
          </cell>
          <cell r="E3492" t="str">
            <v>وقاص وولن ملز گوجرانوالہ</v>
          </cell>
        </row>
        <row r="3493">
          <cell r="A3493" t="str">
            <v>1512 J</v>
          </cell>
          <cell r="B3493">
            <v>11652</v>
          </cell>
          <cell r="C3493">
            <v>45734</v>
          </cell>
          <cell r="D3493" t="str">
            <v>JILANI</v>
          </cell>
          <cell r="E3493" t="str">
            <v>وقاص وولن ملز گوجرانوالہ</v>
          </cell>
        </row>
        <row r="3494">
          <cell r="A3494" t="str">
            <v>1513 J</v>
          </cell>
          <cell r="B3494">
            <v>11652</v>
          </cell>
          <cell r="C3494">
            <v>45734</v>
          </cell>
          <cell r="D3494" t="str">
            <v>JILANI</v>
          </cell>
          <cell r="E3494" t="str">
            <v>وقاص وولن ملز گوجرانوالہ</v>
          </cell>
        </row>
        <row r="3495">
          <cell r="A3495" t="str">
            <v>6730/1</v>
          </cell>
          <cell r="B3495">
            <v>6730</v>
          </cell>
          <cell r="C3495">
            <v>45734</v>
          </cell>
          <cell r="D3495" t="str">
            <v>یونس صاحب</v>
          </cell>
          <cell r="E3495" t="str">
            <v>فیصل پلاسٹک فیصل آباد</v>
          </cell>
        </row>
        <row r="3496">
          <cell r="A3496" t="str">
            <v>6730/2</v>
          </cell>
          <cell r="B3496">
            <v>6730</v>
          </cell>
          <cell r="C3496">
            <v>45734</v>
          </cell>
          <cell r="D3496" t="str">
            <v>یونس صاحب</v>
          </cell>
          <cell r="E3496" t="str">
            <v>فیصل پلاسٹک فیصل آباد</v>
          </cell>
        </row>
        <row r="3497">
          <cell r="A3497" t="str">
            <v>6730/3</v>
          </cell>
          <cell r="B3497">
            <v>6730</v>
          </cell>
          <cell r="C3497">
            <v>45734</v>
          </cell>
          <cell r="D3497" t="str">
            <v>یونس صاحب</v>
          </cell>
          <cell r="E3497" t="str">
            <v>فیصل پلاسٹک فیصل آباد</v>
          </cell>
        </row>
        <row r="3498">
          <cell r="A3498" t="str">
            <v>6731/1</v>
          </cell>
          <cell r="B3498">
            <v>6731</v>
          </cell>
          <cell r="C3498">
            <v>45734</v>
          </cell>
          <cell r="D3498" t="str">
            <v>یونس صاحب</v>
          </cell>
          <cell r="E3498" t="str">
            <v>عرفان احمد اعظم مارکیٹ</v>
          </cell>
        </row>
        <row r="3499">
          <cell r="A3499" t="str">
            <v>6732/1</v>
          </cell>
          <cell r="B3499">
            <v>6732</v>
          </cell>
          <cell r="C3499">
            <v>45734</v>
          </cell>
          <cell r="D3499" t="str">
            <v>یونس صاحب</v>
          </cell>
          <cell r="E3499" t="str">
            <v>عثمان امین لاہور</v>
          </cell>
        </row>
        <row r="3500">
          <cell r="A3500" t="str">
            <v>6732/2</v>
          </cell>
          <cell r="B3500">
            <v>6732</v>
          </cell>
          <cell r="C3500">
            <v>45734</v>
          </cell>
          <cell r="D3500" t="str">
            <v>یونس صاحب</v>
          </cell>
          <cell r="E3500" t="str">
            <v>عثمان امین لاہور</v>
          </cell>
        </row>
        <row r="3501">
          <cell r="A3501" t="str">
            <v>6733/1</v>
          </cell>
          <cell r="B3501">
            <v>6733</v>
          </cell>
          <cell r="C3501">
            <v>45734</v>
          </cell>
          <cell r="D3501" t="str">
            <v>یونس صاحب</v>
          </cell>
          <cell r="E3501" t="str">
            <v>محبوب مقبول گوجرانوالہ</v>
          </cell>
        </row>
        <row r="3502">
          <cell r="A3502" t="str">
            <v>6733/2</v>
          </cell>
          <cell r="B3502">
            <v>6733</v>
          </cell>
          <cell r="C3502">
            <v>45734</v>
          </cell>
          <cell r="D3502" t="str">
            <v>یونس صاحب</v>
          </cell>
          <cell r="E3502" t="str">
            <v>محبوب مقبول گوجرانوالہ</v>
          </cell>
        </row>
        <row r="3503">
          <cell r="A3503" t="str">
            <v>6733/3</v>
          </cell>
          <cell r="B3503">
            <v>6733</v>
          </cell>
          <cell r="C3503">
            <v>45734</v>
          </cell>
          <cell r="D3503" t="str">
            <v>یونس صاحب</v>
          </cell>
          <cell r="E3503" t="str">
            <v>محبوب مقبول گوجرانوالہ</v>
          </cell>
        </row>
        <row r="3504">
          <cell r="A3504" t="str">
            <v>6733/4</v>
          </cell>
          <cell r="B3504">
            <v>6733</v>
          </cell>
          <cell r="C3504">
            <v>45734</v>
          </cell>
          <cell r="D3504" t="str">
            <v>یونس صاحب</v>
          </cell>
          <cell r="E3504" t="str">
            <v>محبوب مقبول گوجرانوالہ</v>
          </cell>
        </row>
        <row r="3505">
          <cell r="A3505" t="str">
            <v>6733/5</v>
          </cell>
          <cell r="B3505">
            <v>6733</v>
          </cell>
          <cell r="C3505">
            <v>45734</v>
          </cell>
          <cell r="D3505" t="str">
            <v>یونس صاحب</v>
          </cell>
          <cell r="E3505" t="str">
            <v>محبوب مقبول گوجرانوالہ</v>
          </cell>
        </row>
        <row r="3506">
          <cell r="A3506" t="str">
            <v>6733/6</v>
          </cell>
          <cell r="B3506">
            <v>6733</v>
          </cell>
          <cell r="C3506">
            <v>45734</v>
          </cell>
          <cell r="D3506" t="str">
            <v>یونس صاحب</v>
          </cell>
          <cell r="E3506" t="str">
            <v>محبوب مقبول گوجرانوالہ</v>
          </cell>
        </row>
        <row r="3507">
          <cell r="A3507" t="str">
            <v>6733/7</v>
          </cell>
          <cell r="B3507">
            <v>6733</v>
          </cell>
          <cell r="C3507">
            <v>45734</v>
          </cell>
          <cell r="D3507" t="str">
            <v>یونس صاحب</v>
          </cell>
          <cell r="E3507" t="str">
            <v>محبوب مقبول گوجرانوالہ</v>
          </cell>
        </row>
        <row r="3508">
          <cell r="A3508" t="str">
            <v>6733/8</v>
          </cell>
          <cell r="B3508">
            <v>6733</v>
          </cell>
          <cell r="C3508">
            <v>45734</v>
          </cell>
          <cell r="D3508" t="str">
            <v>یونس صاحب</v>
          </cell>
          <cell r="E3508" t="str">
            <v>محبوب مقبول گوجرانوالہ</v>
          </cell>
        </row>
        <row r="3509">
          <cell r="A3509" t="str">
            <v>6733/9</v>
          </cell>
          <cell r="B3509">
            <v>6733</v>
          </cell>
          <cell r="C3509">
            <v>45734</v>
          </cell>
          <cell r="D3509" t="str">
            <v>یونس صاحب</v>
          </cell>
          <cell r="E3509" t="str">
            <v>محبوب مقبول گوجرانوالہ</v>
          </cell>
        </row>
        <row r="3510">
          <cell r="A3510" t="str">
            <v>6733/10</v>
          </cell>
          <cell r="B3510">
            <v>6733</v>
          </cell>
          <cell r="C3510">
            <v>45734</v>
          </cell>
          <cell r="D3510" t="str">
            <v>یونس صاحب</v>
          </cell>
          <cell r="E3510" t="str">
            <v>محبوب مقبول گوجرانوالہ</v>
          </cell>
        </row>
        <row r="3511">
          <cell r="A3511">
            <v>2712</v>
          </cell>
          <cell r="B3511"/>
          <cell r="C3511">
            <v>45738</v>
          </cell>
          <cell r="D3511" t="str">
            <v>JILANI</v>
          </cell>
          <cell r="E3511" t="str">
            <v>JILANI POLY</v>
          </cell>
        </row>
        <row r="3512">
          <cell r="A3512" t="str">
            <v>1514 J</v>
          </cell>
          <cell r="B3512">
            <v>11653</v>
          </cell>
          <cell r="C3512">
            <v>45735</v>
          </cell>
          <cell r="D3512" t="str">
            <v>JILANI</v>
          </cell>
          <cell r="E3512" t="str">
            <v>گرین لائن پرنٹرز لاہور</v>
          </cell>
        </row>
        <row r="3513">
          <cell r="A3513" t="str">
            <v>1515 J</v>
          </cell>
          <cell r="B3513">
            <v>11654</v>
          </cell>
          <cell r="C3513">
            <v>45735</v>
          </cell>
          <cell r="D3513" t="str">
            <v>JILANI</v>
          </cell>
          <cell r="E3513" t="str">
            <v>نواب جیلانی پلاسٹک لیہ</v>
          </cell>
        </row>
        <row r="3514">
          <cell r="A3514" t="str">
            <v>1516 J</v>
          </cell>
          <cell r="B3514">
            <v>11655</v>
          </cell>
          <cell r="C3514">
            <v>45735</v>
          </cell>
          <cell r="D3514" t="str">
            <v>JILANI</v>
          </cell>
          <cell r="E3514" t="str">
            <v>شہباز گارمنٹس شاہدرہ</v>
          </cell>
        </row>
        <row r="3515">
          <cell r="A3515" t="str">
            <v>1517 J</v>
          </cell>
          <cell r="B3515">
            <v>11656</v>
          </cell>
          <cell r="C3515">
            <v>45735</v>
          </cell>
          <cell r="D3515" t="str">
            <v>JILANI</v>
          </cell>
          <cell r="E3515" t="str">
            <v>نواب جیلانی پلاسٹک لیہ</v>
          </cell>
        </row>
        <row r="3516">
          <cell r="A3516" t="str">
            <v>1518 J</v>
          </cell>
          <cell r="B3516">
            <v>11657</v>
          </cell>
          <cell r="C3516">
            <v>45735</v>
          </cell>
          <cell r="D3516" t="str">
            <v>JILANI</v>
          </cell>
          <cell r="E3516" t="str">
            <v>فینسی گارمنٹس کامونکی</v>
          </cell>
        </row>
        <row r="3517">
          <cell r="A3517" t="str">
            <v>1519 J</v>
          </cell>
          <cell r="B3517">
            <v>11657</v>
          </cell>
          <cell r="C3517">
            <v>45735</v>
          </cell>
          <cell r="D3517" t="str">
            <v>JILANI</v>
          </cell>
          <cell r="E3517" t="str">
            <v>فینسی گارمنٹس کامونکی</v>
          </cell>
        </row>
        <row r="3518">
          <cell r="A3518" t="str">
            <v>1520 J</v>
          </cell>
          <cell r="B3518">
            <v>11658</v>
          </cell>
          <cell r="C3518">
            <v>45735</v>
          </cell>
          <cell r="D3518" t="str">
            <v>JILANI</v>
          </cell>
          <cell r="E3518" t="str">
            <v>علیم سویٹس اینڈ بیکرزلاہور</v>
          </cell>
        </row>
        <row r="3519">
          <cell r="A3519" t="str">
            <v>1521 J</v>
          </cell>
          <cell r="B3519">
            <v>11659</v>
          </cell>
          <cell r="C3519">
            <v>45735</v>
          </cell>
          <cell r="D3519" t="str">
            <v>JILANI</v>
          </cell>
          <cell r="E3519" t="str">
            <v>عثمان عارف بٹ گوجرانولہ</v>
          </cell>
        </row>
        <row r="3520">
          <cell r="A3520" t="str">
            <v>1522 J</v>
          </cell>
          <cell r="B3520">
            <v>11659</v>
          </cell>
          <cell r="C3520">
            <v>45735</v>
          </cell>
          <cell r="D3520" t="str">
            <v>JILANI</v>
          </cell>
          <cell r="E3520" t="str">
            <v>عثمان عارف بٹ گوجرانولہ</v>
          </cell>
        </row>
        <row r="3521">
          <cell r="A3521" t="str">
            <v>1523 J</v>
          </cell>
          <cell r="B3521">
            <v>11659</v>
          </cell>
          <cell r="C3521">
            <v>45735</v>
          </cell>
          <cell r="D3521" t="str">
            <v>JILANI</v>
          </cell>
          <cell r="E3521" t="str">
            <v>عثمان عارف بٹ گوجرانولہ</v>
          </cell>
        </row>
        <row r="3522">
          <cell r="A3522" t="str">
            <v>1524 J</v>
          </cell>
          <cell r="B3522">
            <v>11659</v>
          </cell>
          <cell r="C3522">
            <v>45735</v>
          </cell>
          <cell r="D3522" t="str">
            <v>JILANI</v>
          </cell>
          <cell r="E3522" t="str">
            <v>عثمان عارف بٹ گوجرانولہ</v>
          </cell>
        </row>
        <row r="3523">
          <cell r="A3523" t="str">
            <v>1525 J</v>
          </cell>
          <cell r="B3523">
            <v>11660</v>
          </cell>
          <cell r="C3523">
            <v>45735</v>
          </cell>
          <cell r="D3523" t="str">
            <v>JILANI</v>
          </cell>
          <cell r="E3523" t="str">
            <v>بابر سویٹس اینڈ بیکرز بھابڈہ</v>
          </cell>
        </row>
        <row r="3524">
          <cell r="A3524" t="str">
            <v>1526 J</v>
          </cell>
          <cell r="B3524">
            <v>11661</v>
          </cell>
          <cell r="C3524">
            <v>45735</v>
          </cell>
          <cell r="D3524" t="str">
            <v>JILANI</v>
          </cell>
          <cell r="E3524" t="str">
            <v>نشاط زرعی مرکز لاہور</v>
          </cell>
        </row>
        <row r="3525">
          <cell r="A3525" t="str">
            <v>1527 J</v>
          </cell>
          <cell r="B3525">
            <v>11662</v>
          </cell>
          <cell r="C3525">
            <v>45735</v>
          </cell>
          <cell r="D3525" t="str">
            <v>JILANI</v>
          </cell>
          <cell r="E3525" t="str">
            <v>نشاط زرعی مرکز لاہور</v>
          </cell>
        </row>
        <row r="3526">
          <cell r="A3526" t="str">
            <v>1528 J</v>
          </cell>
          <cell r="B3526">
            <v>11663</v>
          </cell>
          <cell r="C3526">
            <v>45735</v>
          </cell>
          <cell r="D3526" t="str">
            <v>JILANI</v>
          </cell>
          <cell r="E3526" t="str">
            <v>عالم پرنٹرز بٹ خیلہ</v>
          </cell>
        </row>
        <row r="3527">
          <cell r="A3527" t="str">
            <v>1529 J</v>
          </cell>
          <cell r="B3527"/>
          <cell r="C3527">
            <v>45735</v>
          </cell>
          <cell r="D3527" t="str">
            <v>OTHERS</v>
          </cell>
          <cell r="E3527" t="str">
            <v>جیلانی پلاسٹک</v>
          </cell>
        </row>
        <row r="3528">
          <cell r="A3528" t="str">
            <v>1530 J</v>
          </cell>
          <cell r="B3528">
            <v>11665</v>
          </cell>
          <cell r="C3528">
            <v>45737</v>
          </cell>
          <cell r="D3528" t="str">
            <v>JILANI</v>
          </cell>
          <cell r="E3528" t="str">
            <v>اشفاق علی اینڈ سنز شاہ عالم مارکیٹ لاہور</v>
          </cell>
        </row>
        <row r="3529">
          <cell r="A3529" t="str">
            <v>1531 J</v>
          </cell>
          <cell r="B3529">
            <v>11666</v>
          </cell>
          <cell r="C3529">
            <v>45737</v>
          </cell>
          <cell r="D3529" t="str">
            <v>JILANI</v>
          </cell>
          <cell r="E3529" t="str">
            <v>فینسی گارمنٹس کامونکی</v>
          </cell>
        </row>
        <row r="3530">
          <cell r="A3530" t="str">
            <v>1532 J</v>
          </cell>
          <cell r="B3530">
            <v>11666</v>
          </cell>
          <cell r="C3530">
            <v>45737</v>
          </cell>
          <cell r="D3530" t="str">
            <v>JILANI</v>
          </cell>
          <cell r="E3530" t="str">
            <v>فینسی گارمنٹس کامونکی</v>
          </cell>
        </row>
        <row r="3531">
          <cell r="A3531" t="str">
            <v>1533 J</v>
          </cell>
          <cell r="B3531">
            <v>11667</v>
          </cell>
          <cell r="C3531">
            <v>45737</v>
          </cell>
          <cell r="D3531" t="str">
            <v>JILANI</v>
          </cell>
          <cell r="E3531" t="str">
            <v>فینسی گارمنٹس کامونکی</v>
          </cell>
        </row>
        <row r="3532">
          <cell r="A3532" t="str">
            <v>1534 J</v>
          </cell>
          <cell r="B3532">
            <v>11667</v>
          </cell>
          <cell r="C3532">
            <v>45737</v>
          </cell>
          <cell r="D3532" t="str">
            <v>JILANI</v>
          </cell>
          <cell r="E3532" t="str">
            <v>فینسی گارمنٹس کامونکی</v>
          </cell>
        </row>
        <row r="3533">
          <cell r="A3533" t="str">
            <v>1535 J</v>
          </cell>
          <cell r="B3533">
            <v>11668</v>
          </cell>
          <cell r="C3533">
            <v>45737</v>
          </cell>
          <cell r="D3533" t="str">
            <v>JILANI</v>
          </cell>
          <cell r="E3533" t="str">
            <v>ساجد کلاتھ ہاؤس چیچہ وطنی</v>
          </cell>
        </row>
        <row r="3534">
          <cell r="A3534" t="str">
            <v>1536 J</v>
          </cell>
          <cell r="B3534">
            <v>11669</v>
          </cell>
          <cell r="C3534">
            <v>45737</v>
          </cell>
          <cell r="D3534" t="str">
            <v>JILANI</v>
          </cell>
          <cell r="E3534" t="str">
            <v>وقاص وولن ملز گوجرانوالہ</v>
          </cell>
        </row>
        <row r="3535">
          <cell r="A3535" t="str">
            <v>1537 J</v>
          </cell>
          <cell r="B3535">
            <v>11670</v>
          </cell>
          <cell r="C3535">
            <v>45737</v>
          </cell>
          <cell r="D3535" t="str">
            <v>JILANI</v>
          </cell>
          <cell r="E3535" t="str">
            <v>نواب جیلانی پلاسٹک لیہ</v>
          </cell>
        </row>
        <row r="3536">
          <cell r="A3536" t="str">
            <v>1538 J</v>
          </cell>
          <cell r="B3536">
            <v>11671</v>
          </cell>
          <cell r="C3536">
            <v>45737</v>
          </cell>
          <cell r="D3536" t="str">
            <v>JILANI</v>
          </cell>
          <cell r="E3536" t="str">
            <v>اٹلس ہنڈا لمیٹڈ شیخوپورہ</v>
          </cell>
        </row>
        <row r="3537">
          <cell r="A3537" t="str">
            <v>1539 J</v>
          </cell>
          <cell r="B3537">
            <v>11672</v>
          </cell>
          <cell r="C3537">
            <v>45737</v>
          </cell>
          <cell r="D3537" t="str">
            <v>JILANI</v>
          </cell>
          <cell r="E3537" t="str">
            <v>اٹلس ہنڈا لمیٹڈ شیخوپورہ</v>
          </cell>
        </row>
        <row r="3538">
          <cell r="A3538" t="str">
            <v>1540 J</v>
          </cell>
          <cell r="B3538">
            <v>11673</v>
          </cell>
          <cell r="C3538">
            <v>45737</v>
          </cell>
          <cell r="D3538" t="str">
            <v>JILANI</v>
          </cell>
          <cell r="E3538" t="str">
            <v>اٹلس ہنڈا لمیٹڈ شیخوپورہ</v>
          </cell>
        </row>
        <row r="3539">
          <cell r="A3539" t="str">
            <v>1541 J</v>
          </cell>
          <cell r="B3539">
            <v>11674</v>
          </cell>
          <cell r="C3539">
            <v>45737</v>
          </cell>
          <cell r="D3539" t="str">
            <v>JILANI</v>
          </cell>
          <cell r="E3539" t="str">
            <v>اٹلس ہنڈا لمیٹڈ شیخوپورہ</v>
          </cell>
        </row>
        <row r="3540">
          <cell r="A3540" t="str">
            <v>1542 J</v>
          </cell>
          <cell r="B3540">
            <v>11675</v>
          </cell>
          <cell r="C3540">
            <v>45737</v>
          </cell>
          <cell r="D3540" t="str">
            <v>JILANI</v>
          </cell>
          <cell r="E3540" t="str">
            <v>اٹلس ہنڈا لمیٹڈ شیخوپورہ</v>
          </cell>
        </row>
        <row r="3541">
          <cell r="A3541" t="str">
            <v>1543 J</v>
          </cell>
          <cell r="B3541">
            <v>11676</v>
          </cell>
          <cell r="C3541">
            <v>45737</v>
          </cell>
          <cell r="D3541" t="str">
            <v>JILANI</v>
          </cell>
          <cell r="E3541" t="str">
            <v>اٹلس ہنڈا لمیٹڈ شیخوپورہ</v>
          </cell>
        </row>
        <row r="3542">
          <cell r="A3542" t="str">
            <v>1544 J</v>
          </cell>
          <cell r="B3542">
            <v>11677</v>
          </cell>
          <cell r="C3542">
            <v>45737</v>
          </cell>
          <cell r="D3542" t="str">
            <v>JILANI</v>
          </cell>
          <cell r="E3542" t="str">
            <v>اٹلس ہنڈا لمیٹڈ شیخوپورہ</v>
          </cell>
        </row>
        <row r="3543">
          <cell r="A3543" t="str">
            <v>1545 J</v>
          </cell>
          <cell r="B3543">
            <v>11678</v>
          </cell>
          <cell r="C3543">
            <v>45737</v>
          </cell>
          <cell r="D3543" t="str">
            <v>JILANI</v>
          </cell>
          <cell r="E3543" t="str">
            <v>اٹلس ہنڈا لمیٹڈ شیخوپورہ</v>
          </cell>
        </row>
        <row r="3544">
          <cell r="A3544" t="str">
            <v>1546 J</v>
          </cell>
          <cell r="B3544">
            <v>11679</v>
          </cell>
          <cell r="C3544">
            <v>45737</v>
          </cell>
          <cell r="D3544" t="str">
            <v>JILANI</v>
          </cell>
          <cell r="E3544" t="str">
            <v>اٹلس ہنڈا لمیٹڈ شیخوپورہ</v>
          </cell>
        </row>
        <row r="3545">
          <cell r="A3545" t="str">
            <v>1547 J</v>
          </cell>
          <cell r="B3545">
            <v>11680</v>
          </cell>
          <cell r="C3545">
            <v>45737</v>
          </cell>
          <cell r="D3545" t="str">
            <v>JILANI</v>
          </cell>
          <cell r="E3545" t="str">
            <v>اٹلس ہنڈا لمیٹڈ شیخوپورہ</v>
          </cell>
        </row>
        <row r="3546">
          <cell r="A3546" t="str">
            <v>1548 J</v>
          </cell>
          <cell r="B3546">
            <v>11681</v>
          </cell>
          <cell r="C3546">
            <v>45737</v>
          </cell>
          <cell r="D3546" t="str">
            <v>JILANI</v>
          </cell>
          <cell r="E3546" t="str">
            <v>اٹلس ہنڈا لمیٹڈ شیخوپورہ</v>
          </cell>
        </row>
        <row r="3547">
          <cell r="A3547" t="str">
            <v>1549 J</v>
          </cell>
          <cell r="B3547">
            <v>11682</v>
          </cell>
          <cell r="C3547">
            <v>45737</v>
          </cell>
          <cell r="D3547" t="str">
            <v>JILANI</v>
          </cell>
          <cell r="E3547" t="str">
            <v>اٹلس ہنڈا لمیٹڈ شیخوپورہ</v>
          </cell>
        </row>
        <row r="3548">
          <cell r="A3548" t="str">
            <v>1550 J</v>
          </cell>
          <cell r="B3548">
            <v>11683</v>
          </cell>
          <cell r="C3548">
            <v>45737</v>
          </cell>
          <cell r="D3548" t="str">
            <v>JILANI</v>
          </cell>
          <cell r="E3548" t="str">
            <v>اٹلس ہنڈا لمیٹڈ شیخوپورہ</v>
          </cell>
        </row>
        <row r="3549">
          <cell r="A3549" t="str">
            <v>1551 J</v>
          </cell>
          <cell r="B3549">
            <v>11684</v>
          </cell>
          <cell r="C3549">
            <v>45737</v>
          </cell>
          <cell r="D3549" t="str">
            <v>JILANI</v>
          </cell>
          <cell r="E3549" t="str">
            <v>اٹلس ہنڈا لمیٹڈ شیخوپورہ</v>
          </cell>
        </row>
        <row r="3550">
          <cell r="A3550" t="str">
            <v>1552 J</v>
          </cell>
          <cell r="B3550">
            <v>11685</v>
          </cell>
          <cell r="C3550">
            <v>45737</v>
          </cell>
          <cell r="D3550" t="str">
            <v>JILANI</v>
          </cell>
          <cell r="E3550" t="str">
            <v>احسان کاٹن پراڈکٹس</v>
          </cell>
        </row>
        <row r="3551">
          <cell r="A3551" t="str">
            <v>1553 J</v>
          </cell>
          <cell r="B3551">
            <v>11686</v>
          </cell>
          <cell r="C3551">
            <v>45737</v>
          </cell>
          <cell r="D3551" t="str">
            <v>JILANI</v>
          </cell>
          <cell r="E3551" t="str">
            <v>نسوار سنٹر بٹ خیلہ</v>
          </cell>
        </row>
        <row r="3552">
          <cell r="A3552" t="str">
            <v>1554 J</v>
          </cell>
          <cell r="B3552">
            <v>11686</v>
          </cell>
          <cell r="C3552">
            <v>45737</v>
          </cell>
          <cell r="D3552" t="str">
            <v>JILANI</v>
          </cell>
          <cell r="E3552" t="str">
            <v>نسوار سنٹر بٹ خیلہ</v>
          </cell>
        </row>
        <row r="3553">
          <cell r="A3553" t="str">
            <v>1555 J</v>
          </cell>
          <cell r="B3553">
            <v>11687</v>
          </cell>
          <cell r="C3553">
            <v>45737</v>
          </cell>
          <cell r="D3553" t="str">
            <v>JILANI</v>
          </cell>
          <cell r="E3553" t="str">
            <v>البراق  ڈیپارٹمنٹ سٹور لاہور</v>
          </cell>
        </row>
        <row r="3554">
          <cell r="A3554" t="str">
            <v>1556 J</v>
          </cell>
          <cell r="B3554">
            <v>11687</v>
          </cell>
          <cell r="C3554">
            <v>45737</v>
          </cell>
          <cell r="D3554" t="str">
            <v>JILANI</v>
          </cell>
          <cell r="E3554" t="str">
            <v>البراق  ڈیپارٹمنٹ سٹور لاہور</v>
          </cell>
        </row>
        <row r="3555">
          <cell r="A3555" t="str">
            <v>1557 J</v>
          </cell>
          <cell r="B3555">
            <v>11687</v>
          </cell>
          <cell r="C3555">
            <v>45737</v>
          </cell>
          <cell r="D3555" t="str">
            <v>JILANI</v>
          </cell>
          <cell r="E3555" t="str">
            <v>البراق  ڈیپارٹمنٹ سٹور لاہور</v>
          </cell>
        </row>
        <row r="3556">
          <cell r="A3556" t="str">
            <v>1558 J</v>
          </cell>
          <cell r="B3556">
            <v>11687</v>
          </cell>
          <cell r="C3556">
            <v>45737</v>
          </cell>
          <cell r="D3556" t="str">
            <v>JILANI</v>
          </cell>
          <cell r="E3556" t="str">
            <v>البراق  ڈیپارٹمنٹ سٹور لاہور</v>
          </cell>
        </row>
        <row r="3557">
          <cell r="A3557" t="str">
            <v>1559 J</v>
          </cell>
          <cell r="B3557">
            <v>11687</v>
          </cell>
          <cell r="C3557">
            <v>45737</v>
          </cell>
          <cell r="D3557" t="str">
            <v>JILANI</v>
          </cell>
          <cell r="E3557" t="str">
            <v>البراق  ڈیپارٹمنٹ سٹور لاہور</v>
          </cell>
        </row>
        <row r="3558">
          <cell r="A3558" t="str">
            <v>1560 J</v>
          </cell>
          <cell r="B3558">
            <v>11664</v>
          </cell>
          <cell r="C3558">
            <v>45737</v>
          </cell>
          <cell r="D3558" t="str">
            <v>JILANI</v>
          </cell>
          <cell r="E3558" t="str">
            <v>اشفاق علی اینڈ سنز شاہ عالم مارکیٹ لاہور</v>
          </cell>
        </row>
        <row r="3559">
          <cell r="A3559" t="str">
            <v>1561 J</v>
          </cell>
          <cell r="B3559">
            <v>11664</v>
          </cell>
          <cell r="C3559">
            <v>45737</v>
          </cell>
          <cell r="D3559" t="str">
            <v>JILANI</v>
          </cell>
          <cell r="E3559" t="str">
            <v>اشفاق علی اینڈ سنز شاہ عالم مارکیٹ لاہور</v>
          </cell>
        </row>
        <row r="3560">
          <cell r="A3560" t="str">
            <v>1268 F</v>
          </cell>
          <cell r="B3560"/>
          <cell r="C3560">
            <v>45735</v>
          </cell>
          <cell r="D3560" t="str">
            <v>فینا</v>
          </cell>
          <cell r="E3560" t="str">
            <v>عثمان امین</v>
          </cell>
        </row>
        <row r="3561">
          <cell r="A3561" t="str">
            <v>1269 F</v>
          </cell>
          <cell r="B3561"/>
          <cell r="C3561">
            <v>45735</v>
          </cell>
          <cell r="D3561" t="str">
            <v>فینا</v>
          </cell>
          <cell r="E3561" t="str">
            <v>عثمان امین</v>
          </cell>
        </row>
        <row r="3562">
          <cell r="A3562" t="str">
            <v>1270 F</v>
          </cell>
          <cell r="B3562"/>
          <cell r="C3562">
            <v>45735</v>
          </cell>
          <cell r="D3562" t="str">
            <v>فینا</v>
          </cell>
          <cell r="E3562" t="str">
            <v>عثمان امین</v>
          </cell>
        </row>
        <row r="3563">
          <cell r="A3563" t="str">
            <v>1271 F</v>
          </cell>
          <cell r="B3563"/>
          <cell r="C3563">
            <v>45735</v>
          </cell>
          <cell r="D3563" t="str">
            <v>فینا</v>
          </cell>
          <cell r="E3563" t="str">
            <v>عثمان امین</v>
          </cell>
        </row>
        <row r="3564">
          <cell r="A3564" t="str">
            <v>1272 F</v>
          </cell>
          <cell r="B3564"/>
          <cell r="C3564">
            <v>45735</v>
          </cell>
          <cell r="D3564" t="str">
            <v>فینا</v>
          </cell>
          <cell r="E3564" t="str">
            <v>عثمان امین</v>
          </cell>
        </row>
        <row r="3565">
          <cell r="A3565" t="str">
            <v>1273 F</v>
          </cell>
          <cell r="B3565"/>
          <cell r="C3565">
            <v>45735</v>
          </cell>
          <cell r="D3565" t="str">
            <v>فینا</v>
          </cell>
          <cell r="E3565" t="str">
            <v>عثمان امین</v>
          </cell>
        </row>
        <row r="3566">
          <cell r="A3566" t="str">
            <v>1274 F</v>
          </cell>
          <cell r="B3566"/>
          <cell r="C3566">
            <v>45735</v>
          </cell>
          <cell r="D3566" t="str">
            <v>فینا</v>
          </cell>
          <cell r="E3566" t="str">
            <v>عثمان امین</v>
          </cell>
        </row>
        <row r="3567">
          <cell r="A3567" t="str">
            <v>1275 F</v>
          </cell>
          <cell r="B3567"/>
          <cell r="C3567">
            <v>45737</v>
          </cell>
          <cell r="D3567" t="str">
            <v>فینا</v>
          </cell>
          <cell r="E3567" t="str">
            <v>عثمان امین</v>
          </cell>
        </row>
        <row r="3568">
          <cell r="A3568" t="str">
            <v>1276 F</v>
          </cell>
          <cell r="B3568"/>
          <cell r="C3568">
            <v>45737</v>
          </cell>
          <cell r="D3568" t="str">
            <v>فینا</v>
          </cell>
          <cell r="E3568" t="str">
            <v>عثمان امین</v>
          </cell>
        </row>
        <row r="3569">
          <cell r="A3569" t="str">
            <v>1277 F</v>
          </cell>
          <cell r="B3569"/>
          <cell r="C3569">
            <v>45737</v>
          </cell>
          <cell r="D3569" t="str">
            <v>فینا</v>
          </cell>
          <cell r="E3569" t="str">
            <v>عثمان امین</v>
          </cell>
        </row>
        <row r="3570">
          <cell r="A3570" t="str">
            <v>1562 J</v>
          </cell>
          <cell r="B3570"/>
          <cell r="C3570">
            <v>45737</v>
          </cell>
          <cell r="D3570" t="str">
            <v>OTHERS</v>
          </cell>
          <cell r="E3570" t="str">
            <v>جیلانی پولی سٹاک</v>
          </cell>
        </row>
        <row r="3571">
          <cell r="A3571" t="str">
            <v>1563 J</v>
          </cell>
          <cell r="B3571">
            <v>11665</v>
          </cell>
          <cell r="C3571">
            <v>45737</v>
          </cell>
          <cell r="D3571" t="str">
            <v>JILANI</v>
          </cell>
          <cell r="E3571" t="str">
            <v>میٹرو فیبرکس بریکوٹ سوات</v>
          </cell>
        </row>
        <row r="3572">
          <cell r="A3572" t="str">
            <v>1564 J</v>
          </cell>
          <cell r="B3572">
            <v>11666</v>
          </cell>
          <cell r="C3572">
            <v>45737</v>
          </cell>
          <cell r="D3572" t="str">
            <v>JILANI</v>
          </cell>
          <cell r="E3572" t="str">
            <v>سپر شنگھائی ننکانہ صاحب</v>
          </cell>
        </row>
        <row r="3573">
          <cell r="A3573" t="str">
            <v>1565 J</v>
          </cell>
          <cell r="B3573">
            <v>11690</v>
          </cell>
          <cell r="C3573">
            <v>45737</v>
          </cell>
          <cell r="D3573" t="str">
            <v>JILANI</v>
          </cell>
          <cell r="E3573" t="str">
            <v>سپر شنگھائی ننکانہ صاحب</v>
          </cell>
        </row>
        <row r="3574">
          <cell r="A3574" t="str">
            <v>1566 J</v>
          </cell>
          <cell r="B3574">
            <v>11691</v>
          </cell>
          <cell r="C3574">
            <v>45737</v>
          </cell>
          <cell r="D3574" t="str">
            <v>JILANI</v>
          </cell>
          <cell r="E3574" t="str">
            <v xml:space="preserve">پاک الیکٹرون لیمیٹڈ  </v>
          </cell>
        </row>
        <row r="3575">
          <cell r="A3575" t="str">
            <v>1567 J</v>
          </cell>
          <cell r="B3575">
            <v>11692</v>
          </cell>
          <cell r="C3575">
            <v>45737</v>
          </cell>
          <cell r="D3575" t="str">
            <v>JILANI</v>
          </cell>
          <cell r="E3575" t="str">
            <v>برائٹ گولڈ نارووال</v>
          </cell>
        </row>
        <row r="3576">
          <cell r="A3576" t="str">
            <v>1568 J</v>
          </cell>
          <cell r="B3576">
            <v>11693</v>
          </cell>
          <cell r="C3576">
            <v>45738</v>
          </cell>
          <cell r="D3576" t="str">
            <v>JILANI</v>
          </cell>
          <cell r="E3576" t="str">
            <v>نظر قمر پلاسٹک C/Oصابر پلاسٹک شاہدرہ</v>
          </cell>
        </row>
        <row r="3577">
          <cell r="A3577" t="str">
            <v>1569 J</v>
          </cell>
          <cell r="B3577">
            <v>11693</v>
          </cell>
          <cell r="C3577">
            <v>45738</v>
          </cell>
          <cell r="D3577" t="str">
            <v>JILANI</v>
          </cell>
          <cell r="E3577" t="str">
            <v>نظر قمر پلاسٹک C/Oصابر پلاسٹک شاہدرہ</v>
          </cell>
        </row>
        <row r="3578">
          <cell r="A3578" t="str">
            <v>1570 J</v>
          </cell>
          <cell r="B3578">
            <v>11693</v>
          </cell>
          <cell r="C3578">
            <v>45738</v>
          </cell>
          <cell r="D3578" t="str">
            <v>JILANI</v>
          </cell>
          <cell r="E3578" t="str">
            <v>نظر قمر پلاسٹک C/Oصابر پلاسٹک شاہدرہ</v>
          </cell>
        </row>
        <row r="3579">
          <cell r="A3579" t="str">
            <v>1571 J</v>
          </cell>
          <cell r="B3579">
            <v>11693</v>
          </cell>
          <cell r="C3579">
            <v>45738</v>
          </cell>
          <cell r="D3579" t="str">
            <v>JILANI</v>
          </cell>
          <cell r="E3579" t="str">
            <v>نظر قمر پلاسٹک C/Oصابر پلاسٹک شاہدرہ</v>
          </cell>
        </row>
        <row r="3580">
          <cell r="A3580" t="str">
            <v>6738/1</v>
          </cell>
          <cell r="B3580">
            <v>6738</v>
          </cell>
          <cell r="C3580">
            <v>45735</v>
          </cell>
          <cell r="D3580" t="str">
            <v>یونس صاحب</v>
          </cell>
          <cell r="E3580" t="str">
            <v>ایم دین  بند ل</v>
          </cell>
        </row>
        <row r="3581">
          <cell r="A3581" t="str">
            <v>6739/1</v>
          </cell>
          <cell r="B3581">
            <v>6739</v>
          </cell>
          <cell r="C3581">
            <v>45735</v>
          </cell>
          <cell r="D3581" t="str">
            <v>یونس صاحب</v>
          </cell>
          <cell r="E3581" t="str">
            <v>ایم  عثمان رمضان کا مو نکی</v>
          </cell>
        </row>
        <row r="3582">
          <cell r="A3582" t="str">
            <v>6740/1</v>
          </cell>
          <cell r="B3582">
            <v>6740</v>
          </cell>
          <cell r="C3582">
            <v>45735</v>
          </cell>
          <cell r="D3582" t="str">
            <v>یونس صاحب</v>
          </cell>
          <cell r="E3582" t="str">
            <v>اختر علی چیچہ وطنی</v>
          </cell>
        </row>
        <row r="3583">
          <cell r="A3583" t="str">
            <v>6740/2</v>
          </cell>
          <cell r="B3583">
            <v>6740</v>
          </cell>
          <cell r="C3583">
            <v>45735</v>
          </cell>
          <cell r="D3583" t="str">
            <v>یونس صاحب</v>
          </cell>
          <cell r="E3583" t="str">
            <v>اختر علی چیچہ وطنی</v>
          </cell>
        </row>
        <row r="3584">
          <cell r="A3584" t="str">
            <v>6740/3</v>
          </cell>
          <cell r="B3584">
            <v>6740</v>
          </cell>
          <cell r="C3584">
            <v>45735</v>
          </cell>
          <cell r="D3584" t="str">
            <v>یونس صاحب</v>
          </cell>
          <cell r="E3584" t="str">
            <v>اختر علی چیچہ وطنی</v>
          </cell>
        </row>
        <row r="3585">
          <cell r="A3585" t="str">
            <v>6740/4</v>
          </cell>
          <cell r="B3585">
            <v>6740</v>
          </cell>
          <cell r="C3585">
            <v>45735</v>
          </cell>
          <cell r="D3585" t="str">
            <v>یونس صاحب</v>
          </cell>
          <cell r="E3585" t="str">
            <v>اختر علی چیچہ وطنی</v>
          </cell>
        </row>
        <row r="3586">
          <cell r="A3586" t="str">
            <v>6740/5</v>
          </cell>
          <cell r="B3586">
            <v>6740</v>
          </cell>
          <cell r="C3586">
            <v>45735</v>
          </cell>
          <cell r="D3586" t="str">
            <v>یونس صاحب</v>
          </cell>
          <cell r="E3586" t="str">
            <v>اختر علی چیچہ وطنی</v>
          </cell>
        </row>
        <row r="3587">
          <cell r="A3587" t="str">
            <v>6740/6</v>
          </cell>
          <cell r="B3587">
            <v>6740</v>
          </cell>
          <cell r="C3587">
            <v>45735</v>
          </cell>
          <cell r="D3587" t="str">
            <v>یونس صاحب</v>
          </cell>
          <cell r="E3587" t="str">
            <v>اختر علی چیچہ وطنی</v>
          </cell>
        </row>
        <row r="3588">
          <cell r="A3588" t="str">
            <v>6740/7</v>
          </cell>
          <cell r="B3588">
            <v>6740</v>
          </cell>
          <cell r="C3588">
            <v>45735</v>
          </cell>
          <cell r="D3588" t="str">
            <v>یونس صاحب</v>
          </cell>
          <cell r="E3588" t="str">
            <v>اختر علی چیچہ وطنی</v>
          </cell>
        </row>
        <row r="3589">
          <cell r="A3589" t="str">
            <v>6740/8</v>
          </cell>
          <cell r="B3589">
            <v>6740</v>
          </cell>
          <cell r="C3589">
            <v>45735</v>
          </cell>
          <cell r="D3589" t="str">
            <v>یونس صاحب</v>
          </cell>
          <cell r="E3589" t="str">
            <v>اختر علی چیچہ وطنی</v>
          </cell>
        </row>
        <row r="3590">
          <cell r="A3590" t="str">
            <v>6741/1</v>
          </cell>
          <cell r="B3590">
            <v>6741</v>
          </cell>
          <cell r="C3590">
            <v>45737</v>
          </cell>
          <cell r="D3590" t="str">
            <v>یونس صاحب</v>
          </cell>
          <cell r="E3590" t="str">
            <v>طلہ پلاسٹک ملتان</v>
          </cell>
        </row>
        <row r="3591">
          <cell r="A3591" t="str">
            <v>6741/2</v>
          </cell>
          <cell r="B3591">
            <v>6741</v>
          </cell>
          <cell r="C3591">
            <v>45737</v>
          </cell>
          <cell r="D3591" t="str">
            <v>یونس صاحب</v>
          </cell>
          <cell r="E3591" t="str">
            <v>طلہ پلاسٹک ملتان</v>
          </cell>
        </row>
        <row r="3592">
          <cell r="A3592" t="str">
            <v>6741/3</v>
          </cell>
          <cell r="B3592">
            <v>6741</v>
          </cell>
          <cell r="C3592">
            <v>45737</v>
          </cell>
          <cell r="D3592" t="str">
            <v>یونس صاحب</v>
          </cell>
          <cell r="E3592" t="str">
            <v>طلہ پلاسٹک ملتان</v>
          </cell>
        </row>
        <row r="3593">
          <cell r="A3593" t="str">
            <v>6741/4</v>
          </cell>
          <cell r="B3593">
            <v>6741</v>
          </cell>
          <cell r="C3593">
            <v>45737</v>
          </cell>
          <cell r="D3593" t="str">
            <v>یونس صاحب</v>
          </cell>
          <cell r="E3593" t="str">
            <v>طلہ پلاسٹک ملتان</v>
          </cell>
        </row>
        <row r="3594">
          <cell r="A3594" t="str">
            <v>6741/5</v>
          </cell>
          <cell r="B3594">
            <v>6741</v>
          </cell>
          <cell r="C3594">
            <v>45737</v>
          </cell>
          <cell r="D3594" t="str">
            <v>یونس صاحب</v>
          </cell>
          <cell r="E3594" t="str">
            <v>طلہ پلاسٹک ملتان</v>
          </cell>
        </row>
        <row r="3595">
          <cell r="A3595" t="str">
            <v>6741/6</v>
          </cell>
          <cell r="B3595">
            <v>6741</v>
          </cell>
          <cell r="C3595">
            <v>45737</v>
          </cell>
          <cell r="D3595" t="str">
            <v>یونس صاحب</v>
          </cell>
          <cell r="E3595" t="str">
            <v>طلہ پلاسٹک ملتان</v>
          </cell>
        </row>
        <row r="3596">
          <cell r="A3596" t="str">
            <v>6741/7</v>
          </cell>
          <cell r="B3596">
            <v>6741</v>
          </cell>
          <cell r="C3596">
            <v>45737</v>
          </cell>
          <cell r="D3596" t="str">
            <v>یونس صاحب</v>
          </cell>
          <cell r="E3596" t="str">
            <v>طلہ پلاسٹک ملتان</v>
          </cell>
        </row>
        <row r="3597">
          <cell r="A3597" t="str">
            <v>6742/1</v>
          </cell>
          <cell r="B3597">
            <v>6742</v>
          </cell>
          <cell r="C3597">
            <v>45737</v>
          </cell>
          <cell r="D3597" t="str">
            <v>یونس صاحب</v>
          </cell>
          <cell r="E3597" t="str">
            <v>ہیڈآفس لاہور</v>
          </cell>
        </row>
        <row r="3598">
          <cell r="A3598" t="str">
            <v>6742/2</v>
          </cell>
          <cell r="B3598">
            <v>6742</v>
          </cell>
          <cell r="C3598">
            <v>45737</v>
          </cell>
          <cell r="D3598" t="str">
            <v>یونس صاحب</v>
          </cell>
          <cell r="E3598" t="str">
            <v>ہیڈآفس لاہور</v>
          </cell>
        </row>
        <row r="3599">
          <cell r="A3599">
            <v>2713</v>
          </cell>
          <cell r="B3599"/>
          <cell r="C3599">
            <v>45739</v>
          </cell>
          <cell r="D3599" t="str">
            <v>JILANI</v>
          </cell>
          <cell r="E3599" t="str">
            <v>JILANI PLASTIC</v>
          </cell>
        </row>
        <row r="3600">
          <cell r="A3600">
            <v>2714</v>
          </cell>
          <cell r="B3600">
            <v>1681</v>
          </cell>
          <cell r="C3600">
            <v>45739</v>
          </cell>
          <cell r="D3600" t="str">
            <v>JILANI</v>
          </cell>
          <cell r="E3600" t="str">
            <v>USMAN AMIN FINA</v>
          </cell>
        </row>
        <row r="3601">
          <cell r="A3601">
            <v>2715</v>
          </cell>
          <cell r="B3601">
            <v>1682</v>
          </cell>
          <cell r="C3601">
            <v>45739</v>
          </cell>
          <cell r="D3601" t="str">
            <v>JILANI</v>
          </cell>
          <cell r="E3601" t="str">
            <v>USMAN AMIN FINA</v>
          </cell>
        </row>
        <row r="3602">
          <cell r="A3602" t="str">
            <v>1278 F</v>
          </cell>
          <cell r="B3602"/>
          <cell r="C3602">
            <v>45738</v>
          </cell>
          <cell r="D3602" t="str">
            <v>فینا</v>
          </cell>
          <cell r="E3602" t="str">
            <v>عثمان امین</v>
          </cell>
        </row>
        <row r="3603">
          <cell r="A3603" t="str">
            <v>1279 F</v>
          </cell>
          <cell r="B3603"/>
          <cell r="C3603">
            <v>45738</v>
          </cell>
          <cell r="D3603" t="str">
            <v>فینا</v>
          </cell>
          <cell r="E3603" t="str">
            <v>عثمان امین</v>
          </cell>
        </row>
        <row r="3604">
          <cell r="A3604" t="str">
            <v>1280 F</v>
          </cell>
          <cell r="B3604"/>
          <cell r="C3604">
            <v>45738</v>
          </cell>
          <cell r="D3604" t="str">
            <v>فینا</v>
          </cell>
          <cell r="E3604" t="str">
            <v>عثمان امین</v>
          </cell>
        </row>
        <row r="3605">
          <cell r="A3605" t="str">
            <v>1281 F</v>
          </cell>
          <cell r="B3605"/>
          <cell r="C3605">
            <v>45738</v>
          </cell>
          <cell r="D3605" t="str">
            <v>فینا</v>
          </cell>
          <cell r="E3605" t="str">
            <v>عثمان امین</v>
          </cell>
        </row>
        <row r="3606">
          <cell r="A3606" t="str">
            <v>1282 F</v>
          </cell>
          <cell r="B3606"/>
          <cell r="C3606">
            <v>45740</v>
          </cell>
          <cell r="D3606" t="str">
            <v>فینا</v>
          </cell>
          <cell r="E3606" t="str">
            <v>عثمان امین</v>
          </cell>
        </row>
        <row r="3607">
          <cell r="A3607" t="str">
            <v>1283 F</v>
          </cell>
          <cell r="B3607"/>
          <cell r="C3607">
            <v>45740</v>
          </cell>
          <cell r="D3607" t="str">
            <v>فینا</v>
          </cell>
          <cell r="E3607" t="str">
            <v>عثمان امین</v>
          </cell>
        </row>
        <row r="3608">
          <cell r="A3608" t="str">
            <v>1284 F</v>
          </cell>
          <cell r="B3608"/>
          <cell r="C3608">
            <v>45740</v>
          </cell>
          <cell r="D3608" t="str">
            <v>فینا</v>
          </cell>
          <cell r="E3608" t="str">
            <v>عثمان امین</v>
          </cell>
        </row>
        <row r="3609">
          <cell r="A3609" t="str">
            <v>1285 F</v>
          </cell>
          <cell r="B3609"/>
          <cell r="C3609">
            <v>45740</v>
          </cell>
          <cell r="D3609" t="str">
            <v>فینا</v>
          </cell>
          <cell r="E3609" t="str">
            <v>عثمان امین</v>
          </cell>
        </row>
        <row r="3610">
          <cell r="A3610" t="str">
            <v>1286 F</v>
          </cell>
          <cell r="B3610"/>
          <cell r="C3610">
            <v>45740</v>
          </cell>
          <cell r="D3610" t="str">
            <v>فینا</v>
          </cell>
          <cell r="E3610" t="str">
            <v>عثمان امین</v>
          </cell>
        </row>
        <row r="3611">
          <cell r="A3611" t="str">
            <v>1572 J</v>
          </cell>
          <cell r="B3611"/>
          <cell r="C3611">
            <v>45738</v>
          </cell>
          <cell r="D3611" t="str">
            <v>JILANI</v>
          </cell>
          <cell r="E3611" t="str">
            <v>POLY SACK</v>
          </cell>
        </row>
        <row r="3612">
          <cell r="A3612" t="str">
            <v>1573 J</v>
          </cell>
          <cell r="B3612">
            <v>11694</v>
          </cell>
          <cell r="C3612">
            <v>45738</v>
          </cell>
          <cell r="D3612" t="str">
            <v>JILANI</v>
          </cell>
          <cell r="E3612" t="str">
            <v>میڈی پاک لاہور</v>
          </cell>
        </row>
        <row r="3613">
          <cell r="A3613" t="str">
            <v>1574 J</v>
          </cell>
          <cell r="B3613">
            <v>11695</v>
          </cell>
          <cell r="C3613">
            <v>45738</v>
          </cell>
          <cell r="D3613" t="str">
            <v>JILANI</v>
          </cell>
          <cell r="E3613" t="str">
            <v>احسان کاٹن پراڈکٹس</v>
          </cell>
        </row>
        <row r="3614">
          <cell r="A3614" t="str">
            <v>1575 J</v>
          </cell>
          <cell r="B3614"/>
          <cell r="C3614">
            <v>45738</v>
          </cell>
          <cell r="D3614" t="str">
            <v>OTHERS</v>
          </cell>
          <cell r="E3614" t="str">
            <v>جیلانی پلاسٹک</v>
          </cell>
        </row>
        <row r="3615">
          <cell r="A3615" t="str">
            <v>1576 J</v>
          </cell>
          <cell r="B3615"/>
          <cell r="C3615">
            <v>45738</v>
          </cell>
          <cell r="D3615" t="str">
            <v>OTHERS</v>
          </cell>
          <cell r="E3615" t="str">
            <v>جیلانی پلاسٹک</v>
          </cell>
        </row>
        <row r="3616">
          <cell r="A3616" t="str">
            <v>1577 J</v>
          </cell>
          <cell r="B3616"/>
          <cell r="C3616">
            <v>45738</v>
          </cell>
          <cell r="D3616" t="str">
            <v>OTHERS</v>
          </cell>
          <cell r="E3616" t="str">
            <v>جیلانی پلاسٹک</v>
          </cell>
        </row>
        <row r="3617">
          <cell r="A3617" t="str">
            <v>1578 J</v>
          </cell>
          <cell r="B3617"/>
          <cell r="C3617">
            <v>45740</v>
          </cell>
          <cell r="D3617" t="str">
            <v>OTHERS</v>
          </cell>
          <cell r="E3617" t="str">
            <v>جیلانی پولی سٹاک</v>
          </cell>
        </row>
        <row r="3618">
          <cell r="A3618" t="str">
            <v>6743/1</v>
          </cell>
          <cell r="B3618">
            <v>6743</v>
          </cell>
          <cell r="C3618">
            <v>45737</v>
          </cell>
          <cell r="D3618" t="str">
            <v>یونس صاحب</v>
          </cell>
          <cell r="E3618"/>
        </row>
        <row r="3619">
          <cell r="A3619" t="str">
            <v>6744/1</v>
          </cell>
          <cell r="B3619">
            <v>6744</v>
          </cell>
          <cell r="C3619">
            <v>45737</v>
          </cell>
          <cell r="D3619" t="str">
            <v>یونس صاحب</v>
          </cell>
          <cell r="E3619" t="str">
            <v>ا حمد فاروقی جہلم</v>
          </cell>
        </row>
        <row r="3620">
          <cell r="A3620" t="str">
            <v>6744/2</v>
          </cell>
          <cell r="B3620">
            <v>6744</v>
          </cell>
          <cell r="C3620">
            <v>45737</v>
          </cell>
          <cell r="D3620" t="str">
            <v>یونس صاحب</v>
          </cell>
          <cell r="E3620" t="str">
            <v>ا حمد فاروقی جہلم</v>
          </cell>
        </row>
        <row r="3621">
          <cell r="A3621" t="str">
            <v>6744/3</v>
          </cell>
          <cell r="B3621">
            <v>6744</v>
          </cell>
          <cell r="C3621">
            <v>45737</v>
          </cell>
          <cell r="D3621" t="str">
            <v>یونس صاحب</v>
          </cell>
          <cell r="E3621" t="str">
            <v>ا حمد فاروقی جہلم</v>
          </cell>
        </row>
        <row r="3622">
          <cell r="A3622" t="str">
            <v>6744/4</v>
          </cell>
          <cell r="B3622">
            <v>6744</v>
          </cell>
          <cell r="C3622">
            <v>45737</v>
          </cell>
          <cell r="D3622" t="str">
            <v>یونس صاحب</v>
          </cell>
          <cell r="E3622" t="str">
            <v>ا حمد فاروقی جہلم</v>
          </cell>
        </row>
        <row r="3623">
          <cell r="A3623" t="str">
            <v>6745/1</v>
          </cell>
          <cell r="B3623">
            <v>6745</v>
          </cell>
          <cell r="C3623">
            <v>45737</v>
          </cell>
          <cell r="D3623" t="str">
            <v>یونس صاحب</v>
          </cell>
          <cell r="E3623" t="str">
            <v>مھبوب مقبول گجرانوالہ</v>
          </cell>
        </row>
        <row r="3624">
          <cell r="A3624" t="str">
            <v>6745/2</v>
          </cell>
          <cell r="B3624">
            <v>6745</v>
          </cell>
          <cell r="C3624">
            <v>45737</v>
          </cell>
          <cell r="D3624" t="str">
            <v>یونس صاحب</v>
          </cell>
          <cell r="E3624" t="str">
            <v>مھبوب مقبول گجرانوالہ</v>
          </cell>
        </row>
        <row r="3625">
          <cell r="A3625" t="str">
            <v>6745/3</v>
          </cell>
          <cell r="B3625">
            <v>6745</v>
          </cell>
          <cell r="C3625">
            <v>45737</v>
          </cell>
          <cell r="D3625" t="str">
            <v>یونس صاحب</v>
          </cell>
          <cell r="E3625" t="str">
            <v>مھبوب مقبول گجرانوالہ</v>
          </cell>
        </row>
        <row r="3626">
          <cell r="A3626" t="str">
            <v>6746/1</v>
          </cell>
          <cell r="B3626">
            <v>6746</v>
          </cell>
          <cell r="C3626">
            <v>45737</v>
          </cell>
          <cell r="D3626" t="str">
            <v>یونس صاحب</v>
          </cell>
          <cell r="E3626" t="str">
            <v>-</v>
          </cell>
        </row>
        <row r="3627">
          <cell r="A3627" t="str">
            <v>6747/1</v>
          </cell>
          <cell r="B3627">
            <v>6747</v>
          </cell>
          <cell r="C3627">
            <v>45737</v>
          </cell>
          <cell r="D3627" t="str">
            <v>یونس صاحب</v>
          </cell>
          <cell r="E3627" t="str">
            <v>ریفلکٹ پیک لاہور</v>
          </cell>
        </row>
        <row r="3628">
          <cell r="A3628" t="str">
            <v>6748/1</v>
          </cell>
          <cell r="B3628">
            <v>6748</v>
          </cell>
          <cell r="C3628">
            <v>45740</v>
          </cell>
          <cell r="D3628" t="str">
            <v>یونس صاحب</v>
          </cell>
          <cell r="E3628" t="str">
            <v>ریفلکٹ پیک لاہور</v>
          </cell>
        </row>
        <row r="3629">
          <cell r="A3629" t="str">
            <v>1287 F</v>
          </cell>
          <cell r="B3629"/>
          <cell r="C3629">
            <v>45741</v>
          </cell>
          <cell r="D3629" t="str">
            <v>فینا</v>
          </cell>
          <cell r="E3629" t="str">
            <v>عثمان امین</v>
          </cell>
        </row>
        <row r="3630">
          <cell r="A3630" t="str">
            <v>1288 F</v>
          </cell>
          <cell r="B3630"/>
          <cell r="C3630">
            <v>45741</v>
          </cell>
          <cell r="D3630" t="str">
            <v>فینا</v>
          </cell>
          <cell r="E3630" t="str">
            <v>عثمان امین</v>
          </cell>
        </row>
        <row r="3631">
          <cell r="A3631" t="str">
            <v>1289 F</v>
          </cell>
          <cell r="B3631"/>
          <cell r="C3631">
            <v>45741</v>
          </cell>
          <cell r="D3631" t="str">
            <v>فینا</v>
          </cell>
          <cell r="E3631" t="str">
            <v>عثمان امین</v>
          </cell>
        </row>
        <row r="3632">
          <cell r="A3632" t="str">
            <v>1290 F</v>
          </cell>
          <cell r="B3632"/>
          <cell r="C3632">
            <v>45741</v>
          </cell>
          <cell r="D3632" t="str">
            <v>فینا</v>
          </cell>
          <cell r="E3632" t="str">
            <v>عثمان امین</v>
          </cell>
        </row>
        <row r="3633">
          <cell r="A3633" t="str">
            <v>1291 F</v>
          </cell>
          <cell r="B3633"/>
          <cell r="C3633">
            <v>45741</v>
          </cell>
          <cell r="D3633" t="str">
            <v>فینا</v>
          </cell>
          <cell r="E3633" t="str">
            <v>عثمان امین</v>
          </cell>
        </row>
        <row r="3634">
          <cell r="A3634" t="str">
            <v>1292 F</v>
          </cell>
          <cell r="B3634"/>
          <cell r="C3634">
            <v>45741</v>
          </cell>
          <cell r="D3634" t="str">
            <v>فینا</v>
          </cell>
          <cell r="E3634" t="str">
            <v>عثمان امین</v>
          </cell>
        </row>
        <row r="3635">
          <cell r="A3635" t="str">
            <v>1293 F</v>
          </cell>
          <cell r="B3635"/>
          <cell r="C3635">
            <v>45741</v>
          </cell>
          <cell r="D3635" t="str">
            <v>فینا</v>
          </cell>
          <cell r="E3635" t="str">
            <v>عثمان امین</v>
          </cell>
        </row>
        <row r="3636">
          <cell r="A3636" t="str">
            <v>1294 F</v>
          </cell>
          <cell r="B3636"/>
          <cell r="C3636">
            <v>45741</v>
          </cell>
          <cell r="D3636" t="str">
            <v>فینا</v>
          </cell>
          <cell r="E3636" t="str">
            <v>عثمان امین</v>
          </cell>
        </row>
        <row r="3637">
          <cell r="A3637" t="str">
            <v>1295 F</v>
          </cell>
          <cell r="B3637"/>
          <cell r="C3637">
            <v>45741</v>
          </cell>
          <cell r="D3637" t="str">
            <v>فینا</v>
          </cell>
          <cell r="E3637" t="str">
            <v>عثمان امین</v>
          </cell>
        </row>
        <row r="3638">
          <cell r="A3638" t="str">
            <v>1296 F</v>
          </cell>
          <cell r="B3638"/>
          <cell r="C3638">
            <v>45741</v>
          </cell>
          <cell r="D3638" t="str">
            <v>فینا</v>
          </cell>
          <cell r="E3638" t="str">
            <v>عثمان امین</v>
          </cell>
        </row>
        <row r="3639">
          <cell r="A3639" t="str">
            <v>1579 J</v>
          </cell>
          <cell r="B3639"/>
          <cell r="C3639">
            <v>45740</v>
          </cell>
          <cell r="D3639" t="str">
            <v>OTHERS</v>
          </cell>
          <cell r="E3639" t="str">
            <v>جیلانی پولی سٹاک</v>
          </cell>
        </row>
        <row r="3640">
          <cell r="A3640" t="str">
            <v>1580 J</v>
          </cell>
          <cell r="B3640">
            <v>11697</v>
          </cell>
          <cell r="C3640">
            <v>45740</v>
          </cell>
          <cell r="D3640" t="str">
            <v>JILANI</v>
          </cell>
          <cell r="E3640" t="str">
            <v>نسوار سنٹر بٹ خیلہ</v>
          </cell>
        </row>
        <row r="3641">
          <cell r="A3641" t="str">
            <v>1581 J</v>
          </cell>
          <cell r="B3641">
            <v>11698</v>
          </cell>
          <cell r="C3641">
            <v>45740</v>
          </cell>
          <cell r="D3641" t="str">
            <v>JILANI</v>
          </cell>
          <cell r="E3641" t="str">
            <v>راشد منہاس C/Oباٹا اینڈ سروس</v>
          </cell>
        </row>
        <row r="3642">
          <cell r="A3642" t="str">
            <v>1582 J</v>
          </cell>
          <cell r="B3642">
            <v>11698</v>
          </cell>
          <cell r="C3642">
            <v>45740</v>
          </cell>
          <cell r="D3642" t="str">
            <v>JILANI</v>
          </cell>
          <cell r="E3642" t="str">
            <v>راشد منہاس C/Oباٹا اینڈ سروس</v>
          </cell>
        </row>
        <row r="3643">
          <cell r="A3643" t="str">
            <v>1583 J</v>
          </cell>
          <cell r="B3643">
            <v>11699</v>
          </cell>
          <cell r="C3643">
            <v>45740</v>
          </cell>
          <cell r="D3643" t="str">
            <v>JILANI</v>
          </cell>
          <cell r="E3643" t="str">
            <v>الجنت کلاتھ ہاؤس چنیوٹ</v>
          </cell>
        </row>
        <row r="3644">
          <cell r="A3644" t="str">
            <v>1584 J</v>
          </cell>
          <cell r="B3644">
            <v>11700</v>
          </cell>
          <cell r="C3644">
            <v>45740</v>
          </cell>
          <cell r="D3644" t="str">
            <v>JILANI</v>
          </cell>
          <cell r="E3644" t="str">
            <v>فیروز فیشن ہاؤس شاہدرہ</v>
          </cell>
        </row>
        <row r="3645">
          <cell r="A3645" t="str">
            <v>1585 J</v>
          </cell>
          <cell r="B3645">
            <v>11696</v>
          </cell>
          <cell r="C3645">
            <v>45740</v>
          </cell>
          <cell r="D3645" t="str">
            <v>JILANI</v>
          </cell>
          <cell r="E3645" t="str">
            <v>ایم عمران پاکستان مارٹ لاہور</v>
          </cell>
        </row>
        <row r="3646">
          <cell r="A3646" t="str">
            <v>1586 J</v>
          </cell>
          <cell r="B3646">
            <v>11696</v>
          </cell>
          <cell r="C3646">
            <v>45740</v>
          </cell>
          <cell r="D3646" t="str">
            <v>JILANI</v>
          </cell>
          <cell r="E3646" t="str">
            <v>ایم عمران پاکستان مارٹ لاہور</v>
          </cell>
        </row>
        <row r="3647">
          <cell r="A3647" t="str">
            <v>1587 J</v>
          </cell>
          <cell r="B3647">
            <v>11696</v>
          </cell>
          <cell r="C3647">
            <v>45740</v>
          </cell>
          <cell r="D3647" t="str">
            <v>JILANI</v>
          </cell>
          <cell r="E3647" t="str">
            <v>ایم عمران پاکستان مارٹ لاہور</v>
          </cell>
        </row>
        <row r="3648">
          <cell r="A3648" t="str">
            <v>1588 J</v>
          </cell>
          <cell r="B3648">
            <v>11701</v>
          </cell>
          <cell r="C3648">
            <v>45741</v>
          </cell>
          <cell r="D3648" t="str">
            <v>JILANI</v>
          </cell>
          <cell r="E3648" t="str">
            <v>عرفان صاحب اعظم مارکیٹ لاہور</v>
          </cell>
        </row>
        <row r="3649">
          <cell r="A3649" t="str">
            <v>1589 J</v>
          </cell>
          <cell r="B3649">
            <v>11701</v>
          </cell>
          <cell r="C3649">
            <v>45741</v>
          </cell>
          <cell r="D3649" t="str">
            <v>JILANI</v>
          </cell>
          <cell r="E3649" t="str">
            <v>عرفان صاحب اعظم مارکیٹ لاہور</v>
          </cell>
        </row>
        <row r="3650">
          <cell r="A3650" t="str">
            <v>1590 J</v>
          </cell>
          <cell r="B3650">
            <v>11701</v>
          </cell>
          <cell r="C3650">
            <v>45741</v>
          </cell>
          <cell r="D3650" t="str">
            <v>JILANI</v>
          </cell>
          <cell r="E3650" t="str">
            <v>عرفان صاحب اعظم مارکیٹ لاہور</v>
          </cell>
        </row>
        <row r="3651">
          <cell r="A3651" t="str">
            <v>1591 J</v>
          </cell>
          <cell r="B3651">
            <v>11701</v>
          </cell>
          <cell r="C3651">
            <v>45741</v>
          </cell>
          <cell r="D3651" t="str">
            <v>JILANI</v>
          </cell>
          <cell r="E3651" t="str">
            <v>عرفان صاحب اعظم مارکیٹ لاہور</v>
          </cell>
        </row>
        <row r="3652">
          <cell r="A3652" t="str">
            <v>1592 J</v>
          </cell>
          <cell r="B3652">
            <v>11701</v>
          </cell>
          <cell r="C3652">
            <v>45741</v>
          </cell>
          <cell r="D3652" t="str">
            <v>JILANI</v>
          </cell>
          <cell r="E3652" t="str">
            <v>عرفان صاحب اعظم مارکیٹ لاہور</v>
          </cell>
        </row>
        <row r="3653">
          <cell r="A3653" t="str">
            <v>1593 J</v>
          </cell>
          <cell r="B3653">
            <v>11702</v>
          </cell>
          <cell r="C3653">
            <v>45741</v>
          </cell>
          <cell r="D3653" t="str">
            <v>JILANI</v>
          </cell>
          <cell r="E3653" t="str">
            <v>عثمان عارف بٹ گوجرانولہ</v>
          </cell>
        </row>
        <row r="3654">
          <cell r="A3654" t="str">
            <v>1594 J</v>
          </cell>
          <cell r="B3654">
            <v>11702</v>
          </cell>
          <cell r="C3654">
            <v>45741</v>
          </cell>
          <cell r="D3654" t="str">
            <v>JILANI</v>
          </cell>
          <cell r="E3654" t="str">
            <v>عثمان عارف بٹ گوجرانولہ</v>
          </cell>
        </row>
        <row r="3655">
          <cell r="A3655" t="str">
            <v>1595 J</v>
          </cell>
          <cell r="B3655">
            <v>11702</v>
          </cell>
          <cell r="C3655">
            <v>45741</v>
          </cell>
          <cell r="D3655" t="str">
            <v>JILANI</v>
          </cell>
          <cell r="E3655" t="str">
            <v>عثمان عارف بٹ گوجرانولہ</v>
          </cell>
        </row>
        <row r="3656">
          <cell r="A3656" t="str">
            <v>1596 J</v>
          </cell>
          <cell r="B3656">
            <v>11702</v>
          </cell>
          <cell r="C3656">
            <v>45741</v>
          </cell>
          <cell r="D3656" t="str">
            <v>JILANI</v>
          </cell>
          <cell r="E3656" t="str">
            <v>عثمان عارف بٹ گوجرانولہ</v>
          </cell>
        </row>
        <row r="3657">
          <cell r="A3657" t="str">
            <v>1597 J</v>
          </cell>
          <cell r="B3657">
            <v>11703</v>
          </cell>
          <cell r="C3657">
            <v>45741</v>
          </cell>
          <cell r="D3657" t="str">
            <v>JILANI</v>
          </cell>
          <cell r="E3657" t="str">
            <v>عثمان عارف بٹ گوجرانولہ</v>
          </cell>
        </row>
        <row r="3658">
          <cell r="A3658" t="str">
            <v>1598 J</v>
          </cell>
          <cell r="B3658">
            <v>11703</v>
          </cell>
          <cell r="C3658">
            <v>45741</v>
          </cell>
          <cell r="D3658" t="str">
            <v>JILANI</v>
          </cell>
          <cell r="E3658" t="str">
            <v>عثمان عارف بٹ گوجرانولہ</v>
          </cell>
        </row>
        <row r="3659">
          <cell r="A3659" t="str">
            <v>1599 J</v>
          </cell>
          <cell r="B3659">
            <v>11703</v>
          </cell>
          <cell r="C3659">
            <v>45741</v>
          </cell>
          <cell r="D3659" t="str">
            <v>JILANI</v>
          </cell>
          <cell r="E3659" t="str">
            <v>عثمان عارف بٹ گوجرانولہ</v>
          </cell>
        </row>
        <row r="3660">
          <cell r="A3660" t="str">
            <v>1600 J</v>
          </cell>
          <cell r="B3660">
            <v>11703</v>
          </cell>
          <cell r="C3660">
            <v>45741</v>
          </cell>
          <cell r="D3660" t="str">
            <v>JILANI</v>
          </cell>
          <cell r="E3660" t="str">
            <v>عثمان عارف بٹ گوجرانولہ</v>
          </cell>
        </row>
        <row r="3661">
          <cell r="A3661" t="str">
            <v>1601 J</v>
          </cell>
          <cell r="B3661">
            <v>11704</v>
          </cell>
          <cell r="C3661">
            <v>45741</v>
          </cell>
          <cell r="D3661" t="str">
            <v>JILANI</v>
          </cell>
          <cell r="E3661" t="str">
            <v>عثمان عارف بٹ گوجرانولہ</v>
          </cell>
        </row>
        <row r="3662">
          <cell r="A3662" t="str">
            <v>1602 J</v>
          </cell>
          <cell r="B3662">
            <v>11704</v>
          </cell>
          <cell r="C3662">
            <v>45741</v>
          </cell>
          <cell r="D3662" t="str">
            <v>JILANI</v>
          </cell>
          <cell r="E3662" t="str">
            <v>عثمان عارف بٹ گوجرانولہ</v>
          </cell>
        </row>
        <row r="3663">
          <cell r="A3663" t="str">
            <v>1603 J</v>
          </cell>
          <cell r="B3663">
            <v>11705</v>
          </cell>
          <cell r="C3663">
            <v>45741</v>
          </cell>
          <cell r="D3663" t="str">
            <v>JILANI</v>
          </cell>
          <cell r="E3663" t="str">
            <v>کے بی بزنس سروس</v>
          </cell>
        </row>
        <row r="3664">
          <cell r="A3664" t="str">
            <v>1604 J</v>
          </cell>
          <cell r="B3664">
            <v>11706</v>
          </cell>
          <cell r="C3664">
            <v>45741</v>
          </cell>
          <cell r="D3664" t="str">
            <v>JILANI</v>
          </cell>
          <cell r="E3664" t="str">
            <v>عالم پرنٹرز بٹ خیلہ</v>
          </cell>
        </row>
        <row r="3665">
          <cell r="A3665" t="str">
            <v>1605 J</v>
          </cell>
          <cell r="B3665">
            <v>11707</v>
          </cell>
          <cell r="C3665">
            <v>45741</v>
          </cell>
          <cell r="D3665" t="str">
            <v>JILANI</v>
          </cell>
          <cell r="E3665" t="str">
            <v>فینسی گارمنٹس کامونکی</v>
          </cell>
        </row>
        <row r="3666">
          <cell r="A3666" t="str">
            <v>1606 J</v>
          </cell>
          <cell r="B3666">
            <v>11708</v>
          </cell>
          <cell r="C3666">
            <v>45741</v>
          </cell>
          <cell r="D3666" t="str">
            <v>JILANI</v>
          </cell>
          <cell r="E3666" t="str">
            <v>فینسی گارمنٹس کامونکی</v>
          </cell>
        </row>
        <row r="3667">
          <cell r="A3667" t="str">
            <v>1607 J</v>
          </cell>
          <cell r="B3667">
            <v>11709</v>
          </cell>
          <cell r="C3667">
            <v>45741</v>
          </cell>
          <cell r="D3667" t="str">
            <v>JILANI</v>
          </cell>
          <cell r="E3667" t="str">
            <v>صوبان کلاتھ ہاؤس ننکانہ</v>
          </cell>
        </row>
        <row r="3668">
          <cell r="A3668" t="str">
            <v>1297 F</v>
          </cell>
          <cell r="B3668"/>
          <cell r="C3668">
            <v>45742</v>
          </cell>
          <cell r="D3668" t="str">
            <v>فینا</v>
          </cell>
          <cell r="E3668" t="str">
            <v>عثمان امین</v>
          </cell>
        </row>
        <row r="3669">
          <cell r="A3669" t="str">
            <v>1298 F</v>
          </cell>
          <cell r="B3669"/>
          <cell r="C3669">
            <v>45742</v>
          </cell>
          <cell r="D3669" t="str">
            <v>فینا</v>
          </cell>
          <cell r="E3669" t="str">
            <v>عثمان امین</v>
          </cell>
        </row>
        <row r="3670">
          <cell r="A3670" t="str">
            <v>1299 F</v>
          </cell>
          <cell r="B3670"/>
          <cell r="C3670">
            <v>45742</v>
          </cell>
          <cell r="D3670" t="str">
            <v>فینا</v>
          </cell>
          <cell r="E3670" t="str">
            <v>عثمان امین</v>
          </cell>
        </row>
        <row r="3671">
          <cell r="A3671" t="str">
            <v>1300 F</v>
          </cell>
          <cell r="B3671"/>
          <cell r="C3671">
            <v>45742</v>
          </cell>
          <cell r="D3671" t="str">
            <v>فینا</v>
          </cell>
          <cell r="E3671" t="str">
            <v>عثمان امین</v>
          </cell>
        </row>
        <row r="3672">
          <cell r="A3672" t="str">
            <v>1301 F</v>
          </cell>
          <cell r="B3672"/>
          <cell r="C3672">
            <v>45742</v>
          </cell>
          <cell r="D3672" t="str">
            <v>فینا</v>
          </cell>
          <cell r="E3672" t="str">
            <v>عثمان امین</v>
          </cell>
        </row>
        <row r="3673">
          <cell r="A3673" t="str">
            <v>1302 F</v>
          </cell>
          <cell r="B3673"/>
          <cell r="C3673">
            <v>45742</v>
          </cell>
          <cell r="D3673" t="str">
            <v>فینا</v>
          </cell>
          <cell r="E3673" t="str">
            <v>عثمان امین</v>
          </cell>
        </row>
        <row r="3674">
          <cell r="A3674" t="str">
            <v>1303 F</v>
          </cell>
          <cell r="B3674"/>
          <cell r="C3674">
            <v>45742</v>
          </cell>
          <cell r="D3674" t="str">
            <v>فینا</v>
          </cell>
          <cell r="E3674" t="str">
            <v>عثمان امین</v>
          </cell>
        </row>
        <row r="3675">
          <cell r="A3675" t="str">
            <v>1304 F</v>
          </cell>
          <cell r="B3675"/>
          <cell r="C3675">
            <v>45742</v>
          </cell>
          <cell r="D3675" t="str">
            <v>فینا</v>
          </cell>
          <cell r="E3675" t="str">
            <v>عثمان امین</v>
          </cell>
        </row>
        <row r="3676">
          <cell r="A3676">
            <v>2716</v>
          </cell>
          <cell r="B3676"/>
          <cell r="C3676">
            <v>45744</v>
          </cell>
          <cell r="D3676" t="str">
            <v>JILANI</v>
          </cell>
          <cell r="E3676" t="str">
            <v>JILANI PLASTIC HD</v>
          </cell>
        </row>
        <row r="3677">
          <cell r="A3677" t="str">
            <v>1608 J</v>
          </cell>
          <cell r="B3677">
            <v>11710</v>
          </cell>
          <cell r="C3677">
            <v>45741</v>
          </cell>
          <cell r="D3677" t="str">
            <v>JILANI</v>
          </cell>
          <cell r="E3677" t="str">
            <v>امتیاز سپر مارکیٹ لاہور (کراچی)</v>
          </cell>
        </row>
        <row r="3678">
          <cell r="A3678" t="str">
            <v>1609 J</v>
          </cell>
          <cell r="B3678">
            <v>11710</v>
          </cell>
          <cell r="C3678">
            <v>45741</v>
          </cell>
          <cell r="D3678" t="str">
            <v>JILANI</v>
          </cell>
          <cell r="E3678" t="str">
            <v>امتیاز سپر مارکیٹ لاہور (کراچی)</v>
          </cell>
        </row>
        <row r="3679">
          <cell r="A3679" t="str">
            <v>1610 J</v>
          </cell>
          <cell r="B3679"/>
          <cell r="C3679">
            <v>45735</v>
          </cell>
          <cell r="D3679" t="str">
            <v>JILANI</v>
          </cell>
          <cell r="E3679" t="str">
            <v>جیلانی پولی سٹاک</v>
          </cell>
        </row>
        <row r="3680">
          <cell r="A3680" t="str">
            <v>1611 J</v>
          </cell>
          <cell r="B3680"/>
          <cell r="C3680">
            <v>45735</v>
          </cell>
          <cell r="D3680" t="str">
            <v>JILANI</v>
          </cell>
          <cell r="E3680" t="str">
            <v>جیلانی پولی سٹاک</v>
          </cell>
        </row>
        <row r="3681">
          <cell r="A3681" t="str">
            <v>1612 J</v>
          </cell>
          <cell r="B3681"/>
          <cell r="C3681">
            <v>45745</v>
          </cell>
          <cell r="D3681" t="str">
            <v>OTHERS</v>
          </cell>
          <cell r="E3681" t="str">
            <v>جیلانی پولی سٹاک</v>
          </cell>
        </row>
        <row r="3682">
          <cell r="A3682" t="str">
            <v>1305 F</v>
          </cell>
          <cell r="B3682"/>
          <cell r="C3682">
            <v>45743</v>
          </cell>
          <cell r="D3682" t="str">
            <v>فینا</v>
          </cell>
          <cell r="E3682" t="str">
            <v>عثمان امین</v>
          </cell>
        </row>
        <row r="3683">
          <cell r="A3683" t="str">
            <v>1306 F</v>
          </cell>
          <cell r="B3683"/>
          <cell r="C3683">
            <v>45743</v>
          </cell>
          <cell r="D3683" t="str">
            <v>فینا</v>
          </cell>
          <cell r="E3683" t="str">
            <v>عثمان امین</v>
          </cell>
        </row>
        <row r="3684">
          <cell r="A3684" t="str">
            <v>1307 F</v>
          </cell>
          <cell r="B3684"/>
          <cell r="C3684">
            <v>45743</v>
          </cell>
          <cell r="D3684" t="str">
            <v>فینا</v>
          </cell>
          <cell r="E3684" t="str">
            <v>عثمان امین</v>
          </cell>
        </row>
        <row r="3685">
          <cell r="A3685" t="str">
            <v>1308 F</v>
          </cell>
          <cell r="B3685"/>
          <cell r="C3685">
            <v>45743</v>
          </cell>
          <cell r="D3685" t="str">
            <v>فینا</v>
          </cell>
          <cell r="E3685" t="str">
            <v>عثمان امین</v>
          </cell>
        </row>
        <row r="3686">
          <cell r="A3686" t="str">
            <v>1309 F</v>
          </cell>
          <cell r="B3686"/>
          <cell r="C3686">
            <v>45743</v>
          </cell>
          <cell r="D3686" t="str">
            <v>فینا</v>
          </cell>
          <cell r="E3686" t="str">
            <v>عثمان امین</v>
          </cell>
        </row>
        <row r="3687">
          <cell r="A3687" t="str">
            <v>1310 F</v>
          </cell>
          <cell r="B3687"/>
          <cell r="C3687">
            <v>45743</v>
          </cell>
          <cell r="D3687" t="str">
            <v>فینا</v>
          </cell>
          <cell r="E3687" t="str">
            <v>عثمان امین</v>
          </cell>
        </row>
        <row r="3688">
          <cell r="A3688" t="str">
            <v>1311 F</v>
          </cell>
          <cell r="B3688"/>
          <cell r="C3688">
            <v>45743</v>
          </cell>
          <cell r="D3688" t="str">
            <v>فینا</v>
          </cell>
          <cell r="E3688" t="str">
            <v>عثمان امین</v>
          </cell>
        </row>
        <row r="3689">
          <cell r="A3689" t="str">
            <v>1312 F</v>
          </cell>
          <cell r="B3689"/>
          <cell r="C3689">
            <v>45745</v>
          </cell>
          <cell r="D3689" t="str">
            <v>فینا</v>
          </cell>
          <cell r="E3689" t="str">
            <v>عثمان امین</v>
          </cell>
        </row>
        <row r="3690">
          <cell r="A3690" t="str">
            <v>1313 F</v>
          </cell>
          <cell r="B3690"/>
          <cell r="C3690">
            <v>45745</v>
          </cell>
          <cell r="D3690" t="str">
            <v>فینا</v>
          </cell>
          <cell r="E3690" t="str">
            <v>عثمان امین</v>
          </cell>
        </row>
        <row r="3691">
          <cell r="A3691" t="str">
            <v>1314 F</v>
          </cell>
          <cell r="B3691"/>
          <cell r="C3691">
            <v>45745</v>
          </cell>
          <cell r="D3691" t="str">
            <v>فینا</v>
          </cell>
          <cell r="E3691" t="str">
            <v>عثمان امین</v>
          </cell>
        </row>
        <row r="3692">
          <cell r="A3692" t="str">
            <v>1315 F</v>
          </cell>
          <cell r="B3692"/>
          <cell r="C3692">
            <v>45745</v>
          </cell>
          <cell r="D3692" t="str">
            <v>فینا</v>
          </cell>
          <cell r="E3692" t="str">
            <v>عثمان امین</v>
          </cell>
        </row>
        <row r="3693">
          <cell r="A3693" t="str">
            <v>1316 F</v>
          </cell>
          <cell r="B3693"/>
          <cell r="C3693">
            <v>45745</v>
          </cell>
          <cell r="D3693" t="str">
            <v>فینا</v>
          </cell>
          <cell r="E3693" t="str">
            <v>عثمان امین</v>
          </cell>
        </row>
        <row r="3694">
          <cell r="A3694" t="str">
            <v>1613 J</v>
          </cell>
          <cell r="B3694">
            <v>11711</v>
          </cell>
          <cell r="C3694">
            <v>45743</v>
          </cell>
          <cell r="D3694" t="str">
            <v>JILANI</v>
          </cell>
          <cell r="E3694" t="str">
            <v>مدنی پرنٹنگ پریس نارنگ منڈی</v>
          </cell>
        </row>
        <row r="3695">
          <cell r="A3695" t="str">
            <v>1614 J</v>
          </cell>
          <cell r="B3695">
            <v>11712</v>
          </cell>
          <cell r="C3695">
            <v>45743</v>
          </cell>
          <cell r="D3695" t="str">
            <v>JILANI</v>
          </cell>
          <cell r="E3695" t="str">
            <v>بائیو پاک لاہور</v>
          </cell>
        </row>
        <row r="3696">
          <cell r="A3696" t="str">
            <v>1615 J</v>
          </cell>
          <cell r="B3696">
            <v>11712</v>
          </cell>
          <cell r="C3696">
            <v>45743</v>
          </cell>
          <cell r="D3696" t="str">
            <v>JILANI</v>
          </cell>
          <cell r="E3696" t="str">
            <v>بائیو پاک لاہور</v>
          </cell>
        </row>
        <row r="3697">
          <cell r="A3697" t="str">
            <v>1616 J</v>
          </cell>
          <cell r="B3697">
            <v>11713</v>
          </cell>
          <cell r="C3697">
            <v>45743</v>
          </cell>
          <cell r="D3697" t="str">
            <v>JILANI</v>
          </cell>
          <cell r="E3697" t="str">
            <v xml:space="preserve">پاک الیکٹرون لیمیٹڈ  </v>
          </cell>
        </row>
        <row r="3698">
          <cell r="A3698" t="str">
            <v>1617 J</v>
          </cell>
          <cell r="B3698">
            <v>11714</v>
          </cell>
          <cell r="C3698">
            <v>45743</v>
          </cell>
          <cell r="D3698" t="str">
            <v>JILANI</v>
          </cell>
          <cell r="E3698" t="str">
            <v>کیکس اینڈ بیکس لاہور</v>
          </cell>
        </row>
        <row r="3699">
          <cell r="A3699" t="str">
            <v>1618 J</v>
          </cell>
          <cell r="B3699">
            <v>11714</v>
          </cell>
          <cell r="C3699">
            <v>45743</v>
          </cell>
          <cell r="D3699" t="str">
            <v>JILANI</v>
          </cell>
          <cell r="E3699" t="str">
            <v>کیکس اینڈ بیکس لاہور</v>
          </cell>
        </row>
        <row r="3700">
          <cell r="A3700" t="str">
            <v>1619 J</v>
          </cell>
          <cell r="B3700">
            <v>11715</v>
          </cell>
          <cell r="C3700">
            <v>45743</v>
          </cell>
          <cell r="D3700" t="str">
            <v>JILANI</v>
          </cell>
          <cell r="E3700" t="str">
            <v>کیکس اینڈ بیکس لاہور</v>
          </cell>
        </row>
        <row r="3701">
          <cell r="A3701" t="str">
            <v>1620 J</v>
          </cell>
          <cell r="B3701">
            <v>11716</v>
          </cell>
          <cell r="C3701">
            <v>45743</v>
          </cell>
          <cell r="D3701" t="str">
            <v>JILANI</v>
          </cell>
          <cell r="E3701" t="str">
            <v>کیکس اینڈ بیکس لاہور</v>
          </cell>
        </row>
        <row r="3702">
          <cell r="A3702" t="str">
            <v>1621 J</v>
          </cell>
          <cell r="B3702">
            <v>11717</v>
          </cell>
          <cell r="C3702">
            <v>45743</v>
          </cell>
          <cell r="D3702" t="str">
            <v>JILANI</v>
          </cell>
          <cell r="E3702" t="str">
            <v>کیکس اینڈ بیکس لاہور</v>
          </cell>
        </row>
        <row r="3703">
          <cell r="A3703" t="str">
            <v>1622 J</v>
          </cell>
          <cell r="B3703">
            <v>11718</v>
          </cell>
          <cell r="C3703">
            <v>45754</v>
          </cell>
          <cell r="D3703" t="str">
            <v>JILANI</v>
          </cell>
          <cell r="E3703" t="str">
            <v>امتیاز سپر مارکیٹ لاہور (کراچی)</v>
          </cell>
        </row>
        <row r="3704">
          <cell r="A3704" t="str">
            <v>1623 J</v>
          </cell>
          <cell r="B3704">
            <v>11718</v>
          </cell>
          <cell r="C3704">
            <v>45754</v>
          </cell>
          <cell r="D3704" t="str">
            <v>JILANI</v>
          </cell>
          <cell r="E3704" t="str">
            <v>امتیاز سپر مارکیٹ لاہور (کراچی)</v>
          </cell>
        </row>
        <row r="3705">
          <cell r="A3705" t="str">
            <v>1624 J</v>
          </cell>
          <cell r="B3705">
            <v>11719</v>
          </cell>
          <cell r="C3705">
            <v>45754</v>
          </cell>
          <cell r="D3705" t="str">
            <v>JILANI</v>
          </cell>
          <cell r="E3705" t="str">
            <v>ایچ اے انڈسٹریز پشاور</v>
          </cell>
        </row>
        <row r="3706">
          <cell r="A3706" t="str">
            <v>1625 J</v>
          </cell>
          <cell r="B3706">
            <v>11720</v>
          </cell>
          <cell r="C3706">
            <v>45754</v>
          </cell>
          <cell r="D3706" t="str">
            <v>JILANI</v>
          </cell>
          <cell r="E3706" t="str">
            <v>ایچ اے انڈسٹریز پشاور</v>
          </cell>
        </row>
        <row r="3707">
          <cell r="A3707" t="str">
            <v>1626 J</v>
          </cell>
          <cell r="B3707">
            <v>11721</v>
          </cell>
          <cell r="C3707">
            <v>45754</v>
          </cell>
          <cell r="D3707" t="str">
            <v>JILANI</v>
          </cell>
          <cell r="E3707" t="str">
            <v>عالم بیکرز شیخوپورہ</v>
          </cell>
        </row>
        <row r="3708">
          <cell r="A3708" t="str">
            <v>1627 J</v>
          </cell>
          <cell r="B3708">
            <v>11721</v>
          </cell>
          <cell r="C3708">
            <v>45754</v>
          </cell>
          <cell r="D3708" t="str">
            <v>JILANI</v>
          </cell>
          <cell r="E3708" t="str">
            <v>عالم بیکرز شیخوپورہ</v>
          </cell>
        </row>
        <row r="3709">
          <cell r="A3709" t="str">
            <v>1628 J</v>
          </cell>
          <cell r="B3709">
            <v>11721</v>
          </cell>
          <cell r="C3709">
            <v>45754</v>
          </cell>
          <cell r="D3709" t="str">
            <v>JILANI</v>
          </cell>
          <cell r="E3709" t="str">
            <v>عالم بیکرز شیخوپورہ</v>
          </cell>
        </row>
        <row r="3710">
          <cell r="A3710" t="str">
            <v>1629 J</v>
          </cell>
          <cell r="B3710">
            <v>11722</v>
          </cell>
          <cell r="C3710">
            <v>45754</v>
          </cell>
          <cell r="D3710" t="str">
            <v>JILANI</v>
          </cell>
          <cell r="E3710" t="str">
            <v>عالم بیکرز شیخوپورہ</v>
          </cell>
        </row>
        <row r="3711">
          <cell r="A3711" t="str">
            <v>1630 J</v>
          </cell>
          <cell r="B3711">
            <v>11722</v>
          </cell>
          <cell r="C3711">
            <v>45754</v>
          </cell>
          <cell r="D3711" t="str">
            <v>JILANI</v>
          </cell>
          <cell r="E3711" t="str">
            <v>عالم بیکرز شیخوپورہ</v>
          </cell>
        </row>
        <row r="3712">
          <cell r="A3712" t="str">
            <v>1631 J</v>
          </cell>
          <cell r="B3712">
            <v>11723</v>
          </cell>
          <cell r="C3712">
            <v>45754</v>
          </cell>
          <cell r="D3712" t="str">
            <v>JILANI</v>
          </cell>
          <cell r="E3712" t="str">
            <v>میاں جی فیبرکس شادباغ لاہور</v>
          </cell>
        </row>
        <row r="3713">
          <cell r="A3713" t="str">
            <v>1632 J</v>
          </cell>
          <cell r="B3713">
            <v>11724</v>
          </cell>
          <cell r="C3713">
            <v>45754</v>
          </cell>
          <cell r="D3713" t="str">
            <v>JILANI</v>
          </cell>
          <cell r="E3713" t="str">
            <v xml:space="preserve">ایم آصف پرنٹنگ لاہور </v>
          </cell>
        </row>
        <row r="3714">
          <cell r="A3714" t="str">
            <v>1633 J</v>
          </cell>
          <cell r="B3714">
            <v>11725</v>
          </cell>
          <cell r="C3714">
            <v>45754</v>
          </cell>
          <cell r="D3714" t="str">
            <v>JILANI</v>
          </cell>
          <cell r="E3714" t="str">
            <v>ایسی فٹ ٹمبر مارکیٹ لاہور</v>
          </cell>
        </row>
        <row r="3715">
          <cell r="A3715" t="str">
            <v>1634 J</v>
          </cell>
          <cell r="B3715">
            <v>11726</v>
          </cell>
          <cell r="C3715">
            <v>45754</v>
          </cell>
          <cell r="D3715" t="str">
            <v>JILANI</v>
          </cell>
          <cell r="E3715" t="str">
            <v>پاک سویٹس خانکاہ ڈوگراں</v>
          </cell>
        </row>
        <row r="3716">
          <cell r="A3716" t="str">
            <v>1635 J</v>
          </cell>
          <cell r="B3716">
            <v>11726</v>
          </cell>
          <cell r="C3716">
            <v>45754</v>
          </cell>
          <cell r="D3716" t="str">
            <v>JILANI</v>
          </cell>
          <cell r="E3716" t="str">
            <v>پاک سویٹس خانکاہ ڈوگراں</v>
          </cell>
        </row>
        <row r="3717">
          <cell r="A3717" t="str">
            <v>1636 J</v>
          </cell>
          <cell r="B3717">
            <v>11727</v>
          </cell>
          <cell r="C3717">
            <v>45754</v>
          </cell>
          <cell r="D3717" t="str">
            <v>JILANI</v>
          </cell>
          <cell r="E3717" t="str">
            <v>شوز شاپ انارکلی لاہور</v>
          </cell>
        </row>
        <row r="3718">
          <cell r="A3718" t="str">
            <v>1637 J</v>
          </cell>
          <cell r="B3718">
            <v>11728</v>
          </cell>
          <cell r="C3718">
            <v>45754</v>
          </cell>
          <cell r="D3718" t="str">
            <v>JILANI</v>
          </cell>
          <cell r="E3718" t="str">
            <v>حماد پلاسٹک گوجرانوالہ</v>
          </cell>
        </row>
        <row r="3719">
          <cell r="A3719" t="str">
            <v>1317 F</v>
          </cell>
          <cell r="B3719"/>
          <cell r="C3719">
            <v>45754</v>
          </cell>
          <cell r="D3719" t="str">
            <v>فینا</v>
          </cell>
          <cell r="E3719" t="str">
            <v>عثمان امین</v>
          </cell>
        </row>
        <row r="3720">
          <cell r="A3720" t="str">
            <v>1318 F</v>
          </cell>
          <cell r="B3720"/>
          <cell r="C3720">
            <v>45754</v>
          </cell>
          <cell r="D3720" t="str">
            <v>فینا</v>
          </cell>
          <cell r="E3720" t="str">
            <v>عثمان امین</v>
          </cell>
        </row>
        <row r="3721">
          <cell r="A3721" t="str">
            <v>1319 F</v>
          </cell>
          <cell r="B3721"/>
          <cell r="C3721">
            <v>45754</v>
          </cell>
          <cell r="D3721" t="str">
            <v>فینا</v>
          </cell>
          <cell r="E3721" t="str">
            <v>عثمان امین</v>
          </cell>
        </row>
        <row r="3722">
          <cell r="A3722" t="str">
            <v>1320 F</v>
          </cell>
          <cell r="B3722"/>
          <cell r="C3722">
            <v>45754</v>
          </cell>
          <cell r="D3722" t="str">
            <v>فینا</v>
          </cell>
          <cell r="E3722" t="str">
            <v>عثمان امین</v>
          </cell>
        </row>
        <row r="3723">
          <cell r="A3723" t="str">
            <v>1321 F</v>
          </cell>
          <cell r="B3723"/>
          <cell r="C3723">
            <v>45754</v>
          </cell>
          <cell r="D3723" t="str">
            <v>فینا</v>
          </cell>
          <cell r="E3723" t="str">
            <v>عثمان امین</v>
          </cell>
        </row>
        <row r="3724">
          <cell r="A3724" t="str">
            <v>1322 F</v>
          </cell>
          <cell r="B3724"/>
          <cell r="C3724">
            <v>45754</v>
          </cell>
          <cell r="D3724" t="str">
            <v>فینا</v>
          </cell>
          <cell r="E3724" t="str">
            <v>عثمان امین</v>
          </cell>
        </row>
        <row r="3725">
          <cell r="A3725" t="str">
            <v>1323 F</v>
          </cell>
          <cell r="B3725"/>
          <cell r="C3725">
            <v>45754</v>
          </cell>
          <cell r="D3725" t="str">
            <v>فینا</v>
          </cell>
          <cell r="E3725" t="str">
            <v>عثمان امین</v>
          </cell>
        </row>
        <row r="3726">
          <cell r="A3726" t="str">
            <v>1324 F</v>
          </cell>
          <cell r="B3726"/>
          <cell r="C3726">
            <v>45754</v>
          </cell>
          <cell r="D3726" t="str">
            <v>فینا</v>
          </cell>
          <cell r="E3726" t="str">
            <v>عثمان امین</v>
          </cell>
        </row>
        <row r="3727">
          <cell r="A3727" t="str">
            <v>6749/1</v>
          </cell>
          <cell r="B3727">
            <v>6749</v>
          </cell>
          <cell r="C3727">
            <v>45740</v>
          </cell>
          <cell r="D3727" t="str">
            <v>یونس صاحب</v>
          </cell>
          <cell r="E3727" t="str">
            <v>ہیڈآفس لاہور</v>
          </cell>
        </row>
        <row r="3728">
          <cell r="A3728" t="str">
            <v>6750/1</v>
          </cell>
          <cell r="B3728">
            <v>6750</v>
          </cell>
          <cell r="C3728">
            <v>45740</v>
          </cell>
          <cell r="D3728" t="str">
            <v>یونس صاحب</v>
          </cell>
          <cell r="E3728" t="str">
            <v>جناح پیپر اردو بازار</v>
          </cell>
        </row>
        <row r="3729">
          <cell r="A3729" t="str">
            <v>6751/1</v>
          </cell>
          <cell r="B3729">
            <v>6751</v>
          </cell>
          <cell r="C3729">
            <v>45742</v>
          </cell>
          <cell r="D3729" t="str">
            <v>یونس صاحب</v>
          </cell>
          <cell r="E3729" t="str">
            <v>مھبوب مقبول گجرانوالہ</v>
          </cell>
        </row>
        <row r="3730">
          <cell r="A3730" t="str">
            <v>6751/2</v>
          </cell>
          <cell r="B3730">
            <v>6751</v>
          </cell>
          <cell r="C3730">
            <v>45742</v>
          </cell>
          <cell r="D3730" t="str">
            <v>یونس صاحب</v>
          </cell>
          <cell r="E3730" t="str">
            <v>مھبوب مقبول گجرانوالہ</v>
          </cell>
        </row>
        <row r="3731">
          <cell r="A3731" t="str">
            <v>6751/3</v>
          </cell>
          <cell r="B3731">
            <v>6751</v>
          </cell>
          <cell r="C3731">
            <v>45742</v>
          </cell>
          <cell r="D3731" t="str">
            <v>یونس صاحب</v>
          </cell>
          <cell r="E3731" t="str">
            <v>مھبوب مقبول گجرانوالہ</v>
          </cell>
        </row>
        <row r="3732">
          <cell r="A3732" t="str">
            <v>6751/4</v>
          </cell>
          <cell r="B3732">
            <v>6751</v>
          </cell>
          <cell r="C3732">
            <v>45742</v>
          </cell>
          <cell r="D3732" t="str">
            <v>یونس صاحب</v>
          </cell>
          <cell r="E3732" t="str">
            <v>مھبوب مقبول گجرانوالہ</v>
          </cell>
        </row>
        <row r="3733">
          <cell r="A3733" t="str">
            <v>6751/5</v>
          </cell>
          <cell r="B3733">
            <v>6751</v>
          </cell>
          <cell r="C3733">
            <v>45742</v>
          </cell>
          <cell r="D3733" t="str">
            <v>یونس صاحب</v>
          </cell>
          <cell r="E3733" t="str">
            <v>مھبوب مقبول گجرانوالہ</v>
          </cell>
        </row>
        <row r="3734">
          <cell r="A3734" t="str">
            <v>6752/2</v>
          </cell>
          <cell r="B3734">
            <v>6752</v>
          </cell>
          <cell r="C3734">
            <v>45742</v>
          </cell>
          <cell r="D3734" t="str">
            <v>یونس صاحب</v>
          </cell>
          <cell r="E3734" t="str">
            <v>ارسلا ن P گو جر انوالہ</v>
          </cell>
        </row>
        <row r="3735">
          <cell r="A3735" t="str">
            <v>6753/1</v>
          </cell>
          <cell r="B3735">
            <v>6753</v>
          </cell>
          <cell r="C3735">
            <v>45742</v>
          </cell>
          <cell r="D3735" t="str">
            <v>یونس صاحب</v>
          </cell>
          <cell r="E3735" t="str">
            <v>آصف پلاسٹک سرگودھا</v>
          </cell>
        </row>
        <row r="3736">
          <cell r="A3736" t="str">
            <v>6753/2</v>
          </cell>
          <cell r="B3736">
            <v>6753</v>
          </cell>
          <cell r="C3736">
            <v>45742</v>
          </cell>
          <cell r="D3736" t="str">
            <v>یونس صاحب</v>
          </cell>
          <cell r="E3736" t="str">
            <v>آصف پلاسٹک سرگودھا</v>
          </cell>
        </row>
        <row r="3737">
          <cell r="A3737" t="str">
            <v>6753/3</v>
          </cell>
          <cell r="B3737">
            <v>6753</v>
          </cell>
          <cell r="C3737">
            <v>45742</v>
          </cell>
          <cell r="D3737" t="str">
            <v>یونس صاحب</v>
          </cell>
          <cell r="E3737" t="str">
            <v>آصف پلاسٹک سرگودھا</v>
          </cell>
        </row>
        <row r="3738">
          <cell r="A3738" t="str">
            <v>6754/1</v>
          </cell>
          <cell r="B3738">
            <v>6754</v>
          </cell>
          <cell r="C3738">
            <v>45744</v>
          </cell>
          <cell r="D3738" t="str">
            <v>یونس صاحب</v>
          </cell>
          <cell r="E3738" t="str">
            <v>محفوظ پلاسٹک لیہ</v>
          </cell>
        </row>
        <row r="3739">
          <cell r="A3739" t="str">
            <v>6755/1</v>
          </cell>
          <cell r="B3739">
            <v>6755</v>
          </cell>
          <cell r="C3739">
            <v>45744</v>
          </cell>
          <cell r="D3739" t="str">
            <v>یونس صاحب</v>
          </cell>
          <cell r="E3739" t="str">
            <v>مقبول پرنٹر ہری پور</v>
          </cell>
        </row>
        <row r="3740">
          <cell r="A3740" t="str">
            <v>6755/2</v>
          </cell>
          <cell r="B3740">
            <v>6755</v>
          </cell>
          <cell r="C3740">
            <v>45744</v>
          </cell>
          <cell r="D3740" t="str">
            <v>یونس صاحب</v>
          </cell>
          <cell r="E3740" t="str">
            <v>مقبول پرنٹر ہری پور</v>
          </cell>
        </row>
        <row r="3741">
          <cell r="A3741" t="str">
            <v>6756/1</v>
          </cell>
          <cell r="B3741">
            <v>6756</v>
          </cell>
          <cell r="C3741">
            <v>45751</v>
          </cell>
          <cell r="D3741" t="str">
            <v>یونس صاحب</v>
          </cell>
          <cell r="E3741" t="str">
            <v>ہیڈآفس لاہور</v>
          </cell>
        </row>
        <row r="3742">
          <cell r="A3742" t="str">
            <v>6756/2</v>
          </cell>
          <cell r="B3742">
            <v>6756</v>
          </cell>
          <cell r="C3742">
            <v>45751</v>
          </cell>
          <cell r="D3742" t="str">
            <v>یونس صاحب</v>
          </cell>
          <cell r="E3742" t="str">
            <v>ہیڈآفس لاہور</v>
          </cell>
        </row>
        <row r="3743">
          <cell r="A3743" t="str">
            <v>6756/3</v>
          </cell>
          <cell r="B3743">
            <v>6756</v>
          </cell>
          <cell r="C3743">
            <v>45751</v>
          </cell>
          <cell r="D3743" t="str">
            <v>یونس صاحب</v>
          </cell>
          <cell r="E3743" t="str">
            <v>ہیڈآفس لاہور</v>
          </cell>
        </row>
        <row r="3744">
          <cell r="A3744" t="str">
            <v>6756/4</v>
          </cell>
          <cell r="B3744">
            <v>6756</v>
          </cell>
          <cell r="C3744">
            <v>45751</v>
          </cell>
          <cell r="D3744" t="str">
            <v>یونس صاحب</v>
          </cell>
          <cell r="E3744" t="str">
            <v>ہیڈآفس لاہور</v>
          </cell>
        </row>
        <row r="3745">
          <cell r="A3745" t="str">
            <v>6756/5</v>
          </cell>
          <cell r="B3745">
            <v>6756</v>
          </cell>
          <cell r="C3745">
            <v>45751</v>
          </cell>
          <cell r="D3745" t="str">
            <v>یونس صاحب</v>
          </cell>
          <cell r="E3745" t="str">
            <v>ہیڈآفس لاہور</v>
          </cell>
        </row>
        <row r="3746">
          <cell r="A3746" t="str">
            <v>6756/6</v>
          </cell>
          <cell r="B3746">
            <v>6756</v>
          </cell>
          <cell r="C3746">
            <v>45751</v>
          </cell>
          <cell r="D3746" t="str">
            <v>یونس صاحب</v>
          </cell>
          <cell r="E3746" t="str">
            <v>ہیڈآفس لاہور</v>
          </cell>
        </row>
        <row r="3747">
          <cell r="A3747" t="str">
            <v>6756/7</v>
          </cell>
          <cell r="B3747">
            <v>6756</v>
          </cell>
          <cell r="C3747">
            <v>45751</v>
          </cell>
          <cell r="D3747" t="str">
            <v>یونس صاحب</v>
          </cell>
          <cell r="E3747" t="str">
            <v>ہیڈآفس لاہور</v>
          </cell>
        </row>
        <row r="3748">
          <cell r="A3748" t="str">
            <v>6756/8</v>
          </cell>
          <cell r="B3748">
            <v>6756</v>
          </cell>
          <cell r="C3748">
            <v>45751</v>
          </cell>
          <cell r="D3748" t="str">
            <v>یونس صاحب</v>
          </cell>
          <cell r="E3748" t="str">
            <v>ہیڈآفس لاہور</v>
          </cell>
        </row>
        <row r="3749">
          <cell r="A3749" t="str">
            <v>6756/9</v>
          </cell>
          <cell r="B3749">
            <v>6756</v>
          </cell>
          <cell r="C3749">
            <v>45751</v>
          </cell>
          <cell r="D3749" t="str">
            <v>یونس صاحب</v>
          </cell>
          <cell r="E3749" t="str">
            <v>ہیڈآفس لاہور</v>
          </cell>
        </row>
        <row r="3750">
          <cell r="A3750" t="str">
            <v>6756/10</v>
          </cell>
          <cell r="B3750">
            <v>6756</v>
          </cell>
          <cell r="C3750">
            <v>45751</v>
          </cell>
          <cell r="D3750" t="str">
            <v>یونس صاحب</v>
          </cell>
          <cell r="E3750" t="str">
            <v>ہیڈآفس لاہور</v>
          </cell>
        </row>
        <row r="3751">
          <cell r="A3751" t="str">
            <v>6756/11</v>
          </cell>
          <cell r="B3751">
            <v>6756</v>
          </cell>
          <cell r="C3751">
            <v>45751</v>
          </cell>
          <cell r="D3751" t="str">
            <v>یونس صاحب</v>
          </cell>
          <cell r="E3751" t="str">
            <v>ہیڈآفس لاہور</v>
          </cell>
        </row>
        <row r="3752">
          <cell r="A3752" t="str">
            <v>6756/12</v>
          </cell>
          <cell r="B3752">
            <v>6756</v>
          </cell>
          <cell r="C3752">
            <v>45751</v>
          </cell>
          <cell r="D3752" t="str">
            <v>یونس صاحب</v>
          </cell>
          <cell r="E3752" t="str">
            <v>ہیڈآفس لاہور</v>
          </cell>
        </row>
        <row r="3753">
          <cell r="A3753" t="str">
            <v>6756/13</v>
          </cell>
          <cell r="B3753">
            <v>6756</v>
          </cell>
          <cell r="C3753">
            <v>45751</v>
          </cell>
          <cell r="D3753" t="str">
            <v>یونس صاحب</v>
          </cell>
          <cell r="E3753" t="str">
            <v>ہیڈآفس لاہور</v>
          </cell>
        </row>
        <row r="3754">
          <cell r="A3754" t="str">
            <v>6756/14</v>
          </cell>
          <cell r="B3754">
            <v>6756</v>
          </cell>
          <cell r="C3754">
            <v>45751</v>
          </cell>
          <cell r="D3754" t="str">
            <v>یونس صاحب</v>
          </cell>
          <cell r="E3754" t="str">
            <v>ہیڈآفس لاہور</v>
          </cell>
        </row>
        <row r="3755">
          <cell r="A3755" t="str">
            <v>6756/15</v>
          </cell>
          <cell r="B3755">
            <v>6756</v>
          </cell>
          <cell r="C3755">
            <v>45751</v>
          </cell>
          <cell r="D3755" t="str">
            <v>یونس صاحب</v>
          </cell>
          <cell r="E3755" t="str">
            <v>ہیڈآفس لاہور</v>
          </cell>
        </row>
        <row r="3756">
          <cell r="A3756" t="str">
            <v>6756/16</v>
          </cell>
          <cell r="B3756">
            <v>6756</v>
          </cell>
          <cell r="C3756">
            <v>45751</v>
          </cell>
          <cell r="D3756" t="str">
            <v>یونس صاحب</v>
          </cell>
          <cell r="E3756" t="str">
            <v>ہیڈآفس لاہور</v>
          </cell>
        </row>
        <row r="3757">
          <cell r="A3757" t="str">
            <v>6756/17</v>
          </cell>
          <cell r="B3757">
            <v>6756</v>
          </cell>
          <cell r="C3757">
            <v>45751</v>
          </cell>
          <cell r="D3757" t="str">
            <v>یونس صاحب</v>
          </cell>
          <cell r="E3757" t="str">
            <v>ہیڈآفس لاہور</v>
          </cell>
        </row>
        <row r="3758">
          <cell r="A3758" t="str">
            <v>6756/18</v>
          </cell>
          <cell r="B3758">
            <v>6756</v>
          </cell>
          <cell r="C3758">
            <v>45751</v>
          </cell>
          <cell r="D3758" t="str">
            <v>یونس صاحب</v>
          </cell>
          <cell r="E3758" t="str">
            <v>ہیڈآفس لاہور</v>
          </cell>
        </row>
        <row r="3759">
          <cell r="A3759" t="str">
            <v>6756/19</v>
          </cell>
          <cell r="B3759">
            <v>6756</v>
          </cell>
          <cell r="C3759">
            <v>45751</v>
          </cell>
          <cell r="D3759" t="str">
            <v>یونس صاحب</v>
          </cell>
          <cell r="E3759" t="str">
            <v>ہیڈآفس لاہور</v>
          </cell>
        </row>
        <row r="3760">
          <cell r="A3760" t="str">
            <v>6756/20</v>
          </cell>
          <cell r="B3760">
            <v>6756</v>
          </cell>
          <cell r="C3760">
            <v>45751</v>
          </cell>
          <cell r="D3760" t="str">
            <v>یونس صاحب</v>
          </cell>
          <cell r="E3760" t="str">
            <v>ہیڈآفس لاہور</v>
          </cell>
        </row>
        <row r="3761">
          <cell r="A3761" t="str">
            <v>6756/21</v>
          </cell>
          <cell r="B3761">
            <v>6756</v>
          </cell>
          <cell r="C3761">
            <v>45751</v>
          </cell>
          <cell r="D3761" t="str">
            <v>یونس صاحب</v>
          </cell>
          <cell r="E3761" t="str">
            <v>ہیڈآفس لاہور</v>
          </cell>
        </row>
        <row r="3762">
          <cell r="A3762" t="str">
            <v>6756/22</v>
          </cell>
          <cell r="B3762">
            <v>6756</v>
          </cell>
          <cell r="C3762">
            <v>45751</v>
          </cell>
          <cell r="D3762" t="str">
            <v>یونس صاحب</v>
          </cell>
          <cell r="E3762" t="str">
            <v>ہیڈآفس لاہور</v>
          </cell>
        </row>
        <row r="3763">
          <cell r="A3763" t="str">
            <v>6756/23</v>
          </cell>
          <cell r="B3763">
            <v>6756</v>
          </cell>
          <cell r="C3763">
            <v>45751</v>
          </cell>
          <cell r="D3763" t="str">
            <v>یونس صاحب</v>
          </cell>
          <cell r="E3763" t="str">
            <v>ہیڈآفس لاہور</v>
          </cell>
        </row>
        <row r="3764">
          <cell r="A3764" t="str">
            <v>6757/1</v>
          </cell>
          <cell r="B3764">
            <v>6757</v>
          </cell>
          <cell r="C3764">
            <v>45752</v>
          </cell>
          <cell r="D3764" t="str">
            <v>یونس صاحب</v>
          </cell>
          <cell r="E3764" t="str">
            <v>امارت پلاسٹک چوہنگ</v>
          </cell>
        </row>
        <row r="3765">
          <cell r="A3765" t="str">
            <v>6757/2</v>
          </cell>
          <cell r="B3765">
            <v>6757</v>
          </cell>
          <cell r="C3765">
            <v>45752</v>
          </cell>
          <cell r="D3765" t="str">
            <v>یونس صاحب</v>
          </cell>
          <cell r="E3765" t="str">
            <v>امارت پلاسٹک چوہنگ</v>
          </cell>
        </row>
        <row r="3766">
          <cell r="A3766" t="str">
            <v>6757/3</v>
          </cell>
          <cell r="B3766">
            <v>6757</v>
          </cell>
          <cell r="C3766">
            <v>45752</v>
          </cell>
          <cell r="D3766" t="str">
            <v>یونس صاحب</v>
          </cell>
          <cell r="E3766" t="str">
            <v>امارت پلاسٹک چوہنگ</v>
          </cell>
        </row>
        <row r="3767">
          <cell r="A3767" t="str">
            <v>6757/4</v>
          </cell>
          <cell r="B3767">
            <v>6757</v>
          </cell>
          <cell r="C3767">
            <v>45752</v>
          </cell>
          <cell r="D3767" t="str">
            <v>یونس صاحب</v>
          </cell>
          <cell r="E3767" t="str">
            <v>امارت پلاسٹک چوہنگ</v>
          </cell>
        </row>
        <row r="3768">
          <cell r="A3768" t="str">
            <v>6757/5</v>
          </cell>
          <cell r="B3768">
            <v>6757</v>
          </cell>
          <cell r="C3768">
            <v>45752</v>
          </cell>
          <cell r="D3768" t="str">
            <v>یونس صاحب</v>
          </cell>
          <cell r="E3768" t="str">
            <v>امارت پلاسٹک چوہنگ</v>
          </cell>
        </row>
        <row r="3769">
          <cell r="A3769" t="str">
            <v>6757/6</v>
          </cell>
          <cell r="B3769">
            <v>6757</v>
          </cell>
          <cell r="C3769">
            <v>45752</v>
          </cell>
          <cell r="D3769" t="str">
            <v>یونس صاحب</v>
          </cell>
          <cell r="E3769" t="str">
            <v>امارت پلاسٹک چوہنگ</v>
          </cell>
        </row>
        <row r="3770">
          <cell r="A3770" t="str">
            <v>6757/7</v>
          </cell>
          <cell r="B3770">
            <v>6757</v>
          </cell>
          <cell r="C3770">
            <v>45752</v>
          </cell>
          <cell r="D3770" t="str">
            <v>یونس صاحب</v>
          </cell>
          <cell r="E3770" t="str">
            <v>امارت پلاسٹک چوہنگ</v>
          </cell>
        </row>
        <row r="3771">
          <cell r="A3771" t="str">
            <v>6757/8</v>
          </cell>
          <cell r="B3771">
            <v>6757</v>
          </cell>
          <cell r="C3771">
            <v>45752</v>
          </cell>
          <cell r="D3771" t="str">
            <v>یونس صاحب</v>
          </cell>
          <cell r="E3771" t="str">
            <v>امارت پلاسٹک چوہنگ</v>
          </cell>
        </row>
        <row r="3772">
          <cell r="A3772" t="str">
            <v>6757/9</v>
          </cell>
          <cell r="B3772">
            <v>6757</v>
          </cell>
          <cell r="C3772">
            <v>45752</v>
          </cell>
          <cell r="D3772" t="str">
            <v>یونس صاحب</v>
          </cell>
          <cell r="E3772" t="str">
            <v>امارت پلاسٹک چوہنگ</v>
          </cell>
        </row>
        <row r="3773">
          <cell r="A3773" t="str">
            <v>6757/10</v>
          </cell>
          <cell r="B3773">
            <v>6757</v>
          </cell>
          <cell r="C3773">
            <v>45752</v>
          </cell>
          <cell r="D3773" t="str">
            <v>یونس صاحب</v>
          </cell>
          <cell r="E3773" t="str">
            <v>امارت پلاسٹک چوہنگ</v>
          </cell>
        </row>
        <row r="3774">
          <cell r="A3774" t="str">
            <v>6757/11</v>
          </cell>
          <cell r="B3774">
            <v>6757</v>
          </cell>
          <cell r="C3774">
            <v>45752</v>
          </cell>
          <cell r="D3774" t="str">
            <v>یونس صاحب</v>
          </cell>
          <cell r="E3774" t="str">
            <v>امارت پلاسٹک چوہنگ</v>
          </cell>
        </row>
        <row r="3775">
          <cell r="A3775" t="str">
            <v>6758/1</v>
          </cell>
          <cell r="B3775">
            <v>6758</v>
          </cell>
          <cell r="C3775">
            <v>45752</v>
          </cell>
          <cell r="D3775" t="str">
            <v>یونس صاحب</v>
          </cell>
          <cell r="E3775" t="str">
            <v>ایم سلمان پاکستان مارکیٹ</v>
          </cell>
        </row>
        <row r="3776">
          <cell r="A3776" t="str">
            <v>6759/1</v>
          </cell>
          <cell r="B3776">
            <v>6759</v>
          </cell>
          <cell r="C3776">
            <v>45752</v>
          </cell>
          <cell r="D3776" t="str">
            <v>یونس صاحب</v>
          </cell>
          <cell r="E3776" t="str">
            <v>ایم دین  بند ل</v>
          </cell>
        </row>
        <row r="3777">
          <cell r="A3777" t="str">
            <v>6759/2</v>
          </cell>
          <cell r="B3777">
            <v>6759</v>
          </cell>
          <cell r="C3777">
            <v>45752</v>
          </cell>
          <cell r="D3777" t="str">
            <v>یونس صاحب</v>
          </cell>
          <cell r="E3777" t="str">
            <v>ایم دین  بند ل</v>
          </cell>
        </row>
        <row r="3778">
          <cell r="A3778">
            <v>2717</v>
          </cell>
          <cell r="B3778"/>
          <cell r="C3778">
            <v>45756</v>
          </cell>
          <cell r="D3778" t="str">
            <v>JILANI</v>
          </cell>
          <cell r="E3778" t="str">
            <v>JILANI PLASTIC HD</v>
          </cell>
        </row>
        <row r="3779">
          <cell r="A3779">
            <v>2718</v>
          </cell>
          <cell r="B3779"/>
          <cell r="C3779">
            <v>45756</v>
          </cell>
          <cell r="D3779" t="str">
            <v>JILANI</v>
          </cell>
          <cell r="E3779" t="str">
            <v>JILANI PLASTIC HD</v>
          </cell>
        </row>
        <row r="3780">
          <cell r="A3780" t="str">
            <v>1638 J</v>
          </cell>
          <cell r="B3780">
            <v>11729</v>
          </cell>
          <cell r="C3780">
            <v>45754</v>
          </cell>
          <cell r="D3780" t="str">
            <v>JILANI</v>
          </cell>
          <cell r="E3780" t="str">
            <v>جہانگیر حسین کیئر آف ایم حسین گوجرانوالہ</v>
          </cell>
        </row>
        <row r="3781">
          <cell r="A3781" t="str">
            <v>1639 J</v>
          </cell>
          <cell r="B3781">
            <v>11729</v>
          </cell>
          <cell r="C3781">
            <v>45754</v>
          </cell>
          <cell r="D3781" t="str">
            <v>JILANI</v>
          </cell>
          <cell r="E3781" t="str">
            <v>جہانگیر حسین کیئر آف ایم حسین گوجرانوالہ</v>
          </cell>
        </row>
        <row r="3782">
          <cell r="A3782" t="str">
            <v>1640 J</v>
          </cell>
          <cell r="B3782">
            <v>11729</v>
          </cell>
          <cell r="C3782">
            <v>45754</v>
          </cell>
          <cell r="D3782" t="str">
            <v>JILANI</v>
          </cell>
          <cell r="E3782" t="str">
            <v>جہانگیر حسین کیئر آف ایم حسین گوجرانوالہ</v>
          </cell>
        </row>
        <row r="3783">
          <cell r="A3783" t="str">
            <v>1641 J</v>
          </cell>
          <cell r="B3783">
            <v>11729</v>
          </cell>
          <cell r="C3783">
            <v>45754</v>
          </cell>
          <cell r="D3783" t="str">
            <v>JILANI</v>
          </cell>
          <cell r="E3783" t="str">
            <v>جہانگیر حسین کیئر آف ایم حسین گوجرانوالہ</v>
          </cell>
        </row>
        <row r="3784">
          <cell r="A3784" t="str">
            <v>1642 J</v>
          </cell>
          <cell r="B3784">
            <v>11730</v>
          </cell>
          <cell r="C3784">
            <v>45754</v>
          </cell>
          <cell r="D3784" t="str">
            <v>JILANI</v>
          </cell>
          <cell r="E3784" t="str">
            <v>وسیم شاپر ہاوس اعظم مارکیٹ</v>
          </cell>
        </row>
        <row r="3785">
          <cell r="A3785" t="str">
            <v>1643 J</v>
          </cell>
          <cell r="B3785">
            <v>11731</v>
          </cell>
          <cell r="C3785">
            <v>45754</v>
          </cell>
          <cell r="D3785" t="str">
            <v>JILANI</v>
          </cell>
          <cell r="E3785" t="str">
            <v>وسیم شاپر ہاوس اعظم مارکیٹ</v>
          </cell>
        </row>
        <row r="3786">
          <cell r="A3786" t="str">
            <v>1644 J</v>
          </cell>
          <cell r="B3786">
            <v>11732</v>
          </cell>
          <cell r="C3786">
            <v>45754</v>
          </cell>
          <cell r="D3786" t="str">
            <v>JILANI</v>
          </cell>
          <cell r="E3786" t="str">
            <v>PO CANCEL</v>
          </cell>
        </row>
        <row r="3787">
          <cell r="A3787" t="str">
            <v>1645 J</v>
          </cell>
          <cell r="B3787">
            <v>11733</v>
          </cell>
          <cell r="C3787">
            <v>45754</v>
          </cell>
          <cell r="D3787" t="str">
            <v>JILANI</v>
          </cell>
          <cell r="E3787" t="str">
            <v>الکرم فارمیسی ڈنگہ</v>
          </cell>
        </row>
        <row r="3788">
          <cell r="A3788" t="str">
            <v>1646 J</v>
          </cell>
          <cell r="B3788">
            <v>11734</v>
          </cell>
          <cell r="C3788">
            <v>45754</v>
          </cell>
          <cell r="D3788" t="str">
            <v>JILANI</v>
          </cell>
          <cell r="E3788" t="str">
            <v>FDI LAHORE</v>
          </cell>
        </row>
        <row r="3789">
          <cell r="A3789" t="str">
            <v>1647 J</v>
          </cell>
          <cell r="B3789">
            <v>11734</v>
          </cell>
          <cell r="C3789">
            <v>45754</v>
          </cell>
          <cell r="D3789" t="str">
            <v>JILANI</v>
          </cell>
          <cell r="E3789" t="str">
            <v>FDI LAHORE</v>
          </cell>
        </row>
        <row r="3790">
          <cell r="A3790" t="str">
            <v>1648 J</v>
          </cell>
          <cell r="B3790">
            <v>11735</v>
          </cell>
          <cell r="C3790">
            <v>45754</v>
          </cell>
          <cell r="D3790" t="str">
            <v>JILANI</v>
          </cell>
          <cell r="E3790" t="str">
            <v>FDI LAHORE</v>
          </cell>
        </row>
        <row r="3791">
          <cell r="A3791" t="str">
            <v>1649 J</v>
          </cell>
          <cell r="B3791">
            <v>11735</v>
          </cell>
          <cell r="C3791">
            <v>45754</v>
          </cell>
          <cell r="D3791" t="str">
            <v>JILANI</v>
          </cell>
          <cell r="E3791" t="str">
            <v>FDI LAHORE</v>
          </cell>
        </row>
        <row r="3792">
          <cell r="A3792" t="str">
            <v>1650 J</v>
          </cell>
          <cell r="B3792">
            <v>11736</v>
          </cell>
          <cell r="C3792">
            <v>45754</v>
          </cell>
          <cell r="D3792" t="str">
            <v>JILANI</v>
          </cell>
          <cell r="E3792" t="str">
            <v>FDI LAHORE</v>
          </cell>
        </row>
        <row r="3793">
          <cell r="A3793" t="str">
            <v>1651 J</v>
          </cell>
          <cell r="B3793">
            <v>11737</v>
          </cell>
          <cell r="C3793">
            <v>45754</v>
          </cell>
          <cell r="D3793" t="str">
            <v>JILANI</v>
          </cell>
          <cell r="E3793" t="str">
            <v>امر پاک ڈرائی کلینرز لاہور</v>
          </cell>
        </row>
        <row r="3794">
          <cell r="A3794" t="str">
            <v>1652 J</v>
          </cell>
          <cell r="B3794">
            <v>11737</v>
          </cell>
          <cell r="C3794">
            <v>45754</v>
          </cell>
          <cell r="D3794" t="str">
            <v>JILANI</v>
          </cell>
          <cell r="E3794" t="str">
            <v>امر پاک ڈرائی کلینرز لاہور</v>
          </cell>
        </row>
        <row r="3795">
          <cell r="A3795" t="str">
            <v>1653 J</v>
          </cell>
          <cell r="B3795">
            <v>11738</v>
          </cell>
          <cell r="C3795">
            <v>45754</v>
          </cell>
          <cell r="D3795" t="str">
            <v>JILANI</v>
          </cell>
          <cell r="E3795" t="str">
            <v>رفیق حنیف گوجرانوالہ</v>
          </cell>
        </row>
        <row r="3796">
          <cell r="A3796" t="str">
            <v>1654 J</v>
          </cell>
          <cell r="B3796">
            <v>11739</v>
          </cell>
          <cell r="C3796">
            <v>45754</v>
          </cell>
          <cell r="D3796" t="str">
            <v>JILANI</v>
          </cell>
          <cell r="E3796" t="str">
            <v>پنجاب پرنٹرز حافظ آباد</v>
          </cell>
        </row>
        <row r="3797">
          <cell r="A3797" t="str">
            <v>1655 J</v>
          </cell>
          <cell r="B3797"/>
          <cell r="C3797">
            <v>45755</v>
          </cell>
          <cell r="D3797" t="str">
            <v>OTHERS</v>
          </cell>
          <cell r="E3797" t="str">
            <v>جیلانی پولی -2گریویئر</v>
          </cell>
        </row>
        <row r="3798">
          <cell r="A3798" t="str">
            <v>1656 J</v>
          </cell>
          <cell r="B3798">
            <v>11740</v>
          </cell>
          <cell r="C3798">
            <v>45755</v>
          </cell>
          <cell r="D3798" t="str">
            <v>JILANI</v>
          </cell>
          <cell r="E3798" t="str">
            <v>عثمان عارف بٹ گوجرانولہ</v>
          </cell>
        </row>
        <row r="3799">
          <cell r="A3799" t="str">
            <v>1657 J</v>
          </cell>
          <cell r="B3799">
            <v>11741</v>
          </cell>
          <cell r="C3799">
            <v>45755</v>
          </cell>
          <cell r="D3799" t="str">
            <v>JILANI</v>
          </cell>
          <cell r="E3799" t="str">
            <v>عثمان عارف بٹ گوجرانولہ</v>
          </cell>
        </row>
        <row r="3800">
          <cell r="A3800" t="str">
            <v>1658 J</v>
          </cell>
          <cell r="B3800">
            <v>11742</v>
          </cell>
          <cell r="C3800">
            <v>45755</v>
          </cell>
          <cell r="D3800" t="str">
            <v>JILANI</v>
          </cell>
          <cell r="E3800" t="str">
            <v>ائیری فوڈ گوجرانوالہ</v>
          </cell>
        </row>
        <row r="3801">
          <cell r="A3801" t="str">
            <v>1659 J</v>
          </cell>
          <cell r="B3801">
            <v>11743</v>
          </cell>
          <cell r="C3801">
            <v>45755</v>
          </cell>
          <cell r="D3801" t="str">
            <v>JILANI</v>
          </cell>
          <cell r="E3801" t="str">
            <v>سلیم فیبرکس لیبرٹی مارکیٹ لاہور</v>
          </cell>
        </row>
        <row r="3802">
          <cell r="A3802" t="str">
            <v>1660 J</v>
          </cell>
          <cell r="B3802">
            <v>11743</v>
          </cell>
          <cell r="C3802">
            <v>45755</v>
          </cell>
          <cell r="D3802" t="str">
            <v>JILANI</v>
          </cell>
          <cell r="E3802" t="str">
            <v>سلیم فیبرکس لیبرٹی مارکیٹ لاہور</v>
          </cell>
        </row>
        <row r="3803">
          <cell r="A3803" t="str">
            <v>1661 J</v>
          </cell>
          <cell r="B3803">
            <v>11744</v>
          </cell>
          <cell r="C3803">
            <v>45755</v>
          </cell>
          <cell r="D3803" t="str">
            <v>JILANI</v>
          </cell>
          <cell r="E3803" t="str">
            <v>حافظ کلاتھ ہاؤس ٹاؤن شپ</v>
          </cell>
        </row>
        <row r="3804">
          <cell r="A3804" t="str">
            <v>1662 J</v>
          </cell>
          <cell r="B3804">
            <v>11745</v>
          </cell>
          <cell r="C3804">
            <v>45755</v>
          </cell>
          <cell r="D3804" t="str">
            <v>JILANI</v>
          </cell>
          <cell r="E3804" t="str">
            <v>توصیف بٹ گوجرانوالہ</v>
          </cell>
        </row>
        <row r="3805">
          <cell r="A3805" t="str">
            <v>1663 J</v>
          </cell>
          <cell r="B3805">
            <v>11745</v>
          </cell>
          <cell r="C3805">
            <v>45755</v>
          </cell>
          <cell r="D3805" t="str">
            <v>JILANI</v>
          </cell>
          <cell r="E3805" t="str">
            <v>توصیف بٹ گوجرانوالہ</v>
          </cell>
        </row>
        <row r="3806">
          <cell r="A3806" t="str">
            <v>1664 J</v>
          </cell>
          <cell r="B3806">
            <v>11745</v>
          </cell>
          <cell r="C3806">
            <v>45755</v>
          </cell>
          <cell r="D3806" t="str">
            <v>JILANI</v>
          </cell>
          <cell r="E3806" t="str">
            <v>توصیف بٹ گوجرانوالہ</v>
          </cell>
        </row>
        <row r="3807">
          <cell r="A3807" t="str">
            <v>1665 J</v>
          </cell>
          <cell r="B3807">
            <v>11746</v>
          </cell>
          <cell r="C3807">
            <v>45755</v>
          </cell>
          <cell r="D3807" t="str">
            <v>JILANI</v>
          </cell>
          <cell r="E3807" t="str">
            <v>عالم پرنٹرز بٹ خیلہ</v>
          </cell>
        </row>
        <row r="3808">
          <cell r="A3808" t="str">
            <v>1666 J</v>
          </cell>
          <cell r="B3808">
            <v>11747</v>
          </cell>
          <cell r="C3808">
            <v>45755</v>
          </cell>
          <cell r="D3808" t="str">
            <v>JILANI</v>
          </cell>
          <cell r="E3808" t="str">
            <v>علوی گارمنٹس گجرات</v>
          </cell>
        </row>
        <row r="3809">
          <cell r="A3809" t="str">
            <v>1667 J</v>
          </cell>
          <cell r="B3809">
            <v>11747</v>
          </cell>
          <cell r="C3809">
            <v>45755</v>
          </cell>
          <cell r="D3809" t="str">
            <v>JILANI</v>
          </cell>
          <cell r="E3809" t="str">
            <v>علوی گارمنٹس گجرات</v>
          </cell>
        </row>
        <row r="3810">
          <cell r="A3810" t="str">
            <v>1668 J</v>
          </cell>
          <cell r="B3810">
            <v>11748</v>
          </cell>
          <cell r="C3810">
            <v>45755</v>
          </cell>
          <cell r="D3810" t="str">
            <v>JILANI</v>
          </cell>
          <cell r="E3810" t="str">
            <v>سپنا شوز ہری پور</v>
          </cell>
        </row>
        <row r="3811">
          <cell r="A3811" t="str">
            <v>1669 J</v>
          </cell>
          <cell r="B3811">
            <v>11749</v>
          </cell>
          <cell r="C3811">
            <v>45755</v>
          </cell>
          <cell r="D3811" t="str">
            <v>JILANI</v>
          </cell>
          <cell r="E3811" t="str">
            <v>شریفی جیولرز اینڈ شوز لاہور</v>
          </cell>
        </row>
        <row r="3812">
          <cell r="A3812" t="str">
            <v>1670 J</v>
          </cell>
          <cell r="B3812">
            <v>11750</v>
          </cell>
          <cell r="C3812">
            <v>45755</v>
          </cell>
          <cell r="D3812" t="str">
            <v>JILANI</v>
          </cell>
          <cell r="E3812" t="str">
            <v>حاجی دوست انڈسٹریز لاہور</v>
          </cell>
        </row>
        <row r="3813">
          <cell r="A3813" t="str">
            <v>1671 J</v>
          </cell>
          <cell r="B3813">
            <v>11751</v>
          </cell>
          <cell r="C3813">
            <v>45755</v>
          </cell>
          <cell r="D3813" t="str">
            <v>JILANI</v>
          </cell>
          <cell r="E3813" t="str">
            <v>حاجی دوست انڈسٹریز لاہور</v>
          </cell>
        </row>
        <row r="3814">
          <cell r="A3814" t="str">
            <v>1672 J</v>
          </cell>
          <cell r="B3814">
            <v>11752</v>
          </cell>
          <cell r="C3814">
            <v>45755</v>
          </cell>
          <cell r="D3814" t="str">
            <v>JILANI</v>
          </cell>
          <cell r="E3814" t="str">
            <v>شفعی فوم لاہور</v>
          </cell>
        </row>
        <row r="3815">
          <cell r="A3815" t="str">
            <v>1673 J</v>
          </cell>
          <cell r="B3815">
            <v>11753</v>
          </cell>
          <cell r="C3815">
            <v>45755</v>
          </cell>
          <cell r="D3815" t="str">
            <v>JILANI</v>
          </cell>
          <cell r="E3815" t="str">
            <v>شالیمار سویٹس دینہ</v>
          </cell>
        </row>
        <row r="3816">
          <cell r="A3816" t="str">
            <v>1674 J</v>
          </cell>
          <cell r="B3816">
            <v>11753</v>
          </cell>
          <cell r="C3816">
            <v>45755</v>
          </cell>
          <cell r="D3816" t="str">
            <v>JILANI</v>
          </cell>
          <cell r="E3816" t="str">
            <v>شالیمار سویٹس دینہ</v>
          </cell>
        </row>
        <row r="3817">
          <cell r="A3817" t="str">
            <v>1675 J</v>
          </cell>
          <cell r="B3817"/>
          <cell r="C3817">
            <v>45755</v>
          </cell>
          <cell r="D3817" t="str">
            <v>OTHERS</v>
          </cell>
          <cell r="E3817" t="str">
            <v>جیلانی پلاسٹک</v>
          </cell>
        </row>
        <row r="3818">
          <cell r="A3818" t="str">
            <v>1676 J</v>
          </cell>
          <cell r="B3818">
            <v>11771</v>
          </cell>
          <cell r="C3818">
            <v>45756</v>
          </cell>
          <cell r="D3818" t="str">
            <v>JILANI</v>
          </cell>
          <cell r="E3818" t="str">
            <v>ایم عمر فاروق صاحب لاہور</v>
          </cell>
        </row>
        <row r="3819">
          <cell r="A3819" t="str">
            <v>1677 J</v>
          </cell>
          <cell r="B3819">
            <v>11756</v>
          </cell>
          <cell r="C3819">
            <v>45756</v>
          </cell>
          <cell r="D3819" t="str">
            <v>JILANI</v>
          </cell>
          <cell r="E3819" t="str">
            <v>خواجہ واچ سنٹر لاہور</v>
          </cell>
        </row>
        <row r="3820">
          <cell r="A3820" t="str">
            <v>1678 J</v>
          </cell>
          <cell r="B3820">
            <v>11757</v>
          </cell>
          <cell r="C3820">
            <v>45756</v>
          </cell>
          <cell r="D3820" t="str">
            <v>JILANI</v>
          </cell>
          <cell r="E3820" t="str">
            <v>اے وائے کینز لاہور</v>
          </cell>
        </row>
        <row r="3821">
          <cell r="A3821" t="str">
            <v>1679 J</v>
          </cell>
          <cell r="B3821">
            <v>11757</v>
          </cell>
          <cell r="C3821">
            <v>45756</v>
          </cell>
          <cell r="D3821" t="str">
            <v>JILANI</v>
          </cell>
          <cell r="E3821" t="str">
            <v>اے وائے کینز لاہور</v>
          </cell>
        </row>
        <row r="3822">
          <cell r="A3822" t="str">
            <v>1680 J</v>
          </cell>
          <cell r="B3822">
            <v>11758</v>
          </cell>
          <cell r="C3822">
            <v>45756</v>
          </cell>
          <cell r="D3822" t="str">
            <v>JILANI</v>
          </cell>
          <cell r="E3822" t="str">
            <v>اٹلس ہنڈا لمیٹڈ کراچی</v>
          </cell>
        </row>
        <row r="3823">
          <cell r="A3823" t="str">
            <v>1681 J</v>
          </cell>
          <cell r="B3823">
            <v>11759</v>
          </cell>
          <cell r="C3823">
            <v>45756</v>
          </cell>
          <cell r="D3823" t="str">
            <v>JILANI</v>
          </cell>
          <cell r="E3823" t="str">
            <v>اٹلس ہنڈا لمیٹڈ شیخوپورہ</v>
          </cell>
        </row>
        <row r="3824">
          <cell r="A3824" t="str">
            <v>1682 J</v>
          </cell>
          <cell r="B3824">
            <v>11760</v>
          </cell>
          <cell r="C3824">
            <v>45756</v>
          </cell>
          <cell r="D3824" t="str">
            <v>JILANI</v>
          </cell>
          <cell r="E3824" t="str">
            <v>اٹلس ہنڈا لمیٹڈ شیخوپورہ</v>
          </cell>
        </row>
        <row r="3825">
          <cell r="A3825" t="str">
            <v>1683 J</v>
          </cell>
          <cell r="B3825">
            <v>11761</v>
          </cell>
          <cell r="C3825">
            <v>45756</v>
          </cell>
          <cell r="D3825" t="str">
            <v>JILANI</v>
          </cell>
          <cell r="E3825" t="str">
            <v>اٹلس ہنڈا لمیٹڈ شیخوپورہ</v>
          </cell>
        </row>
        <row r="3826">
          <cell r="A3826" t="str">
            <v>1684 J</v>
          </cell>
          <cell r="B3826">
            <v>11762</v>
          </cell>
          <cell r="C3826">
            <v>45756</v>
          </cell>
          <cell r="D3826" t="str">
            <v>JILANI</v>
          </cell>
          <cell r="E3826" t="str">
            <v>اٹلس ہنڈا لمیٹڈ شیخوپورہ</v>
          </cell>
        </row>
        <row r="3827">
          <cell r="A3827" t="str">
            <v>1685 J</v>
          </cell>
          <cell r="B3827">
            <v>11763</v>
          </cell>
          <cell r="C3827">
            <v>45756</v>
          </cell>
          <cell r="D3827" t="str">
            <v>JILANI</v>
          </cell>
          <cell r="E3827" t="str">
            <v>اٹلس ہنڈا لمیٹڈ شیخوپورہ</v>
          </cell>
        </row>
        <row r="3828">
          <cell r="A3828" t="str">
            <v>1686 J</v>
          </cell>
          <cell r="B3828">
            <v>11764</v>
          </cell>
          <cell r="C3828">
            <v>45756</v>
          </cell>
          <cell r="D3828" t="str">
            <v>JILANI</v>
          </cell>
          <cell r="E3828" t="str">
            <v>اٹلس ہنڈا لمیٹڈ شیخوپورہ</v>
          </cell>
        </row>
        <row r="3829">
          <cell r="A3829" t="str">
            <v>1687 J</v>
          </cell>
          <cell r="B3829">
            <v>11765</v>
          </cell>
          <cell r="C3829">
            <v>45756</v>
          </cell>
          <cell r="D3829" t="str">
            <v>JILANI</v>
          </cell>
          <cell r="E3829" t="str">
            <v>اٹلس ہنڈا لمیٹڈ شیخوپورہ</v>
          </cell>
        </row>
        <row r="3830">
          <cell r="A3830" t="str">
            <v>1688 J</v>
          </cell>
          <cell r="B3830">
            <v>11766</v>
          </cell>
          <cell r="C3830">
            <v>45756</v>
          </cell>
          <cell r="D3830" t="str">
            <v>JILANI</v>
          </cell>
          <cell r="E3830" t="str">
            <v>اٹلس ہنڈا لمیٹڈ شیخوپورہ</v>
          </cell>
        </row>
        <row r="3831">
          <cell r="A3831" t="str">
            <v>1689 J</v>
          </cell>
          <cell r="B3831">
            <v>11767</v>
          </cell>
          <cell r="C3831">
            <v>45756</v>
          </cell>
          <cell r="D3831" t="str">
            <v>JILANI</v>
          </cell>
          <cell r="E3831" t="str">
            <v>اٹلس ہنڈا لمیٹڈ شیخوپورہ</v>
          </cell>
        </row>
        <row r="3832">
          <cell r="A3832" t="str">
            <v>1690 J</v>
          </cell>
          <cell r="B3832">
            <v>11768</v>
          </cell>
          <cell r="C3832">
            <v>45756</v>
          </cell>
          <cell r="D3832" t="str">
            <v>JILANI</v>
          </cell>
          <cell r="E3832" t="str">
            <v>اٹلس ہنڈا لمیٹڈ شیخوپورہ</v>
          </cell>
        </row>
        <row r="3833">
          <cell r="A3833" t="str">
            <v>1691 J</v>
          </cell>
          <cell r="B3833">
            <v>11769</v>
          </cell>
          <cell r="C3833">
            <v>45756</v>
          </cell>
          <cell r="D3833" t="str">
            <v>JILANI</v>
          </cell>
          <cell r="E3833" t="str">
            <v>اٹلس ہنڈا لمیٹڈ شیخوپورہ</v>
          </cell>
        </row>
        <row r="3834">
          <cell r="A3834" t="str">
            <v>1692 J</v>
          </cell>
          <cell r="B3834">
            <v>11770</v>
          </cell>
          <cell r="C3834">
            <v>45756</v>
          </cell>
          <cell r="D3834" t="str">
            <v>JILANI</v>
          </cell>
          <cell r="E3834" t="str">
            <v>اٹلس ہنڈا لمیٹڈ شیخوپورہ</v>
          </cell>
        </row>
        <row r="3835">
          <cell r="A3835" t="str">
            <v>1325 F</v>
          </cell>
          <cell r="B3835"/>
          <cell r="C3835">
            <v>45755</v>
          </cell>
          <cell r="D3835" t="str">
            <v>فینا</v>
          </cell>
          <cell r="E3835" t="str">
            <v>عثمان امین</v>
          </cell>
        </row>
        <row r="3836">
          <cell r="A3836" t="str">
            <v>1326 F</v>
          </cell>
          <cell r="B3836"/>
          <cell r="C3836">
            <v>45755</v>
          </cell>
          <cell r="D3836" t="str">
            <v>فینا</v>
          </cell>
          <cell r="E3836" t="str">
            <v>عثمان امین</v>
          </cell>
        </row>
        <row r="3837">
          <cell r="A3837" t="str">
            <v>1327 F</v>
          </cell>
          <cell r="B3837"/>
          <cell r="C3837">
            <v>45755</v>
          </cell>
          <cell r="D3837" t="str">
            <v>فینا</v>
          </cell>
          <cell r="E3837" t="str">
            <v>عثمان امین</v>
          </cell>
        </row>
        <row r="3838">
          <cell r="A3838" t="str">
            <v>1328 F</v>
          </cell>
          <cell r="B3838"/>
          <cell r="C3838">
            <v>45755</v>
          </cell>
          <cell r="D3838" t="str">
            <v>فینا</v>
          </cell>
          <cell r="E3838" t="str">
            <v>عثمان امین</v>
          </cell>
        </row>
        <row r="3839">
          <cell r="A3839" t="str">
            <v>1329 F</v>
          </cell>
          <cell r="B3839"/>
          <cell r="C3839">
            <v>45755</v>
          </cell>
          <cell r="D3839" t="str">
            <v>فینا</v>
          </cell>
          <cell r="E3839" t="str">
            <v>عثمان امین</v>
          </cell>
        </row>
        <row r="3840">
          <cell r="A3840" t="str">
            <v>1330 F</v>
          </cell>
          <cell r="B3840"/>
          <cell r="C3840">
            <v>45755</v>
          </cell>
          <cell r="D3840" t="str">
            <v>فینا</v>
          </cell>
          <cell r="E3840" t="str">
            <v>عثمان امین</v>
          </cell>
        </row>
        <row r="3841">
          <cell r="A3841" t="str">
            <v>1331 F</v>
          </cell>
          <cell r="B3841"/>
          <cell r="C3841">
            <v>45755</v>
          </cell>
          <cell r="D3841" t="str">
            <v>فینا</v>
          </cell>
          <cell r="E3841" t="str">
            <v>عثمان امین</v>
          </cell>
        </row>
        <row r="3842">
          <cell r="A3842" t="str">
            <v>1332 F</v>
          </cell>
          <cell r="B3842"/>
          <cell r="C3842">
            <v>45755</v>
          </cell>
          <cell r="D3842" t="str">
            <v>فینا</v>
          </cell>
          <cell r="E3842" t="str">
            <v>عثمان امین</v>
          </cell>
        </row>
        <row r="3843">
          <cell r="A3843" t="str">
            <v>1333 F</v>
          </cell>
          <cell r="B3843"/>
          <cell r="C3843">
            <v>45755</v>
          </cell>
          <cell r="D3843" t="str">
            <v>فینا</v>
          </cell>
          <cell r="E3843" t="str">
            <v>عثمان امین</v>
          </cell>
        </row>
        <row r="3844">
          <cell r="A3844" t="str">
            <v>1334 F</v>
          </cell>
          <cell r="B3844"/>
          <cell r="C3844">
            <v>45755</v>
          </cell>
          <cell r="D3844" t="str">
            <v>فینا</v>
          </cell>
          <cell r="E3844" t="str">
            <v>عثمان امین</v>
          </cell>
        </row>
        <row r="3845">
          <cell r="A3845">
            <v>2719</v>
          </cell>
          <cell r="B3845"/>
          <cell r="C3845">
            <v>45758</v>
          </cell>
          <cell r="D3845" t="str">
            <v>JILANI</v>
          </cell>
          <cell r="E3845" t="str">
            <v>JILANI PLASTIC HD</v>
          </cell>
        </row>
        <row r="3846">
          <cell r="A3846">
            <v>2720</v>
          </cell>
          <cell r="B3846"/>
          <cell r="C3846">
            <v>45758</v>
          </cell>
          <cell r="D3846" t="str">
            <v>JILANI</v>
          </cell>
          <cell r="E3846" t="str">
            <v>JILANI PLASTIC HD</v>
          </cell>
        </row>
        <row r="3847">
          <cell r="A3847">
            <v>2721</v>
          </cell>
          <cell r="B3847">
            <v>8046</v>
          </cell>
          <cell r="C3847">
            <v>45758</v>
          </cell>
          <cell r="D3847" t="str">
            <v>JILANI</v>
          </cell>
          <cell r="E3847" t="str">
            <v>TAJ FOODS PVT LTD</v>
          </cell>
        </row>
        <row r="3848">
          <cell r="A3848">
            <v>2722</v>
          </cell>
          <cell r="B3848">
            <v>8047</v>
          </cell>
          <cell r="C3848">
            <v>45758</v>
          </cell>
          <cell r="D3848" t="str">
            <v>JILANI</v>
          </cell>
          <cell r="E3848" t="str">
            <v>CO CO TRACTERS</v>
          </cell>
        </row>
        <row r="3849">
          <cell r="A3849">
            <v>2723</v>
          </cell>
          <cell r="B3849">
            <v>2733</v>
          </cell>
          <cell r="C3849">
            <v>45758</v>
          </cell>
          <cell r="D3849" t="str">
            <v>JILANI</v>
          </cell>
          <cell r="E3849" t="str">
            <v>MATCO FOOD</v>
          </cell>
        </row>
        <row r="3850">
          <cell r="A3850" t="str">
            <v>1335 F</v>
          </cell>
          <cell r="B3850"/>
          <cell r="C3850">
            <v>45757</v>
          </cell>
          <cell r="D3850" t="str">
            <v>فینا</v>
          </cell>
          <cell r="E3850" t="str">
            <v>عثمان امین</v>
          </cell>
        </row>
        <row r="3851">
          <cell r="A3851" t="str">
            <v>1336 F</v>
          </cell>
          <cell r="B3851"/>
          <cell r="C3851">
            <v>45757</v>
          </cell>
          <cell r="D3851" t="str">
            <v>فینا</v>
          </cell>
          <cell r="E3851" t="str">
            <v>عثمان امین</v>
          </cell>
        </row>
        <row r="3852">
          <cell r="A3852" t="str">
            <v>1337 F</v>
          </cell>
          <cell r="B3852"/>
          <cell r="C3852">
            <v>45757</v>
          </cell>
          <cell r="D3852" t="str">
            <v>فینا</v>
          </cell>
          <cell r="E3852" t="str">
            <v>عثمان امین</v>
          </cell>
        </row>
        <row r="3853">
          <cell r="A3853" t="str">
            <v>1338 F</v>
          </cell>
          <cell r="B3853"/>
          <cell r="C3853">
            <v>45757</v>
          </cell>
          <cell r="D3853" t="str">
            <v>فینا</v>
          </cell>
          <cell r="E3853" t="str">
            <v>عثمان امین</v>
          </cell>
        </row>
        <row r="3854">
          <cell r="A3854" t="str">
            <v>1339 F</v>
          </cell>
          <cell r="B3854"/>
          <cell r="C3854">
            <v>45757</v>
          </cell>
          <cell r="D3854" t="str">
            <v>فینا</v>
          </cell>
          <cell r="E3854" t="str">
            <v>عثمان امین</v>
          </cell>
        </row>
        <row r="3855">
          <cell r="A3855" t="str">
            <v>1340 F</v>
          </cell>
          <cell r="B3855"/>
          <cell r="C3855">
            <v>45757</v>
          </cell>
          <cell r="D3855" t="str">
            <v>فینا</v>
          </cell>
          <cell r="E3855" t="str">
            <v>عثمان امین</v>
          </cell>
        </row>
        <row r="3856">
          <cell r="A3856" t="str">
            <v>1341 F</v>
          </cell>
          <cell r="B3856"/>
          <cell r="C3856">
            <v>45757</v>
          </cell>
          <cell r="D3856" t="str">
            <v>فینا</v>
          </cell>
          <cell r="E3856" t="str">
            <v>عثمان امین</v>
          </cell>
        </row>
        <row r="3857">
          <cell r="A3857" t="str">
            <v>1342 F</v>
          </cell>
          <cell r="B3857"/>
          <cell r="C3857">
            <v>45757</v>
          </cell>
          <cell r="D3857" t="str">
            <v>فینا</v>
          </cell>
          <cell r="E3857" t="str">
            <v>عثمان امین</v>
          </cell>
        </row>
        <row r="3858">
          <cell r="A3858" t="str">
            <v>1343 F</v>
          </cell>
          <cell r="B3858"/>
          <cell r="C3858">
            <v>45757</v>
          </cell>
          <cell r="D3858" t="str">
            <v>فینا</v>
          </cell>
          <cell r="E3858" t="str">
            <v>عثمان امین</v>
          </cell>
        </row>
        <row r="3859">
          <cell r="A3859" t="str">
            <v>1344 F</v>
          </cell>
          <cell r="B3859"/>
          <cell r="C3859">
            <v>45757</v>
          </cell>
          <cell r="D3859" t="str">
            <v>فینا</v>
          </cell>
          <cell r="E3859" t="str">
            <v>عثمان امین</v>
          </cell>
        </row>
        <row r="3860">
          <cell r="A3860" t="str">
            <v>1345 F</v>
          </cell>
          <cell r="B3860"/>
          <cell r="C3860">
            <v>45757</v>
          </cell>
          <cell r="D3860" t="str">
            <v>فینا</v>
          </cell>
          <cell r="E3860" t="str">
            <v>عثمان امین</v>
          </cell>
        </row>
        <row r="3861">
          <cell r="A3861" t="str">
            <v>1346 F</v>
          </cell>
          <cell r="B3861"/>
          <cell r="C3861">
            <v>45757</v>
          </cell>
          <cell r="D3861" t="str">
            <v>فینا</v>
          </cell>
          <cell r="E3861" t="str">
            <v>عثمان امین</v>
          </cell>
        </row>
        <row r="3862">
          <cell r="A3862" t="str">
            <v>1693 J</v>
          </cell>
          <cell r="B3862">
            <v>11772</v>
          </cell>
          <cell r="C3862">
            <v>45756</v>
          </cell>
          <cell r="D3862" t="str">
            <v>JILANI</v>
          </cell>
          <cell r="E3862" t="str">
            <v>ایم شریف بوتیق نوشہرہ ویرکاں</v>
          </cell>
        </row>
        <row r="3863">
          <cell r="A3863" t="str">
            <v>1694 J</v>
          </cell>
          <cell r="B3863">
            <v>11772</v>
          </cell>
          <cell r="C3863">
            <v>45756</v>
          </cell>
          <cell r="D3863" t="str">
            <v>JILANI</v>
          </cell>
          <cell r="E3863" t="str">
            <v>ایم شریف بوتیق نوشہرہ ویرکاں</v>
          </cell>
        </row>
        <row r="3864">
          <cell r="A3864" t="str">
            <v>1695 J</v>
          </cell>
          <cell r="B3864">
            <v>11773</v>
          </cell>
          <cell r="C3864">
            <v>45756</v>
          </cell>
          <cell r="D3864" t="str">
            <v>JILANI</v>
          </cell>
          <cell r="E3864" t="str">
            <v>عدیل صاحب ملتان</v>
          </cell>
        </row>
        <row r="3865">
          <cell r="A3865" t="str">
            <v>1696 J</v>
          </cell>
          <cell r="B3865">
            <v>11774</v>
          </cell>
          <cell r="C3865">
            <v>45756</v>
          </cell>
          <cell r="D3865" t="str">
            <v>JILANI</v>
          </cell>
          <cell r="E3865" t="str">
            <v>جھنگیر حسین +حسین گو جرانولہ</v>
          </cell>
        </row>
        <row r="3866">
          <cell r="A3866" t="str">
            <v>1697 J</v>
          </cell>
          <cell r="B3866">
            <v>11774</v>
          </cell>
          <cell r="C3866">
            <v>45756</v>
          </cell>
          <cell r="D3866" t="str">
            <v>JILANI</v>
          </cell>
          <cell r="E3866" t="str">
            <v>جھنگیر حسین +حسین گو جرانولہ</v>
          </cell>
        </row>
        <row r="3867">
          <cell r="A3867" t="str">
            <v>1698 J</v>
          </cell>
          <cell r="B3867">
            <v>11774</v>
          </cell>
          <cell r="C3867">
            <v>45756</v>
          </cell>
          <cell r="D3867" t="str">
            <v>JILANI</v>
          </cell>
          <cell r="E3867" t="str">
            <v>جھنگیر حسین +حسین گو جرانولہ</v>
          </cell>
        </row>
        <row r="3868">
          <cell r="A3868" t="str">
            <v>1699 J</v>
          </cell>
          <cell r="B3868">
            <v>11775</v>
          </cell>
          <cell r="C3868">
            <v>45756</v>
          </cell>
          <cell r="D3868" t="str">
            <v>JILANI</v>
          </cell>
          <cell r="E3868" t="str">
            <v>ایم کے بی پشاور</v>
          </cell>
        </row>
        <row r="3869">
          <cell r="A3869" t="str">
            <v>1700 J</v>
          </cell>
          <cell r="B3869">
            <v>11776</v>
          </cell>
          <cell r="C3869">
            <v>45756</v>
          </cell>
          <cell r="D3869" t="str">
            <v>JILANI</v>
          </cell>
          <cell r="E3869" t="str">
            <v>ایم کے بی پشاور</v>
          </cell>
        </row>
        <row r="3870">
          <cell r="A3870" t="str">
            <v>1701 J</v>
          </cell>
          <cell r="B3870">
            <v>11777</v>
          </cell>
          <cell r="C3870">
            <v>45756</v>
          </cell>
          <cell r="D3870" t="str">
            <v>JILANI</v>
          </cell>
          <cell r="E3870" t="str">
            <v>عثمان عارف بٹ گوجرانولہ</v>
          </cell>
        </row>
        <row r="3871">
          <cell r="A3871" t="str">
            <v>1702 J</v>
          </cell>
          <cell r="B3871">
            <v>11777</v>
          </cell>
          <cell r="C3871">
            <v>45756</v>
          </cell>
          <cell r="D3871" t="str">
            <v>JILANI</v>
          </cell>
          <cell r="E3871" t="str">
            <v>عثمان عارف بٹ گوجرانولہ</v>
          </cell>
        </row>
        <row r="3872">
          <cell r="A3872" t="str">
            <v>1703 J</v>
          </cell>
          <cell r="B3872">
            <v>11777</v>
          </cell>
          <cell r="C3872">
            <v>45756</v>
          </cell>
          <cell r="D3872" t="str">
            <v>JILANI</v>
          </cell>
          <cell r="E3872" t="str">
            <v>عثمان عارف بٹ گوجرانولہ</v>
          </cell>
        </row>
        <row r="3873">
          <cell r="A3873" t="str">
            <v>1704 J</v>
          </cell>
          <cell r="B3873">
            <v>11777</v>
          </cell>
          <cell r="C3873">
            <v>45756</v>
          </cell>
          <cell r="D3873" t="str">
            <v>JILANI</v>
          </cell>
          <cell r="E3873" t="str">
            <v>عثمان عارف بٹ گوجرانولہ</v>
          </cell>
        </row>
        <row r="3874">
          <cell r="A3874" t="str">
            <v>1705 J</v>
          </cell>
          <cell r="B3874">
            <v>11777</v>
          </cell>
          <cell r="C3874">
            <v>45756</v>
          </cell>
          <cell r="D3874" t="str">
            <v>JILANI</v>
          </cell>
          <cell r="E3874" t="str">
            <v>عثمان عارف بٹ گوجرانولہ</v>
          </cell>
        </row>
        <row r="3875">
          <cell r="A3875" t="str">
            <v>1706 J</v>
          </cell>
          <cell r="B3875">
            <v>11778</v>
          </cell>
          <cell r="C3875">
            <v>45756</v>
          </cell>
          <cell r="D3875" t="str">
            <v>JILANI</v>
          </cell>
          <cell r="E3875" t="str">
            <v>سروس انڈسٹری گجرات</v>
          </cell>
        </row>
        <row r="3876">
          <cell r="A3876" t="str">
            <v>1707 J</v>
          </cell>
          <cell r="B3876">
            <v>11779</v>
          </cell>
          <cell r="C3876">
            <v>45756</v>
          </cell>
          <cell r="D3876" t="str">
            <v>JILANI</v>
          </cell>
          <cell r="E3876" t="str">
            <v>سروس انڈسٹری گجرات</v>
          </cell>
        </row>
        <row r="3877">
          <cell r="A3877" t="str">
            <v>1708 J</v>
          </cell>
          <cell r="B3877">
            <v>11780</v>
          </cell>
          <cell r="C3877">
            <v>45756</v>
          </cell>
          <cell r="D3877" t="str">
            <v>JILANI</v>
          </cell>
          <cell r="E3877" t="str">
            <v>سروس انڈسٹری گجرات</v>
          </cell>
        </row>
        <row r="3878">
          <cell r="A3878" t="str">
            <v>1709 J</v>
          </cell>
          <cell r="B3878">
            <v>11781</v>
          </cell>
          <cell r="C3878">
            <v>45756</v>
          </cell>
          <cell r="D3878" t="str">
            <v>JILANI</v>
          </cell>
          <cell r="E3878" t="str">
            <v>سروس انڈسٹری گجرات</v>
          </cell>
        </row>
        <row r="3879">
          <cell r="A3879" t="str">
            <v>1710 J</v>
          </cell>
          <cell r="B3879">
            <v>11782</v>
          </cell>
          <cell r="C3879">
            <v>45756</v>
          </cell>
          <cell r="D3879" t="str">
            <v>JILANI</v>
          </cell>
          <cell r="E3879" t="str">
            <v>سروس انڈسٹری گجرات</v>
          </cell>
        </row>
        <row r="3880">
          <cell r="A3880" t="str">
            <v>1711 J</v>
          </cell>
          <cell r="B3880">
            <v>11783</v>
          </cell>
          <cell r="C3880">
            <v>45756</v>
          </cell>
          <cell r="D3880" t="str">
            <v>JILANI</v>
          </cell>
          <cell r="E3880" t="str">
            <v xml:space="preserve">فضل داد ٹیکسٹائل راولپنڈی </v>
          </cell>
        </row>
        <row r="3881">
          <cell r="A3881" t="str">
            <v>1712 J</v>
          </cell>
          <cell r="B3881"/>
          <cell r="C3881">
            <v>45755</v>
          </cell>
          <cell r="D3881" t="str">
            <v>OTHERS</v>
          </cell>
          <cell r="E3881" t="str">
            <v xml:space="preserve">جیلانی پولی یونٹ 2 </v>
          </cell>
        </row>
        <row r="3882">
          <cell r="A3882" t="str">
            <v>1713 J</v>
          </cell>
          <cell r="B3882"/>
          <cell r="C3882">
            <v>45755</v>
          </cell>
          <cell r="D3882" t="str">
            <v>OTHERS</v>
          </cell>
          <cell r="E3882" t="str">
            <v xml:space="preserve">جیلانی پولی یونٹ 2 </v>
          </cell>
        </row>
        <row r="3883">
          <cell r="A3883" t="str">
            <v>1714 J</v>
          </cell>
          <cell r="B3883">
            <v>11784</v>
          </cell>
          <cell r="C3883">
            <v>45755</v>
          </cell>
          <cell r="D3883" t="str">
            <v>OTHERS</v>
          </cell>
          <cell r="E3883" t="str">
            <v>محبوب پرنٹرز گوجرانوالہ</v>
          </cell>
        </row>
        <row r="3884">
          <cell r="A3884" t="str">
            <v>1715 J</v>
          </cell>
          <cell r="B3884">
            <v>11784</v>
          </cell>
          <cell r="C3884">
            <v>45755</v>
          </cell>
          <cell r="D3884" t="str">
            <v>OTHERS</v>
          </cell>
          <cell r="E3884" t="str">
            <v>محبوب پرنٹرز گوجرانوالہ</v>
          </cell>
        </row>
        <row r="3885">
          <cell r="A3885">
            <v>2724</v>
          </cell>
          <cell r="B3885">
            <v>1707</v>
          </cell>
          <cell r="C3885">
            <v>45759</v>
          </cell>
          <cell r="D3885" t="str">
            <v>JILANI</v>
          </cell>
          <cell r="E3885" t="str">
            <v>USMAN AMIN FINA</v>
          </cell>
        </row>
        <row r="3886">
          <cell r="A3886">
            <v>2725</v>
          </cell>
          <cell r="B3886"/>
          <cell r="C3886">
            <v>45759</v>
          </cell>
          <cell r="D3886" t="str">
            <v>JILANI</v>
          </cell>
          <cell r="E3886" t="str">
            <v>JILANI PLASTIC</v>
          </cell>
        </row>
        <row r="3887">
          <cell r="A3887">
            <v>2726</v>
          </cell>
          <cell r="B3887"/>
          <cell r="C3887">
            <v>45759</v>
          </cell>
          <cell r="D3887" t="str">
            <v>JILANI</v>
          </cell>
          <cell r="E3887" t="str">
            <v>JILANI PLASTIC</v>
          </cell>
        </row>
        <row r="3888">
          <cell r="A3888" t="str">
            <v>1716 J</v>
          </cell>
          <cell r="B3888"/>
          <cell r="C3888">
            <v>45758</v>
          </cell>
          <cell r="D3888" t="str">
            <v>OTHERS</v>
          </cell>
          <cell r="E3888" t="str">
            <v>جیلانی پلاسٹک</v>
          </cell>
        </row>
        <row r="3889">
          <cell r="A3889" t="str">
            <v>1717 J</v>
          </cell>
          <cell r="B3889"/>
          <cell r="C3889">
            <v>45758</v>
          </cell>
          <cell r="D3889" t="str">
            <v>OTHERS</v>
          </cell>
          <cell r="E3889" t="str">
            <v>جیلانی پلاسٹک</v>
          </cell>
        </row>
        <row r="3890">
          <cell r="A3890" t="str">
            <v>1718 J</v>
          </cell>
          <cell r="B3890"/>
          <cell r="C3890">
            <v>45758</v>
          </cell>
          <cell r="D3890" t="str">
            <v>OTHERS</v>
          </cell>
          <cell r="E3890" t="str">
            <v>جیلانی پلاسٹک</v>
          </cell>
        </row>
        <row r="3891">
          <cell r="A3891" t="str">
            <v>1719 J</v>
          </cell>
          <cell r="B3891"/>
          <cell r="C3891">
            <v>45758</v>
          </cell>
          <cell r="D3891" t="str">
            <v>OTHERS</v>
          </cell>
          <cell r="E3891" t="str">
            <v>جیلانی پلاسٹک</v>
          </cell>
        </row>
        <row r="3892">
          <cell r="A3892" t="str">
            <v>1720 J</v>
          </cell>
          <cell r="B3892">
            <v>11785</v>
          </cell>
          <cell r="C3892">
            <v>45757</v>
          </cell>
          <cell r="D3892" t="str">
            <v>JILANI</v>
          </cell>
          <cell r="E3892" t="str">
            <v>طارق شوز نوشہرہ ویرکاں</v>
          </cell>
        </row>
        <row r="3893">
          <cell r="A3893" t="str">
            <v>1721 J</v>
          </cell>
          <cell r="B3893">
            <v>11786</v>
          </cell>
          <cell r="C3893">
            <v>45757</v>
          </cell>
          <cell r="D3893" t="str">
            <v>JILANI</v>
          </cell>
          <cell r="E3893" t="str">
            <v>طارق شوز نوشہرہ ویرکاں</v>
          </cell>
        </row>
        <row r="3894">
          <cell r="A3894" t="str">
            <v>1722 J</v>
          </cell>
          <cell r="B3894">
            <v>11787</v>
          </cell>
          <cell r="C3894">
            <v>45757</v>
          </cell>
          <cell r="D3894" t="str">
            <v>JILANI</v>
          </cell>
          <cell r="E3894" t="str">
            <v>پیراڈائز ڈرائی کلینرز چکوال</v>
          </cell>
        </row>
        <row r="3895">
          <cell r="A3895" t="str">
            <v>1723 J</v>
          </cell>
          <cell r="B3895">
            <v>11788</v>
          </cell>
          <cell r="C3895">
            <v>45757</v>
          </cell>
          <cell r="D3895" t="str">
            <v>JILANI</v>
          </cell>
          <cell r="E3895" t="str">
            <v>کراچی برانڈ سٹوڈیو لاہور</v>
          </cell>
        </row>
        <row r="3896">
          <cell r="A3896" t="str">
            <v>1724 J</v>
          </cell>
          <cell r="B3896">
            <v>11788</v>
          </cell>
          <cell r="C3896">
            <v>45757</v>
          </cell>
          <cell r="D3896" t="str">
            <v>JILANI</v>
          </cell>
          <cell r="E3896" t="str">
            <v>کراچی برانڈ سٹوڈیو لاہور</v>
          </cell>
        </row>
        <row r="3897">
          <cell r="A3897" t="str">
            <v>1725 J</v>
          </cell>
          <cell r="B3897">
            <v>11788</v>
          </cell>
          <cell r="C3897">
            <v>45757</v>
          </cell>
          <cell r="D3897" t="str">
            <v>JILANI</v>
          </cell>
          <cell r="E3897" t="str">
            <v>کراچی برانڈ سٹوڈیو لاہور</v>
          </cell>
        </row>
        <row r="3898">
          <cell r="A3898" t="str">
            <v>1726 J</v>
          </cell>
          <cell r="B3898">
            <v>11789</v>
          </cell>
          <cell r="C3898">
            <v>45757</v>
          </cell>
          <cell r="D3898" t="str">
            <v>JILANI</v>
          </cell>
          <cell r="E3898" t="str">
            <v>فاروق ٹیکسٹائل لاہور</v>
          </cell>
        </row>
        <row r="3899">
          <cell r="A3899" t="str">
            <v>1727 J</v>
          </cell>
          <cell r="B3899">
            <v>11790</v>
          </cell>
          <cell r="C3899">
            <v>45757</v>
          </cell>
          <cell r="D3899" t="str">
            <v>JILANI</v>
          </cell>
          <cell r="E3899" t="str">
            <v>ایم بی نلکی لالہ موسی</v>
          </cell>
        </row>
        <row r="3900">
          <cell r="A3900" t="str">
            <v>1728 J</v>
          </cell>
          <cell r="B3900">
            <v>11791</v>
          </cell>
          <cell r="C3900">
            <v>45757</v>
          </cell>
          <cell r="D3900" t="str">
            <v>JILANI</v>
          </cell>
          <cell r="E3900" t="str">
            <v>حجاز ہسپتال لاہور</v>
          </cell>
        </row>
        <row r="3901">
          <cell r="A3901" t="str">
            <v>1729 J</v>
          </cell>
          <cell r="B3901">
            <v>11792</v>
          </cell>
          <cell r="C3901">
            <v>45757</v>
          </cell>
          <cell r="D3901" t="str">
            <v>JILANI</v>
          </cell>
          <cell r="E3901" t="str">
            <v>مدنی پرنٹنگ پریس نارنگ منڈی</v>
          </cell>
        </row>
        <row r="3902">
          <cell r="A3902" t="str">
            <v>1730 J</v>
          </cell>
          <cell r="B3902">
            <v>11792</v>
          </cell>
          <cell r="C3902">
            <v>45757</v>
          </cell>
          <cell r="D3902" t="str">
            <v>JILANI</v>
          </cell>
          <cell r="E3902" t="str">
            <v>مدنئ پرنٹنگ پریس نارنگ منڈی</v>
          </cell>
        </row>
        <row r="3903">
          <cell r="A3903" t="str">
            <v>1731 J</v>
          </cell>
          <cell r="B3903">
            <v>11793</v>
          </cell>
          <cell r="C3903">
            <v>45757</v>
          </cell>
          <cell r="D3903" t="str">
            <v>JILANI</v>
          </cell>
          <cell r="E3903" t="str">
            <v>برجر پینٹ لاہور</v>
          </cell>
        </row>
        <row r="3904">
          <cell r="A3904" t="str">
            <v>1732 J</v>
          </cell>
          <cell r="B3904">
            <v>11794</v>
          </cell>
          <cell r="C3904">
            <v>45757</v>
          </cell>
          <cell r="D3904" t="str">
            <v>JILANI</v>
          </cell>
          <cell r="E3904" t="str">
            <v>برجر پینٹ لاہور</v>
          </cell>
        </row>
        <row r="3905">
          <cell r="A3905" t="str">
            <v>1733 J</v>
          </cell>
          <cell r="B3905">
            <v>11795</v>
          </cell>
          <cell r="C3905">
            <v>45757</v>
          </cell>
          <cell r="D3905" t="str">
            <v>JILANI</v>
          </cell>
          <cell r="E3905" t="str">
            <v>توصیف بٹ گوجرانوالہ</v>
          </cell>
        </row>
        <row r="3906">
          <cell r="A3906" t="str">
            <v>1734 J</v>
          </cell>
          <cell r="B3906">
            <v>11796</v>
          </cell>
          <cell r="C3906">
            <v>45757</v>
          </cell>
          <cell r="D3906" t="str">
            <v>JILANI</v>
          </cell>
          <cell r="E3906" t="str">
            <v>احمد ٹریڈرز بدامی باغ لاہور</v>
          </cell>
        </row>
        <row r="3907">
          <cell r="A3907" t="str">
            <v>1735 J</v>
          </cell>
          <cell r="B3907">
            <v>11796</v>
          </cell>
          <cell r="C3907">
            <v>45757</v>
          </cell>
          <cell r="D3907" t="str">
            <v>JILANI</v>
          </cell>
          <cell r="E3907" t="str">
            <v>احمد ٹریڈرز بدامی باغ لاہور</v>
          </cell>
        </row>
        <row r="3908">
          <cell r="A3908" t="str">
            <v>1736 J</v>
          </cell>
          <cell r="B3908">
            <v>11796</v>
          </cell>
          <cell r="C3908">
            <v>45757</v>
          </cell>
          <cell r="D3908" t="str">
            <v>JILANI</v>
          </cell>
          <cell r="E3908" t="str">
            <v>احمد ٹریڈرز بدامی باغ لاہور</v>
          </cell>
        </row>
        <row r="3909">
          <cell r="A3909" t="str">
            <v>1737 J</v>
          </cell>
          <cell r="B3909">
            <v>11797</v>
          </cell>
          <cell r="C3909">
            <v>45757</v>
          </cell>
          <cell r="D3909" t="str">
            <v>JILANI</v>
          </cell>
          <cell r="E3909" t="str">
            <v>شیخ اصغر علی اینڈ سنز سرگودھا</v>
          </cell>
        </row>
        <row r="3910">
          <cell r="A3910" t="str">
            <v>1738 J</v>
          </cell>
          <cell r="B3910">
            <v>11798</v>
          </cell>
          <cell r="C3910">
            <v>45757</v>
          </cell>
          <cell r="D3910" t="str">
            <v>JILANI</v>
          </cell>
          <cell r="E3910" t="str">
            <v>ہیڈ آفس لاہور کئیر آف بن یوسف</v>
          </cell>
        </row>
        <row r="3911">
          <cell r="A3911" t="str">
            <v>1739 J</v>
          </cell>
          <cell r="B3911">
            <v>11799</v>
          </cell>
          <cell r="C3911">
            <v>45757</v>
          </cell>
          <cell r="D3911" t="str">
            <v>JILANI</v>
          </cell>
          <cell r="E3911" t="str">
            <v>عثمان عارف بٹ گوجرانولہ</v>
          </cell>
        </row>
        <row r="3912">
          <cell r="A3912" t="str">
            <v>1740 J</v>
          </cell>
          <cell r="B3912">
            <v>11800</v>
          </cell>
          <cell r="C3912">
            <v>45757</v>
          </cell>
          <cell r="D3912" t="str">
            <v>JILANI</v>
          </cell>
          <cell r="E3912" t="str">
            <v>شفعی ٹیکسل لمیٹڈ</v>
          </cell>
        </row>
        <row r="3913">
          <cell r="A3913" t="str">
            <v>248 R</v>
          </cell>
          <cell r="B3913">
            <v>672</v>
          </cell>
          <cell r="C3913">
            <v>45756</v>
          </cell>
          <cell r="D3913" t="str">
            <v>REFLECTPACK</v>
          </cell>
          <cell r="E3913" t="str">
            <v>ریفلیکٹ پیک</v>
          </cell>
        </row>
        <row r="3914">
          <cell r="A3914">
            <v>2727</v>
          </cell>
          <cell r="B3914"/>
          <cell r="C3914">
            <v>45761</v>
          </cell>
          <cell r="D3914" t="str">
            <v>JILANI</v>
          </cell>
          <cell r="E3914" t="str">
            <v>JILANI PLASTIC</v>
          </cell>
        </row>
        <row r="3915">
          <cell r="A3915" t="str">
            <v>1741 J</v>
          </cell>
          <cell r="B3915">
            <v>11801</v>
          </cell>
          <cell r="C3915">
            <v>45759</v>
          </cell>
          <cell r="D3915" t="str">
            <v>JILANI</v>
          </cell>
          <cell r="E3915" t="str">
            <v>ایم عمران پاکستان مارکیٹ لاہور</v>
          </cell>
        </row>
        <row r="3916">
          <cell r="A3916" t="str">
            <v>1742 J</v>
          </cell>
          <cell r="B3916">
            <v>11802</v>
          </cell>
          <cell r="C3916">
            <v>45759</v>
          </cell>
          <cell r="D3916" t="str">
            <v>JILANI</v>
          </cell>
          <cell r="E3916" t="str">
            <v>کے پی کے کمیونیکشن+فورس موبائل پشاور نیو</v>
          </cell>
        </row>
        <row r="3917">
          <cell r="A3917" t="str">
            <v>1743 J</v>
          </cell>
          <cell r="B3917">
            <v>11802</v>
          </cell>
          <cell r="C3917">
            <v>45759</v>
          </cell>
          <cell r="D3917" t="str">
            <v>JILANI</v>
          </cell>
          <cell r="E3917" t="str">
            <v>کے پی کے کمیونیکشن+فورس موبائل پشاور نیو</v>
          </cell>
        </row>
        <row r="3918">
          <cell r="A3918" t="str">
            <v>1744 J</v>
          </cell>
          <cell r="B3918">
            <v>11803</v>
          </cell>
          <cell r="C3918">
            <v>45759</v>
          </cell>
          <cell r="D3918" t="str">
            <v>JILANI</v>
          </cell>
          <cell r="E3918" t="str">
            <v>سلطانیہ فیبرکس جہلم</v>
          </cell>
        </row>
        <row r="3919">
          <cell r="A3919" t="str">
            <v>1745 J</v>
          </cell>
          <cell r="B3919">
            <v>11803</v>
          </cell>
          <cell r="C3919">
            <v>45759</v>
          </cell>
          <cell r="D3919" t="str">
            <v>JILANI</v>
          </cell>
          <cell r="E3919" t="str">
            <v>سلطانیہ فیبرکس جہلم</v>
          </cell>
        </row>
        <row r="3920">
          <cell r="A3920" t="str">
            <v>1746 J</v>
          </cell>
          <cell r="B3920">
            <v>11804</v>
          </cell>
          <cell r="C3920">
            <v>45759</v>
          </cell>
          <cell r="D3920" t="str">
            <v>JILANI</v>
          </cell>
          <cell r="E3920" t="str">
            <v>البابر گارمنٹس لاہور</v>
          </cell>
        </row>
        <row r="3921">
          <cell r="A3921" t="str">
            <v>1747 J</v>
          </cell>
          <cell r="B3921">
            <v>11805</v>
          </cell>
          <cell r="C3921">
            <v>45759</v>
          </cell>
          <cell r="D3921" t="str">
            <v>JILANI</v>
          </cell>
          <cell r="E3921" t="str">
            <v>انٹرنیشنل انڈسٹری لیمیٹڈ</v>
          </cell>
        </row>
        <row r="3922">
          <cell r="A3922" t="str">
            <v>1748 J</v>
          </cell>
          <cell r="B3922">
            <v>11806</v>
          </cell>
          <cell r="C3922">
            <v>45759</v>
          </cell>
          <cell r="D3922" t="str">
            <v>JILANI</v>
          </cell>
          <cell r="E3922" t="str">
            <v>وسیم شاپر ہاوس اعظم مارکیٹ</v>
          </cell>
        </row>
        <row r="3923">
          <cell r="A3923" t="str">
            <v>1749 J</v>
          </cell>
          <cell r="B3923">
            <v>11806</v>
          </cell>
          <cell r="C3923">
            <v>45759</v>
          </cell>
          <cell r="D3923" t="str">
            <v>JILANI</v>
          </cell>
          <cell r="E3923" t="str">
            <v>وسیم شاپر ہاوس اعظم مارکیٹ</v>
          </cell>
        </row>
        <row r="3924">
          <cell r="A3924" t="str">
            <v>1750 J</v>
          </cell>
          <cell r="B3924">
            <v>11806</v>
          </cell>
          <cell r="C3924">
            <v>45759</v>
          </cell>
          <cell r="D3924" t="str">
            <v>JILANI</v>
          </cell>
          <cell r="E3924" t="str">
            <v>وسیم شاپر ہاوس اعظم مارکیٹ</v>
          </cell>
        </row>
        <row r="3925">
          <cell r="A3925" t="str">
            <v>1751 J</v>
          </cell>
          <cell r="B3925">
            <v>11807</v>
          </cell>
          <cell r="C3925">
            <v>45759</v>
          </cell>
          <cell r="D3925" t="str">
            <v>JILANI</v>
          </cell>
          <cell r="E3925" t="str">
            <v>ابراہیم فلٹر انڈسٹری(SMC.PVT.LTD)</v>
          </cell>
        </row>
        <row r="3926">
          <cell r="A3926" t="str">
            <v>1752 J</v>
          </cell>
          <cell r="B3926"/>
          <cell r="C3926">
            <v>45760</v>
          </cell>
          <cell r="D3926" t="str">
            <v>OTHERS</v>
          </cell>
          <cell r="E3926" t="str">
            <v>جیلانی پولی سٹاک</v>
          </cell>
        </row>
        <row r="3927">
          <cell r="A3927" t="str">
            <v>1753 J</v>
          </cell>
          <cell r="B3927"/>
          <cell r="C3927">
            <v>45760</v>
          </cell>
          <cell r="D3927" t="str">
            <v>OTHERS</v>
          </cell>
          <cell r="E3927" t="str">
            <v>جیلانی پولی سٹاک</v>
          </cell>
        </row>
        <row r="3928">
          <cell r="A3928" t="str">
            <v>1754 J</v>
          </cell>
          <cell r="B3928">
            <v>11808</v>
          </cell>
          <cell r="C3928">
            <v>45760</v>
          </cell>
          <cell r="D3928" t="str">
            <v>JILANI</v>
          </cell>
          <cell r="E3928" t="str">
            <v>زاہد شال اینڈ عبایہ گجرانوالہ</v>
          </cell>
        </row>
        <row r="3929">
          <cell r="A3929" t="str">
            <v>1755 J</v>
          </cell>
          <cell r="B3929">
            <v>11809</v>
          </cell>
          <cell r="C3929">
            <v>45760</v>
          </cell>
          <cell r="D3929" t="str">
            <v>JILANI</v>
          </cell>
          <cell r="E3929" t="str">
            <v>زاہد شال اینڈ عبایہ گجرانوالہ</v>
          </cell>
        </row>
        <row r="3930">
          <cell r="A3930" t="str">
            <v>1756 J</v>
          </cell>
          <cell r="B3930">
            <v>11810</v>
          </cell>
          <cell r="C3930">
            <v>45760</v>
          </cell>
          <cell r="D3930" t="str">
            <v>JILANI</v>
          </cell>
          <cell r="E3930" t="str">
            <v>احسان کاٹن پراڈکٹس</v>
          </cell>
        </row>
        <row r="3931">
          <cell r="A3931" t="str">
            <v>1757 J</v>
          </cell>
          <cell r="B3931">
            <v>11810</v>
          </cell>
          <cell r="C3931">
            <v>45760</v>
          </cell>
          <cell r="D3931" t="str">
            <v>JILANI</v>
          </cell>
          <cell r="E3931" t="str">
            <v>احسان کاٹن پراڈکٹس</v>
          </cell>
        </row>
        <row r="3932">
          <cell r="A3932" t="str">
            <v>1758 J</v>
          </cell>
          <cell r="B3932">
            <v>11811</v>
          </cell>
          <cell r="C3932">
            <v>45760</v>
          </cell>
          <cell r="D3932" t="str">
            <v>JILANI</v>
          </cell>
          <cell r="E3932" t="str">
            <v>احسان کاٹن پراڈکٹس</v>
          </cell>
        </row>
        <row r="3933">
          <cell r="A3933" t="str">
            <v>1759 J</v>
          </cell>
          <cell r="B3933">
            <v>11811</v>
          </cell>
          <cell r="C3933">
            <v>45760</v>
          </cell>
          <cell r="D3933" t="str">
            <v>JILANI</v>
          </cell>
          <cell r="E3933" t="str">
            <v>احسان کاٹن پراڈکٹس</v>
          </cell>
        </row>
        <row r="3934">
          <cell r="A3934" t="str">
            <v>1760 J</v>
          </cell>
          <cell r="B3934">
            <v>11811</v>
          </cell>
          <cell r="C3934">
            <v>45760</v>
          </cell>
          <cell r="D3934" t="str">
            <v>JILANI</v>
          </cell>
          <cell r="E3934" t="str">
            <v>احسان کاٹن پراڈکٹس</v>
          </cell>
        </row>
        <row r="3935">
          <cell r="A3935" t="str">
            <v>1761 J</v>
          </cell>
          <cell r="B3935">
            <v>11811</v>
          </cell>
          <cell r="C3935">
            <v>45760</v>
          </cell>
          <cell r="D3935" t="str">
            <v>JILANI</v>
          </cell>
          <cell r="E3935" t="str">
            <v>احسان کاٹن پراڈکٹس</v>
          </cell>
        </row>
        <row r="3936">
          <cell r="A3936" t="str">
            <v>1762 J</v>
          </cell>
          <cell r="B3936">
            <v>11812</v>
          </cell>
          <cell r="C3936">
            <v>45760</v>
          </cell>
          <cell r="D3936" t="str">
            <v>JILANI</v>
          </cell>
          <cell r="E3936" t="str">
            <v>ایچ ایم ڈی ٹریڈرز</v>
          </cell>
        </row>
        <row r="3937">
          <cell r="A3937" t="str">
            <v>1763 J</v>
          </cell>
          <cell r="B3937">
            <v>11813</v>
          </cell>
          <cell r="C3937">
            <v>45760</v>
          </cell>
          <cell r="D3937" t="str">
            <v>JILANI</v>
          </cell>
          <cell r="E3937" t="str">
            <v>محبوب پرنٹرز گوجرانوالہ</v>
          </cell>
        </row>
        <row r="3938">
          <cell r="A3938" t="str">
            <v>1764 J</v>
          </cell>
          <cell r="B3938">
            <v>11814</v>
          </cell>
          <cell r="C3938">
            <v>45760</v>
          </cell>
          <cell r="D3938" t="str">
            <v>JILANI</v>
          </cell>
          <cell r="E3938" t="str">
            <v>عالم پرنٹرز بٹ خیلہ</v>
          </cell>
        </row>
        <row r="3939">
          <cell r="A3939" t="str">
            <v>1765 J</v>
          </cell>
          <cell r="B3939">
            <v>11815</v>
          </cell>
          <cell r="C3939">
            <v>45760</v>
          </cell>
          <cell r="D3939" t="str">
            <v>JILANI</v>
          </cell>
          <cell r="E3939" t="str">
            <v>وزیر سوٹنگ سنٹر لاہور</v>
          </cell>
        </row>
        <row r="3940">
          <cell r="A3940" t="str">
            <v>1766 J</v>
          </cell>
          <cell r="B3940">
            <v>11816</v>
          </cell>
          <cell r="C3940">
            <v>45760</v>
          </cell>
          <cell r="D3940" t="str">
            <v>JILANI</v>
          </cell>
          <cell r="E3940" t="str">
            <v>وزیر سوٹنگ سنٹر لاہور</v>
          </cell>
        </row>
        <row r="3941">
          <cell r="A3941" t="str">
            <v>1767 J</v>
          </cell>
          <cell r="B3941">
            <v>11817</v>
          </cell>
          <cell r="C3941">
            <v>45760</v>
          </cell>
          <cell r="D3941" t="str">
            <v>JILANI</v>
          </cell>
          <cell r="E3941" t="str">
            <v>افورڈ سپر سٹور لیہ</v>
          </cell>
        </row>
        <row r="3942">
          <cell r="A3942" t="str">
            <v>1768 J</v>
          </cell>
          <cell r="B3942">
            <v>11817</v>
          </cell>
          <cell r="C3942">
            <v>45760</v>
          </cell>
          <cell r="D3942" t="str">
            <v>JILANI</v>
          </cell>
          <cell r="E3942" t="str">
            <v>افورڈ سپر سٹور لیہ</v>
          </cell>
        </row>
        <row r="3943">
          <cell r="A3943" t="str">
            <v>1769 J</v>
          </cell>
          <cell r="B3943">
            <v>11817</v>
          </cell>
          <cell r="C3943">
            <v>45760</v>
          </cell>
          <cell r="D3943" t="str">
            <v>JILANI</v>
          </cell>
          <cell r="E3943" t="str">
            <v>افورڈ سپر سٹور لیہ</v>
          </cell>
        </row>
        <row r="3944">
          <cell r="A3944" t="str">
            <v>1770 J</v>
          </cell>
          <cell r="B3944">
            <v>11817</v>
          </cell>
          <cell r="C3944">
            <v>45760</v>
          </cell>
          <cell r="D3944" t="str">
            <v>JILANI</v>
          </cell>
          <cell r="E3944" t="str">
            <v>افورڈ سپر سٹور لیہ</v>
          </cell>
        </row>
        <row r="3945">
          <cell r="A3945" t="str">
            <v>1771 J</v>
          </cell>
          <cell r="B3945">
            <v>11818</v>
          </cell>
          <cell r="C3945">
            <v>45760</v>
          </cell>
          <cell r="D3945" t="str">
            <v>JILANI</v>
          </cell>
          <cell r="E3945" t="str">
            <v>عمر فیبرکس جہلم</v>
          </cell>
        </row>
        <row r="3946">
          <cell r="A3946" t="str">
            <v>1772 J</v>
          </cell>
          <cell r="B3946">
            <v>11819</v>
          </cell>
          <cell r="C3946">
            <v>45760</v>
          </cell>
          <cell r="D3946" t="str">
            <v>JILANI</v>
          </cell>
          <cell r="E3946" t="str">
            <v>عمر فاروق سیل ٹیکس</v>
          </cell>
        </row>
        <row r="3947">
          <cell r="A3947" t="str">
            <v>1773 J</v>
          </cell>
          <cell r="B3947">
            <v>11820</v>
          </cell>
          <cell r="C3947">
            <v>45760</v>
          </cell>
          <cell r="D3947" t="str">
            <v>JILANI</v>
          </cell>
          <cell r="E3947" t="str">
            <v>فینسی گارمنٹس کامونکی</v>
          </cell>
        </row>
        <row r="3948">
          <cell r="A3948" t="str">
            <v>1774 J</v>
          </cell>
          <cell r="B3948">
            <v>11820</v>
          </cell>
          <cell r="C3948">
            <v>45760</v>
          </cell>
          <cell r="D3948" t="str">
            <v>JILANI</v>
          </cell>
          <cell r="E3948" t="str">
            <v>فینسی گارمنٹس کامونکی</v>
          </cell>
        </row>
        <row r="3949">
          <cell r="A3949" t="str">
            <v>1347 F</v>
          </cell>
          <cell r="B3949"/>
          <cell r="C3949">
            <v>45758</v>
          </cell>
          <cell r="D3949" t="str">
            <v>فینا</v>
          </cell>
          <cell r="E3949" t="str">
            <v>عثمان امین</v>
          </cell>
        </row>
        <row r="3950">
          <cell r="A3950" t="str">
            <v>1348 F</v>
          </cell>
          <cell r="B3950"/>
          <cell r="C3950">
            <v>45758</v>
          </cell>
          <cell r="D3950" t="str">
            <v>فینا</v>
          </cell>
          <cell r="E3950" t="str">
            <v>عثمان امین</v>
          </cell>
        </row>
        <row r="3951">
          <cell r="A3951" t="str">
            <v>1349 F</v>
          </cell>
          <cell r="B3951"/>
          <cell r="C3951">
            <v>45758</v>
          </cell>
          <cell r="D3951" t="str">
            <v>فینا</v>
          </cell>
          <cell r="E3951" t="str">
            <v>عثمان امین</v>
          </cell>
        </row>
        <row r="3952">
          <cell r="A3952" t="str">
            <v>1350 F</v>
          </cell>
          <cell r="B3952"/>
          <cell r="C3952">
            <v>45758</v>
          </cell>
          <cell r="D3952" t="str">
            <v>فینا</v>
          </cell>
          <cell r="E3952" t="str">
            <v>عثمان امین</v>
          </cell>
        </row>
        <row r="3953">
          <cell r="A3953" t="str">
            <v>1351 F</v>
          </cell>
          <cell r="B3953"/>
          <cell r="C3953">
            <v>45758</v>
          </cell>
          <cell r="D3953" t="str">
            <v>فینا</v>
          </cell>
          <cell r="E3953" t="str">
            <v>عثمان امین</v>
          </cell>
        </row>
        <row r="3954">
          <cell r="A3954" t="str">
            <v>1352 F</v>
          </cell>
          <cell r="B3954"/>
          <cell r="C3954">
            <v>45759</v>
          </cell>
          <cell r="D3954" t="str">
            <v>فینا</v>
          </cell>
          <cell r="E3954" t="str">
            <v>عثمان امین</v>
          </cell>
        </row>
        <row r="3955">
          <cell r="A3955" t="str">
            <v>1353 F</v>
          </cell>
          <cell r="B3955"/>
          <cell r="C3955">
            <v>45759</v>
          </cell>
          <cell r="D3955" t="str">
            <v>فینا</v>
          </cell>
          <cell r="E3955" t="str">
            <v>عثمان امین</v>
          </cell>
        </row>
        <row r="3956">
          <cell r="A3956" t="str">
            <v>1354 F</v>
          </cell>
          <cell r="B3956"/>
          <cell r="C3956">
            <v>45759</v>
          </cell>
          <cell r="D3956" t="str">
            <v>فینا</v>
          </cell>
          <cell r="E3956" t="str">
            <v>عثمان امین</v>
          </cell>
        </row>
        <row r="3957">
          <cell r="A3957" t="str">
            <v>1355 F</v>
          </cell>
          <cell r="B3957"/>
          <cell r="C3957">
            <v>45759</v>
          </cell>
          <cell r="D3957" t="str">
            <v>فینا</v>
          </cell>
          <cell r="E3957" t="str">
            <v>عثمان امین</v>
          </cell>
        </row>
        <row r="3958">
          <cell r="A3958" t="str">
            <v>1356 F</v>
          </cell>
          <cell r="B3958"/>
          <cell r="C3958">
            <v>45759</v>
          </cell>
          <cell r="D3958" t="str">
            <v>فینا</v>
          </cell>
          <cell r="E3958" t="str">
            <v>عثمان امین</v>
          </cell>
        </row>
        <row r="3959">
          <cell r="A3959" t="str">
            <v>1357 F</v>
          </cell>
          <cell r="B3959"/>
          <cell r="C3959">
            <v>45759</v>
          </cell>
          <cell r="D3959" t="str">
            <v>فینا</v>
          </cell>
          <cell r="E3959" t="str">
            <v>عثمان امین</v>
          </cell>
        </row>
        <row r="3960">
          <cell r="A3960" t="str">
            <v>1358 F</v>
          </cell>
          <cell r="B3960"/>
          <cell r="C3960">
            <v>45759</v>
          </cell>
          <cell r="D3960" t="str">
            <v>فینا</v>
          </cell>
          <cell r="E3960" t="str">
            <v>عثمان امین</v>
          </cell>
        </row>
        <row r="3961">
          <cell r="A3961" t="str">
            <v>1775 J</v>
          </cell>
          <cell r="B3961">
            <v>11821</v>
          </cell>
          <cell r="C3961">
            <v>45762</v>
          </cell>
          <cell r="D3961" t="str">
            <v>JILANI</v>
          </cell>
          <cell r="E3961" t="str">
            <v>عالم پرنٹرز بٹ خیلہ</v>
          </cell>
        </row>
        <row r="3962">
          <cell r="A3962" t="str">
            <v>1776 J</v>
          </cell>
          <cell r="B3962">
            <v>11822</v>
          </cell>
          <cell r="C3962">
            <v>45762</v>
          </cell>
          <cell r="D3962" t="str">
            <v>JILANI</v>
          </cell>
          <cell r="E3962" t="str">
            <v>انجم کلاتھ ہاؤس سمریال</v>
          </cell>
        </row>
        <row r="3963">
          <cell r="A3963" t="str">
            <v>1777 J</v>
          </cell>
          <cell r="B3963">
            <v>11823</v>
          </cell>
          <cell r="C3963">
            <v>45762</v>
          </cell>
          <cell r="D3963" t="str">
            <v>JILANI</v>
          </cell>
          <cell r="E3963" t="str">
            <v>ایم عمران پاکستان مارکیٹ لاہور</v>
          </cell>
        </row>
        <row r="3964">
          <cell r="A3964" t="str">
            <v>1778 J</v>
          </cell>
          <cell r="B3964">
            <v>11824</v>
          </cell>
          <cell r="C3964">
            <v>45762</v>
          </cell>
          <cell r="D3964" t="str">
            <v>JILANI</v>
          </cell>
          <cell r="E3964" t="str">
            <v>رحمت بیکرز ساہیوال</v>
          </cell>
        </row>
        <row r="3965">
          <cell r="A3965" t="str">
            <v>1779 J</v>
          </cell>
          <cell r="B3965">
            <v>11825</v>
          </cell>
          <cell r="C3965">
            <v>45762</v>
          </cell>
          <cell r="D3965" t="str">
            <v>JILANI</v>
          </cell>
          <cell r="E3965" t="str">
            <v>رحمت بیکرز ساہیوال</v>
          </cell>
        </row>
        <row r="3966">
          <cell r="A3966" t="str">
            <v>1780 J</v>
          </cell>
          <cell r="B3966">
            <v>11826</v>
          </cell>
          <cell r="C3966">
            <v>45762</v>
          </cell>
          <cell r="D3966" t="str">
            <v>JILANI</v>
          </cell>
          <cell r="E3966" t="str">
            <v>نیشنل ڈرائی کلینرز اوکاڑہ</v>
          </cell>
        </row>
        <row r="3967">
          <cell r="A3967" t="str">
            <v>1781 J</v>
          </cell>
          <cell r="B3967">
            <v>11827</v>
          </cell>
          <cell r="C3967">
            <v>45762</v>
          </cell>
          <cell r="D3967" t="str">
            <v>JILANI</v>
          </cell>
          <cell r="E3967" t="str">
            <v>محبوب پرنٹرز گوجرانوالہ</v>
          </cell>
        </row>
        <row r="3968">
          <cell r="A3968" t="str">
            <v>1782 J</v>
          </cell>
          <cell r="B3968">
            <v>11827</v>
          </cell>
          <cell r="C3968">
            <v>45762</v>
          </cell>
          <cell r="D3968" t="str">
            <v>JILANI</v>
          </cell>
          <cell r="E3968" t="str">
            <v>محبوب پرنٹرز گوجرانوالہ</v>
          </cell>
        </row>
        <row r="3969">
          <cell r="A3969" t="str">
            <v>1783 J</v>
          </cell>
          <cell r="B3969">
            <v>11827</v>
          </cell>
          <cell r="C3969">
            <v>45762</v>
          </cell>
          <cell r="D3969" t="str">
            <v>JILANI</v>
          </cell>
          <cell r="E3969" t="str">
            <v>محبوب پرنٹرز گوجرانوالہ</v>
          </cell>
        </row>
        <row r="3970">
          <cell r="A3970" t="str">
            <v>1784 J</v>
          </cell>
          <cell r="B3970">
            <v>11828</v>
          </cell>
          <cell r="C3970">
            <v>45762</v>
          </cell>
          <cell r="D3970" t="str">
            <v>JILANI</v>
          </cell>
          <cell r="E3970" t="str">
            <v>نہر کنارہ ہربنس پورہ لاہور</v>
          </cell>
        </row>
        <row r="3971">
          <cell r="A3971" t="str">
            <v>1785 J</v>
          </cell>
          <cell r="B3971">
            <v>11829</v>
          </cell>
          <cell r="C3971">
            <v>45762</v>
          </cell>
          <cell r="D3971" t="str">
            <v>JILANI</v>
          </cell>
          <cell r="E3971" t="str">
            <v>ابراہیم بیوٹی شاپ جہلم</v>
          </cell>
        </row>
        <row r="3972">
          <cell r="A3972" t="str">
            <v>1786 J</v>
          </cell>
          <cell r="B3972">
            <v>11829</v>
          </cell>
          <cell r="C3972">
            <v>45762</v>
          </cell>
          <cell r="D3972" t="str">
            <v>JILANI</v>
          </cell>
          <cell r="E3972" t="str">
            <v>ابراہیم بیوٹی شاپ جہلم</v>
          </cell>
        </row>
        <row r="3973">
          <cell r="A3973" t="str">
            <v>1787 J</v>
          </cell>
          <cell r="B3973">
            <v>11830</v>
          </cell>
          <cell r="C3973">
            <v>45762</v>
          </cell>
          <cell r="D3973" t="str">
            <v>JILANI</v>
          </cell>
          <cell r="E3973" t="str">
            <v>ابراہیم بیوٹی شاپ جہلم</v>
          </cell>
        </row>
        <row r="3974">
          <cell r="A3974" t="str">
            <v>1788 J</v>
          </cell>
          <cell r="B3974">
            <v>11831</v>
          </cell>
          <cell r="C3974">
            <v>45762</v>
          </cell>
          <cell r="D3974" t="str">
            <v>JILANI</v>
          </cell>
          <cell r="E3974" t="str">
            <v>گولڈن کیمیکل فیصل آباد</v>
          </cell>
        </row>
        <row r="3975">
          <cell r="A3975" t="str">
            <v>1789 J</v>
          </cell>
          <cell r="B3975">
            <v>11831</v>
          </cell>
          <cell r="C3975">
            <v>45762</v>
          </cell>
          <cell r="D3975" t="str">
            <v>JILANI</v>
          </cell>
          <cell r="E3975" t="str">
            <v>گولڈن کیمیکل فیصل آباد</v>
          </cell>
        </row>
        <row r="3976">
          <cell r="A3976" t="str">
            <v>1790 J</v>
          </cell>
          <cell r="B3976">
            <v>11832</v>
          </cell>
          <cell r="C3976">
            <v>45762</v>
          </cell>
          <cell r="D3976" t="str">
            <v>JILANI</v>
          </cell>
          <cell r="E3976" t="str">
            <v>گولڈن کیمیکل فیصل آباد</v>
          </cell>
        </row>
        <row r="3977">
          <cell r="A3977" t="str">
            <v>1791 J</v>
          </cell>
          <cell r="B3977">
            <v>11832</v>
          </cell>
          <cell r="C3977">
            <v>45762</v>
          </cell>
          <cell r="D3977" t="str">
            <v>JILANI</v>
          </cell>
          <cell r="E3977" t="str">
            <v>گولڈن کیمیکل فیصل آباد</v>
          </cell>
        </row>
        <row r="3978">
          <cell r="A3978" t="str">
            <v>1792 J</v>
          </cell>
          <cell r="B3978">
            <v>11833</v>
          </cell>
          <cell r="C3978">
            <v>45762</v>
          </cell>
          <cell r="D3978" t="str">
            <v>JILANI</v>
          </cell>
          <cell r="E3978" t="str">
            <v>گولڈن کیمیکل فیصل آباد</v>
          </cell>
        </row>
        <row r="3979">
          <cell r="A3979" t="str">
            <v>1793 J</v>
          </cell>
          <cell r="B3979">
            <v>11833</v>
          </cell>
          <cell r="C3979">
            <v>45762</v>
          </cell>
          <cell r="D3979" t="str">
            <v>JILANI</v>
          </cell>
          <cell r="E3979" t="str">
            <v>گولڈن کیمیکل فیصل آباد</v>
          </cell>
        </row>
        <row r="3980">
          <cell r="A3980" t="str">
            <v>1794 J</v>
          </cell>
          <cell r="B3980">
            <v>11834</v>
          </cell>
          <cell r="C3980">
            <v>45762</v>
          </cell>
          <cell r="D3980" t="str">
            <v>JILANI</v>
          </cell>
          <cell r="E3980" t="str">
            <v>گولڈن کیمیکل فیصل آباد</v>
          </cell>
        </row>
        <row r="3981">
          <cell r="A3981" t="str">
            <v>1795 J</v>
          </cell>
          <cell r="B3981">
            <v>11835</v>
          </cell>
          <cell r="C3981">
            <v>45762</v>
          </cell>
          <cell r="D3981" t="str">
            <v>JILANI</v>
          </cell>
          <cell r="E3981" t="str">
            <v>گولڈن کیمیکل فیصل آباد</v>
          </cell>
        </row>
        <row r="3982">
          <cell r="A3982" t="str">
            <v>1796 J</v>
          </cell>
          <cell r="B3982">
            <v>11836</v>
          </cell>
          <cell r="C3982">
            <v>45762</v>
          </cell>
          <cell r="D3982" t="str">
            <v>JILANI</v>
          </cell>
          <cell r="E3982" t="str">
            <v>گولڈن کیمیکل فیصل آباد</v>
          </cell>
        </row>
        <row r="3983">
          <cell r="A3983" t="str">
            <v>1797 J</v>
          </cell>
          <cell r="B3983">
            <v>11836</v>
          </cell>
          <cell r="C3983">
            <v>45762</v>
          </cell>
          <cell r="D3983" t="str">
            <v>JILANI</v>
          </cell>
          <cell r="E3983" t="str">
            <v>گولڈن کیمیکل فیصل آباد</v>
          </cell>
        </row>
        <row r="3984">
          <cell r="A3984" t="str">
            <v>1798 J</v>
          </cell>
          <cell r="B3984">
            <v>11844</v>
          </cell>
          <cell r="C3984">
            <v>45762</v>
          </cell>
          <cell r="D3984" t="str">
            <v>JILANI</v>
          </cell>
          <cell r="E3984" t="str">
            <v>شیخ اصغر علی اینڈ سنز سرگودھا</v>
          </cell>
        </row>
        <row r="3985">
          <cell r="A3985" t="str">
            <v>1799 J</v>
          </cell>
          <cell r="B3985">
            <v>11845</v>
          </cell>
          <cell r="C3985">
            <v>45762</v>
          </cell>
          <cell r="D3985" t="str">
            <v>JILANI</v>
          </cell>
          <cell r="E3985" t="str">
            <v>ہیڈ آفس لاہور</v>
          </cell>
        </row>
        <row r="3986">
          <cell r="A3986" t="str">
            <v>1800 J</v>
          </cell>
          <cell r="B3986">
            <v>11845</v>
          </cell>
          <cell r="C3986">
            <v>45762</v>
          </cell>
          <cell r="D3986" t="str">
            <v>JILANI</v>
          </cell>
          <cell r="E3986" t="str">
            <v>ہیڈ آفس لاہور</v>
          </cell>
        </row>
        <row r="3987">
          <cell r="A3987" t="str">
            <v>1359 F</v>
          </cell>
          <cell r="B3987"/>
          <cell r="C3987">
            <v>45761</v>
          </cell>
          <cell r="D3987" t="str">
            <v>فینا</v>
          </cell>
          <cell r="E3987" t="str">
            <v>عثمان امین</v>
          </cell>
        </row>
        <row r="3988">
          <cell r="A3988" t="str">
            <v>1360 F</v>
          </cell>
          <cell r="B3988"/>
          <cell r="C3988">
            <v>45761</v>
          </cell>
          <cell r="D3988" t="str">
            <v>فینا</v>
          </cell>
          <cell r="E3988" t="str">
            <v>عثمان امین</v>
          </cell>
        </row>
        <row r="3989">
          <cell r="A3989" t="str">
            <v>1361 F</v>
          </cell>
          <cell r="B3989"/>
          <cell r="C3989">
            <v>45761</v>
          </cell>
          <cell r="D3989" t="str">
            <v>فینا</v>
          </cell>
          <cell r="E3989" t="str">
            <v>عثمان امین</v>
          </cell>
        </row>
        <row r="3990">
          <cell r="A3990" t="str">
            <v>1362 F</v>
          </cell>
          <cell r="B3990"/>
          <cell r="C3990">
            <v>45761</v>
          </cell>
          <cell r="D3990" t="str">
            <v>فینا</v>
          </cell>
          <cell r="E3990" t="str">
            <v>عثمان امین</v>
          </cell>
        </row>
        <row r="3991">
          <cell r="A3991" t="str">
            <v>6761/1</v>
          </cell>
          <cell r="B3991">
            <v>6761</v>
          </cell>
          <cell r="C3991">
            <v>45752</v>
          </cell>
          <cell r="D3991" t="str">
            <v>یونس صاحب</v>
          </cell>
          <cell r="E3991" t="str">
            <v>اے ایس کلاتھ -اعظم مارکیٹ</v>
          </cell>
        </row>
        <row r="3992">
          <cell r="A3992" t="str">
            <v>6762/1</v>
          </cell>
          <cell r="B3992">
            <v>6762</v>
          </cell>
          <cell r="C3992">
            <v>45756</v>
          </cell>
          <cell r="D3992" t="str">
            <v>یونس صاحب</v>
          </cell>
          <cell r="E3992" t="str">
            <v>فیصل پلاسٹک فیصل آباد</v>
          </cell>
        </row>
        <row r="3993">
          <cell r="A3993" t="str">
            <v>6762/2</v>
          </cell>
          <cell r="B3993">
            <v>6762</v>
          </cell>
          <cell r="C3993">
            <v>45756</v>
          </cell>
          <cell r="D3993" t="str">
            <v>یونس صاحب</v>
          </cell>
          <cell r="E3993" t="str">
            <v>فیصل پلاسٹک فیصل آباد</v>
          </cell>
        </row>
        <row r="3994">
          <cell r="A3994" t="str">
            <v>6762/3</v>
          </cell>
          <cell r="B3994">
            <v>6762</v>
          </cell>
          <cell r="C3994">
            <v>45756</v>
          </cell>
          <cell r="D3994" t="str">
            <v>یونس صاحب</v>
          </cell>
          <cell r="E3994" t="str">
            <v>فیصل پلاسٹک فیصل آباد</v>
          </cell>
        </row>
        <row r="3995">
          <cell r="A3995" t="str">
            <v>6762/4</v>
          </cell>
          <cell r="B3995">
            <v>6762</v>
          </cell>
          <cell r="C3995">
            <v>45756</v>
          </cell>
          <cell r="D3995" t="str">
            <v>یونس صاحب</v>
          </cell>
          <cell r="E3995" t="str">
            <v>فیصل پلاسٹک فیصل آباد</v>
          </cell>
        </row>
        <row r="3996">
          <cell r="A3996" t="str">
            <v>6762/5</v>
          </cell>
          <cell r="B3996">
            <v>6762</v>
          </cell>
          <cell r="C3996">
            <v>45756</v>
          </cell>
          <cell r="D3996" t="str">
            <v>یونس صاحب</v>
          </cell>
          <cell r="E3996" t="str">
            <v>فیصل پلاسٹک فیصل آباد</v>
          </cell>
        </row>
        <row r="3997">
          <cell r="A3997" t="str">
            <v>6763/1</v>
          </cell>
          <cell r="B3997">
            <v>6763</v>
          </cell>
          <cell r="C3997">
            <v>45756</v>
          </cell>
          <cell r="D3997" t="str">
            <v>یونس صاحب</v>
          </cell>
          <cell r="E3997" t="str">
            <v>بلال جاوید فیصل آباد</v>
          </cell>
        </row>
        <row r="3998">
          <cell r="A3998" t="str">
            <v>6763/2</v>
          </cell>
          <cell r="B3998">
            <v>6763</v>
          </cell>
          <cell r="C3998">
            <v>45756</v>
          </cell>
          <cell r="D3998" t="str">
            <v>یونس صاحب</v>
          </cell>
          <cell r="E3998" t="str">
            <v>بلال جاوید فیصل آباد</v>
          </cell>
        </row>
        <row r="3999">
          <cell r="A3999" t="str">
            <v>6763/3</v>
          </cell>
          <cell r="B3999">
            <v>6763</v>
          </cell>
          <cell r="C3999">
            <v>45756</v>
          </cell>
          <cell r="D3999" t="str">
            <v>یونس صاحب</v>
          </cell>
          <cell r="E3999" t="str">
            <v>بلال جاوید فیصل آباد</v>
          </cell>
        </row>
        <row r="4000">
          <cell r="A4000" t="str">
            <v>6763/4</v>
          </cell>
          <cell r="B4000">
            <v>6763</v>
          </cell>
          <cell r="C4000">
            <v>45756</v>
          </cell>
          <cell r="D4000" t="str">
            <v>یونس صاحب</v>
          </cell>
          <cell r="E4000" t="str">
            <v>بلال جاوید فیصل آباد</v>
          </cell>
        </row>
        <row r="4001">
          <cell r="A4001" t="str">
            <v>6763/5</v>
          </cell>
          <cell r="B4001">
            <v>6763</v>
          </cell>
          <cell r="C4001">
            <v>45756</v>
          </cell>
          <cell r="D4001" t="str">
            <v>یونس صاحب</v>
          </cell>
          <cell r="E4001" t="str">
            <v>بلال جاوید فیصل آباد</v>
          </cell>
        </row>
        <row r="4002">
          <cell r="A4002" t="str">
            <v>6763/6</v>
          </cell>
          <cell r="B4002">
            <v>6763</v>
          </cell>
          <cell r="C4002">
            <v>45756</v>
          </cell>
          <cell r="D4002" t="str">
            <v>یونس صاحب</v>
          </cell>
          <cell r="E4002" t="str">
            <v>بلال جاوید فیصل آباد</v>
          </cell>
        </row>
        <row r="4003">
          <cell r="A4003" t="str">
            <v>6763/7</v>
          </cell>
          <cell r="B4003">
            <v>6763</v>
          </cell>
          <cell r="C4003">
            <v>45756</v>
          </cell>
          <cell r="D4003" t="str">
            <v>یونس صاحب</v>
          </cell>
          <cell r="E4003" t="str">
            <v>بلال جاوید فیصل آباد</v>
          </cell>
        </row>
        <row r="4004">
          <cell r="A4004" t="str">
            <v>6764/1</v>
          </cell>
          <cell r="B4004">
            <v>6764</v>
          </cell>
          <cell r="C4004">
            <v>45757</v>
          </cell>
          <cell r="D4004" t="str">
            <v>یونس صاحب</v>
          </cell>
          <cell r="E4004" t="str">
            <v>بلال جاوید فیصل آباد</v>
          </cell>
        </row>
        <row r="4005">
          <cell r="A4005" t="str">
            <v>6765/1</v>
          </cell>
          <cell r="B4005">
            <v>6765</v>
          </cell>
          <cell r="C4005">
            <v>45757</v>
          </cell>
          <cell r="D4005" t="str">
            <v>یونس صاحب</v>
          </cell>
          <cell r="E4005" t="str">
            <v>گڈ لک شوزسگیاں</v>
          </cell>
        </row>
        <row r="4006">
          <cell r="A4006" t="str">
            <v>6766/1</v>
          </cell>
          <cell r="B4006">
            <v>6766</v>
          </cell>
          <cell r="C4006">
            <v>45757</v>
          </cell>
          <cell r="D4006" t="str">
            <v>یونس صاحب</v>
          </cell>
          <cell r="E4006" t="str">
            <v>جناح پیپر اردو بازار</v>
          </cell>
        </row>
        <row r="4007">
          <cell r="A4007" t="str">
            <v>6767/1</v>
          </cell>
          <cell r="B4007">
            <v>6767</v>
          </cell>
          <cell r="C4007">
            <v>45757</v>
          </cell>
          <cell r="D4007" t="str">
            <v>یونس صاحب</v>
          </cell>
          <cell r="E4007" t="str">
            <v>جناح پیپر اردو بازار</v>
          </cell>
        </row>
        <row r="4008">
          <cell r="A4008" t="str">
            <v>6767/2</v>
          </cell>
          <cell r="B4008">
            <v>6767</v>
          </cell>
          <cell r="C4008">
            <v>45757</v>
          </cell>
          <cell r="D4008" t="str">
            <v>یونس صاحب</v>
          </cell>
          <cell r="E4008" t="str">
            <v>جناح پیپر اردو بازار</v>
          </cell>
        </row>
        <row r="4009">
          <cell r="A4009" t="str">
            <v>6768/1</v>
          </cell>
          <cell r="B4009">
            <v>6768</v>
          </cell>
          <cell r="C4009">
            <v>45757</v>
          </cell>
          <cell r="D4009" t="str">
            <v>یونس صاحب</v>
          </cell>
          <cell r="E4009" t="str">
            <v>اکرم بلو کریانہ خانیور</v>
          </cell>
        </row>
        <row r="4010">
          <cell r="A4010" t="str">
            <v>6768/2</v>
          </cell>
          <cell r="B4010">
            <v>6768</v>
          </cell>
          <cell r="C4010">
            <v>45757</v>
          </cell>
          <cell r="D4010" t="str">
            <v>یونس صاحب</v>
          </cell>
          <cell r="E4010" t="str">
            <v>اکرم بلو کریانہ خانیور</v>
          </cell>
        </row>
        <row r="4011">
          <cell r="A4011" t="str">
            <v>6768/3</v>
          </cell>
          <cell r="B4011">
            <v>6768</v>
          </cell>
          <cell r="C4011">
            <v>45757</v>
          </cell>
          <cell r="D4011" t="str">
            <v>یونس صاحب</v>
          </cell>
          <cell r="E4011" t="str">
            <v>اکرم بلو کریانہ خانیور</v>
          </cell>
        </row>
        <row r="4012">
          <cell r="A4012" t="str">
            <v>6769/1</v>
          </cell>
          <cell r="B4012">
            <v>6769</v>
          </cell>
          <cell r="C4012">
            <v>45758</v>
          </cell>
          <cell r="D4012" t="str">
            <v>یونس صاحب</v>
          </cell>
          <cell r="E4012" t="str">
            <v>طاہر پلاسٹک جھنگ</v>
          </cell>
        </row>
        <row r="4013">
          <cell r="A4013" t="str">
            <v>6769/2</v>
          </cell>
          <cell r="B4013">
            <v>6769</v>
          </cell>
          <cell r="C4013">
            <v>45758</v>
          </cell>
          <cell r="D4013" t="str">
            <v>یونس صاحب</v>
          </cell>
          <cell r="E4013" t="str">
            <v>طاہر پلاسٹک جھنگ</v>
          </cell>
        </row>
        <row r="4014">
          <cell r="A4014" t="str">
            <v>6770/1</v>
          </cell>
          <cell r="B4014">
            <v>6770</v>
          </cell>
          <cell r="C4014">
            <v>45758</v>
          </cell>
          <cell r="D4014" t="str">
            <v>یونس صاحب</v>
          </cell>
          <cell r="E4014" t="str">
            <v>اسد پلاسٹک صادق ٓاباد</v>
          </cell>
        </row>
        <row r="4015">
          <cell r="A4015" t="str">
            <v>6770/2</v>
          </cell>
          <cell r="B4015">
            <v>6770</v>
          </cell>
          <cell r="C4015">
            <v>45758</v>
          </cell>
          <cell r="D4015" t="str">
            <v>یونس صاحب</v>
          </cell>
          <cell r="E4015" t="str">
            <v>اسد پلاسٹک صادق ٓاباد</v>
          </cell>
        </row>
        <row r="4016">
          <cell r="A4016" t="str">
            <v>6770/3</v>
          </cell>
          <cell r="B4016">
            <v>6770</v>
          </cell>
          <cell r="C4016">
            <v>45758</v>
          </cell>
          <cell r="D4016" t="str">
            <v>یونس صاحب</v>
          </cell>
          <cell r="E4016" t="str">
            <v>اسد پلاسٹک صادق ٓاباد</v>
          </cell>
        </row>
        <row r="4017">
          <cell r="A4017" t="str">
            <v>6770/4</v>
          </cell>
          <cell r="B4017">
            <v>6770</v>
          </cell>
          <cell r="C4017">
            <v>45758</v>
          </cell>
          <cell r="D4017" t="str">
            <v>یونس صاحب</v>
          </cell>
          <cell r="E4017" t="str">
            <v>اسد پلاسٹک صادق ٓاباد</v>
          </cell>
        </row>
        <row r="4018">
          <cell r="A4018" t="str">
            <v>6770/5</v>
          </cell>
          <cell r="B4018">
            <v>6770</v>
          </cell>
          <cell r="C4018">
            <v>45758</v>
          </cell>
          <cell r="D4018" t="str">
            <v>یونس صاحب</v>
          </cell>
          <cell r="E4018" t="str">
            <v>اسد پلاسٹک صادق ٓاباد</v>
          </cell>
        </row>
        <row r="4019">
          <cell r="A4019" t="str">
            <v>6771/1</v>
          </cell>
          <cell r="B4019">
            <v>6771</v>
          </cell>
          <cell r="C4019">
            <v>45758</v>
          </cell>
          <cell r="D4019" t="str">
            <v>یونس صاحب</v>
          </cell>
          <cell r="E4019" t="str">
            <v>بائو اشرف خانپور</v>
          </cell>
        </row>
        <row r="4020">
          <cell r="A4020" t="str">
            <v>6771/2</v>
          </cell>
          <cell r="B4020">
            <v>6771</v>
          </cell>
          <cell r="C4020">
            <v>45758</v>
          </cell>
          <cell r="D4020" t="str">
            <v>یونس صاحب</v>
          </cell>
          <cell r="E4020" t="str">
            <v>بائو اشرف خانپور</v>
          </cell>
        </row>
        <row r="4021">
          <cell r="A4021" t="str">
            <v>6772/1</v>
          </cell>
          <cell r="B4021">
            <v>6772</v>
          </cell>
          <cell r="C4021">
            <v>45759</v>
          </cell>
          <cell r="D4021" t="str">
            <v>یونس صاحب</v>
          </cell>
          <cell r="E4021" t="str">
            <v>مھبوب مقبول گجرانوالہ</v>
          </cell>
        </row>
        <row r="4022">
          <cell r="A4022" t="str">
            <v>6772/2</v>
          </cell>
          <cell r="B4022">
            <v>6772</v>
          </cell>
          <cell r="C4022">
            <v>45759</v>
          </cell>
          <cell r="D4022" t="str">
            <v>یونس صاحب</v>
          </cell>
          <cell r="E4022" t="str">
            <v>مھبوب مقبول گجرانوالہ</v>
          </cell>
        </row>
        <row r="4023">
          <cell r="A4023" t="str">
            <v>6772/3</v>
          </cell>
          <cell r="B4023">
            <v>6772</v>
          </cell>
          <cell r="C4023">
            <v>45759</v>
          </cell>
          <cell r="D4023" t="str">
            <v>یونس صاحب</v>
          </cell>
          <cell r="E4023" t="str">
            <v>مھبوب مقبول گجرانوالہ</v>
          </cell>
        </row>
        <row r="4024">
          <cell r="A4024" t="str">
            <v>6772/4</v>
          </cell>
          <cell r="B4024">
            <v>6772</v>
          </cell>
          <cell r="C4024">
            <v>45759</v>
          </cell>
          <cell r="D4024" t="str">
            <v>یونس صاحب</v>
          </cell>
          <cell r="E4024" t="str">
            <v>مھبوب مقبول گجرانوالہ</v>
          </cell>
        </row>
        <row r="4025">
          <cell r="A4025" t="str">
            <v>6772/5</v>
          </cell>
          <cell r="B4025">
            <v>6772</v>
          </cell>
          <cell r="C4025">
            <v>45759</v>
          </cell>
          <cell r="D4025" t="str">
            <v>یونس صاحب</v>
          </cell>
          <cell r="E4025" t="str">
            <v>مھبوب مقبول گجرانوالہ</v>
          </cell>
        </row>
        <row r="4026">
          <cell r="A4026" t="str">
            <v>6773/1</v>
          </cell>
          <cell r="B4026">
            <v>6773</v>
          </cell>
          <cell r="C4026">
            <v>45759</v>
          </cell>
          <cell r="D4026" t="str">
            <v>یونس صاحب</v>
          </cell>
          <cell r="E4026" t="str">
            <v>حڈیفہ پلاسٹک ملتان</v>
          </cell>
        </row>
        <row r="4027">
          <cell r="A4027" t="str">
            <v>6775/1</v>
          </cell>
          <cell r="B4027">
            <v>6775</v>
          </cell>
          <cell r="C4027">
            <v>45759</v>
          </cell>
          <cell r="D4027" t="str">
            <v>یونس صاحب</v>
          </cell>
          <cell r="E4027" t="str">
            <v>نواب جیلانی لیہ</v>
          </cell>
        </row>
        <row r="4028">
          <cell r="A4028" t="str">
            <v>6775/2</v>
          </cell>
          <cell r="B4028">
            <v>6775</v>
          </cell>
          <cell r="C4028">
            <v>45759</v>
          </cell>
          <cell r="D4028" t="str">
            <v>یونس صاحب</v>
          </cell>
          <cell r="E4028" t="str">
            <v>نواب جیلانی لیہ</v>
          </cell>
        </row>
        <row r="4029">
          <cell r="A4029" t="str">
            <v>6775/3</v>
          </cell>
          <cell r="B4029">
            <v>6775</v>
          </cell>
          <cell r="C4029">
            <v>45759</v>
          </cell>
          <cell r="D4029" t="str">
            <v>یونس صاحب</v>
          </cell>
          <cell r="E4029" t="str">
            <v>نواب جیلانی لیہ</v>
          </cell>
        </row>
        <row r="4030">
          <cell r="A4030" t="str">
            <v>6775/4</v>
          </cell>
          <cell r="B4030">
            <v>6775</v>
          </cell>
          <cell r="C4030">
            <v>45759</v>
          </cell>
          <cell r="D4030" t="str">
            <v>یونس صاحب</v>
          </cell>
          <cell r="E4030" t="str">
            <v>نواب جیلانی لیہ</v>
          </cell>
        </row>
        <row r="4031">
          <cell r="A4031" t="str">
            <v>6776/1</v>
          </cell>
          <cell r="B4031">
            <v>6776</v>
          </cell>
          <cell r="C4031">
            <v>45761</v>
          </cell>
          <cell r="D4031" t="str">
            <v>یونس صاحب</v>
          </cell>
          <cell r="E4031" t="str">
            <v>طہ پلاسٹک بندل</v>
          </cell>
        </row>
        <row r="4032">
          <cell r="A4032" t="str">
            <v>6777/1</v>
          </cell>
          <cell r="B4032">
            <v>6777</v>
          </cell>
          <cell r="C4032">
            <v>45761</v>
          </cell>
          <cell r="D4032" t="str">
            <v>یونس صاحب</v>
          </cell>
          <cell r="E4032" t="str">
            <v>ریفلکٹ پیک لاہور</v>
          </cell>
        </row>
        <row r="4033">
          <cell r="A4033" t="str">
            <v>6778/1</v>
          </cell>
          <cell r="B4033">
            <v>6778</v>
          </cell>
          <cell r="C4033">
            <v>45761</v>
          </cell>
          <cell r="D4033" t="str">
            <v>یونس صاحب</v>
          </cell>
          <cell r="E4033" t="str">
            <v>مھبوب مقبول گجرانوالہ</v>
          </cell>
        </row>
        <row r="4034">
          <cell r="A4034" t="str">
            <v>6778/2</v>
          </cell>
          <cell r="B4034">
            <v>6778</v>
          </cell>
          <cell r="C4034">
            <v>45761</v>
          </cell>
          <cell r="D4034" t="str">
            <v>یونس صاحب</v>
          </cell>
          <cell r="E4034" t="str">
            <v>مھبوب مقبول گجرانوالہ</v>
          </cell>
        </row>
        <row r="4035">
          <cell r="A4035" t="str">
            <v>6778/3</v>
          </cell>
          <cell r="B4035">
            <v>6778</v>
          </cell>
          <cell r="C4035">
            <v>45761</v>
          </cell>
          <cell r="D4035" t="str">
            <v>یونس صاحب</v>
          </cell>
          <cell r="E4035" t="str">
            <v>مھبوب مقبول گجرانوالہ</v>
          </cell>
        </row>
        <row r="4036">
          <cell r="A4036" t="str">
            <v>6778/4</v>
          </cell>
          <cell r="B4036">
            <v>6778</v>
          </cell>
          <cell r="C4036">
            <v>45761</v>
          </cell>
          <cell r="D4036" t="str">
            <v>یونس صاحب</v>
          </cell>
          <cell r="E4036" t="str">
            <v>مھبوب مقبول گجرانوالہ</v>
          </cell>
        </row>
        <row r="4037">
          <cell r="A4037" t="str">
            <v>6778/5</v>
          </cell>
          <cell r="B4037">
            <v>6778</v>
          </cell>
          <cell r="C4037">
            <v>45761</v>
          </cell>
          <cell r="D4037" t="str">
            <v>یونس صاحب</v>
          </cell>
          <cell r="E4037" t="str">
            <v>مھبوب مقبول گجرانوالہ</v>
          </cell>
        </row>
        <row r="4038">
          <cell r="A4038" t="str">
            <v>6778/6</v>
          </cell>
          <cell r="B4038">
            <v>6778</v>
          </cell>
          <cell r="C4038">
            <v>45761</v>
          </cell>
          <cell r="D4038" t="str">
            <v>یونس صاحب</v>
          </cell>
          <cell r="E4038" t="str">
            <v>مھبوب مقبول گجرانوالہ</v>
          </cell>
        </row>
        <row r="4039">
          <cell r="A4039" t="str">
            <v>6778/7</v>
          </cell>
          <cell r="B4039">
            <v>6778</v>
          </cell>
          <cell r="C4039">
            <v>45761</v>
          </cell>
          <cell r="D4039" t="str">
            <v>یونس صاحب</v>
          </cell>
          <cell r="E4039" t="str">
            <v>مھبوب مقبول گجرانوالہ</v>
          </cell>
        </row>
        <row r="4040">
          <cell r="A4040" t="str">
            <v>6778/8</v>
          </cell>
          <cell r="B4040">
            <v>6778</v>
          </cell>
          <cell r="C4040">
            <v>45761</v>
          </cell>
          <cell r="D4040" t="str">
            <v>یونس صاحب</v>
          </cell>
          <cell r="E4040" t="str">
            <v>مھبوب مقبول گجرانوالہ</v>
          </cell>
        </row>
        <row r="4041">
          <cell r="A4041" t="str">
            <v>6779/1</v>
          </cell>
          <cell r="B4041">
            <v>6779</v>
          </cell>
          <cell r="C4041">
            <v>45761</v>
          </cell>
          <cell r="D4041" t="str">
            <v>یونس صاحب</v>
          </cell>
          <cell r="E4041" t="str">
            <v>بابا پلاسٹک پاکستان مارکیٹ</v>
          </cell>
        </row>
        <row r="4042">
          <cell r="A4042" t="str">
            <v>6780/1</v>
          </cell>
          <cell r="B4042">
            <v>6780</v>
          </cell>
          <cell r="C4042">
            <v>45761</v>
          </cell>
          <cell r="D4042" t="str">
            <v>یونس صاحب</v>
          </cell>
          <cell r="E4042" t="str">
            <v>آصف پلاسٹک سرگودھا</v>
          </cell>
        </row>
        <row r="4043">
          <cell r="A4043" t="str">
            <v>6780/2</v>
          </cell>
          <cell r="B4043">
            <v>6780</v>
          </cell>
          <cell r="C4043">
            <v>45761</v>
          </cell>
          <cell r="D4043" t="str">
            <v>یونس صاحب</v>
          </cell>
          <cell r="E4043" t="str">
            <v>آصف پلاسٹک سرگودھا</v>
          </cell>
        </row>
        <row r="4044">
          <cell r="A4044" t="str">
            <v>6780/3</v>
          </cell>
          <cell r="B4044">
            <v>6780</v>
          </cell>
          <cell r="C4044">
            <v>45761</v>
          </cell>
          <cell r="D4044" t="str">
            <v>یونس صاحب</v>
          </cell>
          <cell r="E4044" t="str">
            <v>آصف پلاسٹک سرگودھا</v>
          </cell>
        </row>
        <row r="4045">
          <cell r="A4045" t="str">
            <v>6780/4</v>
          </cell>
          <cell r="B4045">
            <v>6780</v>
          </cell>
          <cell r="C4045">
            <v>45761</v>
          </cell>
          <cell r="D4045" t="str">
            <v>یونس صاحب</v>
          </cell>
          <cell r="E4045" t="str">
            <v>آصف پلاسٹک سرگودھا</v>
          </cell>
        </row>
        <row r="4046">
          <cell r="A4046" t="str">
            <v>6780/5</v>
          </cell>
          <cell r="B4046">
            <v>6780</v>
          </cell>
          <cell r="C4046">
            <v>45761</v>
          </cell>
          <cell r="D4046" t="str">
            <v>یونس صاحب</v>
          </cell>
          <cell r="E4046" t="str">
            <v>آصف پلاسٹک سرگودھا</v>
          </cell>
        </row>
        <row r="4047">
          <cell r="A4047" t="str">
            <v>6780/6</v>
          </cell>
          <cell r="B4047">
            <v>6780</v>
          </cell>
          <cell r="C4047">
            <v>45761</v>
          </cell>
          <cell r="D4047" t="str">
            <v>یونس صاحب</v>
          </cell>
          <cell r="E4047" t="str">
            <v>آصف پلاسٹک سرگودھا</v>
          </cell>
        </row>
        <row r="4048">
          <cell r="A4048" t="str">
            <v>6780/7</v>
          </cell>
          <cell r="B4048">
            <v>6780</v>
          </cell>
          <cell r="C4048">
            <v>45761</v>
          </cell>
          <cell r="D4048" t="str">
            <v>یونس صاحب</v>
          </cell>
          <cell r="E4048" t="str">
            <v>آصف پلاسٹک سرگودھا</v>
          </cell>
        </row>
        <row r="4049">
          <cell r="A4049" t="str">
            <v>6780/8</v>
          </cell>
          <cell r="B4049">
            <v>6780</v>
          </cell>
          <cell r="C4049">
            <v>45761</v>
          </cell>
          <cell r="D4049" t="str">
            <v>یونس صاحب</v>
          </cell>
          <cell r="E4049" t="str">
            <v>آصف پلاسٹک سرگودھا</v>
          </cell>
        </row>
        <row r="4050">
          <cell r="A4050" t="str">
            <v>6780/9</v>
          </cell>
          <cell r="B4050">
            <v>6780</v>
          </cell>
          <cell r="C4050">
            <v>45761</v>
          </cell>
          <cell r="D4050" t="str">
            <v>یونس صاحب</v>
          </cell>
          <cell r="E4050" t="str">
            <v>آصف پلاسٹک سرگودھا</v>
          </cell>
        </row>
        <row r="4051">
          <cell r="A4051" t="str">
            <v>6780/10</v>
          </cell>
          <cell r="B4051">
            <v>6780</v>
          </cell>
          <cell r="C4051">
            <v>45761</v>
          </cell>
          <cell r="D4051" t="str">
            <v>یونس صاحب</v>
          </cell>
          <cell r="E4051" t="str">
            <v>آصف پلاسٹک سرگودھا</v>
          </cell>
        </row>
        <row r="4052">
          <cell r="A4052" t="str">
            <v>6780/11</v>
          </cell>
          <cell r="B4052">
            <v>6780</v>
          </cell>
          <cell r="C4052">
            <v>45761</v>
          </cell>
          <cell r="D4052" t="str">
            <v>یونس صاحب</v>
          </cell>
          <cell r="E4052" t="str">
            <v>آصف پلاسٹک سرگودھا</v>
          </cell>
        </row>
        <row r="4053">
          <cell r="A4053" t="str">
            <v>6780/12</v>
          </cell>
          <cell r="B4053">
            <v>6780</v>
          </cell>
          <cell r="C4053">
            <v>45761</v>
          </cell>
          <cell r="D4053" t="str">
            <v>یونس صاحب</v>
          </cell>
          <cell r="E4053" t="str">
            <v>آصف پلاسٹک سرگودھا</v>
          </cell>
        </row>
        <row r="4054">
          <cell r="A4054" t="str">
            <v>6780/13</v>
          </cell>
          <cell r="B4054">
            <v>6780</v>
          </cell>
          <cell r="C4054">
            <v>45761</v>
          </cell>
          <cell r="D4054" t="str">
            <v>یونس صاحب</v>
          </cell>
          <cell r="E4054" t="str">
            <v>آصف پلاسٹک سرگودھا</v>
          </cell>
        </row>
        <row r="4055">
          <cell r="A4055" t="str">
            <v>6780/14</v>
          </cell>
          <cell r="B4055">
            <v>6780</v>
          </cell>
          <cell r="C4055">
            <v>45761</v>
          </cell>
          <cell r="D4055" t="str">
            <v>یونس صاحب</v>
          </cell>
          <cell r="E4055" t="str">
            <v>آصف پلاسٹک سرگودھا</v>
          </cell>
        </row>
        <row r="4056">
          <cell r="A4056" t="str">
            <v>6780/15</v>
          </cell>
          <cell r="B4056">
            <v>6780</v>
          </cell>
          <cell r="C4056">
            <v>45761</v>
          </cell>
          <cell r="D4056" t="str">
            <v>یونس صاحب</v>
          </cell>
          <cell r="E4056" t="str">
            <v>آصف پلاسٹک سرگودھا</v>
          </cell>
        </row>
        <row r="4057">
          <cell r="A4057" t="str">
            <v>6780/16</v>
          </cell>
          <cell r="B4057">
            <v>6780</v>
          </cell>
          <cell r="C4057">
            <v>45761</v>
          </cell>
          <cell r="D4057" t="str">
            <v>یونس صاحب</v>
          </cell>
          <cell r="E4057" t="str">
            <v>آصف پلاسٹک سرگودھا</v>
          </cell>
        </row>
        <row r="4058">
          <cell r="A4058" t="str">
            <v>6780/17</v>
          </cell>
          <cell r="B4058">
            <v>6780</v>
          </cell>
          <cell r="C4058">
            <v>45761</v>
          </cell>
          <cell r="D4058" t="str">
            <v>یونس صاحب</v>
          </cell>
          <cell r="E4058" t="str">
            <v>آصف پلاسٹک سرگودھا</v>
          </cell>
        </row>
        <row r="4059">
          <cell r="A4059" t="str">
            <v>6780/18</v>
          </cell>
          <cell r="B4059">
            <v>6780</v>
          </cell>
          <cell r="C4059">
            <v>45761</v>
          </cell>
          <cell r="D4059" t="str">
            <v>یونس صاحب</v>
          </cell>
          <cell r="E4059" t="str">
            <v>آصف پلاسٹک سرگودھا</v>
          </cell>
        </row>
        <row r="4060">
          <cell r="A4060" t="str">
            <v>6780/19</v>
          </cell>
          <cell r="B4060">
            <v>6780</v>
          </cell>
          <cell r="C4060">
            <v>45761</v>
          </cell>
          <cell r="D4060" t="str">
            <v>یونس صاحب</v>
          </cell>
          <cell r="E4060" t="str">
            <v>آصف پلاسٹک سرگودھا</v>
          </cell>
        </row>
        <row r="4061">
          <cell r="A4061" t="str">
            <v>6780/20</v>
          </cell>
          <cell r="B4061">
            <v>6780</v>
          </cell>
          <cell r="C4061">
            <v>45761</v>
          </cell>
          <cell r="D4061" t="str">
            <v>یونس صاحب</v>
          </cell>
          <cell r="E4061" t="str">
            <v>آصف پلاسٹک سرگودھا</v>
          </cell>
        </row>
        <row r="4062">
          <cell r="A4062" t="str">
            <v>6780/21</v>
          </cell>
          <cell r="B4062">
            <v>6780</v>
          </cell>
          <cell r="C4062">
            <v>45761</v>
          </cell>
          <cell r="D4062" t="str">
            <v>یونس صاحب</v>
          </cell>
          <cell r="E4062" t="str">
            <v>آصف پلاسٹک سرگودھا</v>
          </cell>
        </row>
        <row r="4063">
          <cell r="A4063" t="str">
            <v>6780/22</v>
          </cell>
          <cell r="B4063">
            <v>6780</v>
          </cell>
          <cell r="C4063">
            <v>45761</v>
          </cell>
          <cell r="D4063" t="str">
            <v>یونس صاحب</v>
          </cell>
          <cell r="E4063" t="str">
            <v>آصف پلاسٹک سرگودھا</v>
          </cell>
        </row>
        <row r="4064">
          <cell r="A4064" t="str">
            <v>6781/1</v>
          </cell>
          <cell r="B4064">
            <v>6781</v>
          </cell>
          <cell r="C4064">
            <v>45762</v>
          </cell>
          <cell r="D4064" t="str">
            <v>یونس صاحب</v>
          </cell>
          <cell r="E4064" t="str">
            <v>MRT LAHORE</v>
          </cell>
        </row>
        <row r="4065">
          <cell r="A4065" t="str">
            <v>6782/1</v>
          </cell>
          <cell r="B4065">
            <v>6782</v>
          </cell>
          <cell r="C4065">
            <v>45762</v>
          </cell>
          <cell r="D4065" t="str">
            <v>یونس صاحب</v>
          </cell>
          <cell r="E4065" t="str">
            <v>ملک خالد سلیم فیصل آباد</v>
          </cell>
        </row>
        <row r="4066">
          <cell r="A4066" t="str">
            <v>6782/2</v>
          </cell>
          <cell r="B4066">
            <v>6782</v>
          </cell>
          <cell r="C4066">
            <v>45762</v>
          </cell>
          <cell r="D4066" t="str">
            <v>یونس صاحب</v>
          </cell>
          <cell r="E4066" t="str">
            <v>ملک خالد سلیم فیصل آباد</v>
          </cell>
        </row>
        <row r="4067">
          <cell r="A4067" t="str">
            <v>6782/3</v>
          </cell>
          <cell r="B4067">
            <v>6782</v>
          </cell>
          <cell r="C4067">
            <v>45762</v>
          </cell>
          <cell r="D4067" t="str">
            <v>یونس صاحب</v>
          </cell>
          <cell r="E4067" t="str">
            <v>ملک خالد سلیم فیصل آباد</v>
          </cell>
        </row>
        <row r="4068">
          <cell r="A4068" t="str">
            <v>6782/4</v>
          </cell>
          <cell r="B4068">
            <v>6782</v>
          </cell>
          <cell r="C4068">
            <v>45762</v>
          </cell>
          <cell r="D4068" t="str">
            <v>یونس صاحب</v>
          </cell>
          <cell r="E4068" t="str">
            <v>ملک خالد سلیم فیصل آباد</v>
          </cell>
        </row>
        <row r="4069">
          <cell r="A4069" t="str">
            <v>6782/5</v>
          </cell>
          <cell r="B4069">
            <v>6782</v>
          </cell>
          <cell r="C4069">
            <v>45762</v>
          </cell>
          <cell r="D4069" t="str">
            <v>یونس صاحب</v>
          </cell>
          <cell r="E4069" t="str">
            <v>ملک خالد سلیم فیصل آباد</v>
          </cell>
        </row>
        <row r="4070">
          <cell r="A4070" t="str">
            <v>6782/6</v>
          </cell>
          <cell r="B4070">
            <v>6782</v>
          </cell>
          <cell r="C4070">
            <v>45762</v>
          </cell>
          <cell r="D4070" t="str">
            <v>یونس صاحب</v>
          </cell>
          <cell r="E4070" t="str">
            <v>ملک خالد سلیم فیصل آباد</v>
          </cell>
        </row>
        <row r="4071">
          <cell r="A4071" t="str">
            <v>6782/7</v>
          </cell>
          <cell r="B4071">
            <v>6782</v>
          </cell>
          <cell r="C4071">
            <v>45762</v>
          </cell>
          <cell r="D4071" t="str">
            <v>یونس صاحب</v>
          </cell>
          <cell r="E4071" t="str">
            <v>ملک خالد سلیم فیصل آباد</v>
          </cell>
        </row>
        <row r="4072">
          <cell r="A4072" t="str">
            <v>6783/1</v>
          </cell>
          <cell r="B4072">
            <v>6783</v>
          </cell>
          <cell r="C4072">
            <v>45762</v>
          </cell>
          <cell r="D4072" t="str">
            <v>یونس صاحب</v>
          </cell>
          <cell r="E4072" t="str">
            <v>مھبوب مقبول گجرانوالہ</v>
          </cell>
        </row>
        <row r="4073">
          <cell r="A4073" t="str">
            <v>6783/2</v>
          </cell>
          <cell r="B4073">
            <v>6783</v>
          </cell>
          <cell r="C4073">
            <v>45762</v>
          </cell>
          <cell r="D4073" t="str">
            <v>یونس صاحب</v>
          </cell>
          <cell r="E4073" t="str">
            <v>مھبوب مقبول گجرانوالہ</v>
          </cell>
        </row>
        <row r="4074">
          <cell r="A4074" t="str">
            <v>6783/3</v>
          </cell>
          <cell r="B4074">
            <v>6783</v>
          </cell>
          <cell r="C4074">
            <v>45762</v>
          </cell>
          <cell r="D4074" t="str">
            <v>یونس صاحب</v>
          </cell>
          <cell r="E4074" t="str">
            <v>مھبوب مقبول گجرانوالہ</v>
          </cell>
        </row>
        <row r="4075">
          <cell r="A4075" t="str">
            <v>1801 J</v>
          </cell>
          <cell r="B4075">
            <v>11837</v>
          </cell>
          <cell r="C4075">
            <v>45762</v>
          </cell>
          <cell r="D4075" t="str">
            <v>JILANI</v>
          </cell>
          <cell r="E4075" t="str">
            <v>خواجہ واچ سنٹر لاہور</v>
          </cell>
        </row>
        <row r="4076">
          <cell r="A4076" t="str">
            <v>1802 J</v>
          </cell>
          <cell r="B4076">
            <v>11838</v>
          </cell>
          <cell r="C4076">
            <v>45762</v>
          </cell>
          <cell r="D4076" t="str">
            <v>JILANI</v>
          </cell>
          <cell r="E4076" t="str">
            <v>میڈی پاک لاہور</v>
          </cell>
        </row>
        <row r="4077">
          <cell r="A4077" t="str">
            <v>1803 J</v>
          </cell>
          <cell r="B4077">
            <v>11839</v>
          </cell>
          <cell r="C4077">
            <v>45762</v>
          </cell>
          <cell r="D4077" t="str">
            <v>JILANI</v>
          </cell>
          <cell r="E4077" t="str">
            <v>البابر گارمنٹس لاہور</v>
          </cell>
        </row>
        <row r="4078">
          <cell r="A4078" t="str">
            <v>1804 J</v>
          </cell>
          <cell r="B4078">
            <v>11840</v>
          </cell>
          <cell r="C4078">
            <v>45762</v>
          </cell>
          <cell r="D4078" t="str">
            <v>JILANI</v>
          </cell>
          <cell r="E4078" t="str">
            <v>حسیب رحمان گارڈن لاہور</v>
          </cell>
        </row>
        <row r="4079">
          <cell r="A4079" t="str">
            <v>1805 J</v>
          </cell>
          <cell r="B4079">
            <v>11841</v>
          </cell>
          <cell r="C4079">
            <v>45762</v>
          </cell>
          <cell r="D4079" t="str">
            <v>JILANI</v>
          </cell>
          <cell r="E4079" t="str">
            <v>عوامی سپر سٹور چنیوٹ</v>
          </cell>
        </row>
        <row r="4080">
          <cell r="A4080" t="str">
            <v>1806 J</v>
          </cell>
          <cell r="B4080">
            <v>11841</v>
          </cell>
          <cell r="C4080">
            <v>45762</v>
          </cell>
          <cell r="D4080" t="str">
            <v>JILANI</v>
          </cell>
          <cell r="E4080" t="str">
            <v>عوامی سپر سٹور چنیوٹ</v>
          </cell>
        </row>
        <row r="4081">
          <cell r="A4081" t="str">
            <v>1807 J</v>
          </cell>
          <cell r="B4081">
            <v>11842</v>
          </cell>
          <cell r="C4081">
            <v>45762</v>
          </cell>
          <cell r="D4081" t="str">
            <v>JILANI</v>
          </cell>
          <cell r="E4081" t="str">
            <v>ہینڈ پروٹیکشن انٹرنیشنل سیالکوٹ</v>
          </cell>
        </row>
        <row r="4082">
          <cell r="A4082" t="str">
            <v>1808 J</v>
          </cell>
          <cell r="B4082">
            <v>11842</v>
          </cell>
          <cell r="C4082">
            <v>45762</v>
          </cell>
          <cell r="D4082" t="str">
            <v>JILANI</v>
          </cell>
          <cell r="E4082" t="str">
            <v>ہینڈ پروٹیکشن انٹرنیشنل سیالکوٹ</v>
          </cell>
        </row>
        <row r="4083">
          <cell r="A4083" t="str">
            <v>1809 J</v>
          </cell>
          <cell r="B4083">
            <v>11843</v>
          </cell>
          <cell r="C4083">
            <v>45762</v>
          </cell>
          <cell r="D4083" t="str">
            <v>JILANI</v>
          </cell>
          <cell r="E4083" t="str">
            <v>علی بوتیک کوئٹہ</v>
          </cell>
        </row>
        <row r="4084">
          <cell r="A4084" t="str">
            <v>1810 J</v>
          </cell>
          <cell r="B4084">
            <v>11846</v>
          </cell>
          <cell r="C4084">
            <v>45762</v>
          </cell>
          <cell r="D4084" t="str">
            <v>JILANI</v>
          </cell>
          <cell r="E4084" t="str">
            <v>لکی کلاتھ ہاؤس لیہ</v>
          </cell>
        </row>
        <row r="4085">
          <cell r="A4085" t="str">
            <v>1811 J</v>
          </cell>
          <cell r="B4085">
            <v>11847</v>
          </cell>
          <cell r="C4085">
            <v>45762</v>
          </cell>
          <cell r="D4085" t="str">
            <v>JILANI</v>
          </cell>
          <cell r="E4085" t="str">
            <v>مجسٹک پلاسٹک لاہورC/O عمیر پی پی اڈا کراؤن</v>
          </cell>
        </row>
        <row r="4086">
          <cell r="A4086" t="str">
            <v>1812 J</v>
          </cell>
          <cell r="B4086">
            <v>11848</v>
          </cell>
          <cell r="C4086">
            <v>45762</v>
          </cell>
          <cell r="D4086" t="str">
            <v>JILANI</v>
          </cell>
          <cell r="E4086" t="str">
            <v>مدنی پرنٹنگ پریس نارنگ منڈی</v>
          </cell>
        </row>
        <row r="4087">
          <cell r="A4087" t="str">
            <v>1813 J</v>
          </cell>
          <cell r="B4087">
            <v>11849</v>
          </cell>
          <cell r="C4087">
            <v>45762</v>
          </cell>
          <cell r="D4087" t="str">
            <v>JILANI</v>
          </cell>
          <cell r="E4087" t="str">
            <v>ولایت بٹ لالہ موسی</v>
          </cell>
        </row>
        <row r="4088">
          <cell r="A4088" t="str">
            <v>1814 J</v>
          </cell>
          <cell r="B4088">
            <v>11849</v>
          </cell>
          <cell r="C4088">
            <v>45762</v>
          </cell>
          <cell r="D4088" t="str">
            <v>JILANI</v>
          </cell>
          <cell r="E4088" t="str">
            <v>ولایت بٹ لالہ موسی</v>
          </cell>
        </row>
        <row r="4089">
          <cell r="A4089" t="str">
            <v>1815 J</v>
          </cell>
          <cell r="B4089">
            <v>11849</v>
          </cell>
          <cell r="C4089">
            <v>45762</v>
          </cell>
          <cell r="D4089" t="str">
            <v>JILANI</v>
          </cell>
          <cell r="E4089" t="str">
            <v>ولایت بٹ لالہ موسی</v>
          </cell>
        </row>
        <row r="4090">
          <cell r="A4090" t="str">
            <v>1816 J</v>
          </cell>
          <cell r="B4090">
            <v>11849</v>
          </cell>
          <cell r="C4090">
            <v>45762</v>
          </cell>
          <cell r="D4090" t="str">
            <v>JILANI</v>
          </cell>
          <cell r="E4090" t="str">
            <v>ولایت بٹ لالہ موسی</v>
          </cell>
        </row>
        <row r="4091">
          <cell r="A4091" t="str">
            <v>1817 J</v>
          </cell>
          <cell r="B4091">
            <v>11849</v>
          </cell>
          <cell r="C4091">
            <v>45762</v>
          </cell>
          <cell r="D4091" t="str">
            <v>JILANI</v>
          </cell>
          <cell r="E4091" t="str">
            <v>ولایت بٹ لالہ موسی</v>
          </cell>
        </row>
        <row r="4092">
          <cell r="A4092" t="str">
            <v>1818 J</v>
          </cell>
          <cell r="B4092">
            <v>11850</v>
          </cell>
          <cell r="C4092">
            <v>45762</v>
          </cell>
          <cell r="D4092" t="str">
            <v>JILANI</v>
          </cell>
          <cell r="E4092" t="str">
            <v>عثمان عارف بٹ گوجرانولہ</v>
          </cell>
        </row>
        <row r="4093">
          <cell r="A4093" t="str">
            <v>1819 J</v>
          </cell>
          <cell r="B4093">
            <v>11850</v>
          </cell>
          <cell r="C4093">
            <v>45762</v>
          </cell>
          <cell r="D4093" t="str">
            <v>JILANI</v>
          </cell>
          <cell r="E4093" t="str">
            <v>عثمان عارف بٹ گوجرانولہ</v>
          </cell>
        </row>
        <row r="4094">
          <cell r="A4094" t="str">
            <v>1820 J</v>
          </cell>
          <cell r="B4094">
            <v>11850</v>
          </cell>
          <cell r="C4094">
            <v>45762</v>
          </cell>
          <cell r="D4094" t="str">
            <v>JILANI</v>
          </cell>
          <cell r="E4094" t="str">
            <v>عثمان عارف بٹ گوجرانولہ</v>
          </cell>
        </row>
        <row r="4095">
          <cell r="A4095" t="str">
            <v>1821 J</v>
          </cell>
          <cell r="B4095">
            <v>11850</v>
          </cell>
          <cell r="C4095">
            <v>45762</v>
          </cell>
          <cell r="D4095" t="str">
            <v>JILANI</v>
          </cell>
          <cell r="E4095" t="str">
            <v>عثمان عارف بٹ گوجرانولہ</v>
          </cell>
        </row>
        <row r="4096">
          <cell r="A4096" t="str">
            <v>1822 J</v>
          </cell>
          <cell r="B4096">
            <v>11851</v>
          </cell>
          <cell r="C4096">
            <v>45762</v>
          </cell>
          <cell r="D4096" t="str">
            <v>JILANI</v>
          </cell>
          <cell r="E4096" t="str">
            <v>عثمان عارف بٹ گوجرانولہ</v>
          </cell>
        </row>
        <row r="4097">
          <cell r="A4097" t="str">
            <v>1823 J</v>
          </cell>
          <cell r="B4097">
            <v>11851</v>
          </cell>
          <cell r="C4097">
            <v>45762</v>
          </cell>
          <cell r="D4097" t="str">
            <v>JILANI</v>
          </cell>
          <cell r="E4097" t="str">
            <v>عثمان عارف بٹ گوجرانولہ</v>
          </cell>
        </row>
        <row r="4098">
          <cell r="A4098" t="str">
            <v>1824 J</v>
          </cell>
          <cell r="B4098">
            <v>11851</v>
          </cell>
          <cell r="C4098">
            <v>45762</v>
          </cell>
          <cell r="D4098" t="str">
            <v>JILANI</v>
          </cell>
          <cell r="E4098" t="str">
            <v>عثمان عارف بٹ گوجرانولہ</v>
          </cell>
        </row>
        <row r="4099">
          <cell r="A4099" t="str">
            <v>1825 J</v>
          </cell>
          <cell r="B4099">
            <v>11851</v>
          </cell>
          <cell r="C4099">
            <v>45762</v>
          </cell>
          <cell r="D4099" t="str">
            <v>JILANI</v>
          </cell>
          <cell r="E4099" t="str">
            <v>عثمان عارف بٹ گوجرانولہ</v>
          </cell>
        </row>
        <row r="4100">
          <cell r="A4100" t="str">
            <v>1826 J</v>
          </cell>
          <cell r="B4100">
            <v>11852</v>
          </cell>
          <cell r="C4100">
            <v>45762</v>
          </cell>
          <cell r="D4100" t="str">
            <v>JILANI</v>
          </cell>
          <cell r="E4100" t="str">
            <v>عمر زرعی ہاؤس لاہور</v>
          </cell>
        </row>
        <row r="4101">
          <cell r="A4101" t="str">
            <v>1363 F</v>
          </cell>
          <cell r="B4101"/>
          <cell r="C4101">
            <v>45763</v>
          </cell>
          <cell r="D4101" t="str">
            <v>فینا</v>
          </cell>
          <cell r="E4101" t="str">
            <v>عثمان امین</v>
          </cell>
        </row>
        <row r="4102">
          <cell r="A4102" t="str">
            <v>1364 F</v>
          </cell>
          <cell r="B4102"/>
          <cell r="C4102">
            <v>45763</v>
          </cell>
          <cell r="D4102" t="str">
            <v>فینا</v>
          </cell>
          <cell r="E4102" t="str">
            <v>عثمان امین</v>
          </cell>
        </row>
        <row r="4103">
          <cell r="A4103" t="str">
            <v>1365 F</v>
          </cell>
          <cell r="B4103"/>
          <cell r="C4103">
            <v>45763</v>
          </cell>
          <cell r="D4103" t="str">
            <v>فینا</v>
          </cell>
          <cell r="E4103" t="str">
            <v>عثمان امین</v>
          </cell>
        </row>
        <row r="4104">
          <cell r="A4104" t="str">
            <v>1366 F</v>
          </cell>
          <cell r="B4104"/>
          <cell r="C4104">
            <v>45763</v>
          </cell>
          <cell r="D4104" t="str">
            <v>فینا</v>
          </cell>
          <cell r="E4104" t="str">
            <v>عثمان امین</v>
          </cell>
        </row>
        <row r="4105">
          <cell r="A4105" t="str">
            <v>1367 F</v>
          </cell>
          <cell r="B4105"/>
          <cell r="C4105">
            <v>45764</v>
          </cell>
          <cell r="D4105" t="str">
            <v>فینا</v>
          </cell>
          <cell r="E4105" t="str">
            <v>عثمان امین</v>
          </cell>
        </row>
        <row r="4106">
          <cell r="A4106" t="str">
            <v>1368 F</v>
          </cell>
          <cell r="B4106"/>
          <cell r="C4106">
            <v>45764</v>
          </cell>
          <cell r="D4106" t="str">
            <v>فینا</v>
          </cell>
          <cell r="E4106" t="str">
            <v>عثمان امین</v>
          </cell>
        </row>
        <row r="4107">
          <cell r="A4107" t="str">
            <v>1369 F</v>
          </cell>
          <cell r="B4107"/>
          <cell r="C4107">
            <v>45764</v>
          </cell>
          <cell r="D4107" t="str">
            <v>فینا</v>
          </cell>
          <cell r="E4107" t="str">
            <v>عثمان امین</v>
          </cell>
        </row>
        <row r="4108">
          <cell r="A4108" t="str">
            <v>1370 F</v>
          </cell>
          <cell r="B4108"/>
          <cell r="C4108">
            <v>45764</v>
          </cell>
          <cell r="D4108" t="str">
            <v>فینا</v>
          </cell>
          <cell r="E4108" t="str">
            <v>عثمان امین</v>
          </cell>
        </row>
        <row r="4109">
          <cell r="A4109" t="str">
            <v>1371 F</v>
          </cell>
          <cell r="B4109"/>
          <cell r="C4109">
            <v>45764</v>
          </cell>
          <cell r="D4109" t="str">
            <v>فینا</v>
          </cell>
          <cell r="E4109" t="str">
            <v>عثمان امین</v>
          </cell>
        </row>
        <row r="4110">
          <cell r="A4110" t="str">
            <v>1372 F</v>
          </cell>
          <cell r="B4110"/>
          <cell r="C4110">
            <v>45764</v>
          </cell>
          <cell r="D4110" t="str">
            <v>فینا</v>
          </cell>
          <cell r="E4110" t="str">
            <v>عثمان امین</v>
          </cell>
        </row>
        <row r="4111">
          <cell r="A4111" t="str">
            <v>1373 F</v>
          </cell>
          <cell r="B4111"/>
          <cell r="C4111">
            <v>45764</v>
          </cell>
          <cell r="D4111" t="str">
            <v>فینا</v>
          </cell>
          <cell r="E4111" t="str">
            <v>عثمان امین</v>
          </cell>
        </row>
        <row r="4112">
          <cell r="A4112" t="str">
            <v>1374 F</v>
          </cell>
          <cell r="B4112"/>
          <cell r="C4112">
            <v>45764</v>
          </cell>
          <cell r="D4112" t="str">
            <v>فینا</v>
          </cell>
          <cell r="E4112" t="str">
            <v>عثمان امین</v>
          </cell>
        </row>
        <row r="4113">
          <cell r="A4113" t="str">
            <v>1375 F</v>
          </cell>
          <cell r="B4113"/>
          <cell r="C4113">
            <v>45764</v>
          </cell>
          <cell r="D4113" t="str">
            <v>فینا</v>
          </cell>
          <cell r="E4113" t="str">
            <v>عثمان امین</v>
          </cell>
        </row>
        <row r="4114">
          <cell r="A4114" t="str">
            <v>1376 F</v>
          </cell>
          <cell r="B4114"/>
          <cell r="C4114">
            <v>45764</v>
          </cell>
          <cell r="D4114" t="str">
            <v>فینا</v>
          </cell>
          <cell r="E4114" t="str">
            <v>عثمان امین</v>
          </cell>
        </row>
        <row r="4115">
          <cell r="A4115" t="str">
            <v>1827 J</v>
          </cell>
          <cell r="B4115"/>
          <cell r="C4115">
            <v>45764</v>
          </cell>
          <cell r="D4115" t="str">
            <v>OTHERS</v>
          </cell>
          <cell r="E4115" t="str">
            <v>جیلانی پولی سٹاک</v>
          </cell>
        </row>
        <row r="4116">
          <cell r="A4116" t="str">
            <v>1828 J</v>
          </cell>
          <cell r="B4116"/>
          <cell r="C4116">
            <v>45764</v>
          </cell>
          <cell r="D4116" t="str">
            <v>OTHERS</v>
          </cell>
          <cell r="E4116" t="str">
            <v>جیلانی پولی سٹاک</v>
          </cell>
        </row>
        <row r="4117">
          <cell r="A4117" t="str">
            <v>1829 J</v>
          </cell>
          <cell r="B4117"/>
          <cell r="C4117">
            <v>45764</v>
          </cell>
          <cell r="D4117" t="str">
            <v>OTHERS</v>
          </cell>
          <cell r="E4117" t="str">
            <v>جیلانی پولی سٹاک</v>
          </cell>
        </row>
        <row r="4118">
          <cell r="A4118" t="str">
            <v>1830 J</v>
          </cell>
          <cell r="B4118"/>
          <cell r="C4118">
            <v>45764</v>
          </cell>
          <cell r="D4118" t="str">
            <v>OTHERS</v>
          </cell>
          <cell r="E4118" t="str">
            <v>جیلانی پولی سٹاک</v>
          </cell>
        </row>
        <row r="4119">
          <cell r="A4119" t="str">
            <v>1831 J</v>
          </cell>
          <cell r="B4119"/>
          <cell r="C4119">
            <v>45764</v>
          </cell>
          <cell r="D4119" t="str">
            <v>OTHERS</v>
          </cell>
          <cell r="E4119" t="str">
            <v>جیلانی پولی سٹاک</v>
          </cell>
        </row>
        <row r="4120">
          <cell r="A4120" t="str">
            <v>1832 J</v>
          </cell>
          <cell r="B4120"/>
          <cell r="C4120">
            <v>45764</v>
          </cell>
          <cell r="D4120" t="str">
            <v>OTHERS</v>
          </cell>
          <cell r="E4120" t="str">
            <v>جیلانی پولی سٹاک</v>
          </cell>
        </row>
        <row r="4121">
          <cell r="A4121" t="str">
            <v>1833 J</v>
          </cell>
          <cell r="B4121">
            <v>11853</v>
          </cell>
          <cell r="C4121">
            <v>45763</v>
          </cell>
          <cell r="D4121" t="str">
            <v>JILANI</v>
          </cell>
          <cell r="E4121" t="str">
            <v>آٹو ٹیک لاہور</v>
          </cell>
        </row>
        <row r="4122">
          <cell r="A4122" t="str">
            <v>1834 J</v>
          </cell>
          <cell r="B4122">
            <v>11854</v>
          </cell>
          <cell r="C4122">
            <v>45763</v>
          </cell>
          <cell r="D4122" t="str">
            <v>JILANI</v>
          </cell>
          <cell r="E4122" t="str">
            <v>عرفان صاحب اعظم مارکیٹ لاہور</v>
          </cell>
        </row>
        <row r="4123">
          <cell r="A4123" t="str">
            <v>1835 J</v>
          </cell>
          <cell r="B4123">
            <v>11854</v>
          </cell>
          <cell r="C4123">
            <v>45763</v>
          </cell>
          <cell r="D4123" t="str">
            <v>JILANI</v>
          </cell>
          <cell r="E4123" t="str">
            <v>عرفان صاحب اعظم مارکیٹ لاہور</v>
          </cell>
        </row>
        <row r="4124">
          <cell r="A4124" t="str">
            <v>1836 J</v>
          </cell>
          <cell r="B4124">
            <v>11855</v>
          </cell>
          <cell r="C4124">
            <v>45763</v>
          </cell>
          <cell r="D4124" t="str">
            <v>JILANI</v>
          </cell>
          <cell r="E4124" t="str">
            <v>وقاص وولن ملز گوجرانوالہ</v>
          </cell>
        </row>
        <row r="4125">
          <cell r="A4125" t="str">
            <v>1837 J</v>
          </cell>
          <cell r="B4125">
            <v>11856</v>
          </cell>
          <cell r="C4125">
            <v>45763</v>
          </cell>
          <cell r="D4125" t="str">
            <v>JILANI</v>
          </cell>
          <cell r="E4125" t="str">
            <v>وقاص وولن ملز گوجرانوالہ</v>
          </cell>
        </row>
        <row r="4126">
          <cell r="A4126" t="str">
            <v>1838 J</v>
          </cell>
          <cell r="B4126">
            <v>11857</v>
          </cell>
          <cell r="C4126">
            <v>45763</v>
          </cell>
          <cell r="D4126" t="str">
            <v>JILANI</v>
          </cell>
          <cell r="E4126" t="str">
            <v>وقاص وولن ملز گوجرانوالہ</v>
          </cell>
        </row>
        <row r="4127">
          <cell r="A4127" t="str">
            <v>1839 J</v>
          </cell>
          <cell r="B4127">
            <v>11858</v>
          </cell>
          <cell r="C4127">
            <v>45763</v>
          </cell>
          <cell r="D4127" t="str">
            <v>JILANI</v>
          </cell>
          <cell r="E4127" t="str">
            <v>عثمان آوڈر شاپ سیالکوٹ</v>
          </cell>
        </row>
        <row r="4128">
          <cell r="A4128" t="str">
            <v>1840 J</v>
          </cell>
          <cell r="B4128">
            <v>11859</v>
          </cell>
          <cell r="C4128">
            <v>45763</v>
          </cell>
          <cell r="D4128" t="str">
            <v>JILANI</v>
          </cell>
          <cell r="E4128" t="str">
            <v>عثما ن آرڈر شاپ سیالکوٹ</v>
          </cell>
        </row>
        <row r="4129">
          <cell r="A4129" t="str">
            <v>1841 J</v>
          </cell>
          <cell r="B4129">
            <v>11860</v>
          </cell>
          <cell r="C4129">
            <v>45763</v>
          </cell>
          <cell r="D4129" t="str">
            <v>JILANI</v>
          </cell>
          <cell r="E4129" t="str">
            <v>امارات پلاسٹک ٹھوکر نیاز بیگ</v>
          </cell>
        </row>
        <row r="4130">
          <cell r="A4130" t="str">
            <v>1842 J</v>
          </cell>
          <cell r="B4130">
            <v>11860</v>
          </cell>
          <cell r="C4130">
            <v>45763</v>
          </cell>
          <cell r="D4130" t="str">
            <v>JILANI</v>
          </cell>
          <cell r="E4130" t="str">
            <v>امارات پلاسٹک ٹھوکر نیاز بیگ</v>
          </cell>
        </row>
        <row r="4131">
          <cell r="A4131" t="str">
            <v>1843 J</v>
          </cell>
          <cell r="B4131">
            <v>11860</v>
          </cell>
          <cell r="C4131">
            <v>45763</v>
          </cell>
          <cell r="D4131" t="str">
            <v>JILANI</v>
          </cell>
          <cell r="E4131" t="str">
            <v>امارات پلاسٹک ٹھوکر نیاز بیگ</v>
          </cell>
        </row>
        <row r="4132">
          <cell r="A4132" t="str">
            <v>1844 J</v>
          </cell>
          <cell r="B4132">
            <v>11860</v>
          </cell>
          <cell r="C4132">
            <v>45763</v>
          </cell>
          <cell r="D4132" t="str">
            <v>JILANI</v>
          </cell>
          <cell r="E4132" t="str">
            <v>امارات پلاسٹک ٹھوکر نیاز بیگ</v>
          </cell>
        </row>
        <row r="4133">
          <cell r="A4133" t="str">
            <v>1845 J</v>
          </cell>
          <cell r="B4133">
            <v>11860</v>
          </cell>
          <cell r="C4133">
            <v>45763</v>
          </cell>
          <cell r="D4133" t="str">
            <v>JILANI</v>
          </cell>
          <cell r="E4133" t="str">
            <v>امارات پلاسٹک ٹھوکر نیاز بیگ</v>
          </cell>
        </row>
        <row r="4134">
          <cell r="A4134" t="str">
            <v>1846 J</v>
          </cell>
          <cell r="B4134">
            <v>11861</v>
          </cell>
          <cell r="C4134">
            <v>45763</v>
          </cell>
          <cell r="D4134" t="str">
            <v>JILANI</v>
          </cell>
          <cell r="E4134" t="str">
            <v>امارات پلاسٹک ٹھوکر نیاز بیگ</v>
          </cell>
        </row>
        <row r="4135">
          <cell r="A4135" t="str">
            <v>1847 J</v>
          </cell>
          <cell r="B4135">
            <v>11861</v>
          </cell>
          <cell r="C4135">
            <v>45763</v>
          </cell>
          <cell r="D4135" t="str">
            <v>JILANI</v>
          </cell>
          <cell r="E4135" t="str">
            <v>امارات پلاسٹک ٹھوکر نیاز بیگ</v>
          </cell>
        </row>
        <row r="4136">
          <cell r="A4136" t="str">
            <v>1848 J</v>
          </cell>
          <cell r="B4136">
            <v>11861</v>
          </cell>
          <cell r="C4136">
            <v>45763</v>
          </cell>
          <cell r="D4136" t="str">
            <v>JILANI</v>
          </cell>
          <cell r="E4136" t="str">
            <v>امارات پلاسٹک ٹھوکر نیاز بیگ</v>
          </cell>
        </row>
        <row r="4137">
          <cell r="A4137" t="str">
            <v>1849 J</v>
          </cell>
          <cell r="B4137">
            <v>11861</v>
          </cell>
          <cell r="C4137">
            <v>45763</v>
          </cell>
          <cell r="D4137" t="str">
            <v>JILANI</v>
          </cell>
          <cell r="E4137" t="str">
            <v>امارات پلاسٹک ٹھوکر نیاز بیگ</v>
          </cell>
        </row>
        <row r="4138">
          <cell r="A4138" t="str">
            <v>1850 J</v>
          </cell>
          <cell r="B4138">
            <v>11861</v>
          </cell>
          <cell r="C4138">
            <v>45763</v>
          </cell>
          <cell r="D4138" t="str">
            <v>JILANI</v>
          </cell>
          <cell r="E4138" t="str">
            <v>امارات پلاسٹک ٹھوکر نیاز بیگ</v>
          </cell>
        </row>
        <row r="4139">
          <cell r="A4139" t="str">
            <v>1851 J</v>
          </cell>
          <cell r="B4139">
            <v>11861</v>
          </cell>
          <cell r="C4139">
            <v>45763</v>
          </cell>
          <cell r="D4139" t="str">
            <v>JILANI</v>
          </cell>
          <cell r="E4139" t="str">
            <v>امارات پلاسٹک ٹھوکر نیاز بیگ</v>
          </cell>
        </row>
        <row r="4140">
          <cell r="A4140" t="str">
            <v>1852 J</v>
          </cell>
          <cell r="B4140">
            <v>11862</v>
          </cell>
          <cell r="C4140">
            <v>45763</v>
          </cell>
          <cell r="D4140" t="str">
            <v>JILANI</v>
          </cell>
          <cell r="E4140" t="str">
            <v>ایم نواز کلاتھ ہاؤس خانکاں ڈوگراں</v>
          </cell>
        </row>
        <row r="4141">
          <cell r="A4141" t="str">
            <v>1853 J</v>
          </cell>
          <cell r="B4141">
            <v>11863</v>
          </cell>
          <cell r="C4141">
            <v>45763</v>
          </cell>
          <cell r="D4141" t="str">
            <v>JILANI</v>
          </cell>
          <cell r="E4141" t="str">
            <v>ایم نواز کلاتھ ہاؤس خانکاں ڈوگراں</v>
          </cell>
        </row>
        <row r="4142">
          <cell r="A4142" t="str">
            <v>1854 J</v>
          </cell>
          <cell r="B4142">
            <v>11864</v>
          </cell>
          <cell r="C4142">
            <v>45763</v>
          </cell>
          <cell r="D4142" t="str">
            <v>JILANI</v>
          </cell>
          <cell r="E4142" t="str">
            <v>احسان کاٹن پراڈکٹس</v>
          </cell>
        </row>
        <row r="4143">
          <cell r="A4143" t="str">
            <v>1855 J</v>
          </cell>
          <cell r="B4143">
            <v>11865</v>
          </cell>
          <cell r="C4143">
            <v>45763</v>
          </cell>
          <cell r="D4143" t="str">
            <v>JILANI</v>
          </cell>
          <cell r="E4143" t="str">
            <v>کیکس اینڈ بیکس لاہور</v>
          </cell>
        </row>
        <row r="4144">
          <cell r="A4144" t="str">
            <v>1856 J</v>
          </cell>
          <cell r="B4144">
            <v>11866</v>
          </cell>
          <cell r="C4144">
            <v>45763</v>
          </cell>
          <cell r="D4144" t="str">
            <v>JILANI</v>
          </cell>
          <cell r="E4144" t="str">
            <v>کیکس اینڈ بیکس لاہور</v>
          </cell>
        </row>
        <row r="4145">
          <cell r="A4145" t="str">
            <v>1857 J</v>
          </cell>
          <cell r="B4145">
            <v>11867</v>
          </cell>
          <cell r="C4145">
            <v>45763</v>
          </cell>
          <cell r="D4145" t="str">
            <v>JILANI</v>
          </cell>
          <cell r="E4145" t="str">
            <v>وسیم شاپر ہاوس لاہور</v>
          </cell>
        </row>
        <row r="4146">
          <cell r="A4146" t="str">
            <v>1858 J</v>
          </cell>
          <cell r="B4146">
            <v>11868</v>
          </cell>
          <cell r="C4146">
            <v>45763</v>
          </cell>
          <cell r="D4146" t="str">
            <v>JILANI</v>
          </cell>
          <cell r="E4146" t="str">
            <v>وسیم شاپر ہاوس لاہور</v>
          </cell>
        </row>
        <row r="4147">
          <cell r="A4147">
            <v>2728</v>
          </cell>
          <cell r="B4147"/>
          <cell r="C4147">
            <v>45765</v>
          </cell>
          <cell r="D4147" t="str">
            <v>JILANI</v>
          </cell>
          <cell r="E4147" t="str">
            <v>PT -01</v>
          </cell>
        </row>
        <row r="4148">
          <cell r="A4148" t="str">
            <v>1859 J</v>
          </cell>
          <cell r="B4148">
            <v>11869</v>
          </cell>
          <cell r="C4148">
            <v>45764</v>
          </cell>
          <cell r="D4148" t="str">
            <v>JILANI</v>
          </cell>
          <cell r="E4148" t="str">
            <v>یاسین کلاتھ ہاؤس سانگلہ ہل</v>
          </cell>
        </row>
        <row r="4149">
          <cell r="A4149" t="str">
            <v>1860 J</v>
          </cell>
          <cell r="B4149">
            <v>11870</v>
          </cell>
          <cell r="C4149">
            <v>45764</v>
          </cell>
          <cell r="D4149" t="str">
            <v>JILANI</v>
          </cell>
          <cell r="E4149" t="str">
            <v>افنان پرنٹنگ پریس بٹ خیلہ</v>
          </cell>
        </row>
        <row r="4150">
          <cell r="A4150" t="str">
            <v>1861 J</v>
          </cell>
          <cell r="B4150">
            <v>11870</v>
          </cell>
          <cell r="C4150">
            <v>45764</v>
          </cell>
          <cell r="D4150" t="str">
            <v>JILANI</v>
          </cell>
          <cell r="E4150" t="str">
            <v>افنان پرنٹنگ پریس بٹ خیلہ</v>
          </cell>
        </row>
        <row r="4151">
          <cell r="A4151" t="str">
            <v>1862 J</v>
          </cell>
          <cell r="B4151">
            <v>11870</v>
          </cell>
          <cell r="C4151">
            <v>45764</v>
          </cell>
          <cell r="D4151" t="str">
            <v>JILANI</v>
          </cell>
          <cell r="E4151" t="str">
            <v>افنان پرنٹنگ پریس بٹ خیلہ</v>
          </cell>
        </row>
        <row r="4152">
          <cell r="A4152" t="str">
            <v>1863 J</v>
          </cell>
          <cell r="B4152">
            <v>11871</v>
          </cell>
          <cell r="C4152">
            <v>45764</v>
          </cell>
          <cell r="D4152" t="str">
            <v>JILANI</v>
          </cell>
          <cell r="E4152" t="str">
            <v>افنان پرنٹنگ پریس بٹ خیلہ</v>
          </cell>
        </row>
        <row r="4153">
          <cell r="A4153" t="str">
            <v>1864 J</v>
          </cell>
          <cell r="B4153">
            <v>11872</v>
          </cell>
          <cell r="C4153">
            <v>45764</v>
          </cell>
          <cell r="D4153" t="str">
            <v>JILANI</v>
          </cell>
          <cell r="E4153" t="str">
            <v>پنجاب پرنٹرز حافظ آباد</v>
          </cell>
        </row>
        <row r="4154">
          <cell r="A4154" t="str">
            <v>1865 J</v>
          </cell>
          <cell r="B4154">
            <v>11873</v>
          </cell>
          <cell r="C4154">
            <v>45764</v>
          </cell>
          <cell r="D4154" t="str">
            <v>JILANI</v>
          </cell>
          <cell r="E4154" t="str">
            <v>عالم پرنٹرز بٹ خیلہ</v>
          </cell>
        </row>
        <row r="4155">
          <cell r="A4155" t="str">
            <v>1866 J</v>
          </cell>
          <cell r="B4155">
            <v>11873</v>
          </cell>
          <cell r="C4155">
            <v>45764</v>
          </cell>
          <cell r="D4155" t="str">
            <v>JILANI</v>
          </cell>
          <cell r="E4155" t="str">
            <v>عالم پرنٹرز بٹ خیلہ</v>
          </cell>
        </row>
        <row r="4156">
          <cell r="A4156" t="str">
            <v>1867 J</v>
          </cell>
          <cell r="B4156">
            <v>11873</v>
          </cell>
          <cell r="C4156">
            <v>45764</v>
          </cell>
          <cell r="D4156" t="str">
            <v>JILANI</v>
          </cell>
          <cell r="E4156" t="str">
            <v>عالم پرنٹرز بٹ خیلہ</v>
          </cell>
        </row>
        <row r="4157">
          <cell r="A4157" t="str">
            <v>1868 J</v>
          </cell>
          <cell r="B4157">
            <v>11873</v>
          </cell>
          <cell r="C4157">
            <v>45764</v>
          </cell>
          <cell r="D4157" t="str">
            <v>JILANI</v>
          </cell>
          <cell r="E4157" t="str">
            <v>عالم پرنٹرز بٹ خیلہ</v>
          </cell>
        </row>
        <row r="4158">
          <cell r="A4158" t="str">
            <v>1869 J</v>
          </cell>
          <cell r="B4158">
            <v>11874</v>
          </cell>
          <cell r="C4158">
            <v>45764</v>
          </cell>
          <cell r="D4158" t="str">
            <v>JILANI</v>
          </cell>
          <cell r="E4158" t="str">
            <v>عالم پرنٹرز بٹ خیلہ</v>
          </cell>
        </row>
        <row r="4159">
          <cell r="A4159" t="str">
            <v>1870 J</v>
          </cell>
          <cell r="B4159">
            <v>11874</v>
          </cell>
          <cell r="C4159">
            <v>45764</v>
          </cell>
          <cell r="D4159" t="str">
            <v>JILANI</v>
          </cell>
          <cell r="E4159" t="str">
            <v>عالم پرنٹرز بٹ خیلہ</v>
          </cell>
        </row>
        <row r="4160">
          <cell r="A4160" t="str">
            <v>1871 J</v>
          </cell>
          <cell r="B4160">
            <v>11875</v>
          </cell>
          <cell r="C4160">
            <v>45764</v>
          </cell>
          <cell r="D4160" t="str">
            <v>JILANI</v>
          </cell>
          <cell r="E4160" t="str">
            <v>جاز ہٹاری لاہور</v>
          </cell>
        </row>
        <row r="4161">
          <cell r="A4161" t="str">
            <v>1872 J</v>
          </cell>
          <cell r="B4161">
            <v>11876</v>
          </cell>
          <cell r="C4161">
            <v>45764</v>
          </cell>
          <cell r="D4161" t="str">
            <v>JILANI</v>
          </cell>
          <cell r="E4161" t="str">
            <v>جاز ہٹاری لاہور</v>
          </cell>
        </row>
        <row r="4162">
          <cell r="A4162" t="str">
            <v>1873 J</v>
          </cell>
          <cell r="B4162">
            <v>11877</v>
          </cell>
          <cell r="C4162">
            <v>45764</v>
          </cell>
          <cell r="D4162" t="str">
            <v>JILANI</v>
          </cell>
          <cell r="E4162" t="str">
            <v>منظور نارنگ کلاتھ شرکپور شریف</v>
          </cell>
        </row>
        <row r="4163">
          <cell r="A4163" t="str">
            <v>1874 J</v>
          </cell>
          <cell r="B4163">
            <v>11878</v>
          </cell>
          <cell r="C4163">
            <v>45764</v>
          </cell>
          <cell r="D4163" t="str">
            <v>JILANI</v>
          </cell>
          <cell r="E4163" t="str">
            <v>عزیز الرحمان تتلیاں اعلی</v>
          </cell>
        </row>
        <row r="4164">
          <cell r="A4164" t="str">
            <v>1875 J</v>
          </cell>
          <cell r="B4164">
            <v>11879</v>
          </cell>
          <cell r="C4164">
            <v>45764</v>
          </cell>
          <cell r="D4164" t="str">
            <v>JILANI</v>
          </cell>
          <cell r="E4164" t="str">
            <v>عالم پرنٹرز بٹ خیلہ</v>
          </cell>
        </row>
        <row r="4165">
          <cell r="A4165" t="str">
            <v>1876 J</v>
          </cell>
          <cell r="B4165">
            <v>11879</v>
          </cell>
          <cell r="C4165">
            <v>45764</v>
          </cell>
          <cell r="D4165" t="str">
            <v>JILANI</v>
          </cell>
          <cell r="E4165" t="str">
            <v>عالم پرنٹرز بٹ خیلہ</v>
          </cell>
        </row>
        <row r="4166">
          <cell r="A4166" t="str">
            <v>1877 J</v>
          </cell>
          <cell r="B4166">
            <v>11880</v>
          </cell>
          <cell r="C4166">
            <v>45764</v>
          </cell>
          <cell r="D4166" t="str">
            <v>JILANI</v>
          </cell>
          <cell r="E4166" t="str">
            <v>عالم پرنٹرز بٹ خیلہ</v>
          </cell>
        </row>
        <row r="4167">
          <cell r="A4167" t="str">
            <v>1878 J</v>
          </cell>
          <cell r="B4167">
            <v>11880</v>
          </cell>
          <cell r="C4167">
            <v>45764</v>
          </cell>
          <cell r="D4167" t="str">
            <v>JILANI</v>
          </cell>
          <cell r="E4167" t="str">
            <v>عالم پرنٹرز بٹ خیلہ</v>
          </cell>
        </row>
        <row r="4168">
          <cell r="A4168" t="str">
            <v>1879 J</v>
          </cell>
          <cell r="B4168">
            <v>11881</v>
          </cell>
          <cell r="C4168">
            <v>45765</v>
          </cell>
          <cell r="D4168" t="str">
            <v>JILANI</v>
          </cell>
          <cell r="E4168" t="str">
            <v>PO CANCEL</v>
          </cell>
        </row>
        <row r="4169">
          <cell r="A4169" t="str">
            <v>1880 J</v>
          </cell>
          <cell r="B4169">
            <v>11882</v>
          </cell>
          <cell r="C4169">
            <v>45765</v>
          </cell>
          <cell r="D4169" t="str">
            <v>JILANI</v>
          </cell>
          <cell r="E4169" t="str">
            <v>عالم پرنٹرز بٹ خیلہ</v>
          </cell>
        </row>
        <row r="4170">
          <cell r="A4170" t="str">
            <v>1881 J</v>
          </cell>
          <cell r="B4170">
            <v>11883</v>
          </cell>
          <cell r="C4170">
            <v>45765</v>
          </cell>
          <cell r="D4170" t="str">
            <v>JILANI</v>
          </cell>
          <cell r="E4170" t="str">
            <v>ایچ اے انڈسٹریز پشاور</v>
          </cell>
        </row>
        <row r="4171">
          <cell r="A4171" t="str">
            <v>1882 J</v>
          </cell>
          <cell r="B4171">
            <v>11884</v>
          </cell>
          <cell r="C4171">
            <v>45765</v>
          </cell>
          <cell r="D4171" t="str">
            <v>JILANI</v>
          </cell>
          <cell r="E4171" t="str">
            <v>نواب جیلانی پلاسٹک لیہ</v>
          </cell>
        </row>
        <row r="4172">
          <cell r="A4172" t="str">
            <v>1883 J</v>
          </cell>
          <cell r="B4172">
            <v>11885</v>
          </cell>
          <cell r="C4172">
            <v>45765</v>
          </cell>
          <cell r="D4172" t="str">
            <v>JILANI</v>
          </cell>
          <cell r="E4172" t="str">
            <v>بندوخاں لاہور</v>
          </cell>
        </row>
        <row r="4173">
          <cell r="A4173" t="str">
            <v>1884 J</v>
          </cell>
          <cell r="B4173">
            <v>11885</v>
          </cell>
          <cell r="C4173">
            <v>45765</v>
          </cell>
          <cell r="D4173" t="str">
            <v>JILANI</v>
          </cell>
          <cell r="E4173" t="str">
            <v>بندوخاں لاہور</v>
          </cell>
        </row>
        <row r="4174">
          <cell r="A4174" t="str">
            <v>1885 J</v>
          </cell>
          <cell r="B4174">
            <v>11885</v>
          </cell>
          <cell r="C4174">
            <v>45765</v>
          </cell>
          <cell r="D4174" t="str">
            <v>JILANI</v>
          </cell>
          <cell r="E4174" t="str">
            <v>بندوخاں لاہور</v>
          </cell>
        </row>
        <row r="4175">
          <cell r="A4175" t="str">
            <v>1886 J</v>
          </cell>
          <cell r="B4175">
            <v>11885</v>
          </cell>
          <cell r="C4175">
            <v>45765</v>
          </cell>
          <cell r="D4175" t="str">
            <v>JILANI</v>
          </cell>
          <cell r="E4175" t="str">
            <v>بندوخاں لاہور</v>
          </cell>
        </row>
        <row r="4176">
          <cell r="A4176" t="str">
            <v>1887 J</v>
          </cell>
          <cell r="B4176">
            <v>11885</v>
          </cell>
          <cell r="C4176">
            <v>45765</v>
          </cell>
          <cell r="D4176" t="str">
            <v>JILANI</v>
          </cell>
          <cell r="E4176" t="str">
            <v>بندوخاں لاہور</v>
          </cell>
        </row>
        <row r="4177">
          <cell r="A4177" t="str">
            <v>1888 J</v>
          </cell>
          <cell r="B4177">
            <v>11886</v>
          </cell>
          <cell r="C4177">
            <v>45765</v>
          </cell>
          <cell r="D4177" t="str">
            <v>JILANI</v>
          </cell>
          <cell r="E4177" t="str">
            <v>میٹرو فیبرکس بریکوٹ سوات</v>
          </cell>
        </row>
        <row r="4178">
          <cell r="A4178" t="str">
            <v>1889 J</v>
          </cell>
          <cell r="B4178">
            <v>11887</v>
          </cell>
          <cell r="C4178">
            <v>45765</v>
          </cell>
          <cell r="D4178" t="str">
            <v>JILANI</v>
          </cell>
          <cell r="E4178" t="str">
            <v>صنم پرنٹنگ پریس قصور</v>
          </cell>
        </row>
        <row r="4179">
          <cell r="A4179" t="str">
            <v>1890 J</v>
          </cell>
          <cell r="B4179">
            <v>11887</v>
          </cell>
          <cell r="C4179">
            <v>45765</v>
          </cell>
          <cell r="D4179" t="str">
            <v>JILANI</v>
          </cell>
          <cell r="E4179" t="str">
            <v>صنم پرنٹنگ پریس قصور</v>
          </cell>
        </row>
        <row r="4180">
          <cell r="A4180" t="str">
            <v>1891 J</v>
          </cell>
          <cell r="B4180">
            <v>11888</v>
          </cell>
          <cell r="C4180">
            <v>45765</v>
          </cell>
          <cell r="D4180" t="str">
            <v>JILANI</v>
          </cell>
          <cell r="E4180" t="str">
            <v>صنم پرنٹنگ پریس قصور</v>
          </cell>
        </row>
        <row r="4181">
          <cell r="A4181" t="str">
            <v>1892 J</v>
          </cell>
          <cell r="B4181">
            <v>11888</v>
          </cell>
          <cell r="C4181">
            <v>45765</v>
          </cell>
          <cell r="D4181" t="str">
            <v>JILANI</v>
          </cell>
          <cell r="E4181" t="str">
            <v>صنم پرنٹنگ پریس قصور</v>
          </cell>
        </row>
        <row r="4182">
          <cell r="A4182" t="str">
            <v>1893 J</v>
          </cell>
          <cell r="B4182">
            <v>11889</v>
          </cell>
          <cell r="C4182">
            <v>45765</v>
          </cell>
          <cell r="D4182" t="str">
            <v>JILANI</v>
          </cell>
          <cell r="E4182" t="str">
            <v>اسامہ خالد مال بہاول نگر</v>
          </cell>
        </row>
        <row r="4183">
          <cell r="A4183" t="str">
            <v>1894 J</v>
          </cell>
          <cell r="B4183">
            <v>11889</v>
          </cell>
          <cell r="C4183">
            <v>45765</v>
          </cell>
          <cell r="D4183" t="str">
            <v>JILANI</v>
          </cell>
          <cell r="E4183" t="str">
            <v>اسامہ خالد مال بہاول نگر</v>
          </cell>
        </row>
        <row r="4184">
          <cell r="A4184" t="str">
            <v>1895 J</v>
          </cell>
          <cell r="B4184">
            <v>11890</v>
          </cell>
          <cell r="C4184">
            <v>45765</v>
          </cell>
          <cell r="D4184" t="str">
            <v>JILANI</v>
          </cell>
          <cell r="E4184" t="str">
            <v>اسامہ خالد مال بہاول نگر</v>
          </cell>
        </row>
        <row r="4185">
          <cell r="A4185" t="str">
            <v>1896 J</v>
          </cell>
          <cell r="B4185">
            <v>11890</v>
          </cell>
          <cell r="C4185">
            <v>45765</v>
          </cell>
          <cell r="D4185" t="str">
            <v>JILANI</v>
          </cell>
          <cell r="E4185" t="str">
            <v>اسامہ خالد مال بہاول نگر</v>
          </cell>
        </row>
        <row r="4186">
          <cell r="A4186" t="str">
            <v>1897 J</v>
          </cell>
          <cell r="B4186">
            <v>11891</v>
          </cell>
          <cell r="C4186">
            <v>45765</v>
          </cell>
          <cell r="D4186" t="str">
            <v>JILANI</v>
          </cell>
          <cell r="E4186" t="str">
            <v>اسامہ خالد مال بہاول نگر</v>
          </cell>
        </row>
        <row r="4187">
          <cell r="A4187" t="str">
            <v>1898 J</v>
          </cell>
          <cell r="B4187">
            <v>11892</v>
          </cell>
          <cell r="C4187">
            <v>45766</v>
          </cell>
          <cell r="D4187" t="str">
            <v>JILANI</v>
          </cell>
          <cell r="E4187" t="str">
            <v>نیشنل ربڑ کارپوریشن لاہور</v>
          </cell>
        </row>
        <row r="4188">
          <cell r="A4188" t="str">
            <v>1899 J</v>
          </cell>
          <cell r="B4188">
            <v>11892</v>
          </cell>
          <cell r="C4188">
            <v>45766</v>
          </cell>
          <cell r="D4188" t="str">
            <v>JILANI</v>
          </cell>
          <cell r="E4188" t="str">
            <v>نیشنل ربڑ کارپوریشن لاہور</v>
          </cell>
        </row>
        <row r="4189">
          <cell r="A4189" t="str">
            <v>1900 J</v>
          </cell>
          <cell r="B4189">
            <v>11893</v>
          </cell>
          <cell r="C4189">
            <v>45766</v>
          </cell>
          <cell r="D4189" t="str">
            <v>JILANI</v>
          </cell>
          <cell r="E4189" t="str">
            <v>راشد منہاس C/Oباٹا اینڈ سروس</v>
          </cell>
        </row>
        <row r="4190">
          <cell r="A4190" t="str">
            <v>1901 J</v>
          </cell>
          <cell r="B4190">
            <v>11893</v>
          </cell>
          <cell r="C4190">
            <v>45766</v>
          </cell>
          <cell r="D4190" t="str">
            <v>JILANI</v>
          </cell>
          <cell r="E4190" t="str">
            <v>راشد منہاس C/Oباٹا اینڈ سروس</v>
          </cell>
        </row>
        <row r="4191">
          <cell r="A4191" t="str">
            <v>1902 J</v>
          </cell>
          <cell r="B4191">
            <v>11894</v>
          </cell>
          <cell r="C4191">
            <v>45766</v>
          </cell>
          <cell r="D4191" t="str">
            <v>JILANI</v>
          </cell>
          <cell r="E4191" t="str">
            <v>سیالکوٹ سویٹس گوجرانوالہ</v>
          </cell>
        </row>
        <row r="4192">
          <cell r="A4192" t="str">
            <v>1903 J</v>
          </cell>
          <cell r="B4192">
            <v>11894</v>
          </cell>
          <cell r="C4192">
            <v>45766</v>
          </cell>
          <cell r="D4192" t="str">
            <v>JILANI</v>
          </cell>
          <cell r="E4192" t="str">
            <v>سیالکوٹ سویٹس گوجرانوالہ</v>
          </cell>
        </row>
        <row r="4193">
          <cell r="A4193" t="str">
            <v>1904 J</v>
          </cell>
          <cell r="B4193">
            <v>11895</v>
          </cell>
          <cell r="C4193">
            <v>45766</v>
          </cell>
          <cell r="D4193" t="str">
            <v>JILANI</v>
          </cell>
          <cell r="E4193" t="str">
            <v>المدینہ شال ٹاؤن شپ لاہور</v>
          </cell>
        </row>
        <row r="4194">
          <cell r="A4194" t="str">
            <v>1905 J</v>
          </cell>
          <cell r="B4194">
            <v>11895</v>
          </cell>
          <cell r="C4194">
            <v>45766</v>
          </cell>
          <cell r="D4194" t="str">
            <v>JILANI</v>
          </cell>
          <cell r="E4194" t="str">
            <v>المدینہ شال ٹاؤن شپ لاہور</v>
          </cell>
        </row>
        <row r="4195">
          <cell r="A4195" t="str">
            <v>1906 J</v>
          </cell>
          <cell r="B4195">
            <v>11896</v>
          </cell>
          <cell r="C4195">
            <v>45766</v>
          </cell>
          <cell r="D4195" t="str">
            <v>JILANI</v>
          </cell>
          <cell r="E4195" t="str">
            <v>بن یوسف چوبرجی</v>
          </cell>
        </row>
        <row r="4196">
          <cell r="A4196" t="str">
            <v>1907 J</v>
          </cell>
          <cell r="B4196">
            <v>11896</v>
          </cell>
          <cell r="C4196">
            <v>45766</v>
          </cell>
          <cell r="D4196" t="str">
            <v>JILANI</v>
          </cell>
          <cell r="E4196" t="str">
            <v>بن یوسف چوبرجی</v>
          </cell>
        </row>
        <row r="4197">
          <cell r="A4197" t="str">
            <v>1908 J</v>
          </cell>
          <cell r="B4197">
            <v>11897</v>
          </cell>
          <cell r="C4197">
            <v>45766</v>
          </cell>
          <cell r="D4197" t="str">
            <v>JILANI</v>
          </cell>
          <cell r="E4197" t="str">
            <v>اٹلس ہنڈا لمیٹڈ شیخوپورہ</v>
          </cell>
        </row>
        <row r="4198">
          <cell r="A4198" t="str">
            <v>1909 J</v>
          </cell>
          <cell r="B4198">
            <v>11898</v>
          </cell>
          <cell r="C4198">
            <v>45766</v>
          </cell>
          <cell r="D4198" t="str">
            <v>JILANI</v>
          </cell>
          <cell r="E4198" t="str">
            <v>اٹلس ہنڈا لمیٹڈ شیخوپورہ</v>
          </cell>
        </row>
        <row r="4199">
          <cell r="A4199" t="str">
            <v>1910 J</v>
          </cell>
          <cell r="B4199">
            <v>11899</v>
          </cell>
          <cell r="C4199">
            <v>45766</v>
          </cell>
          <cell r="D4199" t="str">
            <v>JILANI</v>
          </cell>
          <cell r="E4199" t="str">
            <v>اٹلس ہنڈا لمیٹڈ شیخوپورہ</v>
          </cell>
        </row>
        <row r="4200">
          <cell r="A4200" t="str">
            <v>1911 J</v>
          </cell>
          <cell r="B4200">
            <v>11900</v>
          </cell>
          <cell r="C4200">
            <v>45766</v>
          </cell>
          <cell r="D4200" t="str">
            <v>JILANI</v>
          </cell>
          <cell r="E4200" t="str">
            <v>اٹلس ہنڈا لمیٹڈ شیخوپورہ</v>
          </cell>
        </row>
        <row r="4201">
          <cell r="A4201" t="str">
            <v>1912 J</v>
          </cell>
          <cell r="B4201">
            <v>11901</v>
          </cell>
          <cell r="C4201">
            <v>45766</v>
          </cell>
          <cell r="D4201" t="str">
            <v>JILANI</v>
          </cell>
          <cell r="E4201" t="str">
            <v>اٹلس ہنڈا لمیٹڈ شیخوپورہ</v>
          </cell>
        </row>
        <row r="4202">
          <cell r="A4202" t="str">
            <v>1913 J</v>
          </cell>
          <cell r="B4202">
            <v>11902</v>
          </cell>
          <cell r="C4202">
            <v>45766</v>
          </cell>
          <cell r="D4202" t="str">
            <v>JILANI</v>
          </cell>
          <cell r="E4202" t="str">
            <v>اٹلس ہنڈا لمیٹڈ شیخوپورہ</v>
          </cell>
        </row>
        <row r="4203">
          <cell r="A4203" t="str">
            <v>1914 J</v>
          </cell>
          <cell r="B4203">
            <v>11903</v>
          </cell>
          <cell r="C4203">
            <v>45766</v>
          </cell>
          <cell r="D4203" t="str">
            <v>JILANI</v>
          </cell>
          <cell r="E4203" t="str">
            <v>اٹلس ہنڈا لمیٹڈ شیخوپورہ</v>
          </cell>
        </row>
        <row r="4204">
          <cell r="A4204" t="str">
            <v>1377 F</v>
          </cell>
          <cell r="B4204"/>
          <cell r="C4204">
            <v>45765</v>
          </cell>
          <cell r="D4204" t="str">
            <v>فینا</v>
          </cell>
          <cell r="E4204" t="str">
            <v>عثمان امین</v>
          </cell>
        </row>
        <row r="4205">
          <cell r="A4205" t="str">
            <v>1378 F</v>
          </cell>
          <cell r="B4205"/>
          <cell r="C4205">
            <v>45765</v>
          </cell>
          <cell r="D4205" t="str">
            <v>فینا</v>
          </cell>
          <cell r="E4205" t="str">
            <v>عثمان امین</v>
          </cell>
        </row>
        <row r="4206">
          <cell r="A4206" t="str">
            <v>1379 F</v>
          </cell>
          <cell r="B4206"/>
          <cell r="C4206">
            <v>45766</v>
          </cell>
          <cell r="D4206" t="str">
            <v>فینا</v>
          </cell>
          <cell r="E4206" t="str">
            <v>عثمان امین</v>
          </cell>
        </row>
        <row r="4207">
          <cell r="A4207" t="str">
            <v>1380 F</v>
          </cell>
          <cell r="B4207"/>
          <cell r="C4207">
            <v>45766</v>
          </cell>
          <cell r="D4207" t="str">
            <v>فینا</v>
          </cell>
          <cell r="E4207" t="str">
            <v>عثمان امین</v>
          </cell>
        </row>
        <row r="4208">
          <cell r="A4208" t="str">
            <v>1381 F</v>
          </cell>
          <cell r="B4208"/>
          <cell r="C4208">
            <v>45766</v>
          </cell>
          <cell r="D4208" t="str">
            <v>فینا</v>
          </cell>
          <cell r="E4208" t="str">
            <v>عثمان امین</v>
          </cell>
        </row>
        <row r="4209">
          <cell r="A4209" t="str">
            <v>1382 F</v>
          </cell>
          <cell r="B4209"/>
          <cell r="C4209">
            <v>45766</v>
          </cell>
          <cell r="D4209" t="str">
            <v>فینا</v>
          </cell>
          <cell r="E4209" t="str">
            <v>عثمان امین</v>
          </cell>
        </row>
        <row r="4210">
          <cell r="A4210" t="str">
            <v>1383 F</v>
          </cell>
          <cell r="B4210"/>
          <cell r="C4210">
            <v>45766</v>
          </cell>
          <cell r="D4210" t="str">
            <v>فینا</v>
          </cell>
          <cell r="E4210" t="str">
            <v>عثمان امین</v>
          </cell>
        </row>
        <row r="4211">
          <cell r="A4211" t="str">
            <v>1384 F</v>
          </cell>
          <cell r="B4211"/>
          <cell r="C4211">
            <v>45766</v>
          </cell>
          <cell r="D4211" t="str">
            <v>فینا</v>
          </cell>
          <cell r="E4211" t="str">
            <v>عثمان امین</v>
          </cell>
        </row>
        <row r="4212">
          <cell r="A4212" t="str">
            <v>1385 F</v>
          </cell>
          <cell r="B4212"/>
          <cell r="C4212">
            <v>45766</v>
          </cell>
          <cell r="D4212" t="str">
            <v>فینا</v>
          </cell>
          <cell r="E4212" t="str">
            <v>عثمان امین</v>
          </cell>
        </row>
        <row r="4213">
          <cell r="A4213" t="str">
            <v>1386 F</v>
          </cell>
          <cell r="B4213"/>
          <cell r="C4213">
            <v>45766</v>
          </cell>
          <cell r="D4213" t="str">
            <v>فینا</v>
          </cell>
          <cell r="E4213" t="str">
            <v>عثمان امین</v>
          </cell>
        </row>
        <row r="4214">
          <cell r="A4214" t="str">
            <v>1387 F</v>
          </cell>
          <cell r="B4214"/>
          <cell r="C4214">
            <v>45766</v>
          </cell>
          <cell r="D4214" t="str">
            <v>فینا</v>
          </cell>
          <cell r="E4214" t="str">
            <v>عثمان امین</v>
          </cell>
        </row>
        <row r="4215">
          <cell r="A4215" t="str">
            <v>6784/1</v>
          </cell>
          <cell r="B4215">
            <v>6784</v>
          </cell>
          <cell r="C4215">
            <v>45762</v>
          </cell>
          <cell r="D4215" t="str">
            <v>یونس صاحب</v>
          </cell>
          <cell r="E4215" t="str">
            <v>ایم رمضان  صاد ق آباد</v>
          </cell>
        </row>
        <row r="4216">
          <cell r="A4216" t="str">
            <v>6784/2</v>
          </cell>
          <cell r="B4216">
            <v>6784</v>
          </cell>
          <cell r="C4216">
            <v>45762</v>
          </cell>
          <cell r="D4216" t="str">
            <v>یونس صاحب</v>
          </cell>
          <cell r="E4216" t="str">
            <v>ایم رمضان  صاد ق آباد</v>
          </cell>
        </row>
        <row r="4217">
          <cell r="A4217" t="str">
            <v>6784/3</v>
          </cell>
          <cell r="B4217">
            <v>6784</v>
          </cell>
          <cell r="C4217">
            <v>45762</v>
          </cell>
          <cell r="D4217" t="str">
            <v>یونس صاحب</v>
          </cell>
          <cell r="E4217" t="str">
            <v>ایم رمضان  صاد ق آباد</v>
          </cell>
        </row>
        <row r="4218">
          <cell r="A4218" t="str">
            <v>6784/4</v>
          </cell>
          <cell r="B4218">
            <v>6784</v>
          </cell>
          <cell r="C4218">
            <v>45762</v>
          </cell>
          <cell r="D4218" t="str">
            <v>یونس صاحب</v>
          </cell>
          <cell r="E4218" t="str">
            <v>ایم رمضان  صاد ق آباد</v>
          </cell>
        </row>
        <row r="4219">
          <cell r="A4219" t="str">
            <v>6784/5</v>
          </cell>
          <cell r="B4219">
            <v>6784</v>
          </cell>
          <cell r="C4219">
            <v>45762</v>
          </cell>
          <cell r="D4219" t="str">
            <v>یونس صاحب</v>
          </cell>
          <cell r="E4219" t="str">
            <v>ایم رمضان  صاد ق آباد</v>
          </cell>
        </row>
        <row r="4220">
          <cell r="A4220" t="str">
            <v>6784/6</v>
          </cell>
          <cell r="B4220">
            <v>6784</v>
          </cell>
          <cell r="C4220">
            <v>45762</v>
          </cell>
          <cell r="D4220" t="str">
            <v>یونس صاحب</v>
          </cell>
          <cell r="E4220" t="str">
            <v>ایم رمضان  صاد ق آباد</v>
          </cell>
        </row>
        <row r="4221">
          <cell r="A4221" t="str">
            <v>6784/7</v>
          </cell>
          <cell r="B4221">
            <v>6784</v>
          </cell>
          <cell r="C4221">
            <v>45762</v>
          </cell>
          <cell r="D4221" t="str">
            <v>یونس صاحب</v>
          </cell>
          <cell r="E4221" t="str">
            <v>ایم رمضان  صاد ق آباد</v>
          </cell>
        </row>
        <row r="4222">
          <cell r="A4222" t="str">
            <v>6784/8</v>
          </cell>
          <cell r="B4222">
            <v>6784</v>
          </cell>
          <cell r="C4222">
            <v>45762</v>
          </cell>
          <cell r="D4222" t="str">
            <v>یونس صاحب</v>
          </cell>
          <cell r="E4222" t="str">
            <v>ایم رمضان  صاد ق آباد</v>
          </cell>
        </row>
        <row r="4223">
          <cell r="A4223" t="str">
            <v>6784/9</v>
          </cell>
          <cell r="B4223">
            <v>6784</v>
          </cell>
          <cell r="C4223">
            <v>45762</v>
          </cell>
          <cell r="D4223" t="str">
            <v>یونس صاحب</v>
          </cell>
          <cell r="E4223" t="str">
            <v>ایم رمضان  صاد ق آباد</v>
          </cell>
        </row>
        <row r="4224">
          <cell r="A4224" t="str">
            <v>6784/10</v>
          </cell>
          <cell r="B4224">
            <v>6784</v>
          </cell>
          <cell r="C4224">
            <v>45762</v>
          </cell>
          <cell r="D4224" t="str">
            <v>یونس صاحب</v>
          </cell>
          <cell r="E4224" t="str">
            <v>ایم رمضان  صاد ق آباد</v>
          </cell>
        </row>
        <row r="4225">
          <cell r="A4225" t="str">
            <v>6784/11</v>
          </cell>
          <cell r="B4225">
            <v>6784</v>
          </cell>
          <cell r="C4225">
            <v>45762</v>
          </cell>
          <cell r="D4225" t="str">
            <v>یونس صاحب</v>
          </cell>
          <cell r="E4225" t="str">
            <v>ایم رمضان  صاد ق آباد</v>
          </cell>
        </row>
        <row r="4226">
          <cell r="A4226" t="str">
            <v>6784/12</v>
          </cell>
          <cell r="B4226">
            <v>6784</v>
          </cell>
          <cell r="C4226">
            <v>45762</v>
          </cell>
          <cell r="D4226" t="str">
            <v>یونس صاحب</v>
          </cell>
          <cell r="E4226" t="str">
            <v>ایم رمضان  صاد ق آباد</v>
          </cell>
        </row>
        <row r="4227">
          <cell r="A4227" t="str">
            <v>6784/13</v>
          </cell>
          <cell r="B4227">
            <v>6784</v>
          </cell>
          <cell r="C4227">
            <v>45762</v>
          </cell>
          <cell r="D4227" t="str">
            <v>یونس صاحب</v>
          </cell>
          <cell r="E4227" t="str">
            <v>ایم رمضان  صاد ق آباد</v>
          </cell>
        </row>
        <row r="4228">
          <cell r="A4228" t="str">
            <v>6784/14</v>
          </cell>
          <cell r="B4228">
            <v>6784</v>
          </cell>
          <cell r="C4228">
            <v>45762</v>
          </cell>
          <cell r="D4228" t="str">
            <v>یونس صاحب</v>
          </cell>
          <cell r="E4228" t="str">
            <v>ایم رمضان  صاد ق آباد</v>
          </cell>
        </row>
        <row r="4229">
          <cell r="A4229" t="str">
            <v>6785/1</v>
          </cell>
          <cell r="B4229">
            <v>6785</v>
          </cell>
          <cell r="C4229">
            <v>45762</v>
          </cell>
          <cell r="D4229" t="str">
            <v>یونس صاحب</v>
          </cell>
          <cell r="E4229" t="str">
            <v>عبد الباری وہاڑی</v>
          </cell>
        </row>
        <row r="4230">
          <cell r="A4230" t="str">
            <v>6786/1</v>
          </cell>
          <cell r="B4230">
            <v>6786</v>
          </cell>
          <cell r="C4230">
            <v>45762</v>
          </cell>
          <cell r="D4230" t="str">
            <v>یونس صاحب</v>
          </cell>
          <cell r="E4230" t="str">
            <v>احسن علی ملتان</v>
          </cell>
        </row>
        <row r="4231">
          <cell r="A4231" t="str">
            <v>6786/2</v>
          </cell>
          <cell r="B4231">
            <v>6786</v>
          </cell>
          <cell r="C4231">
            <v>45762</v>
          </cell>
          <cell r="D4231" t="str">
            <v>یونس صاحب</v>
          </cell>
          <cell r="E4231" t="str">
            <v>احسن علی ملتان</v>
          </cell>
        </row>
        <row r="4232">
          <cell r="A4232" t="str">
            <v>6786/3</v>
          </cell>
          <cell r="B4232">
            <v>6786</v>
          </cell>
          <cell r="C4232">
            <v>45762</v>
          </cell>
          <cell r="D4232" t="str">
            <v>یونس صاحب</v>
          </cell>
          <cell r="E4232" t="str">
            <v>احسن علی ملتان</v>
          </cell>
        </row>
        <row r="4233">
          <cell r="A4233" t="str">
            <v>6787/1</v>
          </cell>
          <cell r="B4233">
            <v>6787</v>
          </cell>
          <cell r="C4233">
            <v>45763</v>
          </cell>
          <cell r="D4233" t="str">
            <v>یونس صاحب</v>
          </cell>
          <cell r="E4233" t="str">
            <v>عبدالرشید اسلام ٓاباد</v>
          </cell>
        </row>
        <row r="4234">
          <cell r="A4234" t="str">
            <v>6787/2</v>
          </cell>
          <cell r="B4234">
            <v>6787</v>
          </cell>
          <cell r="C4234">
            <v>45763</v>
          </cell>
          <cell r="D4234" t="str">
            <v>یونس صاحب</v>
          </cell>
          <cell r="E4234" t="str">
            <v>عبدالرشید اسلام ٓاباد</v>
          </cell>
        </row>
        <row r="4235">
          <cell r="A4235" t="str">
            <v>6788/1</v>
          </cell>
          <cell r="B4235">
            <v>6788</v>
          </cell>
          <cell r="C4235">
            <v>45763</v>
          </cell>
          <cell r="D4235" t="str">
            <v>یونس صاحب</v>
          </cell>
          <cell r="E4235" t="str">
            <v>ریفلکٹ پیک لاہور</v>
          </cell>
        </row>
        <row r="4236">
          <cell r="A4236" t="str">
            <v>6789/1</v>
          </cell>
          <cell r="B4236">
            <v>6789</v>
          </cell>
          <cell r="C4236">
            <v>45763</v>
          </cell>
          <cell r="D4236" t="str">
            <v>یونس صاحب</v>
          </cell>
          <cell r="E4236" t="str">
            <v>مقبول پرنٹر ہری پور</v>
          </cell>
        </row>
        <row r="4237">
          <cell r="A4237" t="str">
            <v>6789/2</v>
          </cell>
          <cell r="B4237">
            <v>6789</v>
          </cell>
          <cell r="C4237">
            <v>45763</v>
          </cell>
          <cell r="D4237" t="str">
            <v>یونس صاحب</v>
          </cell>
          <cell r="E4237" t="str">
            <v>مقبول پرنٹر ہری پور</v>
          </cell>
        </row>
        <row r="4238">
          <cell r="A4238" t="str">
            <v>6790/1</v>
          </cell>
          <cell r="B4238">
            <v>6790</v>
          </cell>
          <cell r="C4238">
            <v>45763</v>
          </cell>
          <cell r="D4238" t="str">
            <v>یونس صاحب</v>
          </cell>
          <cell r="E4238" t="str">
            <v>عثمان امین لاہور</v>
          </cell>
        </row>
        <row r="4239">
          <cell r="A4239" t="str">
            <v>6791/1</v>
          </cell>
          <cell r="B4239">
            <v>6791</v>
          </cell>
          <cell r="C4239">
            <v>45763</v>
          </cell>
          <cell r="D4239" t="str">
            <v>یونس صاحب</v>
          </cell>
          <cell r="E4239" t="str">
            <v>عرفان احمد اعظم مارکیٹ</v>
          </cell>
        </row>
        <row r="4240">
          <cell r="A4240" t="str">
            <v>6792/1</v>
          </cell>
          <cell r="B4240">
            <v>6792</v>
          </cell>
          <cell r="C4240">
            <v>45763</v>
          </cell>
          <cell r="D4240" t="str">
            <v>یونس صاحب</v>
          </cell>
          <cell r="E4240" t="str">
            <v>نذیر پلاسٹک فیصل آباد</v>
          </cell>
        </row>
        <row r="4241">
          <cell r="A4241" t="str">
            <v>6792/2</v>
          </cell>
          <cell r="B4241">
            <v>6792</v>
          </cell>
          <cell r="C4241">
            <v>45763</v>
          </cell>
          <cell r="D4241" t="str">
            <v>یونس صاحب</v>
          </cell>
          <cell r="E4241" t="str">
            <v>نذیر پلاسٹک فیصل آباد</v>
          </cell>
        </row>
        <row r="4242">
          <cell r="A4242" t="str">
            <v>6792/3</v>
          </cell>
          <cell r="B4242">
            <v>6792</v>
          </cell>
          <cell r="C4242">
            <v>45763</v>
          </cell>
          <cell r="D4242" t="str">
            <v>یونس صاحب</v>
          </cell>
          <cell r="E4242" t="str">
            <v>نذیر پلاسٹک فیصل آباد</v>
          </cell>
        </row>
        <row r="4243">
          <cell r="A4243" t="str">
            <v>6792/4</v>
          </cell>
          <cell r="B4243">
            <v>6792</v>
          </cell>
          <cell r="C4243">
            <v>45763</v>
          </cell>
          <cell r="D4243" t="str">
            <v>یونس صاحب</v>
          </cell>
          <cell r="E4243" t="str">
            <v>نذیر پلاسٹک فیصل آباد</v>
          </cell>
        </row>
        <row r="4244">
          <cell r="A4244" t="str">
            <v>6792/5</v>
          </cell>
          <cell r="B4244">
            <v>6792</v>
          </cell>
          <cell r="C4244">
            <v>45763</v>
          </cell>
          <cell r="D4244" t="str">
            <v>یونس صاحب</v>
          </cell>
          <cell r="E4244" t="str">
            <v>نذیر پلاسٹک فیصل آباد</v>
          </cell>
        </row>
        <row r="4245">
          <cell r="A4245" t="str">
            <v>6793/1</v>
          </cell>
          <cell r="B4245">
            <v>6793</v>
          </cell>
          <cell r="C4245">
            <v>45763</v>
          </cell>
          <cell r="D4245" t="str">
            <v>یونس صاحب</v>
          </cell>
          <cell r="E4245" t="str">
            <v>حاجی اسلماعیل وہاڑی</v>
          </cell>
        </row>
        <row r="4246">
          <cell r="A4246" t="str">
            <v>6793/2</v>
          </cell>
          <cell r="B4246">
            <v>6793</v>
          </cell>
          <cell r="C4246">
            <v>45763</v>
          </cell>
          <cell r="D4246" t="str">
            <v>یونس صاحب</v>
          </cell>
          <cell r="E4246" t="str">
            <v>حاجی اسلماعیل وہاڑی</v>
          </cell>
        </row>
        <row r="4247">
          <cell r="A4247" t="str">
            <v>6793/3</v>
          </cell>
          <cell r="B4247">
            <v>6793</v>
          </cell>
          <cell r="C4247">
            <v>45763</v>
          </cell>
          <cell r="D4247" t="str">
            <v>یونس صاحب</v>
          </cell>
          <cell r="E4247" t="str">
            <v>حاجی اسلماعیل وہاڑی</v>
          </cell>
        </row>
        <row r="4248">
          <cell r="A4248" t="str">
            <v>6793/4</v>
          </cell>
          <cell r="B4248">
            <v>6793</v>
          </cell>
          <cell r="C4248">
            <v>45763</v>
          </cell>
          <cell r="D4248" t="str">
            <v>یونس صاحب</v>
          </cell>
          <cell r="E4248" t="str">
            <v>حاجی اسلماعیل وہاڑی</v>
          </cell>
        </row>
        <row r="4249">
          <cell r="A4249" t="str">
            <v>6793/5</v>
          </cell>
          <cell r="B4249">
            <v>6793</v>
          </cell>
          <cell r="C4249">
            <v>45763</v>
          </cell>
          <cell r="D4249" t="str">
            <v>یونس صاحب</v>
          </cell>
          <cell r="E4249" t="str">
            <v>حاجی اسلماعیل وہاڑی</v>
          </cell>
        </row>
        <row r="4250">
          <cell r="A4250" t="str">
            <v>6793/6</v>
          </cell>
          <cell r="B4250">
            <v>6793</v>
          </cell>
          <cell r="C4250">
            <v>45763</v>
          </cell>
          <cell r="D4250" t="str">
            <v>یونس صاحب</v>
          </cell>
          <cell r="E4250" t="str">
            <v>حاجی اسلماعیل وہاڑی</v>
          </cell>
        </row>
        <row r="4251">
          <cell r="A4251" t="str">
            <v>6793/7</v>
          </cell>
          <cell r="B4251">
            <v>6793</v>
          </cell>
          <cell r="C4251">
            <v>45763</v>
          </cell>
          <cell r="D4251" t="str">
            <v>یونس صاحب</v>
          </cell>
          <cell r="E4251" t="str">
            <v>حاجی اسلماعیل وہاڑی</v>
          </cell>
        </row>
        <row r="4252">
          <cell r="A4252" t="str">
            <v>6793/8</v>
          </cell>
          <cell r="B4252">
            <v>6793</v>
          </cell>
          <cell r="C4252">
            <v>45763</v>
          </cell>
          <cell r="D4252" t="str">
            <v>یونس صاحب</v>
          </cell>
          <cell r="E4252" t="str">
            <v>حاجی اسلماعیل وہاڑی</v>
          </cell>
        </row>
        <row r="4253">
          <cell r="A4253" t="str">
            <v>6793/9</v>
          </cell>
          <cell r="B4253">
            <v>6793</v>
          </cell>
          <cell r="C4253">
            <v>45763</v>
          </cell>
          <cell r="D4253" t="str">
            <v>یونس صاحب</v>
          </cell>
          <cell r="E4253" t="str">
            <v>حاجی اسلماعیل وہاڑی</v>
          </cell>
        </row>
        <row r="4254">
          <cell r="A4254" t="str">
            <v>6793/10</v>
          </cell>
          <cell r="B4254">
            <v>6793</v>
          </cell>
          <cell r="C4254">
            <v>45763</v>
          </cell>
          <cell r="D4254" t="str">
            <v>یونس صاحب</v>
          </cell>
          <cell r="E4254" t="str">
            <v>حاجی اسلماعیل وہاڑی</v>
          </cell>
        </row>
        <row r="4255">
          <cell r="A4255" t="str">
            <v>6793/11</v>
          </cell>
          <cell r="B4255">
            <v>6793</v>
          </cell>
          <cell r="C4255">
            <v>45763</v>
          </cell>
          <cell r="D4255" t="str">
            <v>یونس صاحب</v>
          </cell>
          <cell r="E4255" t="str">
            <v>حاجی اسلماعیل وہاڑی</v>
          </cell>
        </row>
        <row r="4256">
          <cell r="A4256" t="str">
            <v>6793/12</v>
          </cell>
          <cell r="B4256">
            <v>6793</v>
          </cell>
          <cell r="C4256">
            <v>45763</v>
          </cell>
          <cell r="D4256" t="str">
            <v>یونس صاحب</v>
          </cell>
          <cell r="E4256" t="str">
            <v>حاجی اسلماعیل وہاڑی</v>
          </cell>
        </row>
        <row r="4257">
          <cell r="A4257" t="str">
            <v>6794/1</v>
          </cell>
          <cell r="B4257">
            <v>6794</v>
          </cell>
          <cell r="C4257">
            <v>45763</v>
          </cell>
          <cell r="D4257" t="str">
            <v>یونس صاحب</v>
          </cell>
          <cell r="E4257" t="str">
            <v>احمد فاروقی جہلم</v>
          </cell>
        </row>
        <row r="4258">
          <cell r="A4258" t="str">
            <v>6795/1</v>
          </cell>
          <cell r="B4258">
            <v>6795</v>
          </cell>
          <cell r="C4258">
            <v>45764</v>
          </cell>
          <cell r="D4258" t="str">
            <v>یونس صاحب</v>
          </cell>
          <cell r="E4258" t="str">
            <v>وہاڑی پلاسٹک وہاڑی</v>
          </cell>
        </row>
        <row r="4259">
          <cell r="A4259" t="str">
            <v>6795/2</v>
          </cell>
          <cell r="B4259">
            <v>6795</v>
          </cell>
          <cell r="C4259">
            <v>45764</v>
          </cell>
          <cell r="D4259" t="str">
            <v>یونس صاحب</v>
          </cell>
          <cell r="E4259" t="str">
            <v>وہاڑی پلاسٹک وہاڑی</v>
          </cell>
        </row>
        <row r="4260">
          <cell r="A4260" t="str">
            <v>6795/3</v>
          </cell>
          <cell r="B4260">
            <v>6795</v>
          </cell>
          <cell r="C4260">
            <v>45764</v>
          </cell>
          <cell r="D4260" t="str">
            <v>یونس صاحب</v>
          </cell>
          <cell r="E4260" t="str">
            <v>وہاڑی پلاسٹک وہاڑی</v>
          </cell>
        </row>
        <row r="4261">
          <cell r="A4261" t="str">
            <v>6795/4</v>
          </cell>
          <cell r="B4261">
            <v>6795</v>
          </cell>
          <cell r="C4261">
            <v>45764</v>
          </cell>
          <cell r="D4261" t="str">
            <v>یونس صاحب</v>
          </cell>
          <cell r="E4261" t="str">
            <v>وہاڑی پلاسٹک وہاڑی</v>
          </cell>
        </row>
        <row r="4262">
          <cell r="A4262" t="str">
            <v>6796/1</v>
          </cell>
          <cell r="B4262">
            <v>6796</v>
          </cell>
          <cell r="C4262">
            <v>45764</v>
          </cell>
          <cell r="D4262" t="str">
            <v>یونس صاحب</v>
          </cell>
          <cell r="E4262" t="str">
            <v>عمیر پلاسٹک وہازی</v>
          </cell>
        </row>
        <row r="4263">
          <cell r="A4263" t="str">
            <v>6796/2</v>
          </cell>
          <cell r="B4263">
            <v>6796</v>
          </cell>
          <cell r="C4263">
            <v>45764</v>
          </cell>
          <cell r="D4263" t="str">
            <v>یونس صاحب</v>
          </cell>
          <cell r="E4263" t="str">
            <v>عمیر پلاسٹک وہازی</v>
          </cell>
        </row>
        <row r="4264">
          <cell r="A4264" t="str">
            <v>6796/3</v>
          </cell>
          <cell r="B4264">
            <v>6796</v>
          </cell>
          <cell r="C4264">
            <v>45764</v>
          </cell>
          <cell r="D4264" t="str">
            <v>یونس صاحب</v>
          </cell>
          <cell r="E4264" t="str">
            <v>عمیر پلاسٹک وہازی</v>
          </cell>
        </row>
        <row r="4265">
          <cell r="A4265" t="str">
            <v>6796/4</v>
          </cell>
          <cell r="B4265">
            <v>6796</v>
          </cell>
          <cell r="C4265">
            <v>45764</v>
          </cell>
          <cell r="D4265" t="str">
            <v>یونس صاحب</v>
          </cell>
          <cell r="E4265" t="str">
            <v>عمیر پلاسٹک وہازی</v>
          </cell>
        </row>
        <row r="4266">
          <cell r="A4266" t="str">
            <v>6797/1</v>
          </cell>
          <cell r="B4266">
            <v>6797</v>
          </cell>
          <cell r="C4266">
            <v>45764</v>
          </cell>
          <cell r="D4266" t="str">
            <v>یونس صاحب</v>
          </cell>
          <cell r="E4266" t="str">
            <v>العمر پلاسٹک گوجرانوالہ</v>
          </cell>
        </row>
        <row r="4267">
          <cell r="A4267" t="str">
            <v>6798/1</v>
          </cell>
          <cell r="B4267">
            <v>6798</v>
          </cell>
          <cell r="C4267">
            <v>45765</v>
          </cell>
          <cell r="D4267" t="str">
            <v>یونس صاحب</v>
          </cell>
          <cell r="E4267" t="str">
            <v>ریفلکٹ پیک لاہور</v>
          </cell>
        </row>
        <row r="4268">
          <cell r="A4268" t="str">
            <v>6798/2</v>
          </cell>
          <cell r="B4268">
            <v>6798</v>
          </cell>
          <cell r="C4268">
            <v>45765</v>
          </cell>
          <cell r="D4268" t="str">
            <v>یونس صاحب</v>
          </cell>
          <cell r="E4268" t="str">
            <v>ریفلکٹ پیک لاہور</v>
          </cell>
        </row>
        <row r="4269">
          <cell r="A4269" t="str">
            <v>6799/1</v>
          </cell>
          <cell r="B4269">
            <v>6799</v>
          </cell>
          <cell r="C4269">
            <v>45765</v>
          </cell>
          <cell r="D4269" t="str">
            <v>یونس صاحب</v>
          </cell>
          <cell r="E4269" t="str">
            <v>وحید پلاسٹک گوجرانوالہ</v>
          </cell>
        </row>
        <row r="4270">
          <cell r="A4270" t="str">
            <v>6799/2</v>
          </cell>
          <cell r="B4270">
            <v>6799</v>
          </cell>
          <cell r="C4270">
            <v>45765</v>
          </cell>
          <cell r="D4270" t="str">
            <v>یونس صاحب</v>
          </cell>
          <cell r="E4270" t="str">
            <v>وحید پلاسٹک گوجرانوالہ</v>
          </cell>
        </row>
        <row r="4271">
          <cell r="A4271" t="str">
            <v>6800/1</v>
          </cell>
          <cell r="B4271">
            <v>6800</v>
          </cell>
          <cell r="C4271">
            <v>45765</v>
          </cell>
          <cell r="D4271" t="str">
            <v>یونس صاحب</v>
          </cell>
          <cell r="E4271" t="str">
            <v>عبدالکریم وہاڑی</v>
          </cell>
        </row>
        <row r="4272">
          <cell r="A4272" t="str">
            <v>6800/2</v>
          </cell>
          <cell r="B4272">
            <v>6800</v>
          </cell>
          <cell r="C4272">
            <v>45765</v>
          </cell>
          <cell r="D4272" t="str">
            <v>یونس صاحب</v>
          </cell>
          <cell r="E4272" t="str">
            <v>عبدالکریم وہاڑی</v>
          </cell>
        </row>
        <row r="4273">
          <cell r="A4273" t="str">
            <v>6801/1</v>
          </cell>
          <cell r="B4273">
            <v>6801</v>
          </cell>
          <cell r="C4273">
            <v>45765</v>
          </cell>
          <cell r="D4273" t="str">
            <v>یونس صاحب</v>
          </cell>
          <cell r="E4273" t="str">
            <v>ایم بوٹا اعظم مارکیٹ</v>
          </cell>
        </row>
        <row r="4274">
          <cell r="A4274" t="str">
            <v>6801/2</v>
          </cell>
          <cell r="B4274">
            <v>6801</v>
          </cell>
          <cell r="C4274">
            <v>45765</v>
          </cell>
          <cell r="D4274" t="str">
            <v>یونس صاحب</v>
          </cell>
          <cell r="E4274" t="str">
            <v>ایم بوٹا اعظم مارکیٹ</v>
          </cell>
        </row>
        <row r="4275">
          <cell r="A4275" t="str">
            <v>6801/3</v>
          </cell>
          <cell r="B4275">
            <v>6801</v>
          </cell>
          <cell r="C4275">
            <v>45765</v>
          </cell>
          <cell r="D4275" t="str">
            <v>یونس صاحب</v>
          </cell>
          <cell r="E4275" t="str">
            <v>ایم بوٹا اعظم مارکیٹ</v>
          </cell>
        </row>
        <row r="4276">
          <cell r="A4276" t="str">
            <v>6802/1</v>
          </cell>
          <cell r="B4276">
            <v>6802</v>
          </cell>
          <cell r="C4276">
            <v>45765</v>
          </cell>
          <cell r="D4276" t="str">
            <v>یونس صاحب</v>
          </cell>
          <cell r="E4276" t="str">
            <v>ایم دین  بند ل</v>
          </cell>
        </row>
        <row r="4277">
          <cell r="A4277" t="str">
            <v>6803/1</v>
          </cell>
          <cell r="B4277">
            <v>6803</v>
          </cell>
          <cell r="C4277">
            <v>45766</v>
          </cell>
          <cell r="D4277" t="str">
            <v>یونس صاحب</v>
          </cell>
          <cell r="E4277" t="str">
            <v>وحید پلاسٹک گوجرانوالہ</v>
          </cell>
        </row>
        <row r="4278">
          <cell r="A4278" t="str">
            <v>6803/2</v>
          </cell>
          <cell r="B4278">
            <v>6803</v>
          </cell>
          <cell r="C4278">
            <v>45766</v>
          </cell>
          <cell r="D4278" t="str">
            <v>یونس صاحب</v>
          </cell>
          <cell r="E4278" t="str">
            <v>وحید پلاسٹک گوجرانوالہ</v>
          </cell>
        </row>
        <row r="4279">
          <cell r="A4279" t="str">
            <v>6803/3</v>
          </cell>
          <cell r="B4279">
            <v>6803</v>
          </cell>
          <cell r="C4279">
            <v>45766</v>
          </cell>
          <cell r="D4279" t="str">
            <v>یونس صاحب</v>
          </cell>
          <cell r="E4279" t="str">
            <v>وحید پلاسٹک گوجرانوالہ</v>
          </cell>
        </row>
        <row r="4280">
          <cell r="A4280" t="str">
            <v>6803/4</v>
          </cell>
          <cell r="B4280">
            <v>6803</v>
          </cell>
          <cell r="C4280">
            <v>45766</v>
          </cell>
          <cell r="D4280" t="str">
            <v>یونس صاحب</v>
          </cell>
          <cell r="E4280" t="str">
            <v>وحید پلاسٹک گوجرانوالہ</v>
          </cell>
        </row>
        <row r="4281">
          <cell r="A4281" t="str">
            <v>6803/5</v>
          </cell>
          <cell r="B4281">
            <v>6803</v>
          </cell>
          <cell r="C4281">
            <v>45766</v>
          </cell>
          <cell r="D4281" t="str">
            <v>یونس صاحب</v>
          </cell>
          <cell r="E4281" t="str">
            <v>وحید پلاسٹک گوجرانوالہ</v>
          </cell>
        </row>
        <row r="4282">
          <cell r="A4282" t="str">
            <v>6803/6</v>
          </cell>
          <cell r="B4282">
            <v>6803</v>
          </cell>
          <cell r="C4282">
            <v>45766</v>
          </cell>
          <cell r="D4282" t="str">
            <v>یونس صاحب</v>
          </cell>
          <cell r="E4282" t="str">
            <v>وحید پلاسٹک گوجرانوالہ</v>
          </cell>
        </row>
        <row r="4283">
          <cell r="A4283" t="str">
            <v>6803/7</v>
          </cell>
          <cell r="B4283">
            <v>6803</v>
          </cell>
          <cell r="C4283">
            <v>45766</v>
          </cell>
          <cell r="D4283" t="str">
            <v>یونس صاحب</v>
          </cell>
          <cell r="E4283" t="str">
            <v>وحید پلاسٹک گوجرانوالہ</v>
          </cell>
        </row>
        <row r="4284">
          <cell r="A4284" t="str">
            <v>6803/8</v>
          </cell>
          <cell r="B4284">
            <v>6803</v>
          </cell>
          <cell r="C4284">
            <v>45766</v>
          </cell>
          <cell r="D4284" t="str">
            <v>یونس صاحب</v>
          </cell>
          <cell r="E4284" t="str">
            <v>وحید پلاسٹک گوجرانوالہ</v>
          </cell>
        </row>
        <row r="4285">
          <cell r="A4285" t="str">
            <v>6803/9</v>
          </cell>
          <cell r="B4285">
            <v>6803</v>
          </cell>
          <cell r="C4285">
            <v>45766</v>
          </cell>
          <cell r="D4285" t="str">
            <v>یونس صاحب</v>
          </cell>
          <cell r="E4285" t="str">
            <v>وحید پلاسٹک گوجرانوالہ</v>
          </cell>
        </row>
        <row r="4286">
          <cell r="A4286">
            <v>2729</v>
          </cell>
          <cell r="B4286"/>
          <cell r="C4286">
            <v>45765</v>
          </cell>
          <cell r="D4286" t="str">
            <v>JILANI</v>
          </cell>
          <cell r="E4286" t="str">
            <v>PT -01</v>
          </cell>
        </row>
        <row r="4287">
          <cell r="A4287">
            <v>2730</v>
          </cell>
          <cell r="B4287"/>
          <cell r="C4287">
            <v>45770</v>
          </cell>
          <cell r="D4287" t="str">
            <v>JILANI</v>
          </cell>
          <cell r="E4287" t="str">
            <v>UNIT 2</v>
          </cell>
        </row>
        <row r="4288">
          <cell r="A4288" t="str">
            <v>1388 F</v>
          </cell>
          <cell r="B4288"/>
          <cell r="C4288">
            <v>45768</v>
          </cell>
          <cell r="D4288" t="str">
            <v>فینا</v>
          </cell>
          <cell r="E4288" t="str">
            <v>عثمان امین</v>
          </cell>
        </row>
        <row r="4289">
          <cell r="A4289" t="str">
            <v>1389 F</v>
          </cell>
          <cell r="B4289"/>
          <cell r="C4289">
            <v>45768</v>
          </cell>
          <cell r="D4289" t="str">
            <v>فینا</v>
          </cell>
          <cell r="E4289" t="str">
            <v>عثمان امین</v>
          </cell>
        </row>
        <row r="4290">
          <cell r="A4290" t="str">
            <v>1390 F</v>
          </cell>
          <cell r="B4290"/>
          <cell r="C4290">
            <v>45768</v>
          </cell>
          <cell r="D4290" t="str">
            <v>فینا</v>
          </cell>
          <cell r="E4290" t="str">
            <v>عثمان امین</v>
          </cell>
        </row>
        <row r="4291">
          <cell r="A4291" t="str">
            <v>1391 F</v>
          </cell>
          <cell r="B4291"/>
          <cell r="C4291">
            <v>45768</v>
          </cell>
          <cell r="D4291" t="str">
            <v>فینا</v>
          </cell>
          <cell r="E4291" t="str">
            <v>عثمان امین</v>
          </cell>
        </row>
        <row r="4292">
          <cell r="A4292" t="str">
            <v>1392 F</v>
          </cell>
          <cell r="B4292"/>
          <cell r="C4292">
            <v>45768</v>
          </cell>
          <cell r="D4292" t="str">
            <v>فینا</v>
          </cell>
          <cell r="E4292" t="str">
            <v>عثمان امین</v>
          </cell>
        </row>
        <row r="4293">
          <cell r="A4293" t="str">
            <v>1393 F</v>
          </cell>
          <cell r="B4293"/>
          <cell r="C4293">
            <v>45768</v>
          </cell>
          <cell r="D4293" t="str">
            <v>فینا</v>
          </cell>
          <cell r="E4293" t="str">
            <v>عثمان امین</v>
          </cell>
        </row>
        <row r="4294">
          <cell r="A4294" t="str">
            <v>1394 F</v>
          </cell>
          <cell r="B4294"/>
          <cell r="C4294">
            <v>45768</v>
          </cell>
          <cell r="D4294" t="str">
            <v>فینا</v>
          </cell>
          <cell r="E4294" t="str">
            <v>عثمان امین</v>
          </cell>
        </row>
        <row r="4295">
          <cell r="A4295" t="str">
            <v>1395 F</v>
          </cell>
          <cell r="B4295"/>
          <cell r="C4295">
            <v>45768</v>
          </cell>
          <cell r="D4295" t="str">
            <v>فینا</v>
          </cell>
          <cell r="E4295" t="str">
            <v>عثمان امین</v>
          </cell>
        </row>
        <row r="4296">
          <cell r="A4296" t="str">
            <v>1396 F</v>
          </cell>
          <cell r="B4296"/>
          <cell r="C4296">
            <v>45768</v>
          </cell>
          <cell r="D4296" t="str">
            <v>فینا</v>
          </cell>
          <cell r="E4296" t="str">
            <v>عثمان امین</v>
          </cell>
        </row>
        <row r="4297">
          <cell r="A4297" t="str">
            <v>1397 F</v>
          </cell>
          <cell r="B4297"/>
          <cell r="C4297">
            <v>45768</v>
          </cell>
          <cell r="D4297" t="str">
            <v>فینا</v>
          </cell>
          <cell r="E4297" t="str">
            <v>عثمان امین</v>
          </cell>
        </row>
        <row r="4298">
          <cell r="A4298" t="str">
            <v>1398 F</v>
          </cell>
          <cell r="B4298"/>
          <cell r="C4298">
            <v>45768</v>
          </cell>
          <cell r="D4298" t="str">
            <v>فینا</v>
          </cell>
          <cell r="E4298" t="str">
            <v>عثمان امین</v>
          </cell>
        </row>
        <row r="4299">
          <cell r="A4299" t="str">
            <v>1915 J</v>
          </cell>
          <cell r="B4299"/>
          <cell r="C4299">
            <v>45766</v>
          </cell>
          <cell r="D4299" t="str">
            <v>OTHERS</v>
          </cell>
          <cell r="E4299" t="str">
            <v>جیلانی پولی سٹاک</v>
          </cell>
        </row>
        <row r="4300">
          <cell r="A4300" t="str">
            <v>1916 J</v>
          </cell>
          <cell r="B4300"/>
          <cell r="C4300">
            <v>45768</v>
          </cell>
          <cell r="D4300" t="str">
            <v>OTHERS</v>
          </cell>
          <cell r="E4300" t="str">
            <v>جیلانی پولی لیمینیشن ڈیپارٹمنٹ</v>
          </cell>
        </row>
        <row r="4301">
          <cell r="A4301" t="str">
            <v>1917 J</v>
          </cell>
          <cell r="B4301"/>
          <cell r="C4301">
            <v>45768</v>
          </cell>
          <cell r="D4301" t="str">
            <v>OTHERS</v>
          </cell>
          <cell r="E4301" t="str">
            <v>جیلانی پلاسٹک</v>
          </cell>
        </row>
        <row r="4302">
          <cell r="A4302" t="str">
            <v>1918 J</v>
          </cell>
          <cell r="B4302"/>
          <cell r="C4302">
            <v>45768</v>
          </cell>
          <cell r="D4302" t="str">
            <v>OTHERS</v>
          </cell>
          <cell r="E4302" t="str">
            <v>جیلانی پولی سٹاک</v>
          </cell>
        </row>
        <row r="4303">
          <cell r="A4303" t="str">
            <v>1919 J</v>
          </cell>
          <cell r="B4303"/>
          <cell r="C4303">
            <v>45768</v>
          </cell>
          <cell r="D4303" t="str">
            <v>OTHERS</v>
          </cell>
          <cell r="E4303" t="str">
            <v>جیلانی پولی سٹاک</v>
          </cell>
        </row>
        <row r="4304">
          <cell r="A4304" t="str">
            <v>1920 J</v>
          </cell>
          <cell r="B4304"/>
          <cell r="C4304">
            <v>45768</v>
          </cell>
          <cell r="D4304" t="str">
            <v>OTHERS</v>
          </cell>
          <cell r="E4304" t="str">
            <v>جیلانی پلاسٹک</v>
          </cell>
        </row>
        <row r="4305">
          <cell r="A4305" t="str">
            <v>1921 J</v>
          </cell>
          <cell r="B4305">
            <v>11904</v>
          </cell>
          <cell r="C4305">
            <v>45768</v>
          </cell>
          <cell r="D4305" t="str">
            <v>JILANI</v>
          </cell>
          <cell r="E4305" t="str">
            <v>سیالکوٹ سویٹس گوجرانوالہ</v>
          </cell>
        </row>
        <row r="4306">
          <cell r="A4306" t="str">
            <v>1922 J</v>
          </cell>
          <cell r="B4306">
            <v>11905</v>
          </cell>
          <cell r="C4306">
            <v>45768</v>
          </cell>
          <cell r="D4306" t="str">
            <v>JILANI</v>
          </cell>
          <cell r="E4306" t="str">
            <v>زاہد منظور لاہور</v>
          </cell>
        </row>
        <row r="4307">
          <cell r="A4307" t="str">
            <v>1923 J</v>
          </cell>
          <cell r="B4307">
            <v>11905</v>
          </cell>
          <cell r="C4307">
            <v>45768</v>
          </cell>
          <cell r="D4307" t="str">
            <v>JILANI</v>
          </cell>
          <cell r="E4307" t="str">
            <v>زاہد منظور لاہور</v>
          </cell>
        </row>
        <row r="4308">
          <cell r="A4308" t="str">
            <v>1924 J</v>
          </cell>
          <cell r="B4308">
            <v>11905</v>
          </cell>
          <cell r="C4308">
            <v>45768</v>
          </cell>
          <cell r="D4308" t="str">
            <v>JILANI</v>
          </cell>
          <cell r="E4308" t="str">
            <v>زاہد منظور لاہور</v>
          </cell>
        </row>
        <row r="4309">
          <cell r="A4309" t="str">
            <v>1925 J</v>
          </cell>
          <cell r="B4309">
            <v>11906</v>
          </cell>
          <cell r="C4309">
            <v>45768</v>
          </cell>
          <cell r="D4309" t="str">
            <v>JILANI</v>
          </cell>
          <cell r="E4309" t="str">
            <v>عثمان پلاسٹک چنیوٹ</v>
          </cell>
        </row>
        <row r="4310">
          <cell r="A4310" t="str">
            <v>1926 J</v>
          </cell>
          <cell r="B4310">
            <v>11906</v>
          </cell>
          <cell r="C4310">
            <v>45768</v>
          </cell>
          <cell r="D4310" t="str">
            <v>JILANI</v>
          </cell>
          <cell r="E4310" t="str">
            <v>عثمان پلاسٹک چنیوٹ</v>
          </cell>
        </row>
        <row r="4311">
          <cell r="A4311" t="str">
            <v>1927 J</v>
          </cell>
          <cell r="B4311">
            <v>11907</v>
          </cell>
          <cell r="C4311">
            <v>45768</v>
          </cell>
          <cell r="D4311" t="str">
            <v>JILANI</v>
          </cell>
          <cell r="E4311" t="str">
            <v>عثمان عارف بٹ گوجرانولہ</v>
          </cell>
        </row>
        <row r="4312">
          <cell r="A4312" t="str">
            <v>1928 J</v>
          </cell>
          <cell r="B4312">
            <v>11907</v>
          </cell>
          <cell r="C4312">
            <v>45768</v>
          </cell>
          <cell r="D4312" t="str">
            <v>JILANI</v>
          </cell>
          <cell r="E4312" t="str">
            <v>عثمان عارف بٹ گوجرانولہ</v>
          </cell>
        </row>
        <row r="4313">
          <cell r="A4313" t="str">
            <v>1929 J</v>
          </cell>
          <cell r="B4313">
            <v>11907</v>
          </cell>
          <cell r="C4313">
            <v>45768</v>
          </cell>
          <cell r="D4313" t="str">
            <v>JILANI</v>
          </cell>
          <cell r="E4313" t="str">
            <v>عثمان عارف بٹ گوجرانولہ</v>
          </cell>
        </row>
        <row r="4314">
          <cell r="A4314" t="str">
            <v>1930 J</v>
          </cell>
          <cell r="B4314">
            <v>11907</v>
          </cell>
          <cell r="C4314">
            <v>45768</v>
          </cell>
          <cell r="D4314" t="str">
            <v>JILANI</v>
          </cell>
          <cell r="E4314" t="str">
            <v>عثمان عارف بٹ گوجرانولہ</v>
          </cell>
        </row>
        <row r="4315">
          <cell r="A4315" t="str">
            <v>1931 J</v>
          </cell>
          <cell r="B4315">
            <v>11908</v>
          </cell>
          <cell r="C4315">
            <v>45768</v>
          </cell>
          <cell r="D4315" t="str">
            <v>JILANI</v>
          </cell>
          <cell r="E4315" t="str">
            <v>عثمان عارف بٹ گوجرانولہ</v>
          </cell>
        </row>
        <row r="4316">
          <cell r="A4316" t="str">
            <v>1932 J</v>
          </cell>
          <cell r="B4316">
            <v>11908</v>
          </cell>
          <cell r="C4316">
            <v>45768</v>
          </cell>
          <cell r="D4316" t="str">
            <v>JILANI</v>
          </cell>
          <cell r="E4316" t="str">
            <v>عثمان عارف بٹ گوجرانولہ</v>
          </cell>
        </row>
        <row r="4317">
          <cell r="A4317" t="str">
            <v>1933 J</v>
          </cell>
          <cell r="B4317">
            <v>11909</v>
          </cell>
          <cell r="C4317">
            <v>45768</v>
          </cell>
          <cell r="D4317" t="str">
            <v>JILANI</v>
          </cell>
          <cell r="E4317" t="str">
            <v>عثمان عارف بٹ گوجرانولہ</v>
          </cell>
        </row>
        <row r="4318">
          <cell r="A4318" t="str">
            <v>1934 J</v>
          </cell>
          <cell r="B4318">
            <v>11910</v>
          </cell>
          <cell r="C4318">
            <v>45768</v>
          </cell>
          <cell r="D4318" t="str">
            <v>JILANI</v>
          </cell>
          <cell r="E4318" t="str">
            <v>عثمان عارف بٹ گوجرانولہ</v>
          </cell>
        </row>
        <row r="4319">
          <cell r="A4319" t="str">
            <v>1935 J</v>
          </cell>
          <cell r="B4319">
            <v>11910</v>
          </cell>
          <cell r="C4319">
            <v>45768</v>
          </cell>
          <cell r="D4319" t="str">
            <v>JILANI</v>
          </cell>
          <cell r="E4319" t="str">
            <v>عثمان عارف بٹ گوجرانولہ</v>
          </cell>
        </row>
        <row r="4320">
          <cell r="A4320" t="str">
            <v>1936 J</v>
          </cell>
          <cell r="B4320">
            <v>11911</v>
          </cell>
          <cell r="C4320">
            <v>45768</v>
          </cell>
          <cell r="D4320" t="str">
            <v>JILANI</v>
          </cell>
          <cell r="E4320" t="str">
            <v>عثمان عارف بٹ گوجرانولہ</v>
          </cell>
        </row>
        <row r="4321">
          <cell r="A4321" t="str">
            <v>1937 J</v>
          </cell>
          <cell r="B4321">
            <v>11912</v>
          </cell>
          <cell r="C4321">
            <v>45768</v>
          </cell>
          <cell r="D4321" t="str">
            <v>JILANI</v>
          </cell>
          <cell r="E4321" t="str">
            <v>آر ایس سویٹس اینڈ بیکرز ننکانہ صاحب</v>
          </cell>
        </row>
        <row r="4322">
          <cell r="A4322" t="str">
            <v>1938 J</v>
          </cell>
          <cell r="B4322">
            <v>11912</v>
          </cell>
          <cell r="C4322">
            <v>45768</v>
          </cell>
          <cell r="D4322" t="str">
            <v>JILANI</v>
          </cell>
          <cell r="E4322" t="str">
            <v>آر ایس سویٹس اینڈ بیکرز ننکانہ صاحب</v>
          </cell>
        </row>
        <row r="4323">
          <cell r="A4323" t="str">
            <v>1939 J</v>
          </cell>
          <cell r="B4323">
            <v>11912</v>
          </cell>
          <cell r="C4323">
            <v>45768</v>
          </cell>
          <cell r="D4323" t="str">
            <v>JILANI</v>
          </cell>
          <cell r="E4323" t="str">
            <v>آر ایس سویٹس اینڈ بیکرز ننکانہ صاحب</v>
          </cell>
        </row>
        <row r="4324">
          <cell r="A4324" t="str">
            <v>1940 J</v>
          </cell>
          <cell r="B4324">
            <v>11913</v>
          </cell>
          <cell r="C4324">
            <v>45768</v>
          </cell>
          <cell r="D4324" t="str">
            <v>JILANI</v>
          </cell>
          <cell r="E4324" t="str">
            <v>الفتح بیکرز چیچہ وطنی</v>
          </cell>
        </row>
        <row r="4325">
          <cell r="A4325" t="str">
            <v>1941 J</v>
          </cell>
          <cell r="B4325">
            <v>11913</v>
          </cell>
          <cell r="C4325">
            <v>45768</v>
          </cell>
          <cell r="D4325" t="str">
            <v>JILANI</v>
          </cell>
          <cell r="E4325" t="str">
            <v>الفتح بیکرز چیچہ وطنی</v>
          </cell>
        </row>
        <row r="4326">
          <cell r="A4326" t="str">
            <v>1942 J</v>
          </cell>
          <cell r="B4326">
            <v>11913</v>
          </cell>
          <cell r="C4326">
            <v>45768</v>
          </cell>
          <cell r="D4326" t="str">
            <v>JILANI</v>
          </cell>
          <cell r="E4326" t="str">
            <v>الفتح بیکرز چیچہ وطنی</v>
          </cell>
        </row>
        <row r="4327">
          <cell r="A4327" t="str">
            <v>1943 J</v>
          </cell>
          <cell r="B4327">
            <v>11914</v>
          </cell>
          <cell r="C4327">
            <v>45768</v>
          </cell>
          <cell r="D4327" t="str">
            <v>JILANI</v>
          </cell>
          <cell r="E4327" t="str">
            <v>ذیشان فروٹ چاٹ چکوال</v>
          </cell>
        </row>
        <row r="4328">
          <cell r="A4328" t="str">
            <v>1944 J</v>
          </cell>
          <cell r="B4328">
            <v>11915</v>
          </cell>
          <cell r="C4328">
            <v>45768</v>
          </cell>
          <cell r="D4328" t="str">
            <v>JILANI</v>
          </cell>
          <cell r="E4328" t="str">
            <v>چیزو چیزلاہور</v>
          </cell>
        </row>
        <row r="4329">
          <cell r="A4329" t="str">
            <v>1945 J</v>
          </cell>
          <cell r="B4329">
            <v>11916</v>
          </cell>
          <cell r="C4329">
            <v>45768</v>
          </cell>
          <cell r="D4329" t="str">
            <v>JILANI</v>
          </cell>
          <cell r="E4329" t="str">
            <v>عالم پرنٹرز بٹ خیلہ</v>
          </cell>
        </row>
        <row r="4330">
          <cell r="A4330" t="str">
            <v>1946 J</v>
          </cell>
          <cell r="B4330">
            <v>11917</v>
          </cell>
          <cell r="C4330">
            <v>45768</v>
          </cell>
          <cell r="D4330" t="str">
            <v>JILANI</v>
          </cell>
          <cell r="E4330" t="str">
            <v>عالم پرنٹرز بٹ خیلہ</v>
          </cell>
        </row>
        <row r="4331">
          <cell r="A4331" t="str">
            <v>1947 J</v>
          </cell>
          <cell r="B4331">
            <v>11918</v>
          </cell>
          <cell r="C4331">
            <v>45768</v>
          </cell>
          <cell r="D4331" t="str">
            <v>JILANI</v>
          </cell>
          <cell r="E4331" t="str">
            <v>ایم کے بی پشاور</v>
          </cell>
        </row>
        <row r="4332">
          <cell r="A4332" t="str">
            <v>1948 J</v>
          </cell>
          <cell r="B4332">
            <v>11918</v>
          </cell>
          <cell r="C4332">
            <v>45768</v>
          </cell>
          <cell r="D4332" t="str">
            <v>JILANI</v>
          </cell>
          <cell r="E4332" t="str">
            <v>ایم کے بی پشاور</v>
          </cell>
        </row>
        <row r="4333">
          <cell r="A4333" t="str">
            <v>1949 J</v>
          </cell>
          <cell r="B4333">
            <v>11919</v>
          </cell>
          <cell r="C4333">
            <v>45768</v>
          </cell>
          <cell r="D4333" t="str">
            <v>JILANI</v>
          </cell>
          <cell r="E4333" t="str">
            <v>عالم پرنٹرز بٹ خیلہ</v>
          </cell>
        </row>
        <row r="4334">
          <cell r="A4334" t="str">
            <v>1950 J</v>
          </cell>
          <cell r="B4334">
            <v>11919</v>
          </cell>
          <cell r="C4334">
            <v>45768</v>
          </cell>
          <cell r="D4334" t="str">
            <v>JILANI</v>
          </cell>
          <cell r="E4334" t="str">
            <v>عالم پرنٹرز بٹ خیلہ</v>
          </cell>
        </row>
        <row r="4335">
          <cell r="A4335" t="str">
            <v>1951 J</v>
          </cell>
          <cell r="B4335">
            <v>11919</v>
          </cell>
          <cell r="C4335">
            <v>45768</v>
          </cell>
          <cell r="D4335" t="str">
            <v>JILANI</v>
          </cell>
          <cell r="E4335" t="str">
            <v>عالم پرنٹرز بٹ خیلہ</v>
          </cell>
        </row>
        <row r="4336">
          <cell r="A4336" t="str">
            <v>1952 J</v>
          </cell>
          <cell r="B4336">
            <v>11920</v>
          </cell>
          <cell r="C4336">
            <v>45768</v>
          </cell>
          <cell r="D4336" t="str">
            <v>JILANI</v>
          </cell>
          <cell r="E4336" t="str">
            <v>وسیم شاپر ہاوس اعظم مارکیٹ</v>
          </cell>
        </row>
        <row r="4337">
          <cell r="A4337" t="str">
            <v>1953 J</v>
          </cell>
          <cell r="B4337">
            <v>11921</v>
          </cell>
          <cell r="C4337">
            <v>45768</v>
          </cell>
          <cell r="D4337" t="str">
            <v>JILANI</v>
          </cell>
          <cell r="E4337" t="str">
            <v>وسیم شاپر ہاوس اعظم مارکیٹ</v>
          </cell>
        </row>
        <row r="4338">
          <cell r="A4338" t="str">
            <v>1954 J</v>
          </cell>
          <cell r="B4338">
            <v>11921</v>
          </cell>
          <cell r="C4338">
            <v>45768</v>
          </cell>
          <cell r="D4338" t="str">
            <v>JILANI</v>
          </cell>
          <cell r="E4338" t="str">
            <v>وسیم شاپر ہاوس اعظم مارکیٹ</v>
          </cell>
        </row>
        <row r="4339">
          <cell r="A4339" t="str">
            <v>1955 J</v>
          </cell>
          <cell r="B4339">
            <v>11922</v>
          </cell>
          <cell r="C4339">
            <v>45768</v>
          </cell>
          <cell r="D4339" t="str">
            <v>JILANI</v>
          </cell>
          <cell r="E4339" t="str">
            <v>ہیڈ آفس لاہور</v>
          </cell>
        </row>
        <row r="4340">
          <cell r="A4340" t="str">
            <v>1956 J</v>
          </cell>
          <cell r="B4340">
            <v>11922</v>
          </cell>
          <cell r="C4340">
            <v>45768</v>
          </cell>
          <cell r="D4340" t="str">
            <v>JILANI</v>
          </cell>
          <cell r="E4340" t="str">
            <v>ہیڈ آفس لاہور</v>
          </cell>
        </row>
        <row r="4341">
          <cell r="A4341" t="str">
            <v>1957 J</v>
          </cell>
          <cell r="B4341">
            <v>11923</v>
          </cell>
          <cell r="C4341">
            <v>45769</v>
          </cell>
          <cell r="D4341" t="str">
            <v>JILANI</v>
          </cell>
          <cell r="E4341" t="str">
            <v>صاحبزادہ پرنٹنگ سرائے نارنگ</v>
          </cell>
        </row>
        <row r="4342">
          <cell r="A4342" t="str">
            <v>1958 J</v>
          </cell>
          <cell r="B4342">
            <v>11924</v>
          </cell>
          <cell r="C4342">
            <v>45769</v>
          </cell>
          <cell r="D4342" t="str">
            <v>JILANI</v>
          </cell>
          <cell r="E4342" t="str">
            <v>صاحبزادہ پرنٹنگ سرائے نارنگ</v>
          </cell>
        </row>
        <row r="4343">
          <cell r="A4343" t="str">
            <v>1959 J</v>
          </cell>
          <cell r="B4343">
            <v>11925</v>
          </cell>
          <cell r="C4343">
            <v>45769</v>
          </cell>
          <cell r="D4343" t="str">
            <v>JILANI</v>
          </cell>
          <cell r="E4343" t="str">
            <v>نسوار سنٹر بٹ خیلہ</v>
          </cell>
        </row>
        <row r="4344">
          <cell r="A4344" t="str">
            <v>1960 J</v>
          </cell>
          <cell r="B4344">
            <v>11926</v>
          </cell>
          <cell r="C4344">
            <v>45769</v>
          </cell>
          <cell r="D4344" t="str">
            <v>JILANI</v>
          </cell>
          <cell r="E4344" t="str">
            <v>مغل پلاسٹک سٹور لیہ</v>
          </cell>
        </row>
        <row r="4345">
          <cell r="A4345" t="str">
            <v>1961 J</v>
          </cell>
          <cell r="B4345">
            <v>11927</v>
          </cell>
          <cell r="C4345">
            <v>45769</v>
          </cell>
          <cell r="D4345" t="str">
            <v>JILANI</v>
          </cell>
          <cell r="E4345" t="str">
            <v>مغل پلاسٹک سٹور لیہ</v>
          </cell>
        </row>
        <row r="4346">
          <cell r="A4346" t="str">
            <v>1962 J</v>
          </cell>
          <cell r="B4346">
            <v>11928</v>
          </cell>
          <cell r="C4346">
            <v>45769</v>
          </cell>
          <cell r="D4346" t="str">
            <v>JILANI</v>
          </cell>
          <cell r="E4346" t="str">
            <v>مغل پلاسٹک سٹور لیہ</v>
          </cell>
        </row>
        <row r="4347">
          <cell r="A4347" t="str">
            <v>1963 J</v>
          </cell>
          <cell r="B4347">
            <v>11929</v>
          </cell>
          <cell r="C4347">
            <v>45769</v>
          </cell>
          <cell r="D4347" t="str">
            <v>JILANI</v>
          </cell>
          <cell r="E4347" t="str">
            <v>عثمان عارف بٹ گوجرانولہ</v>
          </cell>
        </row>
        <row r="4348">
          <cell r="A4348" t="str">
            <v>1964 J</v>
          </cell>
          <cell r="B4348">
            <v>11929</v>
          </cell>
          <cell r="C4348">
            <v>45769</v>
          </cell>
          <cell r="D4348" t="str">
            <v>JILANI</v>
          </cell>
          <cell r="E4348" t="str">
            <v>عثمان عارف بٹ گوجرانولہ</v>
          </cell>
        </row>
        <row r="4349">
          <cell r="A4349" t="str">
            <v>1965 J</v>
          </cell>
          <cell r="B4349">
            <v>11929</v>
          </cell>
          <cell r="C4349">
            <v>45769</v>
          </cell>
          <cell r="D4349" t="str">
            <v>JILANI</v>
          </cell>
          <cell r="E4349" t="str">
            <v>عثمان عارف بٹ گوجرانولہ</v>
          </cell>
        </row>
        <row r="4350">
          <cell r="A4350" t="str">
            <v>1966 J</v>
          </cell>
          <cell r="B4350">
            <v>11929</v>
          </cell>
          <cell r="C4350">
            <v>45769</v>
          </cell>
          <cell r="D4350" t="str">
            <v>JILANI</v>
          </cell>
          <cell r="E4350" t="str">
            <v>عثمان عارف بٹ گوجرانولہ</v>
          </cell>
        </row>
        <row r="4351">
          <cell r="A4351" t="str">
            <v>1967 J</v>
          </cell>
          <cell r="B4351">
            <v>11930</v>
          </cell>
          <cell r="C4351">
            <v>45769</v>
          </cell>
          <cell r="D4351" t="str">
            <v>JILANI</v>
          </cell>
          <cell r="E4351" t="str">
            <v>عنائیت خان ڈرائی فوڈ کرشن نگر لاہور</v>
          </cell>
        </row>
        <row r="4352">
          <cell r="A4352" t="str">
            <v>1968 J</v>
          </cell>
          <cell r="B4352">
            <v>11931</v>
          </cell>
          <cell r="C4352">
            <v>45769</v>
          </cell>
          <cell r="D4352" t="str">
            <v>JILANI</v>
          </cell>
          <cell r="E4352" t="str">
            <v>جہانگیر حسین گوجرانوالہ</v>
          </cell>
        </row>
        <row r="4353">
          <cell r="A4353" t="str">
            <v>1969 J</v>
          </cell>
          <cell r="B4353">
            <v>11931</v>
          </cell>
          <cell r="C4353">
            <v>45769</v>
          </cell>
          <cell r="D4353" t="str">
            <v>JILANI</v>
          </cell>
          <cell r="E4353" t="str">
            <v>جہانگیر حسین گوجرانوالہ</v>
          </cell>
        </row>
        <row r="4354">
          <cell r="A4354" t="str">
            <v>1970 J</v>
          </cell>
          <cell r="B4354">
            <v>11931</v>
          </cell>
          <cell r="C4354">
            <v>45769</v>
          </cell>
          <cell r="D4354" t="str">
            <v>JILANI</v>
          </cell>
          <cell r="E4354" t="str">
            <v>جہانگیر حسین گوجرانوالہ</v>
          </cell>
        </row>
        <row r="4355">
          <cell r="A4355" t="str">
            <v>1971 J</v>
          </cell>
          <cell r="B4355">
            <v>11932</v>
          </cell>
          <cell r="C4355">
            <v>45769</v>
          </cell>
          <cell r="D4355" t="str">
            <v>JILANI</v>
          </cell>
          <cell r="E4355" t="str">
            <v>حسنین خالداسلام آباد</v>
          </cell>
        </row>
        <row r="4356">
          <cell r="A4356" t="str">
            <v>1972 J</v>
          </cell>
          <cell r="B4356">
            <v>11933</v>
          </cell>
          <cell r="C4356">
            <v>45769</v>
          </cell>
          <cell r="D4356" t="str">
            <v>JILANI</v>
          </cell>
          <cell r="E4356" t="str">
            <v>نصیر صاحب چنیوٹ</v>
          </cell>
        </row>
        <row r="4357">
          <cell r="A4357" t="str">
            <v>1973 J</v>
          </cell>
          <cell r="B4357">
            <v>11934</v>
          </cell>
          <cell r="C4357">
            <v>45769</v>
          </cell>
          <cell r="D4357" t="str">
            <v>JILANI</v>
          </cell>
          <cell r="E4357" t="str">
            <v>جاوید انٹرپرائزز گوجرانولہ</v>
          </cell>
        </row>
        <row r="4358">
          <cell r="A4358" t="str">
            <v>1974 J</v>
          </cell>
          <cell r="B4358">
            <v>11935</v>
          </cell>
          <cell r="C4358">
            <v>45769</v>
          </cell>
          <cell r="D4358" t="str">
            <v>JILANI</v>
          </cell>
          <cell r="E4358" t="str">
            <v>جاوید انٹرپرائزز گوجرانولہ</v>
          </cell>
        </row>
        <row r="4359">
          <cell r="A4359" t="str">
            <v>1975 J</v>
          </cell>
          <cell r="B4359">
            <v>11936</v>
          </cell>
          <cell r="C4359">
            <v>45769</v>
          </cell>
          <cell r="D4359" t="str">
            <v>JILANI</v>
          </cell>
          <cell r="E4359" t="str">
            <v>جاوید انٹرپرائزز گوجرانولہ</v>
          </cell>
        </row>
        <row r="4360">
          <cell r="A4360" t="str">
            <v>1976 J</v>
          </cell>
          <cell r="B4360">
            <v>11937</v>
          </cell>
          <cell r="C4360">
            <v>45769</v>
          </cell>
          <cell r="D4360" t="str">
            <v>JILANI</v>
          </cell>
          <cell r="E4360" t="str">
            <v>جاوید انٹرپرائزز گوجرانولہ</v>
          </cell>
        </row>
        <row r="4361">
          <cell r="A4361" t="str">
            <v>1977 J</v>
          </cell>
          <cell r="B4361">
            <v>11938</v>
          </cell>
          <cell r="C4361">
            <v>45769</v>
          </cell>
          <cell r="D4361" t="str">
            <v>JILANI</v>
          </cell>
          <cell r="E4361" t="str">
            <v>وقاص وولن ملز گوجرانوالہ</v>
          </cell>
        </row>
        <row r="4362">
          <cell r="A4362" t="str">
            <v>1978 J</v>
          </cell>
          <cell r="B4362">
            <v>11938</v>
          </cell>
          <cell r="C4362">
            <v>45769</v>
          </cell>
          <cell r="D4362" t="str">
            <v>JILANI</v>
          </cell>
          <cell r="E4362" t="str">
            <v>وقاص وولن ملز گوجرانوالہ</v>
          </cell>
        </row>
        <row r="4363">
          <cell r="A4363" t="str">
            <v>1979 J</v>
          </cell>
          <cell r="B4363">
            <v>11939</v>
          </cell>
          <cell r="C4363">
            <v>45769</v>
          </cell>
          <cell r="D4363" t="str">
            <v>JILANI</v>
          </cell>
          <cell r="E4363" t="str">
            <v>وقاص وولن ملز گوجرانوالہ</v>
          </cell>
        </row>
        <row r="4364">
          <cell r="A4364" t="str">
            <v>1980 J</v>
          </cell>
          <cell r="B4364">
            <v>11940</v>
          </cell>
          <cell r="C4364">
            <v>45769</v>
          </cell>
          <cell r="D4364" t="str">
            <v>JILANI</v>
          </cell>
          <cell r="E4364" t="str">
            <v>وقاص وولن ملز گوجرانوالہ</v>
          </cell>
        </row>
        <row r="4365">
          <cell r="A4365" t="str">
            <v>1981 J</v>
          </cell>
          <cell r="B4365">
            <v>11940</v>
          </cell>
          <cell r="C4365">
            <v>45769</v>
          </cell>
          <cell r="D4365" t="str">
            <v>JILANI</v>
          </cell>
          <cell r="E4365" t="str">
            <v>وقاص وولن ملز گوجرانوالہ</v>
          </cell>
        </row>
        <row r="4366">
          <cell r="A4366" t="str">
            <v>1982 J</v>
          </cell>
          <cell r="B4366">
            <v>11941</v>
          </cell>
          <cell r="C4366">
            <v>45769</v>
          </cell>
          <cell r="D4366" t="str">
            <v>JILANI</v>
          </cell>
          <cell r="E4366" t="str">
            <v>وقاص وولن ملز گوجرانوالہ</v>
          </cell>
        </row>
        <row r="4367">
          <cell r="A4367" t="str">
            <v>1983 J</v>
          </cell>
          <cell r="B4367">
            <v>11942</v>
          </cell>
          <cell r="C4367">
            <v>45769</v>
          </cell>
          <cell r="D4367" t="str">
            <v>JILANI</v>
          </cell>
          <cell r="E4367" t="str">
            <v>وقاص وولن ملز گوجرانوالہ</v>
          </cell>
        </row>
        <row r="4368">
          <cell r="A4368" t="str">
            <v>1984 J</v>
          </cell>
          <cell r="B4368">
            <v>11943</v>
          </cell>
          <cell r="C4368">
            <v>45769</v>
          </cell>
          <cell r="D4368" t="str">
            <v>JILANI</v>
          </cell>
          <cell r="E4368" t="str">
            <v>وقاص وولن ملز گوجرانوالہ</v>
          </cell>
        </row>
        <row r="4369">
          <cell r="A4369" t="str">
            <v>1985 J</v>
          </cell>
          <cell r="B4369">
            <v>11943</v>
          </cell>
          <cell r="C4369">
            <v>45769</v>
          </cell>
          <cell r="D4369" t="str">
            <v>JILANI</v>
          </cell>
          <cell r="E4369" t="str">
            <v>وقاص وولن ملز گوجرانوالہ</v>
          </cell>
        </row>
        <row r="4370">
          <cell r="A4370" t="str">
            <v>1986 J</v>
          </cell>
          <cell r="B4370">
            <v>11944</v>
          </cell>
          <cell r="C4370">
            <v>45769</v>
          </cell>
          <cell r="D4370" t="str">
            <v>JILANI</v>
          </cell>
          <cell r="E4370" t="str">
            <v>وقاص وولن ملز گوجرانوالہ</v>
          </cell>
        </row>
        <row r="4371">
          <cell r="A4371" t="str">
            <v>1987 J</v>
          </cell>
          <cell r="B4371">
            <v>11944</v>
          </cell>
          <cell r="C4371">
            <v>45769</v>
          </cell>
          <cell r="D4371" t="str">
            <v>JILANI</v>
          </cell>
          <cell r="E4371" t="str">
            <v>وقاص وولن ملز گوجرانوالہ</v>
          </cell>
        </row>
        <row r="4372">
          <cell r="A4372" t="str">
            <v>1988 J</v>
          </cell>
          <cell r="B4372"/>
          <cell r="C4372">
            <v>45769</v>
          </cell>
          <cell r="D4372" t="str">
            <v>OTHERS</v>
          </cell>
          <cell r="E4372" t="str">
            <v>جیلانی پولی یونٹ 2</v>
          </cell>
        </row>
        <row r="4373">
          <cell r="A4373" t="str">
            <v>1989 J</v>
          </cell>
          <cell r="B4373"/>
          <cell r="C4373">
            <v>45769</v>
          </cell>
          <cell r="D4373" t="str">
            <v>OTHERS</v>
          </cell>
          <cell r="E4373" t="str">
            <v>جیلانی پولی یونٹ 2</v>
          </cell>
        </row>
        <row r="4374">
          <cell r="A4374" t="str">
            <v>1399 F</v>
          </cell>
          <cell r="B4374"/>
          <cell r="C4374">
            <v>45769</v>
          </cell>
          <cell r="D4374" t="str">
            <v>فینا</v>
          </cell>
          <cell r="E4374" t="str">
            <v>عثمان امین</v>
          </cell>
        </row>
        <row r="4375">
          <cell r="A4375" t="str">
            <v>1400 F</v>
          </cell>
          <cell r="B4375"/>
          <cell r="C4375">
            <v>45769</v>
          </cell>
          <cell r="D4375" t="str">
            <v>فینا</v>
          </cell>
          <cell r="E4375" t="str">
            <v>عثمان امین</v>
          </cell>
        </row>
        <row r="4376">
          <cell r="A4376" t="str">
            <v>1401 F</v>
          </cell>
          <cell r="B4376"/>
          <cell r="C4376">
            <v>45769</v>
          </cell>
          <cell r="D4376" t="str">
            <v>فینا</v>
          </cell>
          <cell r="E4376" t="str">
            <v>عثمان امین</v>
          </cell>
        </row>
        <row r="4377">
          <cell r="A4377" t="str">
            <v>1402 F</v>
          </cell>
          <cell r="B4377"/>
          <cell r="C4377">
            <v>45770</v>
          </cell>
          <cell r="D4377" t="str">
            <v>فینا</v>
          </cell>
          <cell r="E4377" t="str">
            <v>عثمان امین</v>
          </cell>
        </row>
        <row r="4378">
          <cell r="A4378" t="str">
            <v>1403 F</v>
          </cell>
          <cell r="B4378"/>
          <cell r="C4378">
            <v>45770</v>
          </cell>
          <cell r="D4378" t="str">
            <v>فینا</v>
          </cell>
          <cell r="E4378" t="str">
            <v>عثمان امین</v>
          </cell>
        </row>
        <row r="4379">
          <cell r="A4379" t="str">
            <v>1404 F</v>
          </cell>
          <cell r="B4379"/>
          <cell r="C4379">
            <v>45770</v>
          </cell>
          <cell r="D4379" t="str">
            <v>فینا</v>
          </cell>
          <cell r="E4379" t="str">
            <v>عثمان امین</v>
          </cell>
        </row>
        <row r="4380">
          <cell r="A4380" t="str">
            <v>1405 F</v>
          </cell>
          <cell r="B4380"/>
          <cell r="C4380">
            <v>45770</v>
          </cell>
          <cell r="D4380" t="str">
            <v>فینا</v>
          </cell>
          <cell r="E4380" t="str">
            <v>عثمان امین</v>
          </cell>
        </row>
        <row r="4381">
          <cell r="A4381" t="str">
            <v>1406 F</v>
          </cell>
          <cell r="B4381"/>
          <cell r="C4381">
            <v>45770</v>
          </cell>
          <cell r="D4381" t="str">
            <v>فینا</v>
          </cell>
          <cell r="E4381" t="str">
            <v>عثمان امین</v>
          </cell>
        </row>
        <row r="4382">
          <cell r="A4382" t="str">
            <v>1407 F</v>
          </cell>
          <cell r="B4382"/>
          <cell r="C4382">
            <v>45770</v>
          </cell>
          <cell r="D4382" t="str">
            <v>فینا</v>
          </cell>
          <cell r="E4382" t="str">
            <v>عثمان امین</v>
          </cell>
        </row>
        <row r="4383">
          <cell r="A4383" t="str">
            <v>1408 F</v>
          </cell>
          <cell r="B4383"/>
          <cell r="C4383">
            <v>45770</v>
          </cell>
          <cell r="D4383" t="str">
            <v>فینا</v>
          </cell>
          <cell r="E4383" t="str">
            <v>عثمان امین</v>
          </cell>
        </row>
        <row r="4384">
          <cell r="A4384" t="str">
            <v>1409 F</v>
          </cell>
          <cell r="B4384"/>
          <cell r="C4384">
            <v>45770</v>
          </cell>
          <cell r="D4384" t="str">
            <v>فینا</v>
          </cell>
          <cell r="E4384" t="str">
            <v>عثمان امین</v>
          </cell>
        </row>
        <row r="4385">
          <cell r="A4385" t="str">
            <v>1410 F</v>
          </cell>
          <cell r="B4385"/>
          <cell r="C4385">
            <v>45770</v>
          </cell>
          <cell r="D4385" t="str">
            <v>فینا</v>
          </cell>
          <cell r="E4385" t="str">
            <v>عثمان امین</v>
          </cell>
        </row>
        <row r="4386">
          <cell r="A4386" t="str">
            <v>1990 J</v>
          </cell>
          <cell r="B4386"/>
          <cell r="C4386">
            <v>45769</v>
          </cell>
          <cell r="D4386" t="str">
            <v>OTHERS</v>
          </cell>
          <cell r="E4386" t="str">
            <v>جیلانی پولی 2PEP</v>
          </cell>
        </row>
        <row r="4387">
          <cell r="A4387" t="str">
            <v>1991 J</v>
          </cell>
          <cell r="B4387"/>
          <cell r="C4387">
            <v>45769</v>
          </cell>
          <cell r="D4387" t="str">
            <v>OTHERS</v>
          </cell>
          <cell r="E4387" t="str">
            <v>جیلانی پولی 2PEP</v>
          </cell>
        </row>
        <row r="4388">
          <cell r="A4388" t="str">
            <v>1992 J</v>
          </cell>
          <cell r="B4388">
            <v>11945</v>
          </cell>
          <cell r="C4388">
            <v>45770</v>
          </cell>
          <cell r="D4388" t="str">
            <v>JILANI</v>
          </cell>
          <cell r="E4388" t="str">
            <v>سعید رفیع لاہور</v>
          </cell>
        </row>
        <row r="4389">
          <cell r="A4389" t="str">
            <v>1993 J</v>
          </cell>
          <cell r="B4389">
            <v>11946</v>
          </cell>
          <cell r="C4389">
            <v>45770</v>
          </cell>
          <cell r="D4389" t="str">
            <v>JILANI</v>
          </cell>
          <cell r="E4389" t="str">
            <v>فینسی گارمنٹس کامونکی</v>
          </cell>
        </row>
        <row r="4390">
          <cell r="A4390" t="str">
            <v>1994 J</v>
          </cell>
          <cell r="B4390">
            <v>11947</v>
          </cell>
          <cell r="C4390">
            <v>45770</v>
          </cell>
          <cell r="D4390" t="str">
            <v>JILANI</v>
          </cell>
          <cell r="E4390" t="str">
            <v>فینسی گارمنٹس کامونکی</v>
          </cell>
        </row>
        <row r="4391">
          <cell r="A4391" t="str">
            <v>1995 J</v>
          </cell>
          <cell r="B4391">
            <v>11948</v>
          </cell>
          <cell r="C4391">
            <v>45770</v>
          </cell>
          <cell r="D4391" t="str">
            <v>JILANI</v>
          </cell>
          <cell r="E4391" t="str">
            <v>فینسی گارمنٹس کامونکی</v>
          </cell>
        </row>
        <row r="4392">
          <cell r="A4392" t="str">
            <v>1996 J</v>
          </cell>
          <cell r="B4392">
            <v>11949</v>
          </cell>
          <cell r="C4392">
            <v>45770</v>
          </cell>
          <cell r="D4392" t="str">
            <v>JILANI</v>
          </cell>
          <cell r="E4392" t="str">
            <v>ایم کے بی پشاور</v>
          </cell>
        </row>
        <row r="4393">
          <cell r="A4393" t="str">
            <v>1997 J</v>
          </cell>
          <cell r="B4393">
            <v>11950</v>
          </cell>
          <cell r="C4393">
            <v>45770</v>
          </cell>
          <cell r="D4393" t="str">
            <v>JILANI</v>
          </cell>
          <cell r="E4393" t="str">
            <v>بھالومیاں سنیکس لاہور</v>
          </cell>
        </row>
        <row r="4394">
          <cell r="A4394" t="str">
            <v>1998 J</v>
          </cell>
          <cell r="B4394">
            <v>11951</v>
          </cell>
          <cell r="C4394">
            <v>45770</v>
          </cell>
          <cell r="D4394" t="str">
            <v>JILANI</v>
          </cell>
          <cell r="E4394" t="str">
            <v>منہاس ٹیپ پرنٹنگ لاہور</v>
          </cell>
        </row>
        <row r="4395">
          <cell r="A4395" t="str">
            <v>6808/4</v>
          </cell>
          <cell r="B4395">
            <v>6808</v>
          </cell>
          <cell r="C4395">
            <v>45768</v>
          </cell>
          <cell r="D4395" t="str">
            <v>یونس صاحب</v>
          </cell>
          <cell r="E4395" t="str">
            <v>العمر پلاسٹک گوجرانوالہ</v>
          </cell>
        </row>
        <row r="4396">
          <cell r="A4396" t="str">
            <v>6808/5</v>
          </cell>
          <cell r="B4396">
            <v>6808</v>
          </cell>
          <cell r="C4396">
            <v>45768</v>
          </cell>
          <cell r="D4396" t="str">
            <v>یونس صاحب</v>
          </cell>
          <cell r="E4396" t="str">
            <v>العمر پلاسٹک گوجرانوالہ</v>
          </cell>
        </row>
        <row r="4397">
          <cell r="A4397" t="str">
            <v>6808/6</v>
          </cell>
          <cell r="B4397">
            <v>6808</v>
          </cell>
          <cell r="C4397">
            <v>45768</v>
          </cell>
          <cell r="D4397" t="str">
            <v>یونس صاحب</v>
          </cell>
          <cell r="E4397" t="str">
            <v>العمر پلاسٹک گوجرانوالہ</v>
          </cell>
        </row>
        <row r="4398">
          <cell r="A4398" t="str">
            <v>6808/7</v>
          </cell>
          <cell r="B4398">
            <v>6808</v>
          </cell>
          <cell r="C4398">
            <v>45768</v>
          </cell>
          <cell r="D4398" t="str">
            <v>یونس صاحب</v>
          </cell>
          <cell r="E4398" t="str">
            <v>العمر پلاسٹک گوجرانوالہ</v>
          </cell>
        </row>
        <row r="4399">
          <cell r="A4399" t="str">
            <v>6809/1</v>
          </cell>
          <cell r="B4399">
            <v>6809</v>
          </cell>
          <cell r="C4399">
            <v>45768</v>
          </cell>
          <cell r="D4399" t="str">
            <v>یونس صاحب</v>
          </cell>
          <cell r="E4399" t="str">
            <v>العمر پلاسٹک گوجرانوالہ</v>
          </cell>
        </row>
        <row r="4400">
          <cell r="A4400" t="str">
            <v>6809/2</v>
          </cell>
          <cell r="B4400">
            <v>6809</v>
          </cell>
          <cell r="C4400">
            <v>45768</v>
          </cell>
          <cell r="D4400" t="str">
            <v>یونس صاحب</v>
          </cell>
          <cell r="E4400" t="str">
            <v>العمر پلاسٹک گوجرانوالہ</v>
          </cell>
        </row>
        <row r="4401">
          <cell r="A4401" t="str">
            <v>6809/3</v>
          </cell>
          <cell r="B4401">
            <v>6809</v>
          </cell>
          <cell r="C4401">
            <v>45768</v>
          </cell>
          <cell r="D4401" t="str">
            <v>یونس صاحب</v>
          </cell>
          <cell r="E4401" t="str">
            <v>العمر پلاسٹک گوجرانوالہ</v>
          </cell>
        </row>
        <row r="4402">
          <cell r="A4402" t="str">
            <v>6809/4</v>
          </cell>
          <cell r="B4402">
            <v>6809</v>
          </cell>
          <cell r="C4402">
            <v>45768</v>
          </cell>
          <cell r="D4402" t="str">
            <v>یونس صاحب</v>
          </cell>
          <cell r="E4402" t="str">
            <v>العمر پلاسٹک گوجرانوالہ</v>
          </cell>
        </row>
        <row r="4403">
          <cell r="A4403" t="str">
            <v>6809/5</v>
          </cell>
          <cell r="B4403">
            <v>6809</v>
          </cell>
          <cell r="C4403">
            <v>45768</v>
          </cell>
          <cell r="D4403" t="str">
            <v>یونس صاحب</v>
          </cell>
          <cell r="E4403" t="str">
            <v>العمر پلاسٹک گوجرانوالہ</v>
          </cell>
        </row>
        <row r="4404">
          <cell r="A4404" t="str">
            <v>6809/6</v>
          </cell>
          <cell r="B4404">
            <v>6809</v>
          </cell>
          <cell r="C4404">
            <v>45768</v>
          </cell>
          <cell r="D4404" t="str">
            <v>یونس صاحب</v>
          </cell>
          <cell r="E4404" t="str">
            <v>العمر پلاسٹک گوجرانوالہ</v>
          </cell>
        </row>
        <row r="4405">
          <cell r="A4405" t="str">
            <v>6809/7</v>
          </cell>
          <cell r="B4405">
            <v>6809</v>
          </cell>
          <cell r="C4405">
            <v>45768</v>
          </cell>
          <cell r="D4405" t="str">
            <v>یونس صاحب</v>
          </cell>
          <cell r="E4405" t="str">
            <v>العمر پلاسٹک گوجرانوالہ</v>
          </cell>
        </row>
        <row r="4406">
          <cell r="A4406" t="str">
            <v>6809/8</v>
          </cell>
          <cell r="B4406">
            <v>6809</v>
          </cell>
          <cell r="C4406">
            <v>45768</v>
          </cell>
          <cell r="D4406" t="str">
            <v>یونس صاحب</v>
          </cell>
          <cell r="E4406" t="str">
            <v>العمر پلاسٹک گوجرانوالہ</v>
          </cell>
        </row>
        <row r="4407">
          <cell r="A4407" t="str">
            <v>6809/9</v>
          </cell>
          <cell r="B4407">
            <v>6809</v>
          </cell>
          <cell r="C4407">
            <v>45768</v>
          </cell>
          <cell r="D4407" t="str">
            <v>یونس صاحب</v>
          </cell>
          <cell r="E4407" t="str">
            <v>العمر پلاسٹک گوجرانوالہ</v>
          </cell>
        </row>
        <row r="4408">
          <cell r="A4408" t="str">
            <v>6809/10</v>
          </cell>
          <cell r="B4408">
            <v>6809</v>
          </cell>
          <cell r="C4408">
            <v>45768</v>
          </cell>
          <cell r="D4408" t="str">
            <v>یونس صاحب</v>
          </cell>
          <cell r="E4408" t="str">
            <v>العمر پلاسٹک گوجرانوالہ</v>
          </cell>
        </row>
        <row r="4409">
          <cell r="A4409" t="str">
            <v>6809/11</v>
          </cell>
          <cell r="B4409">
            <v>6809</v>
          </cell>
          <cell r="C4409">
            <v>45768</v>
          </cell>
          <cell r="D4409" t="str">
            <v>یونس صاحب</v>
          </cell>
          <cell r="E4409" t="str">
            <v>العمر پلاسٹک گوجرانوالہ</v>
          </cell>
        </row>
        <row r="4410">
          <cell r="A4410" t="str">
            <v>6809/12</v>
          </cell>
          <cell r="B4410">
            <v>6809</v>
          </cell>
          <cell r="C4410">
            <v>45768</v>
          </cell>
          <cell r="D4410" t="str">
            <v>یونس صاحب</v>
          </cell>
          <cell r="E4410" t="str">
            <v>العمر پلاسٹک گوجرانوالہ</v>
          </cell>
        </row>
        <row r="4411">
          <cell r="A4411" t="str">
            <v>6809/13</v>
          </cell>
          <cell r="B4411">
            <v>6809</v>
          </cell>
          <cell r="C4411">
            <v>45768</v>
          </cell>
          <cell r="D4411" t="str">
            <v>یونس صاحب</v>
          </cell>
          <cell r="E4411" t="str">
            <v>العمر پلاسٹک گوجرانوالہ</v>
          </cell>
        </row>
        <row r="4412">
          <cell r="A4412" t="str">
            <v>6809/14</v>
          </cell>
          <cell r="B4412">
            <v>6809</v>
          </cell>
          <cell r="C4412">
            <v>45768</v>
          </cell>
          <cell r="D4412" t="str">
            <v>یونس صاحب</v>
          </cell>
          <cell r="E4412" t="str">
            <v>العمر پلاسٹک گوجرانوالہ</v>
          </cell>
        </row>
        <row r="4413">
          <cell r="A4413" t="str">
            <v>6810/1</v>
          </cell>
          <cell r="B4413">
            <v>6810</v>
          </cell>
          <cell r="C4413">
            <v>45768</v>
          </cell>
          <cell r="D4413" t="str">
            <v>یونس صاحب</v>
          </cell>
          <cell r="E4413" t="str">
            <v>العمر پلاسٹک گوجرانوالہ</v>
          </cell>
        </row>
        <row r="4414">
          <cell r="A4414" t="str">
            <v>6810/2</v>
          </cell>
          <cell r="B4414">
            <v>6810</v>
          </cell>
          <cell r="C4414">
            <v>45768</v>
          </cell>
          <cell r="D4414" t="str">
            <v>یونس صاحب</v>
          </cell>
          <cell r="E4414" t="str">
            <v>العمر پلاسٹک گوجرانوالہ</v>
          </cell>
        </row>
        <row r="4415">
          <cell r="A4415" t="str">
            <v>6810/3</v>
          </cell>
          <cell r="B4415">
            <v>6810</v>
          </cell>
          <cell r="C4415">
            <v>45768</v>
          </cell>
          <cell r="D4415" t="str">
            <v>یونس صاحب</v>
          </cell>
          <cell r="E4415" t="str">
            <v>العمر پلاسٹک گوجرانوالہ</v>
          </cell>
        </row>
        <row r="4416">
          <cell r="A4416" t="str">
            <v>6810/4</v>
          </cell>
          <cell r="B4416">
            <v>6810</v>
          </cell>
          <cell r="C4416">
            <v>45768</v>
          </cell>
          <cell r="D4416" t="str">
            <v>یونس صاحب</v>
          </cell>
          <cell r="E4416" t="str">
            <v>العمر پلاسٹک گوجرانوالہ</v>
          </cell>
        </row>
        <row r="4417">
          <cell r="A4417">
            <v>2731</v>
          </cell>
          <cell r="B4417">
            <v>18590</v>
          </cell>
          <cell r="C4417">
            <v>45772</v>
          </cell>
          <cell r="D4417" t="str">
            <v>JILANI</v>
          </cell>
          <cell r="E4417" t="str">
            <v>JILANI PLASTIC</v>
          </cell>
        </row>
        <row r="4418">
          <cell r="A4418">
            <v>2732</v>
          </cell>
          <cell r="B4418">
            <v>18590</v>
          </cell>
          <cell r="C4418">
            <v>45772</v>
          </cell>
          <cell r="D4418" t="str">
            <v>JILANI</v>
          </cell>
          <cell r="E4418" t="str">
            <v>JILANI PLASTIC</v>
          </cell>
        </row>
        <row r="4419">
          <cell r="A4419">
            <v>2733</v>
          </cell>
          <cell r="B4419">
            <v>18590</v>
          </cell>
          <cell r="C4419">
            <v>45772</v>
          </cell>
          <cell r="D4419" t="str">
            <v>JILANI</v>
          </cell>
          <cell r="E4419" t="str">
            <v>JILANI PLASTIC</v>
          </cell>
        </row>
        <row r="4420">
          <cell r="A4420">
            <v>2734</v>
          </cell>
          <cell r="B4420">
            <v>18590</v>
          </cell>
          <cell r="C4420">
            <v>45772</v>
          </cell>
          <cell r="D4420" t="str">
            <v>JILANI</v>
          </cell>
          <cell r="E4420" t="str">
            <v>JILANI PLASTIC</v>
          </cell>
        </row>
        <row r="4421">
          <cell r="A4421">
            <v>2735</v>
          </cell>
          <cell r="B4421">
            <v>18590</v>
          </cell>
          <cell r="C4421">
            <v>45772</v>
          </cell>
          <cell r="D4421" t="str">
            <v>JILANI</v>
          </cell>
          <cell r="E4421" t="str">
            <v>JILANI PLASTIC</v>
          </cell>
        </row>
        <row r="4422">
          <cell r="A4422">
            <v>2736</v>
          </cell>
          <cell r="B4422">
            <v>18591</v>
          </cell>
          <cell r="C4422">
            <v>45772</v>
          </cell>
          <cell r="D4422" t="str">
            <v>JILANI</v>
          </cell>
          <cell r="E4422" t="str">
            <v>JILANI PLASTIC</v>
          </cell>
        </row>
        <row r="4423">
          <cell r="A4423">
            <v>2737</v>
          </cell>
          <cell r="B4423">
            <v>1724</v>
          </cell>
          <cell r="C4423">
            <v>45773</v>
          </cell>
          <cell r="D4423" t="str">
            <v>JILANI</v>
          </cell>
          <cell r="E4423" t="str">
            <v>USMAN AMIN FINA</v>
          </cell>
        </row>
        <row r="4424">
          <cell r="A4424">
            <v>2738</v>
          </cell>
          <cell r="B4424">
            <v>2785</v>
          </cell>
          <cell r="C4424">
            <v>45773</v>
          </cell>
          <cell r="D4424" t="str">
            <v>JILANI</v>
          </cell>
          <cell r="E4424" t="str">
            <v>SITARA CHEMICAL F/SNP</v>
          </cell>
        </row>
        <row r="4425">
          <cell r="A4425" t="str">
            <v>1999 J</v>
          </cell>
          <cell r="B4425"/>
          <cell r="C4425">
            <v>45771</v>
          </cell>
          <cell r="D4425" t="str">
            <v>OTHERS</v>
          </cell>
          <cell r="E4425" t="str">
            <v>جیلانی پلاسٹک</v>
          </cell>
        </row>
        <row r="4426">
          <cell r="A4426" t="str">
            <v>2000 J</v>
          </cell>
          <cell r="B4426"/>
          <cell r="C4426">
            <v>45771</v>
          </cell>
          <cell r="D4426" t="str">
            <v>OTHERS</v>
          </cell>
          <cell r="E4426" t="str">
            <v>جیلانی پلاسٹک</v>
          </cell>
        </row>
        <row r="4427">
          <cell r="A4427" t="str">
            <v>2001 J</v>
          </cell>
          <cell r="B4427"/>
          <cell r="C4427">
            <v>45771</v>
          </cell>
          <cell r="D4427" t="str">
            <v>OTHERS</v>
          </cell>
          <cell r="E4427" t="str">
            <v>کیش سیل</v>
          </cell>
        </row>
        <row r="4428">
          <cell r="A4428" t="str">
            <v>2002 J</v>
          </cell>
          <cell r="B4428">
            <v>11952</v>
          </cell>
          <cell r="C4428">
            <v>45771</v>
          </cell>
          <cell r="D4428" t="str">
            <v>JILANI</v>
          </cell>
          <cell r="E4428" t="str">
            <v>پاک شفیق سالٹ پسرور</v>
          </cell>
        </row>
        <row r="4429">
          <cell r="A4429" t="str">
            <v>2003 J</v>
          </cell>
          <cell r="B4429">
            <v>11952</v>
          </cell>
          <cell r="C4429">
            <v>45771</v>
          </cell>
          <cell r="D4429" t="str">
            <v>JILANI</v>
          </cell>
          <cell r="E4429" t="str">
            <v>پاک شفیق سالٹ پسرور</v>
          </cell>
        </row>
        <row r="4430">
          <cell r="A4430" t="str">
            <v>2004 J</v>
          </cell>
          <cell r="B4430">
            <v>11953</v>
          </cell>
          <cell r="C4430">
            <v>45771</v>
          </cell>
          <cell r="D4430" t="str">
            <v>JILANI</v>
          </cell>
          <cell r="E4430" t="str">
            <v>ہیڈ آفس لاہور</v>
          </cell>
        </row>
        <row r="4431">
          <cell r="A4431" t="str">
            <v>2005 J</v>
          </cell>
          <cell r="B4431">
            <v>11954</v>
          </cell>
          <cell r="C4431">
            <v>45771</v>
          </cell>
          <cell r="D4431" t="str">
            <v>JILANI</v>
          </cell>
          <cell r="E4431" t="str">
            <v>فوکسل ایکسکلوسیو لاہور</v>
          </cell>
        </row>
        <row r="4432">
          <cell r="A4432" t="str">
            <v>2006 J</v>
          </cell>
          <cell r="B4432">
            <v>11955</v>
          </cell>
          <cell r="C4432">
            <v>45771</v>
          </cell>
          <cell r="D4432" t="str">
            <v>JILANI</v>
          </cell>
          <cell r="E4432" t="str">
            <v>رضا گارمنٹس لاہور</v>
          </cell>
        </row>
        <row r="4433">
          <cell r="A4433" t="str">
            <v>2007 J</v>
          </cell>
          <cell r="B4433">
            <v>11956</v>
          </cell>
          <cell r="C4433">
            <v>45771</v>
          </cell>
          <cell r="D4433" t="str">
            <v>JILANI</v>
          </cell>
          <cell r="E4433" t="str">
            <v>چراغ دین سویٹس اینڈ بیکرز لاہور</v>
          </cell>
        </row>
        <row r="4434">
          <cell r="A4434" t="str">
            <v>2008 J</v>
          </cell>
          <cell r="B4434">
            <v>11957</v>
          </cell>
          <cell r="C4434">
            <v>45771</v>
          </cell>
          <cell r="D4434" t="str">
            <v>JILANI</v>
          </cell>
          <cell r="E4434" t="str">
            <v>رانیال سینتھٹک پرائیویٹ لیمیٹڈ</v>
          </cell>
        </row>
        <row r="4435">
          <cell r="A4435" t="str">
            <v>2009 J</v>
          </cell>
          <cell r="B4435">
            <v>11957</v>
          </cell>
          <cell r="C4435">
            <v>45771</v>
          </cell>
          <cell r="D4435" t="str">
            <v>JILANI</v>
          </cell>
          <cell r="E4435" t="str">
            <v>رانیال سینتھٹک پرائیویٹ لیمیٹڈ</v>
          </cell>
        </row>
        <row r="4436">
          <cell r="A4436" t="str">
            <v>2010 J</v>
          </cell>
          <cell r="B4436">
            <v>11958</v>
          </cell>
          <cell r="C4436">
            <v>45771</v>
          </cell>
          <cell r="D4436" t="str">
            <v>JILANI</v>
          </cell>
          <cell r="E4436" t="str">
            <v>عثمان عارف بٹ گوجرانولہ</v>
          </cell>
        </row>
        <row r="4437">
          <cell r="A4437" t="str">
            <v>2011 J</v>
          </cell>
          <cell r="B4437">
            <v>11958</v>
          </cell>
          <cell r="C4437">
            <v>45771</v>
          </cell>
          <cell r="D4437" t="str">
            <v>JILANI</v>
          </cell>
          <cell r="E4437" t="str">
            <v>عثمان عارف بٹ گوجرانولہ</v>
          </cell>
        </row>
        <row r="4438">
          <cell r="A4438" t="str">
            <v>2012 J</v>
          </cell>
          <cell r="B4438">
            <v>11958</v>
          </cell>
          <cell r="C4438">
            <v>45771</v>
          </cell>
          <cell r="D4438" t="str">
            <v>JILANI</v>
          </cell>
          <cell r="E4438" t="str">
            <v>عثمان عارف بٹ گوجرانولہ</v>
          </cell>
        </row>
        <row r="4439">
          <cell r="A4439" t="str">
            <v>2013 J</v>
          </cell>
          <cell r="B4439">
            <v>11958</v>
          </cell>
          <cell r="C4439">
            <v>45771</v>
          </cell>
          <cell r="D4439" t="str">
            <v>JILANI</v>
          </cell>
          <cell r="E4439" t="str">
            <v>عثمان عارف بٹ گوجرانولہ</v>
          </cell>
        </row>
        <row r="4440">
          <cell r="A4440" t="str">
            <v>2014 J</v>
          </cell>
          <cell r="B4440">
            <v>11959</v>
          </cell>
          <cell r="C4440">
            <v>45772</v>
          </cell>
          <cell r="D4440" t="str">
            <v>JILANI</v>
          </cell>
          <cell r="E4440" t="str">
            <v>سیالکوٹ سویٹس گوجرانوالہ</v>
          </cell>
        </row>
        <row r="4441">
          <cell r="A4441" t="str">
            <v>2015 J</v>
          </cell>
          <cell r="B4441">
            <v>11959</v>
          </cell>
          <cell r="C4441">
            <v>45772</v>
          </cell>
          <cell r="D4441" t="str">
            <v>JILANI</v>
          </cell>
          <cell r="E4441" t="str">
            <v>سیالکوٹ سویٹس گوجرانوالہ</v>
          </cell>
        </row>
        <row r="4442">
          <cell r="A4442" t="str">
            <v>2016 J</v>
          </cell>
          <cell r="B4442">
            <v>11960</v>
          </cell>
          <cell r="C4442">
            <v>45772</v>
          </cell>
          <cell r="D4442" t="str">
            <v>JILANI</v>
          </cell>
          <cell r="E4442" t="str">
            <v>رائل بروک لاہور</v>
          </cell>
        </row>
        <row r="4443">
          <cell r="A4443" t="str">
            <v>2017 J</v>
          </cell>
          <cell r="B4443">
            <v>11961</v>
          </cell>
          <cell r="C4443">
            <v>45772</v>
          </cell>
          <cell r="D4443" t="str">
            <v>JILANI</v>
          </cell>
          <cell r="E4443" t="str">
            <v>ارمانی ڈرائی کلینر منڈی بہاؤالدین</v>
          </cell>
        </row>
        <row r="4444">
          <cell r="A4444" t="str">
            <v>2018 J</v>
          </cell>
          <cell r="B4444">
            <v>11961</v>
          </cell>
          <cell r="C4444">
            <v>45772</v>
          </cell>
          <cell r="D4444" t="str">
            <v>JILANI</v>
          </cell>
          <cell r="E4444" t="str">
            <v>ارمانی ڈرائی کلینر منڈی بہاؤالدین</v>
          </cell>
        </row>
        <row r="4445">
          <cell r="A4445" t="str">
            <v>2019 J</v>
          </cell>
          <cell r="B4445">
            <v>11962</v>
          </cell>
          <cell r="C4445">
            <v>45772</v>
          </cell>
          <cell r="D4445" t="str">
            <v>JILANI</v>
          </cell>
          <cell r="E4445" t="str">
            <v>فیشن زون کوٹ رادہ کشن</v>
          </cell>
        </row>
        <row r="4446">
          <cell r="A4446" t="str">
            <v>2020 J</v>
          </cell>
          <cell r="B4446">
            <v>11962</v>
          </cell>
          <cell r="C4446">
            <v>45772</v>
          </cell>
          <cell r="D4446" t="str">
            <v>JILANI</v>
          </cell>
          <cell r="E4446" t="str">
            <v>فیشن زون کوٹ رادہ کشن</v>
          </cell>
        </row>
        <row r="4447">
          <cell r="A4447" t="str">
            <v>2021 J</v>
          </cell>
          <cell r="B4447">
            <v>11963</v>
          </cell>
          <cell r="C4447">
            <v>45772</v>
          </cell>
          <cell r="D4447" t="str">
            <v>JILANI</v>
          </cell>
          <cell r="E4447" t="str">
            <v>گلوریہ فیبرکس لاہور</v>
          </cell>
        </row>
        <row r="4448">
          <cell r="A4448" t="str">
            <v>2022 J</v>
          </cell>
          <cell r="B4448">
            <v>11964</v>
          </cell>
          <cell r="C4448">
            <v>45772</v>
          </cell>
          <cell r="D4448" t="str">
            <v>JILANI</v>
          </cell>
          <cell r="E4448" t="str">
            <v>کیمیکل لاہور SYNT</v>
          </cell>
        </row>
        <row r="4449">
          <cell r="A4449" t="str">
            <v>2023 J</v>
          </cell>
          <cell r="B4449">
            <v>11964</v>
          </cell>
          <cell r="C4449">
            <v>45772</v>
          </cell>
          <cell r="D4449" t="str">
            <v>JILANI</v>
          </cell>
          <cell r="E4449" t="str">
            <v>کیمیکل لاہور SYNT</v>
          </cell>
        </row>
        <row r="4450">
          <cell r="A4450" t="str">
            <v>2024 J</v>
          </cell>
          <cell r="B4450">
            <v>11965</v>
          </cell>
          <cell r="C4450">
            <v>45772</v>
          </cell>
          <cell r="D4450" t="str">
            <v>JILANI</v>
          </cell>
          <cell r="E4450" t="str">
            <v>نعمت شیریں لاہور</v>
          </cell>
        </row>
        <row r="4451">
          <cell r="A4451" t="str">
            <v>2025 J</v>
          </cell>
          <cell r="B4451">
            <v>11965</v>
          </cell>
          <cell r="C4451">
            <v>45772</v>
          </cell>
          <cell r="D4451" t="str">
            <v>JILANI</v>
          </cell>
          <cell r="E4451" t="str">
            <v>نعمت شیریں لاہور</v>
          </cell>
        </row>
        <row r="4452">
          <cell r="A4452" t="str">
            <v>2026 J</v>
          </cell>
          <cell r="B4452">
            <v>11965</v>
          </cell>
          <cell r="C4452">
            <v>45772</v>
          </cell>
          <cell r="D4452" t="str">
            <v>JILANI</v>
          </cell>
          <cell r="E4452" t="str">
            <v>نعمت شیریں لاہور</v>
          </cell>
        </row>
        <row r="4453">
          <cell r="A4453" t="str">
            <v>1411 F</v>
          </cell>
          <cell r="B4453"/>
          <cell r="C4453">
            <v>45773</v>
          </cell>
          <cell r="D4453" t="str">
            <v>فینا</v>
          </cell>
          <cell r="E4453" t="str">
            <v>عثمان امین</v>
          </cell>
        </row>
        <row r="4454">
          <cell r="A4454" t="str">
            <v>1412 F</v>
          </cell>
          <cell r="B4454"/>
          <cell r="C4454">
            <v>45773</v>
          </cell>
          <cell r="D4454" t="str">
            <v>فینا</v>
          </cell>
          <cell r="E4454" t="str">
            <v>عثمان امین</v>
          </cell>
        </row>
        <row r="4455">
          <cell r="A4455" t="str">
            <v>1413 F</v>
          </cell>
          <cell r="B4455"/>
          <cell r="C4455">
            <v>45773</v>
          </cell>
          <cell r="D4455" t="str">
            <v>فینا</v>
          </cell>
          <cell r="E4455" t="str">
            <v>عثمان امین</v>
          </cell>
        </row>
        <row r="4456">
          <cell r="A4456" t="str">
            <v>1414 F</v>
          </cell>
          <cell r="B4456"/>
          <cell r="C4456">
            <v>45773</v>
          </cell>
          <cell r="D4456" t="str">
            <v>فینا</v>
          </cell>
          <cell r="E4456" t="str">
            <v>عثمان امین</v>
          </cell>
        </row>
        <row r="4457">
          <cell r="A4457" t="str">
            <v>1415 F</v>
          </cell>
          <cell r="B4457"/>
          <cell r="C4457">
            <v>45773</v>
          </cell>
          <cell r="D4457" t="str">
            <v>فینا</v>
          </cell>
          <cell r="E4457" t="str">
            <v>عثمان امین</v>
          </cell>
        </row>
        <row r="4458">
          <cell r="A4458" t="str">
            <v>1416 F</v>
          </cell>
          <cell r="B4458"/>
          <cell r="C4458">
            <v>45773</v>
          </cell>
          <cell r="D4458" t="str">
            <v>فینا</v>
          </cell>
          <cell r="E4458" t="str">
            <v>عثمان امین</v>
          </cell>
        </row>
        <row r="4459">
          <cell r="A4459" t="str">
            <v>1417 F</v>
          </cell>
          <cell r="B4459"/>
          <cell r="C4459">
            <v>45773</v>
          </cell>
          <cell r="D4459" t="str">
            <v>فینا</v>
          </cell>
          <cell r="E4459" t="str">
            <v>عثمان امین</v>
          </cell>
        </row>
        <row r="4460">
          <cell r="A4460" t="str">
            <v>1418 F</v>
          </cell>
          <cell r="B4460"/>
          <cell r="C4460">
            <v>45773</v>
          </cell>
          <cell r="D4460" t="str">
            <v>فینا</v>
          </cell>
          <cell r="E4460" t="str">
            <v>عثمان امین</v>
          </cell>
        </row>
        <row r="4461">
          <cell r="A4461" t="str">
            <v>1419 F</v>
          </cell>
          <cell r="B4461"/>
          <cell r="C4461">
            <v>45773</v>
          </cell>
          <cell r="D4461" t="str">
            <v>فینا</v>
          </cell>
          <cell r="E4461" t="str">
            <v>عثمان امین</v>
          </cell>
        </row>
        <row r="4462">
          <cell r="A4462" t="str">
            <v>1420 F</v>
          </cell>
          <cell r="B4462"/>
          <cell r="C4462">
            <v>45773</v>
          </cell>
          <cell r="D4462" t="str">
            <v>فینا</v>
          </cell>
          <cell r="E4462" t="str">
            <v>عثمان امین</v>
          </cell>
        </row>
        <row r="4463">
          <cell r="A4463" t="str">
            <v>1421 F</v>
          </cell>
          <cell r="B4463"/>
          <cell r="C4463">
            <v>45773</v>
          </cell>
          <cell r="D4463" t="str">
            <v>فینا</v>
          </cell>
          <cell r="E4463" t="str">
            <v>عثمان امین</v>
          </cell>
        </row>
        <row r="4464">
          <cell r="A4464" t="str">
            <v>1422F</v>
          </cell>
          <cell r="B4464"/>
          <cell r="C4464">
            <v>45773</v>
          </cell>
          <cell r="D4464" t="str">
            <v>فینا</v>
          </cell>
          <cell r="E4464" t="str">
            <v>عثمان امین</v>
          </cell>
        </row>
        <row r="4465">
          <cell r="A4465" t="str">
            <v>1423 F</v>
          </cell>
          <cell r="B4465"/>
          <cell r="C4465">
            <v>45773</v>
          </cell>
          <cell r="D4465" t="str">
            <v>فینا</v>
          </cell>
          <cell r="E4465" t="str">
            <v>عثمان امین</v>
          </cell>
        </row>
        <row r="4466">
          <cell r="A4466" t="str">
            <v>1424 F</v>
          </cell>
          <cell r="B4466"/>
          <cell r="C4466">
            <v>45773</v>
          </cell>
          <cell r="D4466" t="str">
            <v>فینا</v>
          </cell>
          <cell r="E4466" t="str">
            <v>عثمان امین</v>
          </cell>
        </row>
        <row r="4467">
          <cell r="A4467" t="str">
            <v>1425 F</v>
          </cell>
          <cell r="B4467"/>
          <cell r="C4467">
            <v>45773</v>
          </cell>
          <cell r="D4467" t="str">
            <v>فینا</v>
          </cell>
          <cell r="E4467" t="str">
            <v>عثمان امین</v>
          </cell>
        </row>
        <row r="4468">
          <cell r="A4468" t="str">
            <v>1426 F</v>
          </cell>
          <cell r="B4468"/>
          <cell r="C4468">
            <v>45773</v>
          </cell>
          <cell r="D4468" t="str">
            <v>فینا</v>
          </cell>
          <cell r="E4468" t="str">
            <v>عثمان امین</v>
          </cell>
        </row>
        <row r="4469">
          <cell r="A4469" t="str">
            <v>2027 J</v>
          </cell>
          <cell r="B4469"/>
          <cell r="C4469">
            <v>45772</v>
          </cell>
          <cell r="D4469" t="str">
            <v>OTHERS</v>
          </cell>
          <cell r="E4469" t="str">
            <v>جیلانی پلاسٹک</v>
          </cell>
        </row>
        <row r="4470">
          <cell r="A4470" t="str">
            <v>2028 J</v>
          </cell>
          <cell r="B4470"/>
          <cell r="C4470">
            <v>45772</v>
          </cell>
          <cell r="D4470" t="str">
            <v>OTHERS</v>
          </cell>
          <cell r="E4470" t="str">
            <v>جیلانی پلاسٹک</v>
          </cell>
        </row>
        <row r="4471">
          <cell r="A4471" t="str">
            <v>2029 J</v>
          </cell>
          <cell r="B4471"/>
          <cell r="C4471">
            <v>45772</v>
          </cell>
          <cell r="D4471" t="str">
            <v>OTHERS</v>
          </cell>
          <cell r="E4471" t="str">
            <v>جیلانی پلاسٹک</v>
          </cell>
        </row>
        <row r="4472">
          <cell r="A4472" t="str">
            <v>2030 J</v>
          </cell>
          <cell r="B4472">
            <v>11966</v>
          </cell>
          <cell r="C4472">
            <v>45775</v>
          </cell>
          <cell r="D4472" t="str">
            <v>JILANI</v>
          </cell>
          <cell r="E4472" t="str">
            <v>چشتی پلاسٹک موچی گیٹ</v>
          </cell>
        </row>
        <row r="4473">
          <cell r="A4473" t="str">
            <v>2031 J</v>
          </cell>
          <cell r="B4473">
            <v>11967</v>
          </cell>
          <cell r="C4473">
            <v>45775</v>
          </cell>
          <cell r="D4473" t="str">
            <v>JILANI</v>
          </cell>
          <cell r="E4473" t="str">
            <v>مدنی پرنٹنگ پریس نارنگ منڈی</v>
          </cell>
        </row>
        <row r="4474">
          <cell r="A4474" t="str">
            <v>2032 J</v>
          </cell>
          <cell r="B4474">
            <v>11967</v>
          </cell>
          <cell r="C4474">
            <v>45775</v>
          </cell>
          <cell r="D4474" t="str">
            <v>JILANI</v>
          </cell>
          <cell r="E4474" t="str">
            <v>مدنی پرنٹنگ پریس نارنگ منڈی</v>
          </cell>
        </row>
        <row r="4475">
          <cell r="A4475" t="str">
            <v>2033 J</v>
          </cell>
          <cell r="B4475">
            <v>11968</v>
          </cell>
          <cell r="C4475">
            <v>45775</v>
          </cell>
          <cell r="D4475" t="str">
            <v>JILANI</v>
          </cell>
          <cell r="E4475" t="str">
            <v>مدنی پرنٹنگ پریس نارنگ منڈی</v>
          </cell>
        </row>
        <row r="4476">
          <cell r="A4476" t="str">
            <v>2034 J</v>
          </cell>
          <cell r="B4476">
            <v>11968</v>
          </cell>
          <cell r="C4476">
            <v>45775</v>
          </cell>
          <cell r="D4476" t="str">
            <v>JILANI</v>
          </cell>
          <cell r="E4476" t="str">
            <v>مدنی پرنٹنگ پریس نارنگ منڈی</v>
          </cell>
        </row>
        <row r="4477">
          <cell r="A4477" t="str">
            <v>2035 J</v>
          </cell>
          <cell r="B4477"/>
          <cell r="C4477">
            <v>45775</v>
          </cell>
          <cell r="D4477" t="str">
            <v>OTHERS</v>
          </cell>
          <cell r="E4477" t="str">
            <v>جیلانی پلاسٹک</v>
          </cell>
        </row>
        <row r="4478">
          <cell r="A4478" t="str">
            <v>2036 J</v>
          </cell>
          <cell r="B4478"/>
          <cell r="C4478">
            <v>45775</v>
          </cell>
          <cell r="D4478" t="str">
            <v>OTHERS</v>
          </cell>
          <cell r="E4478" t="str">
            <v>جیلانی پلاسٹک</v>
          </cell>
        </row>
        <row r="4479">
          <cell r="A4479" t="str">
            <v>2037 J</v>
          </cell>
          <cell r="B4479"/>
          <cell r="C4479">
            <v>45775</v>
          </cell>
          <cell r="D4479" t="str">
            <v>OTHERS</v>
          </cell>
          <cell r="E4479" t="str">
            <v>جیلانی پلاسٹک</v>
          </cell>
        </row>
        <row r="4480">
          <cell r="A4480" t="str">
            <v>2038 J</v>
          </cell>
          <cell r="B4480"/>
          <cell r="C4480">
            <v>45775</v>
          </cell>
          <cell r="D4480" t="str">
            <v>OTHERS</v>
          </cell>
          <cell r="E4480" t="str">
            <v>جیلانی پلاسٹک</v>
          </cell>
        </row>
        <row r="4481">
          <cell r="A4481" t="str">
            <v>2039 J</v>
          </cell>
          <cell r="B4481"/>
          <cell r="C4481">
            <v>45775</v>
          </cell>
          <cell r="D4481" t="str">
            <v>OTHERS</v>
          </cell>
          <cell r="E4481" t="str">
            <v>جیلانی پلاسٹک</v>
          </cell>
        </row>
        <row r="4482">
          <cell r="A4482" t="str">
            <v>2040 J</v>
          </cell>
          <cell r="B4482"/>
          <cell r="C4482">
            <v>45775</v>
          </cell>
          <cell r="D4482" t="str">
            <v>OTHERS</v>
          </cell>
          <cell r="E4482" t="str">
            <v>جیلانی پلاسٹک</v>
          </cell>
        </row>
        <row r="4483">
          <cell r="A4483">
            <v>2739</v>
          </cell>
          <cell r="B4483"/>
          <cell r="C4483">
            <v>45776</v>
          </cell>
          <cell r="D4483" t="str">
            <v>JILANI</v>
          </cell>
          <cell r="E4483" t="str">
            <v>PT -02</v>
          </cell>
        </row>
        <row r="4484">
          <cell r="A4484" t="str">
            <v>1427 F</v>
          </cell>
          <cell r="B4484"/>
          <cell r="C4484">
            <v>45775</v>
          </cell>
          <cell r="D4484" t="str">
            <v>فینا</v>
          </cell>
          <cell r="E4484" t="str">
            <v>عثمان امین</v>
          </cell>
        </row>
        <row r="4485">
          <cell r="A4485" t="str">
            <v>1428 F</v>
          </cell>
          <cell r="B4485"/>
          <cell r="C4485">
            <v>45776</v>
          </cell>
          <cell r="D4485" t="str">
            <v>فینا</v>
          </cell>
          <cell r="E4485" t="str">
            <v>عثمان امین</v>
          </cell>
        </row>
        <row r="4486">
          <cell r="A4486" t="str">
            <v>1429 F</v>
          </cell>
          <cell r="B4486"/>
          <cell r="C4486">
            <v>45776</v>
          </cell>
          <cell r="D4486" t="str">
            <v>فینا</v>
          </cell>
          <cell r="E4486" t="str">
            <v>عثمان امین</v>
          </cell>
        </row>
        <row r="4487">
          <cell r="A4487" t="str">
            <v>1430 F</v>
          </cell>
          <cell r="B4487"/>
          <cell r="C4487">
            <v>45776</v>
          </cell>
          <cell r="D4487" t="str">
            <v>فینا</v>
          </cell>
          <cell r="E4487" t="str">
            <v>عثمان امین</v>
          </cell>
        </row>
        <row r="4488">
          <cell r="A4488" t="str">
            <v>1431 F</v>
          </cell>
          <cell r="B4488"/>
          <cell r="C4488">
            <v>45776</v>
          </cell>
          <cell r="D4488" t="str">
            <v>فینا</v>
          </cell>
          <cell r="E4488" t="str">
            <v>عثمان امین</v>
          </cell>
        </row>
        <row r="4489">
          <cell r="A4489" t="str">
            <v>1432 F</v>
          </cell>
          <cell r="B4489"/>
          <cell r="C4489">
            <v>45776</v>
          </cell>
          <cell r="D4489" t="str">
            <v>فینا</v>
          </cell>
          <cell r="E4489" t="str">
            <v>عثمان امین</v>
          </cell>
        </row>
        <row r="4490">
          <cell r="A4490" t="str">
            <v>1433 F</v>
          </cell>
          <cell r="B4490"/>
          <cell r="C4490">
            <v>45776</v>
          </cell>
          <cell r="D4490" t="str">
            <v>فینا</v>
          </cell>
          <cell r="E4490" t="str">
            <v>عثمان امین</v>
          </cell>
        </row>
        <row r="4491">
          <cell r="A4491" t="str">
            <v>1434 F</v>
          </cell>
          <cell r="B4491"/>
          <cell r="C4491">
            <v>45776</v>
          </cell>
          <cell r="D4491" t="str">
            <v>فینا</v>
          </cell>
          <cell r="E4491" t="str">
            <v>عثمان امین</v>
          </cell>
        </row>
        <row r="4492">
          <cell r="A4492" t="str">
            <v>1435 F</v>
          </cell>
          <cell r="B4492"/>
          <cell r="C4492">
            <v>45776</v>
          </cell>
          <cell r="D4492" t="str">
            <v>فینا</v>
          </cell>
          <cell r="E4492" t="str">
            <v>عثمان امین</v>
          </cell>
        </row>
        <row r="4493">
          <cell r="A4493" t="str">
            <v>1436 F</v>
          </cell>
          <cell r="B4493"/>
          <cell r="C4493">
            <v>45776</v>
          </cell>
          <cell r="D4493" t="str">
            <v>فینا</v>
          </cell>
          <cell r="E4493" t="str">
            <v>عثمان امین</v>
          </cell>
        </row>
        <row r="4494">
          <cell r="A4494" t="str">
            <v>1437 F</v>
          </cell>
          <cell r="B4494"/>
          <cell r="C4494">
            <v>45776</v>
          </cell>
          <cell r="D4494" t="str">
            <v>فینا</v>
          </cell>
          <cell r="E4494" t="str">
            <v>عثمان امین</v>
          </cell>
        </row>
        <row r="4495">
          <cell r="A4495" t="str">
            <v>1438 F</v>
          </cell>
          <cell r="B4495"/>
          <cell r="C4495">
            <v>45776</v>
          </cell>
          <cell r="D4495" t="str">
            <v>فینا</v>
          </cell>
          <cell r="E4495" t="str">
            <v>عثمان امین</v>
          </cell>
        </row>
        <row r="4496">
          <cell r="A4496" t="str">
            <v>1439 F</v>
          </cell>
          <cell r="B4496"/>
          <cell r="C4496">
            <v>45776</v>
          </cell>
          <cell r="D4496" t="str">
            <v>فینا</v>
          </cell>
          <cell r="E4496" t="str">
            <v>عثمان امین</v>
          </cell>
        </row>
        <row r="4497">
          <cell r="A4497" t="str">
            <v>1440 F</v>
          </cell>
          <cell r="B4497"/>
          <cell r="C4497">
            <v>45776</v>
          </cell>
          <cell r="D4497" t="str">
            <v>فینا</v>
          </cell>
          <cell r="E4497" t="str">
            <v>عثمان امین</v>
          </cell>
        </row>
        <row r="4498">
          <cell r="A4498" t="str">
            <v>1441 F</v>
          </cell>
          <cell r="B4498"/>
          <cell r="C4498">
            <v>45777</v>
          </cell>
          <cell r="D4498" t="str">
            <v>فینا</v>
          </cell>
          <cell r="E4498" t="str">
            <v>عثمان امین</v>
          </cell>
        </row>
        <row r="4499">
          <cell r="A4499" t="str">
            <v>1442 F</v>
          </cell>
          <cell r="B4499"/>
          <cell r="C4499">
            <v>45777</v>
          </cell>
          <cell r="D4499" t="str">
            <v>فینا</v>
          </cell>
          <cell r="E4499" t="str">
            <v>عثمان امین</v>
          </cell>
        </row>
        <row r="4500">
          <cell r="A4500" t="str">
            <v>1443 F</v>
          </cell>
          <cell r="B4500"/>
          <cell r="C4500">
            <v>45777</v>
          </cell>
          <cell r="D4500" t="str">
            <v>فینا</v>
          </cell>
          <cell r="E4500" t="str">
            <v>عثمان امین</v>
          </cell>
        </row>
        <row r="4501">
          <cell r="A4501" t="str">
            <v>1444 F</v>
          </cell>
          <cell r="B4501"/>
          <cell r="C4501">
            <v>45777</v>
          </cell>
          <cell r="D4501" t="str">
            <v>فینا</v>
          </cell>
          <cell r="E4501" t="str">
            <v>عثمان امین</v>
          </cell>
        </row>
        <row r="4502">
          <cell r="A4502" t="str">
            <v>1445 F</v>
          </cell>
          <cell r="B4502"/>
          <cell r="C4502">
            <v>45777</v>
          </cell>
          <cell r="D4502" t="str">
            <v>فینا</v>
          </cell>
          <cell r="E4502" t="str">
            <v>عثمان امین</v>
          </cell>
        </row>
        <row r="4503">
          <cell r="A4503" t="str">
            <v>1446 F</v>
          </cell>
          <cell r="B4503"/>
          <cell r="C4503">
            <v>45777</v>
          </cell>
          <cell r="D4503" t="str">
            <v>فینا</v>
          </cell>
          <cell r="E4503" t="str">
            <v>عثمان امین</v>
          </cell>
        </row>
        <row r="4504">
          <cell r="A4504" t="str">
            <v>1447 F</v>
          </cell>
          <cell r="B4504"/>
          <cell r="C4504">
            <v>45777</v>
          </cell>
          <cell r="D4504" t="str">
            <v>فینا</v>
          </cell>
          <cell r="E4504" t="str">
            <v>عثمان امین</v>
          </cell>
        </row>
        <row r="4505">
          <cell r="A4505" t="str">
            <v>1448 F</v>
          </cell>
          <cell r="B4505"/>
          <cell r="C4505">
            <v>45777</v>
          </cell>
          <cell r="D4505" t="str">
            <v>فینا</v>
          </cell>
          <cell r="E4505" t="str">
            <v>عثمان امین</v>
          </cell>
        </row>
        <row r="4506">
          <cell r="A4506" t="str">
            <v>1449 F</v>
          </cell>
          <cell r="B4506"/>
          <cell r="C4506">
            <v>45777</v>
          </cell>
          <cell r="D4506" t="str">
            <v>فینا</v>
          </cell>
          <cell r="E4506" t="str">
            <v>عثمان امین</v>
          </cell>
        </row>
        <row r="4507">
          <cell r="A4507" t="str">
            <v>1450 F</v>
          </cell>
          <cell r="B4507"/>
          <cell r="C4507">
            <v>45777</v>
          </cell>
          <cell r="D4507" t="str">
            <v>فینا</v>
          </cell>
          <cell r="E4507" t="str">
            <v>عثمان امین</v>
          </cell>
        </row>
        <row r="4508">
          <cell r="A4508" t="str">
            <v>1451 F</v>
          </cell>
          <cell r="B4508"/>
          <cell r="C4508">
            <v>45777</v>
          </cell>
          <cell r="D4508" t="str">
            <v>فینا</v>
          </cell>
          <cell r="E4508" t="str">
            <v>عثمان امین</v>
          </cell>
        </row>
        <row r="4509">
          <cell r="A4509" t="str">
            <v>1452 F</v>
          </cell>
          <cell r="B4509"/>
          <cell r="C4509">
            <v>45777</v>
          </cell>
          <cell r="D4509" t="str">
            <v>فینا</v>
          </cell>
          <cell r="E4509" t="str">
            <v>عثمان امین</v>
          </cell>
        </row>
        <row r="4510">
          <cell r="A4510" t="str">
            <v>1453 F</v>
          </cell>
          <cell r="B4510"/>
          <cell r="C4510">
            <v>45777</v>
          </cell>
          <cell r="D4510" t="str">
            <v>فینا</v>
          </cell>
          <cell r="E4510" t="str">
            <v>عثمان امین</v>
          </cell>
        </row>
        <row r="4511">
          <cell r="A4511" t="str">
            <v>1454 F</v>
          </cell>
          <cell r="B4511"/>
          <cell r="C4511">
            <v>45777</v>
          </cell>
          <cell r="D4511" t="str">
            <v>فینا</v>
          </cell>
          <cell r="E4511" t="str">
            <v>عثمان امین</v>
          </cell>
        </row>
        <row r="4512">
          <cell r="A4512" t="str">
            <v>1455 F</v>
          </cell>
          <cell r="B4512"/>
          <cell r="C4512">
            <v>45777</v>
          </cell>
          <cell r="D4512" t="str">
            <v>فینا</v>
          </cell>
          <cell r="E4512" t="str">
            <v>عثمان امین</v>
          </cell>
        </row>
        <row r="4513">
          <cell r="A4513" t="str">
            <v>2041 J</v>
          </cell>
          <cell r="B4513"/>
          <cell r="C4513">
            <v>45775</v>
          </cell>
          <cell r="D4513" t="str">
            <v>OTHERS</v>
          </cell>
          <cell r="E4513" t="str">
            <v>کلاسکس فائیو لاہور کئیر آف شاہ زیب صاحب</v>
          </cell>
        </row>
        <row r="4514">
          <cell r="A4514" t="str">
            <v>2042 J</v>
          </cell>
          <cell r="B4514"/>
          <cell r="C4514">
            <v>45775</v>
          </cell>
          <cell r="D4514" t="str">
            <v>OTHERS</v>
          </cell>
          <cell r="E4514" t="str">
            <v>کلاسکس فائیو لاہور کئیر آف شاہ زیب صاحب</v>
          </cell>
        </row>
        <row r="4515">
          <cell r="A4515" t="str">
            <v>2043 J</v>
          </cell>
          <cell r="B4515">
            <v>11969</v>
          </cell>
          <cell r="C4515">
            <v>45776</v>
          </cell>
          <cell r="D4515" t="str">
            <v>JILANI</v>
          </cell>
          <cell r="E4515" t="str">
            <v>عالم پرنٹرز بٹ خیلہ</v>
          </cell>
        </row>
        <row r="4516">
          <cell r="A4516" t="str">
            <v>2044 J</v>
          </cell>
          <cell r="B4516">
            <v>11970</v>
          </cell>
          <cell r="C4516">
            <v>45776</v>
          </cell>
          <cell r="D4516" t="str">
            <v>JILANI</v>
          </cell>
          <cell r="E4516" t="str">
            <v>رمادا ملتان</v>
          </cell>
        </row>
        <row r="4517">
          <cell r="A4517" t="str">
            <v>2045 J</v>
          </cell>
          <cell r="B4517">
            <v>11971</v>
          </cell>
          <cell r="C4517">
            <v>45776</v>
          </cell>
          <cell r="D4517" t="str">
            <v>JILANI</v>
          </cell>
          <cell r="E4517" t="str">
            <v>رمادا ملتان</v>
          </cell>
        </row>
        <row r="4518">
          <cell r="A4518" t="str">
            <v>2046 J</v>
          </cell>
          <cell r="B4518">
            <v>11972</v>
          </cell>
          <cell r="C4518">
            <v>45776</v>
          </cell>
          <cell r="D4518" t="str">
            <v>JILANI</v>
          </cell>
          <cell r="E4518" t="str">
            <v>رمادا ملتان</v>
          </cell>
        </row>
        <row r="4519">
          <cell r="A4519" t="str">
            <v>2047 J</v>
          </cell>
          <cell r="B4519">
            <v>11973</v>
          </cell>
          <cell r="C4519">
            <v>45776</v>
          </cell>
          <cell r="D4519" t="str">
            <v>JILANI</v>
          </cell>
          <cell r="E4519" t="str">
            <v>رمادا ملتان</v>
          </cell>
        </row>
        <row r="4520">
          <cell r="A4520" t="str">
            <v>2048 J</v>
          </cell>
          <cell r="B4520">
            <v>11974</v>
          </cell>
          <cell r="C4520">
            <v>45776</v>
          </cell>
          <cell r="D4520" t="str">
            <v>JILANI</v>
          </cell>
          <cell r="E4520" t="str">
            <v>بولان پیسٹری کوئٹہ</v>
          </cell>
        </row>
        <row r="4521">
          <cell r="A4521" t="str">
            <v>2049 J</v>
          </cell>
          <cell r="B4521">
            <v>11974</v>
          </cell>
          <cell r="C4521">
            <v>45776</v>
          </cell>
          <cell r="D4521" t="str">
            <v>JILANI</v>
          </cell>
          <cell r="E4521" t="str">
            <v>بولان پیسٹری کوئٹہ</v>
          </cell>
        </row>
        <row r="4522">
          <cell r="A4522" t="str">
            <v>2050 J</v>
          </cell>
          <cell r="B4522">
            <v>11975</v>
          </cell>
          <cell r="C4522">
            <v>45776</v>
          </cell>
          <cell r="D4522" t="str">
            <v>JILANI</v>
          </cell>
          <cell r="E4522" t="str">
            <v>پنجاب پرنٹرز حافظ آباد</v>
          </cell>
        </row>
        <row r="4523">
          <cell r="A4523" t="str">
            <v>2051 J</v>
          </cell>
          <cell r="B4523">
            <v>11975</v>
          </cell>
          <cell r="C4523">
            <v>45776</v>
          </cell>
          <cell r="D4523" t="str">
            <v>JILANI</v>
          </cell>
          <cell r="E4523" t="str">
            <v>پنجاب پرنٹرز حافظ آباد</v>
          </cell>
        </row>
        <row r="4524">
          <cell r="A4524" t="str">
            <v>2052 J</v>
          </cell>
          <cell r="B4524">
            <v>11976</v>
          </cell>
          <cell r="C4524">
            <v>45776</v>
          </cell>
          <cell r="D4524" t="str">
            <v>JILANI</v>
          </cell>
          <cell r="E4524" t="str">
            <v>عالم پرنٹرز بٹ خیلہ</v>
          </cell>
        </row>
        <row r="4525">
          <cell r="A4525" t="str">
            <v>2053 J</v>
          </cell>
          <cell r="B4525">
            <v>11976</v>
          </cell>
          <cell r="C4525">
            <v>45776</v>
          </cell>
          <cell r="D4525" t="str">
            <v>JILANI</v>
          </cell>
          <cell r="E4525" t="str">
            <v>عالم پرنٹرز بٹ خیلہ</v>
          </cell>
        </row>
        <row r="4526">
          <cell r="A4526" t="str">
            <v>2054 J</v>
          </cell>
          <cell r="B4526">
            <v>11976</v>
          </cell>
          <cell r="C4526">
            <v>45776</v>
          </cell>
          <cell r="D4526" t="str">
            <v>JILANI</v>
          </cell>
          <cell r="E4526" t="str">
            <v>عالم پرنٹرز بٹ خیلہ</v>
          </cell>
        </row>
        <row r="4527">
          <cell r="A4527" t="str">
            <v>2055 J</v>
          </cell>
          <cell r="B4527">
            <v>11977</v>
          </cell>
          <cell r="C4527">
            <v>45776</v>
          </cell>
          <cell r="D4527" t="str">
            <v>JILANI</v>
          </cell>
          <cell r="E4527" t="str">
            <v>فرخ حسین فیبرکس فورٹ عباس</v>
          </cell>
        </row>
        <row r="4528">
          <cell r="A4528" t="str">
            <v>2056 J</v>
          </cell>
          <cell r="B4528">
            <v>11977</v>
          </cell>
          <cell r="C4528">
            <v>45776</v>
          </cell>
          <cell r="D4528" t="str">
            <v>JILANI</v>
          </cell>
          <cell r="E4528" t="str">
            <v>فرخ حسین فیبرکس فورٹ عباس</v>
          </cell>
        </row>
        <row r="4529">
          <cell r="A4529" t="str">
            <v>2057 J</v>
          </cell>
          <cell r="B4529">
            <v>11977</v>
          </cell>
          <cell r="C4529">
            <v>45776</v>
          </cell>
          <cell r="D4529" t="str">
            <v>JILANI</v>
          </cell>
          <cell r="E4529" t="str">
            <v>فرخ حسین فیبرکس فورٹ عباس</v>
          </cell>
        </row>
        <row r="4530">
          <cell r="A4530" t="str">
            <v>2058 J</v>
          </cell>
          <cell r="B4530">
            <v>11977</v>
          </cell>
          <cell r="C4530">
            <v>45776</v>
          </cell>
          <cell r="D4530" t="str">
            <v>JILANI</v>
          </cell>
          <cell r="E4530" t="str">
            <v>فرخ حسین فیبرکس فورٹ عباس</v>
          </cell>
        </row>
        <row r="4531">
          <cell r="A4531" t="str">
            <v>2059 J</v>
          </cell>
          <cell r="B4531">
            <v>11977</v>
          </cell>
          <cell r="C4531">
            <v>45776</v>
          </cell>
          <cell r="D4531" t="str">
            <v>JILANI</v>
          </cell>
          <cell r="E4531" t="str">
            <v>فرخ حسین فیبرکس فورٹ عباس</v>
          </cell>
        </row>
        <row r="4532">
          <cell r="A4532" t="str">
            <v>2060 J</v>
          </cell>
          <cell r="B4532">
            <v>11978</v>
          </cell>
          <cell r="C4532">
            <v>45776</v>
          </cell>
          <cell r="D4532" t="str">
            <v>JILANI</v>
          </cell>
          <cell r="E4532" t="str">
            <v>عالم پرنٹرز بٹ خیلہ</v>
          </cell>
        </row>
        <row r="4533">
          <cell r="A4533" t="str">
            <v>2061 J</v>
          </cell>
          <cell r="B4533">
            <v>11978</v>
          </cell>
          <cell r="C4533">
            <v>45776</v>
          </cell>
          <cell r="D4533" t="str">
            <v>JILANI</v>
          </cell>
          <cell r="E4533" t="str">
            <v>عالم پرنٹرز بٹ خیلہ</v>
          </cell>
        </row>
        <row r="4534">
          <cell r="A4534" t="str">
            <v>2062 J</v>
          </cell>
          <cell r="B4534">
            <v>11979</v>
          </cell>
          <cell r="C4534">
            <v>45776</v>
          </cell>
          <cell r="D4534" t="str">
            <v>JILANI</v>
          </cell>
          <cell r="E4534" t="str">
            <v>عرفان صاحب اعظم مارکیٹ</v>
          </cell>
        </row>
        <row r="4535">
          <cell r="A4535" t="str">
            <v>2063 J</v>
          </cell>
          <cell r="B4535">
            <v>11979</v>
          </cell>
          <cell r="C4535">
            <v>45776</v>
          </cell>
          <cell r="D4535" t="str">
            <v>JILANI</v>
          </cell>
          <cell r="E4535" t="str">
            <v>عرفان صاحب اعظم مارکیٹ</v>
          </cell>
        </row>
        <row r="4536">
          <cell r="A4536" t="str">
            <v>2064 J</v>
          </cell>
          <cell r="B4536">
            <v>11980</v>
          </cell>
          <cell r="C4536">
            <v>45776</v>
          </cell>
          <cell r="D4536" t="str">
            <v>JILANI</v>
          </cell>
          <cell r="E4536" t="str">
            <v>حاجی کمال وانہ</v>
          </cell>
        </row>
        <row r="4537">
          <cell r="A4537" t="str">
            <v>2065 J</v>
          </cell>
          <cell r="B4537">
            <v>11981</v>
          </cell>
          <cell r="C4537">
            <v>45776</v>
          </cell>
          <cell r="D4537" t="str">
            <v>JILANI</v>
          </cell>
          <cell r="E4537" t="str">
            <v>حاجی کمال وانہ</v>
          </cell>
        </row>
        <row r="4538">
          <cell r="A4538" t="str">
            <v>2066 J</v>
          </cell>
          <cell r="B4538">
            <v>11982</v>
          </cell>
          <cell r="C4538">
            <v>45776</v>
          </cell>
          <cell r="D4538" t="str">
            <v>JILANI</v>
          </cell>
          <cell r="E4538" t="str">
            <v>رمادا گلبرگ لاہور</v>
          </cell>
        </row>
        <row r="4539">
          <cell r="A4539" t="str">
            <v>2067 J</v>
          </cell>
          <cell r="B4539">
            <v>11983</v>
          </cell>
          <cell r="C4539">
            <v>45776</v>
          </cell>
          <cell r="D4539" t="str">
            <v>JILANI</v>
          </cell>
          <cell r="E4539" t="str">
            <v>مغل پلاسٹک سٹور لیہ</v>
          </cell>
        </row>
        <row r="4540">
          <cell r="A4540" t="str">
            <v>2068 J</v>
          </cell>
          <cell r="B4540">
            <v>11984</v>
          </cell>
          <cell r="C4540">
            <v>45776</v>
          </cell>
          <cell r="D4540" t="str">
            <v>JILANI</v>
          </cell>
          <cell r="E4540" t="str">
            <v>محسن سنز راولپنڈی</v>
          </cell>
        </row>
        <row r="4541">
          <cell r="A4541" t="str">
            <v>2069 J</v>
          </cell>
          <cell r="B4541">
            <v>11984</v>
          </cell>
          <cell r="C4541">
            <v>45776</v>
          </cell>
          <cell r="D4541" t="str">
            <v>JILANI</v>
          </cell>
          <cell r="E4541" t="str">
            <v>محسن سنز راولپنڈی</v>
          </cell>
        </row>
        <row r="4542">
          <cell r="A4542" t="str">
            <v>2070 J</v>
          </cell>
          <cell r="B4542">
            <v>11985</v>
          </cell>
          <cell r="C4542">
            <v>45776</v>
          </cell>
          <cell r="D4542" t="str">
            <v>JILANI</v>
          </cell>
          <cell r="E4542" t="str">
            <v>البراق  ڈیپارٹمنٹ سٹور لاہور</v>
          </cell>
        </row>
        <row r="4543">
          <cell r="A4543" t="str">
            <v>2071 J</v>
          </cell>
          <cell r="B4543">
            <v>11985</v>
          </cell>
          <cell r="C4543">
            <v>45776</v>
          </cell>
          <cell r="D4543" t="str">
            <v>JILANI</v>
          </cell>
          <cell r="E4543" t="str">
            <v>البراق  ڈیپارٹمنٹ سٹور لاہور</v>
          </cell>
        </row>
        <row r="4544">
          <cell r="A4544" t="str">
            <v>2072 J</v>
          </cell>
          <cell r="B4544">
            <v>11985</v>
          </cell>
          <cell r="C4544">
            <v>45776</v>
          </cell>
          <cell r="D4544" t="str">
            <v>JILANI</v>
          </cell>
          <cell r="E4544" t="str">
            <v>البراق  ڈیپارٹمنٹ سٹور لاہور</v>
          </cell>
        </row>
        <row r="4545">
          <cell r="A4545" t="str">
            <v>2073 J</v>
          </cell>
          <cell r="B4545">
            <v>11985</v>
          </cell>
          <cell r="C4545">
            <v>45776</v>
          </cell>
          <cell r="D4545" t="str">
            <v>JILANI</v>
          </cell>
          <cell r="E4545" t="str">
            <v>البراق  ڈیپارٹمنٹ سٹور لاہور</v>
          </cell>
        </row>
        <row r="4546">
          <cell r="A4546" t="str">
            <v>2074 J</v>
          </cell>
          <cell r="B4546">
            <v>11985</v>
          </cell>
          <cell r="C4546">
            <v>45776</v>
          </cell>
          <cell r="D4546" t="str">
            <v>JILANI</v>
          </cell>
          <cell r="E4546" t="str">
            <v>البراق  ڈیپارٹمنٹ سٹور لاہور</v>
          </cell>
        </row>
        <row r="4547">
          <cell r="A4547" t="str">
            <v>2075 J</v>
          </cell>
          <cell r="B4547">
            <v>11986</v>
          </cell>
          <cell r="C4547">
            <v>45776</v>
          </cell>
          <cell r="D4547" t="str">
            <v>JILANI</v>
          </cell>
          <cell r="E4547" t="str">
            <v>علی شیر شیخوپورہ</v>
          </cell>
        </row>
        <row r="4548">
          <cell r="A4548" t="str">
            <v>2076 J</v>
          </cell>
          <cell r="B4548">
            <v>11986</v>
          </cell>
          <cell r="C4548">
            <v>45776</v>
          </cell>
          <cell r="D4548" t="str">
            <v>JILANI</v>
          </cell>
          <cell r="E4548" t="str">
            <v>علی شیر شیخوپورہ</v>
          </cell>
        </row>
        <row r="4549">
          <cell r="A4549" t="str">
            <v>2077 J</v>
          </cell>
          <cell r="B4549">
            <v>11987</v>
          </cell>
          <cell r="C4549">
            <v>45776</v>
          </cell>
          <cell r="D4549" t="str">
            <v>JILANI</v>
          </cell>
          <cell r="E4549" t="str">
            <v>شفعی ٹیکسل لمیٹڈ</v>
          </cell>
        </row>
        <row r="4550">
          <cell r="A4550" t="str">
            <v>2078 J</v>
          </cell>
          <cell r="B4550">
            <v>11987</v>
          </cell>
          <cell r="C4550">
            <v>45776</v>
          </cell>
          <cell r="D4550" t="str">
            <v>JILANI</v>
          </cell>
          <cell r="E4550" t="str">
            <v>شفعی ٹیکسل لمیٹڈ</v>
          </cell>
        </row>
        <row r="4551">
          <cell r="A4551" t="str">
            <v>2079 J</v>
          </cell>
          <cell r="B4551">
            <v>11988</v>
          </cell>
          <cell r="C4551">
            <v>45776</v>
          </cell>
          <cell r="D4551" t="str">
            <v>JILANI</v>
          </cell>
          <cell r="E4551" t="str">
            <v>عثمان عارف بٹ گوجرانولہ</v>
          </cell>
        </row>
        <row r="4552">
          <cell r="A4552" t="str">
            <v>2080 J</v>
          </cell>
          <cell r="B4552">
            <v>11988</v>
          </cell>
          <cell r="C4552">
            <v>45776</v>
          </cell>
          <cell r="D4552" t="str">
            <v>JILANI</v>
          </cell>
          <cell r="E4552" t="str">
            <v>عثمان عارف بٹ گوجرانولہ</v>
          </cell>
        </row>
        <row r="4553">
          <cell r="A4553" t="str">
            <v>2081 J</v>
          </cell>
          <cell r="B4553">
            <v>11988</v>
          </cell>
          <cell r="C4553">
            <v>45776</v>
          </cell>
          <cell r="D4553" t="str">
            <v>JILANI</v>
          </cell>
          <cell r="E4553" t="str">
            <v>عثمان عارف بٹ گوجرانولہ</v>
          </cell>
        </row>
        <row r="4554">
          <cell r="A4554" t="str">
            <v>2082 J</v>
          </cell>
          <cell r="B4554">
            <v>11988</v>
          </cell>
          <cell r="C4554">
            <v>45776</v>
          </cell>
          <cell r="D4554" t="str">
            <v>JILANI</v>
          </cell>
          <cell r="E4554" t="str">
            <v>عثمان عارف بٹ گوجرانولہ</v>
          </cell>
        </row>
        <row r="4555">
          <cell r="A4555" t="str">
            <v>2083 J</v>
          </cell>
          <cell r="B4555">
            <v>11989</v>
          </cell>
          <cell r="C4555">
            <v>45776</v>
          </cell>
          <cell r="D4555" t="str">
            <v>JILANI</v>
          </cell>
          <cell r="E4555" t="str">
            <v>شاہ جی اچار  مردان</v>
          </cell>
        </row>
        <row r="4556">
          <cell r="A4556" t="str">
            <v>2084 J</v>
          </cell>
          <cell r="B4556">
            <v>11989</v>
          </cell>
          <cell r="C4556">
            <v>45776</v>
          </cell>
          <cell r="D4556" t="str">
            <v>JILANI</v>
          </cell>
          <cell r="E4556" t="str">
            <v>شاہ جی اچار  مردان</v>
          </cell>
        </row>
        <row r="4557">
          <cell r="A4557" t="str">
            <v>2085 J</v>
          </cell>
          <cell r="B4557">
            <v>11989</v>
          </cell>
          <cell r="C4557">
            <v>45776</v>
          </cell>
          <cell r="D4557" t="str">
            <v>JILANI</v>
          </cell>
          <cell r="E4557" t="str">
            <v>شاہ جی اچار  مردان</v>
          </cell>
        </row>
        <row r="4558">
          <cell r="A4558" t="str">
            <v>2086 J</v>
          </cell>
          <cell r="B4558">
            <v>11990</v>
          </cell>
          <cell r="C4558">
            <v>45776</v>
          </cell>
          <cell r="D4558" t="str">
            <v>JILANI</v>
          </cell>
          <cell r="E4558" t="str">
            <v>عالم پرنٹرز بٹ خیلہ</v>
          </cell>
        </row>
        <row r="4559">
          <cell r="A4559" t="str">
            <v>2087 J</v>
          </cell>
          <cell r="B4559">
            <v>11991</v>
          </cell>
          <cell r="C4559">
            <v>45776</v>
          </cell>
          <cell r="D4559" t="str">
            <v>JILANI</v>
          </cell>
          <cell r="E4559" t="str">
            <v>شاہ جی اچار  مردان</v>
          </cell>
        </row>
        <row r="4560">
          <cell r="A4560" t="str">
            <v>2088 J</v>
          </cell>
          <cell r="B4560">
            <v>11992</v>
          </cell>
          <cell r="C4560">
            <v>45776</v>
          </cell>
          <cell r="D4560" t="str">
            <v>JILANI</v>
          </cell>
          <cell r="E4560" t="str">
            <v>الصادق گارمنٹس لاہور</v>
          </cell>
        </row>
        <row r="4561">
          <cell r="A4561" t="str">
            <v>2089 J</v>
          </cell>
          <cell r="B4561">
            <v>11993</v>
          </cell>
          <cell r="C4561">
            <v>45776</v>
          </cell>
          <cell r="D4561" t="str">
            <v>JILANI</v>
          </cell>
          <cell r="E4561" t="str">
            <v>شعیب آٹوز راولپنڈی</v>
          </cell>
        </row>
        <row r="4562">
          <cell r="A4562" t="str">
            <v>2090 J</v>
          </cell>
          <cell r="B4562">
            <v>11993</v>
          </cell>
          <cell r="C4562">
            <v>45776</v>
          </cell>
          <cell r="D4562" t="str">
            <v>JILANI</v>
          </cell>
          <cell r="E4562" t="str">
            <v>شعیب آٹوز راولپنڈی</v>
          </cell>
        </row>
        <row r="4563">
          <cell r="A4563" t="str">
            <v>2091 J</v>
          </cell>
          <cell r="B4563">
            <v>11994</v>
          </cell>
          <cell r="C4563">
            <v>45776</v>
          </cell>
          <cell r="D4563" t="str">
            <v>JILANI</v>
          </cell>
          <cell r="E4563" t="str">
            <v>PO CANCEL</v>
          </cell>
        </row>
        <row r="4564">
          <cell r="A4564" t="str">
            <v>2092 J</v>
          </cell>
          <cell r="B4564">
            <v>11995</v>
          </cell>
          <cell r="C4564">
            <v>45777</v>
          </cell>
          <cell r="D4564" t="str">
            <v>JILANI</v>
          </cell>
          <cell r="E4564" t="str">
            <v>کراچی برانڈ سٹوڈیو لاہور</v>
          </cell>
        </row>
        <row r="4565">
          <cell r="A4565" t="str">
            <v>2093 J</v>
          </cell>
          <cell r="B4565">
            <v>11995</v>
          </cell>
          <cell r="C4565">
            <v>45777</v>
          </cell>
          <cell r="D4565" t="str">
            <v>JILANI</v>
          </cell>
          <cell r="E4565" t="str">
            <v>کراچی برانڈ سٹوڈیو لاہور</v>
          </cell>
        </row>
        <row r="4566">
          <cell r="A4566" t="str">
            <v>2094 J</v>
          </cell>
          <cell r="B4566">
            <v>11996</v>
          </cell>
          <cell r="C4566">
            <v>45777</v>
          </cell>
          <cell r="D4566" t="str">
            <v>JILANI</v>
          </cell>
          <cell r="E4566" t="str">
            <v>عالم بیکرز حافظ آباد</v>
          </cell>
        </row>
        <row r="4567">
          <cell r="A4567" t="str">
            <v>2095 J</v>
          </cell>
          <cell r="B4567">
            <v>11997</v>
          </cell>
          <cell r="C4567">
            <v>45777</v>
          </cell>
          <cell r="D4567" t="str">
            <v>JILANI</v>
          </cell>
          <cell r="E4567" t="str">
            <v>وائیٹل پینٹ لاہور</v>
          </cell>
        </row>
        <row r="4568">
          <cell r="A4568" t="str">
            <v>2096 J</v>
          </cell>
          <cell r="B4568">
            <v>11998</v>
          </cell>
          <cell r="C4568">
            <v>45777</v>
          </cell>
          <cell r="D4568" t="str">
            <v>JILANI</v>
          </cell>
          <cell r="E4568" t="str">
            <v>میوان کولیکشن لاہور</v>
          </cell>
        </row>
        <row r="4569">
          <cell r="A4569" t="str">
            <v>2097 J</v>
          </cell>
          <cell r="B4569">
            <v>11999</v>
          </cell>
          <cell r="C4569">
            <v>45777</v>
          </cell>
          <cell r="D4569" t="str">
            <v>JILANI</v>
          </cell>
          <cell r="E4569" t="str">
            <v>سپر شنگھائی ننکانہ صاحب</v>
          </cell>
        </row>
        <row r="4570">
          <cell r="A4570" t="str">
            <v>2098 J</v>
          </cell>
          <cell r="B4570">
            <v>12000</v>
          </cell>
          <cell r="C4570">
            <v>45777</v>
          </cell>
          <cell r="D4570" t="str">
            <v>JILANI</v>
          </cell>
          <cell r="E4570" t="str">
            <v>زم زم شاپنگ مال ٹمبرگراں</v>
          </cell>
        </row>
        <row r="4571">
          <cell r="A4571" t="str">
            <v>2099 J</v>
          </cell>
          <cell r="B4571">
            <v>12001</v>
          </cell>
          <cell r="C4571">
            <v>45777</v>
          </cell>
          <cell r="D4571" t="str">
            <v>JILANI</v>
          </cell>
          <cell r="E4571" t="str">
            <v>زم زم شاپنگ مال ٹمبرگراں</v>
          </cell>
        </row>
        <row r="4572">
          <cell r="A4572" t="str">
            <v>2100 J</v>
          </cell>
          <cell r="B4572">
            <v>12002</v>
          </cell>
          <cell r="C4572">
            <v>45777</v>
          </cell>
          <cell r="D4572" t="str">
            <v>JILANI</v>
          </cell>
          <cell r="E4572" t="str">
            <v>زم زم شاپنگ مال ٹمبرگراں</v>
          </cell>
        </row>
        <row r="4573">
          <cell r="A4573" t="str">
            <v>2101 J</v>
          </cell>
          <cell r="B4573">
            <v>12002</v>
          </cell>
          <cell r="C4573">
            <v>45777</v>
          </cell>
          <cell r="D4573" t="str">
            <v>JILANI</v>
          </cell>
          <cell r="E4573" t="str">
            <v>زم زم شاپنگ مال ٹمبرگراں</v>
          </cell>
        </row>
        <row r="4574">
          <cell r="A4574" t="str">
            <v>2102 J</v>
          </cell>
          <cell r="B4574">
            <v>12002</v>
          </cell>
          <cell r="C4574">
            <v>45777</v>
          </cell>
          <cell r="D4574" t="str">
            <v>JILANI</v>
          </cell>
          <cell r="E4574" t="str">
            <v>زم زم شاپنگ مال ٹمبرگراں</v>
          </cell>
        </row>
        <row r="4575">
          <cell r="A4575" t="str">
            <v>2103 J</v>
          </cell>
          <cell r="B4575">
            <v>12003</v>
          </cell>
          <cell r="C4575">
            <v>45777</v>
          </cell>
          <cell r="D4575" t="str">
            <v>JILANI</v>
          </cell>
          <cell r="E4575" t="str">
            <v>زم زم شاپنگ مال ٹمبرگراں</v>
          </cell>
        </row>
        <row r="4576">
          <cell r="A4576" t="str">
            <v>2104 J</v>
          </cell>
          <cell r="B4576">
            <v>12003</v>
          </cell>
          <cell r="C4576">
            <v>45777</v>
          </cell>
          <cell r="D4576" t="str">
            <v>JILANI</v>
          </cell>
          <cell r="E4576" t="str">
            <v>زم زم شاپنگ مال ٹمبرگراں</v>
          </cell>
        </row>
        <row r="4577">
          <cell r="A4577" t="str">
            <v>2105 J</v>
          </cell>
          <cell r="B4577">
            <v>12003</v>
          </cell>
          <cell r="C4577">
            <v>45777</v>
          </cell>
          <cell r="D4577" t="str">
            <v>JILANI</v>
          </cell>
          <cell r="E4577" t="str">
            <v>زم زم شاپنگ مال ٹمبرگراں</v>
          </cell>
        </row>
        <row r="4578">
          <cell r="A4578" t="str">
            <v>2106 J</v>
          </cell>
          <cell r="B4578">
            <v>12004</v>
          </cell>
          <cell r="C4578">
            <v>45777</v>
          </cell>
          <cell r="D4578" t="str">
            <v>JILANI</v>
          </cell>
          <cell r="E4578" t="str">
            <v>زم زم شاپنگ مال ٹمبرگراں</v>
          </cell>
        </row>
        <row r="4579">
          <cell r="A4579" t="str">
            <v>2107 J</v>
          </cell>
          <cell r="B4579">
            <v>12004</v>
          </cell>
          <cell r="C4579">
            <v>45777</v>
          </cell>
          <cell r="D4579" t="str">
            <v>JILANI</v>
          </cell>
          <cell r="E4579" t="str">
            <v>زم زم شاپنگ مال ٹمبرگراں</v>
          </cell>
        </row>
        <row r="4580">
          <cell r="A4580" t="str">
            <v>2108 J</v>
          </cell>
          <cell r="B4580">
            <v>12005</v>
          </cell>
          <cell r="C4580">
            <v>45777</v>
          </cell>
          <cell r="D4580" t="str">
            <v>JILANI</v>
          </cell>
          <cell r="E4580" t="str">
            <v>ذائقہ بریانی لاہور</v>
          </cell>
        </row>
        <row r="4581">
          <cell r="A4581" t="str">
            <v>2109 J</v>
          </cell>
          <cell r="B4581">
            <v>12006</v>
          </cell>
          <cell r="C4581">
            <v>45777</v>
          </cell>
          <cell r="D4581" t="str">
            <v>JILANI</v>
          </cell>
          <cell r="E4581" t="str">
            <v>بائیو پاک لاہور</v>
          </cell>
        </row>
        <row r="4582">
          <cell r="A4582" t="str">
            <v>2110 J</v>
          </cell>
          <cell r="B4582">
            <v>12007</v>
          </cell>
          <cell r="C4582">
            <v>45777</v>
          </cell>
          <cell r="D4582" t="str">
            <v>JILANI</v>
          </cell>
          <cell r="E4582" t="str">
            <v>رضا پرنٹنگ جنرل آرڈر سپلائر</v>
          </cell>
        </row>
        <row r="4583">
          <cell r="A4583" t="str">
            <v>2111 J</v>
          </cell>
          <cell r="B4583">
            <v>12008</v>
          </cell>
          <cell r="C4583">
            <v>45777</v>
          </cell>
          <cell r="D4583" t="str">
            <v>JILANI</v>
          </cell>
          <cell r="E4583" t="str">
            <v>عثمان عارف بٹ گوجرانولہ</v>
          </cell>
        </row>
        <row r="4584">
          <cell r="A4584" t="str">
            <v>2112 J</v>
          </cell>
          <cell r="B4584">
            <v>12009</v>
          </cell>
          <cell r="C4584">
            <v>45777</v>
          </cell>
          <cell r="D4584" t="str">
            <v>JILANI</v>
          </cell>
          <cell r="E4584" t="str">
            <v>وقاص وولن ملز گوجرانوالہ</v>
          </cell>
        </row>
        <row r="4585">
          <cell r="A4585" t="str">
            <v>2113 J</v>
          </cell>
          <cell r="B4585">
            <v>12010</v>
          </cell>
          <cell r="C4585">
            <v>45777</v>
          </cell>
          <cell r="D4585" t="str">
            <v>JILANI</v>
          </cell>
          <cell r="E4585" t="str">
            <v>وقاص وولن ملز گوجرانوالہ</v>
          </cell>
        </row>
        <row r="4586">
          <cell r="A4586" t="str">
            <v>2114 J</v>
          </cell>
          <cell r="B4586">
            <v>12011</v>
          </cell>
          <cell r="C4586">
            <v>45777</v>
          </cell>
          <cell r="D4586" t="str">
            <v>JILANI</v>
          </cell>
          <cell r="E4586" t="str">
            <v>وقاص وولن ملز گوجرانوالہ</v>
          </cell>
        </row>
        <row r="4587">
          <cell r="A4587" t="str">
            <v>2115 J</v>
          </cell>
          <cell r="B4587">
            <v>12012</v>
          </cell>
          <cell r="C4587">
            <v>45777</v>
          </cell>
          <cell r="D4587" t="str">
            <v>JILANI</v>
          </cell>
          <cell r="E4587" t="str">
            <v>جاوید انٹرپرائزز گوجرانولہ</v>
          </cell>
        </row>
        <row r="4588">
          <cell r="A4588" t="str">
            <v>2116 J</v>
          </cell>
          <cell r="B4588">
            <v>12013</v>
          </cell>
          <cell r="C4588">
            <v>45777</v>
          </cell>
          <cell r="D4588" t="str">
            <v>JILANI</v>
          </cell>
          <cell r="E4588" t="str">
            <v>واہ نوبل پرائیویٹ لمیٹڈ</v>
          </cell>
        </row>
        <row r="4589">
          <cell r="A4589" t="str">
            <v>2117 J</v>
          </cell>
          <cell r="B4589">
            <v>12014</v>
          </cell>
          <cell r="C4589">
            <v>45777</v>
          </cell>
          <cell r="D4589" t="str">
            <v>JILANI</v>
          </cell>
          <cell r="E4589" t="str">
            <v>واہ نوبل پرائیویٹ لمیٹڈ</v>
          </cell>
        </row>
        <row r="4590">
          <cell r="A4590" t="str">
            <v>6811/1</v>
          </cell>
          <cell r="B4590">
            <v>6811</v>
          </cell>
          <cell r="C4590">
            <v>45768</v>
          </cell>
          <cell r="D4590" t="str">
            <v>یونس صاحب</v>
          </cell>
          <cell r="E4590" t="str">
            <v>ایم دین  بند ل</v>
          </cell>
        </row>
        <row r="4591">
          <cell r="A4591" t="str">
            <v>6812/1</v>
          </cell>
          <cell r="B4591">
            <v>6812</v>
          </cell>
          <cell r="C4591">
            <v>45768</v>
          </cell>
          <cell r="D4591" t="str">
            <v>یونس صاحب</v>
          </cell>
          <cell r="E4591" t="str">
            <v>مھبوب مقبول گجرانوالہ</v>
          </cell>
        </row>
        <row r="4592">
          <cell r="A4592" t="str">
            <v>6812/2</v>
          </cell>
          <cell r="B4592">
            <v>6812</v>
          </cell>
          <cell r="C4592">
            <v>45768</v>
          </cell>
          <cell r="D4592" t="str">
            <v>یونس صاحب</v>
          </cell>
          <cell r="E4592" t="str">
            <v>مھبوب مقبول گجرانوالہ</v>
          </cell>
        </row>
        <row r="4593">
          <cell r="A4593" t="str">
            <v>6812/3</v>
          </cell>
          <cell r="B4593">
            <v>6812</v>
          </cell>
          <cell r="C4593">
            <v>45768</v>
          </cell>
          <cell r="D4593" t="str">
            <v>یونس صاحب</v>
          </cell>
          <cell r="E4593" t="str">
            <v>مھبوب مقبول گجرانوالہ</v>
          </cell>
        </row>
        <row r="4594">
          <cell r="A4594" t="str">
            <v>6812/4</v>
          </cell>
          <cell r="B4594">
            <v>6812</v>
          </cell>
          <cell r="C4594">
            <v>45768</v>
          </cell>
          <cell r="D4594" t="str">
            <v>یونس صاحب</v>
          </cell>
          <cell r="E4594" t="str">
            <v>مھبوب مقبول گجرانوالہ</v>
          </cell>
        </row>
        <row r="4595">
          <cell r="A4595" t="str">
            <v>6812/5</v>
          </cell>
          <cell r="B4595">
            <v>6812</v>
          </cell>
          <cell r="C4595">
            <v>45768</v>
          </cell>
          <cell r="D4595" t="str">
            <v>یونس صاحب</v>
          </cell>
          <cell r="E4595" t="str">
            <v>مھبوب مقبول گجرانوالہ</v>
          </cell>
        </row>
        <row r="4596">
          <cell r="A4596" t="str">
            <v>6812/6</v>
          </cell>
          <cell r="B4596">
            <v>6812</v>
          </cell>
          <cell r="C4596">
            <v>45768</v>
          </cell>
          <cell r="D4596" t="str">
            <v>یونس صاحب</v>
          </cell>
          <cell r="E4596" t="str">
            <v>مھبوب مقبول گجرانوالہ</v>
          </cell>
        </row>
        <row r="4597">
          <cell r="A4597" t="str">
            <v>6813/1</v>
          </cell>
          <cell r="B4597">
            <v>6813</v>
          </cell>
          <cell r="C4597">
            <v>45768</v>
          </cell>
          <cell r="D4597" t="str">
            <v>یونس صاحب</v>
          </cell>
          <cell r="E4597" t="str">
            <v>العمر پلاسٹک گوجرانوالہ</v>
          </cell>
        </row>
        <row r="4598">
          <cell r="A4598" t="str">
            <v>6814/1</v>
          </cell>
          <cell r="B4598">
            <v>6814</v>
          </cell>
          <cell r="C4598">
            <v>45768</v>
          </cell>
          <cell r="D4598" t="str">
            <v>یونس صاحب</v>
          </cell>
          <cell r="E4598" t="str">
            <v>ایم سلمان پاکستان مارکیٹ</v>
          </cell>
        </row>
        <row r="4599">
          <cell r="A4599" t="str">
            <v>6814/2</v>
          </cell>
          <cell r="B4599">
            <v>6814</v>
          </cell>
          <cell r="C4599">
            <v>45768</v>
          </cell>
          <cell r="D4599" t="str">
            <v>یونس صاحب</v>
          </cell>
          <cell r="E4599" t="str">
            <v>ایم سلمان پاکستان مارکیٹ</v>
          </cell>
        </row>
        <row r="4600">
          <cell r="A4600" t="str">
            <v>6815/1</v>
          </cell>
          <cell r="B4600">
            <v>6815</v>
          </cell>
          <cell r="C4600">
            <v>45768</v>
          </cell>
          <cell r="D4600" t="str">
            <v>یونس صاحب</v>
          </cell>
          <cell r="E4600" t="str">
            <v>احمد ضیا گوجرانوالہ</v>
          </cell>
        </row>
        <row r="4601">
          <cell r="A4601" t="str">
            <v>6815/2</v>
          </cell>
          <cell r="B4601">
            <v>6815</v>
          </cell>
          <cell r="C4601">
            <v>45768</v>
          </cell>
          <cell r="D4601" t="str">
            <v>یونس صاحب</v>
          </cell>
          <cell r="E4601" t="str">
            <v>احمد ضیا گوجرانوالہ</v>
          </cell>
        </row>
        <row r="4602">
          <cell r="A4602" t="str">
            <v>6816/1</v>
          </cell>
          <cell r="B4602">
            <v>6816</v>
          </cell>
          <cell r="C4602">
            <v>45768</v>
          </cell>
          <cell r="D4602" t="str">
            <v>یونس صاحب</v>
          </cell>
          <cell r="E4602" t="str">
            <v>مھبوب مقبول گجرانوالہ</v>
          </cell>
        </row>
        <row r="4603">
          <cell r="A4603" t="str">
            <v>6817/1</v>
          </cell>
          <cell r="B4603">
            <v>6817</v>
          </cell>
          <cell r="C4603">
            <v>45768</v>
          </cell>
          <cell r="D4603" t="str">
            <v>یونس صاحب</v>
          </cell>
          <cell r="E4603" t="str">
            <v>حنان پلاسٹک فیصل آباد</v>
          </cell>
        </row>
        <row r="4604">
          <cell r="A4604" t="str">
            <v>6817/2</v>
          </cell>
          <cell r="B4604">
            <v>6817</v>
          </cell>
          <cell r="C4604">
            <v>45768</v>
          </cell>
          <cell r="D4604" t="str">
            <v>یونس صاحب</v>
          </cell>
          <cell r="E4604" t="str">
            <v>حنان پلاسٹک فیصل آباد</v>
          </cell>
        </row>
        <row r="4605">
          <cell r="A4605" t="str">
            <v>6817/3</v>
          </cell>
          <cell r="B4605">
            <v>6817</v>
          </cell>
          <cell r="C4605">
            <v>45768</v>
          </cell>
          <cell r="D4605" t="str">
            <v>یونس صاحب</v>
          </cell>
          <cell r="E4605" t="str">
            <v>حنان پلاسٹک فیصل آباد</v>
          </cell>
        </row>
        <row r="4606">
          <cell r="A4606" t="str">
            <v>6817/4</v>
          </cell>
          <cell r="B4606">
            <v>6817</v>
          </cell>
          <cell r="C4606">
            <v>45768</v>
          </cell>
          <cell r="D4606" t="str">
            <v>یونس صاحب</v>
          </cell>
          <cell r="E4606" t="str">
            <v>حنان پلاسٹک فیصل آباد</v>
          </cell>
        </row>
        <row r="4607">
          <cell r="A4607" t="str">
            <v>6817/5</v>
          </cell>
          <cell r="B4607">
            <v>6817</v>
          </cell>
          <cell r="C4607">
            <v>45768</v>
          </cell>
          <cell r="D4607" t="str">
            <v>یونس صاحب</v>
          </cell>
          <cell r="E4607" t="str">
            <v>حنان پلاسٹک فیصل آباد</v>
          </cell>
        </row>
        <row r="4608">
          <cell r="A4608" t="str">
            <v>6817/6</v>
          </cell>
          <cell r="B4608">
            <v>6817</v>
          </cell>
          <cell r="C4608">
            <v>45768</v>
          </cell>
          <cell r="D4608" t="str">
            <v>یونس صاحب</v>
          </cell>
          <cell r="E4608" t="str">
            <v>حنان پلاسٹک فیصل آباد</v>
          </cell>
        </row>
        <row r="4609">
          <cell r="A4609" t="str">
            <v>6817/7</v>
          </cell>
          <cell r="B4609">
            <v>6817</v>
          </cell>
          <cell r="C4609">
            <v>45768</v>
          </cell>
          <cell r="D4609" t="str">
            <v>یونس صاحب</v>
          </cell>
          <cell r="E4609" t="str">
            <v>حنان پلاسٹک فیصل آباد</v>
          </cell>
        </row>
        <row r="4610">
          <cell r="A4610" t="str">
            <v>6817/8</v>
          </cell>
          <cell r="B4610">
            <v>6817</v>
          </cell>
          <cell r="C4610">
            <v>45768</v>
          </cell>
          <cell r="D4610" t="str">
            <v>یونس صاحب</v>
          </cell>
          <cell r="E4610" t="str">
            <v>حنان پلاسٹک فیصل آباد</v>
          </cell>
        </row>
        <row r="4611">
          <cell r="A4611" t="str">
            <v>6817/9</v>
          </cell>
          <cell r="B4611">
            <v>6817</v>
          </cell>
          <cell r="C4611">
            <v>45768</v>
          </cell>
          <cell r="D4611" t="str">
            <v>یونس صاحب</v>
          </cell>
          <cell r="E4611" t="str">
            <v>حنان پلاسٹک فیصل آباد</v>
          </cell>
        </row>
        <row r="4612">
          <cell r="A4612" t="str">
            <v>6817/10</v>
          </cell>
          <cell r="B4612">
            <v>6817</v>
          </cell>
          <cell r="C4612">
            <v>45768</v>
          </cell>
          <cell r="D4612" t="str">
            <v>یونس صاحب</v>
          </cell>
          <cell r="E4612" t="str">
            <v>حنان پلاسٹک فیصل آباد</v>
          </cell>
        </row>
        <row r="4613">
          <cell r="A4613" t="str">
            <v>6817/11</v>
          </cell>
          <cell r="B4613">
            <v>6817</v>
          </cell>
          <cell r="C4613">
            <v>45768</v>
          </cell>
          <cell r="D4613" t="str">
            <v>یونس صاحب</v>
          </cell>
          <cell r="E4613" t="str">
            <v>حنان پلاسٹک فیصل آباد</v>
          </cell>
        </row>
        <row r="4614">
          <cell r="A4614" t="str">
            <v>6817/12</v>
          </cell>
          <cell r="B4614">
            <v>6817</v>
          </cell>
          <cell r="C4614">
            <v>45768</v>
          </cell>
          <cell r="D4614" t="str">
            <v>یونس صاحب</v>
          </cell>
          <cell r="E4614" t="str">
            <v>حنان پلاسٹک فیصل آباد</v>
          </cell>
        </row>
        <row r="4615">
          <cell r="A4615" t="str">
            <v>6817/13</v>
          </cell>
          <cell r="B4615">
            <v>6817</v>
          </cell>
          <cell r="C4615">
            <v>45768</v>
          </cell>
          <cell r="D4615" t="str">
            <v>یونس صاحب</v>
          </cell>
          <cell r="E4615" t="str">
            <v>حنان پلاسٹک فیصل آباد</v>
          </cell>
        </row>
        <row r="4616">
          <cell r="A4616" t="str">
            <v>6818/1</v>
          </cell>
          <cell r="B4616">
            <v>6818</v>
          </cell>
          <cell r="C4616">
            <v>45770</v>
          </cell>
          <cell r="D4616" t="str">
            <v>یونس صاحب</v>
          </cell>
          <cell r="E4616" t="str">
            <v xml:space="preserve">قدیم شوز احسن ندیم </v>
          </cell>
        </row>
        <row r="4617">
          <cell r="A4617" t="str">
            <v>6818/2</v>
          </cell>
          <cell r="B4617">
            <v>6818</v>
          </cell>
          <cell r="C4617">
            <v>45770</v>
          </cell>
          <cell r="D4617" t="str">
            <v>یونس صاحب</v>
          </cell>
          <cell r="E4617" t="str">
            <v xml:space="preserve">قدیم شوز احسن ندیم </v>
          </cell>
        </row>
        <row r="4618">
          <cell r="A4618" t="str">
            <v>6818/3</v>
          </cell>
          <cell r="B4618">
            <v>6818</v>
          </cell>
          <cell r="C4618">
            <v>45770</v>
          </cell>
          <cell r="D4618" t="str">
            <v>یونس صاحب</v>
          </cell>
          <cell r="E4618" t="str">
            <v xml:space="preserve">قدیم شوز احسن ندیم </v>
          </cell>
        </row>
        <row r="4619">
          <cell r="A4619" t="str">
            <v>6819/1</v>
          </cell>
          <cell r="B4619">
            <v>6819</v>
          </cell>
          <cell r="C4619">
            <v>45770</v>
          </cell>
          <cell r="D4619" t="str">
            <v>یونس صاحب</v>
          </cell>
          <cell r="E4619" t="str">
            <v>عبدالباری وہاری</v>
          </cell>
        </row>
        <row r="4620">
          <cell r="A4620" t="str">
            <v>6819/2</v>
          </cell>
          <cell r="B4620">
            <v>6819</v>
          </cell>
          <cell r="C4620">
            <v>45770</v>
          </cell>
          <cell r="D4620" t="str">
            <v>یونس صاحب</v>
          </cell>
          <cell r="E4620" t="str">
            <v>عبدالباری وہاری</v>
          </cell>
        </row>
        <row r="4621">
          <cell r="A4621" t="str">
            <v>6820/1</v>
          </cell>
          <cell r="B4621">
            <v>6820</v>
          </cell>
          <cell r="C4621">
            <v>45770</v>
          </cell>
          <cell r="D4621" t="str">
            <v>یونس صاحب</v>
          </cell>
          <cell r="E4621" t="str">
            <v>فیصل پلاسٹک فیصل آباد</v>
          </cell>
        </row>
        <row r="4622">
          <cell r="A4622" t="str">
            <v>6820/2</v>
          </cell>
          <cell r="B4622">
            <v>6820</v>
          </cell>
          <cell r="C4622">
            <v>45770</v>
          </cell>
          <cell r="D4622" t="str">
            <v>یونس صاحب</v>
          </cell>
          <cell r="E4622" t="str">
            <v>فیصل پلاسٹک فیصل آباد</v>
          </cell>
        </row>
        <row r="4623">
          <cell r="A4623" t="str">
            <v>6820/3</v>
          </cell>
          <cell r="B4623">
            <v>6820</v>
          </cell>
          <cell r="C4623">
            <v>45770</v>
          </cell>
          <cell r="D4623" t="str">
            <v>یونس صاحب</v>
          </cell>
          <cell r="E4623" t="str">
            <v>فیصل پلاسٹک فیصل آباد</v>
          </cell>
        </row>
        <row r="4624">
          <cell r="A4624" t="str">
            <v>6820/4</v>
          </cell>
          <cell r="B4624">
            <v>6820</v>
          </cell>
          <cell r="C4624">
            <v>45770</v>
          </cell>
          <cell r="D4624" t="str">
            <v>یونس صاحب</v>
          </cell>
          <cell r="E4624" t="str">
            <v>فیصل پلاسٹک فیصل آباد</v>
          </cell>
        </row>
        <row r="4625">
          <cell r="A4625" t="str">
            <v>6820/5</v>
          </cell>
          <cell r="B4625">
            <v>6820</v>
          </cell>
          <cell r="C4625">
            <v>45770</v>
          </cell>
          <cell r="D4625" t="str">
            <v>یونس صاحب</v>
          </cell>
          <cell r="E4625" t="str">
            <v>فیصل پلاسٹک فیصل آباد</v>
          </cell>
        </row>
        <row r="4626">
          <cell r="A4626" t="str">
            <v>6820/6</v>
          </cell>
          <cell r="B4626">
            <v>6820</v>
          </cell>
          <cell r="C4626">
            <v>45770</v>
          </cell>
          <cell r="D4626" t="str">
            <v>یونس صاحب</v>
          </cell>
          <cell r="E4626" t="str">
            <v>فیصل پلاسٹک فیصل آباد</v>
          </cell>
        </row>
        <row r="4627">
          <cell r="A4627" t="str">
            <v>6820/7</v>
          </cell>
          <cell r="B4627">
            <v>6820</v>
          </cell>
          <cell r="C4627">
            <v>45770</v>
          </cell>
          <cell r="D4627" t="str">
            <v>یونس صاحب</v>
          </cell>
          <cell r="E4627" t="str">
            <v>فیصل پلاسٹک فیصل آباد</v>
          </cell>
        </row>
        <row r="4628">
          <cell r="A4628" t="str">
            <v>6821/1</v>
          </cell>
          <cell r="B4628">
            <v>6821</v>
          </cell>
          <cell r="C4628">
            <v>45770</v>
          </cell>
          <cell r="D4628" t="str">
            <v>یونس صاحب</v>
          </cell>
          <cell r="E4628" t="str">
            <v>العمر پلاسٹک گوجرانوالہ</v>
          </cell>
        </row>
        <row r="4629">
          <cell r="A4629" t="str">
            <v>6821/2</v>
          </cell>
          <cell r="B4629">
            <v>6821</v>
          </cell>
          <cell r="C4629">
            <v>45770</v>
          </cell>
          <cell r="D4629" t="str">
            <v>یونس صاحب</v>
          </cell>
          <cell r="E4629" t="str">
            <v>العمر پلاسٹک گوجرانوالہ</v>
          </cell>
        </row>
        <row r="4630">
          <cell r="A4630" t="str">
            <v>6822/1</v>
          </cell>
          <cell r="B4630">
            <v>6822</v>
          </cell>
          <cell r="C4630">
            <v>45772</v>
          </cell>
          <cell r="D4630" t="str">
            <v>یونس صاحب</v>
          </cell>
          <cell r="E4630" t="str">
            <v>عمران مشتاق پتوکی</v>
          </cell>
        </row>
        <row r="4631">
          <cell r="A4631" t="str">
            <v>6822/2</v>
          </cell>
          <cell r="B4631">
            <v>6822</v>
          </cell>
          <cell r="C4631">
            <v>45772</v>
          </cell>
          <cell r="D4631" t="str">
            <v>یونس صاحب</v>
          </cell>
          <cell r="E4631" t="str">
            <v>عمران مشتاق پتوکی</v>
          </cell>
        </row>
        <row r="4632">
          <cell r="A4632" t="str">
            <v>6822/3</v>
          </cell>
          <cell r="B4632">
            <v>6822</v>
          </cell>
          <cell r="C4632">
            <v>45772</v>
          </cell>
          <cell r="D4632" t="str">
            <v>یونس صاحب</v>
          </cell>
          <cell r="E4632" t="str">
            <v>عمران مشتاق پتوکی</v>
          </cell>
        </row>
        <row r="4633">
          <cell r="A4633" t="str">
            <v>6822/4</v>
          </cell>
          <cell r="B4633">
            <v>6822</v>
          </cell>
          <cell r="C4633">
            <v>45772</v>
          </cell>
          <cell r="D4633" t="str">
            <v>یونس صاحب</v>
          </cell>
          <cell r="E4633" t="str">
            <v>عمران مشتاق پتوکی</v>
          </cell>
        </row>
        <row r="4634">
          <cell r="A4634" t="str">
            <v>6822/5</v>
          </cell>
          <cell r="B4634">
            <v>6822</v>
          </cell>
          <cell r="C4634">
            <v>45772</v>
          </cell>
          <cell r="D4634" t="str">
            <v>یونس صاحب</v>
          </cell>
          <cell r="E4634" t="str">
            <v>عمران مشتاق پتوکی</v>
          </cell>
        </row>
        <row r="4635">
          <cell r="A4635" t="str">
            <v>6822/6</v>
          </cell>
          <cell r="B4635">
            <v>6822</v>
          </cell>
          <cell r="C4635">
            <v>45772</v>
          </cell>
          <cell r="D4635" t="str">
            <v>یونس صاحب</v>
          </cell>
          <cell r="E4635" t="str">
            <v>عمران مشتاق پتوکی</v>
          </cell>
        </row>
        <row r="4636">
          <cell r="A4636" t="str">
            <v>6822/7</v>
          </cell>
          <cell r="B4636">
            <v>6822</v>
          </cell>
          <cell r="C4636">
            <v>45772</v>
          </cell>
          <cell r="D4636" t="str">
            <v>یونس صاحب</v>
          </cell>
          <cell r="E4636" t="str">
            <v>عمران مشتاق پتوکی</v>
          </cell>
        </row>
        <row r="4637">
          <cell r="A4637" t="str">
            <v>6822/8</v>
          </cell>
          <cell r="B4637">
            <v>6822</v>
          </cell>
          <cell r="C4637">
            <v>45772</v>
          </cell>
          <cell r="D4637" t="str">
            <v>یونس صاحب</v>
          </cell>
          <cell r="E4637" t="str">
            <v>عمران مشتاق پتوکی</v>
          </cell>
        </row>
        <row r="4638">
          <cell r="A4638" t="str">
            <v>6822/9</v>
          </cell>
          <cell r="B4638">
            <v>6822</v>
          </cell>
          <cell r="C4638">
            <v>45772</v>
          </cell>
          <cell r="D4638" t="str">
            <v>یونس صاحب</v>
          </cell>
          <cell r="E4638" t="str">
            <v>عمران مشتاق پتوکی</v>
          </cell>
        </row>
        <row r="4639">
          <cell r="A4639" t="str">
            <v>6822/10</v>
          </cell>
          <cell r="B4639">
            <v>6822</v>
          </cell>
          <cell r="C4639">
            <v>45772</v>
          </cell>
          <cell r="D4639" t="str">
            <v>یونس صاحب</v>
          </cell>
          <cell r="E4639" t="str">
            <v>عمران مشتاق پتوکی</v>
          </cell>
        </row>
        <row r="4640">
          <cell r="A4640" t="str">
            <v>6822/11</v>
          </cell>
          <cell r="B4640">
            <v>6822</v>
          </cell>
          <cell r="C4640">
            <v>45772</v>
          </cell>
          <cell r="D4640" t="str">
            <v>یونس صاحب</v>
          </cell>
          <cell r="E4640" t="str">
            <v>عمران مشتاق پتوکی</v>
          </cell>
        </row>
        <row r="4641">
          <cell r="A4641" t="str">
            <v>6822/12</v>
          </cell>
          <cell r="B4641">
            <v>6822</v>
          </cell>
          <cell r="C4641">
            <v>45772</v>
          </cell>
          <cell r="D4641" t="str">
            <v>یونس صاحب</v>
          </cell>
          <cell r="E4641" t="str">
            <v>عمران مشتاق پتوکی</v>
          </cell>
        </row>
        <row r="4642">
          <cell r="A4642" t="str">
            <v>6822/13</v>
          </cell>
          <cell r="B4642">
            <v>6822</v>
          </cell>
          <cell r="C4642">
            <v>45772</v>
          </cell>
          <cell r="D4642" t="str">
            <v>یونس صاحب</v>
          </cell>
          <cell r="E4642" t="str">
            <v>عمران مشتاق پتوکی</v>
          </cell>
        </row>
        <row r="4643">
          <cell r="A4643" t="str">
            <v>6822/14</v>
          </cell>
          <cell r="B4643">
            <v>6822</v>
          </cell>
          <cell r="C4643">
            <v>45772</v>
          </cell>
          <cell r="D4643" t="str">
            <v>یونس صاحب</v>
          </cell>
          <cell r="E4643" t="str">
            <v>عمران مشتاق پتوکی</v>
          </cell>
        </row>
        <row r="4644">
          <cell r="A4644" t="str">
            <v>6822/15</v>
          </cell>
          <cell r="B4644">
            <v>6822</v>
          </cell>
          <cell r="C4644">
            <v>45772</v>
          </cell>
          <cell r="D4644" t="str">
            <v>یونس صاحب</v>
          </cell>
          <cell r="E4644" t="str">
            <v>عمران مشتاق پتوکی</v>
          </cell>
        </row>
        <row r="4645">
          <cell r="A4645" t="str">
            <v>6822/16</v>
          </cell>
          <cell r="B4645">
            <v>6822</v>
          </cell>
          <cell r="C4645">
            <v>45772</v>
          </cell>
          <cell r="D4645" t="str">
            <v>یونس صاحب</v>
          </cell>
          <cell r="E4645" t="str">
            <v>عمران مشتاق پتوکی</v>
          </cell>
        </row>
        <row r="4646">
          <cell r="A4646" t="str">
            <v>6822/17</v>
          </cell>
          <cell r="B4646">
            <v>6822</v>
          </cell>
          <cell r="C4646">
            <v>45772</v>
          </cell>
          <cell r="D4646" t="str">
            <v>یونس صاحب</v>
          </cell>
          <cell r="E4646" t="str">
            <v>عمران مشتاق پتوکی</v>
          </cell>
        </row>
        <row r="4647">
          <cell r="A4647" t="str">
            <v>6823/1</v>
          </cell>
          <cell r="B4647">
            <v>6823</v>
          </cell>
          <cell r="C4647">
            <v>45772</v>
          </cell>
          <cell r="D4647" t="str">
            <v>یونس صاحب</v>
          </cell>
          <cell r="E4647" t="str">
            <v>ایم عمران پاکستان مارکیٹ</v>
          </cell>
        </row>
        <row r="4648">
          <cell r="A4648" t="str">
            <v>6823/2</v>
          </cell>
          <cell r="B4648">
            <v>6823</v>
          </cell>
          <cell r="C4648">
            <v>45772</v>
          </cell>
          <cell r="D4648" t="str">
            <v>یونس صاحب</v>
          </cell>
          <cell r="E4648" t="str">
            <v>ایم عمران پاکستان مارکیٹ</v>
          </cell>
        </row>
        <row r="4649">
          <cell r="A4649" t="str">
            <v>6823/3</v>
          </cell>
          <cell r="B4649">
            <v>6823</v>
          </cell>
          <cell r="C4649">
            <v>45772</v>
          </cell>
          <cell r="D4649" t="str">
            <v>یونس صاحب</v>
          </cell>
          <cell r="E4649" t="str">
            <v>ایم عمران پاکستان مارکیٹ</v>
          </cell>
        </row>
        <row r="4650">
          <cell r="A4650" t="str">
            <v>6823/4</v>
          </cell>
          <cell r="B4650">
            <v>6823</v>
          </cell>
          <cell r="C4650">
            <v>45772</v>
          </cell>
          <cell r="D4650" t="str">
            <v>یونس صاحب</v>
          </cell>
          <cell r="E4650" t="str">
            <v>ایم عمران پاکستان مارکیٹ</v>
          </cell>
        </row>
        <row r="4651">
          <cell r="A4651" t="str">
            <v>6823/5</v>
          </cell>
          <cell r="B4651">
            <v>6823</v>
          </cell>
          <cell r="C4651">
            <v>45772</v>
          </cell>
          <cell r="D4651" t="str">
            <v>یونس صاحب</v>
          </cell>
          <cell r="E4651" t="str">
            <v>ایم عمران پاکستان مارکیٹ</v>
          </cell>
        </row>
        <row r="4652">
          <cell r="A4652" t="str">
            <v>6824/1</v>
          </cell>
          <cell r="B4652">
            <v>6824</v>
          </cell>
          <cell r="C4652">
            <v>45772</v>
          </cell>
          <cell r="D4652" t="str">
            <v>یونس صاحب</v>
          </cell>
          <cell r="E4652" t="str">
            <v>احسن علی ملتان</v>
          </cell>
        </row>
        <row r="4653">
          <cell r="A4653" t="str">
            <v>6824/2</v>
          </cell>
          <cell r="B4653">
            <v>6824</v>
          </cell>
          <cell r="C4653">
            <v>45772</v>
          </cell>
          <cell r="D4653" t="str">
            <v>یونس صاحب</v>
          </cell>
          <cell r="E4653" t="str">
            <v>احسن علی ملتان</v>
          </cell>
        </row>
        <row r="4654">
          <cell r="A4654" t="str">
            <v>6824/3</v>
          </cell>
          <cell r="B4654">
            <v>6824</v>
          </cell>
          <cell r="C4654">
            <v>45772</v>
          </cell>
          <cell r="D4654" t="str">
            <v>یونس صاحب</v>
          </cell>
          <cell r="E4654" t="str">
            <v>احسن علی ملتان</v>
          </cell>
        </row>
        <row r="4655">
          <cell r="A4655" t="str">
            <v>6825/1</v>
          </cell>
          <cell r="B4655">
            <v>6825</v>
          </cell>
          <cell r="C4655">
            <v>45772</v>
          </cell>
          <cell r="D4655" t="str">
            <v>یونس صاحب</v>
          </cell>
          <cell r="E4655" t="str">
            <v>مھبوب مقبول گجرانوالہ</v>
          </cell>
        </row>
        <row r="4656">
          <cell r="A4656" t="str">
            <v>6826/1</v>
          </cell>
          <cell r="B4656">
            <v>6826</v>
          </cell>
          <cell r="C4656">
            <v>45772</v>
          </cell>
          <cell r="D4656" t="str">
            <v>یونس صاحب</v>
          </cell>
          <cell r="E4656" t="str">
            <v>ذوالقرنین P  کامونکی</v>
          </cell>
        </row>
        <row r="4657">
          <cell r="A4657" t="str">
            <v>6827/1</v>
          </cell>
          <cell r="B4657">
            <v>6827</v>
          </cell>
          <cell r="C4657">
            <v>45775</v>
          </cell>
          <cell r="D4657" t="str">
            <v>یونس صاحب</v>
          </cell>
          <cell r="E4657" t="str">
            <v>العمر پلاسٹک گوجرانوالہ</v>
          </cell>
        </row>
        <row r="4658">
          <cell r="A4658" t="str">
            <v>6827/2</v>
          </cell>
          <cell r="B4658">
            <v>6827</v>
          </cell>
          <cell r="C4658">
            <v>45775</v>
          </cell>
          <cell r="D4658" t="str">
            <v>یونس صاحب</v>
          </cell>
          <cell r="E4658" t="str">
            <v>العمر پلاسٹک گوجرانوالہ</v>
          </cell>
        </row>
        <row r="4659">
          <cell r="A4659" t="str">
            <v>6827/3</v>
          </cell>
          <cell r="B4659">
            <v>6827</v>
          </cell>
          <cell r="C4659">
            <v>45775</v>
          </cell>
          <cell r="D4659" t="str">
            <v>یونس صاحب</v>
          </cell>
          <cell r="E4659" t="str">
            <v>العمر پلاسٹک گوجرانوالہ</v>
          </cell>
        </row>
        <row r="4660">
          <cell r="A4660" t="str">
            <v>6827/4</v>
          </cell>
          <cell r="B4660">
            <v>6827</v>
          </cell>
          <cell r="C4660">
            <v>45775</v>
          </cell>
          <cell r="D4660" t="str">
            <v>یونس صاحب</v>
          </cell>
          <cell r="E4660" t="str">
            <v>العمر پلاسٹک گوجرانوالہ</v>
          </cell>
        </row>
        <row r="4661">
          <cell r="A4661" t="str">
            <v>6828/1</v>
          </cell>
          <cell r="B4661">
            <v>6828</v>
          </cell>
          <cell r="C4661">
            <v>45775</v>
          </cell>
          <cell r="D4661" t="str">
            <v>یونس صاحب</v>
          </cell>
          <cell r="E4661" t="str">
            <v>العمر پلاسٹک گوجرانوالہ</v>
          </cell>
        </row>
        <row r="4662">
          <cell r="A4662" t="str">
            <v>6828/2</v>
          </cell>
          <cell r="B4662">
            <v>6828</v>
          </cell>
          <cell r="C4662">
            <v>45775</v>
          </cell>
          <cell r="D4662" t="str">
            <v>یونس صاحب</v>
          </cell>
          <cell r="E4662" t="str">
            <v>العمر پلاسٹک گوجرانوالہ</v>
          </cell>
        </row>
        <row r="4663">
          <cell r="A4663" t="str">
            <v>6828/3</v>
          </cell>
          <cell r="B4663">
            <v>6828</v>
          </cell>
          <cell r="C4663">
            <v>45775</v>
          </cell>
          <cell r="D4663" t="str">
            <v>یونس صاحب</v>
          </cell>
          <cell r="E4663" t="str">
            <v>العمر پلاسٹک گوجرانوالہ</v>
          </cell>
        </row>
        <row r="4664">
          <cell r="A4664" t="str">
            <v>6828/4</v>
          </cell>
          <cell r="B4664">
            <v>6828</v>
          </cell>
          <cell r="C4664">
            <v>45775</v>
          </cell>
          <cell r="D4664" t="str">
            <v>یونس صاحب</v>
          </cell>
          <cell r="E4664" t="str">
            <v>العمر پلاسٹک گوجرانوالہ</v>
          </cell>
        </row>
        <row r="4665">
          <cell r="A4665" t="str">
            <v>6828/5</v>
          </cell>
          <cell r="B4665">
            <v>6828</v>
          </cell>
          <cell r="C4665">
            <v>45775</v>
          </cell>
          <cell r="D4665" t="str">
            <v>یونس صاحب</v>
          </cell>
          <cell r="E4665" t="str">
            <v>العمر پلاسٹک گوجرانوالہ</v>
          </cell>
        </row>
        <row r="4666">
          <cell r="A4666" t="str">
            <v>6828/6</v>
          </cell>
          <cell r="B4666">
            <v>6828</v>
          </cell>
          <cell r="C4666">
            <v>45775</v>
          </cell>
          <cell r="D4666" t="str">
            <v>یونس صاحب</v>
          </cell>
          <cell r="E4666" t="str">
            <v>العمر پلاسٹک گوجرانوالہ</v>
          </cell>
        </row>
        <row r="4667">
          <cell r="A4667" t="str">
            <v>6829/1</v>
          </cell>
          <cell r="B4667">
            <v>6829</v>
          </cell>
          <cell r="C4667">
            <v>45775</v>
          </cell>
          <cell r="D4667" t="str">
            <v>یونس صاحب</v>
          </cell>
          <cell r="E4667" t="str">
            <v>امارت پلاسٹک چوہنگ</v>
          </cell>
        </row>
        <row r="4668">
          <cell r="A4668" t="str">
            <v>6829/2</v>
          </cell>
          <cell r="B4668">
            <v>6829</v>
          </cell>
          <cell r="C4668">
            <v>45775</v>
          </cell>
          <cell r="D4668" t="str">
            <v>یونس صاحب</v>
          </cell>
          <cell r="E4668" t="str">
            <v>امارت پلاسٹک چوہنگ</v>
          </cell>
        </row>
        <row r="4669">
          <cell r="A4669" t="str">
            <v>6829/3</v>
          </cell>
          <cell r="B4669">
            <v>6829</v>
          </cell>
          <cell r="C4669">
            <v>45775</v>
          </cell>
          <cell r="D4669" t="str">
            <v>یونس صاحب</v>
          </cell>
          <cell r="E4669" t="str">
            <v>امارت پلاسٹک چوہنگ</v>
          </cell>
        </row>
        <row r="4670">
          <cell r="A4670" t="str">
            <v>6829/4</v>
          </cell>
          <cell r="B4670">
            <v>6829</v>
          </cell>
          <cell r="C4670">
            <v>45775</v>
          </cell>
          <cell r="D4670" t="str">
            <v>یونس صاحب</v>
          </cell>
          <cell r="E4670" t="str">
            <v>امارت پلاسٹک چوہنگ</v>
          </cell>
        </row>
        <row r="4671">
          <cell r="A4671" t="str">
            <v>6830/1</v>
          </cell>
          <cell r="B4671">
            <v>6830</v>
          </cell>
          <cell r="C4671">
            <v>45775</v>
          </cell>
          <cell r="D4671" t="str">
            <v>یونس صاحب</v>
          </cell>
          <cell r="E4671" t="str">
            <v>مھبوب مقبول گجرانوالہ</v>
          </cell>
        </row>
        <row r="4672">
          <cell r="A4672" t="str">
            <v>6830/2</v>
          </cell>
          <cell r="B4672">
            <v>6830</v>
          </cell>
          <cell r="C4672">
            <v>45775</v>
          </cell>
          <cell r="D4672" t="str">
            <v>یونس صاحب</v>
          </cell>
          <cell r="E4672" t="str">
            <v>مھبوب مقبول گجرانوالہ</v>
          </cell>
        </row>
        <row r="4673">
          <cell r="A4673" t="str">
            <v>6831/1</v>
          </cell>
          <cell r="B4673">
            <v>6831</v>
          </cell>
          <cell r="C4673">
            <v>45775</v>
          </cell>
          <cell r="D4673" t="str">
            <v>یونس صاحب</v>
          </cell>
          <cell r="E4673" t="str">
            <v>نور علی لیہ</v>
          </cell>
        </row>
        <row r="4674">
          <cell r="A4674" t="str">
            <v>6831/2</v>
          </cell>
          <cell r="B4674">
            <v>6831</v>
          </cell>
          <cell r="C4674">
            <v>45775</v>
          </cell>
          <cell r="D4674" t="str">
            <v>یونس صاحب</v>
          </cell>
          <cell r="E4674" t="str">
            <v>نور علی لیہ</v>
          </cell>
        </row>
        <row r="4675">
          <cell r="A4675" t="str">
            <v>6831/3</v>
          </cell>
          <cell r="B4675">
            <v>6831</v>
          </cell>
          <cell r="C4675">
            <v>45775</v>
          </cell>
          <cell r="D4675" t="str">
            <v>یونس صاحب</v>
          </cell>
          <cell r="E4675" t="str">
            <v>نور علی لیہ</v>
          </cell>
        </row>
        <row r="4676">
          <cell r="A4676" t="str">
            <v>6831/4</v>
          </cell>
          <cell r="B4676">
            <v>6831</v>
          </cell>
          <cell r="C4676">
            <v>45775</v>
          </cell>
          <cell r="D4676" t="str">
            <v>یونس صاحب</v>
          </cell>
          <cell r="E4676" t="str">
            <v>نور علی لیہ</v>
          </cell>
        </row>
        <row r="4677">
          <cell r="A4677" t="str">
            <v>6831/5</v>
          </cell>
          <cell r="B4677">
            <v>6831</v>
          </cell>
          <cell r="C4677">
            <v>45775</v>
          </cell>
          <cell r="D4677" t="str">
            <v>یونس صاحب</v>
          </cell>
          <cell r="E4677" t="str">
            <v>نور علی لیہ</v>
          </cell>
        </row>
        <row r="4678">
          <cell r="A4678" t="str">
            <v>6831/6</v>
          </cell>
          <cell r="B4678">
            <v>6831</v>
          </cell>
          <cell r="C4678">
            <v>45775</v>
          </cell>
          <cell r="D4678" t="str">
            <v>یونس صاحب</v>
          </cell>
          <cell r="E4678" t="str">
            <v>نور علی لیہ</v>
          </cell>
        </row>
        <row r="4679">
          <cell r="A4679" t="str">
            <v>6831/7</v>
          </cell>
          <cell r="B4679">
            <v>6831</v>
          </cell>
          <cell r="C4679">
            <v>45775</v>
          </cell>
          <cell r="D4679" t="str">
            <v>یونس صاحب</v>
          </cell>
          <cell r="E4679" t="str">
            <v>نور علی لیہ</v>
          </cell>
        </row>
        <row r="4680">
          <cell r="A4680" t="str">
            <v>6831/8</v>
          </cell>
          <cell r="B4680">
            <v>6831</v>
          </cell>
          <cell r="C4680">
            <v>45775</v>
          </cell>
          <cell r="D4680" t="str">
            <v>یونس صاحب</v>
          </cell>
          <cell r="E4680" t="str">
            <v>نور علی لیہ</v>
          </cell>
        </row>
        <row r="4681">
          <cell r="A4681" t="str">
            <v>6831/9</v>
          </cell>
          <cell r="B4681">
            <v>6831</v>
          </cell>
          <cell r="C4681">
            <v>45775</v>
          </cell>
          <cell r="D4681" t="str">
            <v>یونس صاحب</v>
          </cell>
          <cell r="E4681" t="str">
            <v>نور علی لیہ</v>
          </cell>
        </row>
        <row r="4682">
          <cell r="A4682" t="str">
            <v>6831/10</v>
          </cell>
          <cell r="B4682">
            <v>6831</v>
          </cell>
          <cell r="C4682">
            <v>45775</v>
          </cell>
          <cell r="D4682" t="str">
            <v>یونس صاحب</v>
          </cell>
          <cell r="E4682" t="str">
            <v>نور علی لیہ</v>
          </cell>
        </row>
        <row r="4683">
          <cell r="A4683" t="str">
            <v>6831/11</v>
          </cell>
          <cell r="B4683">
            <v>6831</v>
          </cell>
          <cell r="C4683">
            <v>45775</v>
          </cell>
          <cell r="D4683" t="str">
            <v>یونس صاحب</v>
          </cell>
          <cell r="E4683" t="str">
            <v>نور علی لیہ</v>
          </cell>
        </row>
        <row r="4684">
          <cell r="A4684" t="str">
            <v>6832/1</v>
          </cell>
          <cell r="B4684">
            <v>6832</v>
          </cell>
          <cell r="C4684">
            <v>45776</v>
          </cell>
          <cell r="D4684" t="str">
            <v>یونس صاحب</v>
          </cell>
          <cell r="E4684" t="str">
            <v>اسد پلاسٹک صادق ٓاباد</v>
          </cell>
        </row>
        <row r="4685">
          <cell r="A4685" t="str">
            <v>6832/2</v>
          </cell>
          <cell r="B4685">
            <v>6832</v>
          </cell>
          <cell r="C4685">
            <v>45776</v>
          </cell>
          <cell r="D4685" t="str">
            <v>یونس صاحب</v>
          </cell>
          <cell r="E4685" t="str">
            <v>اسد پلاسٹک صادق ٓاباد</v>
          </cell>
        </row>
        <row r="4686">
          <cell r="A4686" t="str">
            <v>6832/3</v>
          </cell>
          <cell r="B4686">
            <v>6832</v>
          </cell>
          <cell r="C4686">
            <v>45776</v>
          </cell>
          <cell r="D4686" t="str">
            <v>یونس صاحب</v>
          </cell>
          <cell r="E4686" t="str">
            <v>اسد پلاسٹک صادق ٓاباد</v>
          </cell>
        </row>
        <row r="4687">
          <cell r="A4687" t="str">
            <v>6832/4</v>
          </cell>
          <cell r="B4687">
            <v>6832</v>
          </cell>
          <cell r="C4687">
            <v>45776</v>
          </cell>
          <cell r="D4687" t="str">
            <v>یونس صاحب</v>
          </cell>
          <cell r="E4687" t="str">
            <v>اسد پلاسٹک صادق ٓاباد</v>
          </cell>
        </row>
        <row r="4688">
          <cell r="A4688" t="str">
            <v>6832/5</v>
          </cell>
          <cell r="B4688">
            <v>6832</v>
          </cell>
          <cell r="C4688">
            <v>45776</v>
          </cell>
          <cell r="D4688" t="str">
            <v>یونس صاحب</v>
          </cell>
          <cell r="E4688" t="str">
            <v>اسد پلاسٹک صادق ٓاباد</v>
          </cell>
        </row>
        <row r="4689">
          <cell r="A4689" t="str">
            <v>6832/6</v>
          </cell>
          <cell r="B4689">
            <v>6832</v>
          </cell>
          <cell r="C4689">
            <v>45776</v>
          </cell>
          <cell r="D4689" t="str">
            <v>یونس صاحب</v>
          </cell>
          <cell r="E4689" t="str">
            <v>اسد پلاسٹک صادق ٓاباد</v>
          </cell>
        </row>
        <row r="4690">
          <cell r="A4690" t="str">
            <v>6832/7</v>
          </cell>
          <cell r="B4690">
            <v>6832</v>
          </cell>
          <cell r="C4690">
            <v>45776</v>
          </cell>
          <cell r="D4690" t="str">
            <v>یونس صاحب</v>
          </cell>
          <cell r="E4690" t="str">
            <v>اسد پلاسٹک صادق ٓاباد</v>
          </cell>
        </row>
        <row r="4691">
          <cell r="A4691" t="str">
            <v>6832/8</v>
          </cell>
          <cell r="B4691">
            <v>6832</v>
          </cell>
          <cell r="C4691">
            <v>45776</v>
          </cell>
          <cell r="D4691" t="str">
            <v>یونس صاحب</v>
          </cell>
          <cell r="E4691" t="str">
            <v>اسد پلاسٹک صادق ٓاباد</v>
          </cell>
        </row>
        <row r="4692">
          <cell r="A4692" t="str">
            <v>6832/9</v>
          </cell>
          <cell r="B4692">
            <v>6832</v>
          </cell>
          <cell r="C4692">
            <v>45776</v>
          </cell>
          <cell r="D4692" t="str">
            <v>یونس صاحب</v>
          </cell>
          <cell r="E4692" t="str">
            <v>اسد پلاسٹک صادق ٓاباد</v>
          </cell>
        </row>
        <row r="4693">
          <cell r="A4693" t="str">
            <v>6832/10</v>
          </cell>
          <cell r="B4693">
            <v>6832</v>
          </cell>
          <cell r="C4693">
            <v>45776</v>
          </cell>
          <cell r="D4693" t="str">
            <v>یونس صاحب</v>
          </cell>
          <cell r="E4693" t="str">
            <v>اسد پلاسٹک صادق ٓاباد</v>
          </cell>
        </row>
        <row r="4694">
          <cell r="A4694" t="str">
            <v>6832/11</v>
          </cell>
          <cell r="B4694">
            <v>6832</v>
          </cell>
          <cell r="C4694">
            <v>45776</v>
          </cell>
          <cell r="D4694" t="str">
            <v>یونس صاحب</v>
          </cell>
          <cell r="E4694" t="str">
            <v>اسد پلاسٹک صادق ٓاباد</v>
          </cell>
        </row>
        <row r="4695">
          <cell r="A4695" t="str">
            <v>6832/12</v>
          </cell>
          <cell r="B4695">
            <v>6832</v>
          </cell>
          <cell r="C4695">
            <v>45776</v>
          </cell>
          <cell r="D4695" t="str">
            <v>یونس صاحب</v>
          </cell>
          <cell r="E4695" t="str">
            <v>اسد پلاسٹک صادق ٓاباد</v>
          </cell>
        </row>
        <row r="4696">
          <cell r="A4696" t="str">
            <v>6832/13</v>
          </cell>
          <cell r="B4696">
            <v>6832</v>
          </cell>
          <cell r="C4696">
            <v>45776</v>
          </cell>
          <cell r="D4696" t="str">
            <v>یونس صاحب</v>
          </cell>
          <cell r="E4696" t="str">
            <v>اسد پلاسٹک صادق ٓاباد</v>
          </cell>
        </row>
        <row r="4697">
          <cell r="A4697" t="str">
            <v>6832/14</v>
          </cell>
          <cell r="B4697">
            <v>6832</v>
          </cell>
          <cell r="C4697">
            <v>45776</v>
          </cell>
          <cell r="D4697" t="str">
            <v>یونس صاحب</v>
          </cell>
          <cell r="E4697" t="str">
            <v>اسد پلاسٹک صادق ٓاباد</v>
          </cell>
        </row>
        <row r="4698">
          <cell r="A4698">
            <v>2740</v>
          </cell>
          <cell r="B4698"/>
          <cell r="C4698">
            <v>45779</v>
          </cell>
          <cell r="D4698" t="str">
            <v>JILANI</v>
          </cell>
          <cell r="E4698" t="str">
            <v>JILANI PLASTIC</v>
          </cell>
        </row>
        <row r="4699">
          <cell r="A4699">
            <v>2741</v>
          </cell>
          <cell r="B4699"/>
          <cell r="C4699">
            <v>45779</v>
          </cell>
          <cell r="D4699" t="str">
            <v>JILANI</v>
          </cell>
          <cell r="E4699" t="str">
            <v>JILANI PLASTIC</v>
          </cell>
        </row>
        <row r="4700">
          <cell r="A4700">
            <v>2742</v>
          </cell>
          <cell r="B4700"/>
          <cell r="C4700">
            <v>45781</v>
          </cell>
          <cell r="D4700" t="str">
            <v>JILANI</v>
          </cell>
          <cell r="E4700" t="str">
            <v>UNIT 2</v>
          </cell>
        </row>
        <row r="4701">
          <cell r="A4701">
            <v>2743</v>
          </cell>
          <cell r="B4701"/>
          <cell r="C4701">
            <v>45781</v>
          </cell>
          <cell r="D4701" t="str">
            <v>JILANI</v>
          </cell>
          <cell r="E4701" t="str">
            <v>UNIT 2</v>
          </cell>
        </row>
        <row r="4702">
          <cell r="A4702">
            <v>2744</v>
          </cell>
          <cell r="B4702"/>
          <cell r="C4702">
            <v>45781</v>
          </cell>
          <cell r="D4702" t="str">
            <v>JILANI</v>
          </cell>
          <cell r="E4702" t="str">
            <v>UNIT 2</v>
          </cell>
        </row>
        <row r="4703">
          <cell r="A4703" t="str">
            <v>2118 J</v>
          </cell>
          <cell r="B4703">
            <v>12015</v>
          </cell>
          <cell r="C4703">
            <v>45777</v>
          </cell>
          <cell r="D4703" t="str">
            <v>JILANI</v>
          </cell>
          <cell r="E4703" t="str">
            <v>شیخ اصغر علی اینڈ سنز سرگودھا</v>
          </cell>
        </row>
        <row r="4704">
          <cell r="A4704" t="str">
            <v>2119 J</v>
          </cell>
          <cell r="B4704"/>
          <cell r="C4704">
            <v>45777</v>
          </cell>
          <cell r="D4704" t="str">
            <v>OTHERS</v>
          </cell>
          <cell r="E4704" t="str">
            <v>جیلانی پلاسٹک</v>
          </cell>
        </row>
        <row r="4705">
          <cell r="A4705" t="str">
            <v>2120 J</v>
          </cell>
          <cell r="B4705"/>
          <cell r="C4705">
            <v>45782</v>
          </cell>
          <cell r="D4705" t="str">
            <v>OTHERS</v>
          </cell>
          <cell r="E4705" t="str">
            <v>جیلانی پولی -2</v>
          </cell>
        </row>
        <row r="4706">
          <cell r="A4706" t="str">
            <v>2121 J</v>
          </cell>
          <cell r="B4706"/>
          <cell r="C4706">
            <v>45782</v>
          </cell>
          <cell r="D4706" t="str">
            <v>OTHERS</v>
          </cell>
          <cell r="E4706" t="str">
            <v>جیلانی پولی -2</v>
          </cell>
        </row>
        <row r="4707">
          <cell r="A4707" t="str">
            <v>2122 J</v>
          </cell>
          <cell r="B4707"/>
          <cell r="C4707">
            <v>45782</v>
          </cell>
          <cell r="D4707" t="str">
            <v>OTHERS</v>
          </cell>
          <cell r="E4707" t="str">
            <v>جیلانی پولی -2</v>
          </cell>
        </row>
        <row r="4708">
          <cell r="A4708" t="str">
            <v>2123 J</v>
          </cell>
          <cell r="B4708"/>
          <cell r="C4708">
            <v>45782</v>
          </cell>
          <cell r="D4708" t="str">
            <v>OTHERS</v>
          </cell>
          <cell r="E4708" t="str">
            <v>لاہور ویسٹ مینجمنٹ کمپنی</v>
          </cell>
        </row>
        <row r="4709">
          <cell r="A4709" t="str">
            <v>2124 J</v>
          </cell>
          <cell r="B4709"/>
          <cell r="C4709">
            <v>45782</v>
          </cell>
          <cell r="D4709" t="str">
            <v>OTHERS</v>
          </cell>
          <cell r="E4709" t="str">
            <v>لاہور ویسٹ مینجمنٹ کمپنی</v>
          </cell>
        </row>
        <row r="4710">
          <cell r="A4710" t="str">
            <v>2125 J</v>
          </cell>
          <cell r="B4710">
            <v>12016</v>
          </cell>
          <cell r="C4710">
            <v>45780</v>
          </cell>
          <cell r="D4710" t="str">
            <v>JILANI</v>
          </cell>
          <cell r="E4710" t="str">
            <v>ارشد لفافہ مرچینٹ گجر خان</v>
          </cell>
        </row>
        <row r="4711">
          <cell r="A4711" t="str">
            <v>2126 J</v>
          </cell>
          <cell r="B4711">
            <v>12017</v>
          </cell>
          <cell r="C4711">
            <v>45780</v>
          </cell>
          <cell r="D4711" t="str">
            <v>JILANI</v>
          </cell>
          <cell r="E4711" t="str">
            <v>ارشد لفافہ مرچینٹ گجر خان</v>
          </cell>
        </row>
        <row r="4712">
          <cell r="A4712" t="str">
            <v>2127 J</v>
          </cell>
          <cell r="B4712">
            <v>12018</v>
          </cell>
          <cell r="C4712">
            <v>45780</v>
          </cell>
          <cell r="D4712" t="str">
            <v>JILANI</v>
          </cell>
          <cell r="E4712" t="str">
            <v>احسان کاٹن پراڈکٹس</v>
          </cell>
        </row>
        <row r="4713">
          <cell r="A4713" t="str">
            <v>2128 J</v>
          </cell>
          <cell r="B4713">
            <v>12019</v>
          </cell>
          <cell r="C4713">
            <v>45780</v>
          </cell>
          <cell r="D4713" t="str">
            <v>JILANI</v>
          </cell>
          <cell r="E4713" t="str">
            <v>احسان کاٹن پراڈکٹس</v>
          </cell>
        </row>
        <row r="4714">
          <cell r="A4714" t="str">
            <v>2129 J</v>
          </cell>
          <cell r="B4714">
            <v>12019</v>
          </cell>
          <cell r="C4714">
            <v>45780</v>
          </cell>
          <cell r="D4714" t="str">
            <v>JILANI</v>
          </cell>
          <cell r="E4714" t="str">
            <v>احسان کاٹن پراڈکٹس</v>
          </cell>
        </row>
        <row r="4715">
          <cell r="A4715" t="str">
            <v>2130 J</v>
          </cell>
          <cell r="B4715">
            <v>12019</v>
          </cell>
          <cell r="C4715">
            <v>45780</v>
          </cell>
          <cell r="D4715" t="str">
            <v>JILANI</v>
          </cell>
          <cell r="E4715" t="str">
            <v>احسان کاٹن پراڈکٹس</v>
          </cell>
        </row>
        <row r="4716">
          <cell r="A4716" t="str">
            <v>2131 J</v>
          </cell>
          <cell r="B4716">
            <v>12020</v>
          </cell>
          <cell r="C4716">
            <v>45782</v>
          </cell>
          <cell r="D4716" t="str">
            <v>JILANI</v>
          </cell>
          <cell r="E4716" t="str">
            <v>کیکس اینڈ بیکس لاہور بیکری یونٹ</v>
          </cell>
        </row>
        <row r="4717">
          <cell r="A4717" t="str">
            <v>2132 J</v>
          </cell>
          <cell r="B4717">
            <v>12020</v>
          </cell>
          <cell r="C4717">
            <v>45782</v>
          </cell>
          <cell r="D4717" t="str">
            <v>JILANI</v>
          </cell>
          <cell r="E4717" t="str">
            <v>کیکس اینڈ بیکس لاہور بیکری یونٹ</v>
          </cell>
        </row>
        <row r="4718">
          <cell r="A4718" t="str">
            <v>2133 J</v>
          </cell>
          <cell r="B4718">
            <v>12021</v>
          </cell>
          <cell r="C4718">
            <v>45782</v>
          </cell>
          <cell r="D4718" t="str">
            <v>JILANI</v>
          </cell>
          <cell r="E4718" t="str">
            <v>علی سویٹس اینڈ بیکرز رحیم یار خان</v>
          </cell>
        </row>
        <row r="4719">
          <cell r="A4719" t="str">
            <v>2134 J</v>
          </cell>
          <cell r="B4719">
            <v>12022</v>
          </cell>
          <cell r="C4719">
            <v>45782</v>
          </cell>
          <cell r="D4719" t="str">
            <v>JILANI</v>
          </cell>
          <cell r="E4719" t="str">
            <v>علی سویٹس اینڈ بیکرز رحیم یار خان</v>
          </cell>
        </row>
        <row r="4720">
          <cell r="A4720" t="str">
            <v>2135 J</v>
          </cell>
          <cell r="B4720">
            <v>12023</v>
          </cell>
          <cell r="C4720">
            <v>45782</v>
          </cell>
          <cell r="D4720" t="str">
            <v>JILANI</v>
          </cell>
          <cell r="E4720" t="str">
            <v>نیک انجینرنگ ورکس گجرات</v>
          </cell>
        </row>
        <row r="4721">
          <cell r="A4721" t="str">
            <v>2136 J</v>
          </cell>
          <cell r="B4721">
            <v>12024</v>
          </cell>
          <cell r="C4721">
            <v>45782</v>
          </cell>
          <cell r="D4721" t="str">
            <v>JILANI</v>
          </cell>
          <cell r="E4721" t="str">
            <v>شاہین نواز تھریڈ پشاور</v>
          </cell>
        </row>
        <row r="4722">
          <cell r="A4722" t="str">
            <v>2137 J</v>
          </cell>
          <cell r="B4722">
            <v>12025</v>
          </cell>
          <cell r="C4722">
            <v>45782</v>
          </cell>
          <cell r="D4722" t="str">
            <v>JILANI</v>
          </cell>
          <cell r="E4722" t="str">
            <v>PO CANCEL</v>
          </cell>
        </row>
        <row r="4723">
          <cell r="A4723" t="str">
            <v>2138 J</v>
          </cell>
          <cell r="B4723">
            <v>12026</v>
          </cell>
          <cell r="C4723">
            <v>45782</v>
          </cell>
          <cell r="D4723" t="str">
            <v>JILANI</v>
          </cell>
          <cell r="E4723" t="str">
            <v>شفعی فوم لاہور</v>
          </cell>
        </row>
        <row r="4724">
          <cell r="A4724" t="str">
            <v>2139 J</v>
          </cell>
          <cell r="B4724">
            <v>12027</v>
          </cell>
          <cell r="C4724">
            <v>45782</v>
          </cell>
          <cell r="D4724" t="str">
            <v>JILANI</v>
          </cell>
          <cell r="E4724" t="str">
            <v>خرم کلاتھ ہا ؤس اعظم مارکیٹ لاہور</v>
          </cell>
        </row>
        <row r="4725">
          <cell r="A4725" t="str">
            <v>2140 J</v>
          </cell>
          <cell r="B4725">
            <v>12028</v>
          </cell>
          <cell r="C4725">
            <v>45782</v>
          </cell>
          <cell r="D4725" t="str">
            <v>JILANI</v>
          </cell>
          <cell r="E4725" t="str">
            <v>شعیب آٹوز راولپنڈی</v>
          </cell>
        </row>
        <row r="4726">
          <cell r="A4726" t="str">
            <v>2141 J</v>
          </cell>
          <cell r="B4726">
            <v>12029</v>
          </cell>
          <cell r="C4726">
            <v>45782</v>
          </cell>
          <cell r="D4726" t="str">
            <v>JILANI</v>
          </cell>
          <cell r="E4726" t="str">
            <v>پیزا بنک فاسٹ فوڈ کامونکی</v>
          </cell>
        </row>
        <row r="4727">
          <cell r="A4727" t="str">
            <v>2142 J</v>
          </cell>
          <cell r="B4727">
            <v>12029</v>
          </cell>
          <cell r="C4727">
            <v>45782</v>
          </cell>
          <cell r="D4727" t="str">
            <v>JILANI</v>
          </cell>
          <cell r="E4727" t="str">
            <v>پیزا بنک فاسٹ فوڈ کامونکی</v>
          </cell>
        </row>
        <row r="4728">
          <cell r="A4728" t="str">
            <v>2143 J</v>
          </cell>
          <cell r="B4728">
            <v>12029</v>
          </cell>
          <cell r="C4728">
            <v>45782</v>
          </cell>
          <cell r="D4728" t="str">
            <v>JILANI</v>
          </cell>
          <cell r="E4728" t="str">
            <v>پیزا بنک فاسٹ فوڈ کامونکی</v>
          </cell>
        </row>
        <row r="4729">
          <cell r="A4729" t="str">
            <v>2144 J</v>
          </cell>
          <cell r="B4729">
            <v>12030</v>
          </cell>
          <cell r="C4729">
            <v>45782</v>
          </cell>
          <cell r="D4729" t="str">
            <v>JILANI</v>
          </cell>
          <cell r="E4729" t="str">
            <v>عالم پرنٹرز بٹ خیلہ</v>
          </cell>
        </row>
        <row r="4730">
          <cell r="A4730" t="str">
            <v>2145 J</v>
          </cell>
          <cell r="B4730">
            <v>12031</v>
          </cell>
          <cell r="C4730">
            <v>45782</v>
          </cell>
          <cell r="D4730" t="str">
            <v>JILANI</v>
          </cell>
          <cell r="E4730" t="str">
            <v>عالم پرنٹرز بٹ خیلہ</v>
          </cell>
        </row>
        <row r="4731">
          <cell r="A4731" t="str">
            <v>2146 J</v>
          </cell>
          <cell r="B4731">
            <v>12032</v>
          </cell>
          <cell r="C4731">
            <v>45782</v>
          </cell>
          <cell r="D4731" t="str">
            <v>JILANI</v>
          </cell>
          <cell r="E4731" t="str">
            <v>لاہور فارمز لاہور</v>
          </cell>
        </row>
        <row r="4732">
          <cell r="A4732" t="str">
            <v>2147 J</v>
          </cell>
          <cell r="B4732">
            <v>12033</v>
          </cell>
          <cell r="C4732">
            <v>45782</v>
          </cell>
          <cell r="D4732" t="str">
            <v>JILANI</v>
          </cell>
          <cell r="E4732" t="str">
            <v>حماد پلاسٹک گوجرانوالہ</v>
          </cell>
        </row>
        <row r="4733">
          <cell r="A4733" t="str">
            <v>2148 J</v>
          </cell>
          <cell r="B4733">
            <v>12034</v>
          </cell>
          <cell r="C4733">
            <v>45782</v>
          </cell>
          <cell r="D4733" t="str">
            <v>JILANI</v>
          </cell>
          <cell r="E4733" t="str">
            <v>حماد پلاسٹک گوجرانوالہ</v>
          </cell>
        </row>
        <row r="4734">
          <cell r="A4734" t="str">
            <v>2149 J</v>
          </cell>
          <cell r="B4734">
            <v>12035</v>
          </cell>
          <cell r="C4734">
            <v>45782</v>
          </cell>
          <cell r="D4734" t="str">
            <v>JILANI</v>
          </cell>
          <cell r="E4734" t="str">
            <v>اے وائے کینز لاہور</v>
          </cell>
        </row>
        <row r="4735">
          <cell r="A4735" t="str">
            <v>2150 J</v>
          </cell>
          <cell r="B4735">
            <v>12036</v>
          </cell>
          <cell r="C4735">
            <v>45782</v>
          </cell>
          <cell r="D4735" t="str">
            <v>JILANI</v>
          </cell>
          <cell r="E4735" t="str">
            <v>گراسر ایپ لاہور</v>
          </cell>
        </row>
        <row r="4736">
          <cell r="A4736" t="str">
            <v>2151 J</v>
          </cell>
          <cell r="B4736">
            <v>12036</v>
          </cell>
          <cell r="C4736">
            <v>45782</v>
          </cell>
          <cell r="D4736" t="str">
            <v>JILANI</v>
          </cell>
          <cell r="E4736" t="str">
            <v>گراسر ایپ لاہور</v>
          </cell>
        </row>
        <row r="4737">
          <cell r="A4737" t="str">
            <v>2152 J</v>
          </cell>
          <cell r="B4737">
            <v>12036</v>
          </cell>
          <cell r="C4737">
            <v>45782</v>
          </cell>
          <cell r="D4737" t="str">
            <v>JILANI</v>
          </cell>
          <cell r="E4737" t="str">
            <v>گراسر ایپ لاہور</v>
          </cell>
        </row>
        <row r="4738">
          <cell r="A4738" t="str">
            <v>2153 J</v>
          </cell>
          <cell r="B4738">
            <v>12036</v>
          </cell>
          <cell r="C4738">
            <v>45782</v>
          </cell>
          <cell r="D4738" t="str">
            <v>JILANI</v>
          </cell>
          <cell r="E4738" t="str">
            <v>گراسر ایپ لاہور</v>
          </cell>
        </row>
        <row r="4739">
          <cell r="A4739" t="str">
            <v>2154 J</v>
          </cell>
          <cell r="B4739">
            <v>12037</v>
          </cell>
          <cell r="C4739">
            <v>45782</v>
          </cell>
          <cell r="D4739" t="str">
            <v>JILANI</v>
          </cell>
          <cell r="E4739" t="str">
            <v>ہدایت خان پشاور</v>
          </cell>
        </row>
        <row r="4740">
          <cell r="A4740" t="str">
            <v>2155 J</v>
          </cell>
          <cell r="B4740">
            <v>12037</v>
          </cell>
          <cell r="C4740">
            <v>45782</v>
          </cell>
          <cell r="D4740" t="str">
            <v>JILANI</v>
          </cell>
          <cell r="E4740" t="str">
            <v>ہدایت خان پشاور</v>
          </cell>
        </row>
        <row r="4741">
          <cell r="A4741" t="str">
            <v>2156 J</v>
          </cell>
          <cell r="B4741">
            <v>12037</v>
          </cell>
          <cell r="C4741">
            <v>45782</v>
          </cell>
          <cell r="D4741" t="str">
            <v>JILANI</v>
          </cell>
          <cell r="E4741" t="str">
            <v>ہدایت خان پشاور</v>
          </cell>
        </row>
        <row r="4742">
          <cell r="A4742" t="str">
            <v>2157 J</v>
          </cell>
          <cell r="B4742">
            <v>12037</v>
          </cell>
          <cell r="C4742">
            <v>45782</v>
          </cell>
          <cell r="D4742" t="str">
            <v>JILANI</v>
          </cell>
          <cell r="E4742" t="str">
            <v>ہدایت خان پشاور</v>
          </cell>
        </row>
        <row r="4743">
          <cell r="A4743" t="str">
            <v>2158 J</v>
          </cell>
          <cell r="B4743">
            <v>12037</v>
          </cell>
          <cell r="C4743">
            <v>45782</v>
          </cell>
          <cell r="D4743" t="str">
            <v>JILANI</v>
          </cell>
          <cell r="E4743" t="str">
            <v>ہدایت خان پشاور</v>
          </cell>
        </row>
        <row r="4744">
          <cell r="A4744" t="str">
            <v>1456 F</v>
          </cell>
          <cell r="B4744"/>
          <cell r="C4744">
            <v>45779</v>
          </cell>
          <cell r="D4744" t="str">
            <v>فینا</v>
          </cell>
          <cell r="E4744" t="str">
            <v>عثمان امین</v>
          </cell>
        </row>
        <row r="4745">
          <cell r="A4745" t="str">
            <v>1457 F</v>
          </cell>
          <cell r="B4745"/>
          <cell r="C4745">
            <v>45779</v>
          </cell>
          <cell r="D4745" t="str">
            <v>فینا</v>
          </cell>
          <cell r="E4745" t="str">
            <v>عثمان امین</v>
          </cell>
        </row>
        <row r="4746">
          <cell r="A4746" t="str">
            <v>1458 F</v>
          </cell>
          <cell r="B4746"/>
          <cell r="C4746">
            <v>45779</v>
          </cell>
          <cell r="D4746" t="str">
            <v>فینا</v>
          </cell>
          <cell r="E4746" t="str">
            <v>عثمان امین</v>
          </cell>
        </row>
        <row r="4747">
          <cell r="A4747" t="str">
            <v>1459 F</v>
          </cell>
          <cell r="B4747"/>
          <cell r="C4747">
            <v>45779</v>
          </cell>
          <cell r="D4747" t="str">
            <v>فینا</v>
          </cell>
          <cell r="E4747" t="str">
            <v>عثمان امین</v>
          </cell>
        </row>
        <row r="4748">
          <cell r="A4748" t="str">
            <v>1460 F</v>
          </cell>
          <cell r="B4748"/>
          <cell r="C4748">
            <v>45779</v>
          </cell>
          <cell r="D4748" t="str">
            <v>فینا</v>
          </cell>
          <cell r="E4748" t="str">
            <v>عثمان امین</v>
          </cell>
        </row>
        <row r="4749">
          <cell r="A4749" t="str">
            <v>1461 F</v>
          </cell>
          <cell r="B4749"/>
          <cell r="C4749">
            <v>45779</v>
          </cell>
          <cell r="D4749" t="str">
            <v>فینا</v>
          </cell>
          <cell r="E4749" t="str">
            <v>عثمان امین</v>
          </cell>
        </row>
        <row r="4750">
          <cell r="A4750" t="str">
            <v>1462 F</v>
          </cell>
          <cell r="B4750"/>
          <cell r="C4750">
            <v>45780</v>
          </cell>
          <cell r="D4750" t="str">
            <v>فینا</v>
          </cell>
          <cell r="E4750" t="str">
            <v>عثمان امین</v>
          </cell>
        </row>
        <row r="4751">
          <cell r="A4751" t="str">
            <v>1463 F</v>
          </cell>
          <cell r="B4751"/>
          <cell r="C4751">
            <v>45780</v>
          </cell>
          <cell r="D4751" t="str">
            <v>فینا</v>
          </cell>
          <cell r="E4751" t="str">
            <v>عثمان امین</v>
          </cell>
        </row>
        <row r="4752">
          <cell r="A4752" t="str">
            <v>1464 F</v>
          </cell>
          <cell r="B4752"/>
          <cell r="C4752">
            <v>45780</v>
          </cell>
          <cell r="D4752" t="str">
            <v>فینا</v>
          </cell>
          <cell r="E4752" t="str">
            <v>عثمان امین</v>
          </cell>
        </row>
        <row r="4753">
          <cell r="A4753" t="str">
            <v>1465 F</v>
          </cell>
          <cell r="B4753"/>
          <cell r="C4753">
            <v>45780</v>
          </cell>
          <cell r="D4753" t="str">
            <v>فینا</v>
          </cell>
          <cell r="E4753" t="str">
            <v>عثمان امین</v>
          </cell>
        </row>
        <row r="4754">
          <cell r="A4754" t="str">
            <v>1466 F</v>
          </cell>
          <cell r="B4754"/>
          <cell r="C4754">
            <v>45782</v>
          </cell>
          <cell r="D4754" t="str">
            <v>فینا</v>
          </cell>
          <cell r="E4754" t="str">
            <v>عثمان امین</v>
          </cell>
        </row>
        <row r="4755">
          <cell r="A4755" t="str">
            <v>1467 F</v>
          </cell>
          <cell r="B4755"/>
          <cell r="C4755">
            <v>45782</v>
          </cell>
          <cell r="D4755" t="str">
            <v>فینا</v>
          </cell>
          <cell r="E4755" t="str">
            <v>عثمان امین</v>
          </cell>
        </row>
        <row r="4756">
          <cell r="A4756" t="str">
            <v>1468 F</v>
          </cell>
          <cell r="B4756"/>
          <cell r="C4756">
            <v>45782</v>
          </cell>
          <cell r="D4756" t="str">
            <v>فینا</v>
          </cell>
          <cell r="E4756" t="str">
            <v>عثمان امین</v>
          </cell>
        </row>
        <row r="4757">
          <cell r="A4757" t="str">
            <v>1469 F</v>
          </cell>
          <cell r="B4757"/>
          <cell r="C4757">
            <v>45782</v>
          </cell>
          <cell r="D4757" t="str">
            <v>فینا</v>
          </cell>
          <cell r="E4757" t="str">
            <v>عثمان امین</v>
          </cell>
        </row>
        <row r="4758">
          <cell r="A4758" t="str">
            <v>1470 F</v>
          </cell>
          <cell r="B4758"/>
          <cell r="C4758">
            <v>45782</v>
          </cell>
          <cell r="D4758" t="str">
            <v>فینا</v>
          </cell>
          <cell r="E4758" t="str">
            <v>عثمان امین</v>
          </cell>
        </row>
        <row r="4759">
          <cell r="A4759" t="str">
            <v>1471 F</v>
          </cell>
          <cell r="B4759"/>
          <cell r="C4759">
            <v>45782</v>
          </cell>
          <cell r="D4759" t="str">
            <v>فینا</v>
          </cell>
          <cell r="E4759" t="str">
            <v>عثمان امین</v>
          </cell>
        </row>
        <row r="4760">
          <cell r="A4760" t="str">
            <v>1472 F</v>
          </cell>
          <cell r="B4760"/>
          <cell r="C4760">
            <v>45782</v>
          </cell>
          <cell r="D4760" t="str">
            <v>فینا</v>
          </cell>
          <cell r="E4760" t="str">
            <v>عثمان امین</v>
          </cell>
        </row>
        <row r="4761">
          <cell r="A4761" t="str">
            <v>1473 F</v>
          </cell>
          <cell r="B4761"/>
          <cell r="C4761">
            <v>45782</v>
          </cell>
          <cell r="D4761" t="str">
            <v>فینا</v>
          </cell>
          <cell r="E4761" t="str">
            <v>عثمان امین</v>
          </cell>
        </row>
        <row r="4762">
          <cell r="A4762" t="str">
            <v>1474 F</v>
          </cell>
          <cell r="B4762"/>
          <cell r="C4762">
            <v>45782</v>
          </cell>
          <cell r="D4762" t="str">
            <v>فینا</v>
          </cell>
          <cell r="E4762" t="str">
            <v>عثمان امین</v>
          </cell>
        </row>
        <row r="4763">
          <cell r="A4763" t="str">
            <v>1475 F</v>
          </cell>
          <cell r="B4763"/>
          <cell r="C4763">
            <v>45782</v>
          </cell>
          <cell r="D4763" t="str">
            <v>فینا</v>
          </cell>
          <cell r="E4763" t="str">
            <v>عثمان امین</v>
          </cell>
        </row>
        <row r="4764">
          <cell r="A4764" t="str">
            <v>1476 F</v>
          </cell>
          <cell r="B4764"/>
          <cell r="C4764">
            <v>45783</v>
          </cell>
          <cell r="D4764" t="str">
            <v>فینا</v>
          </cell>
          <cell r="E4764" t="str">
            <v>عثمان امین</v>
          </cell>
        </row>
        <row r="4765">
          <cell r="A4765" t="str">
            <v>1477 F</v>
          </cell>
          <cell r="B4765"/>
          <cell r="C4765">
            <v>45783</v>
          </cell>
          <cell r="D4765" t="str">
            <v>فینا</v>
          </cell>
          <cell r="E4765" t="str">
            <v>عثمان امین</v>
          </cell>
        </row>
        <row r="4766">
          <cell r="A4766" t="str">
            <v>1478 F</v>
          </cell>
          <cell r="B4766"/>
          <cell r="C4766">
            <v>45783</v>
          </cell>
          <cell r="D4766" t="str">
            <v>فینا</v>
          </cell>
          <cell r="E4766" t="str">
            <v>عثمان امین</v>
          </cell>
        </row>
        <row r="4767">
          <cell r="A4767" t="str">
            <v>1479 F</v>
          </cell>
          <cell r="B4767"/>
          <cell r="C4767">
            <v>45783</v>
          </cell>
          <cell r="D4767" t="str">
            <v>فینا</v>
          </cell>
          <cell r="E4767" t="str">
            <v>عثمان امین</v>
          </cell>
        </row>
        <row r="4768">
          <cell r="A4768" t="str">
            <v>6833/1</v>
          </cell>
          <cell r="B4768">
            <v>6835</v>
          </cell>
          <cell r="C4768">
            <v>45779</v>
          </cell>
          <cell r="D4768" t="str">
            <v>یونس صاحب</v>
          </cell>
          <cell r="E4768" t="str">
            <v>اسد بلال بہاولپور</v>
          </cell>
        </row>
        <row r="4769">
          <cell r="A4769" t="str">
            <v>6833/2</v>
          </cell>
          <cell r="B4769">
            <v>6835</v>
          </cell>
          <cell r="C4769">
            <v>45779</v>
          </cell>
          <cell r="D4769" t="str">
            <v>یونس صاحب</v>
          </cell>
          <cell r="E4769" t="str">
            <v>اسد بلال بہاولپور</v>
          </cell>
        </row>
        <row r="4770">
          <cell r="A4770" t="str">
            <v>6833/3</v>
          </cell>
          <cell r="B4770">
            <v>6835</v>
          </cell>
          <cell r="C4770">
            <v>45779</v>
          </cell>
          <cell r="D4770" t="str">
            <v>یونس صاحب</v>
          </cell>
          <cell r="E4770" t="str">
            <v>اسد بلال بہاولپور</v>
          </cell>
        </row>
        <row r="4771">
          <cell r="A4771" t="str">
            <v>6833/4</v>
          </cell>
          <cell r="B4771">
            <v>6835</v>
          </cell>
          <cell r="C4771">
            <v>45779</v>
          </cell>
          <cell r="D4771" t="str">
            <v>یونس صاحب</v>
          </cell>
          <cell r="E4771" t="str">
            <v>اسد بلال بہاولپور</v>
          </cell>
        </row>
        <row r="4772">
          <cell r="A4772" t="str">
            <v>6833/5</v>
          </cell>
          <cell r="B4772">
            <v>6835</v>
          </cell>
          <cell r="C4772">
            <v>45779</v>
          </cell>
          <cell r="D4772" t="str">
            <v>یونس صاحب</v>
          </cell>
          <cell r="E4772" t="str">
            <v>اسد بلال بہاولپور</v>
          </cell>
        </row>
        <row r="4773">
          <cell r="A4773" t="str">
            <v>6833/6</v>
          </cell>
          <cell r="B4773">
            <v>6835</v>
          </cell>
          <cell r="C4773">
            <v>45779</v>
          </cell>
          <cell r="D4773" t="str">
            <v>یونس صاحب</v>
          </cell>
          <cell r="E4773" t="str">
            <v>اسد بلال بہاولپور</v>
          </cell>
        </row>
        <row r="4774">
          <cell r="A4774" t="str">
            <v>6833/7</v>
          </cell>
          <cell r="B4774">
            <v>6835</v>
          </cell>
          <cell r="C4774">
            <v>45779</v>
          </cell>
          <cell r="D4774" t="str">
            <v>یونس صاحب</v>
          </cell>
          <cell r="E4774" t="str">
            <v>اسد بلال بہاولپور</v>
          </cell>
        </row>
        <row r="4775">
          <cell r="A4775" t="str">
            <v>6833/8</v>
          </cell>
          <cell r="B4775">
            <v>6835</v>
          </cell>
          <cell r="C4775">
            <v>45779</v>
          </cell>
          <cell r="D4775" t="str">
            <v>یونس صاحب</v>
          </cell>
          <cell r="E4775" t="str">
            <v>اسد بلال بہاولپور</v>
          </cell>
        </row>
        <row r="4776">
          <cell r="A4776" t="str">
            <v>6833/9</v>
          </cell>
          <cell r="B4776">
            <v>6835</v>
          </cell>
          <cell r="C4776">
            <v>45779</v>
          </cell>
          <cell r="D4776" t="str">
            <v>یونس صاحب</v>
          </cell>
          <cell r="E4776" t="str">
            <v>اسد بلال بہاولپور</v>
          </cell>
        </row>
        <row r="4777">
          <cell r="A4777" t="str">
            <v>6833/10</v>
          </cell>
          <cell r="B4777">
            <v>6835</v>
          </cell>
          <cell r="C4777">
            <v>45779</v>
          </cell>
          <cell r="D4777" t="str">
            <v>یونس صاحب</v>
          </cell>
          <cell r="E4777" t="str">
            <v>اسد بلال بہاولپور</v>
          </cell>
        </row>
        <row r="4778">
          <cell r="A4778" t="str">
            <v>6833/11</v>
          </cell>
          <cell r="B4778">
            <v>6835</v>
          </cell>
          <cell r="C4778">
            <v>45779</v>
          </cell>
          <cell r="D4778" t="str">
            <v>یونس صاحب</v>
          </cell>
          <cell r="E4778" t="str">
            <v>اسد بلال بہاولپور</v>
          </cell>
        </row>
        <row r="4779">
          <cell r="A4779" t="str">
            <v>6833/12</v>
          </cell>
          <cell r="B4779">
            <v>6835</v>
          </cell>
          <cell r="C4779">
            <v>45779</v>
          </cell>
          <cell r="D4779" t="str">
            <v>یونس صاحب</v>
          </cell>
          <cell r="E4779" t="str">
            <v>اسد بلال بہاولپور</v>
          </cell>
        </row>
        <row r="4780">
          <cell r="A4780" t="str">
            <v>6833/13</v>
          </cell>
          <cell r="B4780">
            <v>6835</v>
          </cell>
          <cell r="C4780">
            <v>45779</v>
          </cell>
          <cell r="D4780" t="str">
            <v>یونس صاحب</v>
          </cell>
          <cell r="E4780" t="str">
            <v>اسد بلال بہاولپور</v>
          </cell>
        </row>
        <row r="4781">
          <cell r="A4781" t="str">
            <v>6833/14</v>
          </cell>
          <cell r="B4781">
            <v>6835</v>
          </cell>
          <cell r="C4781">
            <v>45779</v>
          </cell>
          <cell r="D4781" t="str">
            <v>یونس صاحب</v>
          </cell>
          <cell r="E4781" t="str">
            <v>اسد بلال بہاولپور</v>
          </cell>
        </row>
        <row r="4782">
          <cell r="A4782" t="str">
            <v>6833/15</v>
          </cell>
          <cell r="B4782">
            <v>6835</v>
          </cell>
          <cell r="C4782">
            <v>45779</v>
          </cell>
          <cell r="D4782" t="str">
            <v>یونس صاحب</v>
          </cell>
          <cell r="E4782" t="str">
            <v>اسد بلال بہاولپور</v>
          </cell>
        </row>
        <row r="4783">
          <cell r="A4783" t="str">
            <v>6833/16</v>
          </cell>
          <cell r="B4783">
            <v>6835</v>
          </cell>
          <cell r="C4783">
            <v>45779</v>
          </cell>
          <cell r="D4783" t="str">
            <v>یونس صاحب</v>
          </cell>
          <cell r="E4783" t="str">
            <v>اسد بلال بہاولپور</v>
          </cell>
        </row>
        <row r="4784">
          <cell r="A4784" t="str">
            <v>6833/17</v>
          </cell>
          <cell r="B4784">
            <v>6835</v>
          </cell>
          <cell r="C4784">
            <v>45779</v>
          </cell>
          <cell r="D4784" t="str">
            <v>یونس صاحب</v>
          </cell>
          <cell r="E4784" t="str">
            <v>اسد بلال بہاولپور</v>
          </cell>
        </row>
        <row r="4785">
          <cell r="A4785" t="str">
            <v>6833/18</v>
          </cell>
          <cell r="B4785">
            <v>6835</v>
          </cell>
          <cell r="C4785">
            <v>45779</v>
          </cell>
          <cell r="D4785" t="str">
            <v>یونس صاحب</v>
          </cell>
          <cell r="E4785" t="str">
            <v>اسد بلال بہاولپور</v>
          </cell>
        </row>
        <row r="4786">
          <cell r="A4786" t="str">
            <v>6833/19</v>
          </cell>
          <cell r="B4786">
            <v>6835</v>
          </cell>
          <cell r="C4786">
            <v>45779</v>
          </cell>
          <cell r="D4786" t="str">
            <v>یونس صاحب</v>
          </cell>
          <cell r="E4786" t="str">
            <v>اسد بلال بہاولپور</v>
          </cell>
        </row>
        <row r="4787">
          <cell r="A4787" t="str">
            <v>6833/20</v>
          </cell>
          <cell r="B4787">
            <v>6835</v>
          </cell>
          <cell r="C4787">
            <v>45779</v>
          </cell>
          <cell r="D4787" t="str">
            <v>یونس صاحب</v>
          </cell>
          <cell r="E4787" t="str">
            <v>اسد بلال بہاولپور</v>
          </cell>
        </row>
        <row r="4788">
          <cell r="A4788" t="str">
            <v>6833/21</v>
          </cell>
          <cell r="B4788">
            <v>6835</v>
          </cell>
          <cell r="C4788">
            <v>45779</v>
          </cell>
          <cell r="D4788" t="str">
            <v>یونس صاحب</v>
          </cell>
          <cell r="E4788" t="str">
            <v>اسد بلال بہاولپور</v>
          </cell>
        </row>
        <row r="4789">
          <cell r="A4789" t="str">
            <v>6833/22</v>
          </cell>
          <cell r="B4789">
            <v>6835</v>
          </cell>
          <cell r="C4789">
            <v>45779</v>
          </cell>
          <cell r="D4789" t="str">
            <v>یونس صاحب</v>
          </cell>
          <cell r="E4789" t="str">
            <v>اسد بلال بہاولپور</v>
          </cell>
        </row>
        <row r="4790">
          <cell r="A4790" t="str">
            <v>6833/23</v>
          </cell>
          <cell r="B4790">
            <v>6835</v>
          </cell>
          <cell r="C4790">
            <v>45779</v>
          </cell>
          <cell r="D4790" t="str">
            <v>یونس صاحب</v>
          </cell>
          <cell r="E4790" t="str">
            <v>اسد بلال بہاولپور</v>
          </cell>
        </row>
        <row r="4791">
          <cell r="A4791" t="str">
            <v>6833/24</v>
          </cell>
          <cell r="B4791">
            <v>6835</v>
          </cell>
          <cell r="C4791">
            <v>45779</v>
          </cell>
          <cell r="D4791" t="str">
            <v>یونس صاحب</v>
          </cell>
          <cell r="E4791" t="str">
            <v>اسد بلال بہاولپور</v>
          </cell>
        </row>
        <row r="4792">
          <cell r="A4792" t="str">
            <v>6833/25</v>
          </cell>
          <cell r="B4792">
            <v>6835</v>
          </cell>
          <cell r="C4792">
            <v>45779</v>
          </cell>
          <cell r="D4792" t="str">
            <v>یونس صاحب</v>
          </cell>
          <cell r="E4792" t="str">
            <v>اسد بلال بہاولپور</v>
          </cell>
        </row>
        <row r="4793">
          <cell r="A4793" t="str">
            <v>6833/26</v>
          </cell>
          <cell r="B4793">
            <v>6835</v>
          </cell>
          <cell r="C4793">
            <v>45779</v>
          </cell>
          <cell r="D4793" t="str">
            <v>یونس صاحب</v>
          </cell>
          <cell r="E4793" t="str">
            <v>اسد بلال بہاولپور</v>
          </cell>
        </row>
        <row r="4794">
          <cell r="A4794" t="str">
            <v>6833/27</v>
          </cell>
          <cell r="B4794">
            <v>6835</v>
          </cell>
          <cell r="C4794">
            <v>45779</v>
          </cell>
          <cell r="D4794" t="str">
            <v>یونس صاحب</v>
          </cell>
          <cell r="E4794" t="str">
            <v>اسد بلال بہاولپور</v>
          </cell>
        </row>
        <row r="4795">
          <cell r="A4795" t="str">
            <v>6833/28</v>
          </cell>
          <cell r="B4795">
            <v>6835</v>
          </cell>
          <cell r="C4795">
            <v>45779</v>
          </cell>
          <cell r="D4795" t="str">
            <v>یونس صاحب</v>
          </cell>
          <cell r="E4795" t="str">
            <v>اسد بلال بہاولپور</v>
          </cell>
        </row>
        <row r="4796">
          <cell r="A4796" t="str">
            <v>6833/29</v>
          </cell>
          <cell r="B4796">
            <v>6835</v>
          </cell>
          <cell r="C4796">
            <v>45779</v>
          </cell>
          <cell r="D4796" t="str">
            <v>یونس صاحب</v>
          </cell>
          <cell r="E4796" t="str">
            <v>اسد بلال بہاولپور</v>
          </cell>
        </row>
        <row r="4797">
          <cell r="A4797" t="str">
            <v>6833/30</v>
          </cell>
          <cell r="B4797">
            <v>6835</v>
          </cell>
          <cell r="C4797">
            <v>45779</v>
          </cell>
          <cell r="D4797" t="str">
            <v>یونس صاحب</v>
          </cell>
          <cell r="E4797" t="str">
            <v>اسد بلال بہاولپور</v>
          </cell>
        </row>
        <row r="4798">
          <cell r="A4798" t="str">
            <v>6833/31</v>
          </cell>
          <cell r="B4798">
            <v>6835</v>
          </cell>
          <cell r="C4798">
            <v>45779</v>
          </cell>
          <cell r="D4798" t="str">
            <v>یونس صاحب</v>
          </cell>
          <cell r="E4798" t="str">
            <v>اسد بلال بہاولپور</v>
          </cell>
        </row>
        <row r="4799">
          <cell r="A4799" t="str">
            <v>6833/32</v>
          </cell>
          <cell r="B4799">
            <v>6835</v>
          </cell>
          <cell r="C4799">
            <v>45779</v>
          </cell>
          <cell r="D4799" t="str">
            <v>یونس صاحب</v>
          </cell>
          <cell r="E4799" t="str">
            <v>اسد بلال بہاولپور</v>
          </cell>
        </row>
        <row r="4800">
          <cell r="A4800" t="str">
            <v>6833/33</v>
          </cell>
          <cell r="B4800">
            <v>6835</v>
          </cell>
          <cell r="C4800">
            <v>45779</v>
          </cell>
          <cell r="D4800" t="str">
            <v>یونس صاحب</v>
          </cell>
          <cell r="E4800" t="str">
            <v>اسد بلال بہاولپور</v>
          </cell>
        </row>
        <row r="4801">
          <cell r="A4801" t="str">
            <v>6833/34</v>
          </cell>
          <cell r="B4801">
            <v>6835</v>
          </cell>
          <cell r="C4801">
            <v>45779</v>
          </cell>
          <cell r="D4801" t="str">
            <v>یونس صاحب</v>
          </cell>
          <cell r="E4801" t="str">
            <v>اسد بلال بہاولپور</v>
          </cell>
        </row>
        <row r="4802">
          <cell r="A4802" t="str">
            <v>6833/35</v>
          </cell>
          <cell r="B4802">
            <v>6835</v>
          </cell>
          <cell r="C4802">
            <v>45779</v>
          </cell>
          <cell r="D4802" t="str">
            <v>یونس صاحب</v>
          </cell>
          <cell r="E4802" t="str">
            <v>اسد بلال بہاولپور</v>
          </cell>
        </row>
        <row r="4803">
          <cell r="A4803" t="str">
            <v>6833/1</v>
          </cell>
          <cell r="B4803">
            <v>6833</v>
          </cell>
          <cell r="C4803">
            <v>45779</v>
          </cell>
          <cell r="D4803" t="str">
            <v>یونس صاحب</v>
          </cell>
          <cell r="E4803" t="str">
            <v>فقیر پلاسٹک عارف والا</v>
          </cell>
        </row>
        <row r="4804">
          <cell r="A4804" t="str">
            <v>6834/1</v>
          </cell>
          <cell r="B4804">
            <v>6834</v>
          </cell>
          <cell r="C4804">
            <v>45779</v>
          </cell>
          <cell r="D4804" t="str">
            <v>یونس صاحب</v>
          </cell>
          <cell r="E4804" t="str">
            <v>رفیق پلاسٹک اوکا رہ</v>
          </cell>
        </row>
        <row r="4805">
          <cell r="A4805" t="str">
            <v>6834/2</v>
          </cell>
          <cell r="B4805">
            <v>6834</v>
          </cell>
          <cell r="C4805">
            <v>45779</v>
          </cell>
          <cell r="D4805" t="str">
            <v>یونس صاحب</v>
          </cell>
          <cell r="E4805" t="str">
            <v>رفیق پلاسٹک اوکا رہ</v>
          </cell>
        </row>
        <row r="4806">
          <cell r="A4806" t="str">
            <v>6834/3</v>
          </cell>
          <cell r="B4806">
            <v>6834</v>
          </cell>
          <cell r="C4806">
            <v>45779</v>
          </cell>
          <cell r="D4806" t="str">
            <v>یونس صاحب</v>
          </cell>
          <cell r="E4806" t="str">
            <v>رفیق پلاسٹک اوکا رہ</v>
          </cell>
        </row>
        <row r="4807">
          <cell r="A4807" t="str">
            <v>6834/4</v>
          </cell>
          <cell r="B4807">
            <v>6834</v>
          </cell>
          <cell r="C4807">
            <v>45779</v>
          </cell>
          <cell r="D4807" t="str">
            <v>یونس صاحب</v>
          </cell>
          <cell r="E4807" t="str">
            <v>رفیق پلاسٹک اوکا رہ</v>
          </cell>
        </row>
        <row r="4808">
          <cell r="A4808" t="str">
            <v>6834/5</v>
          </cell>
          <cell r="B4808">
            <v>6834</v>
          </cell>
          <cell r="C4808">
            <v>45779</v>
          </cell>
          <cell r="D4808" t="str">
            <v>یونس صاحب</v>
          </cell>
          <cell r="E4808" t="str">
            <v>رفیق پلاسٹک اوکا رہ</v>
          </cell>
        </row>
        <row r="4809">
          <cell r="A4809" t="str">
            <v>6836/1</v>
          </cell>
          <cell r="B4809">
            <v>6836</v>
          </cell>
          <cell r="C4809">
            <v>45779</v>
          </cell>
          <cell r="D4809" t="str">
            <v>یونس صاحب</v>
          </cell>
          <cell r="E4809" t="str">
            <v>ایم عاصم عطاری</v>
          </cell>
        </row>
        <row r="4810">
          <cell r="A4810" t="str">
            <v>6737/1</v>
          </cell>
          <cell r="B4810">
            <v>6837</v>
          </cell>
          <cell r="C4810">
            <v>45779</v>
          </cell>
          <cell r="D4810" t="str">
            <v>یونس صاحب</v>
          </cell>
          <cell r="E4810" t="str">
            <v>اتحاد پلاسٹک سیالکو ٹ</v>
          </cell>
        </row>
        <row r="4811">
          <cell r="A4811" t="str">
            <v>6737/2</v>
          </cell>
          <cell r="B4811">
            <v>6837</v>
          </cell>
          <cell r="C4811">
            <v>45779</v>
          </cell>
          <cell r="D4811" t="str">
            <v>یونس صاحب</v>
          </cell>
          <cell r="E4811" t="str">
            <v>اتحاد پلاسٹک سیالکو ٹ</v>
          </cell>
        </row>
        <row r="4812">
          <cell r="A4812" t="str">
            <v>6838/1</v>
          </cell>
          <cell r="B4812">
            <v>6838</v>
          </cell>
          <cell r="C4812">
            <v>45779</v>
          </cell>
          <cell r="D4812" t="str">
            <v>یونس صاحب</v>
          </cell>
          <cell r="E4812" t="str">
            <v>ڈوالقرنین P کامونکی</v>
          </cell>
        </row>
        <row r="4813">
          <cell r="A4813" t="str">
            <v>6838/2</v>
          </cell>
          <cell r="B4813">
            <v>6838</v>
          </cell>
          <cell r="C4813">
            <v>45779</v>
          </cell>
          <cell r="D4813" t="str">
            <v>یونس صاحب</v>
          </cell>
          <cell r="E4813" t="str">
            <v>ڈوالقرنین P کامونکی</v>
          </cell>
        </row>
        <row r="4814">
          <cell r="A4814" t="str">
            <v>6839/1</v>
          </cell>
          <cell r="B4814">
            <v>6839</v>
          </cell>
          <cell r="C4814">
            <v>45779</v>
          </cell>
          <cell r="D4814" t="str">
            <v>یونس صاحب</v>
          </cell>
          <cell r="E4814" t="str">
            <v>مھبوب مقبول گجرانوالہ</v>
          </cell>
        </row>
        <row r="4815">
          <cell r="A4815" t="str">
            <v>6839/2</v>
          </cell>
          <cell r="B4815">
            <v>6839</v>
          </cell>
          <cell r="C4815">
            <v>45779</v>
          </cell>
          <cell r="D4815" t="str">
            <v>یونس صاحب</v>
          </cell>
          <cell r="E4815" t="str">
            <v>مھبوب مقبول گجرانوالہ</v>
          </cell>
        </row>
        <row r="4816">
          <cell r="A4816" t="str">
            <v>6839/3</v>
          </cell>
          <cell r="B4816">
            <v>6839</v>
          </cell>
          <cell r="C4816">
            <v>45779</v>
          </cell>
          <cell r="D4816" t="str">
            <v>یونس صاحب</v>
          </cell>
          <cell r="E4816" t="str">
            <v>مھبوب مقبول گجرانوالہ</v>
          </cell>
        </row>
        <row r="4817">
          <cell r="A4817" t="str">
            <v>6839/4</v>
          </cell>
          <cell r="B4817">
            <v>6839</v>
          </cell>
          <cell r="C4817">
            <v>45779</v>
          </cell>
          <cell r="D4817" t="str">
            <v>یونس صاحب</v>
          </cell>
          <cell r="E4817" t="str">
            <v>مھبوب مقبول گجرانوالہ</v>
          </cell>
        </row>
        <row r="4818">
          <cell r="A4818" t="str">
            <v>6840/1</v>
          </cell>
          <cell r="B4818">
            <v>6840</v>
          </cell>
          <cell r="C4818">
            <v>45780</v>
          </cell>
          <cell r="D4818" t="str">
            <v>یونس صاحب</v>
          </cell>
          <cell r="E4818" t="str">
            <v>العمر پلاسٹک گوجرانوالہ</v>
          </cell>
        </row>
        <row r="4819">
          <cell r="A4819" t="str">
            <v>6841/1</v>
          </cell>
          <cell r="B4819">
            <v>6841</v>
          </cell>
          <cell r="C4819">
            <v>45780</v>
          </cell>
          <cell r="D4819" t="str">
            <v>یونس صاحب</v>
          </cell>
          <cell r="E4819" t="str">
            <v>عثمان امین لاہور</v>
          </cell>
        </row>
        <row r="4820">
          <cell r="A4820" t="str">
            <v>6841/2</v>
          </cell>
          <cell r="B4820">
            <v>6841</v>
          </cell>
          <cell r="C4820">
            <v>45780</v>
          </cell>
          <cell r="D4820" t="str">
            <v>یونس صاحب</v>
          </cell>
          <cell r="E4820" t="str">
            <v>عثمان امین لاہور</v>
          </cell>
        </row>
        <row r="4821">
          <cell r="A4821" t="str">
            <v>6842/1</v>
          </cell>
          <cell r="B4821">
            <v>6842</v>
          </cell>
          <cell r="C4821">
            <v>45780</v>
          </cell>
          <cell r="D4821" t="str">
            <v>یونس صاحب</v>
          </cell>
          <cell r="E4821" t="str">
            <v>طارق مھبوب چکوال</v>
          </cell>
        </row>
        <row r="4822">
          <cell r="A4822" t="str">
            <v>6743/1</v>
          </cell>
          <cell r="B4822">
            <v>6843</v>
          </cell>
          <cell r="C4822">
            <v>45780</v>
          </cell>
          <cell r="D4822" t="str">
            <v>یونس صاحب</v>
          </cell>
          <cell r="E4822" t="str">
            <v>مھبوب لفافہ بری پور</v>
          </cell>
        </row>
        <row r="4823">
          <cell r="A4823" t="str">
            <v>6743/2</v>
          </cell>
          <cell r="B4823">
            <v>6843</v>
          </cell>
          <cell r="C4823">
            <v>45780</v>
          </cell>
          <cell r="D4823" t="str">
            <v>یونس صاحب</v>
          </cell>
          <cell r="E4823" t="str">
            <v>مھبوب لفافہ بری پور</v>
          </cell>
        </row>
        <row r="4824">
          <cell r="A4824" t="str">
            <v>6844/1</v>
          </cell>
          <cell r="B4824">
            <v>6844</v>
          </cell>
          <cell r="C4824">
            <v>45780</v>
          </cell>
          <cell r="D4824" t="str">
            <v>یونس صاحب</v>
          </cell>
          <cell r="E4824" t="str">
            <v>خرم پلاسٹک لالہ موسہ</v>
          </cell>
        </row>
        <row r="4825">
          <cell r="A4825" t="str">
            <v>6844/2</v>
          </cell>
          <cell r="B4825">
            <v>6844</v>
          </cell>
          <cell r="C4825">
            <v>45780</v>
          </cell>
          <cell r="D4825" t="str">
            <v>یونس صاحب</v>
          </cell>
          <cell r="E4825" t="str">
            <v>خرم پلاسٹک لالہ موسہ</v>
          </cell>
        </row>
        <row r="4826">
          <cell r="A4826" t="str">
            <v>6844/3</v>
          </cell>
          <cell r="B4826">
            <v>6844</v>
          </cell>
          <cell r="C4826">
            <v>45780</v>
          </cell>
          <cell r="D4826" t="str">
            <v>یونس صاحب</v>
          </cell>
          <cell r="E4826" t="str">
            <v>خرم پلاسٹک لالہ موسہ</v>
          </cell>
        </row>
        <row r="4827">
          <cell r="A4827" t="str">
            <v>6844/4</v>
          </cell>
          <cell r="B4827">
            <v>6844</v>
          </cell>
          <cell r="C4827">
            <v>45780</v>
          </cell>
          <cell r="D4827" t="str">
            <v>یونس صاحب</v>
          </cell>
          <cell r="E4827" t="str">
            <v>خرم پلاسٹک لالہ موسہ</v>
          </cell>
        </row>
        <row r="4828">
          <cell r="A4828" t="str">
            <v>6844/5</v>
          </cell>
          <cell r="B4828">
            <v>6844</v>
          </cell>
          <cell r="C4828">
            <v>45780</v>
          </cell>
          <cell r="D4828" t="str">
            <v>یونس صاحب</v>
          </cell>
          <cell r="E4828" t="str">
            <v>خرم پلاسٹک لالہ موسہ</v>
          </cell>
        </row>
        <row r="4829">
          <cell r="A4829" t="str">
            <v>6844/6</v>
          </cell>
          <cell r="B4829">
            <v>6844</v>
          </cell>
          <cell r="C4829">
            <v>45780</v>
          </cell>
          <cell r="D4829" t="str">
            <v>یونس صاحب</v>
          </cell>
          <cell r="E4829" t="str">
            <v>خرم پلاسٹک لالہ موسہ</v>
          </cell>
        </row>
        <row r="4830">
          <cell r="A4830" t="str">
            <v>6844/7</v>
          </cell>
          <cell r="B4830">
            <v>6844</v>
          </cell>
          <cell r="C4830">
            <v>45780</v>
          </cell>
          <cell r="D4830" t="str">
            <v>یونس صاحب</v>
          </cell>
          <cell r="E4830" t="str">
            <v>خرم پلاسٹک لالہ موسہ</v>
          </cell>
        </row>
        <row r="4831">
          <cell r="A4831" t="str">
            <v>6844/8</v>
          </cell>
          <cell r="B4831">
            <v>6844</v>
          </cell>
          <cell r="C4831">
            <v>45780</v>
          </cell>
          <cell r="D4831" t="str">
            <v>یونس صاحب</v>
          </cell>
          <cell r="E4831" t="str">
            <v>خرم پلاسٹک لالہ موسہ</v>
          </cell>
        </row>
        <row r="4832">
          <cell r="A4832" t="str">
            <v>6844/9</v>
          </cell>
          <cell r="B4832">
            <v>6844</v>
          </cell>
          <cell r="C4832">
            <v>45780</v>
          </cell>
          <cell r="D4832" t="str">
            <v>یونس صاحب</v>
          </cell>
          <cell r="E4832" t="str">
            <v>خرم پلاسٹک لالہ موسہ</v>
          </cell>
        </row>
        <row r="4833">
          <cell r="A4833" t="str">
            <v>6844/10</v>
          </cell>
          <cell r="B4833">
            <v>6844</v>
          </cell>
          <cell r="C4833">
            <v>45780</v>
          </cell>
          <cell r="D4833" t="str">
            <v>یونس صاحب</v>
          </cell>
          <cell r="E4833" t="str">
            <v>خرم پلاسٹک لالہ موسہ</v>
          </cell>
        </row>
        <row r="4834">
          <cell r="A4834" t="str">
            <v>6845/1</v>
          </cell>
          <cell r="B4834">
            <v>6845</v>
          </cell>
          <cell r="C4834">
            <v>45780</v>
          </cell>
          <cell r="D4834" t="str">
            <v>یونس صاحب</v>
          </cell>
          <cell r="E4834" t="str">
            <v>-</v>
          </cell>
        </row>
        <row r="4835">
          <cell r="A4835" t="str">
            <v>6846/1</v>
          </cell>
          <cell r="B4835">
            <v>6846</v>
          </cell>
          <cell r="C4835">
            <v>45783</v>
          </cell>
          <cell r="D4835" t="str">
            <v>یونس صاحب</v>
          </cell>
          <cell r="E4835" t="str">
            <v>عثمان امین لاہور</v>
          </cell>
        </row>
        <row r="4836">
          <cell r="A4836" t="str">
            <v>6846/2</v>
          </cell>
          <cell r="B4836">
            <v>6846</v>
          </cell>
          <cell r="C4836">
            <v>45783</v>
          </cell>
          <cell r="D4836" t="str">
            <v>یونس صاحب</v>
          </cell>
          <cell r="E4836" t="str">
            <v>عثمان امین لاہور</v>
          </cell>
        </row>
        <row r="4837">
          <cell r="A4837" t="str">
            <v>6846/3</v>
          </cell>
          <cell r="B4837">
            <v>6846</v>
          </cell>
          <cell r="C4837">
            <v>45783</v>
          </cell>
          <cell r="D4837" t="str">
            <v>یونس صاحب</v>
          </cell>
          <cell r="E4837" t="str">
            <v>عثمان امین لاہور</v>
          </cell>
        </row>
        <row r="4838">
          <cell r="A4838" t="str">
            <v>6846/4</v>
          </cell>
          <cell r="B4838">
            <v>6846</v>
          </cell>
          <cell r="C4838">
            <v>45783</v>
          </cell>
          <cell r="D4838" t="str">
            <v>یونس صاحب</v>
          </cell>
          <cell r="E4838" t="str">
            <v>عثمان امین لاہور</v>
          </cell>
        </row>
        <row r="4839">
          <cell r="A4839" t="str">
            <v>6846/5</v>
          </cell>
          <cell r="B4839">
            <v>6846</v>
          </cell>
          <cell r="C4839">
            <v>45783</v>
          </cell>
          <cell r="D4839" t="str">
            <v>یونس صاحب</v>
          </cell>
          <cell r="E4839" t="str">
            <v>عثمان امین لاہور</v>
          </cell>
        </row>
        <row r="4840">
          <cell r="A4840">
            <v>2745</v>
          </cell>
          <cell r="B4840"/>
          <cell r="C4840">
            <v>45786</v>
          </cell>
          <cell r="D4840" t="str">
            <v>JILANI</v>
          </cell>
          <cell r="E4840" t="str">
            <v>HONDA ATLAS (CARS) LTD</v>
          </cell>
        </row>
        <row r="4841">
          <cell r="A4841">
            <v>2746</v>
          </cell>
          <cell r="B4841"/>
          <cell r="C4841">
            <v>45786</v>
          </cell>
          <cell r="D4841" t="str">
            <v>JILANI</v>
          </cell>
          <cell r="E4841" t="str">
            <v>HONDA ATLAS (CARS) LTD</v>
          </cell>
        </row>
        <row r="4842">
          <cell r="A4842">
            <v>2747</v>
          </cell>
          <cell r="B4842"/>
          <cell r="C4842">
            <v>45786</v>
          </cell>
          <cell r="D4842" t="str">
            <v>JILANI</v>
          </cell>
          <cell r="E4842" t="str">
            <v>HONDA ATLAS (CARS) LTD</v>
          </cell>
        </row>
        <row r="4843">
          <cell r="A4843" t="str">
            <v>2159 J</v>
          </cell>
          <cell r="B4843">
            <v>12038</v>
          </cell>
          <cell r="C4843">
            <v>45783</v>
          </cell>
          <cell r="D4843" t="str">
            <v>JILANI</v>
          </cell>
          <cell r="E4843" t="str">
            <v>کیکس اینڈ بیکس لاہور</v>
          </cell>
        </row>
        <row r="4844">
          <cell r="A4844" t="str">
            <v>2160 J</v>
          </cell>
          <cell r="B4844">
            <v>12038</v>
          </cell>
          <cell r="C4844">
            <v>45783</v>
          </cell>
          <cell r="D4844" t="str">
            <v>JILANI</v>
          </cell>
          <cell r="E4844" t="str">
            <v>کیکس اینڈ بیکس لاہور</v>
          </cell>
        </row>
        <row r="4845">
          <cell r="A4845" t="str">
            <v>2161 J</v>
          </cell>
          <cell r="B4845">
            <v>12038</v>
          </cell>
          <cell r="C4845">
            <v>45783</v>
          </cell>
          <cell r="D4845" t="str">
            <v>JILANI</v>
          </cell>
          <cell r="E4845" t="str">
            <v>کیکس اینڈ بیکس لاہور</v>
          </cell>
        </row>
        <row r="4846">
          <cell r="A4846" t="str">
            <v>2162 J</v>
          </cell>
          <cell r="B4846">
            <v>12038</v>
          </cell>
          <cell r="C4846">
            <v>45783</v>
          </cell>
          <cell r="D4846" t="str">
            <v>JILANI</v>
          </cell>
          <cell r="E4846" t="str">
            <v>کیکس اینڈ بیکس لاہور</v>
          </cell>
        </row>
        <row r="4847">
          <cell r="A4847" t="str">
            <v>2163 J</v>
          </cell>
          <cell r="B4847">
            <v>12038</v>
          </cell>
          <cell r="C4847">
            <v>45783</v>
          </cell>
          <cell r="D4847" t="str">
            <v>JILANI</v>
          </cell>
          <cell r="E4847" t="str">
            <v>کیکس اینڈ بیکس لاہور</v>
          </cell>
        </row>
        <row r="4848">
          <cell r="A4848" t="str">
            <v>2164 J</v>
          </cell>
          <cell r="B4848">
            <v>12039</v>
          </cell>
          <cell r="C4848">
            <v>45783</v>
          </cell>
          <cell r="D4848" t="str">
            <v>JILANI</v>
          </cell>
          <cell r="E4848" t="str">
            <v>کیکس اینڈ بیکس لاہور</v>
          </cell>
        </row>
        <row r="4849">
          <cell r="A4849" t="str">
            <v>2165 J</v>
          </cell>
          <cell r="B4849">
            <v>12040</v>
          </cell>
          <cell r="C4849">
            <v>45783</v>
          </cell>
          <cell r="D4849" t="str">
            <v>JILANI</v>
          </cell>
          <cell r="E4849" t="str">
            <v>زیفیر ٹیکسٹائلز لمٹیڈ</v>
          </cell>
        </row>
        <row r="4850">
          <cell r="A4850" t="str">
            <v>2166 J</v>
          </cell>
          <cell r="B4850">
            <v>12041</v>
          </cell>
          <cell r="C4850">
            <v>45783</v>
          </cell>
          <cell r="D4850" t="str">
            <v>JILANI</v>
          </cell>
          <cell r="E4850" t="str">
            <v>عالم بیکرز شاہدرہ</v>
          </cell>
        </row>
        <row r="4851">
          <cell r="A4851" t="str">
            <v>2167 J</v>
          </cell>
          <cell r="B4851">
            <v>12042</v>
          </cell>
          <cell r="C4851">
            <v>45783</v>
          </cell>
          <cell r="D4851" t="str">
            <v>JILANI</v>
          </cell>
          <cell r="E4851" t="str">
            <v>عالم بیکرز شاہدرہ</v>
          </cell>
        </row>
        <row r="4852">
          <cell r="A4852" t="str">
            <v>2168 J</v>
          </cell>
          <cell r="B4852">
            <v>12042</v>
          </cell>
          <cell r="C4852">
            <v>45783</v>
          </cell>
          <cell r="D4852" t="str">
            <v>JILANI</v>
          </cell>
          <cell r="E4852" t="str">
            <v>عالم بیکرز شاہدرہ</v>
          </cell>
        </row>
        <row r="4853">
          <cell r="A4853" t="str">
            <v>2169 J</v>
          </cell>
          <cell r="B4853">
            <v>12043</v>
          </cell>
          <cell r="C4853">
            <v>45783</v>
          </cell>
          <cell r="D4853" t="str">
            <v>JILANI</v>
          </cell>
          <cell r="E4853" t="str">
            <v>وسیم گارمنٹس شیخوپورا</v>
          </cell>
        </row>
        <row r="4854">
          <cell r="A4854" t="str">
            <v>2170 J</v>
          </cell>
          <cell r="B4854">
            <v>12044</v>
          </cell>
          <cell r="C4854">
            <v>45783</v>
          </cell>
          <cell r="D4854" t="str">
            <v>JILANI</v>
          </cell>
          <cell r="E4854" t="str">
            <v>وسیم گارمنٹس شیخوپورہ</v>
          </cell>
        </row>
        <row r="4855">
          <cell r="A4855" t="str">
            <v>2171 J</v>
          </cell>
          <cell r="B4855">
            <v>12045</v>
          </cell>
          <cell r="C4855">
            <v>45783</v>
          </cell>
          <cell r="D4855" t="str">
            <v>JILANI</v>
          </cell>
          <cell r="E4855" t="str">
            <v>وسیم شاپر ہاؤس لاہور</v>
          </cell>
        </row>
        <row r="4856">
          <cell r="A4856" t="str">
            <v>2172 J</v>
          </cell>
          <cell r="B4856">
            <v>12045</v>
          </cell>
          <cell r="C4856">
            <v>45783</v>
          </cell>
          <cell r="D4856" t="str">
            <v>JILANI</v>
          </cell>
          <cell r="E4856" t="str">
            <v>وسیم شاپر ہاؤس لاہور</v>
          </cell>
        </row>
        <row r="4857">
          <cell r="A4857" t="str">
            <v>2173 J</v>
          </cell>
          <cell r="B4857">
            <v>12046</v>
          </cell>
          <cell r="C4857">
            <v>45783</v>
          </cell>
          <cell r="D4857" t="str">
            <v>JILANI</v>
          </cell>
          <cell r="E4857" t="str">
            <v>شیخ اصغر علی اینڈ سنز سرگودھا</v>
          </cell>
        </row>
        <row r="4858">
          <cell r="A4858" t="str">
            <v>2174 J</v>
          </cell>
          <cell r="B4858">
            <v>12047</v>
          </cell>
          <cell r="C4858">
            <v>45784</v>
          </cell>
          <cell r="D4858" t="str">
            <v xml:space="preserve">JILANI </v>
          </cell>
          <cell r="E4858" t="str">
            <v>کارس پینٹ انڈسٹری پرائیویٹ لیمیٹڈ</v>
          </cell>
        </row>
        <row r="4859">
          <cell r="A4859" t="str">
            <v>2175 J</v>
          </cell>
          <cell r="B4859">
            <v>12048</v>
          </cell>
          <cell r="C4859">
            <v>45784</v>
          </cell>
          <cell r="D4859" t="str">
            <v xml:space="preserve">JILANI </v>
          </cell>
          <cell r="E4859" t="str">
            <v>کارس پینٹ انڈسٹری پرائیویٹ لیمیٹڈ</v>
          </cell>
        </row>
        <row r="4860">
          <cell r="A4860" t="str">
            <v>2176 J</v>
          </cell>
          <cell r="B4860">
            <v>12049</v>
          </cell>
          <cell r="C4860">
            <v>45784</v>
          </cell>
          <cell r="D4860" t="str">
            <v xml:space="preserve">JILANI </v>
          </cell>
          <cell r="E4860" t="str">
            <v>شیخ اصغر گھڑی شاہو</v>
          </cell>
        </row>
        <row r="4861">
          <cell r="A4861" t="str">
            <v>2177 J</v>
          </cell>
          <cell r="B4861">
            <v>12050</v>
          </cell>
          <cell r="C4861">
            <v>45784</v>
          </cell>
          <cell r="D4861" t="str">
            <v xml:space="preserve">JILANI </v>
          </cell>
          <cell r="E4861" t="str">
            <v>عالم پرنٹرز بٹ خیلہ</v>
          </cell>
        </row>
        <row r="4862">
          <cell r="A4862" t="str">
            <v>2178 J</v>
          </cell>
          <cell r="B4862">
            <v>12050</v>
          </cell>
          <cell r="C4862">
            <v>45784</v>
          </cell>
          <cell r="D4862" t="str">
            <v xml:space="preserve">JILANI </v>
          </cell>
          <cell r="E4862" t="str">
            <v>عالم پرنٹرز بٹ خیلہ</v>
          </cell>
        </row>
        <row r="4863">
          <cell r="A4863" t="str">
            <v>2179 J</v>
          </cell>
          <cell r="B4863">
            <v>12050</v>
          </cell>
          <cell r="C4863">
            <v>45784</v>
          </cell>
          <cell r="D4863" t="str">
            <v xml:space="preserve">JILANI </v>
          </cell>
          <cell r="E4863" t="str">
            <v>عالم پرنٹرز بٹ خیلہ</v>
          </cell>
        </row>
        <row r="4864">
          <cell r="A4864" t="str">
            <v>2180 J</v>
          </cell>
          <cell r="B4864">
            <v>12050</v>
          </cell>
          <cell r="C4864">
            <v>45784</v>
          </cell>
          <cell r="D4864" t="str">
            <v xml:space="preserve">JILANI </v>
          </cell>
          <cell r="E4864" t="str">
            <v>عالم پرنٹرز بٹ خیلہ</v>
          </cell>
        </row>
        <row r="4865">
          <cell r="A4865" t="str">
            <v>2181 J</v>
          </cell>
          <cell r="B4865">
            <v>12050</v>
          </cell>
          <cell r="C4865">
            <v>45784</v>
          </cell>
          <cell r="D4865" t="str">
            <v xml:space="preserve">JILANI </v>
          </cell>
          <cell r="E4865" t="str">
            <v>عالم پرنٹرز بٹ خیلہ</v>
          </cell>
        </row>
        <row r="4866">
          <cell r="A4866" t="str">
            <v>2182 J</v>
          </cell>
          <cell r="B4866">
            <v>12051</v>
          </cell>
          <cell r="C4866">
            <v>45784</v>
          </cell>
          <cell r="D4866" t="str">
            <v xml:space="preserve">JILANI </v>
          </cell>
          <cell r="E4866" t="str">
            <v>چوہدری سویٹس سلانوالی</v>
          </cell>
        </row>
        <row r="4867">
          <cell r="A4867" t="str">
            <v>2183 J</v>
          </cell>
          <cell r="B4867">
            <v>12051</v>
          </cell>
          <cell r="C4867">
            <v>45784</v>
          </cell>
          <cell r="D4867" t="str">
            <v xml:space="preserve">JILANI </v>
          </cell>
          <cell r="E4867" t="str">
            <v>چوہدری سویٹس سلانوالی</v>
          </cell>
        </row>
        <row r="4868">
          <cell r="A4868" t="str">
            <v>2184 J</v>
          </cell>
          <cell r="B4868">
            <v>12052</v>
          </cell>
          <cell r="C4868">
            <v>45784</v>
          </cell>
          <cell r="D4868" t="str">
            <v>JILANI</v>
          </cell>
          <cell r="E4868" t="str">
            <v>اٹلس ہنڈا لمیٹڈ شیخوپورہ</v>
          </cell>
        </row>
        <row r="4869">
          <cell r="A4869" t="str">
            <v>2185 J</v>
          </cell>
          <cell r="B4869">
            <v>12053</v>
          </cell>
          <cell r="C4869">
            <v>45784</v>
          </cell>
          <cell r="D4869" t="str">
            <v>JILANI</v>
          </cell>
          <cell r="E4869" t="str">
            <v>اٹلس ہنڈا لمیٹڈ شیخوپورہ</v>
          </cell>
        </row>
        <row r="4870">
          <cell r="A4870" t="str">
            <v>2186 J</v>
          </cell>
          <cell r="B4870">
            <v>12054</v>
          </cell>
          <cell r="C4870">
            <v>45784</v>
          </cell>
          <cell r="D4870" t="str">
            <v>JILANI</v>
          </cell>
          <cell r="E4870" t="str">
            <v>اٹلس ہنڈا لمیٹڈ شیخوپورہ</v>
          </cell>
        </row>
        <row r="4871">
          <cell r="A4871" t="str">
            <v>2187 J</v>
          </cell>
          <cell r="B4871">
            <v>12055</v>
          </cell>
          <cell r="C4871">
            <v>45784</v>
          </cell>
          <cell r="D4871" t="str">
            <v>JILANI</v>
          </cell>
          <cell r="E4871" t="str">
            <v>اٹلس ہنڈا لمیٹڈ شیخوپورہ</v>
          </cell>
        </row>
        <row r="4872">
          <cell r="A4872" t="str">
            <v>2188 J</v>
          </cell>
          <cell r="B4872">
            <v>12056</v>
          </cell>
          <cell r="C4872">
            <v>45784</v>
          </cell>
          <cell r="D4872" t="str">
            <v>JILANI</v>
          </cell>
          <cell r="E4872" t="str">
            <v>اٹلس ہنڈا لمیٹڈ شیخوپورہ</v>
          </cell>
        </row>
        <row r="4873">
          <cell r="A4873" t="str">
            <v>2189 J</v>
          </cell>
          <cell r="B4873">
            <v>12057</v>
          </cell>
          <cell r="C4873">
            <v>45784</v>
          </cell>
          <cell r="D4873" t="str">
            <v>JILANI</v>
          </cell>
          <cell r="E4873" t="str">
            <v>اٹلس ہنڈا لمیٹڈ شیخوپورہ</v>
          </cell>
        </row>
        <row r="4874">
          <cell r="A4874" t="str">
            <v>2190 J</v>
          </cell>
          <cell r="B4874">
            <v>12058</v>
          </cell>
          <cell r="C4874">
            <v>45784</v>
          </cell>
          <cell r="D4874" t="str">
            <v>JILANI</v>
          </cell>
          <cell r="E4874" t="str">
            <v>اٹلس ہنڈا لمیٹڈ شیخوپورہ</v>
          </cell>
        </row>
        <row r="4875">
          <cell r="A4875" t="str">
            <v>2191 J</v>
          </cell>
          <cell r="B4875">
            <v>12059</v>
          </cell>
          <cell r="C4875">
            <v>45784</v>
          </cell>
          <cell r="D4875" t="str">
            <v>JILANI</v>
          </cell>
          <cell r="E4875" t="str">
            <v>اٹلس ہنڈا لمیٹڈ شیخوپورہ</v>
          </cell>
        </row>
        <row r="4876">
          <cell r="A4876" t="str">
            <v>2192 J</v>
          </cell>
          <cell r="B4876">
            <v>12060</v>
          </cell>
          <cell r="C4876">
            <v>45784</v>
          </cell>
          <cell r="D4876" t="str">
            <v>JILANI</v>
          </cell>
          <cell r="E4876" t="str">
            <v>اٹلس ہنڈا لمیٹڈ شیخوپورہ</v>
          </cell>
        </row>
        <row r="4877">
          <cell r="A4877" t="str">
            <v>2193 J</v>
          </cell>
          <cell r="B4877">
            <v>12061</v>
          </cell>
          <cell r="C4877">
            <v>45784</v>
          </cell>
          <cell r="D4877" t="str">
            <v>JILANI</v>
          </cell>
          <cell r="E4877" t="str">
            <v>اٹلس ہنڈا لمیٹڈ شیخوپورہ</v>
          </cell>
        </row>
        <row r="4878">
          <cell r="A4878" t="str">
            <v>2194 J</v>
          </cell>
          <cell r="B4878">
            <v>12062</v>
          </cell>
          <cell r="C4878">
            <v>45784</v>
          </cell>
          <cell r="D4878" t="str">
            <v>JILANI</v>
          </cell>
          <cell r="E4878" t="str">
            <v>اٹلس ہنڈا لمیٹڈ شیخوپورہ</v>
          </cell>
        </row>
        <row r="4879">
          <cell r="A4879" t="str">
            <v>2195 J</v>
          </cell>
          <cell r="B4879">
            <v>12063</v>
          </cell>
          <cell r="C4879">
            <v>45784</v>
          </cell>
          <cell r="D4879" t="str">
            <v>JILANI</v>
          </cell>
          <cell r="E4879" t="str">
            <v>اٹلس ہنڈا لمیٹڈ شیخوپورہ</v>
          </cell>
        </row>
        <row r="4880">
          <cell r="A4880" t="str">
            <v>2196 J</v>
          </cell>
          <cell r="B4880">
            <v>12064</v>
          </cell>
          <cell r="C4880">
            <v>45784</v>
          </cell>
          <cell r="D4880" t="str">
            <v>JILANI</v>
          </cell>
          <cell r="E4880" t="str">
            <v>اٹلس ہنڈا لمیٹڈ شیخوپورہ</v>
          </cell>
        </row>
        <row r="4881">
          <cell r="A4881" t="str">
            <v>2197 J</v>
          </cell>
          <cell r="B4881">
            <v>12065</v>
          </cell>
          <cell r="C4881">
            <v>45784</v>
          </cell>
          <cell r="D4881" t="str">
            <v>JILANI</v>
          </cell>
          <cell r="E4881" t="str">
            <v>ایکسون الیکٹر ک لاہور</v>
          </cell>
        </row>
        <row r="4882">
          <cell r="A4882" t="str">
            <v>2198 J</v>
          </cell>
          <cell r="B4882"/>
          <cell r="C4882">
            <v>45776</v>
          </cell>
          <cell r="D4882" t="str">
            <v>JILANI</v>
          </cell>
          <cell r="E4882" t="str">
            <v>جیلانی پولی سٹاک</v>
          </cell>
        </row>
        <row r="4883">
          <cell r="A4883" t="str">
            <v>2199 J</v>
          </cell>
          <cell r="B4883">
            <v>12066</v>
          </cell>
          <cell r="C4883">
            <v>45784</v>
          </cell>
          <cell r="D4883" t="str">
            <v>JILANI</v>
          </cell>
          <cell r="E4883" t="str">
            <v>راٹھور ڈیری سلوشن</v>
          </cell>
        </row>
        <row r="4884">
          <cell r="A4884" t="str">
            <v>2200 J</v>
          </cell>
          <cell r="B4884">
            <v>12067</v>
          </cell>
          <cell r="C4884">
            <v>45784</v>
          </cell>
          <cell r="D4884" t="str">
            <v>JILANI</v>
          </cell>
          <cell r="E4884" t="str">
            <v>جاوید انٹرپرائزز گوجرانولہ</v>
          </cell>
        </row>
        <row r="4885">
          <cell r="A4885" t="str">
            <v>2201 J</v>
          </cell>
          <cell r="B4885">
            <v>12068</v>
          </cell>
          <cell r="C4885">
            <v>45784</v>
          </cell>
          <cell r="D4885" t="str">
            <v>JILANI</v>
          </cell>
          <cell r="E4885" t="str">
            <v>وقاص وولن ملز گوجرانوالہ</v>
          </cell>
        </row>
        <row r="4886">
          <cell r="A4886" t="str">
            <v>2202 J</v>
          </cell>
          <cell r="B4886">
            <v>12069</v>
          </cell>
          <cell r="C4886">
            <v>45784</v>
          </cell>
          <cell r="D4886" t="str">
            <v>JILANI</v>
          </cell>
          <cell r="E4886" t="str">
            <v>وقاص وولن ملز گوجرانوالہ</v>
          </cell>
        </row>
        <row r="4887">
          <cell r="A4887" t="str">
            <v>2203 J</v>
          </cell>
          <cell r="B4887">
            <v>12070</v>
          </cell>
          <cell r="C4887">
            <v>45784</v>
          </cell>
          <cell r="D4887" t="str">
            <v>JILANI</v>
          </cell>
          <cell r="E4887" t="str">
            <v>وقاص وولن ملز گوجرانوالہ</v>
          </cell>
        </row>
        <row r="4888">
          <cell r="A4888" t="str">
            <v>2204 J</v>
          </cell>
          <cell r="B4888">
            <v>12071</v>
          </cell>
          <cell r="C4888">
            <v>45784</v>
          </cell>
          <cell r="D4888" t="str">
            <v>JILANI</v>
          </cell>
          <cell r="E4888" t="str">
            <v>یاسین کلاتھ ہاؤس سانگلہ ہل</v>
          </cell>
        </row>
        <row r="4889">
          <cell r="A4889" t="str">
            <v>2205 J</v>
          </cell>
          <cell r="B4889">
            <v>12072</v>
          </cell>
          <cell r="C4889">
            <v>45784</v>
          </cell>
          <cell r="D4889" t="str">
            <v>JILANI</v>
          </cell>
          <cell r="E4889" t="str">
            <v>امتیاز سپر مارکیٹ لاہور (کراچی)</v>
          </cell>
        </row>
        <row r="4890">
          <cell r="A4890" t="str">
            <v>2206 J</v>
          </cell>
          <cell r="B4890">
            <v>12073</v>
          </cell>
          <cell r="C4890">
            <v>45784</v>
          </cell>
          <cell r="D4890" t="str">
            <v>JILANI</v>
          </cell>
          <cell r="E4890" t="str">
            <v>وسیم شاپر ہاؤس لاہور</v>
          </cell>
        </row>
        <row r="4891">
          <cell r="A4891" t="str">
            <v>2207 J</v>
          </cell>
          <cell r="B4891">
            <v>12074</v>
          </cell>
          <cell r="C4891">
            <v>45784</v>
          </cell>
          <cell r="D4891" t="str">
            <v>JILANI</v>
          </cell>
          <cell r="E4891" t="str">
            <v>فینسی گارمنٹس کامونکی</v>
          </cell>
        </row>
        <row r="4892">
          <cell r="A4892" t="str">
            <v>2208 J</v>
          </cell>
          <cell r="B4892">
            <v>12074</v>
          </cell>
          <cell r="C4892">
            <v>45784</v>
          </cell>
          <cell r="D4892" t="str">
            <v>JILANI</v>
          </cell>
          <cell r="E4892" t="str">
            <v>فینسی گارمنٹس کامونکی</v>
          </cell>
        </row>
        <row r="4893">
          <cell r="A4893" t="str">
            <v>2209 J</v>
          </cell>
          <cell r="B4893">
            <v>12074</v>
          </cell>
          <cell r="C4893">
            <v>45784</v>
          </cell>
          <cell r="D4893" t="str">
            <v>JILANI</v>
          </cell>
          <cell r="E4893" t="str">
            <v>فینسی گارمنٹس کامونکی</v>
          </cell>
        </row>
        <row r="4894">
          <cell r="A4894" t="str">
            <v>2210 J</v>
          </cell>
          <cell r="B4894">
            <v>12074</v>
          </cell>
          <cell r="C4894">
            <v>45784</v>
          </cell>
          <cell r="D4894" t="str">
            <v>JILANI</v>
          </cell>
          <cell r="E4894" t="str">
            <v>فینسی گارمنٹس کامونکی</v>
          </cell>
        </row>
        <row r="4895">
          <cell r="A4895" t="str">
            <v>2211 J</v>
          </cell>
          <cell r="B4895">
            <v>12075</v>
          </cell>
          <cell r="C4895">
            <v>45784</v>
          </cell>
          <cell r="D4895" t="str">
            <v>JILANI</v>
          </cell>
          <cell r="E4895" t="str">
            <v>فینسی گارمنٹس کامونکی</v>
          </cell>
        </row>
        <row r="4896">
          <cell r="A4896" t="str">
            <v>2212 J</v>
          </cell>
          <cell r="B4896">
            <v>12076</v>
          </cell>
          <cell r="C4896">
            <v>45784</v>
          </cell>
          <cell r="D4896" t="str">
            <v>JILANI</v>
          </cell>
          <cell r="E4896" t="str">
            <v>وقاص وولن ملز گوجرانوالہ</v>
          </cell>
        </row>
        <row r="4897">
          <cell r="A4897" t="str">
            <v>2213 J</v>
          </cell>
          <cell r="B4897">
            <v>12077</v>
          </cell>
          <cell r="C4897">
            <v>45784</v>
          </cell>
          <cell r="D4897" t="str">
            <v>JILANI</v>
          </cell>
          <cell r="E4897" t="str">
            <v>جی ایس ٹی ٹریڈرز شادباغ</v>
          </cell>
        </row>
        <row r="4898">
          <cell r="A4898" t="str">
            <v>2214 J</v>
          </cell>
          <cell r="B4898">
            <v>12078</v>
          </cell>
          <cell r="C4898">
            <v>45784</v>
          </cell>
          <cell r="D4898" t="str">
            <v>JILANI</v>
          </cell>
          <cell r="E4898" t="str">
            <v>عالم پرنٹرز بٹ خیلہ</v>
          </cell>
        </row>
        <row r="4899">
          <cell r="A4899" t="str">
            <v>2215 J</v>
          </cell>
          <cell r="B4899">
            <v>12078</v>
          </cell>
          <cell r="C4899">
            <v>45784</v>
          </cell>
          <cell r="D4899" t="str">
            <v>JILANI</v>
          </cell>
          <cell r="E4899" t="str">
            <v>عالم پرنٹرز بٹ خیلہ</v>
          </cell>
        </row>
        <row r="4900">
          <cell r="A4900" t="str">
            <v>2216 J</v>
          </cell>
          <cell r="B4900">
            <v>12079</v>
          </cell>
          <cell r="C4900">
            <v>45784</v>
          </cell>
          <cell r="D4900" t="str">
            <v>JILANI</v>
          </cell>
          <cell r="E4900" t="str">
            <v>سپر ڈائمنڈ فوڈکامونکی</v>
          </cell>
        </row>
        <row r="4901">
          <cell r="A4901" t="str">
            <v>2217 J</v>
          </cell>
          <cell r="B4901">
            <v>12079</v>
          </cell>
          <cell r="C4901">
            <v>45784</v>
          </cell>
          <cell r="D4901" t="str">
            <v>JILANI</v>
          </cell>
          <cell r="E4901" t="str">
            <v>سپر ڈائمنڈ فوڈکامونکی</v>
          </cell>
        </row>
        <row r="4902">
          <cell r="A4902" t="str">
            <v>1480 F</v>
          </cell>
          <cell r="B4902"/>
          <cell r="C4902">
            <v>45783</v>
          </cell>
          <cell r="D4902" t="str">
            <v>فینا</v>
          </cell>
          <cell r="E4902" t="str">
            <v>عثمان امین</v>
          </cell>
        </row>
        <row r="4903">
          <cell r="A4903" t="str">
            <v>1481 F</v>
          </cell>
          <cell r="B4903"/>
          <cell r="C4903">
            <v>45783</v>
          </cell>
          <cell r="D4903" t="str">
            <v>فینا</v>
          </cell>
          <cell r="E4903" t="str">
            <v>عثمان امین</v>
          </cell>
        </row>
        <row r="4904">
          <cell r="A4904" t="str">
            <v>1482 F</v>
          </cell>
          <cell r="B4904"/>
          <cell r="C4904">
            <v>45783</v>
          </cell>
          <cell r="D4904" t="str">
            <v>فینا</v>
          </cell>
          <cell r="E4904" t="str">
            <v>عثمان امین</v>
          </cell>
        </row>
        <row r="4905">
          <cell r="A4905" t="str">
            <v>1483 F</v>
          </cell>
          <cell r="B4905"/>
          <cell r="C4905">
            <v>45783</v>
          </cell>
          <cell r="D4905" t="str">
            <v>فینا</v>
          </cell>
          <cell r="E4905" t="str">
            <v>عثمان امین</v>
          </cell>
        </row>
        <row r="4906">
          <cell r="A4906" t="str">
            <v>1484 F</v>
          </cell>
          <cell r="B4906"/>
          <cell r="C4906">
            <v>45784</v>
          </cell>
          <cell r="D4906" t="str">
            <v>فینا</v>
          </cell>
          <cell r="E4906" t="str">
            <v>عثمان امین</v>
          </cell>
        </row>
        <row r="4907">
          <cell r="A4907" t="str">
            <v>1485 F</v>
          </cell>
          <cell r="B4907"/>
          <cell r="C4907">
            <v>45784</v>
          </cell>
          <cell r="D4907" t="str">
            <v>فینا</v>
          </cell>
          <cell r="E4907" t="str">
            <v>عثمان امین</v>
          </cell>
        </row>
        <row r="4908">
          <cell r="A4908" t="str">
            <v>1486 F</v>
          </cell>
          <cell r="B4908"/>
          <cell r="C4908">
            <v>45784</v>
          </cell>
          <cell r="D4908" t="str">
            <v>فینا</v>
          </cell>
          <cell r="E4908" t="str">
            <v>عثمان امین</v>
          </cell>
        </row>
        <row r="4909">
          <cell r="A4909" t="str">
            <v>1487 F</v>
          </cell>
          <cell r="B4909"/>
          <cell r="C4909">
            <v>45784</v>
          </cell>
          <cell r="D4909" t="str">
            <v>فینا</v>
          </cell>
          <cell r="E4909" t="str">
            <v>عثمان امین</v>
          </cell>
        </row>
        <row r="4910">
          <cell r="A4910" t="str">
            <v>1488 F</v>
          </cell>
          <cell r="B4910"/>
          <cell r="C4910">
            <v>45784</v>
          </cell>
          <cell r="D4910" t="str">
            <v>فینا</v>
          </cell>
          <cell r="E4910" t="str">
            <v>عثمان امین</v>
          </cell>
        </row>
        <row r="4911">
          <cell r="A4911" t="str">
            <v>1489 F</v>
          </cell>
          <cell r="B4911"/>
          <cell r="C4911">
            <v>45784</v>
          </cell>
          <cell r="D4911" t="str">
            <v>فینا</v>
          </cell>
          <cell r="E4911" t="str">
            <v>عثمان امین</v>
          </cell>
        </row>
        <row r="4912">
          <cell r="A4912" t="str">
            <v>1490 F</v>
          </cell>
          <cell r="B4912"/>
          <cell r="C4912">
            <v>45785</v>
          </cell>
          <cell r="D4912" t="str">
            <v>فینا</v>
          </cell>
          <cell r="E4912" t="str">
            <v>عثمان امین</v>
          </cell>
        </row>
        <row r="4913">
          <cell r="A4913" t="str">
            <v>1491 F</v>
          </cell>
          <cell r="B4913"/>
          <cell r="C4913">
            <v>45785</v>
          </cell>
          <cell r="D4913" t="str">
            <v>فینا</v>
          </cell>
          <cell r="E4913" t="str">
            <v>عثمان امین</v>
          </cell>
        </row>
        <row r="4914">
          <cell r="A4914" t="str">
            <v>1492 F</v>
          </cell>
          <cell r="B4914"/>
          <cell r="C4914">
            <v>45785</v>
          </cell>
          <cell r="D4914" t="str">
            <v>فینا</v>
          </cell>
          <cell r="E4914" t="str">
            <v>عثمان امین</v>
          </cell>
        </row>
        <row r="4915">
          <cell r="A4915" t="str">
            <v>1493 F</v>
          </cell>
          <cell r="B4915"/>
          <cell r="C4915">
            <v>45785</v>
          </cell>
          <cell r="D4915" t="str">
            <v>فینا</v>
          </cell>
          <cell r="E4915" t="str">
            <v>عثمان امین</v>
          </cell>
        </row>
        <row r="4916">
          <cell r="A4916" t="str">
            <v>1494 F</v>
          </cell>
          <cell r="B4916"/>
          <cell r="C4916">
            <v>45785</v>
          </cell>
          <cell r="D4916" t="str">
            <v>فینا</v>
          </cell>
          <cell r="E4916" t="str">
            <v>عثمان امین</v>
          </cell>
        </row>
        <row r="4917">
          <cell r="A4917" t="str">
            <v>1495 F</v>
          </cell>
          <cell r="B4917"/>
          <cell r="C4917">
            <v>45785</v>
          </cell>
          <cell r="D4917" t="str">
            <v>فینا</v>
          </cell>
          <cell r="E4917" t="str">
            <v>عثمان امین</v>
          </cell>
        </row>
        <row r="4918">
          <cell r="A4918" t="str">
            <v>1496 F</v>
          </cell>
          <cell r="B4918"/>
          <cell r="C4918">
            <v>45785</v>
          </cell>
          <cell r="D4918" t="str">
            <v>فینا</v>
          </cell>
          <cell r="E4918" t="str">
            <v>عثمان امین</v>
          </cell>
        </row>
        <row r="4919">
          <cell r="A4919" t="str">
            <v>1497 F</v>
          </cell>
          <cell r="B4919"/>
          <cell r="C4919">
            <v>45785</v>
          </cell>
          <cell r="D4919" t="str">
            <v>فینا</v>
          </cell>
          <cell r="E4919" t="str">
            <v>عثمان امین</v>
          </cell>
        </row>
        <row r="4920">
          <cell r="A4920" t="str">
            <v>1498 F</v>
          </cell>
          <cell r="B4920"/>
          <cell r="C4920">
            <v>45785</v>
          </cell>
          <cell r="D4920" t="str">
            <v>فینا</v>
          </cell>
          <cell r="E4920" t="str">
            <v>عثمان امین</v>
          </cell>
        </row>
        <row r="4921">
          <cell r="A4921" t="str">
            <v>249 R</v>
          </cell>
          <cell r="B4921">
            <v>695</v>
          </cell>
          <cell r="C4921">
            <v>45783</v>
          </cell>
          <cell r="D4921" t="str">
            <v>REFLECTPACK</v>
          </cell>
          <cell r="E4921" t="str">
            <v>ریفلیکٹ پیک</v>
          </cell>
        </row>
        <row r="4922">
          <cell r="A4922" t="str">
            <v>2218 J</v>
          </cell>
          <cell r="B4922">
            <v>12080</v>
          </cell>
          <cell r="C4922">
            <v>45784</v>
          </cell>
          <cell r="D4922" t="str">
            <v>JILANI</v>
          </cell>
          <cell r="E4922" t="str">
            <v>فینسی گارمنٹس کامونکی</v>
          </cell>
        </row>
        <row r="4923">
          <cell r="A4923" t="str">
            <v>2219 J</v>
          </cell>
          <cell r="B4923">
            <v>12081</v>
          </cell>
          <cell r="C4923">
            <v>45785</v>
          </cell>
          <cell r="D4923" t="str">
            <v>JILANI</v>
          </cell>
          <cell r="E4923" t="str">
            <v>ارشد لفافہ مرچینٹ گجر خان</v>
          </cell>
        </row>
        <row r="4924">
          <cell r="A4924" t="str">
            <v>2220 J</v>
          </cell>
          <cell r="B4924">
            <v>12082</v>
          </cell>
          <cell r="C4924">
            <v>45785</v>
          </cell>
          <cell r="D4924" t="str">
            <v>JILANI</v>
          </cell>
          <cell r="E4924" t="str">
            <v>محبوب پرنٹرز گوجرانوالہ</v>
          </cell>
        </row>
        <row r="4925">
          <cell r="A4925" t="str">
            <v>2221 J</v>
          </cell>
          <cell r="B4925">
            <v>12083</v>
          </cell>
          <cell r="C4925">
            <v>45785</v>
          </cell>
          <cell r="D4925" t="str">
            <v>JILANI</v>
          </cell>
          <cell r="E4925" t="str">
            <v>معظمی پلاسٹک ساہیوال</v>
          </cell>
        </row>
        <row r="4926">
          <cell r="A4926" t="str">
            <v>2222 J</v>
          </cell>
          <cell r="B4926">
            <v>12083</v>
          </cell>
          <cell r="C4926">
            <v>45785</v>
          </cell>
          <cell r="D4926" t="str">
            <v>JILANI</v>
          </cell>
          <cell r="E4926" t="str">
            <v>معظمی پلاسٹک ساہیوال</v>
          </cell>
        </row>
        <row r="4927">
          <cell r="A4927" t="str">
            <v>2223 J</v>
          </cell>
          <cell r="B4927"/>
          <cell r="C4927">
            <v>45756</v>
          </cell>
          <cell r="D4927" t="str">
            <v>OTHERS</v>
          </cell>
          <cell r="E4927" t="str">
            <v>جیلانی پولی سٹاک</v>
          </cell>
        </row>
        <row r="4928">
          <cell r="A4928" t="str">
            <v>2224 J</v>
          </cell>
          <cell r="B4928"/>
          <cell r="C4928">
            <v>45756</v>
          </cell>
          <cell r="D4928" t="str">
            <v>OTHERS</v>
          </cell>
          <cell r="E4928" t="str">
            <v>جیلانی پولی سٹاک</v>
          </cell>
        </row>
        <row r="4929">
          <cell r="A4929" t="str">
            <v>2225 J</v>
          </cell>
          <cell r="B4929"/>
          <cell r="C4929">
            <v>45756</v>
          </cell>
          <cell r="D4929" t="str">
            <v>OTHERS</v>
          </cell>
          <cell r="E4929" t="str">
            <v>جیلانی پولی سٹاک</v>
          </cell>
        </row>
        <row r="4930">
          <cell r="A4930" t="str">
            <v>2226 J</v>
          </cell>
          <cell r="B4930">
            <v>12084</v>
          </cell>
          <cell r="C4930">
            <v>45785</v>
          </cell>
          <cell r="D4930" t="str">
            <v>JILANI</v>
          </cell>
          <cell r="E4930" t="str">
            <v>محبوب پرنٹرز گوجرانوالہ</v>
          </cell>
        </row>
        <row r="4931">
          <cell r="A4931" t="str">
            <v>2227 J</v>
          </cell>
          <cell r="B4931">
            <v>12084</v>
          </cell>
          <cell r="C4931">
            <v>45785</v>
          </cell>
          <cell r="D4931" t="str">
            <v>JILANI</v>
          </cell>
          <cell r="E4931" t="str">
            <v>محبوب پرنٹرز گوجرانوالہ</v>
          </cell>
        </row>
        <row r="4932">
          <cell r="A4932" t="str">
            <v>2228 J</v>
          </cell>
          <cell r="B4932">
            <v>12085</v>
          </cell>
          <cell r="C4932">
            <v>45785</v>
          </cell>
          <cell r="D4932" t="str">
            <v>JILANI</v>
          </cell>
          <cell r="E4932" t="str">
            <v>سروس انڈسٹری گجرات</v>
          </cell>
        </row>
        <row r="4933">
          <cell r="A4933" t="str">
            <v>2229 J</v>
          </cell>
          <cell r="B4933">
            <v>12086</v>
          </cell>
          <cell r="C4933">
            <v>45785</v>
          </cell>
          <cell r="D4933" t="str">
            <v>JILANI</v>
          </cell>
          <cell r="E4933" t="str">
            <v>سروس انڈسٹری گجرات</v>
          </cell>
        </row>
        <row r="4934">
          <cell r="A4934" t="str">
            <v>2230 J</v>
          </cell>
          <cell r="B4934">
            <v>12087</v>
          </cell>
          <cell r="C4934">
            <v>45785</v>
          </cell>
          <cell r="D4934" t="str">
            <v>JILANI</v>
          </cell>
          <cell r="E4934" t="str">
            <v>سروس انڈسٹری گجرات</v>
          </cell>
        </row>
        <row r="4935">
          <cell r="A4935" t="str">
            <v>2231 J</v>
          </cell>
          <cell r="B4935">
            <v>12088</v>
          </cell>
          <cell r="C4935">
            <v>45785</v>
          </cell>
          <cell r="D4935" t="str">
            <v>JILANI</v>
          </cell>
          <cell r="E4935" t="str">
            <v>سروس انڈسٹری گجرات</v>
          </cell>
        </row>
        <row r="4936">
          <cell r="A4936" t="str">
            <v>2232 J</v>
          </cell>
          <cell r="B4936">
            <v>12089</v>
          </cell>
          <cell r="C4936">
            <v>45785</v>
          </cell>
          <cell r="D4936" t="str">
            <v>JILANI</v>
          </cell>
          <cell r="E4936" t="str">
            <v>سروس انڈسٹری گجرات</v>
          </cell>
        </row>
        <row r="4937">
          <cell r="A4937" t="str">
            <v>2233 J</v>
          </cell>
          <cell r="B4937">
            <v>12090</v>
          </cell>
          <cell r="C4937">
            <v>45785</v>
          </cell>
          <cell r="D4937" t="str">
            <v>JILANI</v>
          </cell>
          <cell r="E4937" t="str">
            <v>ملک راشد ڈیرہ غازی خاں</v>
          </cell>
        </row>
        <row r="4938">
          <cell r="A4938" t="str">
            <v>2234 J</v>
          </cell>
          <cell r="B4938">
            <v>12090</v>
          </cell>
          <cell r="C4938">
            <v>45785</v>
          </cell>
          <cell r="D4938" t="str">
            <v>JILANI</v>
          </cell>
          <cell r="E4938" t="str">
            <v>ملک راشد ڈیرہ غازی خاں</v>
          </cell>
        </row>
        <row r="4939">
          <cell r="A4939" t="str">
            <v>2235 J</v>
          </cell>
          <cell r="B4939">
            <v>12090</v>
          </cell>
          <cell r="C4939">
            <v>45785</v>
          </cell>
          <cell r="D4939" t="str">
            <v>JILANI</v>
          </cell>
          <cell r="E4939" t="str">
            <v>ملک راشد ڈیرہ غازی خاں</v>
          </cell>
        </row>
        <row r="4940">
          <cell r="A4940" t="str">
            <v>2236 J</v>
          </cell>
          <cell r="B4940">
            <v>12091</v>
          </cell>
          <cell r="C4940">
            <v>45785</v>
          </cell>
          <cell r="D4940" t="str">
            <v>JILANI</v>
          </cell>
          <cell r="E4940" t="str">
            <v>تقویٰ پلاسٹک موچی گیٹ</v>
          </cell>
        </row>
        <row r="4941">
          <cell r="A4941" t="str">
            <v>2237 J</v>
          </cell>
          <cell r="B4941">
            <v>12092</v>
          </cell>
          <cell r="C4941">
            <v>45785</v>
          </cell>
          <cell r="D4941" t="str">
            <v>JILANI</v>
          </cell>
          <cell r="E4941" t="str">
            <v>ہیڈ آفس لاہور</v>
          </cell>
        </row>
        <row r="4942">
          <cell r="A4942" t="str">
            <v>2238 J</v>
          </cell>
          <cell r="B4942">
            <v>12092</v>
          </cell>
          <cell r="C4942">
            <v>45785</v>
          </cell>
          <cell r="D4942" t="str">
            <v>JILANI</v>
          </cell>
          <cell r="E4942" t="str">
            <v>ہیڈ آفس لاہور</v>
          </cell>
        </row>
        <row r="4943">
          <cell r="A4943" t="str">
            <v>2239 J</v>
          </cell>
          <cell r="B4943">
            <v>12092</v>
          </cell>
          <cell r="C4943">
            <v>45785</v>
          </cell>
          <cell r="D4943" t="str">
            <v>JILANI</v>
          </cell>
          <cell r="E4943" t="str">
            <v>ہیڈ آفس لاہور</v>
          </cell>
        </row>
        <row r="4944">
          <cell r="A4944" t="str">
            <v>2240 J</v>
          </cell>
          <cell r="B4944">
            <v>12092</v>
          </cell>
          <cell r="C4944">
            <v>45785</v>
          </cell>
          <cell r="D4944" t="str">
            <v>JILANI</v>
          </cell>
          <cell r="E4944" t="str">
            <v>ہیڈ آفس لاہور</v>
          </cell>
        </row>
        <row r="4945">
          <cell r="A4945" t="str">
            <v>2241 J</v>
          </cell>
          <cell r="B4945">
            <v>12093</v>
          </cell>
          <cell r="C4945">
            <v>45785</v>
          </cell>
          <cell r="D4945" t="str">
            <v>JILANI</v>
          </cell>
          <cell r="E4945" t="str">
            <v>ہیڈ آفس لاہور</v>
          </cell>
        </row>
        <row r="4946">
          <cell r="A4946" t="str">
            <v>2242 J</v>
          </cell>
          <cell r="B4946">
            <v>12093</v>
          </cell>
          <cell r="C4946">
            <v>45785</v>
          </cell>
          <cell r="D4946" t="str">
            <v>JILANI</v>
          </cell>
          <cell r="E4946" t="str">
            <v>ہیڈ آفس لاہور</v>
          </cell>
        </row>
        <row r="4947">
          <cell r="A4947" t="str">
            <v>2243 J</v>
          </cell>
          <cell r="B4947">
            <v>12093</v>
          </cell>
          <cell r="C4947">
            <v>45785</v>
          </cell>
          <cell r="D4947" t="str">
            <v>JILANI</v>
          </cell>
          <cell r="E4947" t="str">
            <v>ہیڈ آفس لاہور</v>
          </cell>
        </row>
        <row r="4948">
          <cell r="A4948" t="str">
            <v>2244 J</v>
          </cell>
          <cell r="B4948">
            <v>12094</v>
          </cell>
          <cell r="C4948">
            <v>45785</v>
          </cell>
          <cell r="D4948" t="str">
            <v>OTHERS</v>
          </cell>
          <cell r="E4948" t="str">
            <v>جیلانی ہیڈ آفس</v>
          </cell>
        </row>
        <row r="4949">
          <cell r="A4949" t="str">
            <v>2245 J</v>
          </cell>
          <cell r="B4949">
            <v>12094</v>
          </cell>
          <cell r="C4949">
            <v>45785</v>
          </cell>
          <cell r="D4949" t="str">
            <v>OTHERS</v>
          </cell>
          <cell r="E4949" t="str">
            <v>جیلانی ہیڈ آفس</v>
          </cell>
        </row>
        <row r="4950">
          <cell r="A4950" t="str">
            <v>2246 J</v>
          </cell>
          <cell r="B4950">
            <v>12094</v>
          </cell>
          <cell r="C4950">
            <v>45785</v>
          </cell>
          <cell r="D4950" t="str">
            <v>OTHERS</v>
          </cell>
          <cell r="E4950" t="str">
            <v>جیلانی ہیڈ آفس</v>
          </cell>
        </row>
        <row r="4951">
          <cell r="A4951" t="str">
            <v>2247 J</v>
          </cell>
          <cell r="B4951">
            <v>12095</v>
          </cell>
          <cell r="C4951">
            <v>45785</v>
          </cell>
          <cell r="D4951" t="str">
            <v>OTHERS</v>
          </cell>
          <cell r="E4951" t="str">
            <v>جیلانی ہیڈ آفس</v>
          </cell>
        </row>
        <row r="4952">
          <cell r="A4952" t="str">
            <v>2248 J</v>
          </cell>
          <cell r="B4952">
            <v>12097</v>
          </cell>
          <cell r="C4952">
            <v>45786</v>
          </cell>
          <cell r="D4952" t="str">
            <v>JILANI</v>
          </cell>
          <cell r="E4952" t="str">
            <v>مدینہ کالر انارکلی لاہور</v>
          </cell>
        </row>
        <row r="4953">
          <cell r="A4953" t="str">
            <v>2249 J</v>
          </cell>
          <cell r="B4953">
            <v>12097</v>
          </cell>
          <cell r="C4953">
            <v>45786</v>
          </cell>
          <cell r="D4953" t="str">
            <v>JILANI</v>
          </cell>
          <cell r="E4953" t="str">
            <v>مدینہ کالر انارکلی لاہور</v>
          </cell>
        </row>
        <row r="4954">
          <cell r="A4954" t="str">
            <v>2250 J</v>
          </cell>
          <cell r="B4954">
            <v>12097</v>
          </cell>
          <cell r="C4954">
            <v>45786</v>
          </cell>
          <cell r="D4954" t="str">
            <v>JILANI</v>
          </cell>
          <cell r="E4954" t="str">
            <v>مدینہ کالر انارکلی لاہور</v>
          </cell>
        </row>
        <row r="4955">
          <cell r="A4955" t="str">
            <v>2251 J</v>
          </cell>
          <cell r="B4955"/>
          <cell r="C4955">
            <v>45787</v>
          </cell>
          <cell r="D4955" t="str">
            <v>OTHERS</v>
          </cell>
          <cell r="E4955" t="str">
            <v>جیلانی پولی سٹاک</v>
          </cell>
        </row>
        <row r="4956">
          <cell r="A4956" t="str">
            <v>2252 J</v>
          </cell>
          <cell r="B4956"/>
          <cell r="C4956">
            <v>45787</v>
          </cell>
          <cell r="D4956" t="str">
            <v>OTHERS</v>
          </cell>
          <cell r="E4956" t="str">
            <v>جیلانی پولی سٹاک</v>
          </cell>
        </row>
        <row r="4957">
          <cell r="A4957" t="str">
            <v>2253 J</v>
          </cell>
          <cell r="B4957"/>
          <cell r="C4957">
            <v>45787</v>
          </cell>
          <cell r="D4957" t="str">
            <v>OTHERS</v>
          </cell>
          <cell r="E4957" t="str">
            <v>جیلانی پولی سٹاک</v>
          </cell>
        </row>
        <row r="4958">
          <cell r="A4958" t="str">
            <v>2254 J</v>
          </cell>
          <cell r="B4958"/>
          <cell r="C4958">
            <v>45787</v>
          </cell>
          <cell r="D4958" t="str">
            <v>JILANI</v>
          </cell>
          <cell r="E4958" t="str">
            <v>سن کراپ گروپ پاکستان</v>
          </cell>
        </row>
        <row r="4959">
          <cell r="A4959" t="str">
            <v>2255 J</v>
          </cell>
          <cell r="B4959"/>
          <cell r="C4959">
            <v>45787</v>
          </cell>
          <cell r="D4959" t="str">
            <v>JILANI</v>
          </cell>
          <cell r="E4959" t="str">
            <v>سن کراپ گروپ پاکستان</v>
          </cell>
        </row>
        <row r="4960">
          <cell r="A4960" t="str">
            <v>2256 J</v>
          </cell>
          <cell r="B4960"/>
          <cell r="C4960">
            <v>45787</v>
          </cell>
          <cell r="D4960" t="str">
            <v>JILANI</v>
          </cell>
          <cell r="E4960" t="str">
            <v>سن کراپ گروپ پاکستان</v>
          </cell>
        </row>
        <row r="4961">
          <cell r="A4961" t="str">
            <v>2257 J</v>
          </cell>
          <cell r="B4961"/>
          <cell r="C4961">
            <v>45787</v>
          </cell>
          <cell r="D4961" t="str">
            <v>JILANI</v>
          </cell>
          <cell r="E4961" t="str">
            <v>سن کراپ گروپ پاکستان</v>
          </cell>
        </row>
        <row r="4962">
          <cell r="A4962" t="str">
            <v>2258 J</v>
          </cell>
          <cell r="B4962">
            <v>12096</v>
          </cell>
          <cell r="C4962">
            <v>45787</v>
          </cell>
          <cell r="D4962" t="str">
            <v>JILANI</v>
          </cell>
          <cell r="E4962" t="str">
            <v>بن یوسف چوبرجی</v>
          </cell>
        </row>
        <row r="4963">
          <cell r="A4963" t="str">
            <v>2259 J</v>
          </cell>
          <cell r="B4963">
            <v>12096</v>
          </cell>
          <cell r="C4963">
            <v>45787</v>
          </cell>
          <cell r="D4963" t="str">
            <v>JILANI</v>
          </cell>
          <cell r="E4963" t="str">
            <v>بن یوسف چوبرجی</v>
          </cell>
        </row>
        <row r="4964">
          <cell r="A4964" t="str">
            <v>2260 J</v>
          </cell>
          <cell r="B4964">
            <v>12098</v>
          </cell>
          <cell r="C4964">
            <v>45787</v>
          </cell>
          <cell r="D4964" t="str">
            <v>JILANI</v>
          </cell>
          <cell r="E4964" t="str">
            <v>نظر قمر پلاسٹک C/Oصابر پلاسٹک شاہدرہ</v>
          </cell>
        </row>
        <row r="4965">
          <cell r="A4965" t="str">
            <v>2261 J</v>
          </cell>
          <cell r="B4965">
            <v>12099</v>
          </cell>
          <cell r="C4965">
            <v>45787</v>
          </cell>
          <cell r="D4965" t="str">
            <v>JILANI</v>
          </cell>
          <cell r="E4965" t="str">
            <v>نظر قمر پلاسٹک C/Oصابر پلاسٹک شاہدرہ</v>
          </cell>
        </row>
        <row r="4966">
          <cell r="A4966" t="str">
            <v>2262 J</v>
          </cell>
          <cell r="B4966">
            <v>12099</v>
          </cell>
          <cell r="C4966">
            <v>45787</v>
          </cell>
          <cell r="D4966" t="str">
            <v>JILANI</v>
          </cell>
          <cell r="E4966" t="str">
            <v>نظر قمر پلاسٹک C/Oصابر پلاسٹک شاہدرہ</v>
          </cell>
        </row>
        <row r="4967">
          <cell r="A4967" t="str">
            <v>2263 J</v>
          </cell>
          <cell r="B4967">
            <v>12099</v>
          </cell>
          <cell r="C4967">
            <v>45787</v>
          </cell>
          <cell r="D4967" t="str">
            <v>JILANI</v>
          </cell>
          <cell r="E4967" t="str">
            <v>نظر قمر پلاسٹک C/Oصابر پلاسٹک شاہدرہ</v>
          </cell>
        </row>
        <row r="4968">
          <cell r="A4968" t="str">
            <v>2264 J</v>
          </cell>
          <cell r="B4968">
            <v>12099</v>
          </cell>
          <cell r="C4968">
            <v>45787</v>
          </cell>
          <cell r="D4968" t="str">
            <v>JILANI</v>
          </cell>
          <cell r="E4968" t="str">
            <v>نظر قمر پلاسٹک C/Oصابر پلاسٹک شاہدرہ</v>
          </cell>
        </row>
        <row r="4969">
          <cell r="A4969" t="str">
            <v>2265 J</v>
          </cell>
          <cell r="B4969">
            <v>12100</v>
          </cell>
          <cell r="C4969">
            <v>45787</v>
          </cell>
          <cell r="D4969" t="str">
            <v>JILANI</v>
          </cell>
          <cell r="E4969" t="str">
            <v>زاہد محمود شاہ عالم لاہور</v>
          </cell>
        </row>
        <row r="4970">
          <cell r="A4970" t="str">
            <v>2266 J</v>
          </cell>
          <cell r="B4970">
            <v>12100</v>
          </cell>
          <cell r="C4970">
            <v>45787</v>
          </cell>
          <cell r="D4970" t="str">
            <v>JILANI</v>
          </cell>
          <cell r="E4970" t="str">
            <v>زاہد محمود شاہ عالم لاہور</v>
          </cell>
        </row>
        <row r="4971">
          <cell r="A4971" t="str">
            <v>2267 J</v>
          </cell>
          <cell r="B4971">
            <v>12101</v>
          </cell>
          <cell r="C4971">
            <v>45787</v>
          </cell>
          <cell r="D4971" t="str">
            <v>JILANI</v>
          </cell>
          <cell r="E4971" t="str">
            <v>کاؤنٹر پرا‏ئیویٹ لیمیٹڈ</v>
          </cell>
        </row>
        <row r="4972">
          <cell r="A4972" t="str">
            <v>2268 J</v>
          </cell>
          <cell r="B4972">
            <v>12102</v>
          </cell>
          <cell r="C4972">
            <v>45787</v>
          </cell>
          <cell r="D4972" t="str">
            <v>JILANI</v>
          </cell>
          <cell r="E4972" t="str">
            <v>کاؤنٹر پرا‏ئیویٹ لیمیٹڈ</v>
          </cell>
        </row>
        <row r="4973">
          <cell r="A4973" t="str">
            <v>2269 J</v>
          </cell>
          <cell r="B4973">
            <v>12203</v>
          </cell>
          <cell r="C4973">
            <v>45787</v>
          </cell>
          <cell r="D4973" t="str">
            <v>JILANI</v>
          </cell>
          <cell r="E4973" t="str">
            <v>توصیف بٹ گوجرانوالہ</v>
          </cell>
        </row>
        <row r="4974">
          <cell r="A4974" t="str">
            <v>1499 F</v>
          </cell>
          <cell r="B4974"/>
          <cell r="C4974">
            <v>45786</v>
          </cell>
          <cell r="D4974" t="str">
            <v>فینا</v>
          </cell>
          <cell r="E4974" t="str">
            <v>عثمان امین</v>
          </cell>
        </row>
        <row r="4975">
          <cell r="A4975" t="str">
            <v>1500 F</v>
          </cell>
          <cell r="B4975"/>
          <cell r="C4975">
            <v>45786</v>
          </cell>
          <cell r="D4975" t="str">
            <v>فینا</v>
          </cell>
          <cell r="E4975" t="str">
            <v>عثمان امین</v>
          </cell>
        </row>
        <row r="4976">
          <cell r="A4976" t="str">
            <v>1501 F</v>
          </cell>
          <cell r="B4976"/>
          <cell r="C4976">
            <v>45786</v>
          </cell>
          <cell r="D4976" t="str">
            <v>فینا</v>
          </cell>
          <cell r="E4976" t="str">
            <v>عثمان امین</v>
          </cell>
        </row>
        <row r="4977">
          <cell r="A4977" t="str">
            <v>1502 F</v>
          </cell>
          <cell r="B4977"/>
          <cell r="C4977">
            <v>45786</v>
          </cell>
          <cell r="D4977" t="str">
            <v>فینا</v>
          </cell>
          <cell r="E4977" t="str">
            <v>عثمان امین</v>
          </cell>
        </row>
        <row r="4978">
          <cell r="A4978" t="str">
            <v>1503 F</v>
          </cell>
          <cell r="B4978"/>
          <cell r="C4978">
            <v>45786</v>
          </cell>
          <cell r="D4978" t="str">
            <v>فینا</v>
          </cell>
          <cell r="E4978" t="str">
            <v>عثمان امین</v>
          </cell>
        </row>
        <row r="4979">
          <cell r="A4979" t="str">
            <v>1504 F</v>
          </cell>
          <cell r="B4979"/>
          <cell r="C4979">
            <v>45786</v>
          </cell>
          <cell r="D4979" t="str">
            <v>فینا</v>
          </cell>
          <cell r="E4979" t="str">
            <v>عثمان امین</v>
          </cell>
        </row>
        <row r="4980">
          <cell r="A4980" t="str">
            <v>1505 F</v>
          </cell>
          <cell r="B4980"/>
          <cell r="C4980">
            <v>45786</v>
          </cell>
          <cell r="D4980" t="str">
            <v>فینا</v>
          </cell>
          <cell r="E4980" t="str">
            <v>عثمان امین</v>
          </cell>
        </row>
        <row r="4981">
          <cell r="A4981" t="str">
            <v>1506 F</v>
          </cell>
          <cell r="B4981"/>
          <cell r="C4981">
            <v>45786</v>
          </cell>
          <cell r="D4981" t="str">
            <v>فینا</v>
          </cell>
          <cell r="E4981" t="str">
            <v>عثمان امین</v>
          </cell>
        </row>
        <row r="4982">
          <cell r="A4982" t="str">
            <v>1507 F</v>
          </cell>
          <cell r="B4982"/>
          <cell r="C4982">
            <v>45786</v>
          </cell>
          <cell r="D4982" t="str">
            <v>فینا</v>
          </cell>
          <cell r="E4982" t="str">
            <v>عثمان امین</v>
          </cell>
        </row>
        <row r="4983">
          <cell r="A4983" t="str">
            <v>1508 F</v>
          </cell>
          <cell r="B4983"/>
          <cell r="C4983">
            <v>45786</v>
          </cell>
          <cell r="D4983" t="str">
            <v>فینا</v>
          </cell>
          <cell r="E4983" t="str">
            <v>عثمان امین</v>
          </cell>
        </row>
        <row r="4984">
          <cell r="A4984" t="str">
            <v>1509 F</v>
          </cell>
          <cell r="B4984"/>
          <cell r="C4984">
            <v>45786</v>
          </cell>
          <cell r="D4984" t="str">
            <v>فینا</v>
          </cell>
          <cell r="E4984" t="str">
            <v>عثمان امین</v>
          </cell>
        </row>
        <row r="4985">
          <cell r="A4985" t="str">
            <v>1510 F</v>
          </cell>
          <cell r="B4985"/>
          <cell r="C4985">
            <v>45786</v>
          </cell>
          <cell r="D4985" t="str">
            <v>فینا</v>
          </cell>
          <cell r="E4985" t="str">
            <v>عثمان امین</v>
          </cell>
        </row>
        <row r="4986">
          <cell r="A4986" t="str">
            <v>1511 F</v>
          </cell>
          <cell r="B4986"/>
          <cell r="C4986">
            <v>45786</v>
          </cell>
          <cell r="D4986" t="str">
            <v>فینا</v>
          </cell>
          <cell r="E4986" t="str">
            <v>عثمان امین</v>
          </cell>
        </row>
        <row r="4987">
          <cell r="A4987" t="str">
            <v>1512 F</v>
          </cell>
          <cell r="B4987"/>
          <cell r="C4987">
            <v>45786</v>
          </cell>
          <cell r="D4987" t="str">
            <v>فینا</v>
          </cell>
          <cell r="E4987" t="str">
            <v>عثمان امین</v>
          </cell>
        </row>
        <row r="4988">
          <cell r="A4988" t="str">
            <v>1513 F</v>
          </cell>
          <cell r="B4988"/>
          <cell r="C4988">
            <v>45786</v>
          </cell>
          <cell r="D4988" t="str">
            <v>فینا</v>
          </cell>
          <cell r="E4988" t="str">
            <v>عثمان امین</v>
          </cell>
        </row>
        <row r="4989">
          <cell r="A4989" t="str">
            <v>1514 F</v>
          </cell>
          <cell r="B4989"/>
          <cell r="C4989">
            <v>45786</v>
          </cell>
          <cell r="D4989" t="str">
            <v>فینا</v>
          </cell>
          <cell r="E4989" t="str">
            <v>عثمان امین</v>
          </cell>
        </row>
        <row r="4990">
          <cell r="A4990" t="str">
            <v>1515 F</v>
          </cell>
          <cell r="B4990"/>
          <cell r="C4990">
            <v>45786</v>
          </cell>
          <cell r="D4990" t="str">
            <v>فینا</v>
          </cell>
          <cell r="E4990" t="str">
            <v>عثمان امین</v>
          </cell>
        </row>
        <row r="4991">
          <cell r="A4991" t="str">
            <v>1516 F</v>
          </cell>
          <cell r="B4991"/>
          <cell r="C4991">
            <v>45786</v>
          </cell>
          <cell r="D4991" t="str">
            <v>فینا</v>
          </cell>
          <cell r="E4991" t="str">
            <v>عثمان امین</v>
          </cell>
        </row>
        <row r="4992">
          <cell r="A4992" t="str">
            <v>1517 F</v>
          </cell>
          <cell r="B4992"/>
          <cell r="C4992">
            <v>45786</v>
          </cell>
          <cell r="D4992" t="str">
            <v>فینا</v>
          </cell>
          <cell r="E4992" t="str">
            <v>عثمان امین</v>
          </cell>
        </row>
        <row r="4993">
          <cell r="A4993" t="str">
            <v>1518 F</v>
          </cell>
          <cell r="B4993"/>
          <cell r="C4993">
            <v>45787</v>
          </cell>
          <cell r="D4993" t="str">
            <v>فینا</v>
          </cell>
          <cell r="E4993" t="str">
            <v>عثمان امین</v>
          </cell>
        </row>
        <row r="4994">
          <cell r="A4994" t="str">
            <v>1519 F</v>
          </cell>
          <cell r="B4994"/>
          <cell r="C4994">
            <v>45787</v>
          </cell>
          <cell r="D4994" t="str">
            <v>فینا</v>
          </cell>
          <cell r="E4994" t="str">
            <v>عثمان امین</v>
          </cell>
        </row>
        <row r="4995">
          <cell r="A4995" t="str">
            <v>1520 F</v>
          </cell>
          <cell r="B4995"/>
          <cell r="C4995">
            <v>45787</v>
          </cell>
          <cell r="D4995" t="str">
            <v>فینا</v>
          </cell>
          <cell r="E4995" t="str">
            <v>عثمان امین</v>
          </cell>
        </row>
        <row r="4996">
          <cell r="A4996" t="str">
            <v>1521 F</v>
          </cell>
          <cell r="B4996"/>
          <cell r="C4996">
            <v>45787</v>
          </cell>
          <cell r="D4996" t="str">
            <v>فینا</v>
          </cell>
          <cell r="E4996" t="str">
            <v>عثمان امین</v>
          </cell>
        </row>
        <row r="4997">
          <cell r="A4997" t="str">
            <v>1522 F</v>
          </cell>
          <cell r="B4997"/>
          <cell r="C4997">
            <v>45787</v>
          </cell>
          <cell r="D4997" t="str">
            <v>فینا</v>
          </cell>
          <cell r="E4997" t="str">
            <v>عثمان امین</v>
          </cell>
        </row>
        <row r="4998">
          <cell r="A4998" t="str">
            <v>1523 F</v>
          </cell>
          <cell r="B4998"/>
          <cell r="C4998">
            <v>45787</v>
          </cell>
          <cell r="D4998" t="str">
            <v>فینا</v>
          </cell>
          <cell r="E4998" t="str">
            <v>عثمان امین</v>
          </cell>
        </row>
        <row r="4999">
          <cell r="A4999" t="str">
            <v>1524 F</v>
          </cell>
          <cell r="B4999"/>
          <cell r="C4999">
            <v>45787</v>
          </cell>
          <cell r="D4999" t="str">
            <v>فینا</v>
          </cell>
          <cell r="E4999" t="str">
            <v>عثمان امین</v>
          </cell>
        </row>
        <row r="5000">
          <cell r="A5000" t="str">
            <v>1525 F</v>
          </cell>
          <cell r="B5000"/>
          <cell r="C5000">
            <v>45787</v>
          </cell>
          <cell r="D5000" t="str">
            <v>فینا</v>
          </cell>
          <cell r="E5000" t="str">
            <v>عثمان امین</v>
          </cell>
        </row>
        <row r="5001">
          <cell r="A5001" t="str">
            <v>1526 F</v>
          </cell>
          <cell r="B5001"/>
          <cell r="C5001">
            <v>45787</v>
          </cell>
          <cell r="D5001" t="str">
            <v>فینا</v>
          </cell>
          <cell r="E5001" t="str">
            <v>عثمان امین</v>
          </cell>
        </row>
        <row r="5002">
          <cell r="A5002" t="str">
            <v>1527 F</v>
          </cell>
          <cell r="B5002"/>
          <cell r="C5002">
            <v>45787</v>
          </cell>
          <cell r="D5002" t="str">
            <v>فینا</v>
          </cell>
          <cell r="E5002" t="str">
            <v>عثمان امین</v>
          </cell>
        </row>
        <row r="5003">
          <cell r="A5003" t="str">
            <v>1528 F</v>
          </cell>
          <cell r="B5003"/>
          <cell r="C5003">
            <v>45787</v>
          </cell>
          <cell r="D5003" t="str">
            <v>فینا</v>
          </cell>
          <cell r="E5003" t="str">
            <v>عثمان امین</v>
          </cell>
        </row>
        <row r="5004">
          <cell r="A5004" t="str">
            <v>1529 F</v>
          </cell>
          <cell r="B5004"/>
          <cell r="C5004">
            <v>45787</v>
          </cell>
          <cell r="D5004" t="str">
            <v>فینا</v>
          </cell>
          <cell r="E5004" t="str">
            <v>عثمان امین</v>
          </cell>
        </row>
        <row r="5005">
          <cell r="A5005" t="str">
            <v>1530 F</v>
          </cell>
          <cell r="B5005"/>
          <cell r="C5005">
            <v>45787</v>
          </cell>
          <cell r="D5005" t="str">
            <v>فینا</v>
          </cell>
          <cell r="E5005" t="str">
            <v>عثمان امین</v>
          </cell>
        </row>
        <row r="5006">
          <cell r="A5006" t="str">
            <v>1531 F</v>
          </cell>
          <cell r="B5006"/>
          <cell r="C5006">
            <v>45787</v>
          </cell>
          <cell r="D5006" t="str">
            <v>فینا</v>
          </cell>
          <cell r="E5006" t="str">
            <v>عثمان امین</v>
          </cell>
        </row>
        <row r="5007">
          <cell r="A5007" t="str">
            <v>6847/1</v>
          </cell>
          <cell r="B5007">
            <v>6847</v>
          </cell>
          <cell r="C5007">
            <v>45783</v>
          </cell>
          <cell r="D5007" t="str">
            <v>یونس صاحب</v>
          </cell>
          <cell r="E5007" t="str">
            <v>ایم عمران پاکستان مارکیٹ</v>
          </cell>
        </row>
        <row r="5008">
          <cell r="A5008" t="str">
            <v>6847/2</v>
          </cell>
          <cell r="B5008">
            <v>6847</v>
          </cell>
          <cell r="C5008">
            <v>45783</v>
          </cell>
          <cell r="D5008" t="str">
            <v>یونس صاحب</v>
          </cell>
          <cell r="E5008" t="str">
            <v>ایم عمران پاکستان مارکیٹ</v>
          </cell>
        </row>
        <row r="5009">
          <cell r="A5009" t="str">
            <v>6847/3</v>
          </cell>
          <cell r="B5009">
            <v>6847</v>
          </cell>
          <cell r="C5009">
            <v>45783</v>
          </cell>
          <cell r="D5009" t="str">
            <v>یونس صاحب</v>
          </cell>
          <cell r="E5009" t="str">
            <v>ایم عمران پاکستان مارکیٹ</v>
          </cell>
        </row>
        <row r="5010">
          <cell r="A5010" t="str">
            <v>6847/4</v>
          </cell>
          <cell r="B5010">
            <v>6847</v>
          </cell>
          <cell r="C5010">
            <v>45783</v>
          </cell>
          <cell r="D5010" t="str">
            <v>یونس صاحب</v>
          </cell>
          <cell r="E5010" t="str">
            <v>ایم عمران پاکستان مارکیٹ</v>
          </cell>
        </row>
        <row r="5011">
          <cell r="A5011" t="str">
            <v>6847/5</v>
          </cell>
          <cell r="B5011">
            <v>6847</v>
          </cell>
          <cell r="C5011">
            <v>45783</v>
          </cell>
          <cell r="D5011" t="str">
            <v>یونس صاحب</v>
          </cell>
          <cell r="E5011" t="str">
            <v>ایم عمران پاکستان مارکیٹ</v>
          </cell>
        </row>
        <row r="5012">
          <cell r="A5012" t="str">
            <v>6847/6</v>
          </cell>
          <cell r="B5012">
            <v>6847</v>
          </cell>
          <cell r="C5012">
            <v>45783</v>
          </cell>
          <cell r="D5012" t="str">
            <v>یونس صاحب</v>
          </cell>
          <cell r="E5012" t="str">
            <v>ایم عمران پاکستان مارکیٹ</v>
          </cell>
        </row>
        <row r="5013">
          <cell r="A5013" t="str">
            <v>6847/7</v>
          </cell>
          <cell r="B5013">
            <v>6847</v>
          </cell>
          <cell r="C5013">
            <v>45783</v>
          </cell>
          <cell r="D5013" t="str">
            <v>یونس صاحب</v>
          </cell>
          <cell r="E5013" t="str">
            <v>ایم عمران پاکستان مارکیٹ</v>
          </cell>
        </row>
        <row r="5014">
          <cell r="A5014" t="str">
            <v>6848/1</v>
          </cell>
          <cell r="B5014">
            <v>6848</v>
          </cell>
          <cell r="C5014">
            <v>45783</v>
          </cell>
          <cell r="D5014" t="str">
            <v>یونس صاحب</v>
          </cell>
          <cell r="E5014" t="str">
            <v>وہاری  Pوہاری</v>
          </cell>
        </row>
        <row r="5015">
          <cell r="A5015" t="str">
            <v>6848/2</v>
          </cell>
          <cell r="B5015">
            <v>6848</v>
          </cell>
          <cell r="C5015">
            <v>45783</v>
          </cell>
          <cell r="D5015" t="str">
            <v>یونس صاحب</v>
          </cell>
          <cell r="E5015" t="str">
            <v>وہاری  Pوہاری</v>
          </cell>
        </row>
        <row r="5016">
          <cell r="A5016" t="str">
            <v>6849/1</v>
          </cell>
          <cell r="B5016">
            <v>6849</v>
          </cell>
          <cell r="C5016">
            <v>45783</v>
          </cell>
          <cell r="D5016" t="str">
            <v>یونس صاحب</v>
          </cell>
          <cell r="E5016" t="str">
            <v>حاجی اسلماعیل وہاڑی</v>
          </cell>
        </row>
        <row r="5017">
          <cell r="A5017" t="str">
            <v>6849/2</v>
          </cell>
          <cell r="B5017">
            <v>6849</v>
          </cell>
          <cell r="C5017">
            <v>45783</v>
          </cell>
          <cell r="D5017" t="str">
            <v>یونس صاحب</v>
          </cell>
          <cell r="E5017" t="str">
            <v>حاجی اسلماعیل وہاڑی</v>
          </cell>
        </row>
        <row r="5018">
          <cell r="A5018" t="str">
            <v>6849/3</v>
          </cell>
          <cell r="B5018">
            <v>6849</v>
          </cell>
          <cell r="C5018">
            <v>45783</v>
          </cell>
          <cell r="D5018" t="str">
            <v>یونس صاحب</v>
          </cell>
          <cell r="E5018" t="str">
            <v>حاجی اسلماعیل وہاڑی</v>
          </cell>
        </row>
        <row r="5019">
          <cell r="A5019" t="str">
            <v>6849/4</v>
          </cell>
          <cell r="B5019">
            <v>6849</v>
          </cell>
          <cell r="C5019">
            <v>45783</v>
          </cell>
          <cell r="D5019" t="str">
            <v>یونس صاحب</v>
          </cell>
          <cell r="E5019" t="str">
            <v>حاجی اسلماعیل وہاڑی</v>
          </cell>
        </row>
        <row r="5020">
          <cell r="A5020" t="str">
            <v>6849/5</v>
          </cell>
          <cell r="B5020">
            <v>6849</v>
          </cell>
          <cell r="C5020">
            <v>45783</v>
          </cell>
          <cell r="D5020" t="str">
            <v>یونس صاحب</v>
          </cell>
          <cell r="E5020" t="str">
            <v>حاجی اسلماعیل وہاڑی</v>
          </cell>
        </row>
        <row r="5021">
          <cell r="A5021" t="str">
            <v>6849/6</v>
          </cell>
          <cell r="B5021">
            <v>6849</v>
          </cell>
          <cell r="C5021">
            <v>45783</v>
          </cell>
          <cell r="D5021" t="str">
            <v>یونس صاحب</v>
          </cell>
          <cell r="E5021" t="str">
            <v>حاجی اسلماعیل وہاڑی</v>
          </cell>
        </row>
        <row r="5022">
          <cell r="A5022" t="str">
            <v>6849/7</v>
          </cell>
          <cell r="B5022">
            <v>6849</v>
          </cell>
          <cell r="C5022">
            <v>45783</v>
          </cell>
          <cell r="D5022" t="str">
            <v>یونس صاحب</v>
          </cell>
          <cell r="E5022" t="str">
            <v>حاجی اسلماعیل وہاڑی</v>
          </cell>
        </row>
        <row r="5023">
          <cell r="A5023" t="str">
            <v>6849/8</v>
          </cell>
          <cell r="B5023">
            <v>6849</v>
          </cell>
          <cell r="C5023">
            <v>45783</v>
          </cell>
          <cell r="D5023" t="str">
            <v>یونس صاحب</v>
          </cell>
          <cell r="E5023" t="str">
            <v>حاجی اسلماعیل وہاڑی</v>
          </cell>
        </row>
        <row r="5024">
          <cell r="A5024" t="str">
            <v>6849/9</v>
          </cell>
          <cell r="B5024">
            <v>6849</v>
          </cell>
          <cell r="C5024">
            <v>45783</v>
          </cell>
          <cell r="D5024" t="str">
            <v>یونس صاحب</v>
          </cell>
          <cell r="E5024" t="str">
            <v>حاجی اسلماعیل وہاڑی</v>
          </cell>
        </row>
        <row r="5025">
          <cell r="A5025" t="str">
            <v>6850/1</v>
          </cell>
          <cell r="B5025">
            <v>6850</v>
          </cell>
          <cell r="C5025">
            <v>45783</v>
          </cell>
          <cell r="D5025" t="str">
            <v>یونس صاحب</v>
          </cell>
          <cell r="E5025" t="str">
            <v>پیپو لفافہ چیچہ وطنی</v>
          </cell>
        </row>
        <row r="5026">
          <cell r="A5026" t="str">
            <v>6850/2</v>
          </cell>
          <cell r="B5026">
            <v>6850</v>
          </cell>
          <cell r="C5026">
            <v>45783</v>
          </cell>
          <cell r="D5026" t="str">
            <v>یونس صاحب</v>
          </cell>
          <cell r="E5026" t="str">
            <v>پیپو لفافہ چیچہ وطنی</v>
          </cell>
        </row>
        <row r="5027">
          <cell r="A5027" t="str">
            <v>6850/3</v>
          </cell>
          <cell r="B5027">
            <v>6850</v>
          </cell>
          <cell r="C5027">
            <v>45783</v>
          </cell>
          <cell r="D5027" t="str">
            <v>یونس صاحب</v>
          </cell>
          <cell r="E5027" t="str">
            <v>پیپو لفافہ چیچہ وطنی</v>
          </cell>
        </row>
        <row r="5028">
          <cell r="A5028" t="str">
            <v>6850/4</v>
          </cell>
          <cell r="B5028">
            <v>6850</v>
          </cell>
          <cell r="C5028">
            <v>45783</v>
          </cell>
          <cell r="D5028" t="str">
            <v>یونس صاحب</v>
          </cell>
          <cell r="E5028" t="str">
            <v>پیپو لفافہ چیچہ وطنی</v>
          </cell>
        </row>
        <row r="5029">
          <cell r="A5029" t="str">
            <v>6850/5</v>
          </cell>
          <cell r="B5029">
            <v>6850</v>
          </cell>
          <cell r="C5029">
            <v>45783</v>
          </cell>
          <cell r="D5029" t="str">
            <v>یونس صاحب</v>
          </cell>
          <cell r="E5029" t="str">
            <v>پیپو لفافہ چیچہ وطنی</v>
          </cell>
        </row>
        <row r="5030">
          <cell r="A5030" t="str">
            <v>6850/6</v>
          </cell>
          <cell r="B5030">
            <v>6850</v>
          </cell>
          <cell r="C5030">
            <v>45783</v>
          </cell>
          <cell r="D5030" t="str">
            <v>یونس صاحب</v>
          </cell>
          <cell r="E5030" t="str">
            <v>پیپو لفافہ چیچہ وطنی</v>
          </cell>
        </row>
        <row r="5031">
          <cell r="A5031" t="str">
            <v>6850/7</v>
          </cell>
          <cell r="B5031">
            <v>6850</v>
          </cell>
          <cell r="C5031">
            <v>45783</v>
          </cell>
          <cell r="D5031" t="str">
            <v>یونس صاحب</v>
          </cell>
          <cell r="E5031" t="str">
            <v>پیپو لفافہ چیچہ وطنی</v>
          </cell>
        </row>
        <row r="5032">
          <cell r="A5032" t="str">
            <v>6850/8</v>
          </cell>
          <cell r="B5032">
            <v>6850</v>
          </cell>
          <cell r="C5032">
            <v>45783</v>
          </cell>
          <cell r="D5032" t="str">
            <v>یونس صاحب</v>
          </cell>
          <cell r="E5032" t="str">
            <v>پیپو لفافہ چیچہ وطنی</v>
          </cell>
        </row>
        <row r="5033">
          <cell r="A5033" t="str">
            <v>6850/9</v>
          </cell>
          <cell r="B5033">
            <v>6850</v>
          </cell>
          <cell r="C5033">
            <v>45783</v>
          </cell>
          <cell r="D5033" t="str">
            <v>یونس صاحب</v>
          </cell>
          <cell r="E5033" t="str">
            <v>پیپو لفافہ چیچہ وطنی</v>
          </cell>
        </row>
        <row r="5034">
          <cell r="A5034" t="str">
            <v>6851/1</v>
          </cell>
          <cell r="B5034">
            <v>6851</v>
          </cell>
          <cell r="C5034">
            <v>45783</v>
          </cell>
          <cell r="D5034" t="str">
            <v>یونس صاحب</v>
          </cell>
          <cell r="E5034" t="str">
            <v>ملک خالد سلیم فیصل آباد</v>
          </cell>
        </row>
        <row r="5035">
          <cell r="A5035" t="str">
            <v>6851/2</v>
          </cell>
          <cell r="B5035">
            <v>6851</v>
          </cell>
          <cell r="C5035">
            <v>45783</v>
          </cell>
          <cell r="D5035" t="str">
            <v>یونس صاحب</v>
          </cell>
          <cell r="E5035" t="str">
            <v>ملک خالد سلیم فیصل آباد</v>
          </cell>
        </row>
        <row r="5036">
          <cell r="A5036" t="str">
            <v>6851/3</v>
          </cell>
          <cell r="B5036">
            <v>6851</v>
          </cell>
          <cell r="C5036">
            <v>45783</v>
          </cell>
          <cell r="D5036" t="str">
            <v>یونس صاحب</v>
          </cell>
          <cell r="E5036" t="str">
            <v>ملک خالد سلیم فیصل آباد</v>
          </cell>
        </row>
        <row r="5037">
          <cell r="A5037" t="str">
            <v>6851/4</v>
          </cell>
          <cell r="B5037">
            <v>6851</v>
          </cell>
          <cell r="C5037">
            <v>45783</v>
          </cell>
          <cell r="D5037" t="str">
            <v>یونس صاحب</v>
          </cell>
          <cell r="E5037" t="str">
            <v>ملک خالد سلیم فیصل آباد</v>
          </cell>
        </row>
        <row r="5038">
          <cell r="A5038" t="str">
            <v>6851/5</v>
          </cell>
          <cell r="B5038">
            <v>6851</v>
          </cell>
          <cell r="C5038">
            <v>45783</v>
          </cell>
          <cell r="D5038" t="str">
            <v>یونس صاحب</v>
          </cell>
          <cell r="E5038" t="str">
            <v>ملک خالد سلیم فیصل آباد</v>
          </cell>
        </row>
        <row r="5039">
          <cell r="A5039" t="str">
            <v>6851/6</v>
          </cell>
          <cell r="B5039">
            <v>6851</v>
          </cell>
          <cell r="C5039">
            <v>45783</v>
          </cell>
          <cell r="D5039" t="str">
            <v>یونس صاحب</v>
          </cell>
          <cell r="E5039" t="str">
            <v>ملک خالد سلیم فیصل آباد</v>
          </cell>
        </row>
        <row r="5040">
          <cell r="A5040" t="str">
            <v>6851/7</v>
          </cell>
          <cell r="B5040">
            <v>6851</v>
          </cell>
          <cell r="C5040">
            <v>45783</v>
          </cell>
          <cell r="D5040" t="str">
            <v>یونس صاحب</v>
          </cell>
          <cell r="E5040" t="str">
            <v>ملک خالد سلیم فیصل آباد</v>
          </cell>
        </row>
        <row r="5041">
          <cell r="A5041" t="str">
            <v>6851/8</v>
          </cell>
          <cell r="B5041">
            <v>6851</v>
          </cell>
          <cell r="C5041">
            <v>45783</v>
          </cell>
          <cell r="D5041" t="str">
            <v>یونس صاحب</v>
          </cell>
          <cell r="E5041" t="str">
            <v>ملک خالد سلیم فیصل آباد</v>
          </cell>
        </row>
        <row r="5042">
          <cell r="A5042" t="str">
            <v>6851/9</v>
          </cell>
          <cell r="B5042">
            <v>6851</v>
          </cell>
          <cell r="C5042">
            <v>45783</v>
          </cell>
          <cell r="D5042" t="str">
            <v>یونس صاحب</v>
          </cell>
          <cell r="E5042" t="str">
            <v>ملک خالد سلیم فیصل آباد</v>
          </cell>
        </row>
        <row r="5043">
          <cell r="A5043" t="str">
            <v>6851/10</v>
          </cell>
          <cell r="B5043">
            <v>6851</v>
          </cell>
          <cell r="C5043">
            <v>45783</v>
          </cell>
          <cell r="D5043" t="str">
            <v>یونس صاحب</v>
          </cell>
          <cell r="E5043" t="str">
            <v>ملک خالد سلیم فیصل آباد</v>
          </cell>
        </row>
        <row r="5044">
          <cell r="A5044" t="str">
            <v>6851/11</v>
          </cell>
          <cell r="B5044">
            <v>6851</v>
          </cell>
          <cell r="C5044">
            <v>45783</v>
          </cell>
          <cell r="D5044" t="str">
            <v>یونس صاحب</v>
          </cell>
          <cell r="E5044" t="str">
            <v>ملک خالد سلیم فیصل آباد</v>
          </cell>
        </row>
        <row r="5045">
          <cell r="A5045" t="str">
            <v>6851/12</v>
          </cell>
          <cell r="B5045">
            <v>6851</v>
          </cell>
          <cell r="C5045">
            <v>45783</v>
          </cell>
          <cell r="D5045" t="str">
            <v>یونس صاحب</v>
          </cell>
          <cell r="E5045" t="str">
            <v>ملک خالد سلیم فیصل آباد</v>
          </cell>
        </row>
        <row r="5046">
          <cell r="A5046" t="str">
            <v>6851/13</v>
          </cell>
          <cell r="B5046">
            <v>6851</v>
          </cell>
          <cell r="C5046">
            <v>45783</v>
          </cell>
          <cell r="D5046" t="str">
            <v>یونس صاحب</v>
          </cell>
          <cell r="E5046" t="str">
            <v>ملک خالد سلیم فیصل آباد</v>
          </cell>
        </row>
        <row r="5047">
          <cell r="A5047" t="str">
            <v>2270 J</v>
          </cell>
          <cell r="B5047"/>
          <cell r="C5047">
            <v>45787</v>
          </cell>
          <cell r="D5047" t="str">
            <v>OTHERS</v>
          </cell>
          <cell r="E5047" t="str">
            <v>جیلانی پولی یونٹ 2</v>
          </cell>
        </row>
        <row r="5048">
          <cell r="A5048" t="str">
            <v>2271 J</v>
          </cell>
          <cell r="B5048"/>
          <cell r="C5048">
            <v>45790</v>
          </cell>
          <cell r="D5048" t="str">
            <v>OTHERS</v>
          </cell>
          <cell r="E5048" t="str">
            <v>جیلانی پولی سٹاک</v>
          </cell>
        </row>
        <row r="5049">
          <cell r="A5049" t="str">
            <v>2272 J</v>
          </cell>
          <cell r="B5049">
            <v>12104</v>
          </cell>
          <cell r="C5049">
            <v>45789</v>
          </cell>
          <cell r="D5049" t="str">
            <v>JILANI</v>
          </cell>
          <cell r="E5049" t="str">
            <v>اسلم لفافہ فیصل آباد</v>
          </cell>
        </row>
        <row r="5050">
          <cell r="A5050" t="str">
            <v>2273 J</v>
          </cell>
          <cell r="B5050">
            <v>12105</v>
          </cell>
          <cell r="C5050">
            <v>45789</v>
          </cell>
          <cell r="D5050" t="str">
            <v>JILANI</v>
          </cell>
          <cell r="E5050" t="str">
            <v>ایسی فٹ ٹمبر مارکیٹ لاہور</v>
          </cell>
        </row>
        <row r="5051">
          <cell r="A5051" t="str">
            <v>2274 J</v>
          </cell>
          <cell r="B5051">
            <v>12106</v>
          </cell>
          <cell r="C5051">
            <v>45789</v>
          </cell>
          <cell r="D5051" t="str">
            <v>JILANI</v>
          </cell>
          <cell r="E5051" t="str">
            <v>فرحان واہ کینٹ</v>
          </cell>
        </row>
        <row r="5052">
          <cell r="A5052" t="str">
            <v>2275 J</v>
          </cell>
          <cell r="B5052">
            <v>12107</v>
          </cell>
          <cell r="C5052">
            <v>45789</v>
          </cell>
          <cell r="D5052" t="str">
            <v>JILANI</v>
          </cell>
          <cell r="E5052" t="str">
            <v>ریفلیکٹ پیک</v>
          </cell>
        </row>
        <row r="5053">
          <cell r="A5053" t="str">
            <v>2276 J</v>
          </cell>
          <cell r="B5053">
            <v>12107</v>
          </cell>
          <cell r="C5053">
            <v>45789</v>
          </cell>
          <cell r="D5053" t="str">
            <v>JILANI</v>
          </cell>
          <cell r="E5053" t="str">
            <v>ریفلیکٹ پیک</v>
          </cell>
        </row>
        <row r="5054">
          <cell r="A5054" t="str">
            <v>2277 J</v>
          </cell>
          <cell r="B5054">
            <v>12107</v>
          </cell>
          <cell r="C5054">
            <v>45789</v>
          </cell>
          <cell r="D5054" t="str">
            <v>JILANI</v>
          </cell>
          <cell r="E5054" t="str">
            <v>ریفلیکٹ پیک</v>
          </cell>
        </row>
        <row r="5055">
          <cell r="A5055" t="str">
            <v>2278 J</v>
          </cell>
          <cell r="B5055">
            <v>12107</v>
          </cell>
          <cell r="C5055">
            <v>45789</v>
          </cell>
          <cell r="D5055" t="str">
            <v>JILANI</v>
          </cell>
          <cell r="E5055" t="str">
            <v>ریفلیکٹ پیک</v>
          </cell>
        </row>
        <row r="5056">
          <cell r="A5056" t="str">
            <v>2279 J</v>
          </cell>
          <cell r="B5056">
            <v>12107</v>
          </cell>
          <cell r="C5056">
            <v>45789</v>
          </cell>
          <cell r="D5056" t="str">
            <v>JILANI</v>
          </cell>
          <cell r="E5056" t="str">
            <v>ریفلیکٹ پیک</v>
          </cell>
        </row>
        <row r="5057">
          <cell r="A5057" t="str">
            <v>2280 J</v>
          </cell>
          <cell r="B5057">
            <v>12107</v>
          </cell>
          <cell r="C5057">
            <v>45789</v>
          </cell>
          <cell r="D5057" t="str">
            <v>JILANI</v>
          </cell>
          <cell r="E5057" t="str">
            <v>ریفلیکٹ پیک</v>
          </cell>
        </row>
        <row r="5058">
          <cell r="A5058" t="str">
            <v>2281 J</v>
          </cell>
          <cell r="B5058">
            <v>12107</v>
          </cell>
          <cell r="C5058">
            <v>45789</v>
          </cell>
          <cell r="D5058" t="str">
            <v>JILANI</v>
          </cell>
          <cell r="E5058" t="str">
            <v>ریفلیکٹ پیک</v>
          </cell>
        </row>
        <row r="5059">
          <cell r="A5059" t="str">
            <v>2282 J</v>
          </cell>
          <cell r="B5059">
            <v>12107</v>
          </cell>
          <cell r="C5059">
            <v>45789</v>
          </cell>
          <cell r="D5059" t="str">
            <v>JILANI</v>
          </cell>
          <cell r="E5059" t="str">
            <v>ریفلیکٹ پیک</v>
          </cell>
        </row>
        <row r="5060">
          <cell r="A5060" t="str">
            <v>2283 J</v>
          </cell>
          <cell r="B5060">
            <v>12107</v>
          </cell>
          <cell r="C5060">
            <v>45789</v>
          </cell>
          <cell r="D5060" t="str">
            <v>JILANI</v>
          </cell>
          <cell r="E5060" t="str">
            <v>ریفلیکٹ پیک</v>
          </cell>
        </row>
        <row r="5061">
          <cell r="A5061" t="str">
            <v>2284 J</v>
          </cell>
          <cell r="B5061">
            <v>12107</v>
          </cell>
          <cell r="C5061">
            <v>45789</v>
          </cell>
          <cell r="D5061" t="str">
            <v>JILANI</v>
          </cell>
          <cell r="E5061" t="str">
            <v>ریفلیکٹ پیک</v>
          </cell>
        </row>
        <row r="5062">
          <cell r="A5062" t="str">
            <v>2285 J</v>
          </cell>
          <cell r="B5062">
            <v>12107</v>
          </cell>
          <cell r="C5062">
            <v>45789</v>
          </cell>
          <cell r="D5062" t="str">
            <v>JILANI</v>
          </cell>
          <cell r="E5062" t="str">
            <v>ریفلیکٹ پیک</v>
          </cell>
        </row>
        <row r="5063">
          <cell r="A5063" t="str">
            <v>2286 J</v>
          </cell>
          <cell r="B5063">
            <v>12107</v>
          </cell>
          <cell r="C5063">
            <v>45789</v>
          </cell>
          <cell r="D5063" t="str">
            <v>JILANI</v>
          </cell>
          <cell r="E5063" t="str">
            <v>ریفلیکٹ پیک</v>
          </cell>
        </row>
        <row r="5064">
          <cell r="A5064" t="str">
            <v>1532 F</v>
          </cell>
          <cell r="B5064"/>
          <cell r="C5064">
            <v>45789</v>
          </cell>
          <cell r="D5064" t="str">
            <v>فینا</v>
          </cell>
          <cell r="E5064" t="str">
            <v>عثمان امین</v>
          </cell>
        </row>
        <row r="5065">
          <cell r="A5065" t="str">
            <v>1533 F</v>
          </cell>
          <cell r="B5065"/>
          <cell r="C5065">
            <v>45789</v>
          </cell>
          <cell r="D5065" t="str">
            <v>فینا</v>
          </cell>
          <cell r="E5065" t="str">
            <v>عثمان امین</v>
          </cell>
        </row>
        <row r="5066">
          <cell r="A5066" t="str">
            <v>1534 F</v>
          </cell>
          <cell r="B5066"/>
          <cell r="C5066">
            <v>45789</v>
          </cell>
          <cell r="D5066" t="str">
            <v>فینا</v>
          </cell>
          <cell r="E5066" t="str">
            <v>عثمان امین</v>
          </cell>
        </row>
        <row r="5067">
          <cell r="A5067" t="str">
            <v>1535 F</v>
          </cell>
          <cell r="B5067"/>
          <cell r="C5067">
            <v>45789</v>
          </cell>
          <cell r="D5067" t="str">
            <v>فینا</v>
          </cell>
          <cell r="E5067" t="str">
            <v>عثمان امین</v>
          </cell>
        </row>
        <row r="5068">
          <cell r="A5068" t="str">
            <v>1536 F</v>
          </cell>
          <cell r="B5068"/>
          <cell r="C5068">
            <v>45789</v>
          </cell>
          <cell r="D5068" t="str">
            <v>فینا</v>
          </cell>
          <cell r="E5068" t="str">
            <v>عثمان امین</v>
          </cell>
        </row>
        <row r="5069">
          <cell r="A5069" t="str">
            <v>1537 F</v>
          </cell>
          <cell r="B5069"/>
          <cell r="C5069">
            <v>45790</v>
          </cell>
          <cell r="D5069" t="str">
            <v>فینا</v>
          </cell>
          <cell r="E5069" t="str">
            <v>عثمان امین</v>
          </cell>
        </row>
        <row r="5070">
          <cell r="A5070" t="str">
            <v>1538 F</v>
          </cell>
          <cell r="B5070"/>
          <cell r="C5070">
            <v>45790</v>
          </cell>
          <cell r="D5070" t="str">
            <v>فینا</v>
          </cell>
          <cell r="E5070" t="str">
            <v>عثمان امین</v>
          </cell>
        </row>
        <row r="5071">
          <cell r="A5071" t="str">
            <v>1539 F</v>
          </cell>
          <cell r="B5071"/>
          <cell r="C5071">
            <v>45790</v>
          </cell>
          <cell r="D5071" t="str">
            <v>فینا</v>
          </cell>
          <cell r="E5071" t="str">
            <v>عثمان امین</v>
          </cell>
        </row>
        <row r="5072">
          <cell r="A5072" t="str">
            <v>250 R</v>
          </cell>
          <cell r="B5072">
            <v>695</v>
          </cell>
          <cell r="C5072">
            <v>45783</v>
          </cell>
          <cell r="D5072" t="str">
            <v>REFLECTPACK</v>
          </cell>
          <cell r="E5072" t="str">
            <v>ریفلیکٹ پیک</v>
          </cell>
        </row>
        <row r="5073">
          <cell r="A5073" t="str">
            <v>251 R</v>
          </cell>
          <cell r="B5073">
            <v>713</v>
          </cell>
          <cell r="C5073">
            <v>45787</v>
          </cell>
          <cell r="D5073" t="str">
            <v>REFLECTPACK</v>
          </cell>
          <cell r="E5073" t="str">
            <v>ریفلیکٹ پیک</v>
          </cell>
        </row>
        <row r="5074">
          <cell r="A5074" t="str">
            <v>252 R</v>
          </cell>
          <cell r="B5074">
            <v>713</v>
          </cell>
          <cell r="C5074">
            <v>45787</v>
          </cell>
          <cell r="D5074" t="str">
            <v>REFLECTPACK</v>
          </cell>
          <cell r="E5074" t="str">
            <v>ریفلیکٹ پیک</v>
          </cell>
        </row>
        <row r="5075">
          <cell r="A5075">
            <v>2748</v>
          </cell>
          <cell r="B5075"/>
          <cell r="C5075">
            <v>45791</v>
          </cell>
          <cell r="D5075" t="str">
            <v>JILANI</v>
          </cell>
          <cell r="E5075" t="str">
            <v>M DIN PINDI</v>
          </cell>
        </row>
        <row r="5076">
          <cell r="A5076" t="str">
            <v>2287 J</v>
          </cell>
          <cell r="B5076">
            <v>12108</v>
          </cell>
          <cell r="C5076">
            <v>45790</v>
          </cell>
          <cell r="D5076" t="str">
            <v>JILANI</v>
          </cell>
          <cell r="E5076" t="str">
            <v>مدنی پرنٹنگ پریس نارنگ منڈی</v>
          </cell>
        </row>
        <row r="5077">
          <cell r="A5077" t="str">
            <v>2288 J</v>
          </cell>
          <cell r="B5077" t="str">
            <v>ٍ12109</v>
          </cell>
          <cell r="C5077">
            <v>45790</v>
          </cell>
          <cell r="D5077" t="str">
            <v>JILANI</v>
          </cell>
          <cell r="E5077" t="str">
            <v>بندوخاں لاہور</v>
          </cell>
        </row>
        <row r="5078">
          <cell r="A5078" t="str">
            <v>2289 J</v>
          </cell>
          <cell r="B5078" t="str">
            <v>ٍ12109</v>
          </cell>
          <cell r="C5078">
            <v>45790</v>
          </cell>
          <cell r="D5078" t="str">
            <v>JILANI</v>
          </cell>
          <cell r="E5078" t="str">
            <v>بندوخاں لاہور</v>
          </cell>
        </row>
        <row r="5079">
          <cell r="A5079" t="str">
            <v>2290 J</v>
          </cell>
          <cell r="B5079" t="str">
            <v>ٍ12109</v>
          </cell>
          <cell r="C5079">
            <v>45790</v>
          </cell>
          <cell r="D5079" t="str">
            <v>JILANI</v>
          </cell>
          <cell r="E5079" t="str">
            <v>بندوخاں لاہور</v>
          </cell>
        </row>
        <row r="5080">
          <cell r="A5080" t="str">
            <v>2291 J</v>
          </cell>
          <cell r="B5080" t="str">
            <v>ٍ12109</v>
          </cell>
          <cell r="C5080">
            <v>45790</v>
          </cell>
          <cell r="D5080" t="str">
            <v>JILANI</v>
          </cell>
          <cell r="E5080" t="str">
            <v>بندوخاں لاہور</v>
          </cell>
        </row>
        <row r="5081">
          <cell r="A5081" t="str">
            <v>2292 J</v>
          </cell>
          <cell r="B5081">
            <v>12110</v>
          </cell>
          <cell r="C5081">
            <v>45790</v>
          </cell>
          <cell r="D5081" t="str">
            <v>JILANI</v>
          </cell>
          <cell r="E5081" t="str">
            <v>عمر صاحب لاہور</v>
          </cell>
        </row>
        <row r="5082">
          <cell r="A5082" t="str">
            <v>2293 J</v>
          </cell>
          <cell r="B5082">
            <v>12111</v>
          </cell>
          <cell r="C5082">
            <v>45790</v>
          </cell>
          <cell r="D5082" t="str">
            <v>JILANI</v>
          </cell>
          <cell r="E5082" t="str">
            <v>صاحبزادہ پرنٹنگ سرائے نارنگ</v>
          </cell>
        </row>
        <row r="5083">
          <cell r="A5083" t="str">
            <v>2294 J</v>
          </cell>
          <cell r="B5083">
            <v>12112</v>
          </cell>
          <cell r="C5083">
            <v>45790</v>
          </cell>
          <cell r="D5083" t="str">
            <v>JILANI</v>
          </cell>
          <cell r="E5083" t="str">
            <v>جدران فیبرکس پاکستان مارکیٹ لاہور</v>
          </cell>
        </row>
        <row r="5084">
          <cell r="A5084" t="str">
            <v>2295 J</v>
          </cell>
          <cell r="B5084">
            <v>12113</v>
          </cell>
          <cell r="C5084">
            <v>45790</v>
          </cell>
          <cell r="D5084" t="str">
            <v>JILANI</v>
          </cell>
          <cell r="E5084" t="str">
            <v>وسیم شاپر ہاؤس لاہور</v>
          </cell>
        </row>
        <row r="5085">
          <cell r="A5085" t="str">
            <v>2296 J</v>
          </cell>
          <cell r="B5085">
            <v>12114</v>
          </cell>
          <cell r="C5085">
            <v>45790</v>
          </cell>
          <cell r="D5085" t="str">
            <v>JILANI</v>
          </cell>
          <cell r="E5085" t="str">
            <v>گوش آٹا چکی حافظ آباد</v>
          </cell>
        </row>
        <row r="5086">
          <cell r="A5086" t="str">
            <v>2297 J</v>
          </cell>
          <cell r="B5086">
            <v>12115</v>
          </cell>
          <cell r="C5086">
            <v>45790</v>
          </cell>
          <cell r="D5086" t="str">
            <v>JILANI</v>
          </cell>
          <cell r="E5086" t="str">
            <v>ابتسام ٹریڈرز شیخوپورا</v>
          </cell>
        </row>
        <row r="5087">
          <cell r="A5087" t="str">
            <v>2298 J</v>
          </cell>
          <cell r="B5087">
            <v>12116</v>
          </cell>
          <cell r="C5087">
            <v>45790</v>
          </cell>
          <cell r="D5087" t="str">
            <v>JILANI</v>
          </cell>
          <cell r="E5087" t="str">
            <v>ابتسام ٹریڈرز شیخوپورا</v>
          </cell>
        </row>
        <row r="5088">
          <cell r="A5088" t="str">
            <v>2299 J</v>
          </cell>
          <cell r="B5088">
            <v>12117</v>
          </cell>
          <cell r="C5088">
            <v>45790</v>
          </cell>
          <cell r="D5088" t="str">
            <v>JILANI</v>
          </cell>
          <cell r="E5088" t="str">
            <v>عثمان عارف بٹ گوجرانولہ</v>
          </cell>
        </row>
        <row r="5089">
          <cell r="A5089" t="str">
            <v>2300 J</v>
          </cell>
          <cell r="B5089">
            <v>12117</v>
          </cell>
          <cell r="C5089">
            <v>45790</v>
          </cell>
          <cell r="D5089" t="str">
            <v>JILANI</v>
          </cell>
          <cell r="E5089" t="str">
            <v>عثمان عارف بٹ گوجرانولہ</v>
          </cell>
        </row>
        <row r="5090">
          <cell r="A5090" t="str">
            <v>2301 J</v>
          </cell>
          <cell r="B5090">
            <v>12117</v>
          </cell>
          <cell r="C5090">
            <v>45790</v>
          </cell>
          <cell r="D5090" t="str">
            <v>JILANI</v>
          </cell>
          <cell r="E5090" t="str">
            <v>عثمان عارف بٹ گوجرانولہ</v>
          </cell>
        </row>
        <row r="5091">
          <cell r="A5091" t="str">
            <v>2302 J</v>
          </cell>
          <cell r="B5091">
            <v>12117</v>
          </cell>
          <cell r="C5091">
            <v>45790</v>
          </cell>
          <cell r="D5091" t="str">
            <v>JILANI</v>
          </cell>
          <cell r="E5091" t="str">
            <v>عثمان عارف بٹ گوجرانولہ</v>
          </cell>
        </row>
        <row r="5092">
          <cell r="A5092" t="str">
            <v>2303 J</v>
          </cell>
          <cell r="B5092">
            <v>12118</v>
          </cell>
          <cell r="C5092">
            <v>45790</v>
          </cell>
          <cell r="D5092" t="str">
            <v>JILANI</v>
          </cell>
          <cell r="E5092" t="str">
            <v>عثمان عارف بٹ گوجرانولہ</v>
          </cell>
        </row>
        <row r="5093">
          <cell r="A5093" t="str">
            <v>2304 J</v>
          </cell>
          <cell r="B5093">
            <v>12118</v>
          </cell>
          <cell r="C5093">
            <v>45790</v>
          </cell>
          <cell r="D5093" t="str">
            <v>JILANI</v>
          </cell>
          <cell r="E5093" t="str">
            <v>عثمان عارف بٹ گوجرانولہ</v>
          </cell>
        </row>
        <row r="5094">
          <cell r="A5094" t="str">
            <v>2305 J</v>
          </cell>
          <cell r="B5094">
            <v>12118</v>
          </cell>
          <cell r="C5094">
            <v>45790</v>
          </cell>
          <cell r="D5094" t="str">
            <v>JILANI</v>
          </cell>
          <cell r="E5094" t="str">
            <v>عثمان عارف بٹ گوجرانولہ</v>
          </cell>
        </row>
        <row r="5095">
          <cell r="A5095" t="str">
            <v>2306 J</v>
          </cell>
          <cell r="B5095">
            <v>12118</v>
          </cell>
          <cell r="C5095">
            <v>45790</v>
          </cell>
          <cell r="D5095" t="str">
            <v>JILANI</v>
          </cell>
          <cell r="E5095" t="str">
            <v>عثمان عارف بٹ گوجرانولہ</v>
          </cell>
        </row>
        <row r="5096">
          <cell r="A5096" t="str">
            <v>2307 J</v>
          </cell>
          <cell r="B5096">
            <v>12121</v>
          </cell>
          <cell r="C5096">
            <v>45790</v>
          </cell>
          <cell r="D5096" t="str">
            <v>JILANI</v>
          </cell>
          <cell r="E5096" t="str">
            <v>شفعی ٹیکسل</v>
          </cell>
        </row>
        <row r="5097">
          <cell r="A5097" t="str">
            <v>2308 J</v>
          </cell>
          <cell r="B5097">
            <v>12121</v>
          </cell>
          <cell r="C5097">
            <v>45790</v>
          </cell>
          <cell r="D5097" t="str">
            <v>JILANI</v>
          </cell>
          <cell r="E5097" t="str">
            <v>شفعی ٹیکسل</v>
          </cell>
        </row>
        <row r="5098">
          <cell r="A5098" t="str">
            <v>2309 J</v>
          </cell>
          <cell r="B5098">
            <v>12121</v>
          </cell>
          <cell r="C5098">
            <v>45790</v>
          </cell>
          <cell r="D5098" t="str">
            <v>JILANI</v>
          </cell>
          <cell r="E5098" t="str">
            <v>شفعی ٹیکسل</v>
          </cell>
        </row>
        <row r="5099">
          <cell r="A5099" t="str">
            <v>2310 J</v>
          </cell>
          <cell r="B5099">
            <v>12121</v>
          </cell>
          <cell r="C5099">
            <v>45790</v>
          </cell>
          <cell r="D5099" t="str">
            <v>JILANI</v>
          </cell>
          <cell r="E5099" t="str">
            <v>شفعی ٹیکسل</v>
          </cell>
        </row>
        <row r="5100">
          <cell r="A5100" t="str">
            <v>2311 J</v>
          </cell>
          <cell r="B5100">
            <v>12122</v>
          </cell>
          <cell r="C5100">
            <v>45790</v>
          </cell>
          <cell r="D5100" t="str">
            <v>JILANI</v>
          </cell>
          <cell r="E5100" t="str">
            <v>ہدایت خان پشاور</v>
          </cell>
        </row>
        <row r="5101">
          <cell r="A5101" t="str">
            <v>2312 J</v>
          </cell>
          <cell r="B5101">
            <v>12122</v>
          </cell>
          <cell r="C5101">
            <v>45790</v>
          </cell>
          <cell r="D5101" t="str">
            <v>JILANI</v>
          </cell>
          <cell r="E5101" t="str">
            <v>ہدایت خان پشاور</v>
          </cell>
        </row>
        <row r="5102">
          <cell r="A5102" t="str">
            <v>2313 J</v>
          </cell>
          <cell r="B5102">
            <v>12123</v>
          </cell>
          <cell r="C5102">
            <v>45790</v>
          </cell>
          <cell r="D5102" t="str">
            <v>JILANI</v>
          </cell>
          <cell r="E5102" t="str">
            <v>اصغر علی اعظم مارکیٹ لاہور</v>
          </cell>
        </row>
        <row r="5103">
          <cell r="A5103" t="str">
            <v>2314 J</v>
          </cell>
          <cell r="B5103">
            <v>12123</v>
          </cell>
          <cell r="C5103">
            <v>45790</v>
          </cell>
          <cell r="D5103" t="str">
            <v>JILANI</v>
          </cell>
          <cell r="E5103" t="str">
            <v>اصغر علی اعظم مارکیٹ لاہور</v>
          </cell>
        </row>
        <row r="5104">
          <cell r="A5104" t="str">
            <v>2315 J</v>
          </cell>
          <cell r="B5104">
            <v>12124</v>
          </cell>
          <cell r="C5104">
            <v>45790</v>
          </cell>
          <cell r="D5104" t="str">
            <v>JILANI</v>
          </cell>
          <cell r="E5104" t="str">
            <v>اٹلس ہنڈا لمیٹڈ کراچی</v>
          </cell>
        </row>
        <row r="5105">
          <cell r="A5105" t="str">
            <v>2316 J</v>
          </cell>
          <cell r="B5105"/>
          <cell r="C5105">
            <v>45791</v>
          </cell>
          <cell r="D5105" t="str">
            <v>OTHERS</v>
          </cell>
          <cell r="E5105" t="str">
            <v>جیلانی پولی سٹاک</v>
          </cell>
        </row>
        <row r="5106">
          <cell r="A5106" t="str">
            <v>2317 J</v>
          </cell>
          <cell r="B5106"/>
          <cell r="C5106">
            <v>45791</v>
          </cell>
          <cell r="D5106" t="str">
            <v>OTHERS</v>
          </cell>
          <cell r="E5106" t="str">
            <v>جیلانی پلاسٹک</v>
          </cell>
        </row>
        <row r="5107">
          <cell r="A5107" t="str">
            <v>2318 J</v>
          </cell>
          <cell r="B5107"/>
          <cell r="C5107">
            <v>45791</v>
          </cell>
          <cell r="D5107" t="str">
            <v>OTHERS</v>
          </cell>
          <cell r="E5107" t="str">
            <v>جیلانی پولی سٹاک</v>
          </cell>
        </row>
        <row r="5108">
          <cell r="A5108" t="str">
            <v>2319 J</v>
          </cell>
          <cell r="B5108">
            <v>12119</v>
          </cell>
          <cell r="C5108">
            <v>45790</v>
          </cell>
          <cell r="D5108" t="str">
            <v>JILANI</v>
          </cell>
          <cell r="E5108" t="str">
            <v>طارق کلاتھ ہاؤس لاہور</v>
          </cell>
        </row>
        <row r="5109">
          <cell r="A5109" t="str">
            <v>2320 J</v>
          </cell>
          <cell r="B5109">
            <v>12120</v>
          </cell>
          <cell r="C5109">
            <v>45790</v>
          </cell>
          <cell r="D5109" t="str">
            <v>JILANI</v>
          </cell>
          <cell r="E5109" t="str">
            <v>طارق کلاتھ ہاؤس لاہور</v>
          </cell>
        </row>
        <row r="5110">
          <cell r="A5110" t="str">
            <v>2321 J</v>
          </cell>
          <cell r="B5110">
            <v>12120</v>
          </cell>
          <cell r="C5110">
            <v>45790</v>
          </cell>
          <cell r="D5110" t="str">
            <v>JILANI</v>
          </cell>
          <cell r="E5110" t="str">
            <v>صوفی اقبال کلاتھ ہاؤس شکر گڑھ</v>
          </cell>
        </row>
        <row r="5111">
          <cell r="A5111" t="str">
            <v>2322 J</v>
          </cell>
          <cell r="B5111"/>
          <cell r="C5111">
            <v>45791</v>
          </cell>
          <cell r="D5111" t="str">
            <v>JILANI</v>
          </cell>
          <cell r="E5111" t="str">
            <v>-</v>
          </cell>
        </row>
        <row r="5112">
          <cell r="A5112" t="str">
            <v>2323 J</v>
          </cell>
          <cell r="B5112">
            <v>12146</v>
          </cell>
          <cell r="C5112">
            <v>45791</v>
          </cell>
          <cell r="D5112" t="str">
            <v>JILANI</v>
          </cell>
          <cell r="E5112" t="str">
            <v>لاہور ویسٹ مینجمنٹ کمپنی</v>
          </cell>
        </row>
        <row r="5113">
          <cell r="A5113" t="str">
            <v>2324 J</v>
          </cell>
          <cell r="B5113">
            <v>12125</v>
          </cell>
          <cell r="C5113">
            <v>45791</v>
          </cell>
          <cell r="D5113" t="str">
            <v>JILANI</v>
          </cell>
          <cell r="E5113" t="str">
            <v>بادشاہ کمپیوٹر گجراونالہ</v>
          </cell>
        </row>
        <row r="5114">
          <cell r="A5114" t="str">
            <v>2325 J</v>
          </cell>
          <cell r="B5114">
            <v>12126</v>
          </cell>
          <cell r="C5114">
            <v>45791</v>
          </cell>
          <cell r="D5114" t="str">
            <v>JILANI</v>
          </cell>
          <cell r="E5114" t="str">
            <v>پاک سویٹس خانکاہ ڈوگراں</v>
          </cell>
        </row>
        <row r="5115">
          <cell r="A5115" t="str">
            <v>2326 J</v>
          </cell>
          <cell r="B5115">
            <v>12126</v>
          </cell>
          <cell r="C5115">
            <v>45791</v>
          </cell>
          <cell r="D5115" t="str">
            <v>JILANI</v>
          </cell>
          <cell r="E5115" t="str">
            <v>پاک سویٹس خانکاہ ڈوگراں</v>
          </cell>
        </row>
        <row r="5116">
          <cell r="A5116" t="str">
            <v>2327 J</v>
          </cell>
          <cell r="B5116">
            <v>12126</v>
          </cell>
          <cell r="C5116">
            <v>45791</v>
          </cell>
          <cell r="D5116" t="str">
            <v>JILANI</v>
          </cell>
          <cell r="E5116" t="str">
            <v>پاک سویٹس خانکاہ ڈوگراں</v>
          </cell>
        </row>
        <row r="5117">
          <cell r="A5117" t="str">
            <v>2328 J</v>
          </cell>
          <cell r="B5117">
            <v>12127</v>
          </cell>
          <cell r="C5117">
            <v>45791</v>
          </cell>
          <cell r="D5117" t="str">
            <v>JILANI</v>
          </cell>
          <cell r="E5117" t="str">
            <v>سکائی پیک شجاع راولپنڈی</v>
          </cell>
        </row>
        <row r="5118">
          <cell r="A5118" t="str">
            <v>2329 J</v>
          </cell>
          <cell r="B5118">
            <v>12127</v>
          </cell>
          <cell r="C5118">
            <v>45791</v>
          </cell>
          <cell r="D5118" t="str">
            <v>JILANI</v>
          </cell>
          <cell r="E5118" t="str">
            <v>سکائی پیک شجاع راولپنڈی</v>
          </cell>
        </row>
        <row r="5119">
          <cell r="A5119" t="str">
            <v>2330 J</v>
          </cell>
          <cell r="B5119">
            <v>12128</v>
          </cell>
          <cell r="C5119">
            <v>45791</v>
          </cell>
          <cell r="D5119" t="str">
            <v>JILANI</v>
          </cell>
          <cell r="E5119" t="str">
            <v>احسان کاٹن پراڈکٹس</v>
          </cell>
        </row>
        <row r="5120">
          <cell r="A5120" t="str">
            <v>2331 J</v>
          </cell>
          <cell r="B5120">
            <v>12129</v>
          </cell>
          <cell r="C5120">
            <v>45791</v>
          </cell>
          <cell r="D5120" t="str">
            <v>JILANI</v>
          </cell>
          <cell r="E5120" t="str">
            <v>تکبیر ایگروگوجرانوالہ کئیر آف آصف اقبال</v>
          </cell>
        </row>
        <row r="5121">
          <cell r="A5121" t="str">
            <v>2332 J</v>
          </cell>
          <cell r="B5121">
            <v>12130</v>
          </cell>
          <cell r="C5121">
            <v>45791</v>
          </cell>
          <cell r="D5121" t="str">
            <v>JILANI</v>
          </cell>
          <cell r="E5121" t="str">
            <v>عالم پرنٹرز بٹ خیلہ</v>
          </cell>
        </row>
        <row r="5122">
          <cell r="A5122" t="str">
            <v>2333 J</v>
          </cell>
          <cell r="B5122">
            <v>12131</v>
          </cell>
          <cell r="C5122">
            <v>45791</v>
          </cell>
          <cell r="D5122" t="str">
            <v>JILANI</v>
          </cell>
          <cell r="E5122" t="str">
            <v>فاروق ٹیکسٹائل لاہور</v>
          </cell>
        </row>
        <row r="5123">
          <cell r="A5123" t="str">
            <v>2334 J</v>
          </cell>
          <cell r="B5123">
            <v>12132</v>
          </cell>
          <cell r="C5123">
            <v>45791</v>
          </cell>
          <cell r="D5123" t="str">
            <v>JILANI</v>
          </cell>
          <cell r="E5123" t="str">
            <v>فاروق ٹیکسٹائل لاہور</v>
          </cell>
        </row>
        <row r="5124">
          <cell r="A5124" t="str">
            <v>2335 J</v>
          </cell>
          <cell r="B5124">
            <v>12133</v>
          </cell>
          <cell r="C5124">
            <v>45791</v>
          </cell>
          <cell r="D5124" t="str">
            <v>JILANI</v>
          </cell>
          <cell r="E5124" t="str">
            <v>فاروق ٹیکسٹائل لاہور</v>
          </cell>
        </row>
        <row r="5125">
          <cell r="A5125" t="str">
            <v>2336 J</v>
          </cell>
          <cell r="B5125">
            <v>12134</v>
          </cell>
          <cell r="C5125">
            <v>45791</v>
          </cell>
          <cell r="D5125" t="str">
            <v>JILANI</v>
          </cell>
          <cell r="E5125" t="str">
            <v>افنان پرنٹنگ پریس بٹ خیلہ</v>
          </cell>
        </row>
        <row r="5126">
          <cell r="A5126" t="str">
            <v>2337 J</v>
          </cell>
          <cell r="B5126">
            <v>12134</v>
          </cell>
          <cell r="C5126">
            <v>45791</v>
          </cell>
          <cell r="D5126" t="str">
            <v>JILANI</v>
          </cell>
          <cell r="E5126" t="str">
            <v>افنان پرنٹنگ پریس بٹ خیلہ</v>
          </cell>
        </row>
        <row r="5127">
          <cell r="A5127" t="str">
            <v>2338 J</v>
          </cell>
          <cell r="B5127">
            <v>12135</v>
          </cell>
          <cell r="C5127">
            <v>45791</v>
          </cell>
          <cell r="D5127" t="str">
            <v>JILANI</v>
          </cell>
          <cell r="E5127" t="str">
            <v>افنان پرنٹنگ پریس بٹ خیلہ</v>
          </cell>
        </row>
        <row r="5128">
          <cell r="A5128" t="str">
            <v>2339 J</v>
          </cell>
          <cell r="B5128">
            <v>12136</v>
          </cell>
          <cell r="C5128">
            <v>45791</v>
          </cell>
          <cell r="D5128" t="str">
            <v>JILANI</v>
          </cell>
          <cell r="E5128" t="str">
            <v>عالم پرنٹرز بٹ خیلہ</v>
          </cell>
        </row>
        <row r="5129">
          <cell r="A5129" t="str">
            <v>2340 J</v>
          </cell>
          <cell r="B5129">
            <v>12136</v>
          </cell>
          <cell r="C5129">
            <v>45791</v>
          </cell>
          <cell r="D5129" t="str">
            <v>JILANI</v>
          </cell>
          <cell r="E5129" t="str">
            <v>عالم پرنٹرز بٹ خیلہ</v>
          </cell>
        </row>
        <row r="5130">
          <cell r="A5130" t="str">
            <v>2341 J</v>
          </cell>
          <cell r="B5130">
            <v>12137</v>
          </cell>
          <cell r="C5130">
            <v>45791</v>
          </cell>
          <cell r="D5130" t="str">
            <v>JILANI</v>
          </cell>
          <cell r="E5130" t="str">
            <v>نیو رائل سویٹس اینڈ بیکرز کوہاٹ</v>
          </cell>
        </row>
        <row r="5131">
          <cell r="A5131" t="str">
            <v>2342 J</v>
          </cell>
          <cell r="B5131">
            <v>12137</v>
          </cell>
          <cell r="C5131">
            <v>45791</v>
          </cell>
          <cell r="D5131" t="str">
            <v>JILANI</v>
          </cell>
          <cell r="E5131" t="str">
            <v>نیو رائل سویٹس اینڈ بیکرز کوہاٹ</v>
          </cell>
        </row>
        <row r="5132">
          <cell r="A5132" t="str">
            <v>2343 J</v>
          </cell>
          <cell r="B5132">
            <v>12137</v>
          </cell>
          <cell r="C5132">
            <v>45791</v>
          </cell>
          <cell r="D5132" t="str">
            <v>JILANI</v>
          </cell>
          <cell r="E5132" t="str">
            <v>نیو رائل سویٹس اینڈ بیکرز کوہاٹ</v>
          </cell>
        </row>
        <row r="5133">
          <cell r="A5133" t="str">
            <v>2344 J</v>
          </cell>
          <cell r="B5133">
            <v>12138</v>
          </cell>
          <cell r="C5133">
            <v>45791</v>
          </cell>
          <cell r="D5133" t="str">
            <v>JILANI</v>
          </cell>
          <cell r="E5133" t="str">
            <v>عثمان کلاتھ ہاؤس چیچہ وطنی</v>
          </cell>
        </row>
        <row r="5134">
          <cell r="A5134" t="str">
            <v>2345 J</v>
          </cell>
          <cell r="B5134">
            <v>12139</v>
          </cell>
          <cell r="C5134">
            <v>45791</v>
          </cell>
          <cell r="D5134" t="str">
            <v>JILANI</v>
          </cell>
          <cell r="E5134" t="str">
            <v>عالم پرنٹرز بٹ خیلہ</v>
          </cell>
        </row>
        <row r="5135">
          <cell r="A5135" t="str">
            <v>2346 J</v>
          </cell>
          <cell r="B5135">
            <v>12139</v>
          </cell>
          <cell r="C5135">
            <v>45791</v>
          </cell>
          <cell r="D5135" t="str">
            <v>JILANI</v>
          </cell>
          <cell r="E5135" t="str">
            <v>عالم پرنٹرز بٹ خیلہ</v>
          </cell>
        </row>
        <row r="5136">
          <cell r="A5136" t="str">
            <v>2347 J</v>
          </cell>
          <cell r="B5136">
            <v>12139</v>
          </cell>
          <cell r="C5136">
            <v>45791</v>
          </cell>
          <cell r="D5136" t="str">
            <v>JILANI</v>
          </cell>
          <cell r="E5136" t="str">
            <v>عالم پرنٹرز بٹ خیلہ</v>
          </cell>
        </row>
        <row r="5137">
          <cell r="A5137" t="str">
            <v>2348 J</v>
          </cell>
          <cell r="B5137">
            <v>12140</v>
          </cell>
          <cell r="C5137">
            <v>45791</v>
          </cell>
          <cell r="D5137" t="str">
            <v>JILANI</v>
          </cell>
          <cell r="E5137" t="str">
            <v>نظر قمر پلاسٹک C/Oصابر پلاسٹک شاہدرہ</v>
          </cell>
        </row>
        <row r="5138">
          <cell r="A5138" t="str">
            <v>2349 J</v>
          </cell>
          <cell r="B5138">
            <v>12140</v>
          </cell>
          <cell r="C5138">
            <v>45791</v>
          </cell>
          <cell r="D5138" t="str">
            <v>JILANI</v>
          </cell>
          <cell r="E5138" t="str">
            <v>نظر قمر پلاسٹک C/Oصابر پلاسٹک شاہدرہ</v>
          </cell>
        </row>
        <row r="5139">
          <cell r="A5139" t="str">
            <v>2350 J</v>
          </cell>
          <cell r="B5139">
            <v>12140</v>
          </cell>
          <cell r="C5139">
            <v>45791</v>
          </cell>
          <cell r="D5139" t="str">
            <v>JILANI</v>
          </cell>
          <cell r="E5139" t="str">
            <v>نظر قمر پلاسٹک C/Oصابر پلاسٹک شاہدرہ</v>
          </cell>
        </row>
        <row r="5140">
          <cell r="A5140" t="str">
            <v>2351 J</v>
          </cell>
          <cell r="B5140">
            <v>12141</v>
          </cell>
          <cell r="C5140">
            <v>45791</v>
          </cell>
          <cell r="D5140" t="str">
            <v>JILANI</v>
          </cell>
          <cell r="E5140" t="str">
            <v>سپر یونیفارم شاپ لاہور</v>
          </cell>
        </row>
        <row r="5141">
          <cell r="A5141" t="str">
            <v>2352 J</v>
          </cell>
          <cell r="B5141">
            <v>12141</v>
          </cell>
          <cell r="C5141">
            <v>45791</v>
          </cell>
          <cell r="D5141" t="str">
            <v>JILANI</v>
          </cell>
          <cell r="E5141" t="str">
            <v>سپر یونیفارم شاپ لاہور</v>
          </cell>
        </row>
        <row r="5142">
          <cell r="A5142" t="str">
            <v>2353 J</v>
          </cell>
          <cell r="B5142">
            <v>12141</v>
          </cell>
          <cell r="C5142">
            <v>45791</v>
          </cell>
          <cell r="D5142" t="str">
            <v>JILANI</v>
          </cell>
          <cell r="E5142" t="str">
            <v>سپر یونیفارم شاپ لاہور</v>
          </cell>
        </row>
        <row r="5143">
          <cell r="A5143" t="str">
            <v>2354 J</v>
          </cell>
          <cell r="B5143">
            <v>12141</v>
          </cell>
          <cell r="C5143">
            <v>45791</v>
          </cell>
          <cell r="D5143" t="str">
            <v>JILANI</v>
          </cell>
          <cell r="E5143" t="str">
            <v>سپر یونیفارم شاپ لاہور</v>
          </cell>
        </row>
        <row r="5144">
          <cell r="A5144" t="str">
            <v>2355 J</v>
          </cell>
          <cell r="B5144">
            <v>12142</v>
          </cell>
          <cell r="C5144">
            <v>45791</v>
          </cell>
          <cell r="D5144" t="str">
            <v>JILANI</v>
          </cell>
          <cell r="E5144" t="str">
            <v>فینسی گارمنٹس کامونکی</v>
          </cell>
        </row>
        <row r="5145">
          <cell r="A5145" t="str">
            <v>2356 J</v>
          </cell>
          <cell r="B5145">
            <v>12143</v>
          </cell>
          <cell r="C5145">
            <v>45791</v>
          </cell>
          <cell r="D5145" t="str">
            <v>JILANI</v>
          </cell>
          <cell r="E5145" t="str">
            <v>فینسی گارمنٹس کامونکی</v>
          </cell>
        </row>
        <row r="5146">
          <cell r="A5146" t="str">
            <v>2357 J</v>
          </cell>
          <cell r="B5146">
            <v>12144</v>
          </cell>
          <cell r="C5146">
            <v>45791</v>
          </cell>
          <cell r="D5146" t="str">
            <v>JILANI</v>
          </cell>
          <cell r="E5146" t="str">
            <v>فینسی گارمنٹس کامونکی</v>
          </cell>
        </row>
        <row r="5147">
          <cell r="A5147" t="str">
            <v>2358 J</v>
          </cell>
          <cell r="B5147">
            <v>12144</v>
          </cell>
          <cell r="C5147">
            <v>45791</v>
          </cell>
          <cell r="D5147" t="str">
            <v>JILANI</v>
          </cell>
          <cell r="E5147" t="str">
            <v>فینسی گارمنٹس کامونکی</v>
          </cell>
        </row>
        <row r="5148">
          <cell r="A5148" t="str">
            <v>2359 J</v>
          </cell>
          <cell r="B5148">
            <v>12144</v>
          </cell>
          <cell r="C5148">
            <v>45791</v>
          </cell>
          <cell r="D5148" t="str">
            <v>JILANI</v>
          </cell>
          <cell r="E5148" t="str">
            <v>فینسی گارمنٹس کامونکی</v>
          </cell>
        </row>
        <row r="5149">
          <cell r="A5149" t="str">
            <v>2360 J</v>
          </cell>
          <cell r="B5149">
            <v>12145</v>
          </cell>
          <cell r="C5149">
            <v>45791</v>
          </cell>
          <cell r="D5149" t="str">
            <v>JILANI</v>
          </cell>
          <cell r="E5149" t="str">
            <v>فینسی گارمنٹس کامونکی</v>
          </cell>
        </row>
        <row r="5150">
          <cell r="A5150" t="str">
            <v>2361 J</v>
          </cell>
          <cell r="B5150">
            <v>12145</v>
          </cell>
          <cell r="C5150">
            <v>45791</v>
          </cell>
          <cell r="D5150" t="str">
            <v>JILANI</v>
          </cell>
          <cell r="E5150" t="str">
            <v>فینسی گارمنٹس کامونکی</v>
          </cell>
        </row>
        <row r="5151">
          <cell r="A5151" t="str">
            <v>2362 J</v>
          </cell>
          <cell r="B5151">
            <v>12145</v>
          </cell>
          <cell r="C5151">
            <v>45791</v>
          </cell>
          <cell r="D5151" t="str">
            <v>JILANI</v>
          </cell>
          <cell r="E5151" t="str">
            <v>فینسی گارمنٹس کامونکی</v>
          </cell>
        </row>
        <row r="5152">
          <cell r="A5152" t="str">
            <v>2363 J</v>
          </cell>
          <cell r="B5152">
            <v>12145</v>
          </cell>
          <cell r="C5152">
            <v>45791</v>
          </cell>
          <cell r="D5152" t="str">
            <v>JILANI</v>
          </cell>
          <cell r="E5152" t="str">
            <v>فینسی گارمنٹس کامونکی</v>
          </cell>
        </row>
        <row r="5153">
          <cell r="A5153" t="str">
            <v>2364 J</v>
          </cell>
          <cell r="B5153">
            <v>12147</v>
          </cell>
          <cell r="C5153">
            <v>45791</v>
          </cell>
          <cell r="D5153" t="str">
            <v>JILANI</v>
          </cell>
          <cell r="E5153" t="str">
            <v>شیخ اقبال کلاتھ اینڈ بوتیک سنٹر لاہور</v>
          </cell>
        </row>
        <row r="5154">
          <cell r="A5154" t="str">
            <v>2365 J</v>
          </cell>
          <cell r="B5154">
            <v>12147</v>
          </cell>
          <cell r="C5154">
            <v>45791</v>
          </cell>
          <cell r="D5154" t="str">
            <v>JILANI</v>
          </cell>
          <cell r="E5154" t="str">
            <v>شیخ اقبال کلاتھ اینڈ بوتیک سنٹر لاہور</v>
          </cell>
        </row>
        <row r="5155">
          <cell r="A5155" t="str">
            <v>2366 J</v>
          </cell>
          <cell r="B5155">
            <v>12148</v>
          </cell>
          <cell r="C5155">
            <v>45791</v>
          </cell>
          <cell r="D5155" t="str">
            <v>JILANI</v>
          </cell>
          <cell r="E5155" t="str">
            <v>شیخ اقبال کلاتھ اینڈ بوتیک سنٹر لاہور</v>
          </cell>
        </row>
        <row r="5156">
          <cell r="A5156" t="str">
            <v>2367 J</v>
          </cell>
          <cell r="B5156">
            <v>12148</v>
          </cell>
          <cell r="C5156">
            <v>45791</v>
          </cell>
          <cell r="D5156" t="str">
            <v>JILANI</v>
          </cell>
          <cell r="E5156" t="str">
            <v>شیخ اقبال کلاتھ اینڈ بوتیک سنٹر لاہور</v>
          </cell>
        </row>
        <row r="5157">
          <cell r="A5157" t="str">
            <v>2368 J</v>
          </cell>
          <cell r="B5157">
            <v>12149</v>
          </cell>
          <cell r="C5157">
            <v>45791</v>
          </cell>
          <cell r="D5157" t="str">
            <v>JILANI</v>
          </cell>
          <cell r="E5157" t="str">
            <v>زاہد منظور لاہور</v>
          </cell>
        </row>
        <row r="5158">
          <cell r="A5158" t="str">
            <v>2369 J</v>
          </cell>
          <cell r="B5158">
            <v>12149</v>
          </cell>
          <cell r="C5158">
            <v>45791</v>
          </cell>
          <cell r="D5158" t="str">
            <v>JILANI</v>
          </cell>
          <cell r="E5158" t="str">
            <v>زاہد منظور لاہور</v>
          </cell>
        </row>
        <row r="5159">
          <cell r="A5159" t="str">
            <v>2370 J</v>
          </cell>
          <cell r="B5159">
            <v>12149</v>
          </cell>
          <cell r="C5159">
            <v>45791</v>
          </cell>
          <cell r="D5159" t="str">
            <v>JILANI</v>
          </cell>
          <cell r="E5159" t="str">
            <v>زاہد منظور لاہور</v>
          </cell>
        </row>
        <row r="5160">
          <cell r="A5160" t="str">
            <v>2371 J</v>
          </cell>
          <cell r="B5160">
            <v>12150</v>
          </cell>
          <cell r="C5160">
            <v>45791</v>
          </cell>
          <cell r="D5160" t="str">
            <v>JILANI</v>
          </cell>
          <cell r="E5160" t="str">
            <v>اے کے اينڈ ايچ بی سی او لاہور</v>
          </cell>
        </row>
        <row r="5161">
          <cell r="A5161" t="str">
            <v>2372 J</v>
          </cell>
          <cell r="B5161">
            <v>12151</v>
          </cell>
          <cell r="C5161">
            <v>45791</v>
          </cell>
          <cell r="D5161" t="str">
            <v>JILANI</v>
          </cell>
          <cell r="E5161" t="str">
            <v>اے کے اينڈ ايچ بی سی او لاہور</v>
          </cell>
        </row>
        <row r="5162">
          <cell r="A5162" t="str">
            <v>2373 J</v>
          </cell>
          <cell r="B5162">
            <v>12152</v>
          </cell>
          <cell r="C5162">
            <v>45791</v>
          </cell>
          <cell r="D5162" t="str">
            <v>JILANI</v>
          </cell>
          <cell r="E5162" t="str">
            <v>عالم پرنٹرز بٹ خیلہ</v>
          </cell>
        </row>
        <row r="5163">
          <cell r="A5163" t="str">
            <v>2374 J</v>
          </cell>
          <cell r="B5163">
            <v>12153</v>
          </cell>
          <cell r="C5163">
            <v>45791</v>
          </cell>
          <cell r="D5163" t="str">
            <v>JILANI</v>
          </cell>
          <cell r="E5163" t="str">
            <v>می اینڈ مائن پشاور</v>
          </cell>
        </row>
        <row r="5164">
          <cell r="A5164" t="str">
            <v>1540 F</v>
          </cell>
          <cell r="B5164"/>
          <cell r="C5164">
            <v>45791</v>
          </cell>
          <cell r="D5164" t="str">
            <v>فینا</v>
          </cell>
          <cell r="E5164" t="str">
            <v>عثمان امین</v>
          </cell>
        </row>
        <row r="5165">
          <cell r="A5165" t="str">
            <v>1541 F</v>
          </cell>
          <cell r="B5165"/>
          <cell r="C5165">
            <v>45791</v>
          </cell>
          <cell r="D5165" t="str">
            <v>فینا</v>
          </cell>
          <cell r="E5165" t="str">
            <v>عثمان امین</v>
          </cell>
        </row>
        <row r="5166">
          <cell r="A5166" t="str">
            <v>1542 F</v>
          </cell>
          <cell r="B5166"/>
          <cell r="C5166">
            <v>45791</v>
          </cell>
          <cell r="D5166" t="str">
            <v>فینا</v>
          </cell>
          <cell r="E5166" t="str">
            <v>عثمان امین</v>
          </cell>
        </row>
        <row r="5167">
          <cell r="A5167" t="str">
            <v>1543 F</v>
          </cell>
          <cell r="B5167"/>
          <cell r="C5167">
            <v>45791</v>
          </cell>
          <cell r="D5167" t="str">
            <v>فینا</v>
          </cell>
          <cell r="E5167" t="str">
            <v>عثمان امین</v>
          </cell>
        </row>
        <row r="5168">
          <cell r="A5168" t="str">
            <v>1544 F</v>
          </cell>
          <cell r="B5168"/>
          <cell r="C5168">
            <v>45791</v>
          </cell>
          <cell r="D5168" t="str">
            <v>فینا</v>
          </cell>
          <cell r="E5168" t="str">
            <v>عثمان امین</v>
          </cell>
        </row>
        <row r="5169">
          <cell r="A5169" t="str">
            <v>1545 F</v>
          </cell>
          <cell r="B5169"/>
          <cell r="C5169">
            <v>45792</v>
          </cell>
          <cell r="D5169" t="str">
            <v>فینا</v>
          </cell>
          <cell r="E5169" t="str">
            <v>عثمان امین</v>
          </cell>
        </row>
        <row r="5170">
          <cell r="A5170" t="str">
            <v>1546 F</v>
          </cell>
          <cell r="B5170"/>
          <cell r="C5170">
            <v>45792</v>
          </cell>
          <cell r="D5170" t="str">
            <v>فینا</v>
          </cell>
          <cell r="E5170" t="str">
            <v>عثمان امین</v>
          </cell>
        </row>
        <row r="5171">
          <cell r="A5171" t="str">
            <v>1547 F</v>
          </cell>
          <cell r="B5171"/>
          <cell r="C5171">
            <v>45792</v>
          </cell>
          <cell r="D5171" t="str">
            <v>فینا</v>
          </cell>
          <cell r="E5171" t="str">
            <v>عثمان امین</v>
          </cell>
        </row>
        <row r="5172">
          <cell r="A5172" t="str">
            <v>1548 F</v>
          </cell>
          <cell r="B5172"/>
          <cell r="C5172">
            <v>45792</v>
          </cell>
          <cell r="D5172" t="str">
            <v>فینا</v>
          </cell>
          <cell r="E5172" t="str">
            <v>عثمان امین</v>
          </cell>
        </row>
        <row r="5173">
          <cell r="A5173" t="str">
            <v>1549 F</v>
          </cell>
          <cell r="B5173"/>
          <cell r="C5173">
            <v>45792</v>
          </cell>
          <cell r="D5173" t="str">
            <v>فینا</v>
          </cell>
          <cell r="E5173" t="str">
            <v>عثمان امین</v>
          </cell>
        </row>
        <row r="5174">
          <cell r="A5174" t="str">
            <v>1550 F</v>
          </cell>
          <cell r="B5174"/>
          <cell r="C5174">
            <v>45792</v>
          </cell>
          <cell r="D5174" t="str">
            <v>فینا</v>
          </cell>
          <cell r="E5174" t="str">
            <v>عثمان امین</v>
          </cell>
        </row>
        <row r="5175">
          <cell r="A5175" t="str">
            <v>1551 F</v>
          </cell>
          <cell r="B5175"/>
          <cell r="C5175">
            <v>45792</v>
          </cell>
          <cell r="D5175" t="str">
            <v>فینا</v>
          </cell>
          <cell r="E5175" t="str">
            <v>عثمان امین</v>
          </cell>
        </row>
        <row r="5176">
          <cell r="A5176" t="str">
            <v>1552 F</v>
          </cell>
          <cell r="B5176"/>
          <cell r="C5176">
            <v>45792</v>
          </cell>
          <cell r="D5176" t="str">
            <v>فینا</v>
          </cell>
          <cell r="E5176" t="str">
            <v>عثمان امین</v>
          </cell>
        </row>
        <row r="5177">
          <cell r="A5177" t="str">
            <v>6852/1</v>
          </cell>
          <cell r="B5177">
            <v>6852</v>
          </cell>
          <cell r="C5177">
            <v>45783</v>
          </cell>
          <cell r="D5177" t="str">
            <v>یونس صاحب</v>
          </cell>
          <cell r="E5177" t="str">
            <v>ہیڈآفس لاہور</v>
          </cell>
        </row>
        <row r="5178">
          <cell r="A5178" t="str">
            <v>6852/2</v>
          </cell>
          <cell r="B5178">
            <v>6852</v>
          </cell>
          <cell r="C5178">
            <v>45783</v>
          </cell>
          <cell r="D5178" t="str">
            <v>یونس صاحب</v>
          </cell>
          <cell r="E5178" t="str">
            <v>ہیڈآفس لاہور</v>
          </cell>
        </row>
        <row r="5179">
          <cell r="A5179" t="str">
            <v>6852/3</v>
          </cell>
          <cell r="B5179">
            <v>6852</v>
          </cell>
          <cell r="C5179">
            <v>45783</v>
          </cell>
          <cell r="D5179" t="str">
            <v>یونس صاحب</v>
          </cell>
          <cell r="E5179" t="str">
            <v>ہیڈآفس لاہور</v>
          </cell>
        </row>
        <row r="5180">
          <cell r="A5180" t="str">
            <v>6852/4</v>
          </cell>
          <cell r="B5180">
            <v>6852</v>
          </cell>
          <cell r="C5180">
            <v>45783</v>
          </cell>
          <cell r="D5180" t="str">
            <v>یونس صاحب</v>
          </cell>
          <cell r="E5180" t="str">
            <v>ہیڈآفس لاہور</v>
          </cell>
        </row>
        <row r="5181">
          <cell r="A5181" t="str">
            <v>6852/5</v>
          </cell>
          <cell r="B5181">
            <v>6852</v>
          </cell>
          <cell r="C5181">
            <v>45783</v>
          </cell>
          <cell r="D5181" t="str">
            <v>یونس صاحب</v>
          </cell>
          <cell r="E5181" t="str">
            <v>ہیڈآفس لاہور</v>
          </cell>
        </row>
        <row r="5182">
          <cell r="A5182" t="str">
            <v>6852/6</v>
          </cell>
          <cell r="B5182">
            <v>6852</v>
          </cell>
          <cell r="C5182">
            <v>45783</v>
          </cell>
          <cell r="D5182" t="str">
            <v>یونس صاحب</v>
          </cell>
          <cell r="E5182" t="str">
            <v>ہیڈآفس لاہور</v>
          </cell>
        </row>
        <row r="5183">
          <cell r="A5183" t="str">
            <v>6852/7</v>
          </cell>
          <cell r="B5183">
            <v>6852</v>
          </cell>
          <cell r="C5183">
            <v>45783</v>
          </cell>
          <cell r="D5183" t="str">
            <v>یونس صاحب</v>
          </cell>
          <cell r="E5183" t="str">
            <v>ہیڈآفس لاہور</v>
          </cell>
        </row>
        <row r="5184">
          <cell r="A5184" t="str">
            <v>6852/8</v>
          </cell>
          <cell r="B5184">
            <v>6852</v>
          </cell>
          <cell r="C5184">
            <v>45783</v>
          </cell>
          <cell r="D5184" t="str">
            <v>یونس صاحب</v>
          </cell>
          <cell r="E5184" t="str">
            <v>ہیڈآفس لاہور</v>
          </cell>
        </row>
        <row r="5185">
          <cell r="A5185" t="str">
            <v>6852/9</v>
          </cell>
          <cell r="B5185">
            <v>6852</v>
          </cell>
          <cell r="C5185">
            <v>45783</v>
          </cell>
          <cell r="D5185" t="str">
            <v>یونس صاحب</v>
          </cell>
          <cell r="E5185" t="str">
            <v>ہیڈآفس لاہور</v>
          </cell>
        </row>
        <row r="5186">
          <cell r="A5186" t="str">
            <v>6852/10</v>
          </cell>
          <cell r="B5186">
            <v>6852</v>
          </cell>
          <cell r="C5186">
            <v>45783</v>
          </cell>
          <cell r="D5186" t="str">
            <v>یونس صاحب</v>
          </cell>
          <cell r="E5186" t="str">
            <v>ہیڈآفس لاہور</v>
          </cell>
        </row>
        <row r="5187">
          <cell r="A5187" t="str">
            <v>6852/11</v>
          </cell>
          <cell r="B5187">
            <v>6852</v>
          </cell>
          <cell r="C5187">
            <v>45783</v>
          </cell>
          <cell r="D5187" t="str">
            <v>یونس صاحب</v>
          </cell>
          <cell r="E5187" t="str">
            <v>ہیڈآفس لاہور</v>
          </cell>
        </row>
        <row r="5188">
          <cell r="A5188" t="str">
            <v>6852/12</v>
          </cell>
          <cell r="B5188">
            <v>6852</v>
          </cell>
          <cell r="C5188">
            <v>45783</v>
          </cell>
          <cell r="D5188" t="str">
            <v>یونس صاحب</v>
          </cell>
          <cell r="E5188" t="str">
            <v>ہیڈآفس لاہور</v>
          </cell>
        </row>
        <row r="5189">
          <cell r="A5189" t="str">
            <v>6852/13</v>
          </cell>
          <cell r="B5189">
            <v>6852</v>
          </cell>
          <cell r="C5189">
            <v>45783</v>
          </cell>
          <cell r="D5189" t="str">
            <v>یونس صاحب</v>
          </cell>
          <cell r="E5189" t="str">
            <v>ہیڈآفس لاہور</v>
          </cell>
        </row>
        <row r="5190">
          <cell r="A5190" t="str">
            <v>6852/14</v>
          </cell>
          <cell r="B5190">
            <v>6852</v>
          </cell>
          <cell r="C5190">
            <v>45783</v>
          </cell>
          <cell r="D5190" t="str">
            <v>یونس صاحب</v>
          </cell>
          <cell r="E5190" t="str">
            <v>ہیڈآفس لاہور</v>
          </cell>
        </row>
        <row r="5191">
          <cell r="A5191" t="str">
            <v>6852/15</v>
          </cell>
          <cell r="B5191">
            <v>6852</v>
          </cell>
          <cell r="C5191">
            <v>45783</v>
          </cell>
          <cell r="D5191" t="str">
            <v>یونس صاحب</v>
          </cell>
          <cell r="E5191" t="str">
            <v>ہیڈآفس لاہور</v>
          </cell>
        </row>
        <row r="5192">
          <cell r="A5192" t="str">
            <v>6852/16</v>
          </cell>
          <cell r="B5192">
            <v>6852</v>
          </cell>
          <cell r="C5192">
            <v>45783</v>
          </cell>
          <cell r="D5192" t="str">
            <v>یونس صاحب</v>
          </cell>
          <cell r="E5192" t="str">
            <v>ہیڈآفس لاہور</v>
          </cell>
        </row>
        <row r="5193">
          <cell r="A5193" t="str">
            <v>6852/17</v>
          </cell>
          <cell r="B5193">
            <v>6852</v>
          </cell>
          <cell r="C5193">
            <v>45783</v>
          </cell>
          <cell r="D5193" t="str">
            <v>یونس صاحب</v>
          </cell>
          <cell r="E5193" t="str">
            <v>ہیڈآفس لاہور</v>
          </cell>
        </row>
        <row r="5194">
          <cell r="A5194" t="str">
            <v>6853/1</v>
          </cell>
          <cell r="B5194">
            <v>6853</v>
          </cell>
          <cell r="C5194">
            <v>45783</v>
          </cell>
          <cell r="D5194" t="str">
            <v>یونس صاحب</v>
          </cell>
          <cell r="E5194" t="str">
            <v>طاہر پلاسٹک جھنگ</v>
          </cell>
        </row>
        <row r="5195">
          <cell r="A5195" t="str">
            <v>6853/2</v>
          </cell>
          <cell r="B5195">
            <v>6853</v>
          </cell>
          <cell r="C5195">
            <v>45783</v>
          </cell>
          <cell r="D5195" t="str">
            <v>یونس صاحب</v>
          </cell>
          <cell r="E5195" t="str">
            <v>طاہر پلاسٹک جھنگ</v>
          </cell>
        </row>
        <row r="5196">
          <cell r="A5196" t="str">
            <v>6853/3</v>
          </cell>
          <cell r="B5196">
            <v>6853</v>
          </cell>
          <cell r="C5196">
            <v>45783</v>
          </cell>
          <cell r="D5196" t="str">
            <v>یونس صاحب</v>
          </cell>
          <cell r="E5196" t="str">
            <v>طاہر پلاسٹک جھنگ</v>
          </cell>
        </row>
        <row r="5197">
          <cell r="A5197" t="str">
            <v>6853/4</v>
          </cell>
          <cell r="B5197">
            <v>6853</v>
          </cell>
          <cell r="C5197">
            <v>45783</v>
          </cell>
          <cell r="D5197" t="str">
            <v>یونس صاحب</v>
          </cell>
          <cell r="E5197" t="str">
            <v>طاہر پلاسٹک جھنگ</v>
          </cell>
        </row>
        <row r="5198">
          <cell r="A5198" t="str">
            <v>6853/5</v>
          </cell>
          <cell r="B5198">
            <v>6853</v>
          </cell>
          <cell r="C5198">
            <v>45783</v>
          </cell>
          <cell r="D5198" t="str">
            <v>یونس صاحب</v>
          </cell>
          <cell r="E5198" t="str">
            <v>طاہر پلاسٹک جھنگ</v>
          </cell>
        </row>
        <row r="5199">
          <cell r="A5199" t="str">
            <v>6853/6</v>
          </cell>
          <cell r="B5199">
            <v>6853</v>
          </cell>
          <cell r="C5199">
            <v>45783</v>
          </cell>
          <cell r="D5199" t="str">
            <v>یونس صاحب</v>
          </cell>
          <cell r="E5199" t="str">
            <v>طاہر پلاسٹک جھنگ</v>
          </cell>
        </row>
        <row r="5200">
          <cell r="A5200" t="str">
            <v>6853/7</v>
          </cell>
          <cell r="B5200">
            <v>6853</v>
          </cell>
          <cell r="C5200">
            <v>45783</v>
          </cell>
          <cell r="D5200" t="str">
            <v>یونس صاحب</v>
          </cell>
          <cell r="E5200" t="str">
            <v>طاہر پلاسٹک جھنگ</v>
          </cell>
        </row>
        <row r="5201">
          <cell r="A5201" t="str">
            <v>6884/1</v>
          </cell>
          <cell r="B5201">
            <v>6884</v>
          </cell>
          <cell r="C5201">
            <v>45783</v>
          </cell>
          <cell r="D5201" t="str">
            <v>یونس صاحب</v>
          </cell>
          <cell r="E5201" t="str">
            <v>آصف پلاسٹک سرگودھا</v>
          </cell>
        </row>
        <row r="5202">
          <cell r="A5202" t="str">
            <v>6884/2</v>
          </cell>
          <cell r="B5202">
            <v>6884</v>
          </cell>
          <cell r="C5202">
            <v>45783</v>
          </cell>
          <cell r="D5202" t="str">
            <v>یونس صاحب</v>
          </cell>
          <cell r="E5202" t="str">
            <v>آصف پلاسٹک سرگودھا</v>
          </cell>
        </row>
        <row r="5203">
          <cell r="A5203" t="str">
            <v>6884/3</v>
          </cell>
          <cell r="B5203">
            <v>6884</v>
          </cell>
          <cell r="C5203">
            <v>45783</v>
          </cell>
          <cell r="D5203" t="str">
            <v>یونس صاحب</v>
          </cell>
          <cell r="E5203" t="str">
            <v>آصف پلاسٹک سرگودھا</v>
          </cell>
        </row>
        <row r="5204">
          <cell r="A5204" t="str">
            <v>6884/4</v>
          </cell>
          <cell r="B5204">
            <v>6884</v>
          </cell>
          <cell r="C5204">
            <v>45783</v>
          </cell>
          <cell r="D5204" t="str">
            <v>یونس صاحب</v>
          </cell>
          <cell r="E5204" t="str">
            <v>آصف پلاسٹک سرگودھا</v>
          </cell>
        </row>
        <row r="5205">
          <cell r="A5205" t="str">
            <v>6884/5</v>
          </cell>
          <cell r="B5205">
            <v>6884</v>
          </cell>
          <cell r="C5205">
            <v>45783</v>
          </cell>
          <cell r="D5205" t="str">
            <v>یونس صاحب</v>
          </cell>
          <cell r="E5205" t="str">
            <v>آصف پلاسٹک سرگودھا</v>
          </cell>
        </row>
        <row r="5206">
          <cell r="A5206" t="str">
            <v>6884/6</v>
          </cell>
          <cell r="B5206">
            <v>6884</v>
          </cell>
          <cell r="C5206">
            <v>45783</v>
          </cell>
          <cell r="D5206" t="str">
            <v>یونس صاحب</v>
          </cell>
          <cell r="E5206" t="str">
            <v>آصف پلاسٹک سرگودھا</v>
          </cell>
        </row>
        <row r="5207">
          <cell r="A5207" t="str">
            <v>6884/7</v>
          </cell>
          <cell r="B5207">
            <v>6884</v>
          </cell>
          <cell r="C5207">
            <v>45783</v>
          </cell>
          <cell r="D5207" t="str">
            <v>یونس صاحب</v>
          </cell>
          <cell r="E5207" t="str">
            <v>آصف پلاسٹک سرگودھا</v>
          </cell>
        </row>
        <row r="5208">
          <cell r="A5208" t="str">
            <v>6884/8</v>
          </cell>
          <cell r="B5208">
            <v>6884</v>
          </cell>
          <cell r="C5208">
            <v>45783</v>
          </cell>
          <cell r="D5208" t="str">
            <v>یونس صاحب</v>
          </cell>
          <cell r="E5208" t="str">
            <v>آصف پلاسٹک سرگودھا</v>
          </cell>
        </row>
        <row r="5209">
          <cell r="A5209" t="str">
            <v>6855/1</v>
          </cell>
          <cell r="B5209">
            <v>6855</v>
          </cell>
          <cell r="C5209">
            <v>45784</v>
          </cell>
          <cell r="D5209" t="str">
            <v>یونس صاحب</v>
          </cell>
          <cell r="E5209" t="str">
            <v>ملک الطاف اعظم مارکیٹ</v>
          </cell>
        </row>
        <row r="5210">
          <cell r="A5210" t="str">
            <v>6856/1</v>
          </cell>
          <cell r="B5210">
            <v>6856</v>
          </cell>
          <cell r="C5210">
            <v>45784</v>
          </cell>
          <cell r="D5210" t="str">
            <v>یونس صاحب</v>
          </cell>
          <cell r="E5210" t="str">
            <v>-</v>
          </cell>
        </row>
        <row r="5211">
          <cell r="A5211" t="str">
            <v>6857/1</v>
          </cell>
          <cell r="B5211">
            <v>6857</v>
          </cell>
          <cell r="C5211">
            <v>45784</v>
          </cell>
          <cell r="D5211" t="str">
            <v>یونس صاحب</v>
          </cell>
          <cell r="E5211" t="str">
            <v>مہمد دین پنڈی</v>
          </cell>
        </row>
        <row r="5212">
          <cell r="A5212" t="str">
            <v>6857/2</v>
          </cell>
          <cell r="B5212">
            <v>6857</v>
          </cell>
          <cell r="C5212">
            <v>45784</v>
          </cell>
          <cell r="D5212" t="str">
            <v>یونس صاحب</v>
          </cell>
          <cell r="E5212" t="str">
            <v>مہمد دین پنڈی</v>
          </cell>
        </row>
        <row r="5213">
          <cell r="A5213" t="str">
            <v>6858/1</v>
          </cell>
          <cell r="B5213">
            <v>6858</v>
          </cell>
          <cell r="C5213">
            <v>45784</v>
          </cell>
          <cell r="D5213" t="str">
            <v>یونس صاحب</v>
          </cell>
          <cell r="E5213" t="str">
            <v>نیاز احمد دہلی گیٹ</v>
          </cell>
        </row>
        <row r="5214">
          <cell r="A5214" t="str">
            <v>6858/2</v>
          </cell>
          <cell r="B5214">
            <v>6858</v>
          </cell>
          <cell r="C5214">
            <v>45784</v>
          </cell>
          <cell r="D5214" t="str">
            <v>یونس صاحب</v>
          </cell>
          <cell r="E5214" t="str">
            <v>نیاز احمد دہلی گیٹ</v>
          </cell>
        </row>
        <row r="5215">
          <cell r="A5215" t="str">
            <v>6858/3</v>
          </cell>
          <cell r="B5215">
            <v>6858</v>
          </cell>
          <cell r="C5215">
            <v>45784</v>
          </cell>
          <cell r="D5215" t="str">
            <v>یونس صاحب</v>
          </cell>
          <cell r="E5215" t="str">
            <v>نیاز احمد دہلی گیٹ</v>
          </cell>
        </row>
        <row r="5216">
          <cell r="A5216" t="str">
            <v>6859/1</v>
          </cell>
          <cell r="B5216">
            <v>6859</v>
          </cell>
          <cell r="C5216">
            <v>45784</v>
          </cell>
          <cell r="D5216" t="str">
            <v>یونس صاحب</v>
          </cell>
          <cell r="E5216" t="str">
            <v>مھبوب مقبول گجرانوالہ</v>
          </cell>
        </row>
        <row r="5217">
          <cell r="A5217" t="str">
            <v>6860/1</v>
          </cell>
          <cell r="B5217">
            <v>6860</v>
          </cell>
          <cell r="C5217">
            <v>45784</v>
          </cell>
          <cell r="D5217" t="str">
            <v>یونس صاحب</v>
          </cell>
          <cell r="E5217" t="str">
            <v>اسد نزیر چیچہ وطنی</v>
          </cell>
        </row>
        <row r="5218">
          <cell r="A5218" t="str">
            <v>6860/2</v>
          </cell>
          <cell r="B5218">
            <v>6860</v>
          </cell>
          <cell r="C5218">
            <v>45784</v>
          </cell>
          <cell r="D5218" t="str">
            <v>یونس صاحب</v>
          </cell>
          <cell r="E5218" t="str">
            <v>اسد نزیر چیچہ وطنی</v>
          </cell>
        </row>
        <row r="5219">
          <cell r="A5219" t="str">
            <v>6861/1</v>
          </cell>
          <cell r="B5219">
            <v>6861</v>
          </cell>
          <cell r="C5219">
            <v>45787</v>
          </cell>
          <cell r="D5219" t="str">
            <v>یونس صاحب</v>
          </cell>
          <cell r="E5219" t="str">
            <v>عثمان امین لاہور</v>
          </cell>
        </row>
        <row r="5220">
          <cell r="A5220" t="str">
            <v>6861/2</v>
          </cell>
          <cell r="B5220">
            <v>6861</v>
          </cell>
          <cell r="C5220">
            <v>45787</v>
          </cell>
          <cell r="D5220" t="str">
            <v>یونس صاحب</v>
          </cell>
          <cell r="E5220" t="str">
            <v>عثمان امین لاہور</v>
          </cell>
        </row>
        <row r="5221">
          <cell r="A5221" t="str">
            <v>6861/3</v>
          </cell>
          <cell r="B5221">
            <v>6861</v>
          </cell>
          <cell r="C5221">
            <v>45787</v>
          </cell>
          <cell r="D5221" t="str">
            <v>یونس صاحب</v>
          </cell>
          <cell r="E5221" t="str">
            <v>عثمان امین لاہور</v>
          </cell>
        </row>
        <row r="5222">
          <cell r="A5222" t="str">
            <v>6862/1</v>
          </cell>
          <cell r="B5222">
            <v>6862</v>
          </cell>
          <cell r="C5222">
            <v>45787</v>
          </cell>
          <cell r="D5222" t="str">
            <v>یونس صاحب</v>
          </cell>
          <cell r="E5222" t="str">
            <v>عبدالباری وہاری</v>
          </cell>
        </row>
        <row r="5223">
          <cell r="A5223" t="str">
            <v>6868/1</v>
          </cell>
          <cell r="B5223">
            <v>6868</v>
          </cell>
          <cell r="C5223">
            <v>45787</v>
          </cell>
          <cell r="D5223" t="str">
            <v>یونس صاحب</v>
          </cell>
          <cell r="E5223" t="str">
            <v>العمر پلاسٹک گوجرانوالہ</v>
          </cell>
        </row>
        <row r="5224">
          <cell r="A5224" t="str">
            <v>6868/2</v>
          </cell>
          <cell r="B5224">
            <v>6868</v>
          </cell>
          <cell r="C5224">
            <v>45787</v>
          </cell>
          <cell r="D5224" t="str">
            <v>یونس صاحب</v>
          </cell>
          <cell r="E5224" t="str">
            <v>العمر پلاسٹک گوجرانوالہ</v>
          </cell>
        </row>
        <row r="5225">
          <cell r="A5225" t="str">
            <v>6868/3</v>
          </cell>
          <cell r="B5225">
            <v>6868</v>
          </cell>
          <cell r="C5225">
            <v>45787</v>
          </cell>
          <cell r="D5225" t="str">
            <v>یونس صاحب</v>
          </cell>
          <cell r="E5225" t="str">
            <v>العمر پلاسٹک گوجرانوالہ</v>
          </cell>
        </row>
        <row r="5226">
          <cell r="A5226" t="str">
            <v>6864/1</v>
          </cell>
          <cell r="B5226">
            <v>6864</v>
          </cell>
          <cell r="C5226">
            <v>45789</v>
          </cell>
          <cell r="D5226" t="str">
            <v>یونس صاحب</v>
          </cell>
          <cell r="E5226" t="str">
            <v>مھبوب مقبول گجرانوالہ</v>
          </cell>
        </row>
        <row r="5227">
          <cell r="A5227" t="str">
            <v>6864/2</v>
          </cell>
          <cell r="B5227">
            <v>6864</v>
          </cell>
          <cell r="C5227">
            <v>45789</v>
          </cell>
          <cell r="D5227" t="str">
            <v>یونس صاحب</v>
          </cell>
          <cell r="E5227" t="str">
            <v>مھبوب مقبول گجرانوالہ</v>
          </cell>
        </row>
        <row r="5228">
          <cell r="A5228" t="str">
            <v>6864/3</v>
          </cell>
          <cell r="B5228">
            <v>6864</v>
          </cell>
          <cell r="C5228">
            <v>45789</v>
          </cell>
          <cell r="D5228" t="str">
            <v>یونس صاحب</v>
          </cell>
          <cell r="E5228" t="str">
            <v>مھبوب مقبول گجرانوالہ</v>
          </cell>
        </row>
        <row r="5229">
          <cell r="A5229" t="str">
            <v>6864/4</v>
          </cell>
          <cell r="B5229">
            <v>6864</v>
          </cell>
          <cell r="C5229">
            <v>45789</v>
          </cell>
          <cell r="D5229" t="str">
            <v>یونس صاحب</v>
          </cell>
          <cell r="E5229" t="str">
            <v>مھبوب مقبول گجرانوالہ</v>
          </cell>
        </row>
        <row r="5230">
          <cell r="A5230" t="str">
            <v>6864/5</v>
          </cell>
          <cell r="B5230">
            <v>6864</v>
          </cell>
          <cell r="C5230">
            <v>45789</v>
          </cell>
          <cell r="D5230" t="str">
            <v>یونس صاحب</v>
          </cell>
          <cell r="E5230" t="str">
            <v>مھبوب مقبول گجرانوالہ</v>
          </cell>
        </row>
        <row r="5231">
          <cell r="A5231" t="str">
            <v>6864/6</v>
          </cell>
          <cell r="B5231">
            <v>6864</v>
          </cell>
          <cell r="C5231">
            <v>45789</v>
          </cell>
          <cell r="D5231" t="str">
            <v>یونس صاحب</v>
          </cell>
          <cell r="E5231" t="str">
            <v>مھبوب مقبول گجرانوالہ</v>
          </cell>
        </row>
        <row r="5232">
          <cell r="A5232" t="str">
            <v>6864/7</v>
          </cell>
          <cell r="B5232">
            <v>6864</v>
          </cell>
          <cell r="C5232">
            <v>45789</v>
          </cell>
          <cell r="D5232" t="str">
            <v>یونس صاحب</v>
          </cell>
          <cell r="E5232" t="str">
            <v>مھبوب مقبول گجرانوالہ</v>
          </cell>
        </row>
        <row r="5233">
          <cell r="A5233" t="str">
            <v>6864/8</v>
          </cell>
          <cell r="B5233">
            <v>6864</v>
          </cell>
          <cell r="C5233">
            <v>45789</v>
          </cell>
          <cell r="D5233" t="str">
            <v>یونس صاحب</v>
          </cell>
          <cell r="E5233" t="str">
            <v>مھبوب مقبول گجرانوالہ</v>
          </cell>
        </row>
        <row r="5234">
          <cell r="A5234" t="str">
            <v>6865/1</v>
          </cell>
          <cell r="B5234">
            <v>6865</v>
          </cell>
          <cell r="C5234">
            <v>45789</v>
          </cell>
          <cell r="D5234" t="str">
            <v>یونس صاحب</v>
          </cell>
          <cell r="E5234" t="str">
            <v>زوہیب شوکت پیوکی</v>
          </cell>
        </row>
        <row r="5235">
          <cell r="A5235" t="str">
            <v>6865/2</v>
          </cell>
          <cell r="B5235">
            <v>6865</v>
          </cell>
          <cell r="C5235">
            <v>45789</v>
          </cell>
          <cell r="D5235" t="str">
            <v>یونس صاحب</v>
          </cell>
          <cell r="E5235" t="str">
            <v>زوہیب شوکت پیوکی</v>
          </cell>
        </row>
        <row r="5236">
          <cell r="A5236" t="str">
            <v>6865/3</v>
          </cell>
          <cell r="B5236">
            <v>6865</v>
          </cell>
          <cell r="C5236">
            <v>45789</v>
          </cell>
          <cell r="D5236" t="str">
            <v>یونس صاحب</v>
          </cell>
          <cell r="E5236" t="str">
            <v>زوہیب شوکت پیوکی</v>
          </cell>
        </row>
        <row r="5237">
          <cell r="A5237" t="str">
            <v>6865/4</v>
          </cell>
          <cell r="B5237">
            <v>6865</v>
          </cell>
          <cell r="C5237">
            <v>45789</v>
          </cell>
          <cell r="D5237" t="str">
            <v>یونس صاحب</v>
          </cell>
          <cell r="E5237" t="str">
            <v>زوہیب شوکت پیوکی</v>
          </cell>
        </row>
        <row r="5238">
          <cell r="A5238" t="str">
            <v>6865/5</v>
          </cell>
          <cell r="B5238">
            <v>6865</v>
          </cell>
          <cell r="C5238">
            <v>45789</v>
          </cell>
          <cell r="D5238" t="str">
            <v>یونس صاحب</v>
          </cell>
          <cell r="E5238" t="str">
            <v>زوہیب شوکت پیوکی</v>
          </cell>
        </row>
        <row r="5239">
          <cell r="A5239" t="str">
            <v>6865/6</v>
          </cell>
          <cell r="B5239">
            <v>6865</v>
          </cell>
          <cell r="C5239">
            <v>45789</v>
          </cell>
          <cell r="D5239" t="str">
            <v>یونس صاحب</v>
          </cell>
          <cell r="E5239" t="str">
            <v>زوہیب شوکت پیوکی</v>
          </cell>
        </row>
        <row r="5240">
          <cell r="A5240" t="str">
            <v>6865/7</v>
          </cell>
          <cell r="B5240">
            <v>6865</v>
          </cell>
          <cell r="C5240">
            <v>45789</v>
          </cell>
          <cell r="D5240" t="str">
            <v>یونس صاحب</v>
          </cell>
          <cell r="E5240" t="str">
            <v>زوہیب شوکت پیوکی</v>
          </cell>
        </row>
        <row r="5241">
          <cell r="A5241" t="str">
            <v>6865/8</v>
          </cell>
          <cell r="B5241">
            <v>6865</v>
          </cell>
          <cell r="C5241">
            <v>45789</v>
          </cell>
          <cell r="D5241" t="str">
            <v>یونس صاحب</v>
          </cell>
          <cell r="E5241" t="str">
            <v>زوہیب شوکت پیوکی</v>
          </cell>
        </row>
        <row r="5242">
          <cell r="A5242" t="str">
            <v>6865/9</v>
          </cell>
          <cell r="B5242">
            <v>6865</v>
          </cell>
          <cell r="C5242">
            <v>45789</v>
          </cell>
          <cell r="D5242" t="str">
            <v>یونس صاحب</v>
          </cell>
          <cell r="E5242" t="str">
            <v>زوہیب شوکت پیوکی</v>
          </cell>
        </row>
        <row r="5243">
          <cell r="A5243" t="str">
            <v>6865/10</v>
          </cell>
          <cell r="B5243">
            <v>6865</v>
          </cell>
          <cell r="C5243">
            <v>45789</v>
          </cell>
          <cell r="D5243" t="str">
            <v>یونس صاحب</v>
          </cell>
          <cell r="E5243" t="str">
            <v>زوہیب شوکت پیوکی</v>
          </cell>
        </row>
        <row r="5244">
          <cell r="A5244" t="str">
            <v>6863/1</v>
          </cell>
          <cell r="B5244">
            <v>6863</v>
          </cell>
          <cell r="C5244">
            <v>45789</v>
          </cell>
          <cell r="D5244" t="str">
            <v>یونس صاحب</v>
          </cell>
          <cell r="E5244" t="str">
            <v>لجپال P  جھنگ</v>
          </cell>
        </row>
        <row r="5245">
          <cell r="A5245" t="str">
            <v>6863/2</v>
          </cell>
          <cell r="B5245">
            <v>6863</v>
          </cell>
          <cell r="C5245">
            <v>45789</v>
          </cell>
          <cell r="D5245" t="str">
            <v>یونس صاحب</v>
          </cell>
          <cell r="E5245" t="str">
            <v>لجپال P  جھنگ</v>
          </cell>
        </row>
        <row r="5246">
          <cell r="A5246" t="str">
            <v>6866/1</v>
          </cell>
          <cell r="B5246">
            <v>6866</v>
          </cell>
          <cell r="C5246">
            <v>45789</v>
          </cell>
          <cell r="D5246" t="str">
            <v>یونس صاحب</v>
          </cell>
          <cell r="E5246"/>
        </row>
        <row r="5247">
          <cell r="A5247" t="str">
            <v>6867/1</v>
          </cell>
          <cell r="B5247">
            <v>6867</v>
          </cell>
          <cell r="C5247">
            <v>45789</v>
          </cell>
          <cell r="D5247" t="str">
            <v>یونس صاحب</v>
          </cell>
          <cell r="E5247" t="str">
            <v>مہمد دین پنڈی</v>
          </cell>
        </row>
        <row r="5248">
          <cell r="A5248" t="str">
            <v>6869/1</v>
          </cell>
          <cell r="B5248">
            <v>6869</v>
          </cell>
          <cell r="C5248">
            <v>45790</v>
          </cell>
          <cell r="D5248" t="str">
            <v>یونس صاحب</v>
          </cell>
          <cell r="E5248" t="str">
            <v>عزیز نزیر ہائوس لاہور</v>
          </cell>
        </row>
        <row r="5249">
          <cell r="A5249" t="str">
            <v>6870/1</v>
          </cell>
          <cell r="B5249">
            <v>6870</v>
          </cell>
          <cell r="C5249">
            <v>45790</v>
          </cell>
          <cell r="D5249" t="str">
            <v>یونس صاحب</v>
          </cell>
          <cell r="E5249" t="str">
            <v>ہیڈآفس لاہور</v>
          </cell>
        </row>
        <row r="5250">
          <cell r="A5250" t="str">
            <v>6871/1</v>
          </cell>
          <cell r="B5250">
            <v>6871</v>
          </cell>
          <cell r="C5250">
            <v>45790</v>
          </cell>
          <cell r="D5250" t="str">
            <v>یونس صاحب</v>
          </cell>
          <cell r="E5250" t="str">
            <v>زوالقرنین Pکامونکی</v>
          </cell>
        </row>
        <row r="5251">
          <cell r="A5251" t="str">
            <v>6872/1</v>
          </cell>
          <cell r="B5251">
            <v>6872</v>
          </cell>
          <cell r="C5251">
            <v>45790</v>
          </cell>
          <cell r="D5251" t="str">
            <v>یونس صاحب</v>
          </cell>
          <cell r="E5251" t="str">
            <v>حزیفہ پلاسٹک اعظم مارکیٹ</v>
          </cell>
        </row>
        <row r="5252">
          <cell r="A5252" t="str">
            <v>6872/2</v>
          </cell>
          <cell r="B5252">
            <v>6872</v>
          </cell>
          <cell r="C5252">
            <v>45790</v>
          </cell>
          <cell r="D5252" t="str">
            <v>یونس صاحب</v>
          </cell>
          <cell r="E5252" t="str">
            <v>حزیفہ پلاسٹک اعظم مارکیٹ</v>
          </cell>
        </row>
        <row r="5253">
          <cell r="A5253" t="str">
            <v>6873/1</v>
          </cell>
          <cell r="B5253">
            <v>6873</v>
          </cell>
          <cell r="C5253">
            <v>45790</v>
          </cell>
          <cell r="D5253" t="str">
            <v>یونس صاحب</v>
          </cell>
          <cell r="E5253" t="str">
            <v>حنان پلاسٹک فیصل آباد</v>
          </cell>
        </row>
        <row r="5254">
          <cell r="A5254" t="str">
            <v>6874/1</v>
          </cell>
          <cell r="B5254">
            <v>6874</v>
          </cell>
          <cell r="C5254">
            <v>45790</v>
          </cell>
          <cell r="D5254" t="str">
            <v>یونس صاحب</v>
          </cell>
          <cell r="E5254" t="str">
            <v>حنان پلاسٹک فیصل آباد</v>
          </cell>
        </row>
        <row r="5255">
          <cell r="A5255" t="str">
            <v>6875/1</v>
          </cell>
          <cell r="B5255">
            <v>6875</v>
          </cell>
          <cell r="C5255">
            <v>45790</v>
          </cell>
          <cell r="D5255" t="str">
            <v>یونس صاحب</v>
          </cell>
          <cell r="E5255" t="str">
            <v>حنان پلاسٹک فیصل آباد</v>
          </cell>
        </row>
        <row r="5256">
          <cell r="A5256" t="str">
            <v>6875/2</v>
          </cell>
          <cell r="B5256">
            <v>6875</v>
          </cell>
          <cell r="C5256">
            <v>45790</v>
          </cell>
          <cell r="D5256" t="str">
            <v>یونس صاحب</v>
          </cell>
          <cell r="E5256" t="str">
            <v>حنان پلاسٹک فیصل آباد</v>
          </cell>
        </row>
        <row r="5257">
          <cell r="A5257" t="str">
            <v>6875/3</v>
          </cell>
          <cell r="B5257">
            <v>6875</v>
          </cell>
          <cell r="C5257">
            <v>45790</v>
          </cell>
          <cell r="D5257" t="str">
            <v>یونس صاحب</v>
          </cell>
          <cell r="E5257" t="str">
            <v>حنان پلاسٹک فیصل آباد</v>
          </cell>
        </row>
        <row r="5258">
          <cell r="A5258" t="str">
            <v>6875/4</v>
          </cell>
          <cell r="B5258">
            <v>6875</v>
          </cell>
          <cell r="C5258">
            <v>45790</v>
          </cell>
          <cell r="D5258" t="str">
            <v>یونس صاحب</v>
          </cell>
          <cell r="E5258" t="str">
            <v>حنان پلاسٹک فیصل آباد</v>
          </cell>
        </row>
        <row r="5259">
          <cell r="A5259" t="str">
            <v>6875/5</v>
          </cell>
          <cell r="B5259">
            <v>6875</v>
          </cell>
          <cell r="C5259">
            <v>45790</v>
          </cell>
          <cell r="D5259" t="str">
            <v>یونس صاحب</v>
          </cell>
          <cell r="E5259" t="str">
            <v>حنان پلاسٹک فیصل آباد</v>
          </cell>
        </row>
        <row r="5260">
          <cell r="A5260" t="str">
            <v>6875/6</v>
          </cell>
          <cell r="B5260">
            <v>6875</v>
          </cell>
          <cell r="C5260">
            <v>45790</v>
          </cell>
          <cell r="D5260" t="str">
            <v>یونس صاحب</v>
          </cell>
          <cell r="E5260" t="str">
            <v>حنان پلاسٹک فیصل آباد</v>
          </cell>
        </row>
        <row r="5261">
          <cell r="A5261" t="str">
            <v>6875/7</v>
          </cell>
          <cell r="B5261">
            <v>6875</v>
          </cell>
          <cell r="C5261">
            <v>45790</v>
          </cell>
          <cell r="D5261" t="str">
            <v>یونس صاحب</v>
          </cell>
          <cell r="E5261" t="str">
            <v>حنان پلاسٹک فیصل آباد</v>
          </cell>
        </row>
        <row r="5262">
          <cell r="A5262" t="str">
            <v>6875/8</v>
          </cell>
          <cell r="B5262">
            <v>6875</v>
          </cell>
          <cell r="C5262">
            <v>45790</v>
          </cell>
          <cell r="D5262" t="str">
            <v>یونس صاحب</v>
          </cell>
          <cell r="E5262" t="str">
            <v>حنان پلاسٹک فیصل آباد</v>
          </cell>
        </row>
        <row r="5263">
          <cell r="A5263" t="str">
            <v>6875/9</v>
          </cell>
          <cell r="B5263">
            <v>6875</v>
          </cell>
          <cell r="C5263">
            <v>45790</v>
          </cell>
          <cell r="D5263" t="str">
            <v>یونس صاحب</v>
          </cell>
          <cell r="E5263" t="str">
            <v>حنان پلاسٹک فیصل آباد</v>
          </cell>
        </row>
        <row r="5264">
          <cell r="A5264" t="str">
            <v>6875/10</v>
          </cell>
          <cell r="B5264">
            <v>6875</v>
          </cell>
          <cell r="C5264">
            <v>45790</v>
          </cell>
          <cell r="D5264" t="str">
            <v>یونس صاحب</v>
          </cell>
          <cell r="E5264" t="str">
            <v>حنان پلاسٹک فیصل آباد</v>
          </cell>
        </row>
        <row r="5265">
          <cell r="A5265" t="str">
            <v>6875/11</v>
          </cell>
          <cell r="B5265">
            <v>6875</v>
          </cell>
          <cell r="C5265">
            <v>45790</v>
          </cell>
          <cell r="D5265" t="str">
            <v>یونس صاحب</v>
          </cell>
          <cell r="E5265" t="str">
            <v>حنان پلاسٹک فیصل آباد</v>
          </cell>
        </row>
        <row r="5266">
          <cell r="A5266" t="str">
            <v>6875/12</v>
          </cell>
          <cell r="B5266">
            <v>6875</v>
          </cell>
          <cell r="C5266">
            <v>45790</v>
          </cell>
          <cell r="D5266" t="str">
            <v>یونس صاحب</v>
          </cell>
          <cell r="E5266" t="str">
            <v>حنان پلاسٹک فیصل آباد</v>
          </cell>
        </row>
        <row r="5267">
          <cell r="A5267" t="str">
            <v>6875/13</v>
          </cell>
          <cell r="B5267">
            <v>6875</v>
          </cell>
          <cell r="C5267">
            <v>45790</v>
          </cell>
          <cell r="D5267" t="str">
            <v>یونس صاحب</v>
          </cell>
          <cell r="E5267" t="str">
            <v>حنان پلاسٹک فیصل آباد</v>
          </cell>
        </row>
        <row r="5268">
          <cell r="A5268" t="str">
            <v>6876/1</v>
          </cell>
          <cell r="B5268">
            <v>6876</v>
          </cell>
          <cell r="C5268">
            <v>45790</v>
          </cell>
          <cell r="D5268" t="str">
            <v>یونس صاحب</v>
          </cell>
          <cell r="E5268" t="str">
            <v>ایم دین  بند ل</v>
          </cell>
        </row>
        <row r="5269">
          <cell r="A5269" t="str">
            <v>6877/1</v>
          </cell>
          <cell r="B5269">
            <v>6877</v>
          </cell>
          <cell r="C5269">
            <v>45790</v>
          </cell>
          <cell r="D5269" t="str">
            <v>یونس صاحب</v>
          </cell>
          <cell r="E5269" t="str">
            <v>ایم سلمان پاکستان مارکیٹ</v>
          </cell>
        </row>
        <row r="5270">
          <cell r="A5270" t="str">
            <v>6877/2</v>
          </cell>
          <cell r="B5270">
            <v>6877</v>
          </cell>
          <cell r="C5270">
            <v>45790</v>
          </cell>
          <cell r="D5270" t="str">
            <v>یونس صاحب</v>
          </cell>
          <cell r="E5270" t="str">
            <v>ایم سلمان پاکستان مارکیٹ</v>
          </cell>
        </row>
        <row r="5271">
          <cell r="A5271" t="str">
            <v>6878/1</v>
          </cell>
          <cell r="B5271">
            <v>6878</v>
          </cell>
          <cell r="C5271">
            <v>45790</v>
          </cell>
          <cell r="D5271" t="str">
            <v>یونس صاحب</v>
          </cell>
          <cell r="E5271" t="str">
            <v>زوہیب شوکت پیوکی</v>
          </cell>
        </row>
        <row r="5272">
          <cell r="A5272" t="str">
            <v>6878/2</v>
          </cell>
          <cell r="B5272">
            <v>6878</v>
          </cell>
          <cell r="C5272">
            <v>45790</v>
          </cell>
          <cell r="D5272" t="str">
            <v>یونس صاحب</v>
          </cell>
          <cell r="E5272" t="str">
            <v>زوہیب شوکت پیوکی</v>
          </cell>
        </row>
        <row r="5273">
          <cell r="A5273" t="str">
            <v>6878/3</v>
          </cell>
          <cell r="B5273">
            <v>6878</v>
          </cell>
          <cell r="C5273">
            <v>45790</v>
          </cell>
          <cell r="D5273" t="str">
            <v>یونس صاحب</v>
          </cell>
          <cell r="E5273" t="str">
            <v>زوہیب شوکت پیوکی</v>
          </cell>
        </row>
        <row r="5274">
          <cell r="A5274" t="str">
            <v>6878/4</v>
          </cell>
          <cell r="B5274">
            <v>6878</v>
          </cell>
          <cell r="C5274">
            <v>45790</v>
          </cell>
          <cell r="D5274" t="str">
            <v>یونس صاحب</v>
          </cell>
          <cell r="E5274" t="str">
            <v>زوہیب شوکت پیوکی</v>
          </cell>
        </row>
        <row r="5275">
          <cell r="A5275" t="str">
            <v>6879/1</v>
          </cell>
          <cell r="B5275">
            <v>6879</v>
          </cell>
          <cell r="C5275">
            <v>45792</v>
          </cell>
          <cell r="D5275" t="str">
            <v>یونس صاحب</v>
          </cell>
          <cell r="E5275" t="str">
            <v>ایم دین  بند ل</v>
          </cell>
        </row>
        <row r="5276">
          <cell r="A5276" t="str">
            <v>6880/1</v>
          </cell>
          <cell r="B5276">
            <v>6880</v>
          </cell>
          <cell r="C5276">
            <v>45792</v>
          </cell>
          <cell r="D5276" t="str">
            <v>یونس صاحب</v>
          </cell>
          <cell r="E5276" t="str">
            <v>مقبول پرنٹر ہری پور</v>
          </cell>
        </row>
        <row r="5277">
          <cell r="A5277" t="str">
            <v>6880/2</v>
          </cell>
          <cell r="B5277">
            <v>6880</v>
          </cell>
          <cell r="C5277">
            <v>45792</v>
          </cell>
          <cell r="D5277" t="str">
            <v>یونس صاحب</v>
          </cell>
          <cell r="E5277" t="str">
            <v>مقبول پرنٹر ہری پور</v>
          </cell>
        </row>
        <row r="5278">
          <cell r="A5278" t="str">
            <v>6880/3</v>
          </cell>
          <cell r="B5278">
            <v>6880</v>
          </cell>
          <cell r="C5278">
            <v>45792</v>
          </cell>
          <cell r="D5278" t="str">
            <v>یونس صاحب</v>
          </cell>
          <cell r="E5278" t="str">
            <v>مقبول پرنٹر ہری پور</v>
          </cell>
        </row>
        <row r="5279">
          <cell r="A5279" t="str">
            <v>6881/1</v>
          </cell>
          <cell r="B5279">
            <v>6881</v>
          </cell>
          <cell r="C5279">
            <v>45792</v>
          </cell>
          <cell r="D5279" t="str">
            <v>یونس صاحب</v>
          </cell>
          <cell r="E5279" t="str">
            <v>عثمان امین لاہور</v>
          </cell>
        </row>
        <row r="5280">
          <cell r="A5280" t="str">
            <v>6881/2</v>
          </cell>
          <cell r="B5280">
            <v>6881</v>
          </cell>
          <cell r="C5280">
            <v>45792</v>
          </cell>
          <cell r="D5280" t="str">
            <v>یونس صاحب</v>
          </cell>
          <cell r="E5280" t="str">
            <v>عثمان امین لاہور</v>
          </cell>
        </row>
        <row r="5281">
          <cell r="A5281" t="str">
            <v>2375 J</v>
          </cell>
          <cell r="B5281"/>
          <cell r="C5281">
            <v>45793</v>
          </cell>
          <cell r="D5281" t="str">
            <v>OTHERS</v>
          </cell>
          <cell r="E5281" t="str">
            <v>جیلانی پولی سٹاک</v>
          </cell>
        </row>
        <row r="5282">
          <cell r="A5282" t="str">
            <v>2376 J</v>
          </cell>
          <cell r="B5282"/>
          <cell r="C5282">
            <v>45793</v>
          </cell>
          <cell r="D5282" t="str">
            <v>OTHERS</v>
          </cell>
          <cell r="E5282" t="str">
            <v>جیلانی پولی سٹاک</v>
          </cell>
        </row>
        <row r="5283">
          <cell r="A5283" t="str">
            <v>2377 J</v>
          </cell>
          <cell r="B5283">
            <v>12154</v>
          </cell>
          <cell r="C5283">
            <v>45792</v>
          </cell>
          <cell r="D5283" t="str">
            <v>JILANI</v>
          </cell>
          <cell r="E5283" t="str">
            <v>امارات پلاسٹک ٹھوکر نیاز بیگ</v>
          </cell>
        </row>
        <row r="5284">
          <cell r="A5284" t="str">
            <v>2378 J</v>
          </cell>
          <cell r="B5284">
            <v>12154</v>
          </cell>
          <cell r="C5284">
            <v>45792</v>
          </cell>
          <cell r="D5284" t="str">
            <v>JILANI</v>
          </cell>
          <cell r="E5284" t="str">
            <v>امارات پلاسٹک ٹھوکر نیاز بیگ</v>
          </cell>
        </row>
        <row r="5285">
          <cell r="A5285" t="str">
            <v>2379 J</v>
          </cell>
          <cell r="B5285">
            <v>12155</v>
          </cell>
          <cell r="C5285">
            <v>45792</v>
          </cell>
          <cell r="D5285" t="str">
            <v>JILANI</v>
          </cell>
          <cell r="E5285" t="str">
            <v>عثمان عارف بٹ گوجرانولہ</v>
          </cell>
        </row>
        <row r="5286">
          <cell r="A5286" t="str">
            <v>2380 J</v>
          </cell>
          <cell r="B5286">
            <v>12155</v>
          </cell>
          <cell r="C5286">
            <v>45792</v>
          </cell>
          <cell r="D5286" t="str">
            <v>JILANI</v>
          </cell>
          <cell r="E5286" t="str">
            <v>عثمان عارف بٹ گوجرانولہ</v>
          </cell>
        </row>
        <row r="5287">
          <cell r="A5287" t="str">
            <v>2381 J</v>
          </cell>
          <cell r="B5287">
            <v>12155</v>
          </cell>
          <cell r="C5287">
            <v>45792</v>
          </cell>
          <cell r="D5287" t="str">
            <v>JILANI</v>
          </cell>
          <cell r="E5287" t="str">
            <v>عثمان عارف بٹ گوجرانولہ</v>
          </cell>
        </row>
        <row r="5288">
          <cell r="A5288" t="str">
            <v>2382 J</v>
          </cell>
          <cell r="B5288">
            <v>12155</v>
          </cell>
          <cell r="C5288">
            <v>45792</v>
          </cell>
          <cell r="D5288" t="str">
            <v>JILANI</v>
          </cell>
          <cell r="E5288" t="str">
            <v>عثمان عارف بٹ گوجرانولہ</v>
          </cell>
        </row>
        <row r="5289">
          <cell r="A5289" t="str">
            <v>2383 J</v>
          </cell>
          <cell r="B5289">
            <v>12156</v>
          </cell>
          <cell r="C5289">
            <v>45792</v>
          </cell>
          <cell r="D5289" t="str">
            <v>JILANI</v>
          </cell>
          <cell r="E5289" t="str">
            <v>عثمان عارف بٹ گوجرانولہ</v>
          </cell>
        </row>
        <row r="5290">
          <cell r="A5290" t="str">
            <v>2384 J</v>
          </cell>
          <cell r="B5290">
            <v>12156</v>
          </cell>
          <cell r="C5290">
            <v>45792</v>
          </cell>
          <cell r="D5290" t="str">
            <v>JILANI</v>
          </cell>
          <cell r="E5290" t="str">
            <v>عثمان عارف بٹ گوجرانولہ</v>
          </cell>
        </row>
        <row r="5291">
          <cell r="A5291" t="str">
            <v>2385 J</v>
          </cell>
          <cell r="B5291">
            <v>12156</v>
          </cell>
          <cell r="C5291">
            <v>45792</v>
          </cell>
          <cell r="D5291" t="str">
            <v>JILANI</v>
          </cell>
          <cell r="E5291" t="str">
            <v>عثمان عارف بٹ گوجرانولہ</v>
          </cell>
        </row>
        <row r="5292">
          <cell r="A5292" t="str">
            <v>2386 J</v>
          </cell>
          <cell r="B5292">
            <v>12156</v>
          </cell>
          <cell r="C5292">
            <v>45792</v>
          </cell>
          <cell r="D5292" t="str">
            <v>JILANI</v>
          </cell>
          <cell r="E5292" t="str">
            <v>عثمان عارف بٹ گوجرانولہ</v>
          </cell>
        </row>
        <row r="5293">
          <cell r="A5293" t="str">
            <v>2387 J</v>
          </cell>
          <cell r="B5293">
            <v>12157</v>
          </cell>
          <cell r="C5293">
            <v>45792</v>
          </cell>
          <cell r="D5293" t="str">
            <v>JILANI</v>
          </cell>
          <cell r="E5293" t="str">
            <v>عثمان عارف بٹ گوجرانولہ</v>
          </cell>
        </row>
        <row r="5294">
          <cell r="A5294" t="str">
            <v>2388 J</v>
          </cell>
          <cell r="B5294">
            <v>12157</v>
          </cell>
          <cell r="C5294">
            <v>45792</v>
          </cell>
          <cell r="D5294" t="str">
            <v>JILANI</v>
          </cell>
          <cell r="E5294" t="str">
            <v>عثمان عارف بٹ گوجرانولہ</v>
          </cell>
        </row>
        <row r="5295">
          <cell r="A5295" t="str">
            <v>2389 J</v>
          </cell>
          <cell r="B5295">
            <v>12157</v>
          </cell>
          <cell r="C5295">
            <v>45792</v>
          </cell>
          <cell r="D5295" t="str">
            <v>JILANI</v>
          </cell>
          <cell r="E5295" t="str">
            <v>عثمان عارف بٹ گوجرانولہ</v>
          </cell>
        </row>
        <row r="5296">
          <cell r="A5296" t="str">
            <v>2390 J</v>
          </cell>
          <cell r="B5296">
            <v>12157</v>
          </cell>
          <cell r="C5296">
            <v>45792</v>
          </cell>
          <cell r="D5296" t="str">
            <v>JILANI</v>
          </cell>
          <cell r="E5296" t="str">
            <v>عثمان عارف بٹ گوجرانولہ</v>
          </cell>
        </row>
        <row r="5297">
          <cell r="A5297" t="str">
            <v>2391 J</v>
          </cell>
          <cell r="B5297">
            <v>12158</v>
          </cell>
          <cell r="C5297">
            <v>45792</v>
          </cell>
          <cell r="D5297" t="str">
            <v>JILANI</v>
          </cell>
          <cell r="E5297" t="str">
            <v>مغل پلاسٹک سٹور لیہ</v>
          </cell>
        </row>
        <row r="5298">
          <cell r="A5298" t="str">
            <v>2392 J</v>
          </cell>
          <cell r="B5298">
            <v>12159</v>
          </cell>
          <cell r="C5298">
            <v>45792</v>
          </cell>
          <cell r="D5298" t="str">
            <v>JILANI</v>
          </cell>
          <cell r="E5298" t="str">
            <v>علی سویٹس اینڈ بیکرز رحیم یار خان</v>
          </cell>
        </row>
        <row r="5299">
          <cell r="A5299" t="str">
            <v>2393 J</v>
          </cell>
          <cell r="B5299">
            <v>12160</v>
          </cell>
          <cell r="C5299">
            <v>45792</v>
          </cell>
          <cell r="D5299" t="str">
            <v>JILANI</v>
          </cell>
          <cell r="E5299" t="str">
            <v>عالم بیکرز حافظ آباد</v>
          </cell>
        </row>
        <row r="5300">
          <cell r="A5300" t="str">
            <v>2394 J</v>
          </cell>
          <cell r="B5300">
            <v>12160</v>
          </cell>
          <cell r="C5300">
            <v>45792</v>
          </cell>
          <cell r="D5300" t="str">
            <v>JILANI</v>
          </cell>
          <cell r="E5300" t="str">
            <v>عالم بیکرز حافظ آباد</v>
          </cell>
        </row>
        <row r="5301">
          <cell r="A5301" t="str">
            <v>2395 J</v>
          </cell>
          <cell r="B5301">
            <v>12161</v>
          </cell>
          <cell r="C5301">
            <v>45792</v>
          </cell>
          <cell r="D5301" t="str">
            <v>JILANI</v>
          </cell>
          <cell r="E5301" t="str">
            <v>عالم پرنٹرز بٹ خیلہ</v>
          </cell>
        </row>
        <row r="5302">
          <cell r="A5302" t="str">
            <v>2396 J</v>
          </cell>
          <cell r="B5302">
            <v>12162</v>
          </cell>
          <cell r="C5302">
            <v>45792</v>
          </cell>
          <cell r="D5302" t="str">
            <v>JILANI</v>
          </cell>
          <cell r="E5302" t="str">
            <v>آوٹ کلاس اینڈ ومن کڈزلاہور</v>
          </cell>
        </row>
        <row r="5303">
          <cell r="A5303" t="str">
            <v>2397 J</v>
          </cell>
          <cell r="B5303">
            <v>12163</v>
          </cell>
          <cell r="C5303">
            <v>45792</v>
          </cell>
          <cell r="D5303" t="str">
            <v>JILANI</v>
          </cell>
          <cell r="E5303" t="str">
            <v>زبیر شاہ لاہور</v>
          </cell>
        </row>
        <row r="5304">
          <cell r="A5304" t="str">
            <v>2398 J</v>
          </cell>
          <cell r="B5304">
            <v>12164</v>
          </cell>
          <cell r="C5304">
            <v>45792</v>
          </cell>
          <cell r="D5304" t="str">
            <v>JILANI</v>
          </cell>
          <cell r="E5304" t="str">
            <v>ہیڈ آفس لاہور</v>
          </cell>
        </row>
        <row r="5305">
          <cell r="A5305" t="str">
            <v>2399 J</v>
          </cell>
          <cell r="B5305">
            <v>12164</v>
          </cell>
          <cell r="C5305">
            <v>45792</v>
          </cell>
          <cell r="D5305" t="str">
            <v>JILANI</v>
          </cell>
          <cell r="E5305" t="str">
            <v>ہیڈ آفس لاہور</v>
          </cell>
        </row>
        <row r="5306">
          <cell r="A5306" t="str">
            <v>2400 J</v>
          </cell>
          <cell r="B5306">
            <v>12165</v>
          </cell>
          <cell r="C5306">
            <v>45792</v>
          </cell>
          <cell r="D5306" t="str">
            <v>JILANI</v>
          </cell>
          <cell r="E5306" t="str">
            <v>لکی کلاتھ ہاؤس لیہ</v>
          </cell>
        </row>
        <row r="5307">
          <cell r="A5307" t="str">
            <v>1553 F</v>
          </cell>
          <cell r="B5307"/>
          <cell r="C5307">
            <v>45792</v>
          </cell>
          <cell r="D5307" t="str">
            <v>فینا</v>
          </cell>
          <cell r="E5307" t="str">
            <v>عثمان امین</v>
          </cell>
        </row>
        <row r="5308">
          <cell r="A5308" t="str">
            <v>1554 F</v>
          </cell>
          <cell r="B5308"/>
          <cell r="C5308">
            <v>45792</v>
          </cell>
          <cell r="D5308" t="str">
            <v>فینا</v>
          </cell>
          <cell r="E5308" t="str">
            <v>عثمان امین</v>
          </cell>
        </row>
        <row r="5309">
          <cell r="A5309" t="str">
            <v>1555 F</v>
          </cell>
          <cell r="B5309"/>
          <cell r="C5309">
            <v>45792</v>
          </cell>
          <cell r="D5309" t="str">
            <v>فینا</v>
          </cell>
          <cell r="E5309" t="str">
            <v>عثمان امین</v>
          </cell>
        </row>
        <row r="5310">
          <cell r="A5310" t="str">
            <v>1556 F</v>
          </cell>
          <cell r="B5310"/>
          <cell r="C5310">
            <v>45792</v>
          </cell>
          <cell r="D5310" t="str">
            <v>فینا</v>
          </cell>
          <cell r="E5310" t="str">
            <v>عثمان امین</v>
          </cell>
        </row>
        <row r="5311">
          <cell r="A5311" t="str">
            <v>1557 F</v>
          </cell>
          <cell r="B5311"/>
          <cell r="C5311">
            <v>45793</v>
          </cell>
          <cell r="D5311" t="str">
            <v>فینا</v>
          </cell>
          <cell r="E5311" t="str">
            <v>عثمان امین</v>
          </cell>
        </row>
        <row r="5312">
          <cell r="A5312" t="str">
            <v>1558 F</v>
          </cell>
          <cell r="B5312"/>
          <cell r="C5312">
            <v>45793</v>
          </cell>
          <cell r="D5312" t="str">
            <v>فینا</v>
          </cell>
          <cell r="E5312" t="str">
            <v>عثمان امین</v>
          </cell>
        </row>
        <row r="5313">
          <cell r="A5313" t="str">
            <v>1559 F</v>
          </cell>
          <cell r="B5313"/>
          <cell r="C5313">
            <v>45793</v>
          </cell>
          <cell r="D5313" t="str">
            <v>فینا</v>
          </cell>
          <cell r="E5313" t="str">
            <v>عثمان امین</v>
          </cell>
        </row>
        <row r="5314">
          <cell r="A5314" t="str">
            <v>1560 F</v>
          </cell>
          <cell r="B5314"/>
          <cell r="C5314">
            <v>45793</v>
          </cell>
          <cell r="D5314" t="str">
            <v>فینا</v>
          </cell>
          <cell r="E5314" t="str">
            <v>عثمان امین</v>
          </cell>
        </row>
        <row r="5315">
          <cell r="A5315" t="str">
            <v>1561 F</v>
          </cell>
          <cell r="B5315"/>
          <cell r="C5315">
            <v>45793</v>
          </cell>
          <cell r="D5315" t="str">
            <v>فینا</v>
          </cell>
          <cell r="E5315" t="str">
            <v>عثمان امین</v>
          </cell>
        </row>
        <row r="5316">
          <cell r="A5316" t="str">
            <v>1562 F</v>
          </cell>
          <cell r="B5316"/>
          <cell r="C5316">
            <v>45793</v>
          </cell>
          <cell r="D5316" t="str">
            <v>فینا</v>
          </cell>
          <cell r="E5316" t="str">
            <v>عثمان امین</v>
          </cell>
        </row>
        <row r="5317">
          <cell r="A5317" t="str">
            <v>1563 F</v>
          </cell>
          <cell r="B5317"/>
          <cell r="C5317">
            <v>45793</v>
          </cell>
          <cell r="D5317" t="str">
            <v>فینا</v>
          </cell>
          <cell r="E5317" t="str">
            <v>عثمان امین</v>
          </cell>
        </row>
        <row r="5318">
          <cell r="A5318" t="str">
            <v>1564 F</v>
          </cell>
          <cell r="B5318"/>
          <cell r="C5318">
            <v>45793</v>
          </cell>
          <cell r="D5318" t="str">
            <v>فینا</v>
          </cell>
          <cell r="E5318" t="str">
            <v>عثمان امین</v>
          </cell>
        </row>
        <row r="5319">
          <cell r="A5319" t="str">
            <v>1565 F</v>
          </cell>
          <cell r="B5319"/>
          <cell r="C5319">
            <v>45793</v>
          </cell>
          <cell r="D5319" t="str">
            <v>فینا</v>
          </cell>
          <cell r="E5319" t="str">
            <v>عثمان امین</v>
          </cell>
        </row>
        <row r="5320">
          <cell r="A5320" t="str">
            <v>1566 F</v>
          </cell>
          <cell r="B5320"/>
          <cell r="C5320">
            <v>45793</v>
          </cell>
          <cell r="D5320" t="str">
            <v>فینا</v>
          </cell>
          <cell r="E5320" t="str">
            <v>عثمان امین</v>
          </cell>
        </row>
        <row r="5321">
          <cell r="A5321" t="str">
            <v>1567 F</v>
          </cell>
          <cell r="B5321"/>
          <cell r="C5321">
            <v>45794</v>
          </cell>
          <cell r="D5321" t="str">
            <v>فینا</v>
          </cell>
          <cell r="E5321" t="str">
            <v>عثمان امین</v>
          </cell>
        </row>
        <row r="5322">
          <cell r="A5322" t="str">
            <v>1568 F</v>
          </cell>
          <cell r="B5322"/>
          <cell r="C5322">
            <v>45794</v>
          </cell>
          <cell r="D5322" t="str">
            <v>فینا</v>
          </cell>
          <cell r="E5322" t="str">
            <v>عثمان امین</v>
          </cell>
        </row>
        <row r="5323">
          <cell r="A5323" t="str">
            <v>1569 F</v>
          </cell>
          <cell r="B5323"/>
          <cell r="C5323">
            <v>45794</v>
          </cell>
          <cell r="D5323" t="str">
            <v>فینا</v>
          </cell>
          <cell r="E5323" t="str">
            <v>عثمان امین</v>
          </cell>
        </row>
        <row r="5324">
          <cell r="A5324" t="str">
            <v>1570 F</v>
          </cell>
          <cell r="B5324"/>
          <cell r="C5324">
            <v>45796</v>
          </cell>
          <cell r="D5324" t="str">
            <v>فینا</v>
          </cell>
          <cell r="E5324" t="str">
            <v>عثمان امین</v>
          </cell>
        </row>
        <row r="5325">
          <cell r="A5325" t="str">
            <v>1571 F</v>
          </cell>
          <cell r="B5325"/>
          <cell r="C5325">
            <v>45796</v>
          </cell>
          <cell r="D5325" t="str">
            <v>فینا</v>
          </cell>
          <cell r="E5325" t="str">
            <v>عثمان امین</v>
          </cell>
        </row>
        <row r="5326">
          <cell r="A5326" t="str">
            <v>2401 J</v>
          </cell>
          <cell r="B5326">
            <v>12167</v>
          </cell>
          <cell r="C5326">
            <v>45792</v>
          </cell>
          <cell r="D5326" t="str">
            <v>JILANI</v>
          </cell>
          <cell r="E5326" t="str">
            <v>طیب بریانی شوارما لاہور</v>
          </cell>
        </row>
        <row r="5327">
          <cell r="A5327" t="str">
            <v>2402 J</v>
          </cell>
          <cell r="B5327">
            <v>12167</v>
          </cell>
          <cell r="C5327">
            <v>45792</v>
          </cell>
          <cell r="D5327" t="str">
            <v>JILANI</v>
          </cell>
          <cell r="E5327" t="str">
            <v>طیب بریانی شوارما لاہور</v>
          </cell>
        </row>
        <row r="5328">
          <cell r="A5328" t="str">
            <v>2403 J</v>
          </cell>
          <cell r="B5328">
            <v>12168</v>
          </cell>
          <cell r="C5328">
            <v>45792</v>
          </cell>
          <cell r="D5328" t="str">
            <v>JILANI</v>
          </cell>
          <cell r="E5328" t="str">
            <v>خواجہ واچ سنٹر لاہور</v>
          </cell>
        </row>
        <row r="5329">
          <cell r="A5329" t="str">
            <v>2404 J</v>
          </cell>
          <cell r="B5329">
            <v>12169</v>
          </cell>
          <cell r="C5329">
            <v>45792</v>
          </cell>
          <cell r="D5329" t="str">
            <v>JILANI</v>
          </cell>
          <cell r="E5329" t="str">
            <v>ابراہیم فلٹر انڈسٹری(SMC.PVT.LTD)</v>
          </cell>
        </row>
        <row r="5330">
          <cell r="A5330" t="str">
            <v>2405 J</v>
          </cell>
          <cell r="B5330">
            <v>12170</v>
          </cell>
          <cell r="C5330">
            <v>45792</v>
          </cell>
          <cell r="D5330" t="str">
            <v>JILANI</v>
          </cell>
          <cell r="E5330" t="str">
            <v>شیخ سویٹس منڈی فیض آباد</v>
          </cell>
        </row>
        <row r="5331">
          <cell r="A5331" t="str">
            <v>2406 J</v>
          </cell>
          <cell r="B5331">
            <v>12170</v>
          </cell>
          <cell r="C5331">
            <v>45792</v>
          </cell>
          <cell r="D5331" t="str">
            <v>JILANI</v>
          </cell>
          <cell r="E5331" t="str">
            <v>شیخ سویٹس منڈی فیض آباد</v>
          </cell>
        </row>
        <row r="5332">
          <cell r="A5332" t="str">
            <v>2407 J</v>
          </cell>
          <cell r="B5332"/>
          <cell r="C5332">
            <v>45792</v>
          </cell>
          <cell r="D5332" t="str">
            <v>OTHERS</v>
          </cell>
          <cell r="E5332" t="str">
            <v>جیلانی پلاسٹک</v>
          </cell>
        </row>
        <row r="5333">
          <cell r="A5333" t="str">
            <v>2408 J</v>
          </cell>
          <cell r="B5333"/>
          <cell r="C5333">
            <v>45792</v>
          </cell>
          <cell r="D5333" t="str">
            <v>OTHERS</v>
          </cell>
          <cell r="E5333" t="str">
            <v>جیلانی پولی سٹاک</v>
          </cell>
        </row>
        <row r="5334">
          <cell r="A5334" t="str">
            <v>2409 J</v>
          </cell>
          <cell r="B5334"/>
          <cell r="C5334">
            <v>45792</v>
          </cell>
          <cell r="D5334" t="str">
            <v>OTHERS</v>
          </cell>
          <cell r="E5334" t="str">
            <v>جیلانی پولی سٹاک</v>
          </cell>
        </row>
        <row r="5335">
          <cell r="A5335" t="str">
            <v>2410 J</v>
          </cell>
          <cell r="B5335"/>
          <cell r="C5335">
            <v>45792</v>
          </cell>
          <cell r="D5335" t="str">
            <v>OTHERS</v>
          </cell>
          <cell r="E5335" t="str">
            <v>جیلانی پولی سٹاک</v>
          </cell>
        </row>
        <row r="5336">
          <cell r="A5336" t="str">
            <v>2411 J</v>
          </cell>
          <cell r="B5336"/>
          <cell r="C5336">
            <v>45792</v>
          </cell>
          <cell r="D5336" t="str">
            <v>OTHERS</v>
          </cell>
          <cell r="E5336" t="str">
            <v>جیلانی پولی سٹاک</v>
          </cell>
        </row>
        <row r="5337">
          <cell r="A5337" t="str">
            <v>2412 J</v>
          </cell>
          <cell r="B5337"/>
          <cell r="C5337">
            <v>45792</v>
          </cell>
          <cell r="D5337" t="str">
            <v>OTHERS</v>
          </cell>
          <cell r="E5337" t="str">
            <v>جیلانی پلاسٹک</v>
          </cell>
        </row>
        <row r="5338">
          <cell r="A5338" t="str">
            <v>2413 J</v>
          </cell>
          <cell r="B5338"/>
          <cell r="C5338">
            <v>45792</v>
          </cell>
          <cell r="D5338" t="str">
            <v>OTHERS</v>
          </cell>
          <cell r="E5338" t="str">
            <v>جیلانی پلاسٹک</v>
          </cell>
        </row>
        <row r="5339">
          <cell r="A5339" t="str">
            <v>2414 J</v>
          </cell>
          <cell r="B5339"/>
          <cell r="C5339">
            <v>45796</v>
          </cell>
          <cell r="D5339" t="str">
            <v>OTHERS</v>
          </cell>
          <cell r="E5339" t="str">
            <v>جیلانی پولی یونٹ 2</v>
          </cell>
        </row>
        <row r="5340">
          <cell r="A5340" t="str">
            <v>2415 J</v>
          </cell>
          <cell r="B5340">
            <v>12171</v>
          </cell>
          <cell r="C5340">
            <v>45794</v>
          </cell>
          <cell r="D5340" t="str">
            <v>JILANI</v>
          </cell>
          <cell r="E5340" t="str">
            <v>عالم پرنٹرز بٹ خیلہ</v>
          </cell>
        </row>
        <row r="5341">
          <cell r="A5341" t="str">
            <v>2416 J</v>
          </cell>
          <cell r="B5341">
            <v>12172</v>
          </cell>
          <cell r="C5341">
            <v>45794</v>
          </cell>
          <cell r="D5341" t="str">
            <v>JILANI</v>
          </cell>
          <cell r="E5341" t="str">
            <v>عالم پرنٹرز بٹ خیلہ</v>
          </cell>
        </row>
        <row r="5342">
          <cell r="A5342" t="str">
            <v>2417 J</v>
          </cell>
          <cell r="B5342">
            <v>12173</v>
          </cell>
          <cell r="C5342">
            <v>45794</v>
          </cell>
          <cell r="D5342" t="str">
            <v>JILANI</v>
          </cell>
          <cell r="E5342" t="str">
            <v>مکہ گارمنٹس بورے والا</v>
          </cell>
        </row>
        <row r="5343">
          <cell r="A5343" t="str">
            <v>2418 J</v>
          </cell>
          <cell r="B5343">
            <v>12174</v>
          </cell>
          <cell r="C5343">
            <v>45794</v>
          </cell>
          <cell r="D5343" t="str">
            <v>JILANI</v>
          </cell>
          <cell r="E5343" t="str">
            <v>وسیم شاپر ہاؤس لاہور</v>
          </cell>
        </row>
        <row r="5344">
          <cell r="A5344" t="str">
            <v>2419 J</v>
          </cell>
          <cell r="B5344">
            <v>12174</v>
          </cell>
          <cell r="C5344">
            <v>45794</v>
          </cell>
          <cell r="D5344" t="str">
            <v>JILANI</v>
          </cell>
          <cell r="E5344" t="str">
            <v>عثمان عارف بٹ گوجرانولہ</v>
          </cell>
        </row>
        <row r="5345">
          <cell r="A5345" t="str">
            <v>2420 J</v>
          </cell>
          <cell r="B5345">
            <v>12176</v>
          </cell>
          <cell r="C5345">
            <v>45794</v>
          </cell>
          <cell r="D5345" t="str">
            <v>JILANI</v>
          </cell>
          <cell r="E5345" t="str">
            <v>فینسی گارمنٹس کامونکی</v>
          </cell>
        </row>
        <row r="5346">
          <cell r="A5346" t="str">
            <v>2421 J</v>
          </cell>
          <cell r="B5346">
            <v>12176</v>
          </cell>
          <cell r="C5346">
            <v>45794</v>
          </cell>
          <cell r="D5346" t="str">
            <v>JILANI</v>
          </cell>
          <cell r="E5346" t="str">
            <v>فینسی گارمنٹس کامونکی</v>
          </cell>
        </row>
        <row r="5347">
          <cell r="A5347" t="str">
            <v>2422 J</v>
          </cell>
          <cell r="B5347">
            <v>12177</v>
          </cell>
          <cell r="C5347">
            <v>45794</v>
          </cell>
          <cell r="D5347" t="str">
            <v>JILANI</v>
          </cell>
          <cell r="E5347" t="str">
            <v>فینسی گارمنٹس کامونکی</v>
          </cell>
        </row>
        <row r="5348">
          <cell r="A5348" t="str">
            <v>2423 J</v>
          </cell>
          <cell r="B5348">
            <v>12178</v>
          </cell>
          <cell r="C5348">
            <v>45794</v>
          </cell>
          <cell r="D5348" t="str">
            <v>JILANI</v>
          </cell>
          <cell r="E5348" t="str">
            <v>عالم بیکرز شاہدرہ</v>
          </cell>
        </row>
        <row r="5349">
          <cell r="A5349" t="str">
            <v>2424 J</v>
          </cell>
          <cell r="B5349"/>
          <cell r="C5349">
            <v>45792</v>
          </cell>
          <cell r="D5349" t="str">
            <v>OTHERS</v>
          </cell>
          <cell r="E5349" t="str">
            <v>جیلانی پولی سٹاک</v>
          </cell>
        </row>
        <row r="5350">
          <cell r="A5350" t="str">
            <v>2425 J</v>
          </cell>
          <cell r="B5350">
            <v>12179</v>
          </cell>
          <cell r="C5350">
            <v>45796</v>
          </cell>
          <cell r="D5350" t="str">
            <v>JILANI</v>
          </cell>
          <cell r="E5350" t="str">
            <v>عالم بیکرز شاہدرہ</v>
          </cell>
        </row>
        <row r="5351">
          <cell r="A5351" t="str">
            <v>2426 J</v>
          </cell>
          <cell r="B5351">
            <v>12179</v>
          </cell>
          <cell r="C5351">
            <v>45796</v>
          </cell>
          <cell r="D5351" t="str">
            <v>JILANI</v>
          </cell>
          <cell r="E5351" t="str">
            <v>عالم بیکرز شاہدرہ</v>
          </cell>
        </row>
        <row r="5352">
          <cell r="A5352" t="str">
            <v>2427 J</v>
          </cell>
          <cell r="B5352">
            <v>12180</v>
          </cell>
          <cell r="C5352">
            <v>45796</v>
          </cell>
          <cell r="D5352" t="str">
            <v>JILANI</v>
          </cell>
          <cell r="E5352" t="str">
            <v>عمر فیبرکس جہلم</v>
          </cell>
        </row>
        <row r="5353">
          <cell r="A5353" t="str">
            <v>2428 J</v>
          </cell>
          <cell r="B5353">
            <v>12181</v>
          </cell>
          <cell r="C5353">
            <v>45796</v>
          </cell>
          <cell r="D5353" t="str">
            <v>JILANI</v>
          </cell>
          <cell r="E5353" t="str">
            <v>پرفیکٹ فوڈ لاہور</v>
          </cell>
        </row>
        <row r="5354">
          <cell r="A5354" t="str">
            <v>2429 J</v>
          </cell>
          <cell r="B5354">
            <v>12181</v>
          </cell>
          <cell r="C5354">
            <v>45796</v>
          </cell>
          <cell r="D5354" t="str">
            <v>JILANI</v>
          </cell>
          <cell r="E5354" t="str">
            <v>پرفیکٹ فوڈ لاہور</v>
          </cell>
        </row>
        <row r="5355">
          <cell r="A5355" t="str">
            <v>2430 J</v>
          </cell>
          <cell r="B5355">
            <v>12182</v>
          </cell>
          <cell r="C5355">
            <v>45796</v>
          </cell>
          <cell r="D5355" t="str">
            <v>JILANI</v>
          </cell>
          <cell r="E5355" t="str">
            <v>شعیب آٹوز راولپنڈی</v>
          </cell>
        </row>
        <row r="5356">
          <cell r="A5356" t="str">
            <v>2431 J</v>
          </cell>
          <cell r="B5356">
            <v>12183</v>
          </cell>
          <cell r="C5356">
            <v>45796</v>
          </cell>
          <cell r="D5356" t="str">
            <v>JILANI</v>
          </cell>
          <cell r="E5356" t="str">
            <v>عالم پرنٹرز بٹ خیلہ</v>
          </cell>
        </row>
        <row r="5357">
          <cell r="A5357" t="str">
            <v>2432 J</v>
          </cell>
          <cell r="B5357">
            <v>12184</v>
          </cell>
          <cell r="C5357">
            <v>45796</v>
          </cell>
          <cell r="D5357" t="str">
            <v>JILANI</v>
          </cell>
          <cell r="E5357" t="str">
            <v>ایم کے بی پشاور</v>
          </cell>
        </row>
        <row r="5358">
          <cell r="A5358" t="str">
            <v>2433 J</v>
          </cell>
          <cell r="B5358">
            <v>12184</v>
          </cell>
          <cell r="C5358">
            <v>45796</v>
          </cell>
          <cell r="D5358" t="str">
            <v>JILANI</v>
          </cell>
          <cell r="E5358" t="str">
            <v>ایم کے بی پشاور</v>
          </cell>
        </row>
        <row r="5359">
          <cell r="A5359" t="str">
            <v>2434 J</v>
          </cell>
          <cell r="B5359">
            <v>12185</v>
          </cell>
          <cell r="C5359">
            <v>45796</v>
          </cell>
          <cell r="D5359" t="str">
            <v>JILANI</v>
          </cell>
          <cell r="E5359" t="str">
            <v>کے ڈی آٹو پارٹس لاہور</v>
          </cell>
        </row>
        <row r="5360">
          <cell r="A5360" t="str">
            <v>2435 J</v>
          </cell>
          <cell r="B5360">
            <v>12186</v>
          </cell>
          <cell r="C5360">
            <v>45796</v>
          </cell>
          <cell r="D5360" t="str">
            <v>JILANI</v>
          </cell>
          <cell r="E5360" t="str">
            <v>عالم پرنٹرز بٹ خیلہ</v>
          </cell>
        </row>
        <row r="5361">
          <cell r="A5361" t="str">
            <v>2436 J</v>
          </cell>
          <cell r="B5361">
            <v>12186</v>
          </cell>
          <cell r="C5361">
            <v>45796</v>
          </cell>
          <cell r="D5361" t="str">
            <v>JILANI</v>
          </cell>
          <cell r="E5361" t="str">
            <v>عالم پرنٹرز بٹ خیلہ</v>
          </cell>
        </row>
        <row r="5362">
          <cell r="A5362" t="str">
            <v>2437 J</v>
          </cell>
          <cell r="B5362">
            <v>12186</v>
          </cell>
          <cell r="C5362">
            <v>45796</v>
          </cell>
          <cell r="D5362" t="str">
            <v>JILANI</v>
          </cell>
          <cell r="E5362" t="str">
            <v>عالم پرنٹرز بٹ خیلہ</v>
          </cell>
        </row>
        <row r="5363">
          <cell r="A5363" t="str">
            <v>2438 J</v>
          </cell>
          <cell r="B5363">
            <v>12187</v>
          </cell>
          <cell r="C5363">
            <v>45796</v>
          </cell>
          <cell r="D5363" t="str">
            <v>JILANI</v>
          </cell>
          <cell r="E5363" t="str">
            <v>عرفان صاحب اعظم مارکیٹ لاہور</v>
          </cell>
        </row>
        <row r="5364">
          <cell r="A5364" t="str">
            <v>2439 J</v>
          </cell>
          <cell r="B5364">
            <v>12188</v>
          </cell>
          <cell r="C5364">
            <v>45796</v>
          </cell>
          <cell r="D5364" t="str">
            <v>JILANI</v>
          </cell>
          <cell r="E5364" t="str">
            <v>علی سویٹس اینڈ بیکرز رحیم یار خان</v>
          </cell>
        </row>
        <row r="5365">
          <cell r="A5365" t="str">
            <v>2440 J</v>
          </cell>
          <cell r="B5365">
            <v>12189</v>
          </cell>
          <cell r="C5365">
            <v>45796</v>
          </cell>
          <cell r="D5365" t="str">
            <v>JILANI</v>
          </cell>
          <cell r="E5365" t="str">
            <v>ماجد منظورعوان ٹاؤن لاہور</v>
          </cell>
        </row>
        <row r="5366">
          <cell r="A5366" t="str">
            <v>2441 J</v>
          </cell>
          <cell r="B5366">
            <v>12189</v>
          </cell>
          <cell r="C5366">
            <v>45796</v>
          </cell>
          <cell r="D5366" t="str">
            <v>JILANI</v>
          </cell>
          <cell r="E5366" t="str">
            <v>ماجد منظورعوان ٹاؤن لاہور</v>
          </cell>
        </row>
        <row r="5367">
          <cell r="A5367" t="str">
            <v>2442 J</v>
          </cell>
          <cell r="B5367">
            <v>12189</v>
          </cell>
          <cell r="C5367">
            <v>45796</v>
          </cell>
          <cell r="D5367" t="str">
            <v>JILANI</v>
          </cell>
          <cell r="E5367" t="str">
            <v>ماجد منظورعوان ٹاؤن لاہور</v>
          </cell>
        </row>
        <row r="5368">
          <cell r="A5368" t="str">
            <v>2443 J</v>
          </cell>
          <cell r="B5368">
            <v>12190</v>
          </cell>
          <cell r="C5368">
            <v>45796</v>
          </cell>
          <cell r="D5368" t="str">
            <v>JILANI</v>
          </cell>
          <cell r="E5368" t="str">
            <v>نواب سویٹس اینڈ بیکرز پتوکی</v>
          </cell>
        </row>
        <row r="5369">
          <cell r="A5369" t="str">
            <v>2444 J</v>
          </cell>
          <cell r="B5369">
            <v>12190</v>
          </cell>
          <cell r="C5369">
            <v>45796</v>
          </cell>
          <cell r="D5369" t="str">
            <v>JILANI</v>
          </cell>
          <cell r="E5369" t="str">
            <v>نواب سویٹس اینڈ بیکرز پتوکی</v>
          </cell>
        </row>
        <row r="5370">
          <cell r="A5370" t="str">
            <v>2445 J</v>
          </cell>
          <cell r="B5370">
            <v>12190</v>
          </cell>
          <cell r="C5370">
            <v>45796</v>
          </cell>
          <cell r="D5370" t="str">
            <v>JILANI</v>
          </cell>
          <cell r="E5370" t="str">
            <v>نواب سویٹس اینڈ بیکرز پتوکی</v>
          </cell>
        </row>
        <row r="5371">
          <cell r="A5371" t="str">
            <v>2446 J</v>
          </cell>
          <cell r="B5371">
            <v>12192</v>
          </cell>
          <cell r="C5371">
            <v>45796</v>
          </cell>
          <cell r="D5371" t="str">
            <v>OTHERS</v>
          </cell>
          <cell r="E5371" t="str">
            <v>عثمان عارف بٹ گوجرانولہ</v>
          </cell>
        </row>
        <row r="5372">
          <cell r="A5372" t="str">
            <v>2447 J</v>
          </cell>
          <cell r="B5372">
            <v>12192</v>
          </cell>
          <cell r="C5372">
            <v>45796</v>
          </cell>
          <cell r="D5372" t="str">
            <v>OTHERS</v>
          </cell>
          <cell r="E5372" t="str">
            <v>عثمان عارف بٹ گوجرانولہ</v>
          </cell>
        </row>
        <row r="5373">
          <cell r="A5373" t="str">
            <v>2448 J</v>
          </cell>
          <cell r="B5373">
            <v>12191</v>
          </cell>
          <cell r="C5373">
            <v>45796</v>
          </cell>
          <cell r="D5373" t="str">
            <v>JILANI</v>
          </cell>
          <cell r="E5373" t="str">
            <v>عثمان عارف بٹ گوجرانولہ</v>
          </cell>
        </row>
        <row r="5374">
          <cell r="A5374" t="str">
            <v>2449 J</v>
          </cell>
          <cell r="B5374"/>
          <cell r="C5374">
            <v>45791</v>
          </cell>
          <cell r="D5374" t="str">
            <v>OTHERS</v>
          </cell>
          <cell r="E5374" t="str">
            <v>جیلانی پولی سٹاک</v>
          </cell>
        </row>
        <row r="5375">
          <cell r="A5375" t="str">
            <v>1572 F</v>
          </cell>
          <cell r="B5375"/>
          <cell r="C5375">
            <v>45796</v>
          </cell>
          <cell r="D5375" t="str">
            <v>فینا</v>
          </cell>
          <cell r="E5375" t="str">
            <v>عثمان امین</v>
          </cell>
        </row>
        <row r="5376">
          <cell r="A5376" t="str">
            <v>1573 F</v>
          </cell>
          <cell r="B5376"/>
          <cell r="C5376">
            <v>45796</v>
          </cell>
          <cell r="D5376" t="str">
            <v>فینا</v>
          </cell>
          <cell r="E5376" t="str">
            <v>عثمان امین</v>
          </cell>
        </row>
        <row r="5377">
          <cell r="A5377" t="str">
            <v>1574 F</v>
          </cell>
          <cell r="B5377"/>
          <cell r="C5377">
            <v>45796</v>
          </cell>
          <cell r="D5377" t="str">
            <v>فینا</v>
          </cell>
          <cell r="E5377" t="str">
            <v>عثمان امین</v>
          </cell>
        </row>
        <row r="5378">
          <cell r="A5378" t="str">
            <v>1575 F</v>
          </cell>
          <cell r="B5378"/>
          <cell r="C5378">
            <v>45796</v>
          </cell>
          <cell r="D5378" t="str">
            <v>فینا</v>
          </cell>
          <cell r="E5378" t="str">
            <v>عثمان امین</v>
          </cell>
        </row>
        <row r="5379">
          <cell r="A5379" t="str">
            <v>1576 F</v>
          </cell>
          <cell r="B5379"/>
          <cell r="C5379">
            <v>45796</v>
          </cell>
          <cell r="D5379" t="str">
            <v>فینا</v>
          </cell>
          <cell r="E5379" t="str">
            <v>عثمان امین</v>
          </cell>
        </row>
        <row r="5380">
          <cell r="A5380" t="str">
            <v>1577 F</v>
          </cell>
          <cell r="B5380"/>
          <cell r="C5380">
            <v>45797</v>
          </cell>
          <cell r="D5380" t="str">
            <v>فینا</v>
          </cell>
          <cell r="E5380" t="str">
            <v>عثمان امین</v>
          </cell>
        </row>
        <row r="5381">
          <cell r="A5381" t="str">
            <v>1578 F</v>
          </cell>
          <cell r="B5381"/>
          <cell r="C5381">
            <v>45797</v>
          </cell>
          <cell r="D5381" t="str">
            <v>فینا</v>
          </cell>
          <cell r="E5381" t="str">
            <v>عثمان امین</v>
          </cell>
        </row>
        <row r="5382">
          <cell r="A5382" t="str">
            <v>1579 F</v>
          </cell>
          <cell r="B5382"/>
          <cell r="C5382">
            <v>45797</v>
          </cell>
          <cell r="D5382" t="str">
            <v>فینا</v>
          </cell>
          <cell r="E5382" t="str">
            <v>عثمان امین</v>
          </cell>
        </row>
        <row r="5383">
          <cell r="A5383" t="str">
            <v>1580 F</v>
          </cell>
          <cell r="B5383"/>
          <cell r="C5383">
            <v>45797</v>
          </cell>
          <cell r="D5383" t="str">
            <v>فینا</v>
          </cell>
          <cell r="E5383" t="str">
            <v>عثمان امین</v>
          </cell>
        </row>
        <row r="5384">
          <cell r="A5384" t="str">
            <v>1581 F</v>
          </cell>
          <cell r="B5384"/>
          <cell r="C5384">
            <v>45797</v>
          </cell>
          <cell r="D5384" t="str">
            <v>فینا</v>
          </cell>
          <cell r="E5384" t="str">
            <v>عثمان امین</v>
          </cell>
        </row>
        <row r="5385">
          <cell r="A5385" t="str">
            <v>1582 F</v>
          </cell>
          <cell r="B5385"/>
          <cell r="C5385">
            <v>45798</v>
          </cell>
          <cell r="D5385" t="str">
            <v>فینا</v>
          </cell>
          <cell r="E5385" t="str">
            <v>عثمان امین</v>
          </cell>
        </row>
        <row r="5386">
          <cell r="A5386" t="str">
            <v>1583 F</v>
          </cell>
          <cell r="B5386"/>
          <cell r="C5386">
            <v>45798</v>
          </cell>
          <cell r="D5386" t="str">
            <v>فینا</v>
          </cell>
          <cell r="E5386" t="str">
            <v>عثمان امین</v>
          </cell>
        </row>
        <row r="5387">
          <cell r="A5387" t="str">
            <v>1584 F</v>
          </cell>
          <cell r="B5387"/>
          <cell r="C5387">
            <v>45798</v>
          </cell>
          <cell r="D5387" t="str">
            <v>فینا</v>
          </cell>
          <cell r="E5387" t="str">
            <v>عثمان امین</v>
          </cell>
        </row>
        <row r="5388">
          <cell r="A5388" t="str">
            <v>1585 F</v>
          </cell>
          <cell r="B5388"/>
          <cell r="C5388">
            <v>45798</v>
          </cell>
          <cell r="D5388" t="str">
            <v>فینا</v>
          </cell>
          <cell r="E5388" t="str">
            <v>عثمان امین</v>
          </cell>
        </row>
        <row r="5389">
          <cell r="A5389" t="str">
            <v>1586 F</v>
          </cell>
          <cell r="B5389"/>
          <cell r="C5389">
            <v>45798</v>
          </cell>
          <cell r="D5389" t="str">
            <v>فینا</v>
          </cell>
          <cell r="E5389" t="str">
            <v>عثمان امین</v>
          </cell>
        </row>
        <row r="5390">
          <cell r="A5390" t="str">
            <v>1587 F</v>
          </cell>
          <cell r="B5390"/>
          <cell r="C5390">
            <v>45798</v>
          </cell>
          <cell r="D5390" t="str">
            <v>فینا</v>
          </cell>
          <cell r="E5390" t="str">
            <v>عثمان امین</v>
          </cell>
        </row>
        <row r="5391">
          <cell r="A5391" t="str">
            <v>1588 F</v>
          </cell>
          <cell r="B5391"/>
          <cell r="C5391">
            <v>45798</v>
          </cell>
          <cell r="D5391" t="str">
            <v>فینا</v>
          </cell>
          <cell r="E5391" t="str">
            <v>عثمان امین</v>
          </cell>
        </row>
        <row r="5392">
          <cell r="A5392" t="str">
            <v>1589 F</v>
          </cell>
          <cell r="B5392"/>
          <cell r="C5392">
            <v>45798</v>
          </cell>
          <cell r="D5392" t="str">
            <v>فینا</v>
          </cell>
          <cell r="E5392" t="str">
            <v>عثمان امین</v>
          </cell>
        </row>
        <row r="5393">
          <cell r="A5393" t="str">
            <v>1590 F</v>
          </cell>
          <cell r="B5393"/>
          <cell r="C5393">
            <v>45799</v>
          </cell>
          <cell r="D5393" t="str">
            <v>فینا</v>
          </cell>
          <cell r="E5393" t="str">
            <v>عثمان امین</v>
          </cell>
        </row>
        <row r="5394">
          <cell r="A5394" t="str">
            <v>1591 F</v>
          </cell>
          <cell r="B5394"/>
          <cell r="C5394">
            <v>45799</v>
          </cell>
          <cell r="D5394" t="str">
            <v>فینا</v>
          </cell>
          <cell r="E5394" t="str">
            <v>عثمان امین</v>
          </cell>
        </row>
        <row r="5395">
          <cell r="A5395" t="str">
            <v>1592 F</v>
          </cell>
          <cell r="B5395"/>
          <cell r="C5395">
            <v>45799</v>
          </cell>
          <cell r="D5395" t="str">
            <v>فینا</v>
          </cell>
          <cell r="E5395" t="str">
            <v>عثمان امین</v>
          </cell>
        </row>
        <row r="5396">
          <cell r="A5396" t="str">
            <v>1593 F</v>
          </cell>
          <cell r="B5396"/>
          <cell r="C5396">
            <v>45799</v>
          </cell>
          <cell r="D5396" t="str">
            <v>فینا</v>
          </cell>
          <cell r="E5396" t="str">
            <v>عثمان امین</v>
          </cell>
        </row>
        <row r="5397">
          <cell r="A5397" t="str">
            <v>1594 F</v>
          </cell>
          <cell r="B5397"/>
          <cell r="C5397">
            <v>45799</v>
          </cell>
          <cell r="D5397" t="str">
            <v>فینا</v>
          </cell>
          <cell r="E5397" t="str">
            <v>عثمان امین</v>
          </cell>
        </row>
        <row r="5398">
          <cell r="A5398" t="str">
            <v>1595 F</v>
          </cell>
          <cell r="B5398"/>
          <cell r="C5398">
            <v>45799</v>
          </cell>
          <cell r="D5398" t="str">
            <v>فینا</v>
          </cell>
          <cell r="E5398" t="str">
            <v>عثمان امین</v>
          </cell>
        </row>
        <row r="5399">
          <cell r="A5399" t="str">
            <v>1596 F</v>
          </cell>
          <cell r="B5399"/>
          <cell r="C5399">
            <v>45799</v>
          </cell>
          <cell r="D5399" t="str">
            <v>فینا</v>
          </cell>
          <cell r="E5399" t="str">
            <v>عثمان امین</v>
          </cell>
        </row>
        <row r="5400">
          <cell r="A5400" t="str">
            <v>1597 F</v>
          </cell>
          <cell r="B5400"/>
          <cell r="C5400">
            <v>45799</v>
          </cell>
          <cell r="D5400" t="str">
            <v>فینا</v>
          </cell>
          <cell r="E5400" t="str">
            <v>عثمان امین</v>
          </cell>
        </row>
        <row r="5401">
          <cell r="A5401" t="str">
            <v>1598 F</v>
          </cell>
          <cell r="B5401"/>
          <cell r="C5401">
            <v>45799</v>
          </cell>
          <cell r="D5401" t="str">
            <v>فینا</v>
          </cell>
          <cell r="E5401" t="str">
            <v>عثمان امین</v>
          </cell>
        </row>
        <row r="5402">
          <cell r="A5402" t="str">
            <v>1599 F</v>
          </cell>
          <cell r="B5402"/>
          <cell r="C5402">
            <v>45799</v>
          </cell>
          <cell r="D5402" t="str">
            <v>فینا</v>
          </cell>
          <cell r="E5402" t="str">
            <v>عثمان امین</v>
          </cell>
        </row>
        <row r="5403">
          <cell r="A5403" t="str">
            <v>1600 F</v>
          </cell>
          <cell r="B5403"/>
          <cell r="C5403">
            <v>45799</v>
          </cell>
          <cell r="D5403" t="str">
            <v>فینا</v>
          </cell>
          <cell r="E5403" t="str">
            <v>عثمان امین</v>
          </cell>
        </row>
        <row r="5404">
          <cell r="A5404" t="str">
            <v>1601 F</v>
          </cell>
          <cell r="B5404"/>
          <cell r="C5404">
            <v>45799</v>
          </cell>
          <cell r="D5404" t="str">
            <v>فینا</v>
          </cell>
          <cell r="E5404" t="str">
            <v>عثمان امین</v>
          </cell>
        </row>
        <row r="5405">
          <cell r="A5405" t="str">
            <v>1602 F</v>
          </cell>
          <cell r="B5405"/>
          <cell r="C5405">
            <v>45799</v>
          </cell>
          <cell r="D5405" t="str">
            <v>فینا</v>
          </cell>
          <cell r="E5405" t="str">
            <v>عثمان امین</v>
          </cell>
        </row>
        <row r="5406">
          <cell r="A5406" t="str">
            <v>1603 F</v>
          </cell>
          <cell r="B5406"/>
          <cell r="C5406">
            <v>45799</v>
          </cell>
          <cell r="D5406" t="str">
            <v>فینا</v>
          </cell>
          <cell r="E5406" t="str">
            <v>عثمان امین</v>
          </cell>
        </row>
        <row r="5407">
          <cell r="A5407" t="str">
            <v>1604 F</v>
          </cell>
          <cell r="B5407"/>
          <cell r="C5407">
            <v>45801</v>
          </cell>
          <cell r="D5407" t="str">
            <v>فینا</v>
          </cell>
          <cell r="E5407" t="str">
            <v>عثمان امین</v>
          </cell>
        </row>
        <row r="5408">
          <cell r="A5408" t="str">
            <v>1605 F</v>
          </cell>
          <cell r="B5408"/>
          <cell r="C5408">
            <v>45801</v>
          </cell>
          <cell r="D5408" t="str">
            <v>فینا</v>
          </cell>
          <cell r="E5408" t="str">
            <v>عثمان امین</v>
          </cell>
        </row>
        <row r="5409">
          <cell r="A5409" t="str">
            <v>1606 F</v>
          </cell>
          <cell r="B5409"/>
          <cell r="C5409">
            <v>45801</v>
          </cell>
          <cell r="D5409" t="str">
            <v>فینا</v>
          </cell>
          <cell r="E5409" t="str">
            <v>عثمان امین</v>
          </cell>
        </row>
        <row r="5410">
          <cell r="A5410" t="str">
            <v>1607 F</v>
          </cell>
          <cell r="B5410"/>
          <cell r="C5410">
            <v>45801</v>
          </cell>
          <cell r="D5410" t="str">
            <v>فینا</v>
          </cell>
          <cell r="E5410" t="str">
            <v>عثمان امین</v>
          </cell>
        </row>
        <row r="5411">
          <cell r="A5411" t="str">
            <v>1608 F</v>
          </cell>
          <cell r="B5411"/>
          <cell r="C5411">
            <v>45801</v>
          </cell>
          <cell r="D5411" t="str">
            <v>فینا</v>
          </cell>
          <cell r="E5411" t="str">
            <v>عثمان امین</v>
          </cell>
        </row>
        <row r="5412">
          <cell r="A5412" t="str">
            <v>1609 F</v>
          </cell>
          <cell r="B5412"/>
          <cell r="C5412">
            <v>45801</v>
          </cell>
          <cell r="D5412" t="str">
            <v>فینا</v>
          </cell>
          <cell r="E5412" t="str">
            <v>عثمان امین</v>
          </cell>
        </row>
        <row r="5413">
          <cell r="A5413" t="str">
            <v>1610 F</v>
          </cell>
          <cell r="B5413"/>
          <cell r="C5413">
            <v>45801</v>
          </cell>
          <cell r="D5413" t="str">
            <v>فینا</v>
          </cell>
          <cell r="E5413" t="str">
            <v>عثمان امین</v>
          </cell>
        </row>
        <row r="5414">
          <cell r="A5414" t="str">
            <v>1611 F</v>
          </cell>
          <cell r="B5414"/>
          <cell r="C5414">
            <v>45801</v>
          </cell>
          <cell r="D5414" t="str">
            <v>فینا</v>
          </cell>
          <cell r="E5414" t="str">
            <v>عثمان امین</v>
          </cell>
        </row>
        <row r="5415">
          <cell r="A5415" t="str">
            <v>1612 F</v>
          </cell>
          <cell r="B5415"/>
          <cell r="C5415">
            <v>45801</v>
          </cell>
          <cell r="D5415" t="str">
            <v>فینا</v>
          </cell>
          <cell r="E5415" t="str">
            <v>عثمان امین</v>
          </cell>
        </row>
        <row r="5416">
          <cell r="A5416" t="str">
            <v>1613 F</v>
          </cell>
          <cell r="B5416"/>
          <cell r="C5416">
            <v>45801</v>
          </cell>
          <cell r="D5416" t="str">
            <v>فینا</v>
          </cell>
          <cell r="E5416" t="str">
            <v>عثمان امین</v>
          </cell>
        </row>
        <row r="5417">
          <cell r="A5417" t="str">
            <v>1614 F</v>
          </cell>
          <cell r="B5417"/>
          <cell r="C5417">
            <v>45801</v>
          </cell>
          <cell r="D5417" t="str">
            <v>فینا</v>
          </cell>
          <cell r="E5417" t="str">
            <v>عثمان امین</v>
          </cell>
        </row>
        <row r="5418">
          <cell r="A5418">
            <v>2749</v>
          </cell>
          <cell r="B5418">
            <v>8114</v>
          </cell>
          <cell r="C5418">
            <v>45798</v>
          </cell>
          <cell r="D5418" t="str">
            <v>JILANI</v>
          </cell>
          <cell r="E5418" t="str">
            <v>HEALTH CAPSUL</v>
          </cell>
        </row>
        <row r="5419">
          <cell r="A5419" t="str">
            <v>2450 J</v>
          </cell>
          <cell r="B5419">
            <v>12193</v>
          </cell>
          <cell r="C5419">
            <v>45798</v>
          </cell>
          <cell r="D5419" t="str">
            <v>JILANI</v>
          </cell>
          <cell r="E5419" t="str">
            <v>عالم بیکرز شاہدرہ</v>
          </cell>
        </row>
        <row r="5420">
          <cell r="A5420" t="str">
            <v>2451 J</v>
          </cell>
          <cell r="B5420">
            <v>12193</v>
          </cell>
          <cell r="C5420">
            <v>45798</v>
          </cell>
          <cell r="D5420" t="str">
            <v>JILANI</v>
          </cell>
          <cell r="E5420" t="str">
            <v>عالم بیکرز شاہدرہ</v>
          </cell>
        </row>
        <row r="5421">
          <cell r="A5421" t="str">
            <v>2452 J</v>
          </cell>
          <cell r="B5421">
            <v>12193</v>
          </cell>
          <cell r="C5421">
            <v>45798</v>
          </cell>
          <cell r="D5421" t="str">
            <v>JILANI</v>
          </cell>
          <cell r="E5421" t="str">
            <v>عالم بیکرز شاہدرہ</v>
          </cell>
        </row>
        <row r="5422">
          <cell r="A5422" t="str">
            <v>2453 J</v>
          </cell>
          <cell r="B5422">
            <v>12194</v>
          </cell>
          <cell r="C5422">
            <v>45798</v>
          </cell>
          <cell r="D5422" t="str">
            <v>JILANI</v>
          </cell>
          <cell r="E5422" t="str">
            <v>شفعی ٹیکسل لمیٹڈ</v>
          </cell>
        </row>
        <row r="5423">
          <cell r="A5423" t="str">
            <v>2454 J</v>
          </cell>
          <cell r="B5423">
            <v>12195</v>
          </cell>
          <cell r="C5423">
            <v>45798</v>
          </cell>
          <cell r="D5423" t="str">
            <v>JILANI</v>
          </cell>
          <cell r="E5423" t="str">
            <v>حاجی کمال وانہ</v>
          </cell>
        </row>
        <row r="5424">
          <cell r="A5424" t="str">
            <v>2455 J</v>
          </cell>
          <cell r="B5424">
            <v>12194</v>
          </cell>
          <cell r="C5424">
            <v>45798</v>
          </cell>
          <cell r="D5424" t="str">
            <v>JILANI</v>
          </cell>
          <cell r="E5424" t="str">
            <v>حاجی کمال وانہ</v>
          </cell>
        </row>
        <row r="5425">
          <cell r="A5425" t="str">
            <v>2456 J</v>
          </cell>
          <cell r="B5425">
            <v>12197</v>
          </cell>
          <cell r="C5425">
            <v>45798</v>
          </cell>
          <cell r="D5425" t="str">
            <v>JILANI</v>
          </cell>
          <cell r="E5425" t="str">
            <v>ہیڈ آفس لاہور</v>
          </cell>
        </row>
        <row r="5426">
          <cell r="A5426" t="str">
            <v>2457 J</v>
          </cell>
          <cell r="B5426">
            <v>12197</v>
          </cell>
          <cell r="C5426">
            <v>45798</v>
          </cell>
          <cell r="D5426" t="str">
            <v>JILANI</v>
          </cell>
          <cell r="E5426" t="str">
            <v>ہیڈ آفس لاہور</v>
          </cell>
        </row>
        <row r="5427">
          <cell r="A5427" t="str">
            <v>2458 J</v>
          </cell>
          <cell r="B5427">
            <v>12197</v>
          </cell>
          <cell r="C5427">
            <v>45798</v>
          </cell>
          <cell r="D5427" t="str">
            <v>JILANI</v>
          </cell>
          <cell r="E5427" t="str">
            <v>ہیڈ آفس لاہور</v>
          </cell>
        </row>
        <row r="5428">
          <cell r="A5428" t="str">
            <v>2459 J</v>
          </cell>
          <cell r="B5428">
            <v>12198</v>
          </cell>
          <cell r="C5428">
            <v>45798</v>
          </cell>
          <cell r="D5428" t="str">
            <v>JILANI</v>
          </cell>
          <cell r="E5428" t="str">
            <v>عالم پرنٹرز بٹ خیلہ</v>
          </cell>
        </row>
        <row r="5429">
          <cell r="A5429" t="str">
            <v>2460 J</v>
          </cell>
          <cell r="B5429">
            <v>12199</v>
          </cell>
          <cell r="C5429">
            <v>45798</v>
          </cell>
          <cell r="D5429" t="str">
            <v>JILANI</v>
          </cell>
          <cell r="E5429" t="str">
            <v>عالم پرنٹرز بٹ خیلہ</v>
          </cell>
        </row>
        <row r="5430">
          <cell r="A5430" t="str">
            <v>2461 J</v>
          </cell>
          <cell r="B5430">
            <v>12200</v>
          </cell>
          <cell r="C5430">
            <v>45798</v>
          </cell>
          <cell r="D5430" t="str">
            <v>JILANI</v>
          </cell>
          <cell r="E5430" t="str">
            <v>عالم پرنٹرز بٹ خیلہ</v>
          </cell>
        </row>
        <row r="5431">
          <cell r="A5431" t="str">
            <v>2462 J</v>
          </cell>
          <cell r="B5431">
            <v>12201</v>
          </cell>
          <cell r="C5431">
            <v>45798</v>
          </cell>
          <cell r="D5431" t="str">
            <v>JILANI</v>
          </cell>
          <cell r="E5431" t="str">
            <v>بندوخاں لاہور</v>
          </cell>
        </row>
        <row r="5432">
          <cell r="A5432" t="str">
            <v>2463 J</v>
          </cell>
          <cell r="B5432">
            <v>12202</v>
          </cell>
          <cell r="C5432">
            <v>45798</v>
          </cell>
          <cell r="D5432" t="str">
            <v>JILANI</v>
          </cell>
          <cell r="E5432" t="str">
            <v>عالم پرنٹرز بٹ خیلہ</v>
          </cell>
        </row>
        <row r="5433">
          <cell r="A5433" t="str">
            <v>2464 J</v>
          </cell>
          <cell r="B5433">
            <v>12202</v>
          </cell>
          <cell r="C5433">
            <v>45798</v>
          </cell>
          <cell r="D5433" t="str">
            <v>JILANI</v>
          </cell>
          <cell r="E5433" t="str">
            <v>عالم پرنٹرز بٹ خیلہ</v>
          </cell>
        </row>
        <row r="5434">
          <cell r="A5434" t="str">
            <v>2465 J</v>
          </cell>
          <cell r="B5434">
            <v>12202</v>
          </cell>
          <cell r="C5434">
            <v>45798</v>
          </cell>
          <cell r="D5434" t="str">
            <v>JILANI</v>
          </cell>
          <cell r="E5434" t="str">
            <v>عالم پرنٹرز بٹ خیلہ</v>
          </cell>
        </row>
        <row r="5435">
          <cell r="A5435" t="str">
            <v>2466 J</v>
          </cell>
          <cell r="B5435">
            <v>12202</v>
          </cell>
          <cell r="C5435">
            <v>45798</v>
          </cell>
          <cell r="D5435" t="str">
            <v>JILANI</v>
          </cell>
          <cell r="E5435" t="str">
            <v>عالم پرنٹرز بٹ خیلہ</v>
          </cell>
        </row>
        <row r="5436">
          <cell r="A5436" t="str">
            <v>2467 J</v>
          </cell>
          <cell r="B5436">
            <v>12202</v>
          </cell>
          <cell r="C5436">
            <v>45798</v>
          </cell>
          <cell r="D5436" t="str">
            <v>JILANI</v>
          </cell>
          <cell r="E5436" t="str">
            <v>عالم پرنٹرز بٹ خیلہ</v>
          </cell>
        </row>
        <row r="5437">
          <cell r="A5437" t="str">
            <v>2468 J</v>
          </cell>
          <cell r="B5437">
            <v>12202</v>
          </cell>
          <cell r="C5437">
            <v>45798</v>
          </cell>
          <cell r="D5437" t="str">
            <v>JILANI</v>
          </cell>
          <cell r="E5437" t="str">
            <v>عالم پرنٹرز بٹ خیلہ</v>
          </cell>
        </row>
        <row r="5438">
          <cell r="A5438" t="str">
            <v>2469 J</v>
          </cell>
          <cell r="B5438">
            <v>12203</v>
          </cell>
          <cell r="C5438">
            <v>45798</v>
          </cell>
          <cell r="D5438" t="str">
            <v>JILANI</v>
          </cell>
          <cell r="E5438" t="str">
            <v>شیخ شیراز سیالکوٹ</v>
          </cell>
        </row>
        <row r="5439">
          <cell r="A5439" t="str">
            <v>2470 J</v>
          </cell>
          <cell r="B5439"/>
          <cell r="C5439">
            <v>45798</v>
          </cell>
          <cell r="D5439" t="str">
            <v>JILANI</v>
          </cell>
          <cell r="E5439" t="str">
            <v>جیلانی پلاسٹک</v>
          </cell>
        </row>
        <row r="5440">
          <cell r="A5440" t="str">
            <v>2471 J</v>
          </cell>
          <cell r="B5440"/>
          <cell r="C5440">
            <v>45798</v>
          </cell>
          <cell r="D5440" t="str">
            <v>JILANI</v>
          </cell>
          <cell r="E5440" t="str">
            <v>جیلانی پلاسٹک</v>
          </cell>
        </row>
        <row r="5441">
          <cell r="A5441" t="str">
            <v>2472 J</v>
          </cell>
          <cell r="B5441"/>
          <cell r="C5441">
            <v>45798</v>
          </cell>
          <cell r="D5441" t="str">
            <v>JILANI</v>
          </cell>
          <cell r="E5441" t="str">
            <v>جیلانی پلاسٹک</v>
          </cell>
        </row>
        <row r="5442">
          <cell r="A5442" t="str">
            <v>2473 J</v>
          </cell>
          <cell r="B5442">
            <v>12204</v>
          </cell>
          <cell r="C5442">
            <v>45798</v>
          </cell>
          <cell r="D5442" t="str">
            <v>JILANI</v>
          </cell>
          <cell r="E5442" t="str">
            <v>شفعی ٹیکسل لمیٹڈ</v>
          </cell>
        </row>
        <row r="5443">
          <cell r="A5443" t="str">
            <v>2474 J</v>
          </cell>
          <cell r="B5443"/>
          <cell r="C5443">
            <v>45798</v>
          </cell>
          <cell r="D5443" t="str">
            <v>OTHER</v>
          </cell>
          <cell r="E5443" t="str">
            <v>وقار اکرم مغل چنیوٹ C/O نصیر صاحب</v>
          </cell>
        </row>
        <row r="5444">
          <cell r="A5444" t="str">
            <v>2475 J</v>
          </cell>
          <cell r="B5444"/>
          <cell r="C5444">
            <v>45798</v>
          </cell>
          <cell r="D5444" t="str">
            <v>OTHER</v>
          </cell>
          <cell r="E5444" t="str">
            <v>وقار اکرم مغل چنیوٹ C/O نصیر صاحب</v>
          </cell>
        </row>
        <row r="5445">
          <cell r="A5445" t="str">
            <v>2476 J</v>
          </cell>
          <cell r="B5445"/>
          <cell r="C5445">
            <v>45798</v>
          </cell>
          <cell r="D5445" t="str">
            <v>OTHER</v>
          </cell>
          <cell r="E5445" t="str">
            <v>وقار اکرم مغل چنیوٹ C/O نصیر صاحب</v>
          </cell>
        </row>
        <row r="5446">
          <cell r="A5446" t="str">
            <v>2477 J</v>
          </cell>
          <cell r="B5446"/>
          <cell r="C5446">
            <v>45798</v>
          </cell>
          <cell r="D5446" t="str">
            <v>OTHER</v>
          </cell>
          <cell r="E5446" t="str">
            <v>وقار اکرم مغل چنیوٹ C/O نصیر صاحب</v>
          </cell>
        </row>
        <row r="5447">
          <cell r="A5447" t="str">
            <v>2478 J</v>
          </cell>
          <cell r="B5447"/>
          <cell r="C5447">
            <v>45798</v>
          </cell>
          <cell r="D5447" t="str">
            <v>OTHER</v>
          </cell>
          <cell r="E5447" t="str">
            <v>وقار اکرم مغل چنیوٹ C/O نصیر صاحب</v>
          </cell>
        </row>
        <row r="5448">
          <cell r="A5448" t="str">
            <v>2479 J</v>
          </cell>
          <cell r="B5448"/>
          <cell r="C5448">
            <v>45798</v>
          </cell>
          <cell r="D5448" t="str">
            <v>OTHER</v>
          </cell>
          <cell r="E5448" t="str">
            <v>وقار اکرم مغل چنیوٹ C/O نصیر صاحب</v>
          </cell>
        </row>
        <row r="5449">
          <cell r="A5449" t="str">
            <v>2480 J</v>
          </cell>
          <cell r="B5449">
            <v>12205</v>
          </cell>
          <cell r="C5449">
            <v>45798</v>
          </cell>
          <cell r="D5449" t="str">
            <v>JILANI</v>
          </cell>
          <cell r="E5449" t="str">
            <v>میڈی پاک لاہور</v>
          </cell>
        </row>
        <row r="5450">
          <cell r="A5450" t="str">
            <v>2481 J</v>
          </cell>
          <cell r="B5450">
            <v>12206</v>
          </cell>
          <cell r="C5450">
            <v>45798</v>
          </cell>
          <cell r="D5450" t="str">
            <v>JILANI</v>
          </cell>
          <cell r="E5450" t="str">
            <v>عمران اصغر سرگودھا</v>
          </cell>
        </row>
        <row r="5451">
          <cell r="A5451" t="str">
            <v>2482 J</v>
          </cell>
          <cell r="B5451">
            <v>12206</v>
          </cell>
          <cell r="C5451">
            <v>45798</v>
          </cell>
          <cell r="D5451" t="str">
            <v>JILANI</v>
          </cell>
          <cell r="E5451" t="str">
            <v>عمران اصغر سرگودھا</v>
          </cell>
        </row>
        <row r="5452">
          <cell r="A5452" t="str">
            <v>2483 J</v>
          </cell>
          <cell r="B5452">
            <v>12207</v>
          </cell>
          <cell r="C5452">
            <v>45798</v>
          </cell>
          <cell r="D5452" t="str">
            <v>JILANI</v>
          </cell>
          <cell r="E5452" t="str">
            <v>قدیر پرنٹنگ فیصل آباد</v>
          </cell>
        </row>
        <row r="5453">
          <cell r="A5453" t="str">
            <v>2484 J</v>
          </cell>
          <cell r="B5453">
            <v>12208</v>
          </cell>
          <cell r="C5453">
            <v>45798</v>
          </cell>
          <cell r="D5453" t="str">
            <v>JILANI</v>
          </cell>
          <cell r="E5453" t="str">
            <v>بے بی پنک کڈز وئیر لاہور</v>
          </cell>
        </row>
        <row r="5454">
          <cell r="A5454" t="str">
            <v>2485 J</v>
          </cell>
          <cell r="B5454">
            <v>12209</v>
          </cell>
          <cell r="C5454">
            <v>45798</v>
          </cell>
          <cell r="D5454" t="str">
            <v>JILANI</v>
          </cell>
          <cell r="E5454" t="str">
            <v>رواج گارمنٹس سیالکوٹ</v>
          </cell>
        </row>
        <row r="5455">
          <cell r="A5455" t="str">
            <v>2486 J</v>
          </cell>
          <cell r="B5455">
            <v>12211</v>
          </cell>
          <cell r="C5455">
            <v>45798</v>
          </cell>
          <cell r="D5455" t="str">
            <v>JILANI</v>
          </cell>
          <cell r="E5455" t="str">
            <v>صوبان کلاتھ ہاؤس ننکانہ</v>
          </cell>
        </row>
        <row r="5456">
          <cell r="A5456" t="str">
            <v>2487 J</v>
          </cell>
          <cell r="B5456">
            <v>12211</v>
          </cell>
          <cell r="C5456">
            <v>45798</v>
          </cell>
          <cell r="D5456" t="str">
            <v>JILANI</v>
          </cell>
          <cell r="E5456" t="str">
            <v>صوبان کلاتھ ہاؤس ننکانہ</v>
          </cell>
        </row>
        <row r="5457">
          <cell r="A5457" t="str">
            <v>2488 J</v>
          </cell>
          <cell r="B5457">
            <v>12212</v>
          </cell>
          <cell r="C5457">
            <v>45798</v>
          </cell>
          <cell r="D5457" t="str">
            <v>JILANI</v>
          </cell>
          <cell r="E5457" t="str">
            <v>اے ٹی سی  پلس  بند روڈ /طاہر ریشد</v>
          </cell>
        </row>
        <row r="5458">
          <cell r="A5458" t="str">
            <v>2489 J</v>
          </cell>
          <cell r="B5458">
            <v>12213</v>
          </cell>
          <cell r="C5458">
            <v>45798</v>
          </cell>
          <cell r="D5458" t="str">
            <v>JILANI</v>
          </cell>
          <cell r="E5458" t="str">
            <v>حرم نور کولیکشن لاہور</v>
          </cell>
        </row>
        <row r="5459">
          <cell r="A5459" t="str">
            <v>2490 J</v>
          </cell>
          <cell r="B5459">
            <v>12214</v>
          </cell>
          <cell r="C5459">
            <v>45798</v>
          </cell>
          <cell r="D5459" t="str">
            <v>JILANI</v>
          </cell>
          <cell r="E5459" t="str">
            <v>ولایت بٹ لالہ موسی</v>
          </cell>
        </row>
        <row r="5460">
          <cell r="A5460" t="str">
            <v>2491 J</v>
          </cell>
          <cell r="B5460">
            <v>12214</v>
          </cell>
          <cell r="C5460">
            <v>45798</v>
          </cell>
          <cell r="D5460" t="str">
            <v>JILANI</v>
          </cell>
          <cell r="E5460" t="str">
            <v>ولایت بٹ لالہ موسی</v>
          </cell>
        </row>
        <row r="5461">
          <cell r="A5461" t="str">
            <v>2492 J</v>
          </cell>
          <cell r="B5461">
            <v>12214</v>
          </cell>
          <cell r="C5461">
            <v>45798</v>
          </cell>
          <cell r="D5461" t="str">
            <v>JILANI</v>
          </cell>
          <cell r="E5461" t="str">
            <v>ولایت بٹ لالہ موسی</v>
          </cell>
        </row>
        <row r="5462">
          <cell r="A5462" t="str">
            <v>2493 J</v>
          </cell>
          <cell r="B5462">
            <v>12215</v>
          </cell>
          <cell r="C5462">
            <v>45799</v>
          </cell>
          <cell r="D5462" t="str">
            <v>JILANI</v>
          </cell>
          <cell r="E5462" t="str">
            <v>پیزا بنک فاسٹ فوڈ کامونکی</v>
          </cell>
        </row>
        <row r="5463">
          <cell r="A5463" t="str">
            <v>2494 J</v>
          </cell>
          <cell r="B5463">
            <v>12216</v>
          </cell>
          <cell r="C5463">
            <v>45799</v>
          </cell>
          <cell r="D5463" t="str">
            <v>JILANI</v>
          </cell>
          <cell r="E5463" t="str">
            <v>پیزا بنک فاسٹ فوڈ کامونکی</v>
          </cell>
        </row>
        <row r="5464">
          <cell r="A5464" t="str">
            <v>2495 J</v>
          </cell>
          <cell r="B5464">
            <v>12217</v>
          </cell>
          <cell r="C5464">
            <v>45799</v>
          </cell>
          <cell r="D5464" t="str">
            <v>JILANI</v>
          </cell>
          <cell r="E5464" t="str">
            <v>عالم بیکرز شیخوپورہ</v>
          </cell>
        </row>
        <row r="5465">
          <cell r="A5465" t="str">
            <v>2496 J</v>
          </cell>
          <cell r="B5465">
            <v>12217</v>
          </cell>
          <cell r="C5465">
            <v>45799</v>
          </cell>
          <cell r="D5465" t="str">
            <v>JILANI</v>
          </cell>
          <cell r="E5465" t="str">
            <v>عالم بیکرز شیخوپورہ</v>
          </cell>
        </row>
        <row r="5466">
          <cell r="A5466" t="str">
            <v>2497 J</v>
          </cell>
          <cell r="B5466">
            <v>12217</v>
          </cell>
          <cell r="C5466">
            <v>45799</v>
          </cell>
          <cell r="D5466" t="str">
            <v>JILANI</v>
          </cell>
          <cell r="E5466" t="str">
            <v>عالم بیکرز شیخوپورہ</v>
          </cell>
        </row>
        <row r="5467">
          <cell r="A5467" t="str">
            <v>2498 J</v>
          </cell>
          <cell r="B5467">
            <v>12218</v>
          </cell>
          <cell r="C5467">
            <v>45799</v>
          </cell>
          <cell r="D5467" t="str">
            <v>JILANI</v>
          </cell>
          <cell r="E5467" t="str">
            <v>لاہور ریجنسی ہاسپٹیلٹی</v>
          </cell>
        </row>
        <row r="5468">
          <cell r="A5468" t="str">
            <v>2499 J</v>
          </cell>
          <cell r="B5468">
            <v>12219</v>
          </cell>
          <cell r="C5468">
            <v>45799</v>
          </cell>
          <cell r="D5468" t="str">
            <v>JILANI</v>
          </cell>
          <cell r="E5468" t="str">
            <v>سپر ڈائمنڈ فوڈکامونکی</v>
          </cell>
        </row>
        <row r="5469">
          <cell r="A5469" t="str">
            <v>2500 J</v>
          </cell>
          <cell r="B5469">
            <v>12220</v>
          </cell>
          <cell r="C5469">
            <v>45799</v>
          </cell>
          <cell r="D5469" t="str">
            <v>JILANI</v>
          </cell>
          <cell r="E5469" t="str">
            <v>کاشف فوڈزپراڈکٹ گوجرانوالہ پولی 471</v>
          </cell>
        </row>
        <row r="5470">
          <cell r="A5470" t="str">
            <v>2501 J</v>
          </cell>
          <cell r="B5470">
            <v>12221</v>
          </cell>
          <cell r="C5470">
            <v>45799</v>
          </cell>
          <cell r="D5470" t="str">
            <v>JILANI</v>
          </cell>
          <cell r="E5470" t="str">
            <v>اصغر بٹ گجرانوالہ</v>
          </cell>
        </row>
        <row r="5471">
          <cell r="A5471" t="str">
            <v>2502 J</v>
          </cell>
          <cell r="B5471">
            <v>12221</v>
          </cell>
          <cell r="C5471">
            <v>45799</v>
          </cell>
          <cell r="D5471" t="str">
            <v>JILANI</v>
          </cell>
          <cell r="E5471" t="str">
            <v>اصغر بٹ گجرانوالہ</v>
          </cell>
        </row>
        <row r="5472">
          <cell r="A5472" t="str">
            <v>2503 J</v>
          </cell>
          <cell r="B5472">
            <v>12222</v>
          </cell>
          <cell r="C5472">
            <v>45799</v>
          </cell>
          <cell r="D5472" t="str">
            <v>JILANI</v>
          </cell>
          <cell r="E5472" t="str">
            <v>عمران پرنٹنگ ملتان</v>
          </cell>
        </row>
        <row r="5473">
          <cell r="A5473" t="str">
            <v>2504 J</v>
          </cell>
          <cell r="B5473">
            <v>12223</v>
          </cell>
          <cell r="C5473">
            <v>45799</v>
          </cell>
          <cell r="D5473" t="str">
            <v>JILANI</v>
          </cell>
          <cell r="E5473" t="str">
            <v>دی کڈز مال لاہور</v>
          </cell>
        </row>
        <row r="5474">
          <cell r="A5474" t="str">
            <v>2505 J</v>
          </cell>
          <cell r="B5474">
            <v>12223</v>
          </cell>
          <cell r="C5474">
            <v>45799</v>
          </cell>
          <cell r="D5474" t="str">
            <v>JILANI</v>
          </cell>
          <cell r="E5474" t="str">
            <v>دی کڈز مال لاہور</v>
          </cell>
        </row>
        <row r="5475">
          <cell r="A5475" t="str">
            <v>2506 J</v>
          </cell>
          <cell r="B5475">
            <v>12223</v>
          </cell>
          <cell r="C5475">
            <v>45799</v>
          </cell>
          <cell r="D5475" t="str">
            <v>JILANI</v>
          </cell>
          <cell r="E5475" t="str">
            <v>دی کڈز مال لاہور</v>
          </cell>
        </row>
        <row r="5476">
          <cell r="A5476" t="str">
            <v>2507 J</v>
          </cell>
          <cell r="B5476">
            <v>12224</v>
          </cell>
          <cell r="C5476">
            <v>45799</v>
          </cell>
          <cell r="D5476" t="str">
            <v>JILANI</v>
          </cell>
          <cell r="E5476" t="str">
            <v>افنان پرنٹنگ پریس بٹ خیلہ</v>
          </cell>
        </row>
        <row r="5477">
          <cell r="A5477" t="str">
            <v>2508 J</v>
          </cell>
          <cell r="B5477">
            <v>12225</v>
          </cell>
          <cell r="C5477">
            <v>45799</v>
          </cell>
          <cell r="D5477" t="str">
            <v>JILANI</v>
          </cell>
          <cell r="E5477" t="str">
            <v>بابر سویٹس اینڈ بیکرز بھابڈہ</v>
          </cell>
        </row>
        <row r="5478">
          <cell r="A5478" t="str">
            <v>2509 J</v>
          </cell>
          <cell r="B5478">
            <v>12225</v>
          </cell>
          <cell r="C5478">
            <v>45799</v>
          </cell>
          <cell r="D5478" t="str">
            <v>JILANI</v>
          </cell>
          <cell r="E5478" t="str">
            <v>بابر سویٹس اینڈ بیکرز بھابڈہ</v>
          </cell>
        </row>
        <row r="5479">
          <cell r="A5479" t="str">
            <v>2510 J</v>
          </cell>
          <cell r="B5479">
            <v>12226</v>
          </cell>
          <cell r="C5479">
            <v>45799</v>
          </cell>
          <cell r="D5479" t="str">
            <v>JILANI</v>
          </cell>
          <cell r="E5479" t="str">
            <v>براگ کڈز اسلام آباد</v>
          </cell>
        </row>
        <row r="5480">
          <cell r="A5480" t="str">
            <v>2511 J</v>
          </cell>
          <cell r="B5480">
            <v>12226</v>
          </cell>
          <cell r="C5480">
            <v>45799</v>
          </cell>
          <cell r="D5480" t="str">
            <v>JILANI</v>
          </cell>
          <cell r="E5480" t="str">
            <v>براگ کڈز اسلام آباد</v>
          </cell>
        </row>
        <row r="5481">
          <cell r="A5481" t="str">
            <v>2512 J</v>
          </cell>
          <cell r="B5481">
            <v>12227</v>
          </cell>
          <cell r="C5481">
            <v>45799</v>
          </cell>
          <cell r="D5481" t="str">
            <v>JILANI</v>
          </cell>
          <cell r="E5481" t="str">
            <v>رفیق حنیف گوجرانوالہ</v>
          </cell>
        </row>
        <row r="5482">
          <cell r="A5482" t="str">
            <v>2513 J</v>
          </cell>
          <cell r="B5482">
            <v>12227</v>
          </cell>
          <cell r="C5482">
            <v>45799</v>
          </cell>
          <cell r="D5482" t="str">
            <v>JILANI</v>
          </cell>
          <cell r="E5482" t="str">
            <v>رفیق حنیف گوجرانوالہ</v>
          </cell>
        </row>
        <row r="5483">
          <cell r="A5483" t="str">
            <v>2514 J</v>
          </cell>
          <cell r="B5483">
            <v>12228</v>
          </cell>
          <cell r="C5483">
            <v>45799</v>
          </cell>
          <cell r="D5483" t="str">
            <v>JILANI</v>
          </cell>
          <cell r="E5483" t="str">
            <v>علیم سویٹس اینڈ بیکرزلاہور</v>
          </cell>
        </row>
        <row r="5484">
          <cell r="A5484" t="str">
            <v>2515 J</v>
          </cell>
          <cell r="B5484">
            <v>12229</v>
          </cell>
          <cell r="C5484">
            <v>45799</v>
          </cell>
          <cell r="D5484" t="str">
            <v>JILANI</v>
          </cell>
          <cell r="E5484" t="str">
            <v>پرفیکٹ فوڈ لاہور</v>
          </cell>
        </row>
        <row r="5485">
          <cell r="A5485" t="str">
            <v>2516 J</v>
          </cell>
          <cell r="B5485"/>
          <cell r="C5485">
            <v>45799</v>
          </cell>
          <cell r="D5485" t="str">
            <v>OTHER</v>
          </cell>
          <cell r="E5485" t="str">
            <v>جیلانی پولی سٹاک</v>
          </cell>
        </row>
        <row r="5486">
          <cell r="A5486" t="str">
            <v>2517 J</v>
          </cell>
          <cell r="B5486">
            <v>12230</v>
          </cell>
          <cell r="C5486">
            <v>45800</v>
          </cell>
          <cell r="D5486" t="str">
            <v>JILANI</v>
          </cell>
          <cell r="E5486" t="str">
            <v>اٹلس ہنڈا لمیٹڈ کراچی</v>
          </cell>
        </row>
        <row r="5487">
          <cell r="A5487" t="str">
            <v>2518 J</v>
          </cell>
          <cell r="B5487">
            <v>12231</v>
          </cell>
          <cell r="C5487">
            <v>45800</v>
          </cell>
          <cell r="D5487" t="str">
            <v>JILANI</v>
          </cell>
          <cell r="E5487" t="str">
            <v>اٹلس ہنڈا لمیٹڈ شیخوپورہ</v>
          </cell>
        </row>
        <row r="5488">
          <cell r="A5488" t="str">
            <v>2519 J</v>
          </cell>
          <cell r="B5488">
            <v>12232</v>
          </cell>
          <cell r="C5488">
            <v>45800</v>
          </cell>
          <cell r="D5488" t="str">
            <v>JILANI</v>
          </cell>
          <cell r="E5488" t="str">
            <v>اٹلس ہنڈا لمیٹڈ شیخوپورہ</v>
          </cell>
        </row>
        <row r="5489">
          <cell r="A5489" t="str">
            <v>2520 J</v>
          </cell>
          <cell r="B5489">
            <v>12233</v>
          </cell>
          <cell r="C5489">
            <v>45800</v>
          </cell>
          <cell r="D5489" t="str">
            <v>JILANI</v>
          </cell>
          <cell r="E5489" t="str">
            <v>اٹلس ہنڈا لمیٹڈ شیخوپورہ</v>
          </cell>
        </row>
        <row r="5490">
          <cell r="A5490" t="str">
            <v>2521 J</v>
          </cell>
          <cell r="B5490">
            <v>12234</v>
          </cell>
          <cell r="C5490">
            <v>45800</v>
          </cell>
          <cell r="D5490" t="str">
            <v>JILANI</v>
          </cell>
          <cell r="E5490" t="str">
            <v>صابر سویٹس اینڈ بیکرز شاہدرہ ٹاؤن</v>
          </cell>
        </row>
        <row r="5491">
          <cell r="A5491" t="str">
            <v>2522 J</v>
          </cell>
          <cell r="B5491">
            <v>12235</v>
          </cell>
          <cell r="C5491">
            <v>45800</v>
          </cell>
          <cell r="D5491" t="str">
            <v>JILANI</v>
          </cell>
          <cell r="E5491" t="str">
            <v>ملک وے ملک لاہور</v>
          </cell>
        </row>
        <row r="5492">
          <cell r="A5492" t="str">
            <v>2523 J</v>
          </cell>
          <cell r="B5492">
            <v>12236</v>
          </cell>
          <cell r="C5492">
            <v>45800</v>
          </cell>
          <cell r="D5492" t="str">
            <v>JILANI</v>
          </cell>
          <cell r="E5492" t="str">
            <v>واہ نوبل پرائیویٹ لمیٹڈ</v>
          </cell>
        </row>
        <row r="5493">
          <cell r="A5493" t="str">
            <v>2524 J</v>
          </cell>
          <cell r="B5493">
            <v>12237</v>
          </cell>
          <cell r="C5493">
            <v>45800</v>
          </cell>
          <cell r="D5493" t="str">
            <v>JILANI</v>
          </cell>
          <cell r="E5493" t="str">
            <v>ابرار سلیم C/Pجمیل صاحب</v>
          </cell>
        </row>
        <row r="5494">
          <cell r="A5494" t="str">
            <v>2525 J</v>
          </cell>
          <cell r="B5494">
            <v>12238</v>
          </cell>
          <cell r="C5494">
            <v>45801</v>
          </cell>
          <cell r="D5494" t="str">
            <v>JILANI</v>
          </cell>
          <cell r="E5494" t="str">
            <v>رضا گارمنٹس لاہور</v>
          </cell>
        </row>
        <row r="5495">
          <cell r="A5495" t="str">
            <v>2526 J</v>
          </cell>
          <cell r="B5495">
            <v>12239</v>
          </cell>
          <cell r="C5495">
            <v>45801</v>
          </cell>
          <cell r="D5495" t="str">
            <v>JILANI</v>
          </cell>
          <cell r="E5495" t="str">
            <v>عالم پرنٹرز بٹ خیلہ</v>
          </cell>
        </row>
        <row r="5496">
          <cell r="A5496" t="str">
            <v>2527 J</v>
          </cell>
          <cell r="B5496">
            <v>12240</v>
          </cell>
          <cell r="C5496">
            <v>45801</v>
          </cell>
          <cell r="D5496" t="str">
            <v>JILANI</v>
          </cell>
          <cell r="E5496" t="str">
            <v>آغا اینڈ آغا پرائیویٹ لیمٹڈ</v>
          </cell>
        </row>
        <row r="5497">
          <cell r="A5497" t="str">
            <v>2528 J</v>
          </cell>
          <cell r="B5497">
            <v>12240</v>
          </cell>
          <cell r="C5497">
            <v>45801</v>
          </cell>
          <cell r="D5497" t="str">
            <v>JILANI</v>
          </cell>
          <cell r="E5497" t="str">
            <v>آغا اینڈ آغا پرائیویٹ لیمٹڈ</v>
          </cell>
        </row>
        <row r="5498">
          <cell r="A5498" t="str">
            <v>2529 J</v>
          </cell>
          <cell r="B5498"/>
          <cell r="C5498">
            <v>45803</v>
          </cell>
          <cell r="D5498" t="str">
            <v>OTHER</v>
          </cell>
          <cell r="E5498" t="str">
            <v>جیلانی پولی سٹاک</v>
          </cell>
        </row>
        <row r="5499">
          <cell r="A5499" t="str">
            <v>2530 J</v>
          </cell>
          <cell r="B5499">
            <v>12241</v>
          </cell>
          <cell r="C5499">
            <v>45803</v>
          </cell>
          <cell r="D5499" t="str">
            <v>JILANI</v>
          </cell>
          <cell r="E5499" t="str">
            <v>ایم کے بی پشاور</v>
          </cell>
        </row>
        <row r="5500">
          <cell r="A5500" t="str">
            <v>2531 J</v>
          </cell>
          <cell r="B5500">
            <v>12242</v>
          </cell>
          <cell r="C5500">
            <v>45803</v>
          </cell>
          <cell r="D5500" t="str">
            <v>JILANI</v>
          </cell>
          <cell r="E5500" t="str">
            <v>مدنی پرنٹنگ پریس نارنگ منڈی</v>
          </cell>
        </row>
        <row r="5501">
          <cell r="A5501" t="str">
            <v>2532 J</v>
          </cell>
          <cell r="B5501">
            <v>12242</v>
          </cell>
          <cell r="C5501">
            <v>45803</v>
          </cell>
          <cell r="D5501" t="str">
            <v>JILANI</v>
          </cell>
          <cell r="E5501" t="str">
            <v>مدنی پرنٹنگ پریس نارنگ منڈی</v>
          </cell>
        </row>
        <row r="5502">
          <cell r="A5502" t="str">
            <v>2533 J</v>
          </cell>
          <cell r="B5502">
            <v>12243</v>
          </cell>
          <cell r="C5502">
            <v>45803</v>
          </cell>
          <cell r="D5502" t="str">
            <v>JILANI</v>
          </cell>
          <cell r="E5502" t="str">
            <v>ارشد لفافہ مرچینٹ گجر خان</v>
          </cell>
        </row>
        <row r="5503">
          <cell r="A5503" t="str">
            <v>2534 J</v>
          </cell>
          <cell r="B5503">
            <v>12243</v>
          </cell>
          <cell r="C5503">
            <v>45803</v>
          </cell>
          <cell r="D5503" t="str">
            <v>JILANI</v>
          </cell>
          <cell r="E5503" t="str">
            <v>ارشد لفافہ مرچینٹ گجر خان</v>
          </cell>
        </row>
        <row r="5504">
          <cell r="A5504" t="str">
            <v>2535 J</v>
          </cell>
          <cell r="B5504">
            <v>12243</v>
          </cell>
          <cell r="C5504">
            <v>45803</v>
          </cell>
          <cell r="D5504" t="str">
            <v>JILANI</v>
          </cell>
          <cell r="E5504" t="str">
            <v>ارشد لفافہ مرچینٹ گجر خان</v>
          </cell>
        </row>
        <row r="5505">
          <cell r="A5505" t="str">
            <v>2536 J</v>
          </cell>
          <cell r="B5505">
            <v>12244</v>
          </cell>
          <cell r="C5505">
            <v>45803</v>
          </cell>
          <cell r="D5505" t="str">
            <v>JILANI</v>
          </cell>
          <cell r="E5505" t="str">
            <v>وسیم شاپر ہاوس اعظم مارکیٹ</v>
          </cell>
        </row>
        <row r="5506">
          <cell r="A5506" t="str">
            <v>2537 J</v>
          </cell>
          <cell r="B5506">
            <v>12245</v>
          </cell>
          <cell r="C5506">
            <v>45803</v>
          </cell>
          <cell r="D5506" t="str">
            <v>JILANI</v>
          </cell>
          <cell r="E5506" t="str">
            <v>عثمان عارف بٹ گوجرانولہ</v>
          </cell>
        </row>
        <row r="5507">
          <cell r="A5507" t="str">
            <v>2538 J</v>
          </cell>
          <cell r="B5507">
            <v>12245</v>
          </cell>
          <cell r="C5507">
            <v>45803</v>
          </cell>
          <cell r="D5507" t="str">
            <v>JILANI</v>
          </cell>
          <cell r="E5507" t="str">
            <v>عثمان عارف بٹ گوجرانولہ</v>
          </cell>
        </row>
        <row r="5508">
          <cell r="A5508" t="str">
            <v>2539 J</v>
          </cell>
          <cell r="B5508">
            <v>12245</v>
          </cell>
          <cell r="C5508">
            <v>45803</v>
          </cell>
          <cell r="D5508" t="str">
            <v>JILANI</v>
          </cell>
          <cell r="E5508" t="str">
            <v>عثمان عارف بٹ گوجرانولہ</v>
          </cell>
        </row>
        <row r="5509">
          <cell r="A5509" t="str">
            <v>2540 J</v>
          </cell>
          <cell r="B5509">
            <v>12246</v>
          </cell>
          <cell r="C5509">
            <v>45803</v>
          </cell>
          <cell r="D5509" t="str">
            <v>JILANI</v>
          </cell>
          <cell r="E5509" t="str">
            <v>عثمان عارف بٹ گوجرانولہ</v>
          </cell>
        </row>
        <row r="5510">
          <cell r="A5510" t="str">
            <v>2541 J</v>
          </cell>
          <cell r="B5510">
            <v>12247</v>
          </cell>
          <cell r="C5510">
            <v>45803</v>
          </cell>
          <cell r="D5510" t="str">
            <v>JILANI</v>
          </cell>
          <cell r="E5510" t="str">
            <v>عثمان عارف بٹ گوجرانولہ</v>
          </cell>
        </row>
        <row r="5511">
          <cell r="A5511" t="str">
            <v>2542 J</v>
          </cell>
          <cell r="B5511">
            <v>12247</v>
          </cell>
          <cell r="C5511">
            <v>45803</v>
          </cell>
          <cell r="D5511" t="str">
            <v>JILANI</v>
          </cell>
          <cell r="E5511" t="str">
            <v>عثمان عارف بٹ گوجرانولہ</v>
          </cell>
        </row>
        <row r="5512">
          <cell r="A5512" t="str">
            <v>2543 J</v>
          </cell>
          <cell r="B5512">
            <v>12248</v>
          </cell>
          <cell r="C5512">
            <v>45803</v>
          </cell>
          <cell r="D5512" t="str">
            <v>JILANI</v>
          </cell>
          <cell r="E5512" t="str">
            <v>عبد A ٹریڈرز لاہور</v>
          </cell>
        </row>
        <row r="5513">
          <cell r="A5513" t="str">
            <v>2544 J</v>
          </cell>
          <cell r="B5513">
            <v>12249</v>
          </cell>
          <cell r="C5513">
            <v>45803</v>
          </cell>
          <cell r="D5513" t="str">
            <v>JILANI</v>
          </cell>
          <cell r="E5513" t="str">
            <v>عالم پرنٹرز بٹ خیلہ</v>
          </cell>
        </row>
        <row r="5514">
          <cell r="A5514" t="str">
            <v>2545 J</v>
          </cell>
          <cell r="B5514">
            <v>12250</v>
          </cell>
          <cell r="C5514">
            <v>45803</v>
          </cell>
          <cell r="D5514" t="str">
            <v>JILANI</v>
          </cell>
          <cell r="E5514" t="str">
            <v>اے بی گارمنٹس بھلوال</v>
          </cell>
        </row>
        <row r="5515">
          <cell r="A5515" t="str">
            <v>2546 J</v>
          </cell>
          <cell r="B5515">
            <v>12251</v>
          </cell>
          <cell r="C5515">
            <v>45803</v>
          </cell>
          <cell r="D5515" t="str">
            <v>JILANI</v>
          </cell>
          <cell r="E5515" t="str">
            <v>پیزا بنک فاسٹ فوڈ کامونکی</v>
          </cell>
        </row>
        <row r="5516">
          <cell r="A5516" t="str">
            <v>2547 J</v>
          </cell>
          <cell r="B5516">
            <v>12251</v>
          </cell>
          <cell r="C5516">
            <v>45803</v>
          </cell>
          <cell r="D5516" t="str">
            <v>JILANI</v>
          </cell>
          <cell r="E5516" t="str">
            <v>پیزا بنک فاسٹ فوڈ کامونکی</v>
          </cell>
        </row>
        <row r="5517">
          <cell r="A5517" t="str">
            <v>2548 J</v>
          </cell>
          <cell r="B5517">
            <v>12251</v>
          </cell>
          <cell r="C5517">
            <v>45803</v>
          </cell>
          <cell r="D5517" t="str">
            <v>JILANI</v>
          </cell>
          <cell r="E5517" t="str">
            <v>پیزا بنک فاسٹ فوڈ کامونکی</v>
          </cell>
        </row>
        <row r="5518">
          <cell r="A5518" t="str">
            <v>2549 J</v>
          </cell>
          <cell r="B5518">
            <v>12252</v>
          </cell>
          <cell r="C5518">
            <v>45803</v>
          </cell>
          <cell r="D5518" t="str">
            <v>JILANI</v>
          </cell>
          <cell r="E5518" t="str">
            <v>معظمی پلاسٹک ساہیوال</v>
          </cell>
        </row>
        <row r="5519">
          <cell r="A5519" t="str">
            <v>2550 J</v>
          </cell>
          <cell r="B5519">
            <v>12253</v>
          </cell>
          <cell r="C5519">
            <v>45803</v>
          </cell>
          <cell r="D5519" t="str">
            <v>JILANI</v>
          </cell>
          <cell r="E5519" t="str">
            <v>علی سویٹس اینڈ بیکرز رحیم یار خان</v>
          </cell>
        </row>
        <row r="5520">
          <cell r="A5520" t="str">
            <v>2551 J</v>
          </cell>
          <cell r="B5520">
            <v>12254</v>
          </cell>
          <cell r="C5520">
            <v>45803</v>
          </cell>
          <cell r="D5520" t="str">
            <v>JILANI</v>
          </cell>
          <cell r="E5520" t="str">
            <v>افضل فیبرکس علی پور چٹھہ</v>
          </cell>
        </row>
        <row r="5521">
          <cell r="A5521" t="str">
            <v>2552 J</v>
          </cell>
          <cell r="B5521">
            <v>12254</v>
          </cell>
          <cell r="C5521">
            <v>45803</v>
          </cell>
          <cell r="D5521" t="str">
            <v>JILANI</v>
          </cell>
          <cell r="E5521" t="str">
            <v>افضل فیبرکس علی پور چٹھہ</v>
          </cell>
        </row>
        <row r="5522">
          <cell r="A5522" t="str">
            <v>2553 J</v>
          </cell>
          <cell r="B5522">
            <v>12255</v>
          </cell>
          <cell r="C5522">
            <v>45803</v>
          </cell>
          <cell r="D5522" t="str">
            <v>JILANI</v>
          </cell>
          <cell r="E5522" t="str">
            <v>کیکس اینڈ بیکس لاہور بیکری یونٹ</v>
          </cell>
        </row>
        <row r="5523">
          <cell r="A5523" t="str">
            <v>2554 J</v>
          </cell>
          <cell r="B5523">
            <v>12255</v>
          </cell>
          <cell r="C5523">
            <v>45803</v>
          </cell>
          <cell r="D5523" t="str">
            <v>JILANI</v>
          </cell>
          <cell r="E5523" t="str">
            <v>کیکس اینڈ بیکس لاہور بیکری یونٹ</v>
          </cell>
        </row>
        <row r="5524">
          <cell r="A5524" t="str">
            <v>2555 J</v>
          </cell>
          <cell r="B5524">
            <v>12255</v>
          </cell>
          <cell r="C5524">
            <v>45803</v>
          </cell>
          <cell r="D5524" t="str">
            <v>JILANI</v>
          </cell>
          <cell r="E5524" t="str">
            <v>کیکس اینڈ بیکس لاہور بیکری یونٹ</v>
          </cell>
        </row>
        <row r="5525">
          <cell r="A5525" t="str">
            <v>2556 J</v>
          </cell>
          <cell r="B5525">
            <v>12256</v>
          </cell>
          <cell r="C5525">
            <v>45803</v>
          </cell>
          <cell r="D5525" t="str">
            <v>JILANI</v>
          </cell>
          <cell r="E5525" t="str">
            <v>کیکس اینڈ بیکس لاہور بیکری یونٹ</v>
          </cell>
        </row>
        <row r="5526">
          <cell r="A5526">
            <v>2750</v>
          </cell>
          <cell r="B5526">
            <v>1746</v>
          </cell>
          <cell r="C5526">
            <v>45803</v>
          </cell>
          <cell r="D5526" t="str">
            <v>JILANI</v>
          </cell>
          <cell r="E5526" t="str">
            <v>USMAN AMIN FINA</v>
          </cell>
        </row>
        <row r="5527">
          <cell r="A5527" t="str">
            <v>253 R</v>
          </cell>
          <cell r="B5527"/>
          <cell r="C5527">
            <v>45800</v>
          </cell>
          <cell r="D5527" t="str">
            <v>REFLECTPACK</v>
          </cell>
          <cell r="E5527" t="str">
            <v>ریفلیکٹ پیک</v>
          </cell>
        </row>
        <row r="5528">
          <cell r="A5528" t="str">
            <v>1615 F</v>
          </cell>
          <cell r="B5528"/>
          <cell r="C5528">
            <v>45803</v>
          </cell>
          <cell r="D5528" t="str">
            <v>فینا</v>
          </cell>
          <cell r="E5528" t="str">
            <v>عثمان امین</v>
          </cell>
        </row>
        <row r="5529">
          <cell r="A5529" t="str">
            <v>1616 F</v>
          </cell>
          <cell r="B5529"/>
          <cell r="C5529">
            <v>45803</v>
          </cell>
          <cell r="D5529" t="str">
            <v>فینا</v>
          </cell>
          <cell r="E5529" t="str">
            <v>عثمان امین</v>
          </cell>
        </row>
        <row r="5530">
          <cell r="A5530" t="str">
            <v>1617 F</v>
          </cell>
          <cell r="B5530"/>
          <cell r="C5530">
            <v>45803</v>
          </cell>
          <cell r="D5530" t="str">
            <v>فینا</v>
          </cell>
          <cell r="E5530" t="str">
            <v>عثمان امین</v>
          </cell>
        </row>
        <row r="5531">
          <cell r="A5531" t="str">
            <v>1618 F</v>
          </cell>
          <cell r="B5531"/>
          <cell r="C5531">
            <v>45803</v>
          </cell>
          <cell r="D5531" t="str">
            <v>فینا</v>
          </cell>
          <cell r="E5531" t="str">
            <v>عثمان امین</v>
          </cell>
        </row>
        <row r="5532">
          <cell r="A5532" t="str">
            <v>1619 F</v>
          </cell>
          <cell r="B5532"/>
          <cell r="C5532">
            <v>45803</v>
          </cell>
          <cell r="D5532" t="str">
            <v>فینا</v>
          </cell>
          <cell r="E5532" t="str">
            <v>عثمان امین</v>
          </cell>
        </row>
        <row r="5533">
          <cell r="A5533" t="str">
            <v>6882/1</v>
          </cell>
          <cell r="B5533">
            <v>6882</v>
          </cell>
          <cell r="C5533">
            <v>45792</v>
          </cell>
          <cell r="D5533" t="str">
            <v>یونس صاحب</v>
          </cell>
          <cell r="E5533" t="str">
            <v>زوالقرنین Pکامونکی</v>
          </cell>
        </row>
        <row r="5534">
          <cell r="A5534" t="str">
            <v>6882/2</v>
          </cell>
          <cell r="B5534">
            <v>6882</v>
          </cell>
          <cell r="C5534">
            <v>45792</v>
          </cell>
          <cell r="D5534" t="str">
            <v>یونس صاحب</v>
          </cell>
          <cell r="E5534" t="str">
            <v>زوالقرنین Pکامونکی</v>
          </cell>
        </row>
        <row r="5535">
          <cell r="A5535" t="str">
            <v>6883/1</v>
          </cell>
          <cell r="B5535">
            <v>6883</v>
          </cell>
          <cell r="C5535">
            <v>45792</v>
          </cell>
          <cell r="D5535" t="str">
            <v>یونس صاحب</v>
          </cell>
          <cell r="E5535" t="str">
            <v>آصف پلاسٹک بورے والا</v>
          </cell>
        </row>
        <row r="5536">
          <cell r="A5536" t="str">
            <v>6883/2</v>
          </cell>
          <cell r="B5536">
            <v>6883</v>
          </cell>
          <cell r="C5536">
            <v>45792</v>
          </cell>
          <cell r="D5536" t="str">
            <v>یونس صاحب</v>
          </cell>
          <cell r="E5536" t="str">
            <v>آصف پلاسٹک بورے والا</v>
          </cell>
        </row>
        <row r="5537">
          <cell r="A5537" t="str">
            <v>6883/3</v>
          </cell>
          <cell r="B5537">
            <v>6883</v>
          </cell>
          <cell r="C5537">
            <v>45792</v>
          </cell>
          <cell r="D5537" t="str">
            <v>یونس صاحب</v>
          </cell>
          <cell r="E5537" t="str">
            <v>آصف پلاسٹک بورے والا</v>
          </cell>
        </row>
        <row r="5538">
          <cell r="A5538" t="str">
            <v>6883/4</v>
          </cell>
          <cell r="B5538">
            <v>6883</v>
          </cell>
          <cell r="C5538">
            <v>45792</v>
          </cell>
          <cell r="D5538" t="str">
            <v>یونس صاحب</v>
          </cell>
          <cell r="E5538" t="str">
            <v>آصف پلاسٹک بورے والا</v>
          </cell>
        </row>
        <row r="5539">
          <cell r="A5539" t="str">
            <v>6883/5</v>
          </cell>
          <cell r="B5539">
            <v>6883</v>
          </cell>
          <cell r="C5539">
            <v>45792</v>
          </cell>
          <cell r="D5539" t="str">
            <v>یونس صاحب</v>
          </cell>
          <cell r="E5539" t="str">
            <v>آصف پلاسٹک بورے والا</v>
          </cell>
        </row>
        <row r="5540">
          <cell r="A5540" t="str">
            <v>6884/1</v>
          </cell>
          <cell r="B5540">
            <v>6884</v>
          </cell>
          <cell r="C5540">
            <v>45792</v>
          </cell>
          <cell r="D5540" t="str">
            <v>یونس صاحب</v>
          </cell>
          <cell r="E5540" t="str">
            <v>اسدبلال بہاولپور</v>
          </cell>
        </row>
        <row r="5541">
          <cell r="A5541" t="str">
            <v>6885/1</v>
          </cell>
          <cell r="B5541">
            <v>6885</v>
          </cell>
          <cell r="C5541">
            <v>45792</v>
          </cell>
          <cell r="D5541" t="str">
            <v>یونس صاحب</v>
          </cell>
          <cell r="E5541" t="str">
            <v>ملک ثناء حویلیاں</v>
          </cell>
        </row>
        <row r="5542">
          <cell r="A5542" t="str">
            <v>6886/1</v>
          </cell>
          <cell r="B5542">
            <v>6886</v>
          </cell>
          <cell r="C5542">
            <v>45792</v>
          </cell>
          <cell r="D5542" t="str">
            <v>یونس صاحب</v>
          </cell>
          <cell r="E5542" t="str">
            <v>حاجی اسلماعیل وہاڑی</v>
          </cell>
        </row>
        <row r="5543">
          <cell r="A5543" t="str">
            <v>6886/2</v>
          </cell>
          <cell r="B5543">
            <v>6886</v>
          </cell>
          <cell r="C5543">
            <v>45792</v>
          </cell>
          <cell r="D5543" t="str">
            <v>یونس صاحب</v>
          </cell>
          <cell r="E5543" t="str">
            <v>حاجی اسلماعیل وہاڑی</v>
          </cell>
        </row>
        <row r="5544">
          <cell r="A5544" t="str">
            <v>6886/3</v>
          </cell>
          <cell r="B5544">
            <v>6886</v>
          </cell>
          <cell r="C5544">
            <v>45792</v>
          </cell>
          <cell r="D5544" t="str">
            <v>یونس صاحب</v>
          </cell>
          <cell r="E5544" t="str">
            <v>حاجی اسلماعیل وہاڑی</v>
          </cell>
        </row>
        <row r="5545">
          <cell r="A5545" t="str">
            <v>6886/4</v>
          </cell>
          <cell r="B5545">
            <v>6886</v>
          </cell>
          <cell r="C5545">
            <v>45792</v>
          </cell>
          <cell r="D5545" t="str">
            <v>یونس صاحب</v>
          </cell>
          <cell r="E5545" t="str">
            <v>حاجی اسلماعیل وہاڑی</v>
          </cell>
        </row>
        <row r="5546">
          <cell r="A5546" t="str">
            <v>6886/5</v>
          </cell>
          <cell r="B5546">
            <v>6886</v>
          </cell>
          <cell r="C5546">
            <v>45792</v>
          </cell>
          <cell r="D5546" t="str">
            <v>یونس صاحب</v>
          </cell>
          <cell r="E5546" t="str">
            <v>حاجی اسلماعیل وہاڑی</v>
          </cell>
        </row>
        <row r="5547">
          <cell r="A5547" t="str">
            <v>6886/6</v>
          </cell>
          <cell r="B5547">
            <v>6886</v>
          </cell>
          <cell r="C5547">
            <v>45792</v>
          </cell>
          <cell r="D5547" t="str">
            <v>یونس صاحب</v>
          </cell>
          <cell r="E5547" t="str">
            <v>حاجی اسلماعیل وہاڑی</v>
          </cell>
        </row>
        <row r="5548">
          <cell r="A5548" t="str">
            <v>6887/1</v>
          </cell>
          <cell r="B5548">
            <v>6887</v>
          </cell>
          <cell r="C5548">
            <v>45792</v>
          </cell>
          <cell r="D5548" t="str">
            <v>یونس صاحب</v>
          </cell>
          <cell r="E5548" t="str">
            <v>عمران مشتاق پتوکی</v>
          </cell>
        </row>
        <row r="5549">
          <cell r="A5549" t="str">
            <v>6887/2</v>
          </cell>
          <cell r="B5549">
            <v>6887</v>
          </cell>
          <cell r="C5549">
            <v>45792</v>
          </cell>
          <cell r="D5549" t="str">
            <v>یونس صاحب</v>
          </cell>
          <cell r="E5549" t="str">
            <v>عمران مشتاق پتوکی</v>
          </cell>
        </row>
        <row r="5550">
          <cell r="A5550" t="str">
            <v>6888/1</v>
          </cell>
          <cell r="B5550">
            <v>6888</v>
          </cell>
          <cell r="C5550">
            <v>45792</v>
          </cell>
          <cell r="D5550" t="str">
            <v>یونس صاحب</v>
          </cell>
          <cell r="E5550" t="str">
            <v>مھبوب مقبول گجرانوالہ</v>
          </cell>
        </row>
        <row r="5551">
          <cell r="A5551" t="str">
            <v>6888/2</v>
          </cell>
          <cell r="B5551">
            <v>6888</v>
          </cell>
          <cell r="C5551">
            <v>45792</v>
          </cell>
          <cell r="D5551" t="str">
            <v>یونس صاحب</v>
          </cell>
          <cell r="E5551" t="str">
            <v>مھبوب مقبول گجرانوالہ</v>
          </cell>
        </row>
        <row r="5552">
          <cell r="A5552" t="str">
            <v>6888/3</v>
          </cell>
          <cell r="B5552">
            <v>6888</v>
          </cell>
          <cell r="C5552">
            <v>45792</v>
          </cell>
          <cell r="D5552" t="str">
            <v>یونس صاحب</v>
          </cell>
          <cell r="E5552" t="str">
            <v>مھبوب مقبول گجرانوالہ</v>
          </cell>
        </row>
        <row r="5553">
          <cell r="A5553" t="str">
            <v>6888/4</v>
          </cell>
          <cell r="B5553">
            <v>6888</v>
          </cell>
          <cell r="C5553">
            <v>45792</v>
          </cell>
          <cell r="D5553" t="str">
            <v>یونس صاحب</v>
          </cell>
          <cell r="E5553" t="str">
            <v>مھبوب مقبول گجرانوالہ</v>
          </cell>
        </row>
        <row r="5554">
          <cell r="A5554" t="str">
            <v>6888/5</v>
          </cell>
          <cell r="B5554">
            <v>6888</v>
          </cell>
          <cell r="C5554">
            <v>45792</v>
          </cell>
          <cell r="D5554" t="str">
            <v>یونس صاحب</v>
          </cell>
          <cell r="E5554" t="str">
            <v>مھبوب مقبول گجرانوالہ</v>
          </cell>
        </row>
        <row r="5555">
          <cell r="A5555" t="str">
            <v>6888/6</v>
          </cell>
          <cell r="B5555">
            <v>6888</v>
          </cell>
          <cell r="C5555">
            <v>45792</v>
          </cell>
          <cell r="D5555" t="str">
            <v>یونس صاحب</v>
          </cell>
          <cell r="E5555" t="str">
            <v>مھبوب مقبول گجرانوالہ</v>
          </cell>
        </row>
        <row r="5556">
          <cell r="A5556" t="str">
            <v>6888/7</v>
          </cell>
          <cell r="B5556">
            <v>6888</v>
          </cell>
          <cell r="C5556">
            <v>45792</v>
          </cell>
          <cell r="D5556" t="str">
            <v>یونس صاحب</v>
          </cell>
          <cell r="E5556" t="str">
            <v>مھبوب مقبول گجرانوالہ</v>
          </cell>
        </row>
        <row r="5557">
          <cell r="A5557" t="str">
            <v>6888/8</v>
          </cell>
          <cell r="B5557">
            <v>6888</v>
          </cell>
          <cell r="C5557">
            <v>45792</v>
          </cell>
          <cell r="D5557" t="str">
            <v>یونس صاحب</v>
          </cell>
          <cell r="E5557" t="str">
            <v>مھبوب مقبول گجرانوالہ</v>
          </cell>
        </row>
        <row r="5558">
          <cell r="A5558" t="str">
            <v>6888/9</v>
          </cell>
          <cell r="B5558">
            <v>6888</v>
          </cell>
          <cell r="C5558">
            <v>45792</v>
          </cell>
          <cell r="D5558" t="str">
            <v>یونس صاحب</v>
          </cell>
          <cell r="E5558" t="str">
            <v>مھبوب مقبول گجرانوالہ</v>
          </cell>
        </row>
        <row r="5559">
          <cell r="A5559" t="str">
            <v>6888/10</v>
          </cell>
          <cell r="B5559">
            <v>6888</v>
          </cell>
          <cell r="C5559">
            <v>45792</v>
          </cell>
          <cell r="D5559" t="str">
            <v>یونس صاحب</v>
          </cell>
          <cell r="E5559" t="str">
            <v>مھبوب مقبول گجرانوالہ</v>
          </cell>
        </row>
        <row r="5560">
          <cell r="A5560" t="str">
            <v>6888/11</v>
          </cell>
          <cell r="B5560">
            <v>6888</v>
          </cell>
          <cell r="C5560">
            <v>45792</v>
          </cell>
          <cell r="D5560" t="str">
            <v>یونس صاحب</v>
          </cell>
          <cell r="E5560" t="str">
            <v>مھبوب مقبول گجرانوالہ</v>
          </cell>
        </row>
        <row r="5561">
          <cell r="A5561" t="str">
            <v>6888/12</v>
          </cell>
          <cell r="B5561">
            <v>6888</v>
          </cell>
          <cell r="C5561">
            <v>45792</v>
          </cell>
          <cell r="D5561" t="str">
            <v>یونس صاحب</v>
          </cell>
          <cell r="E5561" t="str">
            <v>مھبوب مقبول گجرانوالہ</v>
          </cell>
        </row>
        <row r="5562">
          <cell r="A5562" t="str">
            <v>2557 J</v>
          </cell>
          <cell r="B5562">
            <v>12264</v>
          </cell>
          <cell r="C5562">
            <v>45803</v>
          </cell>
          <cell r="D5562" t="str">
            <v>JILANI</v>
          </cell>
          <cell r="E5562" t="str">
            <v>علی سویٹس اینڈ بیکرز رحیم یار خان</v>
          </cell>
        </row>
        <row r="5563">
          <cell r="A5563" t="str">
            <v>2558 J</v>
          </cell>
          <cell r="B5563">
            <v>12210</v>
          </cell>
          <cell r="C5563">
            <v>45798</v>
          </cell>
          <cell r="D5563" t="str">
            <v>JILANI</v>
          </cell>
          <cell r="E5563" t="str">
            <v>رواج گارمنٹس سیالکوٹ</v>
          </cell>
        </row>
        <row r="5564">
          <cell r="A5564" t="str">
            <v>2559 J</v>
          </cell>
          <cell r="B5564"/>
          <cell r="C5564">
            <v>45805</v>
          </cell>
          <cell r="D5564" t="str">
            <v>OTHER</v>
          </cell>
          <cell r="E5564" t="str">
            <v>جیلانی پلاسٹک</v>
          </cell>
        </row>
        <row r="5565">
          <cell r="A5565" t="str">
            <v>2560 J</v>
          </cell>
          <cell r="B5565"/>
          <cell r="C5565">
            <v>45805</v>
          </cell>
          <cell r="D5565" t="str">
            <v>OTHER</v>
          </cell>
          <cell r="E5565" t="str">
            <v>جیلانی پلاسٹک</v>
          </cell>
        </row>
        <row r="5566">
          <cell r="A5566" t="str">
            <v>2561 J</v>
          </cell>
          <cell r="B5566">
            <v>12265</v>
          </cell>
          <cell r="C5566">
            <v>45805</v>
          </cell>
          <cell r="D5566" t="str">
            <v>JILANI</v>
          </cell>
          <cell r="E5566" t="str">
            <v>معیز ٹریڈرز غازی روڈ لاہور</v>
          </cell>
        </row>
        <row r="5567">
          <cell r="A5567" t="str">
            <v>2562 J</v>
          </cell>
          <cell r="B5567">
            <v>12266</v>
          </cell>
          <cell r="C5567">
            <v>45805</v>
          </cell>
          <cell r="D5567" t="str">
            <v>JILANI</v>
          </cell>
          <cell r="E5567" t="str">
            <v>وسیم شاپر ہاوس اعظم مارکیٹ</v>
          </cell>
        </row>
        <row r="5568">
          <cell r="A5568" t="str">
            <v>2563 J</v>
          </cell>
          <cell r="B5568">
            <v>12267</v>
          </cell>
          <cell r="C5568">
            <v>45805</v>
          </cell>
          <cell r="D5568" t="str">
            <v>JILANI</v>
          </cell>
          <cell r="E5568" t="str">
            <v>کراچی سیل پوائنٹ سیالکوٹ</v>
          </cell>
        </row>
        <row r="5569">
          <cell r="A5569" t="str">
            <v>2564 J</v>
          </cell>
          <cell r="B5569">
            <v>12267</v>
          </cell>
          <cell r="C5569">
            <v>45805</v>
          </cell>
          <cell r="D5569" t="str">
            <v>JILANI</v>
          </cell>
          <cell r="E5569" t="str">
            <v>کراچی سیل پوائنٹ سیالکوٹ</v>
          </cell>
        </row>
        <row r="5570">
          <cell r="A5570" t="str">
            <v>2565 J</v>
          </cell>
          <cell r="B5570">
            <v>12267</v>
          </cell>
          <cell r="C5570">
            <v>45805</v>
          </cell>
          <cell r="D5570" t="str">
            <v>JILANI</v>
          </cell>
          <cell r="E5570" t="str">
            <v>کراچی سیل پوائنٹ سیالکوٹ</v>
          </cell>
        </row>
        <row r="5571">
          <cell r="A5571" t="str">
            <v>2566 J</v>
          </cell>
          <cell r="B5571">
            <v>12268</v>
          </cell>
          <cell r="C5571">
            <v>45805</v>
          </cell>
          <cell r="D5571" t="str">
            <v>JILANI</v>
          </cell>
          <cell r="E5571" t="str">
            <v>وقاص وولن ملز گوجرانوالہ</v>
          </cell>
        </row>
        <row r="5572">
          <cell r="A5572" t="str">
            <v>2567 J</v>
          </cell>
          <cell r="B5572">
            <v>12268</v>
          </cell>
          <cell r="C5572">
            <v>45805</v>
          </cell>
          <cell r="D5572" t="str">
            <v>JILANI</v>
          </cell>
          <cell r="E5572" t="str">
            <v>وقاص وولن ملز گوجرانوالہ</v>
          </cell>
        </row>
        <row r="5573">
          <cell r="A5573" t="str">
            <v>2568 J</v>
          </cell>
          <cell r="B5573">
            <v>12268</v>
          </cell>
          <cell r="C5573">
            <v>45805</v>
          </cell>
          <cell r="D5573" t="str">
            <v>JILANI</v>
          </cell>
          <cell r="E5573" t="str">
            <v>وقاص وولن ملز گوجرانوالہ</v>
          </cell>
        </row>
        <row r="5574">
          <cell r="A5574" t="str">
            <v>2569 J</v>
          </cell>
          <cell r="B5574">
            <v>12268</v>
          </cell>
          <cell r="C5574">
            <v>45805</v>
          </cell>
          <cell r="D5574" t="str">
            <v>JILANI</v>
          </cell>
          <cell r="E5574" t="str">
            <v>وقاص وولن ملز گوجرانوالہ</v>
          </cell>
        </row>
        <row r="5575">
          <cell r="A5575" t="str">
            <v>2570 J</v>
          </cell>
          <cell r="B5575">
            <v>12268</v>
          </cell>
          <cell r="C5575">
            <v>45805</v>
          </cell>
          <cell r="D5575" t="str">
            <v>JILANI</v>
          </cell>
          <cell r="E5575" t="str">
            <v>وقاص وولن ملز گوجرانوالہ</v>
          </cell>
        </row>
        <row r="5576">
          <cell r="A5576" t="str">
            <v>2571 J</v>
          </cell>
          <cell r="B5576">
            <v>12269</v>
          </cell>
          <cell r="C5576">
            <v>45805</v>
          </cell>
          <cell r="D5576" t="str">
            <v>JILANI</v>
          </cell>
          <cell r="E5576" t="str">
            <v>PO CANCEL</v>
          </cell>
        </row>
        <row r="5577">
          <cell r="A5577" t="str">
            <v>2572 J</v>
          </cell>
          <cell r="B5577">
            <v>12270</v>
          </cell>
          <cell r="C5577">
            <v>45805</v>
          </cell>
          <cell r="D5577" t="str">
            <v>JILANI</v>
          </cell>
          <cell r="E5577" t="str">
            <v>برگر سوسی شاہدرہ لاہور</v>
          </cell>
        </row>
        <row r="5578">
          <cell r="A5578" t="str">
            <v>2573 J</v>
          </cell>
          <cell r="B5578">
            <v>12270</v>
          </cell>
          <cell r="C5578">
            <v>45805</v>
          </cell>
          <cell r="D5578" t="str">
            <v>JILANI</v>
          </cell>
          <cell r="E5578" t="str">
            <v>برگر سوسی شاہدرہ لاہور</v>
          </cell>
        </row>
        <row r="5579">
          <cell r="A5579" t="str">
            <v>2574 J</v>
          </cell>
          <cell r="B5579">
            <v>12270</v>
          </cell>
          <cell r="C5579">
            <v>45805</v>
          </cell>
          <cell r="D5579" t="str">
            <v>JILANI</v>
          </cell>
          <cell r="E5579" t="str">
            <v>برگر سوسی شاہدرہ لاہور</v>
          </cell>
        </row>
        <row r="5580">
          <cell r="A5580" t="str">
            <v>1620 F</v>
          </cell>
          <cell r="B5580"/>
          <cell r="C5580">
            <v>45804</v>
          </cell>
          <cell r="D5580" t="str">
            <v>فینا</v>
          </cell>
          <cell r="E5580" t="str">
            <v>عثمان امین</v>
          </cell>
        </row>
        <row r="5581">
          <cell r="A5581" t="str">
            <v>1621 F</v>
          </cell>
          <cell r="B5581"/>
          <cell r="C5581">
            <v>45804</v>
          </cell>
          <cell r="D5581" t="str">
            <v>فینا</v>
          </cell>
          <cell r="E5581" t="str">
            <v>عثمان امین</v>
          </cell>
        </row>
        <row r="5582">
          <cell r="A5582" t="str">
            <v>1622 F</v>
          </cell>
          <cell r="B5582"/>
          <cell r="C5582">
            <v>45804</v>
          </cell>
          <cell r="D5582" t="str">
            <v>فینا</v>
          </cell>
          <cell r="E5582" t="str">
            <v>عثمان امین</v>
          </cell>
        </row>
        <row r="5583">
          <cell r="A5583" t="str">
            <v>1623 F</v>
          </cell>
          <cell r="B5583"/>
          <cell r="C5583">
            <v>45804</v>
          </cell>
          <cell r="D5583" t="str">
            <v>فینا</v>
          </cell>
          <cell r="E5583" t="str">
            <v>عثمان امین</v>
          </cell>
        </row>
        <row r="5584">
          <cell r="A5584" t="str">
            <v>1624 F</v>
          </cell>
          <cell r="B5584"/>
          <cell r="C5584">
            <v>45805</v>
          </cell>
          <cell r="D5584" t="str">
            <v>فینا</v>
          </cell>
          <cell r="E5584" t="str">
            <v>عثمان امین</v>
          </cell>
        </row>
        <row r="5585">
          <cell r="A5585" t="str">
            <v>1625 F</v>
          </cell>
          <cell r="B5585"/>
          <cell r="C5585">
            <v>45805</v>
          </cell>
          <cell r="D5585" t="str">
            <v>فینا</v>
          </cell>
          <cell r="E5585" t="str">
            <v>عثمان امین</v>
          </cell>
        </row>
        <row r="5586">
          <cell r="A5586" t="str">
            <v>1626 F</v>
          </cell>
          <cell r="B5586"/>
          <cell r="C5586">
            <v>45805</v>
          </cell>
          <cell r="D5586" t="str">
            <v>فینا</v>
          </cell>
          <cell r="E5586" t="str">
            <v>عثمان امین</v>
          </cell>
        </row>
        <row r="5587">
          <cell r="A5587" t="str">
            <v>1627 F</v>
          </cell>
          <cell r="B5587"/>
          <cell r="C5587">
            <v>45805</v>
          </cell>
          <cell r="D5587" t="str">
            <v>فینا</v>
          </cell>
          <cell r="E5587" t="str">
            <v>عثمان امین</v>
          </cell>
        </row>
        <row r="5588">
          <cell r="A5588" t="str">
            <v>1628 F</v>
          </cell>
          <cell r="B5588"/>
          <cell r="C5588">
            <v>45805</v>
          </cell>
          <cell r="D5588" t="str">
            <v>فینا</v>
          </cell>
          <cell r="E5588" t="str">
            <v>عثمان امین</v>
          </cell>
        </row>
        <row r="5589">
          <cell r="A5589" t="str">
            <v>1629 F</v>
          </cell>
          <cell r="B5589"/>
          <cell r="C5589">
            <v>45805</v>
          </cell>
          <cell r="D5589" t="str">
            <v>فینا</v>
          </cell>
          <cell r="E5589" t="str">
            <v>عثمان امین</v>
          </cell>
        </row>
        <row r="5590">
          <cell r="A5590" t="str">
            <v>1630 F</v>
          </cell>
          <cell r="B5590"/>
          <cell r="C5590">
            <v>45805</v>
          </cell>
          <cell r="D5590" t="str">
            <v>فینا</v>
          </cell>
          <cell r="E5590" t="str">
            <v>عثمان امین</v>
          </cell>
        </row>
        <row r="5591">
          <cell r="A5591" t="str">
            <v>1631 F</v>
          </cell>
          <cell r="B5591"/>
          <cell r="C5591">
            <v>45805</v>
          </cell>
          <cell r="D5591" t="str">
            <v>فینا</v>
          </cell>
          <cell r="E5591" t="str">
            <v>عثمان امین</v>
          </cell>
        </row>
        <row r="5592">
          <cell r="A5592" t="str">
            <v>1632 F</v>
          </cell>
          <cell r="B5592"/>
          <cell r="C5592">
            <v>45805</v>
          </cell>
          <cell r="D5592" t="str">
            <v>فینا</v>
          </cell>
          <cell r="E5592" t="str">
            <v>عثمان امین</v>
          </cell>
        </row>
        <row r="5593">
          <cell r="A5593" t="str">
            <v>1633 F</v>
          </cell>
          <cell r="B5593"/>
          <cell r="C5593">
            <v>45805</v>
          </cell>
          <cell r="D5593" t="str">
            <v>فینا</v>
          </cell>
          <cell r="E5593" t="str">
            <v>عثمان امین</v>
          </cell>
        </row>
        <row r="5594">
          <cell r="A5594" t="str">
            <v>1634 F</v>
          </cell>
          <cell r="B5594"/>
          <cell r="C5594">
            <v>45805</v>
          </cell>
          <cell r="D5594" t="str">
            <v>فینا</v>
          </cell>
          <cell r="E5594" t="str">
            <v>عثمان امین</v>
          </cell>
        </row>
        <row r="5595">
          <cell r="A5595" t="str">
            <v>1635 F</v>
          </cell>
          <cell r="B5595"/>
          <cell r="C5595">
            <v>45805</v>
          </cell>
          <cell r="D5595" t="str">
            <v>فینا</v>
          </cell>
          <cell r="E5595" t="str">
            <v>عثمان امین</v>
          </cell>
        </row>
        <row r="5596">
          <cell r="A5596" t="str">
            <v>6889/1</v>
          </cell>
          <cell r="B5596">
            <v>6889</v>
          </cell>
          <cell r="C5596">
            <v>45794</v>
          </cell>
          <cell r="D5596" t="str">
            <v>یونس صاحب</v>
          </cell>
          <cell r="E5596" t="str">
            <v>احمد فاروقی</v>
          </cell>
        </row>
        <row r="5597">
          <cell r="A5597" t="str">
            <v>6890/1</v>
          </cell>
          <cell r="B5597">
            <v>6890</v>
          </cell>
          <cell r="C5597">
            <v>45794</v>
          </cell>
          <cell r="D5597" t="str">
            <v>یونس صاحب</v>
          </cell>
          <cell r="E5597" t="str">
            <v xml:space="preserve">ایم بلال اعظم مارکیٹ </v>
          </cell>
        </row>
        <row r="5598">
          <cell r="A5598" t="str">
            <v>6891/1</v>
          </cell>
          <cell r="B5598">
            <v>6891</v>
          </cell>
          <cell r="C5598">
            <v>45794</v>
          </cell>
          <cell r="D5598" t="str">
            <v>یونس صاحب</v>
          </cell>
          <cell r="E5598" t="str">
            <v>فاروق چشتیاں</v>
          </cell>
        </row>
        <row r="5599">
          <cell r="A5599" t="str">
            <v>6891/2</v>
          </cell>
          <cell r="B5599">
            <v>6891</v>
          </cell>
          <cell r="C5599">
            <v>45797</v>
          </cell>
          <cell r="D5599" t="str">
            <v>یونس صاحب</v>
          </cell>
          <cell r="E5599" t="str">
            <v>فاروق چشتیاں</v>
          </cell>
        </row>
        <row r="5600">
          <cell r="A5600" t="str">
            <v>6891/3</v>
          </cell>
          <cell r="B5600">
            <v>6891</v>
          </cell>
          <cell r="C5600">
            <v>45797</v>
          </cell>
          <cell r="D5600" t="str">
            <v>یونس صاحب</v>
          </cell>
          <cell r="E5600" t="str">
            <v>فاروق چشتیاں</v>
          </cell>
        </row>
        <row r="5601">
          <cell r="A5601" t="str">
            <v>6891/4</v>
          </cell>
          <cell r="B5601">
            <v>6891</v>
          </cell>
          <cell r="C5601">
            <v>45797</v>
          </cell>
          <cell r="D5601" t="str">
            <v>یونس صاحب</v>
          </cell>
          <cell r="E5601" t="str">
            <v>فاروق چشتیاں</v>
          </cell>
        </row>
        <row r="5602">
          <cell r="A5602" t="str">
            <v>6891/5</v>
          </cell>
          <cell r="B5602">
            <v>6891</v>
          </cell>
          <cell r="C5602">
            <v>45797</v>
          </cell>
          <cell r="D5602" t="str">
            <v>یونس صاحب</v>
          </cell>
          <cell r="E5602" t="str">
            <v>فاروق چشتیاں</v>
          </cell>
        </row>
        <row r="5603">
          <cell r="A5603" t="str">
            <v>6891/6</v>
          </cell>
          <cell r="B5603">
            <v>6891</v>
          </cell>
          <cell r="C5603">
            <v>45797</v>
          </cell>
          <cell r="D5603" t="str">
            <v>یونس صاحب</v>
          </cell>
          <cell r="E5603" t="str">
            <v>فاروق چشتیاں</v>
          </cell>
        </row>
        <row r="5604">
          <cell r="A5604" t="str">
            <v>6892/1</v>
          </cell>
          <cell r="B5604">
            <v>6892</v>
          </cell>
          <cell r="C5604">
            <v>45797</v>
          </cell>
          <cell r="D5604" t="str">
            <v>ہیڈ آفس</v>
          </cell>
          <cell r="E5604" t="str">
            <v>ہیڈ آفس</v>
          </cell>
        </row>
        <row r="5605">
          <cell r="A5605" t="str">
            <v>6893/1</v>
          </cell>
          <cell r="B5605">
            <v>6893</v>
          </cell>
          <cell r="C5605">
            <v>45797</v>
          </cell>
          <cell r="D5605" t="str">
            <v>یونس صاحب</v>
          </cell>
          <cell r="E5605" t="str">
            <v>محبوب مقبول گوجرانولہ</v>
          </cell>
        </row>
        <row r="5606">
          <cell r="A5606" t="str">
            <v>6894/1</v>
          </cell>
          <cell r="B5606">
            <v>6894</v>
          </cell>
          <cell r="C5606">
            <v>45797</v>
          </cell>
          <cell r="D5606" t="str">
            <v>یونس صاحب</v>
          </cell>
          <cell r="E5606" t="str">
            <v>لکی ڈیجٹل لیب گوجرانولہ</v>
          </cell>
        </row>
        <row r="5607">
          <cell r="A5607" t="str">
            <v>6895/1</v>
          </cell>
          <cell r="B5607">
            <v>6895</v>
          </cell>
          <cell r="C5607">
            <v>45797</v>
          </cell>
          <cell r="D5607" t="str">
            <v>یونس صاحب</v>
          </cell>
          <cell r="E5607" t="str">
            <v>جمیل پلاسٹک ایبٹ آباد</v>
          </cell>
        </row>
        <row r="5608">
          <cell r="A5608" t="str">
            <v>6896/1</v>
          </cell>
          <cell r="B5608">
            <v>6896</v>
          </cell>
          <cell r="C5608">
            <v>45797</v>
          </cell>
          <cell r="D5608" t="str">
            <v>یونس صاحب</v>
          </cell>
          <cell r="E5608" t="str">
            <v>محبوب مقبول گوجرانولہ</v>
          </cell>
        </row>
        <row r="5609">
          <cell r="A5609" t="str">
            <v>6896/2</v>
          </cell>
          <cell r="B5609">
            <v>6896</v>
          </cell>
          <cell r="C5609">
            <v>45797</v>
          </cell>
          <cell r="D5609" t="str">
            <v>یونس صاحب</v>
          </cell>
          <cell r="E5609" t="str">
            <v>محبوب مقبول گوجرانولہ</v>
          </cell>
        </row>
        <row r="5610">
          <cell r="A5610" t="str">
            <v>6896/3</v>
          </cell>
          <cell r="B5610">
            <v>6896</v>
          </cell>
          <cell r="C5610">
            <v>45797</v>
          </cell>
          <cell r="D5610" t="str">
            <v>یونس صاحب</v>
          </cell>
          <cell r="E5610" t="str">
            <v>محبوب مقبول گوجرانولہ</v>
          </cell>
        </row>
        <row r="5611">
          <cell r="A5611" t="str">
            <v>6896/4</v>
          </cell>
          <cell r="B5611">
            <v>6896</v>
          </cell>
          <cell r="C5611">
            <v>45797</v>
          </cell>
          <cell r="D5611" t="str">
            <v>یونس صاحب</v>
          </cell>
          <cell r="E5611" t="str">
            <v>محبوب مقبول گوجرانولہ</v>
          </cell>
        </row>
        <row r="5612">
          <cell r="A5612" t="str">
            <v>6896/5</v>
          </cell>
          <cell r="B5612">
            <v>6896</v>
          </cell>
          <cell r="C5612">
            <v>45797</v>
          </cell>
          <cell r="D5612" t="str">
            <v>یونس صاحب</v>
          </cell>
          <cell r="E5612" t="str">
            <v>محبوب مقبول گوجرانولہ</v>
          </cell>
        </row>
        <row r="5613">
          <cell r="A5613" t="str">
            <v>6896/6</v>
          </cell>
          <cell r="B5613">
            <v>6896</v>
          </cell>
          <cell r="C5613">
            <v>45797</v>
          </cell>
          <cell r="D5613" t="str">
            <v>یونس صاحب</v>
          </cell>
          <cell r="E5613" t="str">
            <v>محبوب مقبول گوجرانولہ</v>
          </cell>
        </row>
        <row r="5614">
          <cell r="A5614" t="str">
            <v>6896/7</v>
          </cell>
          <cell r="B5614">
            <v>6896</v>
          </cell>
          <cell r="C5614">
            <v>45797</v>
          </cell>
          <cell r="D5614" t="str">
            <v>یونس صاحب</v>
          </cell>
          <cell r="E5614" t="str">
            <v>محبوب مقبول گوجرانولہ</v>
          </cell>
        </row>
        <row r="5615">
          <cell r="A5615" t="str">
            <v>6897/1</v>
          </cell>
          <cell r="B5615">
            <v>6897</v>
          </cell>
          <cell r="C5615">
            <v>45798</v>
          </cell>
          <cell r="D5615" t="str">
            <v>یونس صاحب</v>
          </cell>
          <cell r="E5615" t="str">
            <v>ندیم پی پی بھلووال</v>
          </cell>
        </row>
        <row r="5616">
          <cell r="A5616" t="str">
            <v>6897/2</v>
          </cell>
          <cell r="B5616">
            <v>6897</v>
          </cell>
          <cell r="C5616">
            <v>45798</v>
          </cell>
          <cell r="D5616" t="str">
            <v>یونس صاحب</v>
          </cell>
          <cell r="E5616" t="str">
            <v>ندیم پی پی بھلووال</v>
          </cell>
        </row>
        <row r="5617">
          <cell r="A5617" t="str">
            <v>6897/3</v>
          </cell>
          <cell r="B5617">
            <v>6897</v>
          </cell>
          <cell r="C5617">
            <v>45798</v>
          </cell>
          <cell r="D5617" t="str">
            <v>یونس صاحب</v>
          </cell>
          <cell r="E5617" t="str">
            <v>ندیم پی پی بھلووال</v>
          </cell>
        </row>
        <row r="5618">
          <cell r="A5618" t="str">
            <v>6897/4</v>
          </cell>
          <cell r="B5618">
            <v>6897</v>
          </cell>
          <cell r="C5618">
            <v>45798</v>
          </cell>
          <cell r="D5618" t="str">
            <v>یونس صاحب</v>
          </cell>
          <cell r="E5618" t="str">
            <v>ندیم پی پی بھلووال</v>
          </cell>
        </row>
        <row r="5619">
          <cell r="A5619" t="str">
            <v>6897/5</v>
          </cell>
          <cell r="B5619">
            <v>6897</v>
          </cell>
          <cell r="C5619">
            <v>45798</v>
          </cell>
          <cell r="D5619" t="str">
            <v>یونس صاحب</v>
          </cell>
          <cell r="E5619" t="str">
            <v>ندیم پی پی بھلووال</v>
          </cell>
        </row>
        <row r="5620">
          <cell r="A5620" t="str">
            <v>6898/1</v>
          </cell>
          <cell r="B5620">
            <v>6898</v>
          </cell>
          <cell r="C5620">
            <v>45798</v>
          </cell>
          <cell r="D5620" t="str">
            <v>یونس صاحب</v>
          </cell>
          <cell r="E5620" t="str">
            <v>شاہد اقبال جہانیاں</v>
          </cell>
        </row>
        <row r="5621">
          <cell r="A5621" t="str">
            <v>6898/2</v>
          </cell>
          <cell r="B5621">
            <v>6898</v>
          </cell>
          <cell r="C5621">
            <v>45798</v>
          </cell>
          <cell r="D5621" t="str">
            <v>یونس صاحب</v>
          </cell>
          <cell r="E5621" t="str">
            <v>شاہد اقبال جہانیاں</v>
          </cell>
        </row>
        <row r="5622">
          <cell r="A5622" t="str">
            <v>6898/3</v>
          </cell>
          <cell r="B5622">
            <v>6898</v>
          </cell>
          <cell r="C5622">
            <v>45798</v>
          </cell>
          <cell r="D5622" t="str">
            <v>یونس صاحب</v>
          </cell>
          <cell r="E5622" t="str">
            <v>شاہد اقبال جہانیاں</v>
          </cell>
        </row>
        <row r="5623">
          <cell r="A5623" t="str">
            <v>6898/4</v>
          </cell>
          <cell r="B5623">
            <v>6898</v>
          </cell>
          <cell r="C5623">
            <v>45798</v>
          </cell>
          <cell r="D5623" t="str">
            <v>یونس صاحب</v>
          </cell>
          <cell r="E5623" t="str">
            <v>شاہد اقبال جہانیاں</v>
          </cell>
        </row>
        <row r="5624">
          <cell r="A5624" t="str">
            <v>6899/1</v>
          </cell>
          <cell r="B5624">
            <v>6899</v>
          </cell>
          <cell r="C5624">
            <v>45798</v>
          </cell>
          <cell r="D5624" t="str">
            <v>ہیڈ آفس</v>
          </cell>
          <cell r="E5624" t="str">
            <v>ہیڈ آفس</v>
          </cell>
        </row>
        <row r="5625">
          <cell r="A5625" t="str">
            <v>6899/2</v>
          </cell>
          <cell r="B5625">
            <v>6899</v>
          </cell>
          <cell r="C5625">
            <v>45798</v>
          </cell>
          <cell r="D5625" t="str">
            <v>ہیڈ آفس</v>
          </cell>
          <cell r="E5625" t="str">
            <v>ہیڈ آفس</v>
          </cell>
        </row>
        <row r="5626">
          <cell r="A5626" t="str">
            <v>6899/3</v>
          </cell>
          <cell r="B5626">
            <v>6899</v>
          </cell>
          <cell r="C5626">
            <v>45798</v>
          </cell>
          <cell r="D5626" t="str">
            <v>ہیڈ آفس</v>
          </cell>
          <cell r="E5626" t="str">
            <v>ہیڈ آفس</v>
          </cell>
        </row>
        <row r="5627">
          <cell r="A5627" t="str">
            <v>6899/4</v>
          </cell>
          <cell r="B5627">
            <v>6899</v>
          </cell>
          <cell r="C5627">
            <v>45798</v>
          </cell>
          <cell r="D5627" t="str">
            <v>ہیڈ آفس</v>
          </cell>
          <cell r="E5627" t="str">
            <v>ہیڈ آفس</v>
          </cell>
        </row>
        <row r="5628">
          <cell r="A5628" t="str">
            <v>6899/5</v>
          </cell>
          <cell r="B5628">
            <v>6899</v>
          </cell>
          <cell r="C5628">
            <v>45798</v>
          </cell>
          <cell r="D5628" t="str">
            <v>ہیڈ آفس</v>
          </cell>
          <cell r="E5628" t="str">
            <v>ہیڈ آفس</v>
          </cell>
        </row>
        <row r="5629">
          <cell r="A5629" t="str">
            <v>6900/1</v>
          </cell>
          <cell r="B5629">
            <v>6900</v>
          </cell>
          <cell r="C5629">
            <v>45798</v>
          </cell>
          <cell r="D5629" t="str">
            <v>ہیڈ آفس</v>
          </cell>
          <cell r="E5629" t="str">
            <v>ہیڈ آفس</v>
          </cell>
        </row>
        <row r="5630">
          <cell r="A5630" t="str">
            <v>6900/2</v>
          </cell>
          <cell r="B5630">
            <v>6900</v>
          </cell>
          <cell r="C5630">
            <v>45798</v>
          </cell>
          <cell r="D5630" t="str">
            <v>ہیڈ آفس</v>
          </cell>
          <cell r="E5630" t="str">
            <v>ہیڈ آفس</v>
          </cell>
        </row>
        <row r="5631">
          <cell r="A5631" t="str">
            <v>6900/3</v>
          </cell>
          <cell r="B5631">
            <v>6900</v>
          </cell>
          <cell r="C5631">
            <v>45798</v>
          </cell>
          <cell r="D5631" t="str">
            <v>ہیڈ آفس</v>
          </cell>
          <cell r="E5631" t="str">
            <v>ہیڈ آفس</v>
          </cell>
        </row>
        <row r="5632">
          <cell r="A5632" t="str">
            <v>6900/4</v>
          </cell>
          <cell r="B5632">
            <v>6900</v>
          </cell>
          <cell r="C5632">
            <v>45798</v>
          </cell>
          <cell r="D5632" t="str">
            <v>ہیڈ آفس</v>
          </cell>
          <cell r="E5632" t="str">
            <v>ہیڈ آفس</v>
          </cell>
        </row>
        <row r="5633">
          <cell r="A5633" t="str">
            <v>6900/5</v>
          </cell>
          <cell r="B5633">
            <v>6900</v>
          </cell>
          <cell r="C5633">
            <v>45798</v>
          </cell>
          <cell r="D5633" t="str">
            <v>ہیڈ آفس</v>
          </cell>
          <cell r="E5633" t="str">
            <v>ہیڈ آفس</v>
          </cell>
        </row>
        <row r="5634">
          <cell r="A5634" t="str">
            <v>6900/6</v>
          </cell>
          <cell r="B5634">
            <v>6900</v>
          </cell>
          <cell r="C5634">
            <v>45798</v>
          </cell>
          <cell r="D5634" t="str">
            <v>ہیڈ آفس</v>
          </cell>
          <cell r="E5634" t="str">
            <v>ہیڈ آفس</v>
          </cell>
        </row>
        <row r="5635">
          <cell r="A5635" t="str">
            <v>6900/7</v>
          </cell>
          <cell r="B5635">
            <v>6900</v>
          </cell>
          <cell r="C5635">
            <v>45798</v>
          </cell>
          <cell r="D5635" t="str">
            <v>ہیڈ آفس</v>
          </cell>
          <cell r="E5635" t="str">
            <v>ہیڈ آفس</v>
          </cell>
        </row>
        <row r="5636">
          <cell r="A5636" t="str">
            <v>6900/8</v>
          </cell>
          <cell r="B5636">
            <v>6900</v>
          </cell>
          <cell r="C5636">
            <v>45798</v>
          </cell>
          <cell r="D5636" t="str">
            <v>ہیڈ آفس</v>
          </cell>
          <cell r="E5636" t="str">
            <v>ہیڈ آفس</v>
          </cell>
        </row>
        <row r="5637">
          <cell r="A5637" t="str">
            <v>6900/9</v>
          </cell>
          <cell r="B5637">
            <v>6900</v>
          </cell>
          <cell r="C5637">
            <v>45798</v>
          </cell>
          <cell r="D5637" t="str">
            <v>ہیڈ آفس</v>
          </cell>
          <cell r="E5637" t="str">
            <v>ہیڈ آفس</v>
          </cell>
        </row>
        <row r="5638">
          <cell r="A5638" t="str">
            <v>6900/10</v>
          </cell>
          <cell r="B5638">
            <v>6900</v>
          </cell>
          <cell r="C5638">
            <v>45798</v>
          </cell>
          <cell r="D5638" t="str">
            <v>ہیڈ آفس</v>
          </cell>
          <cell r="E5638" t="str">
            <v>ہیڈ آفس</v>
          </cell>
        </row>
        <row r="5639">
          <cell r="A5639" t="str">
            <v>6900/11</v>
          </cell>
          <cell r="B5639">
            <v>6900</v>
          </cell>
          <cell r="C5639">
            <v>45798</v>
          </cell>
          <cell r="D5639" t="str">
            <v>ہیڈ آفس</v>
          </cell>
          <cell r="E5639" t="str">
            <v>ہیڈ آفس</v>
          </cell>
        </row>
        <row r="5640">
          <cell r="A5640" t="str">
            <v>6900/12</v>
          </cell>
          <cell r="B5640">
            <v>6900</v>
          </cell>
          <cell r="C5640">
            <v>45798</v>
          </cell>
          <cell r="D5640" t="str">
            <v>ہیڈ آفس</v>
          </cell>
          <cell r="E5640" t="str">
            <v>ہیڈ آفس</v>
          </cell>
        </row>
        <row r="5641">
          <cell r="A5641" t="str">
            <v>6900/13</v>
          </cell>
          <cell r="B5641">
            <v>6900</v>
          </cell>
          <cell r="C5641">
            <v>45798</v>
          </cell>
          <cell r="D5641" t="str">
            <v>ہیڈ آفس</v>
          </cell>
          <cell r="E5641" t="str">
            <v>ہیڈ آفس</v>
          </cell>
        </row>
        <row r="5642">
          <cell r="A5642" t="str">
            <v>6900/14</v>
          </cell>
          <cell r="B5642">
            <v>6900</v>
          </cell>
          <cell r="C5642">
            <v>45798</v>
          </cell>
          <cell r="D5642" t="str">
            <v>ہیڈ آفس</v>
          </cell>
          <cell r="E5642" t="str">
            <v>ہیڈ آفس</v>
          </cell>
        </row>
        <row r="5643">
          <cell r="A5643" t="str">
            <v>6900/15</v>
          </cell>
          <cell r="B5643">
            <v>6900</v>
          </cell>
          <cell r="C5643">
            <v>45798</v>
          </cell>
          <cell r="D5643" t="str">
            <v>ہیڈ آفس</v>
          </cell>
          <cell r="E5643" t="str">
            <v>ہیڈ آفس</v>
          </cell>
        </row>
        <row r="5644">
          <cell r="A5644" t="str">
            <v>6900/16</v>
          </cell>
          <cell r="B5644">
            <v>6900</v>
          </cell>
          <cell r="C5644">
            <v>45798</v>
          </cell>
          <cell r="D5644" t="str">
            <v>ہیڈ آفس</v>
          </cell>
          <cell r="E5644" t="str">
            <v>ہیڈ آفس</v>
          </cell>
        </row>
        <row r="5645">
          <cell r="A5645" t="str">
            <v>6900/17</v>
          </cell>
          <cell r="B5645">
            <v>6900</v>
          </cell>
          <cell r="C5645">
            <v>45798</v>
          </cell>
          <cell r="D5645" t="str">
            <v>ہیڈ آفس</v>
          </cell>
          <cell r="E5645" t="str">
            <v>ہیڈ آفس</v>
          </cell>
        </row>
        <row r="5646">
          <cell r="A5646" t="str">
            <v>6900/18</v>
          </cell>
          <cell r="B5646">
            <v>6900</v>
          </cell>
          <cell r="C5646">
            <v>45798</v>
          </cell>
          <cell r="D5646" t="str">
            <v>ہیڈ آفس</v>
          </cell>
          <cell r="E5646" t="str">
            <v>ہیڈ آفس</v>
          </cell>
        </row>
        <row r="5647">
          <cell r="A5647" t="str">
            <v>6900/19</v>
          </cell>
          <cell r="B5647">
            <v>6900</v>
          </cell>
          <cell r="C5647">
            <v>45798</v>
          </cell>
          <cell r="D5647" t="str">
            <v>ہیڈ آفس</v>
          </cell>
          <cell r="E5647" t="str">
            <v>ہیڈ آفس</v>
          </cell>
        </row>
        <row r="5648">
          <cell r="A5648">
            <v>2751</v>
          </cell>
          <cell r="B5648">
            <v>19067</v>
          </cell>
          <cell r="C5648">
            <v>45806</v>
          </cell>
          <cell r="D5648" t="str">
            <v>JILANI</v>
          </cell>
          <cell r="E5648" t="str">
            <v>M IMRAN PAKISTAN</v>
          </cell>
        </row>
        <row r="5649">
          <cell r="A5649" t="str">
            <v>2575 J</v>
          </cell>
          <cell r="B5649">
            <v>12271</v>
          </cell>
          <cell r="C5649">
            <v>45805</v>
          </cell>
          <cell r="D5649" t="str">
            <v>JILANI</v>
          </cell>
          <cell r="E5649" t="str">
            <v>بادشاہ کمپیوٹر گوجرانوالہ</v>
          </cell>
        </row>
        <row r="5650">
          <cell r="A5650" t="str">
            <v>2576 J</v>
          </cell>
          <cell r="B5650">
            <v>12272</v>
          </cell>
          <cell r="C5650">
            <v>45805</v>
          </cell>
          <cell r="D5650" t="str">
            <v>JILANI</v>
          </cell>
          <cell r="E5650" t="str">
            <v>انٹرنیشنل انڈسٹری لیمیٹڈ</v>
          </cell>
        </row>
        <row r="5651">
          <cell r="A5651" t="str">
            <v>2577 J</v>
          </cell>
          <cell r="B5651">
            <v>12273</v>
          </cell>
          <cell r="C5651">
            <v>45805</v>
          </cell>
          <cell r="D5651" t="str">
            <v>JILANI</v>
          </cell>
          <cell r="E5651" t="str">
            <v>کیکس اینڈ بیکس لاہور بیکری یونٹ</v>
          </cell>
        </row>
        <row r="5652">
          <cell r="A5652" t="str">
            <v>2578 J</v>
          </cell>
          <cell r="B5652">
            <v>12274</v>
          </cell>
          <cell r="C5652">
            <v>45805</v>
          </cell>
          <cell r="D5652" t="str">
            <v>JILANI</v>
          </cell>
          <cell r="E5652" t="str">
            <v>نواب ٹیکسٹائل اعظم مارکیٹ لاہور</v>
          </cell>
        </row>
        <row r="5653">
          <cell r="A5653" t="str">
            <v>2579 J</v>
          </cell>
          <cell r="B5653">
            <v>12274</v>
          </cell>
          <cell r="C5653">
            <v>45805</v>
          </cell>
          <cell r="D5653" t="str">
            <v>JILANI</v>
          </cell>
          <cell r="E5653" t="str">
            <v>نواب ٹیکسٹائل اعظم مارکیٹ لاہور</v>
          </cell>
        </row>
        <row r="5654">
          <cell r="A5654" t="str">
            <v>2580 J</v>
          </cell>
          <cell r="B5654">
            <v>12275</v>
          </cell>
          <cell r="C5654">
            <v>45805</v>
          </cell>
          <cell r="D5654" t="str">
            <v>JILANI</v>
          </cell>
          <cell r="E5654" t="str">
            <v>نواب ٹیکسٹائل اعظم مارکیٹ لاہور</v>
          </cell>
        </row>
        <row r="5655">
          <cell r="A5655" t="str">
            <v>2581 J</v>
          </cell>
          <cell r="B5655">
            <v>12276</v>
          </cell>
          <cell r="C5655">
            <v>45805</v>
          </cell>
          <cell r="D5655" t="str">
            <v>JILANI</v>
          </cell>
          <cell r="E5655" t="str">
            <v>اعجاز شیر صوابی</v>
          </cell>
        </row>
        <row r="5656">
          <cell r="A5656" t="str">
            <v>2582 J</v>
          </cell>
          <cell r="B5656">
            <v>12277</v>
          </cell>
          <cell r="C5656">
            <v>45805</v>
          </cell>
          <cell r="D5656" t="str">
            <v>JILANI</v>
          </cell>
          <cell r="E5656" t="str">
            <v>فاروق ٹیکسٹائل لاہور</v>
          </cell>
        </row>
        <row r="5657">
          <cell r="A5657" t="str">
            <v>2583 J</v>
          </cell>
          <cell r="B5657">
            <v>12278</v>
          </cell>
          <cell r="C5657">
            <v>45805</v>
          </cell>
          <cell r="D5657" t="str">
            <v>JILANI</v>
          </cell>
          <cell r="E5657" t="str">
            <v>جے ایس پرنٹرز لاہور</v>
          </cell>
        </row>
        <row r="5658">
          <cell r="A5658" t="str">
            <v>2584 J</v>
          </cell>
          <cell r="B5658">
            <v>12279</v>
          </cell>
          <cell r="C5658">
            <v>45805</v>
          </cell>
          <cell r="D5658" t="str">
            <v>JILANI</v>
          </cell>
          <cell r="E5658" t="str">
            <v>برجر پینٹ لاہور</v>
          </cell>
        </row>
        <row r="5659">
          <cell r="A5659" t="str">
            <v>2585 J</v>
          </cell>
          <cell r="B5659">
            <v>12282</v>
          </cell>
          <cell r="C5659">
            <v>45806</v>
          </cell>
          <cell r="D5659" t="str">
            <v>JILANI</v>
          </cell>
          <cell r="E5659" t="str">
            <v>شیخ اصغر علی اینڈ سنز سرگودھا</v>
          </cell>
        </row>
        <row r="5660">
          <cell r="A5660" t="str">
            <v>2586 J</v>
          </cell>
          <cell r="B5660">
            <v>12281</v>
          </cell>
          <cell r="C5660">
            <v>45806</v>
          </cell>
          <cell r="D5660" t="str">
            <v>JILANI</v>
          </cell>
          <cell r="E5660" t="str">
            <v>ہیڈ آفس لاہور</v>
          </cell>
        </row>
        <row r="5661">
          <cell r="A5661" t="str">
            <v>2587 J</v>
          </cell>
          <cell r="B5661">
            <v>12281</v>
          </cell>
          <cell r="C5661">
            <v>45806</v>
          </cell>
          <cell r="D5661" t="str">
            <v>JILANI</v>
          </cell>
          <cell r="E5661" t="str">
            <v>ہیڈ آفس لاہور</v>
          </cell>
        </row>
        <row r="5662">
          <cell r="A5662" t="str">
            <v>2588 J</v>
          </cell>
          <cell r="B5662">
            <v>12281</v>
          </cell>
          <cell r="C5662">
            <v>45806</v>
          </cell>
          <cell r="D5662" t="str">
            <v>JILANI</v>
          </cell>
          <cell r="E5662" t="str">
            <v>ہیڈ آفس لاہور</v>
          </cell>
        </row>
        <row r="5663">
          <cell r="A5663" t="str">
            <v>2589 J</v>
          </cell>
          <cell r="B5663">
            <v>12283</v>
          </cell>
          <cell r="C5663">
            <v>45806</v>
          </cell>
          <cell r="D5663" t="str">
            <v>JILANI</v>
          </cell>
          <cell r="E5663" t="str">
            <v>قمر کلاتھ ہاؤس کروڑ</v>
          </cell>
        </row>
        <row r="5664">
          <cell r="A5664" t="str">
            <v>2590 J</v>
          </cell>
          <cell r="B5664">
            <v>12284</v>
          </cell>
          <cell r="C5664">
            <v>45806</v>
          </cell>
          <cell r="D5664" t="str">
            <v>JILANI</v>
          </cell>
          <cell r="E5664" t="str">
            <v>زم زم شاپنگ مال ٹمبرگراں</v>
          </cell>
        </row>
        <row r="5665">
          <cell r="A5665" t="str">
            <v>2591 J</v>
          </cell>
          <cell r="B5665">
            <v>12284</v>
          </cell>
          <cell r="C5665">
            <v>45806</v>
          </cell>
          <cell r="D5665" t="str">
            <v>JILANI</v>
          </cell>
          <cell r="E5665" t="str">
            <v>زم زم شاپنگ مال ٹمبرگراں</v>
          </cell>
        </row>
        <row r="5666">
          <cell r="A5666" t="str">
            <v>2592 J</v>
          </cell>
          <cell r="B5666">
            <v>12284</v>
          </cell>
          <cell r="C5666">
            <v>45806</v>
          </cell>
          <cell r="D5666" t="str">
            <v>JILANI</v>
          </cell>
          <cell r="E5666" t="str">
            <v>زم زم شاپنگ مال ٹمبرگراں</v>
          </cell>
        </row>
        <row r="5667">
          <cell r="A5667" t="str">
            <v>2593 J</v>
          </cell>
          <cell r="B5667">
            <v>12284</v>
          </cell>
          <cell r="C5667">
            <v>45806</v>
          </cell>
          <cell r="D5667" t="str">
            <v>JILANI</v>
          </cell>
          <cell r="E5667" t="str">
            <v>زم زم شاپنگ مال ٹمبرگراں</v>
          </cell>
        </row>
        <row r="5668">
          <cell r="A5668" t="str">
            <v>2594 J</v>
          </cell>
          <cell r="B5668">
            <v>12285</v>
          </cell>
          <cell r="C5668">
            <v>45806</v>
          </cell>
          <cell r="D5668" t="str">
            <v>JILANI</v>
          </cell>
          <cell r="E5668" t="str">
            <v>واہ نوبل پرائیویٹ لمیٹڈ</v>
          </cell>
        </row>
        <row r="5669">
          <cell r="A5669" t="str">
            <v>2595 J</v>
          </cell>
          <cell r="B5669">
            <v>12286</v>
          </cell>
          <cell r="C5669">
            <v>45806</v>
          </cell>
          <cell r="D5669" t="str">
            <v>JILANI</v>
          </cell>
          <cell r="E5669" t="str">
            <v>ریحان بٹ انار کلی</v>
          </cell>
        </row>
        <row r="5670">
          <cell r="A5670" t="str">
            <v>2596 J</v>
          </cell>
          <cell r="B5670">
            <v>12286</v>
          </cell>
          <cell r="C5670">
            <v>45806</v>
          </cell>
          <cell r="D5670" t="str">
            <v>JILANI</v>
          </cell>
          <cell r="E5670" t="str">
            <v>ریحان بٹ انار کلی</v>
          </cell>
        </row>
        <row r="5671">
          <cell r="A5671" t="str">
            <v>2597 J</v>
          </cell>
          <cell r="B5671">
            <v>12287</v>
          </cell>
          <cell r="C5671">
            <v>45806</v>
          </cell>
          <cell r="D5671" t="str">
            <v>JILANI</v>
          </cell>
          <cell r="E5671" t="str">
            <v>ایم کے بی پشاور</v>
          </cell>
        </row>
        <row r="5672">
          <cell r="A5672" t="str">
            <v>2598 J</v>
          </cell>
          <cell r="B5672">
            <v>12287</v>
          </cell>
          <cell r="C5672">
            <v>45806</v>
          </cell>
          <cell r="D5672" t="str">
            <v>JILANI</v>
          </cell>
          <cell r="E5672" t="str">
            <v>ایم کے بی پشاور</v>
          </cell>
        </row>
        <row r="5673">
          <cell r="A5673" t="str">
            <v>2599 J</v>
          </cell>
          <cell r="B5673">
            <v>12280</v>
          </cell>
          <cell r="C5673">
            <v>45806</v>
          </cell>
          <cell r="D5673" t="str">
            <v>JILANI</v>
          </cell>
          <cell r="E5673" t="str">
            <v>سپر یونیفارم شاپ لاہور</v>
          </cell>
        </row>
        <row r="5674">
          <cell r="A5674">
            <v>2752</v>
          </cell>
          <cell r="B5674">
            <v>2821</v>
          </cell>
          <cell r="C5674">
            <v>45806</v>
          </cell>
          <cell r="D5674" t="str">
            <v>JILANI</v>
          </cell>
          <cell r="E5674" t="str">
            <v>MATCO FOOD</v>
          </cell>
        </row>
        <row r="5675">
          <cell r="A5675">
            <v>2753</v>
          </cell>
          <cell r="B5675">
            <v>2821</v>
          </cell>
          <cell r="C5675">
            <v>45806</v>
          </cell>
          <cell r="D5675" t="str">
            <v>JILANI</v>
          </cell>
          <cell r="E5675" t="str">
            <v>MATCO FOOD</v>
          </cell>
        </row>
        <row r="5676">
          <cell r="A5676">
            <v>2754</v>
          </cell>
          <cell r="B5676"/>
          <cell r="C5676">
            <v>45806</v>
          </cell>
          <cell r="D5676" t="str">
            <v>JILANI</v>
          </cell>
          <cell r="E5676" t="str">
            <v>OLYMPIA</v>
          </cell>
        </row>
        <row r="5677">
          <cell r="A5677" t="str">
            <v>1636 F</v>
          </cell>
          <cell r="B5677"/>
          <cell r="C5677">
            <v>45806</v>
          </cell>
          <cell r="D5677" t="str">
            <v>فینا</v>
          </cell>
          <cell r="E5677" t="str">
            <v>عثمان امین</v>
          </cell>
        </row>
        <row r="5678">
          <cell r="A5678" t="str">
            <v>1637 F</v>
          </cell>
          <cell r="B5678"/>
          <cell r="C5678">
            <v>45806</v>
          </cell>
          <cell r="D5678" t="str">
            <v>فینا</v>
          </cell>
          <cell r="E5678" t="str">
            <v>عثمان امین</v>
          </cell>
        </row>
        <row r="5679">
          <cell r="A5679" t="str">
            <v>1638 F</v>
          </cell>
          <cell r="B5679"/>
          <cell r="C5679">
            <v>45806</v>
          </cell>
          <cell r="D5679" t="str">
            <v>فینا</v>
          </cell>
          <cell r="E5679" t="str">
            <v>عثمان امین</v>
          </cell>
        </row>
        <row r="5680">
          <cell r="A5680" t="str">
            <v>1639 F</v>
          </cell>
          <cell r="B5680"/>
          <cell r="C5680">
            <v>45806</v>
          </cell>
          <cell r="D5680" t="str">
            <v>فینا</v>
          </cell>
          <cell r="E5680" t="str">
            <v>عثمان امین</v>
          </cell>
        </row>
        <row r="5681">
          <cell r="A5681" t="str">
            <v>1640 F</v>
          </cell>
          <cell r="B5681"/>
          <cell r="C5681">
            <v>45806</v>
          </cell>
          <cell r="D5681" t="str">
            <v>فینا</v>
          </cell>
          <cell r="E5681" t="str">
            <v>عثمان امین</v>
          </cell>
        </row>
        <row r="5682">
          <cell r="A5682" t="str">
            <v>1641 F</v>
          </cell>
          <cell r="B5682"/>
          <cell r="C5682">
            <v>45806</v>
          </cell>
          <cell r="D5682" t="str">
            <v>فینا</v>
          </cell>
          <cell r="E5682" t="str">
            <v>عثمان امین</v>
          </cell>
        </row>
        <row r="5683">
          <cell r="A5683" t="str">
            <v>6901/1</v>
          </cell>
          <cell r="B5683">
            <v>6901</v>
          </cell>
          <cell r="C5683">
            <v>45798</v>
          </cell>
          <cell r="D5683" t="str">
            <v>یونس صاحب</v>
          </cell>
          <cell r="E5683" t="str">
            <v>شمائل پی پی بکھر</v>
          </cell>
        </row>
        <row r="5684">
          <cell r="A5684" t="str">
            <v>6902/1</v>
          </cell>
          <cell r="B5684">
            <v>6902</v>
          </cell>
          <cell r="C5684">
            <v>45798</v>
          </cell>
          <cell r="D5684" t="str">
            <v>یونس صاحب</v>
          </cell>
          <cell r="E5684" t="str">
            <v>ملک الطاف اعظم مارکیٹ</v>
          </cell>
        </row>
        <row r="5685">
          <cell r="A5685" t="str">
            <v>6903/1</v>
          </cell>
          <cell r="B5685">
            <v>6903</v>
          </cell>
          <cell r="C5685">
            <v>45798</v>
          </cell>
          <cell r="D5685" t="str">
            <v>یونس صاحب</v>
          </cell>
          <cell r="E5685" t="str">
            <v>ایم سلمان پاکستان مارکیٹ</v>
          </cell>
        </row>
        <row r="5686">
          <cell r="A5686" t="str">
            <v>6904/1</v>
          </cell>
          <cell r="B5686">
            <v>6904</v>
          </cell>
          <cell r="C5686">
            <v>45798</v>
          </cell>
          <cell r="D5686" t="str">
            <v>یونس صاحب</v>
          </cell>
          <cell r="E5686" t="str">
            <v>محبوب مقبول گوجرانولہ</v>
          </cell>
        </row>
        <row r="5687">
          <cell r="A5687" t="str">
            <v>6904/2</v>
          </cell>
          <cell r="B5687">
            <v>6904</v>
          </cell>
          <cell r="C5687">
            <v>45798</v>
          </cell>
          <cell r="D5687" t="str">
            <v>یونس صاحب</v>
          </cell>
          <cell r="E5687" t="str">
            <v>محبوب مقبول گوجرانولہ</v>
          </cell>
        </row>
        <row r="5688">
          <cell r="A5688" t="str">
            <v>6905/1</v>
          </cell>
          <cell r="B5688">
            <v>6905</v>
          </cell>
          <cell r="C5688">
            <v>45799</v>
          </cell>
          <cell r="D5688" t="str">
            <v>یونس صاحب</v>
          </cell>
          <cell r="E5688" t="str">
            <v>اختر علی چیچہ وطنی</v>
          </cell>
        </row>
        <row r="5689">
          <cell r="A5689" t="str">
            <v>6905/2</v>
          </cell>
          <cell r="B5689">
            <v>6905</v>
          </cell>
          <cell r="C5689">
            <v>45799</v>
          </cell>
          <cell r="D5689" t="str">
            <v>یونس صاحب</v>
          </cell>
          <cell r="E5689" t="str">
            <v>اختر علی چیچہ وطنی</v>
          </cell>
        </row>
        <row r="5690">
          <cell r="A5690" t="str">
            <v>6905/3</v>
          </cell>
          <cell r="B5690">
            <v>6905</v>
          </cell>
          <cell r="C5690">
            <v>45799</v>
          </cell>
          <cell r="D5690" t="str">
            <v>یونس صاحب</v>
          </cell>
          <cell r="E5690" t="str">
            <v>اختر علی چیچہ وطنی</v>
          </cell>
        </row>
        <row r="5691">
          <cell r="A5691" t="str">
            <v>6905/4</v>
          </cell>
          <cell r="B5691">
            <v>6905</v>
          </cell>
          <cell r="C5691">
            <v>45799</v>
          </cell>
          <cell r="D5691" t="str">
            <v>یونس صاحب</v>
          </cell>
          <cell r="E5691" t="str">
            <v>اختر علی چیچہ وطنی</v>
          </cell>
        </row>
        <row r="5692">
          <cell r="A5692" t="str">
            <v>6905/5</v>
          </cell>
          <cell r="B5692">
            <v>6905</v>
          </cell>
          <cell r="C5692">
            <v>45799</v>
          </cell>
          <cell r="D5692" t="str">
            <v>یونس صاحب</v>
          </cell>
          <cell r="E5692" t="str">
            <v>اختر علی چیچہ وطنی</v>
          </cell>
        </row>
        <row r="5693">
          <cell r="A5693" t="str">
            <v>6905/6</v>
          </cell>
          <cell r="B5693">
            <v>6905</v>
          </cell>
          <cell r="C5693">
            <v>45799</v>
          </cell>
          <cell r="D5693" t="str">
            <v>یونس صاحب</v>
          </cell>
          <cell r="E5693" t="str">
            <v>اختر علی چیچہ وطنی</v>
          </cell>
        </row>
        <row r="5694">
          <cell r="A5694" t="str">
            <v>6906/1</v>
          </cell>
          <cell r="B5694">
            <v>6906</v>
          </cell>
          <cell r="C5694">
            <v>45799</v>
          </cell>
          <cell r="D5694" t="str">
            <v>یونس صاحب</v>
          </cell>
          <cell r="E5694" t="str">
            <v>عرفان صاحب اعظم مارکیٹ</v>
          </cell>
        </row>
        <row r="5695">
          <cell r="A5695" t="str">
            <v>6907/1</v>
          </cell>
          <cell r="B5695">
            <v>6907</v>
          </cell>
          <cell r="C5695">
            <v>45799</v>
          </cell>
          <cell r="D5695" t="str">
            <v>یونس صاحب</v>
          </cell>
          <cell r="E5695" t="str">
            <v>ایم رمضان  صادق آباد</v>
          </cell>
        </row>
        <row r="5696">
          <cell r="A5696" t="str">
            <v>6907/2</v>
          </cell>
          <cell r="B5696">
            <v>6907</v>
          </cell>
          <cell r="C5696">
            <v>45799</v>
          </cell>
          <cell r="D5696" t="str">
            <v>یونس صاحب</v>
          </cell>
          <cell r="E5696" t="str">
            <v>ایم رمضان  صادق آباد</v>
          </cell>
        </row>
        <row r="5697">
          <cell r="A5697" t="str">
            <v>6907/3</v>
          </cell>
          <cell r="B5697">
            <v>6907</v>
          </cell>
          <cell r="C5697">
            <v>45799</v>
          </cell>
          <cell r="D5697" t="str">
            <v>یونس صاحب</v>
          </cell>
          <cell r="E5697" t="str">
            <v>ایم رمضان  صادق آباد</v>
          </cell>
        </row>
        <row r="5698">
          <cell r="A5698" t="str">
            <v>6907/4</v>
          </cell>
          <cell r="B5698">
            <v>6907</v>
          </cell>
          <cell r="C5698">
            <v>45799</v>
          </cell>
          <cell r="D5698" t="str">
            <v>یونس صاحب</v>
          </cell>
          <cell r="E5698" t="str">
            <v>ایم رمضان  صادق آباد</v>
          </cell>
        </row>
        <row r="5699">
          <cell r="A5699" t="str">
            <v>6907/5</v>
          </cell>
          <cell r="B5699">
            <v>6907</v>
          </cell>
          <cell r="C5699">
            <v>45799</v>
          </cell>
          <cell r="D5699" t="str">
            <v>یونس صاحب</v>
          </cell>
          <cell r="E5699" t="str">
            <v>ایم رمضان  صادق آباد</v>
          </cell>
        </row>
        <row r="5700">
          <cell r="A5700" t="str">
            <v>6907/6</v>
          </cell>
          <cell r="B5700">
            <v>6907</v>
          </cell>
          <cell r="C5700">
            <v>45799</v>
          </cell>
          <cell r="D5700" t="str">
            <v>یونس صاحب</v>
          </cell>
          <cell r="E5700" t="str">
            <v>ایم رمضان  صادق آباد</v>
          </cell>
        </row>
        <row r="5701">
          <cell r="A5701" t="str">
            <v>6907/7</v>
          </cell>
          <cell r="B5701">
            <v>6907</v>
          </cell>
          <cell r="C5701">
            <v>45799</v>
          </cell>
          <cell r="D5701" t="str">
            <v>یونس صاحب</v>
          </cell>
          <cell r="E5701" t="str">
            <v>ایم رمضان  صادق آباد</v>
          </cell>
        </row>
        <row r="5702">
          <cell r="A5702" t="str">
            <v>6907/8</v>
          </cell>
          <cell r="B5702">
            <v>6907</v>
          </cell>
          <cell r="C5702">
            <v>45799</v>
          </cell>
          <cell r="D5702" t="str">
            <v>یونس صاحب</v>
          </cell>
          <cell r="E5702" t="str">
            <v>ایم رمضان  صادق آباد</v>
          </cell>
        </row>
        <row r="5703">
          <cell r="A5703" t="str">
            <v>6907/9</v>
          </cell>
          <cell r="B5703">
            <v>6907</v>
          </cell>
          <cell r="C5703">
            <v>45799</v>
          </cell>
          <cell r="D5703" t="str">
            <v>یونس صاحب</v>
          </cell>
          <cell r="E5703" t="str">
            <v>ایم رمضان  صادق آباد</v>
          </cell>
        </row>
        <row r="5704">
          <cell r="A5704" t="str">
            <v>6907/10</v>
          </cell>
          <cell r="B5704">
            <v>6907</v>
          </cell>
          <cell r="C5704">
            <v>45799</v>
          </cell>
          <cell r="D5704" t="str">
            <v>یونس صاحب</v>
          </cell>
          <cell r="E5704" t="str">
            <v>ایم رمضان  صادق آباد</v>
          </cell>
        </row>
        <row r="5705">
          <cell r="A5705" t="str">
            <v>6907/11</v>
          </cell>
          <cell r="B5705">
            <v>6907</v>
          </cell>
          <cell r="C5705">
            <v>45799</v>
          </cell>
          <cell r="D5705" t="str">
            <v>یونس صاحب</v>
          </cell>
          <cell r="E5705" t="str">
            <v>ایم رمضان  صادق آباد</v>
          </cell>
        </row>
        <row r="5706">
          <cell r="A5706" t="str">
            <v>6907/12</v>
          </cell>
          <cell r="B5706">
            <v>6907</v>
          </cell>
          <cell r="C5706">
            <v>45799</v>
          </cell>
          <cell r="D5706" t="str">
            <v>یونس صاحب</v>
          </cell>
          <cell r="E5706" t="str">
            <v>ایم رمضان  صادق آباد</v>
          </cell>
        </row>
        <row r="5707">
          <cell r="A5707" t="str">
            <v>6907/13</v>
          </cell>
          <cell r="B5707">
            <v>6907</v>
          </cell>
          <cell r="C5707">
            <v>45799</v>
          </cell>
          <cell r="D5707" t="str">
            <v>یونس صاحب</v>
          </cell>
          <cell r="E5707" t="str">
            <v>ایم رمضان  صادق آباد</v>
          </cell>
        </row>
        <row r="5708">
          <cell r="A5708" t="str">
            <v>6907/14</v>
          </cell>
          <cell r="B5708">
            <v>6907</v>
          </cell>
          <cell r="C5708">
            <v>45799</v>
          </cell>
          <cell r="D5708" t="str">
            <v>یونس صاحب</v>
          </cell>
          <cell r="E5708" t="str">
            <v>ایم رمضان  صادق آباد</v>
          </cell>
        </row>
        <row r="5709">
          <cell r="A5709" t="str">
            <v>6907/15</v>
          </cell>
          <cell r="B5709">
            <v>6907</v>
          </cell>
          <cell r="C5709">
            <v>45799</v>
          </cell>
          <cell r="D5709" t="str">
            <v>یونس صاحب</v>
          </cell>
          <cell r="E5709" t="str">
            <v>ایم رمضان  صادق آباد</v>
          </cell>
        </row>
        <row r="5710">
          <cell r="A5710" t="str">
            <v>6907/16</v>
          </cell>
          <cell r="B5710">
            <v>6907</v>
          </cell>
          <cell r="C5710">
            <v>45799</v>
          </cell>
          <cell r="D5710" t="str">
            <v>یونس صاحب</v>
          </cell>
          <cell r="E5710" t="str">
            <v>ایم رمضان  صادق آباد</v>
          </cell>
        </row>
        <row r="5711">
          <cell r="A5711" t="str">
            <v>6907/17</v>
          </cell>
          <cell r="B5711">
            <v>6907</v>
          </cell>
          <cell r="C5711">
            <v>45799</v>
          </cell>
          <cell r="D5711" t="str">
            <v>یونس صاحب</v>
          </cell>
          <cell r="E5711" t="str">
            <v>ایم رمضان  صادق آباد</v>
          </cell>
        </row>
        <row r="5712">
          <cell r="A5712" t="str">
            <v>6907/18</v>
          </cell>
          <cell r="B5712">
            <v>6907</v>
          </cell>
          <cell r="C5712">
            <v>45799</v>
          </cell>
          <cell r="D5712" t="str">
            <v>یونس صاحب</v>
          </cell>
          <cell r="E5712" t="str">
            <v>ایم رمضان  صادق آباد</v>
          </cell>
        </row>
        <row r="5713">
          <cell r="A5713" t="str">
            <v>6907/19</v>
          </cell>
          <cell r="B5713">
            <v>6907</v>
          </cell>
          <cell r="C5713">
            <v>45799</v>
          </cell>
          <cell r="D5713" t="str">
            <v>یونس صاحب</v>
          </cell>
          <cell r="E5713" t="str">
            <v>ایم رمضان  صادق آباد</v>
          </cell>
        </row>
        <row r="5714">
          <cell r="A5714" t="str">
            <v>6907/20</v>
          </cell>
          <cell r="B5714">
            <v>6907</v>
          </cell>
          <cell r="C5714">
            <v>45799</v>
          </cell>
          <cell r="D5714" t="str">
            <v>یونس صاحب</v>
          </cell>
          <cell r="E5714" t="str">
            <v>ایم رمضان  صادق آباد</v>
          </cell>
        </row>
        <row r="5715">
          <cell r="A5715" t="str">
            <v>6908/1</v>
          </cell>
          <cell r="B5715">
            <v>6908</v>
          </cell>
          <cell r="C5715">
            <v>45799</v>
          </cell>
          <cell r="D5715" t="str">
            <v>یونس صاحب</v>
          </cell>
          <cell r="E5715" t="str">
            <v>نواب جیلانی لیہ</v>
          </cell>
        </row>
        <row r="5716">
          <cell r="A5716" t="str">
            <v>6908/2</v>
          </cell>
          <cell r="B5716">
            <v>6908</v>
          </cell>
          <cell r="C5716">
            <v>45799</v>
          </cell>
          <cell r="D5716" t="str">
            <v>یونس صاحب</v>
          </cell>
          <cell r="E5716" t="str">
            <v>نواب جیلانی لیہ</v>
          </cell>
        </row>
        <row r="5717">
          <cell r="A5717" t="str">
            <v>6908/3</v>
          </cell>
          <cell r="B5717">
            <v>6908</v>
          </cell>
          <cell r="C5717">
            <v>45799</v>
          </cell>
          <cell r="D5717" t="str">
            <v>یونس صاحب</v>
          </cell>
          <cell r="E5717" t="str">
            <v>نواب جیلانی لیہ</v>
          </cell>
        </row>
        <row r="5718">
          <cell r="A5718" t="str">
            <v>6908/4</v>
          </cell>
          <cell r="B5718">
            <v>6908</v>
          </cell>
          <cell r="C5718">
            <v>45799</v>
          </cell>
          <cell r="D5718" t="str">
            <v>یونس صاحب</v>
          </cell>
          <cell r="E5718" t="str">
            <v>نواب جیلانی لیہ</v>
          </cell>
        </row>
        <row r="5719">
          <cell r="A5719" t="str">
            <v>6908/5</v>
          </cell>
          <cell r="B5719">
            <v>6908</v>
          </cell>
          <cell r="C5719">
            <v>45799</v>
          </cell>
          <cell r="D5719" t="str">
            <v>یونس صاحب</v>
          </cell>
          <cell r="E5719" t="str">
            <v>نواب جیلانی لیہ</v>
          </cell>
        </row>
        <row r="5720">
          <cell r="A5720" t="str">
            <v>6909/1</v>
          </cell>
          <cell r="B5720">
            <v>6909</v>
          </cell>
          <cell r="C5720">
            <v>45799</v>
          </cell>
          <cell r="D5720" t="str">
            <v>یونس صاحب</v>
          </cell>
          <cell r="E5720" t="str">
            <v>محبوب مقبول گوجرانولہ</v>
          </cell>
        </row>
        <row r="5721">
          <cell r="A5721" t="str">
            <v>6909/2</v>
          </cell>
          <cell r="B5721">
            <v>6909</v>
          </cell>
          <cell r="C5721">
            <v>45799</v>
          </cell>
          <cell r="D5721" t="str">
            <v>یونس صاحب</v>
          </cell>
          <cell r="E5721" t="str">
            <v>محبوب مقبول گوجرانولہ</v>
          </cell>
        </row>
        <row r="5722">
          <cell r="A5722" t="str">
            <v>6909/3</v>
          </cell>
          <cell r="B5722">
            <v>6909</v>
          </cell>
          <cell r="C5722">
            <v>45799</v>
          </cell>
          <cell r="D5722" t="str">
            <v>یونس صاحب</v>
          </cell>
          <cell r="E5722" t="str">
            <v>محبوب مقبول گوجرانولہ</v>
          </cell>
        </row>
        <row r="5723">
          <cell r="A5723" t="str">
            <v>69910/1</v>
          </cell>
          <cell r="B5723">
            <v>6910</v>
          </cell>
          <cell r="C5723">
            <v>45799</v>
          </cell>
          <cell r="D5723" t="str">
            <v>یونس صاحب</v>
          </cell>
          <cell r="E5723" t="str">
            <v>بلال صاحب اعظم مارکیٹ</v>
          </cell>
        </row>
        <row r="5724">
          <cell r="A5724" t="str">
            <v>6911/1</v>
          </cell>
          <cell r="B5724">
            <v>6911</v>
          </cell>
          <cell r="C5724">
            <v>45799</v>
          </cell>
          <cell r="D5724" t="str">
            <v>یونس صاحب</v>
          </cell>
          <cell r="E5724" t="str">
            <v>العمر پلاسٹک گوجرانوالہ</v>
          </cell>
        </row>
        <row r="5725">
          <cell r="A5725" t="str">
            <v>6912/1</v>
          </cell>
          <cell r="B5725">
            <v>6912</v>
          </cell>
          <cell r="C5725">
            <v>45801</v>
          </cell>
          <cell r="D5725" t="str">
            <v>یونس صاحب</v>
          </cell>
          <cell r="E5725" t="str">
            <v>حاجی سنز خانیوال</v>
          </cell>
        </row>
        <row r="5726">
          <cell r="A5726" t="str">
            <v>6912/2</v>
          </cell>
          <cell r="B5726">
            <v>6912</v>
          </cell>
          <cell r="C5726">
            <v>45801</v>
          </cell>
          <cell r="D5726" t="str">
            <v>یونس صاحب</v>
          </cell>
          <cell r="E5726" t="str">
            <v>حاجی سنز خانیوال</v>
          </cell>
        </row>
        <row r="5727">
          <cell r="A5727" t="str">
            <v>6912/3</v>
          </cell>
          <cell r="B5727">
            <v>6912</v>
          </cell>
          <cell r="C5727">
            <v>45801</v>
          </cell>
          <cell r="D5727" t="str">
            <v>یونس صاحب</v>
          </cell>
          <cell r="E5727" t="str">
            <v>حاجی سنز خانیوال</v>
          </cell>
        </row>
        <row r="5728">
          <cell r="A5728" t="str">
            <v>6912/4</v>
          </cell>
          <cell r="B5728">
            <v>6912</v>
          </cell>
          <cell r="C5728">
            <v>45801</v>
          </cell>
          <cell r="D5728" t="str">
            <v>یونس صاحب</v>
          </cell>
          <cell r="E5728" t="str">
            <v>حاجی سنز خانیوال</v>
          </cell>
        </row>
        <row r="5729">
          <cell r="A5729" t="str">
            <v>6912/5</v>
          </cell>
          <cell r="B5729">
            <v>6912</v>
          </cell>
          <cell r="C5729">
            <v>45801</v>
          </cell>
          <cell r="D5729" t="str">
            <v>یونس صاحب</v>
          </cell>
          <cell r="E5729" t="str">
            <v>حاجی سنز خانیوال</v>
          </cell>
        </row>
        <row r="5730">
          <cell r="A5730" t="str">
            <v>6912/6</v>
          </cell>
          <cell r="B5730">
            <v>6912</v>
          </cell>
          <cell r="C5730">
            <v>45801</v>
          </cell>
          <cell r="D5730" t="str">
            <v>یونس صاحب</v>
          </cell>
          <cell r="E5730" t="str">
            <v>حاجی سنز خانیوال</v>
          </cell>
        </row>
        <row r="5731">
          <cell r="A5731" t="str">
            <v>6912/7</v>
          </cell>
          <cell r="B5731">
            <v>6912</v>
          </cell>
          <cell r="C5731">
            <v>45801</v>
          </cell>
          <cell r="D5731" t="str">
            <v>یونس صاحب</v>
          </cell>
          <cell r="E5731" t="str">
            <v>حاجی سنز خانیوال</v>
          </cell>
        </row>
        <row r="5732">
          <cell r="A5732" t="str">
            <v>6912/8</v>
          </cell>
          <cell r="B5732">
            <v>6912</v>
          </cell>
          <cell r="C5732">
            <v>45801</v>
          </cell>
          <cell r="D5732" t="str">
            <v>یونس صاحب</v>
          </cell>
          <cell r="E5732" t="str">
            <v>حاجی سنز خانیوال</v>
          </cell>
        </row>
        <row r="5733">
          <cell r="A5733" t="str">
            <v>6913/1</v>
          </cell>
          <cell r="B5733">
            <v>6913</v>
          </cell>
          <cell r="C5733">
            <v>45801</v>
          </cell>
          <cell r="D5733" t="str">
            <v>یونس صاحب</v>
          </cell>
          <cell r="E5733" t="str">
            <v>نور علی</v>
          </cell>
        </row>
        <row r="5734">
          <cell r="A5734" t="str">
            <v>6913/2</v>
          </cell>
          <cell r="B5734">
            <v>6913</v>
          </cell>
          <cell r="C5734">
            <v>45801</v>
          </cell>
          <cell r="D5734" t="str">
            <v>یونس صاحب</v>
          </cell>
          <cell r="E5734" t="str">
            <v>نور علی</v>
          </cell>
        </row>
        <row r="5735">
          <cell r="A5735" t="str">
            <v>6913/3</v>
          </cell>
          <cell r="B5735">
            <v>6913</v>
          </cell>
          <cell r="C5735">
            <v>45801</v>
          </cell>
          <cell r="D5735" t="str">
            <v>یونس صاحب</v>
          </cell>
          <cell r="E5735" t="str">
            <v>نور علی</v>
          </cell>
        </row>
        <row r="5736">
          <cell r="A5736" t="str">
            <v>6913/4</v>
          </cell>
          <cell r="B5736">
            <v>6913</v>
          </cell>
          <cell r="C5736">
            <v>45801</v>
          </cell>
          <cell r="D5736" t="str">
            <v>یونس صاحب</v>
          </cell>
          <cell r="E5736" t="str">
            <v>نور علی</v>
          </cell>
        </row>
        <row r="5737">
          <cell r="A5737" t="str">
            <v>6913/5</v>
          </cell>
          <cell r="B5737">
            <v>6913</v>
          </cell>
          <cell r="C5737">
            <v>45801</v>
          </cell>
          <cell r="D5737" t="str">
            <v>یونس صاحب</v>
          </cell>
          <cell r="E5737" t="str">
            <v>نور علی</v>
          </cell>
        </row>
        <row r="5738">
          <cell r="A5738" t="str">
            <v>6913/6</v>
          </cell>
          <cell r="B5738">
            <v>6913</v>
          </cell>
          <cell r="C5738">
            <v>45801</v>
          </cell>
          <cell r="D5738" t="str">
            <v>یونس صاحب</v>
          </cell>
          <cell r="E5738" t="str">
            <v>نور علی</v>
          </cell>
        </row>
        <row r="5739">
          <cell r="A5739" t="str">
            <v>6913/7</v>
          </cell>
          <cell r="B5739">
            <v>6913</v>
          </cell>
          <cell r="C5739">
            <v>45801</v>
          </cell>
          <cell r="D5739" t="str">
            <v>یونس صاحب</v>
          </cell>
          <cell r="E5739" t="str">
            <v>نور علی</v>
          </cell>
        </row>
        <row r="5740">
          <cell r="A5740" t="str">
            <v>6914/1</v>
          </cell>
          <cell r="B5740">
            <v>6914</v>
          </cell>
          <cell r="C5740">
            <v>45801</v>
          </cell>
          <cell r="D5740" t="str">
            <v>یونس صاحب</v>
          </cell>
          <cell r="E5740" t="str">
            <v>بابا پلاسٹک پاکستان مارکیٹ</v>
          </cell>
        </row>
        <row r="5741">
          <cell r="A5741" t="str">
            <v>6915/1</v>
          </cell>
          <cell r="B5741">
            <v>6915</v>
          </cell>
          <cell r="C5741">
            <v>45803</v>
          </cell>
          <cell r="D5741" t="str">
            <v>عثمان امین لاہور</v>
          </cell>
          <cell r="E5741" t="str">
            <v>عثمان امین لاہور</v>
          </cell>
        </row>
        <row r="5742">
          <cell r="A5742" t="str">
            <v>6915/2</v>
          </cell>
          <cell r="B5742">
            <v>6915</v>
          </cell>
          <cell r="C5742">
            <v>45803</v>
          </cell>
          <cell r="D5742" t="str">
            <v>عثمان امین لاہور</v>
          </cell>
          <cell r="E5742" t="str">
            <v>عثمان امین لاہور</v>
          </cell>
        </row>
        <row r="5743">
          <cell r="A5743" t="str">
            <v>6915/3</v>
          </cell>
          <cell r="B5743">
            <v>6915</v>
          </cell>
          <cell r="C5743">
            <v>45803</v>
          </cell>
          <cell r="D5743" t="str">
            <v>عثمان امین لاہور</v>
          </cell>
          <cell r="E5743" t="str">
            <v>عثمان امین لاہور</v>
          </cell>
        </row>
        <row r="5744">
          <cell r="A5744" t="str">
            <v>6915/4</v>
          </cell>
          <cell r="B5744">
            <v>6915</v>
          </cell>
          <cell r="C5744">
            <v>45803</v>
          </cell>
          <cell r="D5744" t="str">
            <v>عثمان امین لاہور</v>
          </cell>
          <cell r="E5744" t="str">
            <v>عثمان امین لاہور</v>
          </cell>
        </row>
        <row r="5745">
          <cell r="A5745" t="str">
            <v>6915/5</v>
          </cell>
          <cell r="B5745">
            <v>6915</v>
          </cell>
          <cell r="C5745">
            <v>45803</v>
          </cell>
          <cell r="D5745" t="str">
            <v>عثمان امین لاہور</v>
          </cell>
          <cell r="E5745" t="str">
            <v>عثمان امین لاہور</v>
          </cell>
        </row>
        <row r="5746">
          <cell r="A5746" t="str">
            <v>6915/6</v>
          </cell>
          <cell r="B5746">
            <v>6915</v>
          </cell>
          <cell r="C5746">
            <v>45803</v>
          </cell>
          <cell r="D5746" t="str">
            <v>عثمان امین لاہور</v>
          </cell>
          <cell r="E5746" t="str">
            <v>عثمان امین لاہور</v>
          </cell>
        </row>
        <row r="5747">
          <cell r="A5747" t="str">
            <v>6916/1</v>
          </cell>
          <cell r="B5747">
            <v>6916</v>
          </cell>
          <cell r="C5747">
            <v>45803</v>
          </cell>
          <cell r="D5747" t="str">
            <v>یونس صاحب</v>
          </cell>
          <cell r="E5747" t="str">
            <v>آصف پلاسٹک سرگودھا</v>
          </cell>
        </row>
        <row r="5748">
          <cell r="A5748" t="str">
            <v>6916/2</v>
          </cell>
          <cell r="B5748">
            <v>6916</v>
          </cell>
          <cell r="C5748">
            <v>45803</v>
          </cell>
          <cell r="D5748" t="str">
            <v>یونس صاحب</v>
          </cell>
          <cell r="E5748" t="str">
            <v>آصف پلاسٹک سرگودھا</v>
          </cell>
        </row>
        <row r="5749">
          <cell r="A5749" t="str">
            <v>6916/3</v>
          </cell>
          <cell r="B5749">
            <v>6916</v>
          </cell>
          <cell r="C5749">
            <v>45803</v>
          </cell>
          <cell r="D5749" t="str">
            <v>یونس صاحب</v>
          </cell>
          <cell r="E5749" t="str">
            <v>آصف پلاسٹک سرگودھا</v>
          </cell>
        </row>
        <row r="5750">
          <cell r="A5750" t="str">
            <v>6916/4</v>
          </cell>
          <cell r="B5750">
            <v>6916</v>
          </cell>
          <cell r="C5750">
            <v>45803</v>
          </cell>
          <cell r="D5750" t="str">
            <v>یونس صاحب</v>
          </cell>
          <cell r="E5750" t="str">
            <v>آصف پلاسٹک سرگودھا</v>
          </cell>
        </row>
        <row r="5751">
          <cell r="A5751" t="str">
            <v>6916/5</v>
          </cell>
          <cell r="B5751">
            <v>6916</v>
          </cell>
          <cell r="C5751">
            <v>45803</v>
          </cell>
          <cell r="D5751" t="str">
            <v>یونس صاحب</v>
          </cell>
          <cell r="E5751" t="str">
            <v>آصف پلاسٹک سرگودھا</v>
          </cell>
        </row>
        <row r="5752">
          <cell r="A5752" t="str">
            <v>6916/6</v>
          </cell>
          <cell r="B5752">
            <v>6916</v>
          </cell>
          <cell r="C5752">
            <v>45803</v>
          </cell>
          <cell r="D5752" t="str">
            <v>یونس صاحب</v>
          </cell>
          <cell r="E5752" t="str">
            <v>آصف پلاسٹک سرگودھا</v>
          </cell>
        </row>
        <row r="5753">
          <cell r="A5753" t="str">
            <v>6916/7</v>
          </cell>
          <cell r="B5753">
            <v>6916</v>
          </cell>
          <cell r="C5753">
            <v>45803</v>
          </cell>
          <cell r="D5753" t="str">
            <v>یونس صاحب</v>
          </cell>
          <cell r="E5753" t="str">
            <v>آصف پلاسٹک سرگودھا</v>
          </cell>
        </row>
        <row r="5754">
          <cell r="A5754" t="str">
            <v>6916/8</v>
          </cell>
          <cell r="B5754">
            <v>6916</v>
          </cell>
          <cell r="C5754">
            <v>45803</v>
          </cell>
          <cell r="D5754" t="str">
            <v>یونس صاحب</v>
          </cell>
          <cell r="E5754" t="str">
            <v>آصف پلاسٹک سرگودھا</v>
          </cell>
        </row>
        <row r="5755">
          <cell r="A5755" t="str">
            <v>6916/9</v>
          </cell>
          <cell r="B5755">
            <v>6916</v>
          </cell>
          <cell r="C5755">
            <v>45803</v>
          </cell>
          <cell r="D5755" t="str">
            <v>یونس صاحب</v>
          </cell>
          <cell r="E5755" t="str">
            <v>آصف پلاسٹک سرگودھا</v>
          </cell>
        </row>
        <row r="5756">
          <cell r="A5756" t="str">
            <v>6916/10</v>
          </cell>
          <cell r="B5756">
            <v>6916</v>
          </cell>
          <cell r="C5756">
            <v>45803</v>
          </cell>
          <cell r="D5756" t="str">
            <v>یونس صاحب</v>
          </cell>
          <cell r="E5756" t="str">
            <v>آصف پلاسٹک سرگودھا</v>
          </cell>
        </row>
        <row r="5757">
          <cell r="A5757" t="str">
            <v>6917/1</v>
          </cell>
          <cell r="B5757">
            <v>6917</v>
          </cell>
          <cell r="C5757">
            <v>45803</v>
          </cell>
          <cell r="D5757" t="str">
            <v>یونس صاحب</v>
          </cell>
          <cell r="E5757" t="str">
            <v>عمران مشتاق پتوکی</v>
          </cell>
        </row>
        <row r="5758">
          <cell r="A5758" t="str">
            <v>6917/2</v>
          </cell>
          <cell r="B5758">
            <v>6917</v>
          </cell>
          <cell r="C5758">
            <v>45803</v>
          </cell>
          <cell r="D5758" t="str">
            <v>یونس صاحب</v>
          </cell>
          <cell r="E5758" t="str">
            <v>عمران مشتاق پتوکی</v>
          </cell>
        </row>
        <row r="5759">
          <cell r="A5759" t="str">
            <v>6918/1</v>
          </cell>
          <cell r="B5759">
            <v>6918</v>
          </cell>
          <cell r="C5759">
            <v>45803</v>
          </cell>
          <cell r="D5759" t="str">
            <v>یونس صاحب</v>
          </cell>
          <cell r="E5759" t="str">
            <v>ایم دین</v>
          </cell>
        </row>
        <row r="5760">
          <cell r="A5760" t="str">
            <v>6919/1</v>
          </cell>
          <cell r="B5760">
            <v>6919</v>
          </cell>
          <cell r="C5760">
            <v>45803</v>
          </cell>
          <cell r="D5760" t="str">
            <v>یونس صاحب</v>
          </cell>
          <cell r="E5760" t="str">
            <v>عاصم عطاری اعظم مارکیٹ</v>
          </cell>
        </row>
        <row r="5761">
          <cell r="A5761" t="str">
            <v>6920/1</v>
          </cell>
          <cell r="B5761">
            <v>6920</v>
          </cell>
          <cell r="C5761">
            <v>45803</v>
          </cell>
          <cell r="D5761" t="str">
            <v>یونس صاحب</v>
          </cell>
          <cell r="E5761" t="str">
            <v>ایم عمران پاکستان مارکیٹ</v>
          </cell>
        </row>
        <row r="5762">
          <cell r="A5762" t="str">
            <v>6920/2</v>
          </cell>
          <cell r="B5762">
            <v>6920</v>
          </cell>
          <cell r="C5762">
            <v>45804</v>
          </cell>
          <cell r="D5762" t="str">
            <v>یونس صاحب</v>
          </cell>
          <cell r="E5762" t="str">
            <v>ایم عمران پاکستان مارکیٹ</v>
          </cell>
        </row>
        <row r="5763">
          <cell r="A5763" t="str">
            <v>6920/3</v>
          </cell>
          <cell r="B5763">
            <v>6920</v>
          </cell>
          <cell r="C5763">
            <v>45804</v>
          </cell>
          <cell r="D5763" t="str">
            <v>یونس صاحب</v>
          </cell>
          <cell r="E5763" t="str">
            <v>ایم عمران پاکستان مارکیٹ</v>
          </cell>
        </row>
        <row r="5764">
          <cell r="A5764" t="str">
            <v>6920/4</v>
          </cell>
          <cell r="B5764">
            <v>6920</v>
          </cell>
          <cell r="C5764">
            <v>45804</v>
          </cell>
          <cell r="D5764" t="str">
            <v>یونس صاحب</v>
          </cell>
          <cell r="E5764" t="str">
            <v>ایم عمران پاکستان مارکیٹ</v>
          </cell>
        </row>
        <row r="5765">
          <cell r="A5765" t="str">
            <v>6921/1</v>
          </cell>
          <cell r="B5765">
            <v>6921</v>
          </cell>
          <cell r="C5765">
            <v>45804</v>
          </cell>
          <cell r="D5765" t="str">
            <v>یونس صاحب</v>
          </cell>
          <cell r="E5765" t="str">
            <v>شیخ انوار لیہ</v>
          </cell>
        </row>
        <row r="5766">
          <cell r="A5766" t="str">
            <v>6921/2</v>
          </cell>
          <cell r="B5766">
            <v>6921</v>
          </cell>
          <cell r="C5766">
            <v>45804</v>
          </cell>
          <cell r="D5766" t="str">
            <v>یونس صاحب</v>
          </cell>
          <cell r="E5766" t="str">
            <v>شیخ انوار لیہ</v>
          </cell>
        </row>
        <row r="5767">
          <cell r="A5767" t="str">
            <v>6922/1</v>
          </cell>
          <cell r="B5767">
            <v>6922</v>
          </cell>
          <cell r="C5767">
            <v>45804</v>
          </cell>
          <cell r="D5767" t="str">
            <v>یونس صاحب</v>
          </cell>
          <cell r="E5767" t="str">
            <v>اکرام بلو خانپور</v>
          </cell>
        </row>
        <row r="5768">
          <cell r="A5768" t="str">
            <v>6922/2</v>
          </cell>
          <cell r="B5768">
            <v>6922</v>
          </cell>
          <cell r="C5768">
            <v>45804</v>
          </cell>
          <cell r="D5768" t="str">
            <v>یونس صاحب</v>
          </cell>
          <cell r="E5768" t="str">
            <v>اکرام بلو خانپور</v>
          </cell>
        </row>
        <row r="5769">
          <cell r="A5769" t="str">
            <v>6922/3</v>
          </cell>
          <cell r="B5769">
            <v>6922</v>
          </cell>
          <cell r="C5769">
            <v>45804</v>
          </cell>
          <cell r="D5769" t="str">
            <v>یونس صاحب</v>
          </cell>
          <cell r="E5769" t="str">
            <v>اکرام بلو خانپور</v>
          </cell>
        </row>
        <row r="5770">
          <cell r="A5770" t="str">
            <v>6922/4</v>
          </cell>
          <cell r="B5770">
            <v>6922</v>
          </cell>
          <cell r="C5770">
            <v>45804</v>
          </cell>
          <cell r="D5770" t="str">
            <v>یونس صاحب</v>
          </cell>
          <cell r="E5770" t="str">
            <v>اکرام بلو خانپور</v>
          </cell>
        </row>
        <row r="5771">
          <cell r="A5771" t="str">
            <v>6922/5</v>
          </cell>
          <cell r="B5771">
            <v>6922</v>
          </cell>
          <cell r="C5771">
            <v>45804</v>
          </cell>
          <cell r="D5771" t="str">
            <v>یونس صاحب</v>
          </cell>
          <cell r="E5771" t="str">
            <v>اکرام بلو خانپور</v>
          </cell>
        </row>
        <row r="5772">
          <cell r="A5772" t="str">
            <v>6923/1</v>
          </cell>
          <cell r="B5772">
            <v>6922</v>
          </cell>
          <cell r="C5772">
            <v>45804</v>
          </cell>
          <cell r="D5772" t="str">
            <v>یونس صاحب</v>
          </cell>
          <cell r="E5772" t="str">
            <v>اکرام بلو خانپور</v>
          </cell>
        </row>
        <row r="5773">
          <cell r="A5773" t="str">
            <v>6923/2</v>
          </cell>
          <cell r="B5773">
            <v>6922</v>
          </cell>
          <cell r="C5773">
            <v>45804</v>
          </cell>
          <cell r="D5773" t="str">
            <v>یونس صاحب</v>
          </cell>
          <cell r="E5773" t="str">
            <v>اکرام بلو خانپور</v>
          </cell>
        </row>
        <row r="5774">
          <cell r="A5774" t="str">
            <v>6923/3</v>
          </cell>
          <cell r="B5774">
            <v>6922</v>
          </cell>
          <cell r="C5774">
            <v>45804</v>
          </cell>
          <cell r="D5774" t="str">
            <v>یونس صاحب</v>
          </cell>
          <cell r="E5774" t="str">
            <v>اکرام بلو خانپور</v>
          </cell>
        </row>
        <row r="5775">
          <cell r="A5775" t="str">
            <v>6923/4</v>
          </cell>
          <cell r="B5775">
            <v>6922</v>
          </cell>
          <cell r="C5775">
            <v>45804</v>
          </cell>
          <cell r="D5775" t="str">
            <v>یونس صاحب</v>
          </cell>
          <cell r="E5775" t="str">
            <v>اکرام بلو خانپور</v>
          </cell>
        </row>
        <row r="5776">
          <cell r="A5776" t="str">
            <v>6923/5</v>
          </cell>
          <cell r="B5776">
            <v>6922</v>
          </cell>
          <cell r="C5776">
            <v>45804</v>
          </cell>
          <cell r="D5776" t="str">
            <v>یونس صاحب</v>
          </cell>
          <cell r="E5776" t="str">
            <v>اکرام بلو خانپور</v>
          </cell>
        </row>
        <row r="5777">
          <cell r="A5777" t="str">
            <v>6923/6</v>
          </cell>
          <cell r="B5777">
            <v>6922</v>
          </cell>
          <cell r="C5777">
            <v>45804</v>
          </cell>
          <cell r="D5777" t="str">
            <v>یونس صاحب</v>
          </cell>
          <cell r="E5777" t="str">
            <v>اکرام بلو خانپور</v>
          </cell>
        </row>
        <row r="5778">
          <cell r="A5778" t="str">
            <v>6923/7</v>
          </cell>
          <cell r="B5778">
            <v>6922</v>
          </cell>
          <cell r="C5778">
            <v>45804</v>
          </cell>
          <cell r="D5778" t="str">
            <v>یونس صاحب</v>
          </cell>
          <cell r="E5778" t="str">
            <v>اکرام بلو خانپور</v>
          </cell>
        </row>
        <row r="5779">
          <cell r="A5779" t="str">
            <v>6923/8</v>
          </cell>
          <cell r="B5779">
            <v>6922</v>
          </cell>
          <cell r="C5779">
            <v>45804</v>
          </cell>
          <cell r="D5779" t="str">
            <v>یونس صاحب</v>
          </cell>
          <cell r="E5779" t="str">
            <v>اکرام بلو خانپور</v>
          </cell>
        </row>
        <row r="5780">
          <cell r="A5780" t="str">
            <v>6923/9</v>
          </cell>
          <cell r="B5780">
            <v>6922</v>
          </cell>
          <cell r="C5780">
            <v>45804</v>
          </cell>
          <cell r="D5780" t="str">
            <v>یونس صاحب</v>
          </cell>
          <cell r="E5780" t="str">
            <v>اکرام بلو خانپور</v>
          </cell>
        </row>
        <row r="5781">
          <cell r="A5781" t="str">
            <v>6923/10</v>
          </cell>
          <cell r="B5781">
            <v>6922</v>
          </cell>
          <cell r="C5781">
            <v>45804</v>
          </cell>
          <cell r="D5781" t="str">
            <v>یونس صاحب</v>
          </cell>
          <cell r="E5781" t="str">
            <v>اکرام بلو خانپور</v>
          </cell>
        </row>
        <row r="5782">
          <cell r="A5782" t="str">
            <v>6923/1</v>
          </cell>
          <cell r="B5782">
            <v>6923</v>
          </cell>
          <cell r="C5782">
            <v>45804</v>
          </cell>
          <cell r="D5782" t="str">
            <v>یونس صاحب</v>
          </cell>
          <cell r="E5782" t="str">
            <v>ایم ادریس سرگودھا</v>
          </cell>
        </row>
        <row r="5783">
          <cell r="A5783" t="str">
            <v>6923/2</v>
          </cell>
          <cell r="B5783">
            <v>6923</v>
          </cell>
          <cell r="C5783">
            <v>45804</v>
          </cell>
          <cell r="D5783" t="str">
            <v>یونس صاحب</v>
          </cell>
          <cell r="E5783" t="str">
            <v>ایم ادریس سرگودھا</v>
          </cell>
        </row>
        <row r="5784">
          <cell r="A5784" t="str">
            <v>6923/3</v>
          </cell>
          <cell r="B5784">
            <v>6923</v>
          </cell>
          <cell r="C5784">
            <v>45804</v>
          </cell>
          <cell r="D5784" t="str">
            <v>یونس صاحب</v>
          </cell>
          <cell r="E5784" t="str">
            <v>ایم ادریس سرگودھا</v>
          </cell>
        </row>
        <row r="5785">
          <cell r="A5785" t="str">
            <v>6923/4</v>
          </cell>
          <cell r="B5785">
            <v>6923</v>
          </cell>
          <cell r="C5785">
            <v>45804</v>
          </cell>
          <cell r="D5785" t="str">
            <v>یونس صاحب</v>
          </cell>
          <cell r="E5785" t="str">
            <v>ایم ادریس سرگودھا</v>
          </cell>
        </row>
        <row r="5786">
          <cell r="A5786" t="str">
            <v>6923/5</v>
          </cell>
          <cell r="B5786">
            <v>6923</v>
          </cell>
          <cell r="C5786">
            <v>45804</v>
          </cell>
          <cell r="D5786" t="str">
            <v>یونس صاحب</v>
          </cell>
          <cell r="E5786" t="str">
            <v>ایم ادریس سرگودھا</v>
          </cell>
        </row>
        <row r="5787">
          <cell r="A5787" t="str">
            <v>6923/6</v>
          </cell>
          <cell r="B5787">
            <v>6923</v>
          </cell>
          <cell r="C5787">
            <v>45804</v>
          </cell>
          <cell r="D5787" t="str">
            <v>یونس صاحب</v>
          </cell>
          <cell r="E5787" t="str">
            <v>ایم ادریس سرگودھا</v>
          </cell>
        </row>
        <row r="5788">
          <cell r="A5788" t="str">
            <v>6923/7</v>
          </cell>
          <cell r="B5788">
            <v>6923</v>
          </cell>
          <cell r="C5788">
            <v>45804</v>
          </cell>
          <cell r="D5788" t="str">
            <v>یونس صاحب</v>
          </cell>
          <cell r="E5788" t="str">
            <v>ایم ادریس سرگودھا</v>
          </cell>
        </row>
        <row r="5789">
          <cell r="A5789" t="str">
            <v>6923/8</v>
          </cell>
          <cell r="B5789">
            <v>6923</v>
          </cell>
          <cell r="C5789">
            <v>45804</v>
          </cell>
          <cell r="D5789" t="str">
            <v>یونس صاحب</v>
          </cell>
          <cell r="E5789" t="str">
            <v>ایم ادریس سرگودھا</v>
          </cell>
        </row>
        <row r="5790">
          <cell r="A5790" t="str">
            <v>6923/9</v>
          </cell>
          <cell r="B5790">
            <v>6923</v>
          </cell>
          <cell r="C5790">
            <v>45804</v>
          </cell>
          <cell r="D5790" t="str">
            <v>یونس صاحب</v>
          </cell>
          <cell r="E5790" t="str">
            <v>ایم ادریس سرگودھا</v>
          </cell>
        </row>
        <row r="5791">
          <cell r="A5791" t="str">
            <v>6923/10</v>
          </cell>
          <cell r="B5791">
            <v>6923</v>
          </cell>
          <cell r="C5791">
            <v>45804</v>
          </cell>
          <cell r="D5791" t="str">
            <v>یونس صاحب</v>
          </cell>
          <cell r="E5791" t="str">
            <v>ایم ادریس سرگودھا</v>
          </cell>
        </row>
        <row r="5792">
          <cell r="A5792" t="str">
            <v>6924/1</v>
          </cell>
          <cell r="B5792">
            <v>6924</v>
          </cell>
          <cell r="C5792">
            <v>45804</v>
          </cell>
          <cell r="D5792" t="str">
            <v>یونس صاحب</v>
          </cell>
          <cell r="E5792" t="str">
            <v>محبوب مقبول گوجرانولہ</v>
          </cell>
        </row>
        <row r="5793">
          <cell r="A5793" t="str">
            <v>6924/2</v>
          </cell>
          <cell r="B5793">
            <v>6924</v>
          </cell>
          <cell r="C5793">
            <v>45804</v>
          </cell>
          <cell r="D5793" t="str">
            <v>یونس صاحب</v>
          </cell>
          <cell r="E5793" t="str">
            <v>محبوب مقبول گوجرانولہ</v>
          </cell>
        </row>
        <row r="5794">
          <cell r="A5794" t="str">
            <v>6924/3</v>
          </cell>
          <cell r="B5794">
            <v>6924</v>
          </cell>
          <cell r="C5794">
            <v>45804</v>
          </cell>
          <cell r="D5794" t="str">
            <v>یونس صاحب</v>
          </cell>
          <cell r="E5794" t="str">
            <v>محبوب مقبول گوجرانولہ</v>
          </cell>
        </row>
        <row r="5795">
          <cell r="A5795" t="str">
            <v>6925/1</v>
          </cell>
          <cell r="B5795">
            <v>6925</v>
          </cell>
          <cell r="C5795">
            <v>45804</v>
          </cell>
          <cell r="D5795" t="str">
            <v>یونس صاحب</v>
          </cell>
          <cell r="E5795" t="str">
            <v>محبوب مقبول گوجرانولہ</v>
          </cell>
        </row>
        <row r="5796">
          <cell r="A5796" t="str">
            <v>6925/2</v>
          </cell>
          <cell r="B5796">
            <v>6925</v>
          </cell>
          <cell r="C5796">
            <v>45804</v>
          </cell>
          <cell r="D5796" t="str">
            <v>یونس صاحب</v>
          </cell>
          <cell r="E5796" t="str">
            <v>محبوب مقبول گوجرانولہ</v>
          </cell>
        </row>
        <row r="5797">
          <cell r="A5797" t="str">
            <v>6925/3</v>
          </cell>
          <cell r="B5797">
            <v>6925</v>
          </cell>
          <cell r="C5797">
            <v>45804</v>
          </cell>
          <cell r="D5797" t="str">
            <v>یونس صاحب</v>
          </cell>
          <cell r="E5797" t="str">
            <v>محبوب مقبول گوجرانولہ</v>
          </cell>
        </row>
        <row r="5798">
          <cell r="A5798" t="str">
            <v>6925/4</v>
          </cell>
          <cell r="B5798">
            <v>6925</v>
          </cell>
          <cell r="C5798">
            <v>45804</v>
          </cell>
          <cell r="D5798" t="str">
            <v>یونس صاحب</v>
          </cell>
          <cell r="E5798" t="str">
            <v>محبوب مقبول گوجرانولہ</v>
          </cell>
        </row>
        <row r="5799">
          <cell r="A5799" t="str">
            <v>6925/5</v>
          </cell>
          <cell r="B5799">
            <v>6925</v>
          </cell>
          <cell r="C5799">
            <v>45804</v>
          </cell>
          <cell r="D5799" t="str">
            <v>یونس صاحب</v>
          </cell>
          <cell r="E5799" t="str">
            <v>محبوب مقبول گوجرانولہ</v>
          </cell>
        </row>
        <row r="5800">
          <cell r="A5800" t="str">
            <v>6925/6</v>
          </cell>
          <cell r="B5800">
            <v>6925</v>
          </cell>
          <cell r="C5800">
            <v>45804</v>
          </cell>
          <cell r="D5800" t="str">
            <v>یونس صاحب</v>
          </cell>
          <cell r="E5800" t="str">
            <v>محبوب مقبول گوجرانولہ</v>
          </cell>
        </row>
        <row r="5801">
          <cell r="A5801" t="str">
            <v>6926/1</v>
          </cell>
          <cell r="B5801">
            <v>6926</v>
          </cell>
          <cell r="C5801">
            <v>45804</v>
          </cell>
          <cell r="D5801" t="str">
            <v>یونس صاحب</v>
          </cell>
          <cell r="E5801" t="str">
            <v>محبوب مقبول گوجرانولہ</v>
          </cell>
        </row>
        <row r="5802">
          <cell r="A5802" t="str">
            <v>6926/2</v>
          </cell>
          <cell r="B5802">
            <v>6926</v>
          </cell>
          <cell r="C5802">
            <v>45804</v>
          </cell>
          <cell r="D5802" t="str">
            <v>یونس صاحب</v>
          </cell>
          <cell r="E5802" t="str">
            <v>محبوب مقبول گوجرانولہ</v>
          </cell>
        </row>
        <row r="5803">
          <cell r="A5803" t="str">
            <v>6927/1</v>
          </cell>
          <cell r="B5803">
            <v>6927</v>
          </cell>
          <cell r="C5803">
            <v>45804</v>
          </cell>
          <cell r="D5803" t="str">
            <v>یونس صاحب</v>
          </cell>
          <cell r="E5803" t="str">
            <v>احمد فاروقی جہلم</v>
          </cell>
        </row>
        <row r="5804">
          <cell r="A5804" t="str">
            <v>6928/1</v>
          </cell>
          <cell r="B5804">
            <v>6928</v>
          </cell>
          <cell r="C5804">
            <v>45804</v>
          </cell>
          <cell r="D5804" t="str">
            <v>یونس صاحب</v>
          </cell>
          <cell r="E5804" t="str">
            <v>نیو پاک پلاسٹک جھنگ</v>
          </cell>
        </row>
        <row r="5805">
          <cell r="A5805" t="str">
            <v>6928/2</v>
          </cell>
          <cell r="B5805">
            <v>6928</v>
          </cell>
          <cell r="C5805">
            <v>45804</v>
          </cell>
          <cell r="D5805" t="str">
            <v>یونس صاحب</v>
          </cell>
          <cell r="E5805" t="str">
            <v>نیو پاک پلاسٹک جھنگ</v>
          </cell>
        </row>
        <row r="5806">
          <cell r="A5806" t="str">
            <v>6928/3</v>
          </cell>
          <cell r="B5806">
            <v>6928</v>
          </cell>
          <cell r="C5806">
            <v>45804</v>
          </cell>
          <cell r="D5806" t="str">
            <v>یونس صاحب</v>
          </cell>
          <cell r="E5806" t="str">
            <v>نیو پاک پلاسٹک جھنگ</v>
          </cell>
        </row>
        <row r="5807">
          <cell r="A5807" t="str">
            <v>6928/4</v>
          </cell>
          <cell r="B5807">
            <v>6928</v>
          </cell>
          <cell r="C5807">
            <v>45804</v>
          </cell>
          <cell r="D5807" t="str">
            <v>یونس صاحب</v>
          </cell>
          <cell r="E5807" t="str">
            <v>نیو پاک پلاسٹک جھنگ</v>
          </cell>
        </row>
        <row r="5808">
          <cell r="A5808" t="str">
            <v>6928/5</v>
          </cell>
          <cell r="B5808">
            <v>6928</v>
          </cell>
          <cell r="C5808">
            <v>45804</v>
          </cell>
          <cell r="D5808" t="str">
            <v>یونس صاحب</v>
          </cell>
          <cell r="E5808" t="str">
            <v>نیو پاک پلاسٹک جھنگ</v>
          </cell>
        </row>
        <row r="5809">
          <cell r="A5809" t="str">
            <v>6928/6</v>
          </cell>
          <cell r="B5809">
            <v>6928</v>
          </cell>
          <cell r="C5809">
            <v>45804</v>
          </cell>
          <cell r="D5809" t="str">
            <v>یونس صاحب</v>
          </cell>
          <cell r="E5809" t="str">
            <v>نیو پاک پلاسٹک جھنگ</v>
          </cell>
        </row>
        <row r="5810">
          <cell r="A5810" t="str">
            <v>6928/7</v>
          </cell>
          <cell r="B5810">
            <v>6928</v>
          </cell>
          <cell r="C5810">
            <v>45804</v>
          </cell>
          <cell r="D5810" t="str">
            <v>یونس صاحب</v>
          </cell>
          <cell r="E5810" t="str">
            <v>نیو پاک پلاسٹک جھنگ</v>
          </cell>
        </row>
        <row r="5811">
          <cell r="A5811" t="str">
            <v>6929/1</v>
          </cell>
          <cell r="B5811">
            <v>6929</v>
          </cell>
          <cell r="C5811">
            <v>45805</v>
          </cell>
          <cell r="D5811" t="str">
            <v>یونس صاحب</v>
          </cell>
          <cell r="E5811" t="str">
            <v>عمران علی بہاولپور</v>
          </cell>
        </row>
        <row r="5812">
          <cell r="A5812" t="str">
            <v>6929/2</v>
          </cell>
          <cell r="B5812">
            <v>6929</v>
          </cell>
          <cell r="C5812">
            <v>45805</v>
          </cell>
          <cell r="D5812" t="str">
            <v>یونس صاحب</v>
          </cell>
          <cell r="E5812" t="str">
            <v>عمران علی بہاولپور</v>
          </cell>
        </row>
        <row r="5813">
          <cell r="A5813" t="str">
            <v>6929/3</v>
          </cell>
          <cell r="B5813">
            <v>6929</v>
          </cell>
          <cell r="C5813">
            <v>45805</v>
          </cell>
          <cell r="D5813" t="str">
            <v>یونس صاحب</v>
          </cell>
          <cell r="E5813" t="str">
            <v>عمران علی بہاولپور</v>
          </cell>
        </row>
        <row r="5814">
          <cell r="A5814" t="str">
            <v>6929/4</v>
          </cell>
          <cell r="B5814">
            <v>6929</v>
          </cell>
          <cell r="C5814">
            <v>45805</v>
          </cell>
          <cell r="D5814" t="str">
            <v>یونس صاحب</v>
          </cell>
          <cell r="E5814" t="str">
            <v>عمران علی بہاولپور</v>
          </cell>
        </row>
        <row r="5815">
          <cell r="A5815" t="str">
            <v>6929/5</v>
          </cell>
          <cell r="B5815">
            <v>6929</v>
          </cell>
          <cell r="C5815">
            <v>45805</v>
          </cell>
          <cell r="D5815" t="str">
            <v>یونس صاحب</v>
          </cell>
          <cell r="E5815" t="str">
            <v>عمران علی بہاولپور</v>
          </cell>
        </row>
        <row r="5816">
          <cell r="A5816" t="str">
            <v>6930/1</v>
          </cell>
          <cell r="B5816">
            <v>6930</v>
          </cell>
          <cell r="C5816">
            <v>45805</v>
          </cell>
          <cell r="D5816" t="str">
            <v>یونس صاحب</v>
          </cell>
          <cell r="E5816" t="str">
            <v>العمر پلاسٹک گوجرانوالہ</v>
          </cell>
        </row>
        <row r="5817">
          <cell r="A5817" t="str">
            <v>6930/2</v>
          </cell>
          <cell r="B5817">
            <v>6930</v>
          </cell>
          <cell r="C5817">
            <v>45805</v>
          </cell>
          <cell r="D5817" t="str">
            <v>یونس صاحب</v>
          </cell>
          <cell r="E5817" t="str">
            <v>العمر پلاسٹک گوجرانوالہ</v>
          </cell>
        </row>
        <row r="5818">
          <cell r="A5818" t="str">
            <v>6930/3</v>
          </cell>
          <cell r="B5818">
            <v>6930</v>
          </cell>
          <cell r="C5818">
            <v>45805</v>
          </cell>
          <cell r="D5818" t="str">
            <v>یونس صاحب</v>
          </cell>
          <cell r="E5818" t="str">
            <v>العمر پلاسٹک گوجرانوالہ</v>
          </cell>
        </row>
        <row r="5819">
          <cell r="A5819" t="str">
            <v>6930/4</v>
          </cell>
          <cell r="B5819">
            <v>6930</v>
          </cell>
          <cell r="C5819">
            <v>45805</v>
          </cell>
          <cell r="D5819" t="str">
            <v>یونس صاحب</v>
          </cell>
          <cell r="E5819" t="str">
            <v>العمر پلاسٹک گوجرانوالہ</v>
          </cell>
        </row>
        <row r="5820">
          <cell r="A5820" t="str">
            <v>6930/5</v>
          </cell>
          <cell r="B5820">
            <v>6930</v>
          </cell>
          <cell r="C5820">
            <v>45805</v>
          </cell>
          <cell r="D5820" t="str">
            <v>یونس صاحب</v>
          </cell>
          <cell r="E5820" t="str">
            <v>العمر پلاسٹک گوجرانوالہ</v>
          </cell>
        </row>
        <row r="5821">
          <cell r="A5821" t="str">
            <v>6930/6</v>
          </cell>
          <cell r="B5821">
            <v>6930</v>
          </cell>
          <cell r="C5821">
            <v>45805</v>
          </cell>
          <cell r="D5821" t="str">
            <v>یونس صاحب</v>
          </cell>
          <cell r="E5821" t="str">
            <v>العمر پلاسٹک گوجرانوالہ</v>
          </cell>
        </row>
        <row r="5822">
          <cell r="A5822" t="str">
            <v>6930/7</v>
          </cell>
          <cell r="B5822">
            <v>6930</v>
          </cell>
          <cell r="C5822">
            <v>45805</v>
          </cell>
          <cell r="D5822" t="str">
            <v>یونس صاحب</v>
          </cell>
          <cell r="E5822" t="str">
            <v>العمر پلاسٹک گوجرانوالہ</v>
          </cell>
        </row>
        <row r="5823">
          <cell r="A5823" t="str">
            <v>6930/8</v>
          </cell>
          <cell r="B5823">
            <v>6930</v>
          </cell>
          <cell r="C5823">
            <v>45805</v>
          </cell>
          <cell r="D5823" t="str">
            <v>یونس صاحب</v>
          </cell>
          <cell r="E5823" t="str">
            <v>العمر پلاسٹک گوجرانوالہ</v>
          </cell>
        </row>
        <row r="5824">
          <cell r="A5824" t="str">
            <v>6930/9</v>
          </cell>
          <cell r="B5824">
            <v>6930</v>
          </cell>
          <cell r="C5824">
            <v>45805</v>
          </cell>
          <cell r="D5824" t="str">
            <v>یونس صاحب</v>
          </cell>
          <cell r="E5824" t="str">
            <v>العمر پلاسٹک گوجرانوالہ</v>
          </cell>
        </row>
        <row r="5825">
          <cell r="A5825" t="str">
            <v>6930/10</v>
          </cell>
          <cell r="B5825">
            <v>6930</v>
          </cell>
          <cell r="C5825">
            <v>45805</v>
          </cell>
          <cell r="D5825" t="str">
            <v>یونس صاحب</v>
          </cell>
          <cell r="E5825" t="str">
            <v>العمر پلاسٹک گوجرانوالہ</v>
          </cell>
        </row>
        <row r="5826">
          <cell r="A5826" t="str">
            <v>6930/11</v>
          </cell>
          <cell r="B5826">
            <v>6930</v>
          </cell>
          <cell r="C5826">
            <v>45805</v>
          </cell>
          <cell r="D5826" t="str">
            <v>یونس صاحب</v>
          </cell>
          <cell r="E5826" t="str">
            <v>العمر پلاسٹک گوجرانوالہ</v>
          </cell>
        </row>
        <row r="5827">
          <cell r="A5827" t="str">
            <v>6930/12</v>
          </cell>
          <cell r="B5827">
            <v>6930</v>
          </cell>
          <cell r="C5827">
            <v>45805</v>
          </cell>
          <cell r="D5827" t="str">
            <v>یونس صاحب</v>
          </cell>
          <cell r="E5827" t="str">
            <v>العمر پلاسٹک گوجرانوالہ</v>
          </cell>
        </row>
        <row r="5828">
          <cell r="A5828" t="str">
            <v>6930/13</v>
          </cell>
          <cell r="B5828">
            <v>6930</v>
          </cell>
          <cell r="C5828">
            <v>45805</v>
          </cell>
          <cell r="D5828" t="str">
            <v>یونس صاحب</v>
          </cell>
          <cell r="E5828" t="str">
            <v>العمر پلاسٹک گوجرانوالہ</v>
          </cell>
        </row>
        <row r="5829">
          <cell r="A5829" t="str">
            <v>6930/14</v>
          </cell>
          <cell r="B5829">
            <v>6930</v>
          </cell>
          <cell r="C5829">
            <v>45805</v>
          </cell>
          <cell r="D5829" t="str">
            <v>یونس صاحب</v>
          </cell>
          <cell r="E5829" t="str">
            <v>العمر پلاسٹک گوجرانوالہ</v>
          </cell>
        </row>
        <row r="5830">
          <cell r="A5830" t="str">
            <v>6930/15</v>
          </cell>
          <cell r="B5830">
            <v>6930</v>
          </cell>
          <cell r="C5830">
            <v>45805</v>
          </cell>
          <cell r="D5830" t="str">
            <v>یونس صاحب</v>
          </cell>
          <cell r="E5830" t="str">
            <v>العمر پلاسٹک گوجرانوالہ</v>
          </cell>
        </row>
        <row r="5831">
          <cell r="A5831" t="str">
            <v>6930/16</v>
          </cell>
          <cell r="B5831">
            <v>6930</v>
          </cell>
          <cell r="C5831">
            <v>45805</v>
          </cell>
          <cell r="D5831" t="str">
            <v>یونس صاحب</v>
          </cell>
          <cell r="E5831" t="str">
            <v>العمر پلاسٹک گوجرانوالہ</v>
          </cell>
        </row>
        <row r="5832">
          <cell r="A5832" t="str">
            <v>6930/17</v>
          </cell>
          <cell r="B5832">
            <v>6930</v>
          </cell>
          <cell r="C5832">
            <v>45805</v>
          </cell>
          <cell r="D5832" t="str">
            <v>یونس صاحب</v>
          </cell>
          <cell r="E5832" t="str">
            <v>العمر پلاسٹک گوجرانوالہ</v>
          </cell>
        </row>
        <row r="5833">
          <cell r="A5833" t="str">
            <v>6930/18</v>
          </cell>
          <cell r="B5833">
            <v>6930</v>
          </cell>
          <cell r="C5833">
            <v>45805</v>
          </cell>
          <cell r="D5833" t="str">
            <v>یونس صاحب</v>
          </cell>
          <cell r="E5833" t="str">
            <v>العمر پلاسٹک گوجرانوالہ</v>
          </cell>
        </row>
        <row r="5834">
          <cell r="A5834" t="str">
            <v>6930/19</v>
          </cell>
          <cell r="B5834">
            <v>6930</v>
          </cell>
          <cell r="C5834">
            <v>45805</v>
          </cell>
          <cell r="D5834" t="str">
            <v>یونس صاحب</v>
          </cell>
          <cell r="E5834" t="str">
            <v>العمر پلاسٹک گوجرانوالہ</v>
          </cell>
        </row>
        <row r="5835">
          <cell r="A5835" t="str">
            <v>6931/1</v>
          </cell>
          <cell r="B5835">
            <v>6931</v>
          </cell>
          <cell r="C5835">
            <v>45805</v>
          </cell>
          <cell r="D5835" t="str">
            <v>یونس صاحب</v>
          </cell>
          <cell r="E5835" t="str">
            <v>شوکت مجید پتوکی</v>
          </cell>
        </row>
        <row r="5836">
          <cell r="A5836" t="str">
            <v>6931/2</v>
          </cell>
          <cell r="B5836">
            <v>6931</v>
          </cell>
          <cell r="C5836">
            <v>45805</v>
          </cell>
          <cell r="D5836" t="str">
            <v>یونس صاحب</v>
          </cell>
          <cell r="E5836" t="str">
            <v>شوکت مجید پتوکی</v>
          </cell>
        </row>
        <row r="5837">
          <cell r="A5837" t="str">
            <v>6931/3</v>
          </cell>
          <cell r="B5837">
            <v>6931</v>
          </cell>
          <cell r="C5837">
            <v>45805</v>
          </cell>
          <cell r="D5837" t="str">
            <v>یونس صاحب</v>
          </cell>
          <cell r="E5837" t="str">
            <v>شوکت مجید پتوکی</v>
          </cell>
        </row>
        <row r="5838">
          <cell r="A5838" t="str">
            <v>6931/4</v>
          </cell>
          <cell r="B5838">
            <v>6931</v>
          </cell>
          <cell r="C5838">
            <v>45805</v>
          </cell>
          <cell r="D5838" t="str">
            <v>یونس صاحب</v>
          </cell>
          <cell r="E5838" t="str">
            <v>شوکت مجید پتوکی</v>
          </cell>
        </row>
        <row r="5839">
          <cell r="A5839" t="str">
            <v>6932/1</v>
          </cell>
          <cell r="B5839">
            <v>6932</v>
          </cell>
          <cell r="C5839">
            <v>45805</v>
          </cell>
          <cell r="D5839" t="str">
            <v>یونس صاحب</v>
          </cell>
          <cell r="E5839" t="str">
            <v>راجکپور کریانہ سٹور گھونکی</v>
          </cell>
        </row>
        <row r="5840">
          <cell r="A5840" t="str">
            <v>6933/1</v>
          </cell>
          <cell r="B5840">
            <v>6933</v>
          </cell>
          <cell r="C5840">
            <v>45805</v>
          </cell>
          <cell r="D5840" t="str">
            <v>یونس صاحب</v>
          </cell>
          <cell r="E5840" t="str">
            <v>محبوب مقبول گوجرانولہ</v>
          </cell>
        </row>
        <row r="5841">
          <cell r="A5841" t="str">
            <v>6933/2</v>
          </cell>
          <cell r="B5841">
            <v>6933</v>
          </cell>
          <cell r="C5841">
            <v>45805</v>
          </cell>
          <cell r="D5841" t="str">
            <v>یونس صاحب</v>
          </cell>
          <cell r="E5841" t="str">
            <v>محبوب مقبول گوجرانولہ</v>
          </cell>
        </row>
        <row r="5842">
          <cell r="A5842" t="str">
            <v>6933/3</v>
          </cell>
          <cell r="B5842">
            <v>6933</v>
          </cell>
          <cell r="C5842">
            <v>45805</v>
          </cell>
          <cell r="D5842" t="str">
            <v>یونس صاحب</v>
          </cell>
          <cell r="E5842" t="str">
            <v>محبوب مقبول گوجرانولہ</v>
          </cell>
        </row>
        <row r="5843">
          <cell r="A5843" t="str">
            <v>6933/4</v>
          </cell>
          <cell r="B5843">
            <v>6933</v>
          </cell>
          <cell r="C5843">
            <v>45805</v>
          </cell>
          <cell r="D5843" t="str">
            <v>یونس صاحب</v>
          </cell>
          <cell r="E5843" t="str">
            <v>محبوب مقبول گوجرانولہ</v>
          </cell>
        </row>
        <row r="5844">
          <cell r="A5844" t="str">
            <v>6933/5</v>
          </cell>
          <cell r="B5844">
            <v>6933</v>
          </cell>
          <cell r="C5844">
            <v>45805</v>
          </cell>
          <cell r="D5844" t="str">
            <v>یونس صاحب</v>
          </cell>
          <cell r="E5844" t="str">
            <v>محبوب مقبول گوجرانولہ</v>
          </cell>
        </row>
        <row r="5845">
          <cell r="A5845" t="str">
            <v>6933/6</v>
          </cell>
          <cell r="B5845">
            <v>6933</v>
          </cell>
          <cell r="C5845">
            <v>45805</v>
          </cell>
          <cell r="D5845" t="str">
            <v>یونس صاحب</v>
          </cell>
          <cell r="E5845" t="str">
            <v>محبوب مقبول گوجرانولہ</v>
          </cell>
        </row>
        <row r="5846">
          <cell r="A5846" t="str">
            <v>6933/7</v>
          </cell>
          <cell r="B5846">
            <v>6933</v>
          </cell>
          <cell r="C5846">
            <v>45805</v>
          </cell>
          <cell r="D5846" t="str">
            <v>یونس صاحب</v>
          </cell>
          <cell r="E5846" t="str">
            <v>محبوب مقبول گوجرانولہ</v>
          </cell>
        </row>
        <row r="5847">
          <cell r="A5847" t="str">
            <v>6934/1</v>
          </cell>
          <cell r="B5847">
            <v>6934</v>
          </cell>
          <cell r="C5847">
            <v>45806</v>
          </cell>
          <cell r="D5847" t="str">
            <v>یونس صاحب</v>
          </cell>
          <cell r="E5847" t="str">
            <v>نیو غوری ساہیوال</v>
          </cell>
        </row>
        <row r="5848">
          <cell r="A5848" t="str">
            <v>6935/1</v>
          </cell>
          <cell r="B5848">
            <v>6935</v>
          </cell>
          <cell r="C5848">
            <v>45806</v>
          </cell>
          <cell r="D5848" t="str">
            <v>یونس صاحب</v>
          </cell>
          <cell r="E5848" t="str">
            <v>باؤ اشرف کانپور</v>
          </cell>
        </row>
        <row r="5849">
          <cell r="A5849" t="str">
            <v>6935/1</v>
          </cell>
          <cell r="B5849">
            <v>6935</v>
          </cell>
          <cell r="C5849">
            <v>45806</v>
          </cell>
          <cell r="D5849" t="str">
            <v>یونس صاحب</v>
          </cell>
          <cell r="E5849" t="str">
            <v>باؤ اشرف کانپور</v>
          </cell>
        </row>
        <row r="5850">
          <cell r="A5850" t="str">
            <v>6936/1</v>
          </cell>
          <cell r="B5850">
            <v>6936</v>
          </cell>
          <cell r="C5850">
            <v>45806</v>
          </cell>
          <cell r="D5850" t="str">
            <v>یونس صاحب</v>
          </cell>
          <cell r="E5850" t="str">
            <v>شہزاد صاحب اعظم مارکیٹ</v>
          </cell>
        </row>
        <row r="5851">
          <cell r="A5851" t="str">
            <v>6937/1</v>
          </cell>
          <cell r="B5851">
            <v>6937</v>
          </cell>
          <cell r="C5851">
            <v>45806</v>
          </cell>
          <cell r="D5851" t="str">
            <v>یونس صاحب</v>
          </cell>
          <cell r="E5851" t="str">
            <v>ایم سلیمان پاکستان مارکیٹ</v>
          </cell>
        </row>
        <row r="5852">
          <cell r="A5852" t="str">
            <v>6938/1</v>
          </cell>
          <cell r="B5852">
            <v>6938</v>
          </cell>
          <cell r="C5852">
            <v>45806</v>
          </cell>
          <cell r="D5852" t="str">
            <v>یونس صاحب</v>
          </cell>
          <cell r="E5852" t="str">
            <v>ایم دین پنڈی</v>
          </cell>
        </row>
        <row r="5853">
          <cell r="A5853" t="str">
            <v>6939/1</v>
          </cell>
          <cell r="B5853">
            <v>6939</v>
          </cell>
          <cell r="C5853">
            <v>45806</v>
          </cell>
          <cell r="D5853" t="str">
            <v>یونس صاحب</v>
          </cell>
          <cell r="E5853" t="str">
            <v>آصف پلاسٹک سرگودھا</v>
          </cell>
        </row>
        <row r="5854">
          <cell r="A5854" t="str">
            <v>6939/2</v>
          </cell>
          <cell r="B5854">
            <v>6939</v>
          </cell>
          <cell r="C5854">
            <v>45806</v>
          </cell>
          <cell r="D5854" t="str">
            <v>یونس صاحب</v>
          </cell>
          <cell r="E5854" t="str">
            <v>آصف پلاسٹک سرگودھا</v>
          </cell>
        </row>
        <row r="5855">
          <cell r="A5855" t="str">
            <v>6939/3</v>
          </cell>
          <cell r="B5855">
            <v>6939</v>
          </cell>
          <cell r="C5855">
            <v>45808</v>
          </cell>
          <cell r="D5855" t="str">
            <v>یونس صاحب</v>
          </cell>
          <cell r="E5855" t="str">
            <v>آصف پلاسٹک سرگودھا</v>
          </cell>
        </row>
        <row r="5856">
          <cell r="A5856" t="str">
            <v>6939/4</v>
          </cell>
          <cell r="B5856">
            <v>6939</v>
          </cell>
          <cell r="C5856">
            <v>45808</v>
          </cell>
          <cell r="D5856" t="str">
            <v>یونس صاحب</v>
          </cell>
          <cell r="E5856" t="str">
            <v>آصف پلاسٹک سرگودھا</v>
          </cell>
        </row>
        <row r="5857">
          <cell r="A5857" t="str">
            <v>6940/1</v>
          </cell>
          <cell r="B5857">
            <v>6940</v>
          </cell>
          <cell r="C5857">
            <v>45808</v>
          </cell>
          <cell r="D5857" t="str">
            <v>یونس صاحب</v>
          </cell>
          <cell r="E5857" t="str">
            <v>ایم عمران پاکستان مارکیٹ</v>
          </cell>
        </row>
        <row r="5858">
          <cell r="A5858" t="str">
            <v>6940/2</v>
          </cell>
          <cell r="B5858">
            <v>6940</v>
          </cell>
          <cell r="C5858">
            <v>45808</v>
          </cell>
          <cell r="D5858" t="str">
            <v>یونس صاحب</v>
          </cell>
          <cell r="E5858" t="str">
            <v>ایم عمران پاکستان مارکیٹ</v>
          </cell>
        </row>
        <row r="5859">
          <cell r="A5859" t="str">
            <v>6941/1</v>
          </cell>
          <cell r="B5859">
            <v>6941</v>
          </cell>
          <cell r="C5859">
            <v>45808</v>
          </cell>
          <cell r="D5859" t="str">
            <v>یونس صاحب</v>
          </cell>
          <cell r="E5859" t="str">
            <v>ایم عمران پاکستان مارکیٹ</v>
          </cell>
        </row>
        <row r="5860">
          <cell r="A5860" t="str">
            <v>6941/2</v>
          </cell>
          <cell r="B5860">
            <v>6941</v>
          </cell>
          <cell r="C5860">
            <v>45808</v>
          </cell>
          <cell r="D5860" t="str">
            <v>یونس صاحب</v>
          </cell>
          <cell r="E5860" t="str">
            <v>ایم عمران پاکستان مارکیٹ</v>
          </cell>
        </row>
        <row r="5861">
          <cell r="A5861" t="str">
            <v>6941/3</v>
          </cell>
          <cell r="B5861">
            <v>6941</v>
          </cell>
          <cell r="C5861">
            <v>45808</v>
          </cell>
          <cell r="D5861" t="str">
            <v>یونس صاحب</v>
          </cell>
          <cell r="E5861" t="str">
            <v>ایم عمران پاکستان مارکیٹ</v>
          </cell>
        </row>
        <row r="5862">
          <cell r="A5862" t="str">
            <v>6941/4</v>
          </cell>
          <cell r="B5862">
            <v>6941</v>
          </cell>
          <cell r="C5862">
            <v>45808</v>
          </cell>
          <cell r="D5862" t="str">
            <v>یونس صاحب</v>
          </cell>
          <cell r="E5862" t="str">
            <v>ایم عمران پاکستان مارکیٹ</v>
          </cell>
        </row>
        <row r="5863">
          <cell r="A5863" t="str">
            <v>6941/5</v>
          </cell>
          <cell r="B5863">
            <v>6941</v>
          </cell>
          <cell r="C5863">
            <v>45808</v>
          </cell>
          <cell r="D5863" t="str">
            <v>یونس صاحب</v>
          </cell>
          <cell r="E5863" t="str">
            <v>ایم عمران پاکستان مارکیٹ</v>
          </cell>
        </row>
        <row r="5864">
          <cell r="A5864" t="str">
            <v>6941/6</v>
          </cell>
          <cell r="B5864">
            <v>6941</v>
          </cell>
          <cell r="C5864">
            <v>45808</v>
          </cell>
          <cell r="D5864" t="str">
            <v>یونس صاحب</v>
          </cell>
          <cell r="E5864" t="str">
            <v>ایم عمران پاکستان مارکیٹ</v>
          </cell>
        </row>
        <row r="5865">
          <cell r="A5865" t="str">
            <v>6941/7</v>
          </cell>
          <cell r="B5865">
            <v>6941</v>
          </cell>
          <cell r="C5865">
            <v>45808</v>
          </cell>
          <cell r="D5865" t="str">
            <v>یونس صاحب</v>
          </cell>
          <cell r="E5865" t="str">
            <v>ایم عمران پاکستان مارکیٹ</v>
          </cell>
        </row>
        <row r="5866">
          <cell r="A5866" t="str">
            <v>6942/1</v>
          </cell>
          <cell r="B5866">
            <v>6942</v>
          </cell>
          <cell r="C5866">
            <v>45808</v>
          </cell>
          <cell r="D5866" t="str">
            <v>عثمان امین لاہور</v>
          </cell>
          <cell r="E5866" t="str">
            <v>عثمان امین لاہور</v>
          </cell>
        </row>
        <row r="5867">
          <cell r="A5867" t="str">
            <v>6943/1</v>
          </cell>
          <cell r="B5867">
            <v>6943</v>
          </cell>
          <cell r="C5867">
            <v>45808</v>
          </cell>
          <cell r="D5867" t="str">
            <v>یونس صاحب</v>
          </cell>
          <cell r="E5867" t="str">
            <v>محبوب مقبول گوجرانولہ</v>
          </cell>
        </row>
        <row r="5868">
          <cell r="A5868" t="str">
            <v>6943/2</v>
          </cell>
          <cell r="B5868">
            <v>6943</v>
          </cell>
          <cell r="C5868">
            <v>45808</v>
          </cell>
          <cell r="D5868" t="str">
            <v>یونس صاحب</v>
          </cell>
          <cell r="E5868" t="str">
            <v>محبوب مقبول گوجرانولہ</v>
          </cell>
        </row>
        <row r="5869">
          <cell r="A5869" t="str">
            <v>6943/3</v>
          </cell>
          <cell r="B5869">
            <v>6943</v>
          </cell>
          <cell r="C5869">
            <v>45808</v>
          </cell>
          <cell r="D5869" t="str">
            <v>یونس صاحب</v>
          </cell>
          <cell r="E5869" t="str">
            <v>محبوب مقبول گوجرانولہ</v>
          </cell>
        </row>
        <row r="5870">
          <cell r="A5870" t="str">
            <v>6943/4</v>
          </cell>
          <cell r="B5870">
            <v>6943</v>
          </cell>
          <cell r="C5870">
            <v>45808</v>
          </cell>
          <cell r="D5870" t="str">
            <v>یونس صاحب</v>
          </cell>
          <cell r="E5870" t="str">
            <v>محبوب مقبول گوجرانولہ</v>
          </cell>
        </row>
        <row r="5871">
          <cell r="A5871" t="str">
            <v>6944/1</v>
          </cell>
          <cell r="B5871">
            <v>6944</v>
          </cell>
          <cell r="C5871">
            <v>45808</v>
          </cell>
          <cell r="D5871" t="str">
            <v>یونس صاحب</v>
          </cell>
          <cell r="E5871" t="str">
            <v>محبوب مقبول گوجرانولہ</v>
          </cell>
        </row>
        <row r="5872">
          <cell r="A5872" t="str">
            <v>6945/1</v>
          </cell>
          <cell r="B5872">
            <v>6945</v>
          </cell>
          <cell r="C5872">
            <v>45808</v>
          </cell>
          <cell r="D5872" t="str">
            <v>یونس صاحب</v>
          </cell>
          <cell r="E5872" t="str">
            <v>محبوب مقبول گوجرانولہ</v>
          </cell>
        </row>
        <row r="5873">
          <cell r="A5873" t="str">
            <v>6946/1</v>
          </cell>
          <cell r="B5873">
            <v>6946</v>
          </cell>
          <cell r="C5873">
            <v>45808</v>
          </cell>
          <cell r="D5873" t="str">
            <v>یونس صاحب</v>
          </cell>
          <cell r="E5873" t="str">
            <v>ایم ادریس سرگودھا</v>
          </cell>
        </row>
        <row r="5874">
          <cell r="A5874" t="str">
            <v>6946/2</v>
          </cell>
          <cell r="B5874">
            <v>6946</v>
          </cell>
          <cell r="C5874">
            <v>45808</v>
          </cell>
          <cell r="D5874" t="str">
            <v>یونس صاحب</v>
          </cell>
          <cell r="E5874" t="str">
            <v>ایم ادریس سرگودھا</v>
          </cell>
        </row>
        <row r="5875">
          <cell r="A5875" t="str">
            <v>6946/3</v>
          </cell>
          <cell r="B5875">
            <v>6946</v>
          </cell>
          <cell r="C5875">
            <v>45808</v>
          </cell>
          <cell r="D5875" t="str">
            <v>یونس صاحب</v>
          </cell>
          <cell r="E5875" t="str">
            <v>ایم ادریس سرگودھا</v>
          </cell>
        </row>
        <row r="5876">
          <cell r="A5876" t="str">
            <v>6946/4</v>
          </cell>
          <cell r="B5876">
            <v>6946</v>
          </cell>
          <cell r="C5876">
            <v>45808</v>
          </cell>
          <cell r="D5876" t="str">
            <v>یونس صاحب</v>
          </cell>
          <cell r="E5876" t="str">
            <v>ایم ادریس سرگودھا</v>
          </cell>
        </row>
        <row r="5877">
          <cell r="A5877" t="str">
            <v>6946/5</v>
          </cell>
          <cell r="B5877">
            <v>6946</v>
          </cell>
          <cell r="C5877">
            <v>45808</v>
          </cell>
          <cell r="D5877" t="str">
            <v>یونس صاحب</v>
          </cell>
          <cell r="E5877" t="str">
            <v>ایم ادریس سرگودھا</v>
          </cell>
        </row>
        <row r="5878">
          <cell r="A5878" t="str">
            <v>6946/6</v>
          </cell>
          <cell r="B5878">
            <v>6946</v>
          </cell>
          <cell r="C5878">
            <v>45808</v>
          </cell>
          <cell r="D5878" t="str">
            <v>یونس صاحب</v>
          </cell>
          <cell r="E5878" t="str">
            <v>ایم ادریس سرگودھا</v>
          </cell>
        </row>
        <row r="5879">
          <cell r="A5879" t="str">
            <v>6946/7</v>
          </cell>
          <cell r="B5879">
            <v>6946</v>
          </cell>
          <cell r="C5879">
            <v>45808</v>
          </cell>
          <cell r="D5879" t="str">
            <v>یونس صاحب</v>
          </cell>
          <cell r="E5879" t="str">
            <v>ایم ادریس سرگودھا</v>
          </cell>
        </row>
        <row r="5880">
          <cell r="A5880" t="str">
            <v>6946/8</v>
          </cell>
          <cell r="B5880">
            <v>6946</v>
          </cell>
          <cell r="C5880">
            <v>45808</v>
          </cell>
          <cell r="D5880" t="str">
            <v>یونس صاحب</v>
          </cell>
          <cell r="E5880" t="str">
            <v>ایم ادریس سرگودھا</v>
          </cell>
        </row>
        <row r="5881">
          <cell r="A5881" t="str">
            <v>6946/9</v>
          </cell>
          <cell r="B5881">
            <v>6946</v>
          </cell>
          <cell r="C5881">
            <v>45808</v>
          </cell>
          <cell r="D5881" t="str">
            <v>یونس صاحب</v>
          </cell>
          <cell r="E5881" t="str">
            <v>ایم ادریس سرگودھا</v>
          </cell>
        </row>
        <row r="5882">
          <cell r="A5882" t="str">
            <v>6946/10</v>
          </cell>
          <cell r="B5882">
            <v>6946</v>
          </cell>
          <cell r="C5882">
            <v>45808</v>
          </cell>
          <cell r="D5882" t="str">
            <v>یونس صاحب</v>
          </cell>
          <cell r="E5882" t="str">
            <v>ایم ادریس سرگودھا</v>
          </cell>
        </row>
        <row r="5883">
          <cell r="A5883" t="str">
            <v>6946/11</v>
          </cell>
          <cell r="B5883">
            <v>6946</v>
          </cell>
          <cell r="C5883">
            <v>45808</v>
          </cell>
          <cell r="D5883" t="str">
            <v>یونس صاحب</v>
          </cell>
          <cell r="E5883" t="str">
            <v>ایم ادریس سرگودھا</v>
          </cell>
        </row>
        <row r="5884">
          <cell r="A5884" t="str">
            <v>6946/12</v>
          </cell>
          <cell r="B5884">
            <v>6946</v>
          </cell>
          <cell r="C5884">
            <v>45808</v>
          </cell>
          <cell r="D5884" t="str">
            <v>یونس صاحب</v>
          </cell>
          <cell r="E5884" t="str">
            <v>ایم ادریس سرگودھا</v>
          </cell>
        </row>
        <row r="5885">
          <cell r="A5885" t="str">
            <v>6946/13</v>
          </cell>
          <cell r="B5885">
            <v>6946</v>
          </cell>
          <cell r="C5885">
            <v>45808</v>
          </cell>
          <cell r="D5885" t="str">
            <v>یونس صاحب</v>
          </cell>
          <cell r="E5885" t="str">
            <v>ایم ادریس سرگودھا</v>
          </cell>
        </row>
        <row r="5886">
          <cell r="A5886" t="str">
            <v>6946/14</v>
          </cell>
          <cell r="B5886">
            <v>6946</v>
          </cell>
          <cell r="C5886">
            <v>45808</v>
          </cell>
          <cell r="D5886" t="str">
            <v>یونس صاحب</v>
          </cell>
          <cell r="E5886" t="str">
            <v>ایم ادریس سرگودھا</v>
          </cell>
        </row>
        <row r="5887">
          <cell r="A5887" t="str">
            <v>6946/15</v>
          </cell>
          <cell r="B5887">
            <v>6946</v>
          </cell>
          <cell r="C5887">
            <v>45808</v>
          </cell>
          <cell r="D5887" t="str">
            <v>یونس صاحب</v>
          </cell>
          <cell r="E5887" t="str">
            <v>ایم ادریس سرگودھا</v>
          </cell>
        </row>
        <row r="5888">
          <cell r="A5888" t="str">
            <v>6946/16</v>
          </cell>
          <cell r="B5888">
            <v>6946</v>
          </cell>
          <cell r="C5888">
            <v>45808</v>
          </cell>
          <cell r="D5888" t="str">
            <v>یونس صاحب</v>
          </cell>
          <cell r="E5888" t="str">
            <v>ایم ادریس سرگودھا</v>
          </cell>
        </row>
        <row r="5889">
          <cell r="A5889" t="str">
            <v>2300 J</v>
          </cell>
          <cell r="B5889">
            <v>12117</v>
          </cell>
          <cell r="C5889">
            <v>45790</v>
          </cell>
          <cell r="D5889" t="str">
            <v>JILANI</v>
          </cell>
          <cell r="E5889" t="str">
            <v>عثمان عارف بٹ گوجرانولہ</v>
          </cell>
        </row>
        <row r="5890">
          <cell r="A5890" t="str">
            <v>2301 J</v>
          </cell>
          <cell r="B5890">
            <v>12117</v>
          </cell>
          <cell r="C5890">
            <v>45790</v>
          </cell>
          <cell r="D5890" t="str">
            <v>JILANI</v>
          </cell>
          <cell r="E5890" t="str">
            <v>عثمان عارف بٹ گوجرانولہ</v>
          </cell>
        </row>
        <row r="5891">
          <cell r="A5891" t="str">
            <v>2302 J</v>
          </cell>
          <cell r="B5891">
            <v>12117</v>
          </cell>
          <cell r="C5891">
            <v>45790</v>
          </cell>
          <cell r="D5891" t="str">
            <v>JILANI</v>
          </cell>
          <cell r="E5891" t="str">
            <v>عثمان عارف بٹ گوجرانولہ</v>
          </cell>
        </row>
        <row r="5892">
          <cell r="A5892" t="str">
            <v>2303 J</v>
          </cell>
          <cell r="B5892">
            <v>12118</v>
          </cell>
          <cell r="C5892">
            <v>45790</v>
          </cell>
          <cell r="D5892" t="str">
            <v>JILANI</v>
          </cell>
          <cell r="E5892" t="str">
            <v>عثمان عارف بٹ گوجرانولہ</v>
          </cell>
        </row>
        <row r="5893">
          <cell r="A5893" t="str">
            <v>2304 J</v>
          </cell>
          <cell r="B5893">
            <v>12118</v>
          </cell>
          <cell r="C5893">
            <v>45790</v>
          </cell>
          <cell r="D5893" t="str">
            <v>JILANI</v>
          </cell>
          <cell r="E5893" t="str">
            <v>عثمان عارف بٹ گوجرانولہ</v>
          </cell>
        </row>
        <row r="5894">
          <cell r="A5894" t="str">
            <v>2305 J</v>
          </cell>
          <cell r="B5894">
            <v>12118</v>
          </cell>
          <cell r="C5894">
            <v>45790</v>
          </cell>
          <cell r="D5894" t="str">
            <v>JILANI</v>
          </cell>
          <cell r="E5894" t="str">
            <v>عثمان عارف بٹ گوجرانولہ</v>
          </cell>
        </row>
        <row r="5895">
          <cell r="A5895" t="str">
            <v>2306 J</v>
          </cell>
          <cell r="B5895">
            <v>12118</v>
          </cell>
          <cell r="C5895">
            <v>45790</v>
          </cell>
          <cell r="D5895" t="str">
            <v>JILANI</v>
          </cell>
          <cell r="E5895" t="str">
            <v>عثمان عارف بٹ گوجرانولہ</v>
          </cell>
        </row>
        <row r="5896">
          <cell r="A5896" t="str">
            <v>2307 J</v>
          </cell>
          <cell r="B5896">
            <v>12121</v>
          </cell>
          <cell r="C5896">
            <v>45790</v>
          </cell>
          <cell r="D5896" t="str">
            <v>JILANI</v>
          </cell>
          <cell r="E5896" t="str">
            <v>شفعی ٹیکسل</v>
          </cell>
        </row>
        <row r="5897">
          <cell r="A5897" t="str">
            <v>2308 J</v>
          </cell>
          <cell r="B5897">
            <v>12121</v>
          </cell>
          <cell r="C5897">
            <v>45790</v>
          </cell>
          <cell r="D5897" t="str">
            <v>JILANI</v>
          </cell>
          <cell r="E5897" t="str">
            <v>شفعی ٹیکسل</v>
          </cell>
        </row>
        <row r="5898">
          <cell r="A5898" t="str">
            <v>2309 J</v>
          </cell>
          <cell r="B5898">
            <v>12121</v>
          </cell>
          <cell r="C5898">
            <v>45790</v>
          </cell>
          <cell r="D5898" t="str">
            <v>JILANI</v>
          </cell>
          <cell r="E5898" t="str">
            <v>شفعی ٹیکسل</v>
          </cell>
        </row>
        <row r="5899">
          <cell r="A5899" t="str">
            <v>2310 J</v>
          </cell>
          <cell r="B5899">
            <v>12121</v>
          </cell>
          <cell r="C5899">
            <v>45790</v>
          </cell>
          <cell r="D5899" t="str">
            <v>JILANI</v>
          </cell>
          <cell r="E5899" t="str">
            <v>شفعی ٹیکسل</v>
          </cell>
        </row>
        <row r="5900">
          <cell r="A5900" t="str">
            <v>2311 J</v>
          </cell>
          <cell r="B5900">
            <v>12122</v>
          </cell>
          <cell r="C5900">
            <v>45790</v>
          </cell>
          <cell r="D5900" t="str">
            <v>JILANI</v>
          </cell>
          <cell r="E5900" t="str">
            <v>ہدایت خان پشاور</v>
          </cell>
        </row>
        <row r="5901">
          <cell r="A5901" t="str">
            <v>2312 J</v>
          </cell>
          <cell r="B5901">
            <v>12122</v>
          </cell>
          <cell r="C5901">
            <v>45790</v>
          </cell>
          <cell r="D5901" t="str">
            <v>JILANI</v>
          </cell>
          <cell r="E5901" t="str">
            <v>ہدایت خان پشاور</v>
          </cell>
        </row>
        <row r="5902">
          <cell r="A5902" t="str">
            <v>2313 J</v>
          </cell>
          <cell r="B5902">
            <v>12123</v>
          </cell>
          <cell r="C5902">
            <v>45790</v>
          </cell>
          <cell r="D5902" t="str">
            <v>JILANI</v>
          </cell>
          <cell r="E5902" t="str">
            <v>اصغر علی اعظم مارکیٹ لاہور</v>
          </cell>
        </row>
        <row r="5903">
          <cell r="A5903" t="str">
            <v>2314 J</v>
          </cell>
          <cell r="B5903">
            <v>12123</v>
          </cell>
          <cell r="C5903">
            <v>45790</v>
          </cell>
          <cell r="D5903" t="str">
            <v>JILANI</v>
          </cell>
          <cell r="E5903" t="str">
            <v>اصغر علی اعظم مارکیٹ لاہور</v>
          </cell>
        </row>
        <row r="5904">
          <cell r="A5904" t="str">
            <v>2315 J</v>
          </cell>
          <cell r="B5904">
            <v>12124</v>
          </cell>
          <cell r="C5904">
            <v>45790</v>
          </cell>
          <cell r="D5904" t="str">
            <v>JILANI</v>
          </cell>
          <cell r="E5904" t="str">
            <v>اٹلس ہنڈا لمیٹڈ کراچی</v>
          </cell>
        </row>
        <row r="5905">
          <cell r="A5905" t="str">
            <v>2316 J</v>
          </cell>
          <cell r="B5905">
            <v>561</v>
          </cell>
          <cell r="C5905">
            <v>45791</v>
          </cell>
          <cell r="D5905" t="str">
            <v>OTHER</v>
          </cell>
          <cell r="E5905" t="str">
            <v>جیلانی پولی سٹاک</v>
          </cell>
        </row>
        <row r="5906">
          <cell r="A5906" t="str">
            <v>2317 J</v>
          </cell>
          <cell r="B5906">
            <v>561</v>
          </cell>
          <cell r="C5906">
            <v>45791</v>
          </cell>
          <cell r="D5906" t="str">
            <v>OTHER</v>
          </cell>
          <cell r="E5906" t="str">
            <v>جیلانی پلاسٹک</v>
          </cell>
        </row>
        <row r="5907">
          <cell r="A5907" t="str">
            <v>2318 J</v>
          </cell>
          <cell r="B5907">
            <v>561</v>
          </cell>
          <cell r="C5907">
            <v>45791</v>
          </cell>
          <cell r="D5907" t="str">
            <v>OTHER</v>
          </cell>
          <cell r="E5907" t="str">
            <v>جیلانی پولی سٹاک</v>
          </cell>
        </row>
        <row r="5908">
          <cell r="A5908" t="str">
            <v>2319 J</v>
          </cell>
          <cell r="B5908">
            <v>12120</v>
          </cell>
          <cell r="C5908">
            <v>45790</v>
          </cell>
          <cell r="D5908" t="str">
            <v>JILANI</v>
          </cell>
          <cell r="E5908" t="str">
            <v>طارق کلاتھ ہاؤس لاہور</v>
          </cell>
        </row>
        <row r="5909">
          <cell r="A5909" t="str">
            <v>2320 J</v>
          </cell>
          <cell r="B5909">
            <v>12120</v>
          </cell>
          <cell r="C5909">
            <v>45790</v>
          </cell>
          <cell r="D5909" t="str">
            <v>JILANI</v>
          </cell>
          <cell r="E5909" t="str">
            <v>طارق کلاتھ ہاؤس لاہور</v>
          </cell>
        </row>
        <row r="5910">
          <cell r="A5910" t="str">
            <v>2321 J</v>
          </cell>
          <cell r="B5910">
            <v>12119</v>
          </cell>
          <cell r="C5910">
            <v>45790</v>
          </cell>
          <cell r="D5910" t="str">
            <v>JILANI</v>
          </cell>
          <cell r="E5910" t="str">
            <v>صوفی اقبال کلاتھ ہاؤس شکر گڑھ</v>
          </cell>
        </row>
        <row r="5911">
          <cell r="A5911" t="str">
            <v>2322 J</v>
          </cell>
          <cell r="B5911">
            <v>12166</v>
          </cell>
          <cell r="C5911">
            <v>45792</v>
          </cell>
          <cell r="D5911" t="str">
            <v>JILANI</v>
          </cell>
          <cell r="E5911" t="str">
            <v>لاہور ویسٹ مینجمنٹ کمپنی</v>
          </cell>
        </row>
        <row r="5912">
          <cell r="A5912" t="str">
            <v>2323 J</v>
          </cell>
          <cell r="B5912">
            <v>12146</v>
          </cell>
          <cell r="C5912">
            <v>45791</v>
          </cell>
          <cell r="D5912" t="str">
            <v>JILANI</v>
          </cell>
          <cell r="E5912" t="str">
            <v>لاہور ویسٹ مینجمنٹ کمپنی</v>
          </cell>
        </row>
        <row r="5913">
          <cell r="A5913" t="str">
            <v>2324 J</v>
          </cell>
          <cell r="B5913">
            <v>12125</v>
          </cell>
          <cell r="C5913">
            <v>45791</v>
          </cell>
          <cell r="D5913" t="str">
            <v>JILANI</v>
          </cell>
          <cell r="E5913" t="str">
            <v>بادشاہ کمپیوٹر گجراونالہ</v>
          </cell>
        </row>
        <row r="5914">
          <cell r="A5914" t="str">
            <v>2325 J</v>
          </cell>
          <cell r="B5914">
            <v>12126</v>
          </cell>
          <cell r="C5914">
            <v>45791</v>
          </cell>
          <cell r="D5914" t="str">
            <v>JILANI</v>
          </cell>
          <cell r="E5914" t="str">
            <v>پاک سویٹس خانکاہ ڈوگراں</v>
          </cell>
        </row>
        <row r="5915">
          <cell r="A5915" t="str">
            <v>2326 J</v>
          </cell>
          <cell r="B5915">
            <v>12126</v>
          </cell>
          <cell r="C5915">
            <v>45791</v>
          </cell>
          <cell r="D5915" t="str">
            <v>JILANI</v>
          </cell>
          <cell r="E5915" t="str">
            <v>پاک سویٹس خانکاہ ڈوگراں</v>
          </cell>
        </row>
        <row r="5916">
          <cell r="A5916" t="str">
            <v>2327 J</v>
          </cell>
          <cell r="B5916">
            <v>12126</v>
          </cell>
          <cell r="C5916">
            <v>45791</v>
          </cell>
          <cell r="D5916" t="str">
            <v>JILANI</v>
          </cell>
          <cell r="E5916" t="str">
            <v>پاک سویٹس خانکاہ ڈوگراں</v>
          </cell>
        </row>
        <row r="5917">
          <cell r="A5917" t="str">
            <v>2328 J</v>
          </cell>
          <cell r="B5917">
            <v>12127</v>
          </cell>
          <cell r="C5917">
            <v>45791</v>
          </cell>
          <cell r="D5917" t="str">
            <v>JILANI</v>
          </cell>
          <cell r="E5917" t="str">
            <v>سکائی پیک شجاع راولپنڈی</v>
          </cell>
        </row>
        <row r="5918">
          <cell r="A5918" t="str">
            <v>2329 J</v>
          </cell>
          <cell r="B5918">
            <v>12127</v>
          </cell>
          <cell r="C5918">
            <v>45791</v>
          </cell>
          <cell r="D5918" t="str">
            <v>JILANI</v>
          </cell>
          <cell r="E5918" t="str">
            <v>سکائی پیک شجاع راولپنڈی</v>
          </cell>
        </row>
        <row r="5919">
          <cell r="A5919" t="str">
            <v>2330 J</v>
          </cell>
          <cell r="B5919">
            <v>12128</v>
          </cell>
          <cell r="C5919">
            <v>45791</v>
          </cell>
          <cell r="D5919" t="str">
            <v>JILANI</v>
          </cell>
          <cell r="E5919" t="str">
            <v>احسان کاٹن پراڈکٹس</v>
          </cell>
        </row>
        <row r="5920">
          <cell r="A5920" t="str">
            <v>2331 J</v>
          </cell>
          <cell r="B5920">
            <v>12129</v>
          </cell>
          <cell r="C5920">
            <v>45791</v>
          </cell>
          <cell r="D5920" t="str">
            <v>JILANI</v>
          </cell>
          <cell r="E5920" t="str">
            <v>تکبیر ایگروگوجرانوالہ کئیر آف آصف اقبال</v>
          </cell>
        </row>
        <row r="5921">
          <cell r="A5921" t="str">
            <v>2332 J</v>
          </cell>
          <cell r="B5921">
            <v>12130</v>
          </cell>
          <cell r="C5921">
            <v>45791</v>
          </cell>
          <cell r="D5921" t="str">
            <v>JILANI</v>
          </cell>
          <cell r="E5921" t="str">
            <v>عالم پرنٹرز بٹ خیلہ</v>
          </cell>
        </row>
        <row r="5922">
          <cell r="A5922" t="str">
            <v>2333 J</v>
          </cell>
          <cell r="B5922">
            <v>12131</v>
          </cell>
          <cell r="C5922">
            <v>45791</v>
          </cell>
          <cell r="D5922" t="str">
            <v>JILANI</v>
          </cell>
          <cell r="E5922" t="str">
            <v>فاروق ٹیکسٹائل لاہور</v>
          </cell>
        </row>
        <row r="5923">
          <cell r="A5923" t="str">
            <v>2334 J</v>
          </cell>
          <cell r="B5923">
            <v>12132</v>
          </cell>
          <cell r="C5923">
            <v>45791</v>
          </cell>
          <cell r="D5923" t="str">
            <v>JILANI</v>
          </cell>
          <cell r="E5923" t="str">
            <v>فاروق ٹیکسٹائل لاہور</v>
          </cell>
        </row>
        <row r="5924">
          <cell r="A5924" t="str">
            <v>2335 J</v>
          </cell>
          <cell r="B5924">
            <v>12133</v>
          </cell>
          <cell r="C5924">
            <v>45791</v>
          </cell>
          <cell r="D5924" t="str">
            <v>JILANI</v>
          </cell>
          <cell r="E5924" t="str">
            <v>فاروق ٹیکسٹائل لاہور</v>
          </cell>
        </row>
        <row r="5925">
          <cell r="A5925" t="str">
            <v>2336 J</v>
          </cell>
          <cell r="B5925">
            <v>12134</v>
          </cell>
          <cell r="C5925">
            <v>45791</v>
          </cell>
          <cell r="D5925" t="str">
            <v>JILANI</v>
          </cell>
          <cell r="E5925" t="str">
            <v>افنان پرنٹنگ پریس بٹ خیلہ</v>
          </cell>
        </row>
        <row r="5926">
          <cell r="A5926" t="str">
            <v>2337 J</v>
          </cell>
          <cell r="B5926">
            <v>12134</v>
          </cell>
          <cell r="C5926">
            <v>45791</v>
          </cell>
          <cell r="D5926" t="str">
            <v>JILANI</v>
          </cell>
          <cell r="E5926" t="str">
            <v>افنان پرنٹنگ پریس بٹ خیلہ</v>
          </cell>
        </row>
        <row r="5927">
          <cell r="A5927" t="str">
            <v>2338 J</v>
          </cell>
          <cell r="B5927">
            <v>12135</v>
          </cell>
          <cell r="C5927">
            <v>45791</v>
          </cell>
          <cell r="D5927" t="str">
            <v>JILANI</v>
          </cell>
          <cell r="E5927" t="str">
            <v>افنان پرنٹنگ پریس بٹ خیلہ</v>
          </cell>
        </row>
        <row r="5928">
          <cell r="A5928" t="str">
            <v>2339 J</v>
          </cell>
          <cell r="B5928">
            <v>12136</v>
          </cell>
          <cell r="C5928">
            <v>45791</v>
          </cell>
          <cell r="D5928" t="str">
            <v>JILANI</v>
          </cell>
          <cell r="E5928" t="str">
            <v>عالم پرنٹرز بٹ خیلہ</v>
          </cell>
        </row>
        <row r="5929">
          <cell r="A5929" t="str">
            <v>2340 J</v>
          </cell>
          <cell r="B5929">
            <v>12136</v>
          </cell>
          <cell r="C5929">
            <v>45791</v>
          </cell>
          <cell r="D5929" t="str">
            <v>JILANI</v>
          </cell>
          <cell r="E5929" t="str">
            <v>عالم پرنٹرز بٹ خیلہ</v>
          </cell>
        </row>
        <row r="5930">
          <cell r="A5930" t="str">
            <v>2341 J</v>
          </cell>
          <cell r="B5930">
            <v>12137</v>
          </cell>
          <cell r="C5930">
            <v>45791</v>
          </cell>
          <cell r="D5930" t="str">
            <v>JILANI</v>
          </cell>
          <cell r="E5930" t="str">
            <v>نیو رائل سویٹس اینڈ بیکرز کوہاٹ</v>
          </cell>
        </row>
        <row r="5931">
          <cell r="A5931" t="str">
            <v>2342 J</v>
          </cell>
          <cell r="B5931">
            <v>12137</v>
          </cell>
          <cell r="C5931">
            <v>45791</v>
          </cell>
          <cell r="D5931" t="str">
            <v>JILANI</v>
          </cell>
          <cell r="E5931" t="str">
            <v>نیو رائل سویٹس اینڈ بیکرز کوہاٹ</v>
          </cell>
        </row>
        <row r="5932">
          <cell r="A5932" t="str">
            <v>2343 J</v>
          </cell>
          <cell r="B5932">
            <v>12137</v>
          </cell>
          <cell r="C5932">
            <v>45791</v>
          </cell>
          <cell r="D5932" t="str">
            <v>JILANI</v>
          </cell>
          <cell r="E5932" t="str">
            <v>نیو رائل سویٹس اینڈ بیکرز کوہاٹ</v>
          </cell>
        </row>
        <row r="5933">
          <cell r="A5933" t="str">
            <v>2344 J</v>
          </cell>
          <cell r="B5933">
            <v>12138</v>
          </cell>
          <cell r="C5933">
            <v>45791</v>
          </cell>
          <cell r="D5933" t="str">
            <v>JILANI</v>
          </cell>
          <cell r="E5933" t="str">
            <v>عثمان کلاتھ ہاؤس چیچہ وطنی</v>
          </cell>
        </row>
        <row r="5934">
          <cell r="A5934" t="str">
            <v>2345 J</v>
          </cell>
          <cell r="B5934">
            <v>12139</v>
          </cell>
          <cell r="C5934">
            <v>45791</v>
          </cell>
          <cell r="D5934" t="str">
            <v>JILANI</v>
          </cell>
          <cell r="E5934" t="str">
            <v>عالم پرنٹرز بٹ خیلہ</v>
          </cell>
        </row>
        <row r="5935">
          <cell r="A5935" t="str">
            <v>2346 J</v>
          </cell>
          <cell r="B5935">
            <v>12139</v>
          </cell>
          <cell r="C5935">
            <v>45791</v>
          </cell>
          <cell r="D5935" t="str">
            <v>JILANI</v>
          </cell>
          <cell r="E5935" t="str">
            <v>عالم پرنٹرز بٹ خیلہ</v>
          </cell>
        </row>
        <row r="5936">
          <cell r="A5936" t="str">
            <v>2347 J</v>
          </cell>
          <cell r="B5936">
            <v>12139</v>
          </cell>
          <cell r="C5936">
            <v>45791</v>
          </cell>
          <cell r="D5936" t="str">
            <v>JILANI</v>
          </cell>
          <cell r="E5936" t="str">
            <v>عالم پرنٹرز بٹ خیلہ</v>
          </cell>
        </row>
        <row r="5937">
          <cell r="A5937" t="str">
            <v>2348 J</v>
          </cell>
          <cell r="B5937">
            <v>12140</v>
          </cell>
          <cell r="C5937">
            <v>45791</v>
          </cell>
          <cell r="D5937" t="str">
            <v>JILANI</v>
          </cell>
          <cell r="E5937" t="str">
            <v>نظر قمر پلاسٹک C/Oصابر پلاسٹک شاہدرہ</v>
          </cell>
        </row>
        <row r="5938">
          <cell r="A5938" t="str">
            <v>2349 J</v>
          </cell>
          <cell r="B5938">
            <v>12140</v>
          </cell>
          <cell r="C5938">
            <v>45791</v>
          </cell>
          <cell r="D5938" t="str">
            <v>JILANI</v>
          </cell>
          <cell r="E5938" t="str">
            <v>نظر قمر پلاسٹک C/Oصابر پلاسٹک شاہدرہ</v>
          </cell>
        </row>
        <row r="5939">
          <cell r="A5939" t="str">
            <v>2350 J</v>
          </cell>
          <cell r="B5939">
            <v>12140</v>
          </cell>
          <cell r="C5939">
            <v>45791</v>
          </cell>
          <cell r="D5939" t="str">
            <v>JILANI</v>
          </cell>
          <cell r="E5939" t="str">
            <v>نظر قمر پلاسٹک C/Oصابر پلاسٹک شاہدرہ</v>
          </cell>
        </row>
        <row r="5940">
          <cell r="A5940" t="str">
            <v>2351 J</v>
          </cell>
          <cell r="B5940">
            <v>12141</v>
          </cell>
          <cell r="C5940">
            <v>45791</v>
          </cell>
          <cell r="D5940" t="str">
            <v>JILANI</v>
          </cell>
          <cell r="E5940" t="str">
            <v>سپر یونیفارم شاپ لاہور</v>
          </cell>
        </row>
        <row r="5941">
          <cell r="A5941" t="str">
            <v>2352 J</v>
          </cell>
          <cell r="B5941">
            <v>12141</v>
          </cell>
          <cell r="C5941">
            <v>45791</v>
          </cell>
          <cell r="D5941" t="str">
            <v>JILANI</v>
          </cell>
          <cell r="E5941" t="str">
            <v>سپر یونیفارم شاپ لاہور</v>
          </cell>
        </row>
        <row r="5942">
          <cell r="A5942" t="str">
            <v>2353 J</v>
          </cell>
          <cell r="B5942">
            <v>12141</v>
          </cell>
          <cell r="C5942">
            <v>45791</v>
          </cell>
          <cell r="D5942" t="str">
            <v>JILANI</v>
          </cell>
          <cell r="E5942" t="str">
            <v>سپر یونیفارم شاپ لاہور</v>
          </cell>
        </row>
        <row r="5943">
          <cell r="A5943" t="str">
            <v>2354 J</v>
          </cell>
          <cell r="B5943">
            <v>12141</v>
          </cell>
          <cell r="C5943">
            <v>45791</v>
          </cell>
          <cell r="D5943" t="str">
            <v>JILANI</v>
          </cell>
          <cell r="E5943" t="str">
            <v>سپر یونیفارم شاپ لاہور</v>
          </cell>
        </row>
        <row r="5944">
          <cell r="A5944" t="str">
            <v>2355 J</v>
          </cell>
          <cell r="B5944">
            <v>12142</v>
          </cell>
          <cell r="C5944">
            <v>45791</v>
          </cell>
          <cell r="D5944" t="str">
            <v>JILANI</v>
          </cell>
          <cell r="E5944" t="str">
            <v>فینسی گارمنٹس کامونکی</v>
          </cell>
        </row>
        <row r="5945">
          <cell r="A5945" t="str">
            <v>2356 J</v>
          </cell>
          <cell r="B5945">
            <v>12143</v>
          </cell>
          <cell r="C5945">
            <v>45791</v>
          </cell>
          <cell r="D5945" t="str">
            <v>JILANI</v>
          </cell>
          <cell r="E5945" t="str">
            <v>فینسی گارمنٹس کامونکی</v>
          </cell>
        </row>
        <row r="5946">
          <cell r="A5946" t="str">
            <v>2357 J</v>
          </cell>
          <cell r="B5946">
            <v>12144</v>
          </cell>
          <cell r="C5946">
            <v>45791</v>
          </cell>
          <cell r="D5946" t="str">
            <v>JILANI</v>
          </cell>
          <cell r="E5946" t="str">
            <v>فینسی گارمنٹس کامونکی</v>
          </cell>
        </row>
        <row r="5947">
          <cell r="A5947" t="str">
            <v>2358 J</v>
          </cell>
          <cell r="B5947">
            <v>12144</v>
          </cell>
          <cell r="C5947">
            <v>45791</v>
          </cell>
          <cell r="D5947" t="str">
            <v>JILANI</v>
          </cell>
          <cell r="E5947" t="str">
            <v>فینسی گارمنٹس کامونکی</v>
          </cell>
        </row>
        <row r="5948">
          <cell r="A5948" t="str">
            <v>2359 J</v>
          </cell>
          <cell r="B5948">
            <v>12144</v>
          </cell>
          <cell r="C5948">
            <v>45791</v>
          </cell>
          <cell r="D5948" t="str">
            <v>JILANI</v>
          </cell>
          <cell r="E5948" t="str">
            <v>فینسی گارمنٹس کامونکی</v>
          </cell>
        </row>
        <row r="5949">
          <cell r="A5949" t="str">
            <v>2360 J</v>
          </cell>
          <cell r="B5949">
            <v>12145</v>
          </cell>
          <cell r="C5949">
            <v>45791</v>
          </cell>
          <cell r="D5949" t="str">
            <v>JILANI</v>
          </cell>
          <cell r="E5949" t="str">
            <v>فینسی گارمنٹس کامونکی</v>
          </cell>
        </row>
        <row r="5950">
          <cell r="A5950" t="str">
            <v>2361 J</v>
          </cell>
          <cell r="B5950">
            <v>12145</v>
          </cell>
          <cell r="C5950">
            <v>45791</v>
          </cell>
          <cell r="D5950" t="str">
            <v>JILANI</v>
          </cell>
          <cell r="E5950" t="str">
            <v>فینسی گارمنٹس کامونکی</v>
          </cell>
        </row>
        <row r="5951">
          <cell r="A5951" t="str">
            <v>2362 J</v>
          </cell>
          <cell r="B5951">
            <v>12145</v>
          </cell>
          <cell r="C5951">
            <v>45791</v>
          </cell>
          <cell r="D5951" t="str">
            <v>JILANI</v>
          </cell>
          <cell r="E5951" t="str">
            <v>فینسی گارمنٹس کامونکی</v>
          </cell>
        </row>
        <row r="5952">
          <cell r="A5952" t="str">
            <v>2363 J</v>
          </cell>
          <cell r="B5952">
            <v>12145</v>
          </cell>
          <cell r="C5952">
            <v>45791</v>
          </cell>
          <cell r="D5952" t="str">
            <v>JILANI</v>
          </cell>
          <cell r="E5952" t="str">
            <v>فینسی گارمنٹس کامونکی</v>
          </cell>
        </row>
        <row r="5953">
          <cell r="A5953" t="str">
            <v>2364 J</v>
          </cell>
          <cell r="B5953">
            <v>12147</v>
          </cell>
          <cell r="C5953">
            <v>45791</v>
          </cell>
          <cell r="D5953" t="str">
            <v>JILANI</v>
          </cell>
          <cell r="E5953" t="str">
            <v>شیخ اقبال کلاتھ اینڈ بوتیک سنٹر لاہور</v>
          </cell>
        </row>
        <row r="5954">
          <cell r="A5954" t="str">
            <v>2365 J</v>
          </cell>
          <cell r="B5954">
            <v>12147</v>
          </cell>
          <cell r="C5954">
            <v>45791</v>
          </cell>
          <cell r="D5954" t="str">
            <v>JILANI</v>
          </cell>
          <cell r="E5954" t="str">
            <v>شیخ اقبال کلاتھ اینڈ بوتیک سنٹر لاہور</v>
          </cell>
        </row>
        <row r="5955">
          <cell r="A5955" t="str">
            <v>2366 J</v>
          </cell>
          <cell r="B5955">
            <v>12148</v>
          </cell>
          <cell r="C5955">
            <v>45791</v>
          </cell>
          <cell r="D5955" t="str">
            <v>JILANI</v>
          </cell>
          <cell r="E5955" t="str">
            <v>شیخ اقبال کلاتھ اینڈ بوتیک سنٹر لاہور</v>
          </cell>
        </row>
        <row r="5956">
          <cell r="A5956" t="str">
            <v>2367 J</v>
          </cell>
          <cell r="B5956">
            <v>12148</v>
          </cell>
          <cell r="C5956">
            <v>45791</v>
          </cell>
          <cell r="D5956" t="str">
            <v>JILANI</v>
          </cell>
          <cell r="E5956" t="str">
            <v>شیخ اقبال کلاتھ اینڈ بوتیک سنٹر لاہور</v>
          </cell>
        </row>
        <row r="5957">
          <cell r="A5957" t="str">
            <v>2368 J</v>
          </cell>
          <cell r="B5957">
            <v>12149</v>
          </cell>
          <cell r="C5957">
            <v>45791</v>
          </cell>
          <cell r="D5957" t="str">
            <v>JILANI</v>
          </cell>
          <cell r="E5957" t="str">
            <v>زاہد منظور لاہور</v>
          </cell>
        </row>
        <row r="5958">
          <cell r="A5958" t="str">
            <v>2369 J</v>
          </cell>
          <cell r="B5958">
            <v>12149</v>
          </cell>
          <cell r="C5958">
            <v>45791</v>
          </cell>
          <cell r="D5958" t="str">
            <v>JILANI</v>
          </cell>
          <cell r="E5958" t="str">
            <v>زاہد منظور لاہور</v>
          </cell>
        </row>
        <row r="5959">
          <cell r="A5959" t="str">
            <v>2370 J</v>
          </cell>
          <cell r="B5959">
            <v>12149</v>
          </cell>
          <cell r="C5959">
            <v>45791</v>
          </cell>
          <cell r="D5959" t="str">
            <v>JILANI</v>
          </cell>
          <cell r="E5959" t="str">
            <v>زاہد منظور لاہور</v>
          </cell>
        </row>
        <row r="5960">
          <cell r="A5960" t="str">
            <v>2371 J</v>
          </cell>
          <cell r="B5960">
            <v>12150</v>
          </cell>
          <cell r="C5960">
            <v>45791</v>
          </cell>
          <cell r="D5960" t="str">
            <v>JILANI</v>
          </cell>
          <cell r="E5960" t="str">
            <v>اے کے اينڈ ايچ بی سی او لاہور</v>
          </cell>
        </row>
        <row r="5961">
          <cell r="A5961" t="str">
            <v>2372 J</v>
          </cell>
          <cell r="B5961">
            <v>12151</v>
          </cell>
          <cell r="C5961">
            <v>45791</v>
          </cell>
          <cell r="D5961" t="str">
            <v>JILANI</v>
          </cell>
          <cell r="E5961" t="str">
            <v>اے کے اينڈ ايچ بی سی او لاہور</v>
          </cell>
        </row>
        <row r="5962">
          <cell r="A5962" t="str">
            <v>2373 J</v>
          </cell>
          <cell r="B5962">
            <v>12152</v>
          </cell>
          <cell r="C5962">
            <v>45791</v>
          </cell>
          <cell r="D5962" t="str">
            <v>JILANI</v>
          </cell>
          <cell r="E5962" t="str">
            <v>عالم پرنٹرز بٹ خیلہ</v>
          </cell>
        </row>
        <row r="5963">
          <cell r="A5963" t="str">
            <v>2374 J</v>
          </cell>
          <cell r="B5963">
            <v>12153</v>
          </cell>
          <cell r="C5963">
            <v>45791</v>
          </cell>
          <cell r="D5963" t="str">
            <v>JILANI</v>
          </cell>
          <cell r="E5963" t="str">
            <v>می اینڈ مائن پشاور</v>
          </cell>
        </row>
        <row r="5964">
          <cell r="A5964" t="str">
            <v>2375 J</v>
          </cell>
          <cell r="B5964">
            <v>561</v>
          </cell>
          <cell r="C5964">
            <v>45793</v>
          </cell>
          <cell r="D5964" t="str">
            <v>OTHER</v>
          </cell>
          <cell r="E5964" t="str">
            <v>جیلانی پولی سٹاک</v>
          </cell>
        </row>
        <row r="5965">
          <cell r="A5965" t="str">
            <v>2376 J</v>
          </cell>
          <cell r="B5965">
            <v>561</v>
          </cell>
          <cell r="C5965">
            <v>45793</v>
          </cell>
          <cell r="D5965" t="str">
            <v>OTHER</v>
          </cell>
          <cell r="E5965" t="str">
            <v>جیلانی پولی سٹاک</v>
          </cell>
        </row>
        <row r="5966">
          <cell r="A5966" t="str">
            <v>2377 J</v>
          </cell>
          <cell r="B5966">
            <v>12154</v>
          </cell>
          <cell r="C5966">
            <v>45792</v>
          </cell>
          <cell r="D5966" t="str">
            <v>JILANI</v>
          </cell>
          <cell r="E5966" t="str">
            <v>امارات پلاسٹک ٹھوکر نیاز بیگ</v>
          </cell>
        </row>
        <row r="5967">
          <cell r="A5967" t="str">
            <v>2378 J</v>
          </cell>
          <cell r="B5967">
            <v>12154</v>
          </cell>
          <cell r="C5967">
            <v>45792</v>
          </cell>
          <cell r="D5967" t="str">
            <v>JILANI</v>
          </cell>
          <cell r="E5967" t="str">
            <v>امارات پلاسٹک ٹھوکر نیاز بیگ</v>
          </cell>
        </row>
        <row r="5968">
          <cell r="A5968" t="str">
            <v>2379 J</v>
          </cell>
          <cell r="B5968">
            <v>12155</v>
          </cell>
          <cell r="C5968">
            <v>45792</v>
          </cell>
          <cell r="D5968" t="str">
            <v>JILANI</v>
          </cell>
          <cell r="E5968" t="str">
            <v>عثمان عارف بٹ گوجرانولہ</v>
          </cell>
        </row>
        <row r="5969">
          <cell r="A5969" t="str">
            <v>2380 J</v>
          </cell>
          <cell r="B5969">
            <v>12155</v>
          </cell>
          <cell r="C5969">
            <v>45792</v>
          </cell>
          <cell r="D5969" t="str">
            <v>JILANI</v>
          </cell>
          <cell r="E5969" t="str">
            <v>عثمان عارف بٹ گوجرانولہ</v>
          </cell>
        </row>
        <row r="5970">
          <cell r="A5970" t="str">
            <v>2381 J</v>
          </cell>
          <cell r="B5970">
            <v>12155</v>
          </cell>
          <cell r="C5970">
            <v>45792</v>
          </cell>
          <cell r="D5970" t="str">
            <v>JILANI</v>
          </cell>
          <cell r="E5970" t="str">
            <v>عثمان عارف بٹ گوجرانولہ</v>
          </cell>
        </row>
        <row r="5971">
          <cell r="A5971" t="str">
            <v>2382 J</v>
          </cell>
          <cell r="B5971">
            <v>12155</v>
          </cell>
          <cell r="C5971">
            <v>45792</v>
          </cell>
          <cell r="D5971" t="str">
            <v>JILANI</v>
          </cell>
          <cell r="E5971" t="str">
            <v>عثمان عارف بٹ گوجرانولہ</v>
          </cell>
        </row>
        <row r="5972">
          <cell r="A5972" t="str">
            <v>2383 J</v>
          </cell>
          <cell r="B5972">
            <v>12156</v>
          </cell>
          <cell r="C5972">
            <v>45792</v>
          </cell>
          <cell r="D5972" t="str">
            <v>JILANI</v>
          </cell>
          <cell r="E5972" t="str">
            <v>عثمان عارف بٹ گوجرانولہ</v>
          </cell>
        </row>
        <row r="5973">
          <cell r="A5973" t="str">
            <v>2384 J</v>
          </cell>
          <cell r="B5973">
            <v>12156</v>
          </cell>
          <cell r="C5973">
            <v>45792</v>
          </cell>
          <cell r="D5973" t="str">
            <v>JILANI</v>
          </cell>
          <cell r="E5973" t="str">
            <v>عثمان عارف بٹ گوجرانولہ</v>
          </cell>
        </row>
        <row r="5974">
          <cell r="A5974" t="str">
            <v>2385 J</v>
          </cell>
          <cell r="B5974">
            <v>12156</v>
          </cell>
          <cell r="C5974">
            <v>45792</v>
          </cell>
          <cell r="D5974" t="str">
            <v>JILANI</v>
          </cell>
          <cell r="E5974" t="str">
            <v>عثمان عارف بٹ گوجرانولہ</v>
          </cell>
        </row>
        <row r="5975">
          <cell r="A5975" t="str">
            <v>2386 J</v>
          </cell>
          <cell r="B5975">
            <v>12156</v>
          </cell>
          <cell r="C5975">
            <v>45792</v>
          </cell>
          <cell r="D5975" t="str">
            <v>JILANI</v>
          </cell>
          <cell r="E5975" t="str">
            <v>عثمان عارف بٹ گوجرانولہ</v>
          </cell>
        </row>
        <row r="5976">
          <cell r="A5976" t="str">
            <v>2387 J</v>
          </cell>
          <cell r="B5976">
            <v>12157</v>
          </cell>
          <cell r="C5976">
            <v>45792</v>
          </cell>
          <cell r="D5976" t="str">
            <v>JILANI</v>
          </cell>
          <cell r="E5976" t="str">
            <v>عثمان عارف بٹ گوجرانولہ</v>
          </cell>
        </row>
        <row r="5977">
          <cell r="A5977" t="str">
            <v>2388 J</v>
          </cell>
          <cell r="B5977">
            <v>12157</v>
          </cell>
          <cell r="C5977">
            <v>45792</v>
          </cell>
          <cell r="D5977" t="str">
            <v>JILANI</v>
          </cell>
          <cell r="E5977" t="str">
            <v>عثمان عارف بٹ گوجرانولہ</v>
          </cell>
        </row>
        <row r="5978">
          <cell r="A5978" t="str">
            <v>2389 J</v>
          </cell>
          <cell r="B5978">
            <v>12157</v>
          </cell>
          <cell r="C5978">
            <v>45792</v>
          </cell>
          <cell r="D5978" t="str">
            <v>JILANI</v>
          </cell>
          <cell r="E5978" t="str">
            <v>عثمان عارف بٹ گوجرانولہ</v>
          </cell>
        </row>
        <row r="5979">
          <cell r="A5979" t="str">
            <v>2390 J</v>
          </cell>
          <cell r="B5979">
            <v>12157</v>
          </cell>
          <cell r="C5979">
            <v>45792</v>
          </cell>
          <cell r="D5979" t="str">
            <v>JILANI</v>
          </cell>
          <cell r="E5979" t="str">
            <v>عثمان عارف بٹ گوجرانولہ</v>
          </cell>
        </row>
        <row r="5980">
          <cell r="A5980" t="str">
            <v>2391 J</v>
          </cell>
          <cell r="B5980">
            <v>12158</v>
          </cell>
          <cell r="C5980">
            <v>45792</v>
          </cell>
          <cell r="D5980" t="str">
            <v>JILANI</v>
          </cell>
          <cell r="E5980" t="str">
            <v>مغل پلاسٹک سٹور لیہ</v>
          </cell>
        </row>
        <row r="5981">
          <cell r="A5981" t="str">
            <v>2392 J</v>
          </cell>
          <cell r="B5981">
            <v>12159</v>
          </cell>
          <cell r="C5981">
            <v>45792</v>
          </cell>
          <cell r="D5981" t="str">
            <v>JILANI</v>
          </cell>
          <cell r="E5981" t="str">
            <v>علی سویٹس اینڈ بیکرز رحیم یار خان</v>
          </cell>
        </row>
        <row r="5982">
          <cell r="A5982" t="str">
            <v>2393 J</v>
          </cell>
          <cell r="B5982">
            <v>12160</v>
          </cell>
          <cell r="C5982">
            <v>45792</v>
          </cell>
          <cell r="D5982" t="str">
            <v>JILANI</v>
          </cell>
          <cell r="E5982" t="str">
            <v>عالم بیکرز حافظ آباد</v>
          </cell>
        </row>
        <row r="5983">
          <cell r="A5983" t="str">
            <v>2394 J</v>
          </cell>
          <cell r="B5983">
            <v>12160</v>
          </cell>
          <cell r="C5983">
            <v>45792</v>
          </cell>
          <cell r="D5983" t="str">
            <v>JILANI</v>
          </cell>
          <cell r="E5983" t="str">
            <v>عالم بیکرز حافظ آباد</v>
          </cell>
        </row>
        <row r="5984">
          <cell r="A5984" t="str">
            <v>2395 J</v>
          </cell>
          <cell r="B5984">
            <v>12161</v>
          </cell>
          <cell r="C5984">
            <v>45792</v>
          </cell>
          <cell r="D5984" t="str">
            <v>JILANI</v>
          </cell>
          <cell r="E5984" t="str">
            <v>عالم پرنٹرز بٹ خیلہ</v>
          </cell>
        </row>
        <row r="5985">
          <cell r="A5985" t="str">
            <v>2396 J</v>
          </cell>
          <cell r="B5985">
            <v>12162</v>
          </cell>
          <cell r="C5985">
            <v>45792</v>
          </cell>
          <cell r="D5985" t="str">
            <v>JILANI</v>
          </cell>
          <cell r="E5985" t="str">
            <v>آوٹ کلاس اینڈ ومن کڈزلاہور</v>
          </cell>
        </row>
        <row r="5986">
          <cell r="A5986" t="str">
            <v>2397 J</v>
          </cell>
          <cell r="B5986">
            <v>12163</v>
          </cell>
          <cell r="C5986">
            <v>45792</v>
          </cell>
          <cell r="D5986" t="str">
            <v>JILANI</v>
          </cell>
          <cell r="E5986" t="str">
            <v>زبیر شاہ لاہور</v>
          </cell>
        </row>
        <row r="5987">
          <cell r="A5987" t="str">
            <v>2398 J</v>
          </cell>
          <cell r="B5987">
            <v>12164</v>
          </cell>
          <cell r="C5987">
            <v>45792</v>
          </cell>
          <cell r="D5987" t="str">
            <v>JILANI</v>
          </cell>
          <cell r="E5987" t="str">
            <v>ہیڈ آفس لاہور</v>
          </cell>
        </row>
        <row r="5988">
          <cell r="A5988" t="str">
            <v>2399 J</v>
          </cell>
          <cell r="B5988">
            <v>12164</v>
          </cell>
          <cell r="C5988">
            <v>45792</v>
          </cell>
          <cell r="D5988" t="str">
            <v>JILANI</v>
          </cell>
          <cell r="E5988" t="str">
            <v>ہیڈ آفس لاہور</v>
          </cell>
        </row>
        <row r="5989">
          <cell r="A5989" t="str">
            <v>2400 J</v>
          </cell>
          <cell r="B5989">
            <v>12165</v>
          </cell>
          <cell r="C5989">
            <v>45792</v>
          </cell>
          <cell r="D5989" t="str">
            <v>JILANI</v>
          </cell>
          <cell r="E5989" t="str">
            <v>لکی کلاتھ ہاؤس لیہ</v>
          </cell>
        </row>
        <row r="5990">
          <cell r="A5990" t="str">
            <v>2401 J</v>
          </cell>
          <cell r="B5990">
            <v>12167</v>
          </cell>
          <cell r="C5990">
            <v>45792</v>
          </cell>
          <cell r="D5990" t="str">
            <v>JILANI</v>
          </cell>
          <cell r="E5990" t="str">
            <v>طیب بریانی شوارما لاہور</v>
          </cell>
        </row>
        <row r="5991">
          <cell r="A5991" t="str">
            <v>2402 J</v>
          </cell>
          <cell r="B5991">
            <v>12167</v>
          </cell>
          <cell r="C5991">
            <v>45792</v>
          </cell>
          <cell r="D5991" t="str">
            <v>JILANI</v>
          </cell>
          <cell r="E5991" t="str">
            <v>طیب بریانی شوارما لاہور</v>
          </cell>
        </row>
        <row r="5992">
          <cell r="A5992" t="str">
            <v>2403 J</v>
          </cell>
          <cell r="B5992">
            <v>12168</v>
          </cell>
          <cell r="C5992">
            <v>45792</v>
          </cell>
          <cell r="D5992" t="str">
            <v>JILANI</v>
          </cell>
          <cell r="E5992" t="str">
            <v>خواجہ واچ سنٹر لاہور</v>
          </cell>
        </row>
        <row r="5993">
          <cell r="A5993" t="str">
            <v>2404 J</v>
          </cell>
          <cell r="B5993">
            <v>12169</v>
          </cell>
          <cell r="C5993">
            <v>45792</v>
          </cell>
          <cell r="D5993" t="str">
            <v>JILANI</v>
          </cell>
          <cell r="E5993" t="str">
            <v>ابراہیم فلٹر انڈسٹری(SMC.PVT.LTD)</v>
          </cell>
        </row>
        <row r="5994">
          <cell r="A5994" t="str">
            <v>2405 J</v>
          </cell>
          <cell r="B5994">
            <v>12170</v>
          </cell>
          <cell r="C5994">
            <v>45792</v>
          </cell>
          <cell r="D5994" t="str">
            <v>JILANI</v>
          </cell>
          <cell r="E5994" t="str">
            <v>شیخ سویٹس منڈی فیض آباد</v>
          </cell>
        </row>
        <row r="5995">
          <cell r="A5995" t="str">
            <v>2406 J</v>
          </cell>
          <cell r="B5995">
            <v>12170</v>
          </cell>
          <cell r="C5995">
            <v>45792</v>
          </cell>
          <cell r="D5995" t="str">
            <v>JILANI</v>
          </cell>
          <cell r="E5995" t="str">
            <v>شیخ سویٹس منڈی فیض آباد</v>
          </cell>
        </row>
        <row r="5996">
          <cell r="A5996" t="str">
            <v>2407 J</v>
          </cell>
          <cell r="B5996">
            <v>561</v>
          </cell>
          <cell r="C5996">
            <v>45792</v>
          </cell>
          <cell r="D5996" t="str">
            <v>OTHER</v>
          </cell>
          <cell r="E5996" t="str">
            <v>جیلانی پلاسٹک</v>
          </cell>
        </row>
        <row r="5997">
          <cell r="A5997" t="str">
            <v>2408 J</v>
          </cell>
          <cell r="B5997">
            <v>561</v>
          </cell>
          <cell r="C5997">
            <v>45792</v>
          </cell>
          <cell r="D5997" t="str">
            <v>OTHER</v>
          </cell>
          <cell r="E5997" t="str">
            <v>جیلانی پلاسٹک</v>
          </cell>
        </row>
        <row r="5998">
          <cell r="A5998" t="str">
            <v>2409 J</v>
          </cell>
          <cell r="B5998">
            <v>561</v>
          </cell>
          <cell r="C5998">
            <v>45792</v>
          </cell>
          <cell r="D5998" t="str">
            <v>OTHER</v>
          </cell>
          <cell r="E5998" t="str">
            <v>جیلانی پلاسٹک</v>
          </cell>
        </row>
        <row r="5999">
          <cell r="A5999" t="str">
            <v>2410 J</v>
          </cell>
          <cell r="B5999">
            <v>561</v>
          </cell>
          <cell r="C5999">
            <v>45792</v>
          </cell>
          <cell r="D5999" t="str">
            <v>OTHER</v>
          </cell>
          <cell r="E5999" t="str">
            <v>جیلانی پلاسٹک</v>
          </cell>
        </row>
        <row r="6000">
          <cell r="A6000" t="str">
            <v>2411 J</v>
          </cell>
          <cell r="B6000">
            <v>561</v>
          </cell>
          <cell r="C6000">
            <v>45792</v>
          </cell>
          <cell r="D6000" t="str">
            <v>OTHER</v>
          </cell>
          <cell r="E6000" t="str">
            <v>جیلانی پلاسٹک</v>
          </cell>
        </row>
        <row r="6001">
          <cell r="A6001" t="str">
            <v>2412 J</v>
          </cell>
          <cell r="B6001">
            <v>561</v>
          </cell>
          <cell r="C6001">
            <v>45792</v>
          </cell>
          <cell r="D6001" t="str">
            <v>OTHER</v>
          </cell>
          <cell r="E6001" t="str">
            <v>جیلانی پلاسٹک</v>
          </cell>
        </row>
        <row r="6002">
          <cell r="A6002" t="str">
            <v>2413 J</v>
          </cell>
          <cell r="B6002">
            <v>561</v>
          </cell>
          <cell r="C6002">
            <v>45792</v>
          </cell>
          <cell r="D6002" t="str">
            <v>OTHER</v>
          </cell>
          <cell r="E6002" t="str">
            <v>جیلانی پلاسٹک</v>
          </cell>
        </row>
        <row r="6003">
          <cell r="A6003" t="str">
            <v>2414 J</v>
          </cell>
          <cell r="B6003"/>
          <cell r="C6003">
            <v>45796</v>
          </cell>
          <cell r="D6003" t="str">
            <v>OTHER</v>
          </cell>
          <cell r="E6003" t="str">
            <v>جیلانی پولی یونٹ 2</v>
          </cell>
        </row>
        <row r="6004">
          <cell r="A6004" t="str">
            <v>2415 J</v>
          </cell>
          <cell r="B6004">
            <v>12171</v>
          </cell>
          <cell r="C6004">
            <v>45794</v>
          </cell>
          <cell r="D6004" t="str">
            <v>JILANI</v>
          </cell>
          <cell r="E6004" t="str">
            <v>عالم پرنٹرز بٹ خیلہ</v>
          </cell>
        </row>
        <row r="6005">
          <cell r="A6005" t="str">
            <v>2416 J</v>
          </cell>
          <cell r="B6005">
            <v>12172</v>
          </cell>
          <cell r="C6005">
            <v>45794</v>
          </cell>
          <cell r="D6005" t="str">
            <v>JILANI</v>
          </cell>
          <cell r="E6005" t="str">
            <v>عالم پرنٹرز بٹ خیلہ</v>
          </cell>
        </row>
        <row r="6006">
          <cell r="A6006" t="str">
            <v>2417 J</v>
          </cell>
          <cell r="B6006">
            <v>12173</v>
          </cell>
          <cell r="C6006">
            <v>45794</v>
          </cell>
          <cell r="D6006" t="str">
            <v>JILANI</v>
          </cell>
          <cell r="E6006" t="str">
            <v>مکہ گارمنٹس بورے والا</v>
          </cell>
        </row>
        <row r="6007">
          <cell r="A6007" t="str">
            <v>2418 J</v>
          </cell>
          <cell r="B6007">
            <v>12174</v>
          </cell>
          <cell r="C6007">
            <v>45794</v>
          </cell>
          <cell r="D6007" t="str">
            <v>JILANI</v>
          </cell>
          <cell r="E6007" t="str">
            <v>وسیم شاپر ہاؤس لاہور</v>
          </cell>
        </row>
        <row r="6008">
          <cell r="A6008" t="str">
            <v>2419 J</v>
          </cell>
          <cell r="B6008">
            <v>12175</v>
          </cell>
          <cell r="C6008">
            <v>45794</v>
          </cell>
          <cell r="D6008" t="str">
            <v>JILANI</v>
          </cell>
          <cell r="E6008" t="str">
            <v>عثمان عارف بٹ گوجرانولہ</v>
          </cell>
        </row>
        <row r="6009">
          <cell r="A6009" t="str">
            <v>2420 J</v>
          </cell>
          <cell r="B6009">
            <v>12176</v>
          </cell>
          <cell r="C6009">
            <v>45794</v>
          </cell>
          <cell r="D6009" t="str">
            <v>JILANI</v>
          </cell>
          <cell r="E6009" t="str">
            <v>فینسی گارمنٹس کامونکی</v>
          </cell>
        </row>
        <row r="6010">
          <cell r="A6010" t="str">
            <v>2421 J</v>
          </cell>
          <cell r="B6010">
            <v>12176</v>
          </cell>
          <cell r="C6010">
            <v>45794</v>
          </cell>
          <cell r="D6010" t="str">
            <v>JILANI</v>
          </cell>
          <cell r="E6010" t="str">
            <v>فینسی گارمنٹس کامونکی</v>
          </cell>
        </row>
        <row r="6011">
          <cell r="A6011" t="str">
            <v>2422 J</v>
          </cell>
          <cell r="B6011">
            <v>12177</v>
          </cell>
          <cell r="C6011">
            <v>45794</v>
          </cell>
          <cell r="D6011" t="str">
            <v>JILANI</v>
          </cell>
          <cell r="E6011" t="str">
            <v>فینسی گارمنٹس کامونکی</v>
          </cell>
        </row>
        <row r="6012">
          <cell r="A6012" t="str">
            <v>2423 J</v>
          </cell>
          <cell r="B6012">
            <v>12178</v>
          </cell>
          <cell r="C6012">
            <v>45794</v>
          </cell>
          <cell r="D6012" t="str">
            <v>JILANI</v>
          </cell>
          <cell r="E6012" t="str">
            <v>عالم بیکرز شاہدرہ</v>
          </cell>
        </row>
        <row r="6013">
          <cell r="A6013" t="str">
            <v>2424 J</v>
          </cell>
          <cell r="B6013">
            <v>561</v>
          </cell>
          <cell r="C6013">
            <v>45792</v>
          </cell>
          <cell r="D6013" t="str">
            <v>OTHER</v>
          </cell>
          <cell r="E6013" t="str">
            <v>جیلانی پلاسٹک</v>
          </cell>
        </row>
        <row r="6014">
          <cell r="A6014" t="str">
            <v>2425 J</v>
          </cell>
          <cell r="B6014">
            <v>12179</v>
          </cell>
          <cell r="C6014">
            <v>45796</v>
          </cell>
          <cell r="D6014" t="str">
            <v>JILANI</v>
          </cell>
          <cell r="E6014" t="str">
            <v>عالم بیکرز شاہدرہ</v>
          </cell>
        </row>
        <row r="6015">
          <cell r="A6015" t="str">
            <v>2426 J</v>
          </cell>
          <cell r="B6015">
            <v>12179</v>
          </cell>
          <cell r="C6015">
            <v>45796</v>
          </cell>
          <cell r="D6015" t="str">
            <v>JILANI</v>
          </cell>
          <cell r="E6015" t="str">
            <v>عالم بیکرز شاہدرہ</v>
          </cell>
        </row>
        <row r="6016">
          <cell r="A6016" t="str">
            <v>2427 J</v>
          </cell>
          <cell r="B6016">
            <v>12180</v>
          </cell>
          <cell r="C6016">
            <v>45796</v>
          </cell>
          <cell r="D6016" t="str">
            <v>JILANI</v>
          </cell>
          <cell r="E6016" t="str">
            <v>عمر فیبرکس جہلم</v>
          </cell>
        </row>
        <row r="6017">
          <cell r="A6017" t="str">
            <v>2428 J</v>
          </cell>
          <cell r="B6017">
            <v>12181</v>
          </cell>
          <cell r="C6017">
            <v>45796</v>
          </cell>
          <cell r="D6017" t="str">
            <v>JILANI</v>
          </cell>
          <cell r="E6017" t="str">
            <v>پرفیکٹ فوڈ لاہور</v>
          </cell>
        </row>
        <row r="6018">
          <cell r="A6018" t="str">
            <v>2429 J</v>
          </cell>
          <cell r="B6018">
            <v>12181</v>
          </cell>
          <cell r="C6018">
            <v>45796</v>
          </cell>
          <cell r="D6018" t="str">
            <v>JILANI</v>
          </cell>
          <cell r="E6018" t="str">
            <v>پرفیکٹ فوڈ لاہور</v>
          </cell>
        </row>
        <row r="6019">
          <cell r="A6019" t="str">
            <v>2430 J</v>
          </cell>
          <cell r="B6019">
            <v>12182</v>
          </cell>
          <cell r="C6019">
            <v>45796</v>
          </cell>
          <cell r="D6019" t="str">
            <v>JILANI</v>
          </cell>
          <cell r="E6019" t="str">
            <v>معظمی پلاسٹک ساہیوال</v>
          </cell>
        </row>
        <row r="6020">
          <cell r="A6020" t="str">
            <v>2431 J</v>
          </cell>
          <cell r="B6020">
            <v>12183</v>
          </cell>
          <cell r="C6020">
            <v>45796</v>
          </cell>
          <cell r="D6020" t="str">
            <v>JILANI</v>
          </cell>
          <cell r="E6020" t="str">
            <v>عالم پرنٹرز بٹ خیلہ</v>
          </cell>
        </row>
        <row r="6021">
          <cell r="A6021" t="str">
            <v>2432 J</v>
          </cell>
          <cell r="B6021">
            <v>12184</v>
          </cell>
          <cell r="C6021">
            <v>45796</v>
          </cell>
          <cell r="D6021" t="str">
            <v>JILANI</v>
          </cell>
          <cell r="E6021" t="str">
            <v>ایم کے بی پشاور</v>
          </cell>
        </row>
        <row r="6022">
          <cell r="A6022" t="str">
            <v>2433 J</v>
          </cell>
          <cell r="B6022">
            <v>12184</v>
          </cell>
          <cell r="C6022">
            <v>45796</v>
          </cell>
          <cell r="D6022" t="str">
            <v>JILANI</v>
          </cell>
          <cell r="E6022" t="str">
            <v>ایم کے بی پشاور</v>
          </cell>
        </row>
        <row r="6023">
          <cell r="A6023" t="str">
            <v>2434 J</v>
          </cell>
          <cell r="B6023">
            <v>12185</v>
          </cell>
          <cell r="C6023">
            <v>45796</v>
          </cell>
          <cell r="D6023" t="str">
            <v>JILANI</v>
          </cell>
          <cell r="E6023" t="str">
            <v>کے ڈی آٹو پارٹس لاہور</v>
          </cell>
        </row>
        <row r="6024">
          <cell r="A6024" t="str">
            <v>2435 J</v>
          </cell>
          <cell r="B6024">
            <v>12186</v>
          </cell>
          <cell r="C6024">
            <v>45796</v>
          </cell>
          <cell r="D6024" t="str">
            <v>JILANI</v>
          </cell>
          <cell r="E6024" t="str">
            <v>عالم پرنٹرز بٹ خیلہ</v>
          </cell>
        </row>
        <row r="6025">
          <cell r="A6025" t="str">
            <v>2436 J</v>
          </cell>
          <cell r="B6025">
            <v>12186</v>
          </cell>
          <cell r="C6025">
            <v>45796</v>
          </cell>
          <cell r="D6025" t="str">
            <v>JILANI</v>
          </cell>
          <cell r="E6025" t="str">
            <v>عالم پرنٹرز بٹ خیلہ</v>
          </cell>
        </row>
        <row r="6026">
          <cell r="A6026" t="str">
            <v>2437 J</v>
          </cell>
          <cell r="B6026">
            <v>12186</v>
          </cell>
          <cell r="C6026">
            <v>45796</v>
          </cell>
          <cell r="D6026" t="str">
            <v>JILANI</v>
          </cell>
          <cell r="E6026" t="str">
            <v>عالم پرنٹرز بٹ خیلہ</v>
          </cell>
        </row>
        <row r="6027">
          <cell r="A6027" t="str">
            <v>2438 J</v>
          </cell>
          <cell r="B6027">
            <v>12187</v>
          </cell>
          <cell r="C6027">
            <v>45796</v>
          </cell>
          <cell r="D6027" t="str">
            <v>JILANI</v>
          </cell>
          <cell r="E6027" t="str">
            <v>عرفان صاحب اعظم مارکیٹ لاہور</v>
          </cell>
        </row>
        <row r="6028">
          <cell r="A6028" t="str">
            <v>2439 J</v>
          </cell>
          <cell r="B6028">
            <v>12188</v>
          </cell>
          <cell r="C6028">
            <v>45796</v>
          </cell>
          <cell r="D6028" t="str">
            <v>JILANI</v>
          </cell>
          <cell r="E6028" t="str">
            <v>علی سویٹس اینڈ بیکرز رحیم یار خان</v>
          </cell>
        </row>
        <row r="6029">
          <cell r="A6029" t="str">
            <v>2440 J</v>
          </cell>
          <cell r="B6029">
            <v>12189</v>
          </cell>
          <cell r="C6029">
            <v>45796</v>
          </cell>
          <cell r="D6029" t="str">
            <v>JILANI</v>
          </cell>
          <cell r="E6029" t="str">
            <v>ماجد منظورعوان ٹاؤن لاہور</v>
          </cell>
        </row>
        <row r="6030">
          <cell r="A6030" t="str">
            <v>2441 J</v>
          </cell>
          <cell r="B6030">
            <v>12189</v>
          </cell>
          <cell r="C6030">
            <v>45796</v>
          </cell>
          <cell r="D6030" t="str">
            <v>JILANI</v>
          </cell>
          <cell r="E6030" t="str">
            <v>ماجد منظورعوان ٹاؤن لاہور</v>
          </cell>
        </row>
        <row r="6031">
          <cell r="A6031" t="str">
            <v>2442 J</v>
          </cell>
          <cell r="B6031">
            <v>12189</v>
          </cell>
          <cell r="C6031">
            <v>45796</v>
          </cell>
          <cell r="D6031" t="str">
            <v>JILANI</v>
          </cell>
          <cell r="E6031" t="str">
            <v>ماجد منظورعوان ٹاؤن لاہور</v>
          </cell>
        </row>
        <row r="6032">
          <cell r="A6032" t="str">
            <v>2443 J</v>
          </cell>
          <cell r="B6032">
            <v>12190</v>
          </cell>
          <cell r="C6032">
            <v>45796</v>
          </cell>
          <cell r="D6032" t="str">
            <v>JILANI</v>
          </cell>
          <cell r="E6032" t="str">
            <v>نواب سویٹس اینڈ بیکرز پتوکی</v>
          </cell>
        </row>
        <row r="6033">
          <cell r="A6033" t="str">
            <v>2444 J</v>
          </cell>
          <cell r="B6033">
            <v>12190</v>
          </cell>
          <cell r="C6033">
            <v>45796</v>
          </cell>
          <cell r="D6033" t="str">
            <v>JILANI</v>
          </cell>
          <cell r="E6033" t="str">
            <v>نواب سویٹس اینڈ بیکرز پتوکی</v>
          </cell>
        </row>
        <row r="6034">
          <cell r="A6034" t="str">
            <v>2445 J</v>
          </cell>
          <cell r="B6034">
            <v>12190</v>
          </cell>
          <cell r="C6034">
            <v>45796</v>
          </cell>
          <cell r="D6034" t="str">
            <v>JILANI</v>
          </cell>
          <cell r="E6034" t="str">
            <v>نواب سویٹس اینڈ بیکرز پتوکی</v>
          </cell>
        </row>
        <row r="6035">
          <cell r="A6035" t="str">
            <v>2446 J</v>
          </cell>
          <cell r="B6035">
            <v>12192</v>
          </cell>
          <cell r="C6035">
            <v>45796</v>
          </cell>
          <cell r="D6035" t="str">
            <v>OTHER</v>
          </cell>
          <cell r="E6035" t="str">
            <v>عثمان عارف بٹ گوجرانولہ</v>
          </cell>
        </row>
        <row r="6036">
          <cell r="A6036" t="str">
            <v>2447 J</v>
          </cell>
          <cell r="B6036">
            <v>12192</v>
          </cell>
          <cell r="C6036">
            <v>45796</v>
          </cell>
          <cell r="D6036" t="str">
            <v>OTHER</v>
          </cell>
          <cell r="E6036" t="str">
            <v>عثمان عارف بٹ گوجرانولہ</v>
          </cell>
        </row>
        <row r="6037">
          <cell r="A6037" t="str">
            <v>2448 J</v>
          </cell>
          <cell r="B6037">
            <v>12191</v>
          </cell>
          <cell r="C6037">
            <v>45796</v>
          </cell>
          <cell r="D6037" t="str">
            <v>JILANI</v>
          </cell>
          <cell r="E6037" t="str">
            <v>عثمان عارف بٹ گوجرانولہ</v>
          </cell>
        </row>
        <row r="6038">
          <cell r="A6038" t="str">
            <v>2449 J</v>
          </cell>
          <cell r="B6038">
            <v>561</v>
          </cell>
          <cell r="C6038">
            <v>45791</v>
          </cell>
          <cell r="D6038" t="str">
            <v>OTHER</v>
          </cell>
          <cell r="E6038" t="str">
            <v>جیلانی پلاسٹک</v>
          </cell>
        </row>
        <row r="6039">
          <cell r="A6039" t="str">
            <v>2450 J</v>
          </cell>
          <cell r="B6039">
            <v>12193</v>
          </cell>
          <cell r="C6039">
            <v>45798</v>
          </cell>
          <cell r="D6039" t="str">
            <v>JILANI</v>
          </cell>
          <cell r="E6039" t="str">
            <v>عالم بیکرز شاہدرہ</v>
          </cell>
        </row>
        <row r="6040">
          <cell r="A6040" t="str">
            <v>2451 J</v>
          </cell>
          <cell r="B6040">
            <v>12193</v>
          </cell>
          <cell r="C6040">
            <v>45798</v>
          </cell>
          <cell r="D6040" t="str">
            <v>JILANI</v>
          </cell>
          <cell r="E6040" t="str">
            <v>عالم بیکرز شاہدرہ</v>
          </cell>
        </row>
        <row r="6041">
          <cell r="A6041" t="str">
            <v>2452 J</v>
          </cell>
          <cell r="B6041">
            <v>12193</v>
          </cell>
          <cell r="C6041">
            <v>45798</v>
          </cell>
          <cell r="D6041" t="str">
            <v>JILANI</v>
          </cell>
          <cell r="E6041" t="str">
            <v>عالم بیکرز شاہدرہ</v>
          </cell>
        </row>
        <row r="6042">
          <cell r="A6042" t="str">
            <v>2453 J</v>
          </cell>
          <cell r="B6042">
            <v>12194</v>
          </cell>
          <cell r="C6042">
            <v>45798</v>
          </cell>
          <cell r="D6042" t="str">
            <v>JILANI</v>
          </cell>
          <cell r="E6042" t="str">
            <v>شفعی ٹیکسل لمیٹڈ</v>
          </cell>
        </row>
        <row r="6043">
          <cell r="A6043" t="str">
            <v>2454 J</v>
          </cell>
          <cell r="B6043">
            <v>12195</v>
          </cell>
          <cell r="C6043">
            <v>45798</v>
          </cell>
          <cell r="D6043" t="str">
            <v>JILANI</v>
          </cell>
          <cell r="E6043" t="str">
            <v>حاجی کمال وانہ</v>
          </cell>
        </row>
        <row r="6044">
          <cell r="A6044" t="str">
            <v>2455 J</v>
          </cell>
          <cell r="B6044">
            <v>12196</v>
          </cell>
          <cell r="C6044">
            <v>45798</v>
          </cell>
          <cell r="D6044" t="str">
            <v>JILANI</v>
          </cell>
          <cell r="E6044" t="str">
            <v>حاجی کمال وانہ</v>
          </cell>
        </row>
        <row r="6045">
          <cell r="A6045" t="str">
            <v>2456 J</v>
          </cell>
          <cell r="B6045">
            <v>12197</v>
          </cell>
          <cell r="C6045">
            <v>45798</v>
          </cell>
          <cell r="D6045" t="str">
            <v>JILANI</v>
          </cell>
          <cell r="E6045" t="str">
            <v>ہیڈ آفس لاہور</v>
          </cell>
        </row>
        <row r="6046">
          <cell r="A6046" t="str">
            <v>2457 J</v>
          </cell>
          <cell r="B6046">
            <v>12197</v>
          </cell>
          <cell r="C6046">
            <v>45798</v>
          </cell>
          <cell r="D6046" t="str">
            <v>JILANI</v>
          </cell>
          <cell r="E6046" t="str">
            <v>ہیڈ آفس لاہور</v>
          </cell>
        </row>
        <row r="6047">
          <cell r="A6047" t="str">
            <v>2458 J</v>
          </cell>
          <cell r="B6047">
            <v>12197</v>
          </cell>
          <cell r="C6047">
            <v>45798</v>
          </cell>
          <cell r="D6047" t="str">
            <v>JILANI</v>
          </cell>
          <cell r="E6047" t="str">
            <v>ہیڈ آفس لاہور</v>
          </cell>
        </row>
        <row r="6048">
          <cell r="A6048" t="str">
            <v>2459 J</v>
          </cell>
          <cell r="B6048">
            <v>12198</v>
          </cell>
          <cell r="C6048">
            <v>45798</v>
          </cell>
          <cell r="D6048" t="str">
            <v>JILANI</v>
          </cell>
          <cell r="E6048" t="str">
            <v>عالم پرنٹرز بٹ خیلہ</v>
          </cell>
        </row>
        <row r="6049">
          <cell r="A6049" t="str">
            <v>2460 J</v>
          </cell>
          <cell r="B6049">
            <v>12199</v>
          </cell>
          <cell r="C6049">
            <v>45798</v>
          </cell>
          <cell r="D6049" t="str">
            <v>JILANI</v>
          </cell>
          <cell r="E6049" t="str">
            <v>عالم پرنٹرز بٹ خیلہ</v>
          </cell>
        </row>
        <row r="6050">
          <cell r="A6050" t="str">
            <v>2461 J</v>
          </cell>
          <cell r="B6050">
            <v>12200</v>
          </cell>
          <cell r="C6050">
            <v>45798</v>
          </cell>
          <cell r="D6050" t="str">
            <v>JILANI</v>
          </cell>
          <cell r="E6050" t="str">
            <v>عالم پرنٹرز بٹ خیلہ</v>
          </cell>
        </row>
        <row r="6051">
          <cell r="A6051" t="str">
            <v>2462 J</v>
          </cell>
          <cell r="B6051">
            <v>12201</v>
          </cell>
          <cell r="C6051">
            <v>45798</v>
          </cell>
          <cell r="D6051" t="str">
            <v>JILANI</v>
          </cell>
          <cell r="E6051" t="str">
            <v>بندوخاں لاہور</v>
          </cell>
        </row>
        <row r="6052">
          <cell r="A6052" t="str">
            <v>2463 J</v>
          </cell>
          <cell r="B6052">
            <v>12202</v>
          </cell>
          <cell r="C6052">
            <v>45798</v>
          </cell>
          <cell r="D6052" t="str">
            <v>JILANI</v>
          </cell>
          <cell r="E6052" t="str">
            <v>عالم پرنٹرز بٹ خیلہ</v>
          </cell>
        </row>
        <row r="6053">
          <cell r="A6053" t="str">
            <v>2464 J</v>
          </cell>
          <cell r="B6053">
            <v>12202</v>
          </cell>
          <cell r="C6053">
            <v>45798</v>
          </cell>
          <cell r="D6053" t="str">
            <v>JILANI</v>
          </cell>
          <cell r="E6053" t="str">
            <v>عالم پرنٹرز بٹ خیلہ</v>
          </cell>
        </row>
        <row r="6054">
          <cell r="A6054" t="str">
            <v>2465 J</v>
          </cell>
          <cell r="B6054">
            <v>12202</v>
          </cell>
          <cell r="C6054">
            <v>45798</v>
          </cell>
          <cell r="D6054" t="str">
            <v>JILANI</v>
          </cell>
          <cell r="E6054" t="str">
            <v>عالم پرنٹرز بٹ خیلہ</v>
          </cell>
        </row>
        <row r="6055">
          <cell r="A6055" t="str">
            <v>2466 J</v>
          </cell>
          <cell r="B6055">
            <v>12202</v>
          </cell>
          <cell r="C6055">
            <v>45798</v>
          </cell>
          <cell r="D6055" t="str">
            <v>JILANI</v>
          </cell>
          <cell r="E6055" t="str">
            <v>عالم پرنٹرز بٹ خیلہ</v>
          </cell>
        </row>
        <row r="6056">
          <cell r="A6056" t="str">
            <v>2467 J</v>
          </cell>
          <cell r="B6056">
            <v>12202</v>
          </cell>
          <cell r="C6056">
            <v>45798</v>
          </cell>
          <cell r="D6056" t="str">
            <v>JILANI</v>
          </cell>
          <cell r="E6056" t="str">
            <v>عالم پرنٹرز بٹ خیلہ</v>
          </cell>
        </row>
        <row r="6057">
          <cell r="A6057" t="str">
            <v>2468 J</v>
          </cell>
          <cell r="B6057">
            <v>12202</v>
          </cell>
          <cell r="C6057">
            <v>45798</v>
          </cell>
          <cell r="D6057" t="str">
            <v>JILANI</v>
          </cell>
          <cell r="E6057" t="str">
            <v>عالم پرنٹرز بٹ خیلہ</v>
          </cell>
        </row>
        <row r="6058">
          <cell r="A6058" t="str">
            <v>2469 J</v>
          </cell>
          <cell r="B6058">
            <v>12203</v>
          </cell>
          <cell r="C6058">
            <v>45798</v>
          </cell>
          <cell r="D6058" t="str">
            <v>JILANI</v>
          </cell>
          <cell r="E6058" t="str">
            <v>شیخ شیراز سیالکوٹ</v>
          </cell>
        </row>
        <row r="6059">
          <cell r="A6059" t="str">
            <v>2470 J</v>
          </cell>
          <cell r="B6059">
            <v>561</v>
          </cell>
          <cell r="C6059">
            <v>45798</v>
          </cell>
          <cell r="D6059" t="str">
            <v>JILANI</v>
          </cell>
          <cell r="E6059" t="str">
            <v>جیلانی پلاسٹک</v>
          </cell>
        </row>
        <row r="6060">
          <cell r="A6060" t="str">
            <v>2471 J</v>
          </cell>
          <cell r="B6060">
            <v>561</v>
          </cell>
          <cell r="C6060">
            <v>45798</v>
          </cell>
          <cell r="D6060" t="str">
            <v>JILANI</v>
          </cell>
          <cell r="E6060" t="str">
            <v>جیلانی پلاسٹک</v>
          </cell>
        </row>
        <row r="6061">
          <cell r="A6061" t="str">
            <v>2472 J</v>
          </cell>
          <cell r="B6061">
            <v>561</v>
          </cell>
          <cell r="C6061">
            <v>45798</v>
          </cell>
          <cell r="D6061" t="str">
            <v>JILANI</v>
          </cell>
          <cell r="E6061" t="str">
            <v>جیلانی پلاسٹک</v>
          </cell>
        </row>
        <row r="6062">
          <cell r="A6062" t="str">
            <v>2473 J</v>
          </cell>
          <cell r="B6062">
            <v>12204</v>
          </cell>
          <cell r="C6062">
            <v>45798</v>
          </cell>
          <cell r="D6062" t="str">
            <v>JILANI</v>
          </cell>
          <cell r="E6062" t="str">
            <v>شفعی ٹیکسل لمیٹڈ</v>
          </cell>
        </row>
        <row r="6063">
          <cell r="A6063" t="str">
            <v>2474 J</v>
          </cell>
          <cell r="B6063"/>
          <cell r="C6063">
            <v>45798</v>
          </cell>
          <cell r="D6063" t="str">
            <v>OTHER</v>
          </cell>
          <cell r="E6063" t="str">
            <v>وقار اکرم مغل چنیوٹ C/O نصیر صاحب</v>
          </cell>
        </row>
        <row r="6064">
          <cell r="A6064" t="str">
            <v>2475 J</v>
          </cell>
          <cell r="B6064"/>
          <cell r="C6064">
            <v>45798</v>
          </cell>
          <cell r="D6064" t="str">
            <v>OTHER</v>
          </cell>
          <cell r="E6064" t="str">
            <v>وقار اکرم مغل چنیوٹ C/O نصیر صاحب</v>
          </cell>
        </row>
        <row r="6065">
          <cell r="A6065" t="str">
            <v>2476 J</v>
          </cell>
          <cell r="B6065"/>
          <cell r="C6065">
            <v>45798</v>
          </cell>
          <cell r="D6065" t="str">
            <v>OTHER</v>
          </cell>
          <cell r="E6065" t="str">
            <v>وقار اکرم مغل چنیوٹ C/O نصیر صاحب</v>
          </cell>
        </row>
        <row r="6066">
          <cell r="A6066" t="str">
            <v>2477 J</v>
          </cell>
          <cell r="B6066"/>
          <cell r="C6066">
            <v>45798</v>
          </cell>
          <cell r="D6066" t="str">
            <v>OTHER</v>
          </cell>
          <cell r="E6066" t="str">
            <v>وقار اکرم مغل چنیوٹ C/O نصیر صاحب</v>
          </cell>
        </row>
        <row r="6067">
          <cell r="A6067" t="str">
            <v>2478 J</v>
          </cell>
          <cell r="B6067"/>
          <cell r="C6067">
            <v>45798</v>
          </cell>
          <cell r="D6067" t="str">
            <v>OTHER</v>
          </cell>
          <cell r="E6067" t="str">
            <v>وقار اکرم مغل چنیوٹ C/O نصیر صاحب</v>
          </cell>
        </row>
        <row r="6068">
          <cell r="A6068" t="str">
            <v>2479 J</v>
          </cell>
          <cell r="B6068"/>
          <cell r="C6068">
            <v>45798</v>
          </cell>
          <cell r="D6068" t="str">
            <v>OTHER</v>
          </cell>
          <cell r="E6068" t="str">
            <v>وقار اکرم مغل چنیوٹ C/O نصیر صاحب</v>
          </cell>
        </row>
        <row r="6069">
          <cell r="A6069" t="str">
            <v>2480 J</v>
          </cell>
          <cell r="B6069">
            <v>12205</v>
          </cell>
          <cell r="C6069">
            <v>45798</v>
          </cell>
          <cell r="D6069" t="str">
            <v>JILANI</v>
          </cell>
          <cell r="E6069" t="str">
            <v>میڈی پاک لاہور</v>
          </cell>
        </row>
        <row r="6070">
          <cell r="A6070" t="str">
            <v>2481 J</v>
          </cell>
          <cell r="B6070">
            <v>12206</v>
          </cell>
          <cell r="C6070">
            <v>45798</v>
          </cell>
          <cell r="D6070" t="str">
            <v>JILANI</v>
          </cell>
          <cell r="E6070" t="str">
            <v>عمران اصغر سرگودھا</v>
          </cell>
        </row>
        <row r="6071">
          <cell r="A6071" t="str">
            <v>2482 J</v>
          </cell>
          <cell r="B6071">
            <v>12206</v>
          </cell>
          <cell r="C6071">
            <v>45798</v>
          </cell>
          <cell r="D6071" t="str">
            <v>JILANI</v>
          </cell>
          <cell r="E6071" t="str">
            <v>عمران اصغر سرگودھا</v>
          </cell>
        </row>
        <row r="6072">
          <cell r="A6072" t="str">
            <v>2483 J</v>
          </cell>
          <cell r="B6072">
            <v>12207</v>
          </cell>
          <cell r="C6072">
            <v>45798</v>
          </cell>
          <cell r="D6072" t="str">
            <v>JILANI</v>
          </cell>
          <cell r="E6072" t="str">
            <v>قدیر پرنٹنگ فیصل آباد</v>
          </cell>
        </row>
        <row r="6073">
          <cell r="A6073" t="str">
            <v>2484 J</v>
          </cell>
          <cell r="B6073">
            <v>12208</v>
          </cell>
          <cell r="C6073">
            <v>45798</v>
          </cell>
          <cell r="D6073" t="str">
            <v>JILANI</v>
          </cell>
          <cell r="E6073" t="str">
            <v>بے بی پنک کڈز وئیر لاہور</v>
          </cell>
        </row>
        <row r="6074">
          <cell r="A6074" t="str">
            <v>2485 J</v>
          </cell>
          <cell r="B6074">
            <v>12209</v>
          </cell>
          <cell r="C6074">
            <v>45798</v>
          </cell>
          <cell r="D6074" t="str">
            <v>JILANI</v>
          </cell>
          <cell r="E6074" t="str">
            <v>رواج گارمنٹس سیالکوٹ</v>
          </cell>
        </row>
        <row r="6075">
          <cell r="A6075" t="str">
            <v>2486 J</v>
          </cell>
          <cell r="B6075">
            <v>12211</v>
          </cell>
          <cell r="C6075">
            <v>45798</v>
          </cell>
          <cell r="D6075" t="str">
            <v>JILANI</v>
          </cell>
          <cell r="E6075" t="str">
            <v>صوبان کلاتھ ہاؤس ننکانہ</v>
          </cell>
        </row>
        <row r="6076">
          <cell r="A6076" t="str">
            <v>2487 J</v>
          </cell>
          <cell r="B6076">
            <v>12211</v>
          </cell>
          <cell r="C6076">
            <v>45798</v>
          </cell>
          <cell r="D6076" t="str">
            <v>JILANI</v>
          </cell>
          <cell r="E6076" t="str">
            <v>صوبان کلاتھ ہاؤس ننکانہ</v>
          </cell>
        </row>
        <row r="6077">
          <cell r="A6077" t="str">
            <v>2488 J</v>
          </cell>
          <cell r="B6077">
            <v>12212</v>
          </cell>
          <cell r="C6077">
            <v>45798</v>
          </cell>
          <cell r="D6077" t="str">
            <v>JILANI</v>
          </cell>
          <cell r="E6077" t="str">
            <v>اے ٹی سی  پلس  بند روڈ /طاہر ریشد</v>
          </cell>
        </row>
        <row r="6078">
          <cell r="A6078" t="str">
            <v>2489 J</v>
          </cell>
          <cell r="B6078">
            <v>12213</v>
          </cell>
          <cell r="C6078">
            <v>45798</v>
          </cell>
          <cell r="D6078" t="str">
            <v>JILANI</v>
          </cell>
          <cell r="E6078" t="str">
            <v>حرم نور کولیکشن لاہور</v>
          </cell>
        </row>
        <row r="6079">
          <cell r="A6079" t="str">
            <v>2490 J</v>
          </cell>
          <cell r="B6079">
            <v>12214</v>
          </cell>
          <cell r="C6079">
            <v>45798</v>
          </cell>
          <cell r="D6079" t="str">
            <v>JILANI</v>
          </cell>
          <cell r="E6079" t="str">
            <v>ولایت بٹ لالہ موسی</v>
          </cell>
        </row>
        <row r="6080">
          <cell r="A6080" t="str">
            <v>2491 J</v>
          </cell>
          <cell r="B6080">
            <v>12214</v>
          </cell>
          <cell r="C6080">
            <v>45798</v>
          </cell>
          <cell r="D6080" t="str">
            <v>JILANI</v>
          </cell>
          <cell r="E6080" t="str">
            <v>ولایت بٹ لالہ موسی</v>
          </cell>
        </row>
        <row r="6081">
          <cell r="A6081" t="str">
            <v>2492 J</v>
          </cell>
          <cell r="B6081">
            <v>12214</v>
          </cell>
          <cell r="C6081">
            <v>45798</v>
          </cell>
          <cell r="D6081" t="str">
            <v>JILANI</v>
          </cell>
          <cell r="E6081" t="str">
            <v>ولایت بٹ لالہ موسی</v>
          </cell>
        </row>
        <row r="6082">
          <cell r="A6082" t="str">
            <v>2493 J</v>
          </cell>
          <cell r="B6082">
            <v>12215</v>
          </cell>
          <cell r="C6082">
            <v>45799</v>
          </cell>
          <cell r="D6082" t="str">
            <v>JILANI</v>
          </cell>
          <cell r="E6082" t="str">
            <v>پیزا بنک فاسٹ فوڈ کامونکی</v>
          </cell>
        </row>
        <row r="6083">
          <cell r="A6083" t="str">
            <v>2494 J</v>
          </cell>
          <cell r="B6083">
            <v>12216</v>
          </cell>
          <cell r="C6083">
            <v>45799</v>
          </cell>
          <cell r="D6083" t="str">
            <v>JILANI</v>
          </cell>
          <cell r="E6083" t="str">
            <v>پیزا بنک فاسٹ فوڈ کامونکی</v>
          </cell>
        </row>
        <row r="6084">
          <cell r="A6084" t="str">
            <v>2495 J</v>
          </cell>
          <cell r="B6084">
            <v>12217</v>
          </cell>
          <cell r="C6084">
            <v>45799</v>
          </cell>
          <cell r="D6084" t="str">
            <v>JILANI</v>
          </cell>
          <cell r="E6084" t="str">
            <v>عالم بیکرز شیخوپورہ</v>
          </cell>
        </row>
        <row r="6085">
          <cell r="A6085" t="str">
            <v>2496 J</v>
          </cell>
          <cell r="B6085">
            <v>12217</v>
          </cell>
          <cell r="C6085">
            <v>45799</v>
          </cell>
          <cell r="D6085" t="str">
            <v>JILANI</v>
          </cell>
          <cell r="E6085" t="str">
            <v>عالم بیکرز شیخوپورہ</v>
          </cell>
        </row>
        <row r="6086">
          <cell r="A6086" t="str">
            <v>2497 J</v>
          </cell>
          <cell r="B6086">
            <v>12217</v>
          </cell>
          <cell r="C6086">
            <v>45799</v>
          </cell>
          <cell r="D6086" t="str">
            <v>JILANI</v>
          </cell>
          <cell r="E6086" t="str">
            <v>عالم بیکرز شیخوپورہ</v>
          </cell>
        </row>
        <row r="6087">
          <cell r="A6087" t="str">
            <v>2498 J</v>
          </cell>
          <cell r="B6087">
            <v>12218</v>
          </cell>
          <cell r="C6087">
            <v>45799</v>
          </cell>
          <cell r="D6087" t="str">
            <v>JILANI</v>
          </cell>
          <cell r="E6087" t="str">
            <v>لاہور ریجنسی ہاسپٹیلٹی</v>
          </cell>
        </row>
        <row r="6088">
          <cell r="A6088" t="str">
            <v>2499 J</v>
          </cell>
          <cell r="B6088">
            <v>12219</v>
          </cell>
          <cell r="C6088">
            <v>45799</v>
          </cell>
          <cell r="D6088" t="str">
            <v>JILANI</v>
          </cell>
          <cell r="E6088" t="str">
            <v>سپر ڈائمنڈ فوڈکامونکی</v>
          </cell>
        </row>
        <row r="6089">
          <cell r="A6089" t="str">
            <v>2500 J</v>
          </cell>
          <cell r="B6089">
            <v>12220</v>
          </cell>
          <cell r="C6089">
            <v>45799</v>
          </cell>
          <cell r="D6089" t="str">
            <v>JILANI</v>
          </cell>
          <cell r="E6089" t="str">
            <v>کاشف فوڈزپراڈکٹ گوجرانوالہ پولی 471</v>
          </cell>
        </row>
        <row r="6090">
          <cell r="A6090" t="str">
            <v>2501 J</v>
          </cell>
          <cell r="B6090">
            <v>12221</v>
          </cell>
          <cell r="C6090">
            <v>45799</v>
          </cell>
          <cell r="D6090" t="str">
            <v>JILANI</v>
          </cell>
          <cell r="E6090" t="str">
            <v>اصغر بٹ گجرانوالہ</v>
          </cell>
        </row>
        <row r="6091">
          <cell r="A6091" t="str">
            <v>2502 J</v>
          </cell>
          <cell r="B6091">
            <v>12221</v>
          </cell>
          <cell r="C6091">
            <v>45799</v>
          </cell>
          <cell r="D6091" t="str">
            <v>JILANI</v>
          </cell>
          <cell r="E6091" t="str">
            <v>اصغر بٹ گجرانوالہ</v>
          </cell>
        </row>
        <row r="6092">
          <cell r="A6092" t="str">
            <v>2503 J</v>
          </cell>
          <cell r="B6092">
            <v>12222</v>
          </cell>
          <cell r="C6092">
            <v>45799</v>
          </cell>
          <cell r="D6092" t="str">
            <v>JILANI</v>
          </cell>
          <cell r="E6092" t="str">
            <v>عمران پرنٹنگ ملتان</v>
          </cell>
        </row>
        <row r="6093">
          <cell r="A6093" t="str">
            <v>2504 J</v>
          </cell>
          <cell r="B6093">
            <v>12223</v>
          </cell>
          <cell r="C6093">
            <v>45799</v>
          </cell>
          <cell r="D6093" t="str">
            <v>JILANI</v>
          </cell>
          <cell r="E6093" t="str">
            <v>دی کڈز مال لاہور</v>
          </cell>
        </row>
        <row r="6094">
          <cell r="A6094" t="str">
            <v>2505 J</v>
          </cell>
          <cell r="B6094">
            <v>12223</v>
          </cell>
          <cell r="C6094">
            <v>45799</v>
          </cell>
          <cell r="D6094" t="str">
            <v>JILANI</v>
          </cell>
          <cell r="E6094" t="str">
            <v>دی کڈز مال لاہور</v>
          </cell>
        </row>
        <row r="6095">
          <cell r="A6095" t="str">
            <v>2506 J</v>
          </cell>
          <cell r="B6095">
            <v>12223</v>
          </cell>
          <cell r="C6095">
            <v>45799</v>
          </cell>
          <cell r="D6095" t="str">
            <v>JILANI</v>
          </cell>
          <cell r="E6095" t="str">
            <v>دی کڈز مال لاہور</v>
          </cell>
        </row>
        <row r="6096">
          <cell r="A6096" t="str">
            <v>2507 J</v>
          </cell>
          <cell r="B6096">
            <v>12224</v>
          </cell>
          <cell r="C6096">
            <v>45799</v>
          </cell>
          <cell r="D6096" t="str">
            <v>JILANI</v>
          </cell>
          <cell r="E6096" t="str">
            <v>افنان پرنٹنگ پریس بٹ خیلہ</v>
          </cell>
        </row>
        <row r="6097">
          <cell r="A6097" t="str">
            <v>2508 J</v>
          </cell>
          <cell r="B6097">
            <v>12225</v>
          </cell>
          <cell r="C6097">
            <v>45799</v>
          </cell>
          <cell r="D6097" t="str">
            <v>JILANI</v>
          </cell>
          <cell r="E6097" t="str">
            <v>بابر سویٹس اینڈ بیکرز بھابڈہ</v>
          </cell>
        </row>
        <row r="6098">
          <cell r="A6098" t="str">
            <v>2509 J</v>
          </cell>
          <cell r="B6098">
            <v>12225</v>
          </cell>
          <cell r="C6098">
            <v>45799</v>
          </cell>
          <cell r="D6098" t="str">
            <v>JILANI</v>
          </cell>
          <cell r="E6098" t="str">
            <v>بابر سویٹس اینڈ بیکرز بھابڈہ</v>
          </cell>
        </row>
        <row r="6099">
          <cell r="A6099" t="str">
            <v>2510 J</v>
          </cell>
          <cell r="B6099">
            <v>12226</v>
          </cell>
          <cell r="C6099">
            <v>45799</v>
          </cell>
          <cell r="D6099" t="str">
            <v>JILANI</v>
          </cell>
          <cell r="E6099" t="str">
            <v>براگ کڈز اسلام آباد</v>
          </cell>
        </row>
        <row r="6100">
          <cell r="A6100" t="str">
            <v>2511 J</v>
          </cell>
          <cell r="B6100">
            <v>12226</v>
          </cell>
          <cell r="C6100">
            <v>45799</v>
          </cell>
          <cell r="D6100" t="str">
            <v>JILANI</v>
          </cell>
          <cell r="E6100" t="str">
            <v>براگ کڈز اسلام آباد</v>
          </cell>
        </row>
        <row r="6101">
          <cell r="A6101" t="str">
            <v>2512 J</v>
          </cell>
          <cell r="B6101">
            <v>12227</v>
          </cell>
          <cell r="C6101">
            <v>45799</v>
          </cell>
          <cell r="D6101" t="str">
            <v>JILANI</v>
          </cell>
          <cell r="E6101" t="str">
            <v>رفیق حنیف گوجرانوالہ</v>
          </cell>
        </row>
        <row r="6102">
          <cell r="A6102" t="str">
            <v>2513 J</v>
          </cell>
          <cell r="B6102">
            <v>12227</v>
          </cell>
          <cell r="C6102">
            <v>45799</v>
          </cell>
          <cell r="D6102" t="str">
            <v>JILANI</v>
          </cell>
          <cell r="E6102" t="str">
            <v>رفیق حنیف گوجرانوالہ</v>
          </cell>
        </row>
        <row r="6103">
          <cell r="A6103" t="str">
            <v>2514 J</v>
          </cell>
          <cell r="B6103">
            <v>12228</v>
          </cell>
          <cell r="C6103">
            <v>45799</v>
          </cell>
          <cell r="D6103" t="str">
            <v>JILANI</v>
          </cell>
          <cell r="E6103" t="str">
            <v>علیم سویٹس اینڈ بیکرزلاہور</v>
          </cell>
        </row>
        <row r="6104">
          <cell r="A6104" t="str">
            <v>2515 J</v>
          </cell>
          <cell r="B6104">
            <v>12229</v>
          </cell>
          <cell r="C6104">
            <v>45799</v>
          </cell>
          <cell r="D6104" t="str">
            <v>JILANI</v>
          </cell>
          <cell r="E6104" t="str">
            <v>پرفیکٹ فوڈ لاہور</v>
          </cell>
        </row>
        <row r="6105">
          <cell r="A6105" t="str">
            <v>2516 J</v>
          </cell>
          <cell r="B6105"/>
          <cell r="C6105">
            <v>45799</v>
          </cell>
          <cell r="D6105" t="str">
            <v>OTHER</v>
          </cell>
          <cell r="E6105" t="str">
            <v>جیلانی پولی سٹاک</v>
          </cell>
        </row>
        <row r="6106">
          <cell r="A6106" t="str">
            <v>2517 J</v>
          </cell>
          <cell r="B6106">
            <v>12230</v>
          </cell>
          <cell r="C6106">
            <v>45800</v>
          </cell>
          <cell r="D6106" t="str">
            <v>JILANI</v>
          </cell>
          <cell r="E6106" t="str">
            <v>اٹلس ہنڈا لمیٹڈ کراچی</v>
          </cell>
        </row>
        <row r="6107">
          <cell r="A6107" t="str">
            <v>2518 J</v>
          </cell>
          <cell r="B6107">
            <v>12231</v>
          </cell>
          <cell r="C6107">
            <v>45800</v>
          </cell>
          <cell r="D6107" t="str">
            <v>JILANI</v>
          </cell>
          <cell r="E6107" t="str">
            <v>اٹلس ہنڈا لمیٹڈ شیخوپورہ</v>
          </cell>
        </row>
        <row r="6108">
          <cell r="A6108" t="str">
            <v>2519 J</v>
          </cell>
          <cell r="B6108">
            <v>12232</v>
          </cell>
          <cell r="C6108">
            <v>45800</v>
          </cell>
          <cell r="D6108" t="str">
            <v>JILANI</v>
          </cell>
          <cell r="E6108" t="str">
            <v>اٹلس ہنڈا لمیٹڈ شیخوپورہ</v>
          </cell>
        </row>
        <row r="6109">
          <cell r="A6109" t="str">
            <v>2520 J</v>
          </cell>
          <cell r="B6109">
            <v>12233</v>
          </cell>
          <cell r="C6109">
            <v>45800</v>
          </cell>
          <cell r="D6109" t="str">
            <v>JILANI</v>
          </cell>
          <cell r="E6109" t="str">
            <v>اٹلس ہنڈا لمیٹڈ شیخوپورہ</v>
          </cell>
        </row>
        <row r="6110">
          <cell r="A6110" t="str">
            <v>2521 J</v>
          </cell>
          <cell r="B6110">
            <v>12234</v>
          </cell>
          <cell r="C6110">
            <v>45800</v>
          </cell>
          <cell r="D6110" t="str">
            <v>JILANI</v>
          </cell>
          <cell r="E6110" t="str">
            <v>صابر سویٹس اینڈ بیکرز شاہدرہ ٹاؤن</v>
          </cell>
        </row>
        <row r="6111">
          <cell r="A6111" t="str">
            <v>2522 J</v>
          </cell>
          <cell r="B6111">
            <v>12235</v>
          </cell>
          <cell r="C6111">
            <v>45800</v>
          </cell>
          <cell r="D6111" t="str">
            <v>JILANI</v>
          </cell>
          <cell r="E6111" t="str">
            <v>ملک وے ملک لاہور</v>
          </cell>
        </row>
        <row r="6112">
          <cell r="A6112" t="str">
            <v>2523 J</v>
          </cell>
          <cell r="B6112">
            <v>12236</v>
          </cell>
          <cell r="C6112">
            <v>45800</v>
          </cell>
          <cell r="D6112" t="str">
            <v>JILANI</v>
          </cell>
          <cell r="E6112" t="str">
            <v>واہ نوبل پرائیویٹ لمیٹڈ</v>
          </cell>
        </row>
        <row r="6113">
          <cell r="A6113" t="str">
            <v>2524 J</v>
          </cell>
          <cell r="B6113">
            <v>12237</v>
          </cell>
          <cell r="C6113">
            <v>45800</v>
          </cell>
          <cell r="D6113" t="str">
            <v>JILANI</v>
          </cell>
          <cell r="E6113" t="str">
            <v>ابرار سلیم C/Pجمیل صاحب</v>
          </cell>
        </row>
        <row r="6114">
          <cell r="A6114" t="str">
            <v>2525 J</v>
          </cell>
          <cell r="B6114">
            <v>12238</v>
          </cell>
          <cell r="C6114">
            <v>45801</v>
          </cell>
          <cell r="D6114" t="str">
            <v>JILANI</v>
          </cell>
          <cell r="E6114" t="str">
            <v>رضا گارمنٹس لاہور</v>
          </cell>
        </row>
        <row r="6115">
          <cell r="A6115" t="str">
            <v>2526 J</v>
          </cell>
          <cell r="B6115">
            <v>12239</v>
          </cell>
          <cell r="C6115">
            <v>45801</v>
          </cell>
          <cell r="D6115" t="str">
            <v>JILANI</v>
          </cell>
          <cell r="E6115" t="str">
            <v>عالم پرنٹرز بٹ خیلہ</v>
          </cell>
        </row>
        <row r="6116">
          <cell r="A6116" t="str">
            <v>2527 J</v>
          </cell>
          <cell r="B6116">
            <v>12240</v>
          </cell>
          <cell r="C6116">
            <v>45801</v>
          </cell>
          <cell r="D6116" t="str">
            <v>JILANI</v>
          </cell>
          <cell r="E6116" t="str">
            <v>آغا اینڈ آغا پرائیویٹ لیمٹڈ</v>
          </cell>
        </row>
        <row r="6117">
          <cell r="A6117" t="str">
            <v>2528 J</v>
          </cell>
          <cell r="B6117">
            <v>12240</v>
          </cell>
          <cell r="C6117">
            <v>45801</v>
          </cell>
          <cell r="D6117" t="str">
            <v>JILANI</v>
          </cell>
          <cell r="E6117" t="str">
            <v>آغا اینڈ آغا پرائیویٹ لیمٹڈ</v>
          </cell>
        </row>
        <row r="6118">
          <cell r="A6118" t="str">
            <v>2529 J</v>
          </cell>
          <cell r="B6118">
            <v>12241</v>
          </cell>
          <cell r="C6118">
            <v>45803</v>
          </cell>
          <cell r="D6118" t="str">
            <v>OTHER</v>
          </cell>
          <cell r="E6118" t="str">
            <v>جیلانی پولی سٹاک</v>
          </cell>
        </row>
        <row r="6119">
          <cell r="A6119" t="str">
            <v>2530 J</v>
          </cell>
          <cell r="B6119">
            <v>12241</v>
          </cell>
          <cell r="C6119">
            <v>45803</v>
          </cell>
          <cell r="D6119" t="str">
            <v>JILANI</v>
          </cell>
          <cell r="E6119" t="str">
            <v>ایم کے بی پشاور</v>
          </cell>
        </row>
        <row r="6120">
          <cell r="A6120" t="str">
            <v>2531 J</v>
          </cell>
          <cell r="B6120">
            <v>12242</v>
          </cell>
          <cell r="C6120">
            <v>45803</v>
          </cell>
          <cell r="D6120" t="str">
            <v>JILANI</v>
          </cell>
          <cell r="E6120" t="str">
            <v>مدنی پرنٹنگ پریس نارنگ منڈی</v>
          </cell>
        </row>
        <row r="6121">
          <cell r="A6121" t="str">
            <v>2532 J</v>
          </cell>
          <cell r="B6121">
            <v>12242</v>
          </cell>
          <cell r="C6121">
            <v>45803</v>
          </cell>
          <cell r="D6121" t="str">
            <v>JILANI</v>
          </cell>
          <cell r="E6121" t="str">
            <v>مدنی پرنٹنگ پریس نارنگ منڈی</v>
          </cell>
        </row>
        <row r="6122">
          <cell r="A6122" t="str">
            <v>2533 J</v>
          </cell>
          <cell r="B6122">
            <v>12243</v>
          </cell>
          <cell r="C6122">
            <v>45803</v>
          </cell>
          <cell r="D6122" t="str">
            <v>JILANI</v>
          </cell>
          <cell r="E6122" t="str">
            <v>ارشد لفافہ مرچینٹ گجر خان</v>
          </cell>
        </row>
        <row r="6123">
          <cell r="A6123" t="str">
            <v>2534 J</v>
          </cell>
          <cell r="B6123">
            <v>12243</v>
          </cell>
          <cell r="C6123">
            <v>45803</v>
          </cell>
          <cell r="D6123" t="str">
            <v>JILANI</v>
          </cell>
          <cell r="E6123" t="str">
            <v>ارشد لفافہ مرچینٹ گجر خان</v>
          </cell>
        </row>
        <row r="6124">
          <cell r="A6124" t="str">
            <v>2535 J</v>
          </cell>
          <cell r="B6124">
            <v>12243</v>
          </cell>
          <cell r="C6124">
            <v>45803</v>
          </cell>
          <cell r="D6124" t="str">
            <v>JILANI</v>
          </cell>
          <cell r="E6124" t="str">
            <v>ارشد لفافہ مرچینٹ گجر خان</v>
          </cell>
        </row>
        <row r="6125">
          <cell r="A6125" t="str">
            <v>2536 J</v>
          </cell>
          <cell r="B6125">
            <v>12244</v>
          </cell>
          <cell r="C6125">
            <v>45803</v>
          </cell>
          <cell r="D6125" t="str">
            <v>JILANI</v>
          </cell>
          <cell r="E6125" t="str">
            <v>وسیم شاپر ہاوس اعظم مارکیٹ</v>
          </cell>
        </row>
        <row r="6126">
          <cell r="A6126" t="str">
            <v>2537 J</v>
          </cell>
          <cell r="B6126">
            <v>12245</v>
          </cell>
          <cell r="C6126">
            <v>45803</v>
          </cell>
          <cell r="D6126" t="str">
            <v>JILANI</v>
          </cell>
          <cell r="E6126" t="str">
            <v>عثمان عارف بٹ گوجرانولہ</v>
          </cell>
        </row>
        <row r="6127">
          <cell r="A6127" t="str">
            <v>2538 J</v>
          </cell>
          <cell r="B6127">
            <v>12245</v>
          </cell>
          <cell r="C6127">
            <v>45803</v>
          </cell>
          <cell r="D6127" t="str">
            <v>JILANI</v>
          </cell>
          <cell r="E6127" t="str">
            <v>عثمان عارف بٹ گوجرانولہ</v>
          </cell>
        </row>
        <row r="6128">
          <cell r="A6128" t="str">
            <v>2539 J</v>
          </cell>
          <cell r="B6128">
            <v>12245</v>
          </cell>
          <cell r="C6128">
            <v>45803</v>
          </cell>
          <cell r="D6128" t="str">
            <v>JILANI</v>
          </cell>
          <cell r="E6128" t="str">
            <v>عثمان عارف بٹ گوجرانولہ</v>
          </cell>
        </row>
        <row r="6129">
          <cell r="A6129" t="str">
            <v>2540 J</v>
          </cell>
          <cell r="B6129">
            <v>12246</v>
          </cell>
          <cell r="C6129">
            <v>45803</v>
          </cell>
          <cell r="D6129" t="str">
            <v>JILANI</v>
          </cell>
          <cell r="E6129" t="str">
            <v>عثمان عارف بٹ گوجرانولہ</v>
          </cell>
        </row>
        <row r="6130">
          <cell r="A6130" t="str">
            <v>2541 J</v>
          </cell>
          <cell r="B6130">
            <v>12247</v>
          </cell>
          <cell r="C6130">
            <v>45803</v>
          </cell>
          <cell r="D6130" t="str">
            <v>JILANI</v>
          </cell>
          <cell r="E6130" t="str">
            <v>عثمان عارف بٹ گوجرانولہ</v>
          </cell>
        </row>
        <row r="6131">
          <cell r="A6131" t="str">
            <v>2542 J</v>
          </cell>
          <cell r="B6131">
            <v>12247</v>
          </cell>
          <cell r="C6131">
            <v>45803</v>
          </cell>
          <cell r="D6131" t="str">
            <v>JILANI</v>
          </cell>
          <cell r="E6131" t="str">
            <v>عثمان عارف بٹ گوجرانولہ</v>
          </cell>
        </row>
        <row r="6132">
          <cell r="A6132" t="str">
            <v>2543 J</v>
          </cell>
          <cell r="B6132">
            <v>12248</v>
          </cell>
          <cell r="C6132">
            <v>45803</v>
          </cell>
          <cell r="D6132" t="str">
            <v>JILANI</v>
          </cell>
          <cell r="E6132" t="str">
            <v>عبد A ٹریڈرز لاہور</v>
          </cell>
        </row>
        <row r="6133">
          <cell r="A6133" t="str">
            <v>2544 J</v>
          </cell>
          <cell r="B6133">
            <v>12249</v>
          </cell>
          <cell r="C6133">
            <v>45803</v>
          </cell>
          <cell r="D6133" t="str">
            <v>JILANI</v>
          </cell>
          <cell r="E6133" t="str">
            <v>عالم پرنٹرز بٹ خیلہ</v>
          </cell>
        </row>
        <row r="6134">
          <cell r="A6134" t="str">
            <v>2545 J</v>
          </cell>
          <cell r="B6134">
            <v>12250</v>
          </cell>
          <cell r="C6134">
            <v>45803</v>
          </cell>
          <cell r="D6134" t="str">
            <v>JILANI</v>
          </cell>
          <cell r="E6134" t="str">
            <v>اے بی گارمنٹس بھلوال</v>
          </cell>
        </row>
        <row r="6135">
          <cell r="A6135" t="str">
            <v>2546 J</v>
          </cell>
          <cell r="B6135">
            <v>12251</v>
          </cell>
          <cell r="C6135">
            <v>45803</v>
          </cell>
          <cell r="D6135" t="str">
            <v>JILANI</v>
          </cell>
          <cell r="E6135" t="str">
            <v>پیزا بنک فاسٹ فوڈ کامونکی</v>
          </cell>
        </row>
        <row r="6136">
          <cell r="A6136" t="str">
            <v>2547 J</v>
          </cell>
          <cell r="B6136">
            <v>12251</v>
          </cell>
          <cell r="C6136">
            <v>45803</v>
          </cell>
          <cell r="D6136" t="str">
            <v>JILANI</v>
          </cell>
          <cell r="E6136" t="str">
            <v>پیزا بنک فاسٹ فوڈ کامونکی</v>
          </cell>
        </row>
        <row r="6137">
          <cell r="A6137" t="str">
            <v>2548 J</v>
          </cell>
          <cell r="B6137">
            <v>12251</v>
          </cell>
          <cell r="C6137">
            <v>45803</v>
          </cell>
          <cell r="D6137" t="str">
            <v>JILANI</v>
          </cell>
          <cell r="E6137" t="str">
            <v>پیزا بنک فاسٹ فوڈ کامونکی</v>
          </cell>
        </row>
        <row r="6138">
          <cell r="A6138" t="str">
            <v>2549 J</v>
          </cell>
          <cell r="B6138">
            <v>12252</v>
          </cell>
          <cell r="C6138">
            <v>45803</v>
          </cell>
          <cell r="D6138" t="str">
            <v>JILANI</v>
          </cell>
          <cell r="E6138" t="str">
            <v>معظمی پلاسٹک ساہیوال</v>
          </cell>
        </row>
        <row r="6139">
          <cell r="A6139" t="str">
            <v>2550 J</v>
          </cell>
          <cell r="B6139">
            <v>12253</v>
          </cell>
          <cell r="C6139">
            <v>45803</v>
          </cell>
          <cell r="D6139" t="str">
            <v>JILANI</v>
          </cell>
          <cell r="E6139" t="str">
            <v>علی سویٹس اینڈ بیکرز رحیم یار خان</v>
          </cell>
        </row>
        <row r="6140">
          <cell r="A6140" t="str">
            <v>2551 J</v>
          </cell>
          <cell r="B6140">
            <v>12254</v>
          </cell>
          <cell r="C6140">
            <v>45803</v>
          </cell>
          <cell r="D6140" t="str">
            <v>JILANI</v>
          </cell>
          <cell r="E6140" t="str">
            <v>افضل فیبرکس علی پور چٹھہ</v>
          </cell>
        </row>
        <row r="6141">
          <cell r="A6141" t="str">
            <v>2552 J</v>
          </cell>
          <cell r="B6141">
            <v>12254</v>
          </cell>
          <cell r="C6141">
            <v>45803</v>
          </cell>
          <cell r="D6141" t="str">
            <v>JILANI</v>
          </cell>
          <cell r="E6141" t="str">
            <v>افضل فیبرکس علی پور چٹھہ</v>
          </cell>
        </row>
        <row r="6142">
          <cell r="A6142" t="str">
            <v>2553 J</v>
          </cell>
          <cell r="B6142">
            <v>12255</v>
          </cell>
          <cell r="C6142">
            <v>45803</v>
          </cell>
          <cell r="D6142" t="str">
            <v>JILANI</v>
          </cell>
          <cell r="E6142" t="str">
            <v>کیکس اینڈ بیکس لاہور بیکری یونٹ</v>
          </cell>
        </row>
        <row r="6143">
          <cell r="A6143" t="str">
            <v>2554 J</v>
          </cell>
          <cell r="B6143">
            <v>12255</v>
          </cell>
          <cell r="C6143">
            <v>45803</v>
          </cell>
          <cell r="D6143" t="str">
            <v>JILANI</v>
          </cell>
          <cell r="E6143" t="str">
            <v>کیکس اینڈ بیکس لاہور بیکری یونٹ</v>
          </cell>
        </row>
        <row r="6144">
          <cell r="A6144" t="str">
            <v>2555 J</v>
          </cell>
          <cell r="B6144">
            <v>12255</v>
          </cell>
          <cell r="C6144">
            <v>45803</v>
          </cell>
          <cell r="D6144" t="str">
            <v>JILANI</v>
          </cell>
          <cell r="E6144" t="str">
            <v>کیکس اینڈ بیکس لاہور بیکری یونٹ</v>
          </cell>
        </row>
        <row r="6145">
          <cell r="A6145" t="str">
            <v>2556 J</v>
          </cell>
          <cell r="B6145">
            <v>12256</v>
          </cell>
          <cell r="C6145">
            <v>45803</v>
          </cell>
          <cell r="D6145" t="str">
            <v>JILANI</v>
          </cell>
          <cell r="E6145" t="str">
            <v>کیکس اینڈ بیکس لاہور بیکری یونٹ</v>
          </cell>
        </row>
        <row r="6146">
          <cell r="A6146" t="str">
            <v>2557 J</v>
          </cell>
          <cell r="B6146">
            <v>12264</v>
          </cell>
          <cell r="C6146">
            <v>45803</v>
          </cell>
          <cell r="D6146" t="str">
            <v>JILANI</v>
          </cell>
          <cell r="E6146" t="str">
            <v>علی سویٹس اینڈ بیکرز رحیم یار خان</v>
          </cell>
        </row>
        <row r="6147">
          <cell r="A6147" t="str">
            <v>2558 J</v>
          </cell>
          <cell r="B6147">
            <v>12210</v>
          </cell>
          <cell r="C6147">
            <v>45798</v>
          </cell>
          <cell r="D6147" t="str">
            <v>JILANI</v>
          </cell>
          <cell r="E6147" t="str">
            <v>رواج گارمنٹس سیالکوٹ</v>
          </cell>
        </row>
        <row r="6148">
          <cell r="A6148" t="str">
            <v>2559 J</v>
          </cell>
          <cell r="B6148"/>
          <cell r="C6148">
            <v>45805</v>
          </cell>
          <cell r="D6148" t="str">
            <v>OTHER</v>
          </cell>
          <cell r="E6148" t="str">
            <v>جیلانی پلاسٹک</v>
          </cell>
        </row>
        <row r="6149">
          <cell r="A6149" t="str">
            <v>2560 J</v>
          </cell>
          <cell r="B6149"/>
          <cell r="C6149">
            <v>45805</v>
          </cell>
          <cell r="D6149" t="str">
            <v>OTHER</v>
          </cell>
          <cell r="E6149" t="str">
            <v>جیلانی پلاسٹک</v>
          </cell>
        </row>
        <row r="6150">
          <cell r="A6150" t="str">
            <v>2561 J</v>
          </cell>
          <cell r="B6150">
            <v>12265</v>
          </cell>
          <cell r="C6150">
            <v>45805</v>
          </cell>
          <cell r="D6150" t="str">
            <v>JILANI</v>
          </cell>
          <cell r="E6150" t="str">
            <v>معیز ٹریڈرز غازی روڈ لاہور</v>
          </cell>
        </row>
        <row r="6151">
          <cell r="A6151" t="str">
            <v>2562 J</v>
          </cell>
          <cell r="B6151">
            <v>12266</v>
          </cell>
          <cell r="C6151">
            <v>45805</v>
          </cell>
          <cell r="D6151" t="str">
            <v>JILANI</v>
          </cell>
          <cell r="E6151" t="str">
            <v>وسیم شاپر ہاوس اعظم مارکیٹ</v>
          </cell>
        </row>
        <row r="6152">
          <cell r="A6152" t="str">
            <v>2563 J</v>
          </cell>
          <cell r="B6152">
            <v>12267</v>
          </cell>
          <cell r="C6152">
            <v>45805</v>
          </cell>
          <cell r="D6152" t="str">
            <v>JILANI</v>
          </cell>
          <cell r="E6152" t="str">
            <v>کراچی سیل پوائنٹ سیالکوٹ</v>
          </cell>
        </row>
        <row r="6153">
          <cell r="A6153" t="str">
            <v>2564 J</v>
          </cell>
          <cell r="B6153">
            <v>12267</v>
          </cell>
          <cell r="C6153">
            <v>45805</v>
          </cell>
          <cell r="D6153" t="str">
            <v>JILANI</v>
          </cell>
          <cell r="E6153" t="str">
            <v>کراچی سیل پوائنٹ سیالکوٹ</v>
          </cell>
        </row>
        <row r="6154">
          <cell r="A6154" t="str">
            <v>2565 J</v>
          </cell>
          <cell r="B6154">
            <v>12267</v>
          </cell>
          <cell r="C6154">
            <v>45805</v>
          </cell>
          <cell r="D6154" t="str">
            <v>JILANI</v>
          </cell>
          <cell r="E6154" t="str">
            <v>کراچی سیل پوائنٹ سیالکوٹ</v>
          </cell>
        </row>
        <row r="6155">
          <cell r="A6155" t="str">
            <v>2566 J</v>
          </cell>
          <cell r="B6155">
            <v>12268</v>
          </cell>
          <cell r="C6155">
            <v>45805</v>
          </cell>
          <cell r="D6155" t="str">
            <v>JILANI</v>
          </cell>
          <cell r="E6155" t="str">
            <v>وقاص وولن ملز گوجرانوالہ</v>
          </cell>
        </row>
        <row r="6156">
          <cell r="A6156" t="str">
            <v>2567 J</v>
          </cell>
          <cell r="B6156">
            <v>12268</v>
          </cell>
          <cell r="C6156">
            <v>45805</v>
          </cell>
          <cell r="D6156" t="str">
            <v>JILANI</v>
          </cell>
          <cell r="E6156" t="str">
            <v>وقاص وولن ملز گوجرانوالہ</v>
          </cell>
        </row>
        <row r="6157">
          <cell r="A6157" t="str">
            <v>2568 J</v>
          </cell>
          <cell r="B6157">
            <v>12268</v>
          </cell>
          <cell r="C6157">
            <v>45805</v>
          </cell>
          <cell r="D6157" t="str">
            <v>JILANI</v>
          </cell>
          <cell r="E6157" t="str">
            <v>وقاص وولن ملز گوجرانوالہ</v>
          </cell>
        </row>
        <row r="6158">
          <cell r="A6158" t="str">
            <v>2569 J</v>
          </cell>
          <cell r="B6158">
            <v>12268</v>
          </cell>
          <cell r="C6158">
            <v>45805</v>
          </cell>
          <cell r="D6158" t="str">
            <v>JILANI</v>
          </cell>
          <cell r="E6158" t="str">
            <v>وقاص وولن ملز گوجرانوالہ</v>
          </cell>
        </row>
        <row r="6159">
          <cell r="A6159" t="str">
            <v>2570 J</v>
          </cell>
          <cell r="B6159">
            <v>12268</v>
          </cell>
          <cell r="C6159">
            <v>45805</v>
          </cell>
          <cell r="D6159" t="str">
            <v>JILANI</v>
          </cell>
          <cell r="E6159" t="str">
            <v>وقاص وولن ملز گوجرانوالہ</v>
          </cell>
        </row>
        <row r="6160">
          <cell r="A6160" t="str">
            <v>2571 J</v>
          </cell>
          <cell r="B6160">
            <v>12269</v>
          </cell>
          <cell r="C6160">
            <v>45805</v>
          </cell>
          <cell r="D6160" t="str">
            <v>JILANI</v>
          </cell>
          <cell r="E6160" t="str">
            <v>PO CANCEL</v>
          </cell>
        </row>
        <row r="6161">
          <cell r="A6161" t="str">
            <v>2572 J</v>
          </cell>
          <cell r="B6161">
            <v>12270</v>
          </cell>
          <cell r="C6161">
            <v>45805</v>
          </cell>
          <cell r="D6161" t="str">
            <v>JILANI</v>
          </cell>
          <cell r="E6161" t="str">
            <v>برگر سوسی شاہدرہ لاہور</v>
          </cell>
        </row>
        <row r="6162">
          <cell r="A6162" t="str">
            <v>2573 J</v>
          </cell>
          <cell r="B6162">
            <v>12270</v>
          </cell>
          <cell r="C6162">
            <v>45805</v>
          </cell>
          <cell r="D6162" t="str">
            <v>JILANI</v>
          </cell>
          <cell r="E6162" t="str">
            <v>برگر سوسی شاہدرہ لاہور</v>
          </cell>
        </row>
        <row r="6163">
          <cell r="A6163" t="str">
            <v>2574 J</v>
          </cell>
          <cell r="B6163">
            <v>12270</v>
          </cell>
          <cell r="C6163">
            <v>45805</v>
          </cell>
          <cell r="D6163" t="str">
            <v>JILANI</v>
          </cell>
          <cell r="E6163" t="str">
            <v>برگر سوسی شاہدرہ لاہور</v>
          </cell>
        </row>
        <row r="6164">
          <cell r="A6164" t="str">
            <v>2575 J</v>
          </cell>
          <cell r="B6164">
            <v>12271</v>
          </cell>
          <cell r="C6164">
            <v>45805</v>
          </cell>
          <cell r="D6164" t="str">
            <v>JILANI</v>
          </cell>
          <cell r="E6164" t="str">
            <v>بادشاہ کمپیوٹر گوجرانوالہ</v>
          </cell>
        </row>
        <row r="6165">
          <cell r="A6165" t="str">
            <v>2576 J</v>
          </cell>
          <cell r="B6165">
            <v>12272</v>
          </cell>
          <cell r="C6165">
            <v>45805</v>
          </cell>
          <cell r="D6165" t="str">
            <v>JILANI</v>
          </cell>
          <cell r="E6165" t="str">
            <v>انٹرنیشنل انڈسٹری لیمیٹڈ</v>
          </cell>
        </row>
        <row r="6166">
          <cell r="A6166" t="str">
            <v>2577 J</v>
          </cell>
          <cell r="B6166">
            <v>12273</v>
          </cell>
          <cell r="C6166">
            <v>45805</v>
          </cell>
          <cell r="D6166" t="str">
            <v>JILANI</v>
          </cell>
          <cell r="E6166" t="str">
            <v>کیکس اینڈ بیکس لاہور بیکری یونٹ</v>
          </cell>
        </row>
        <row r="6167">
          <cell r="A6167" t="str">
            <v>2578 J</v>
          </cell>
          <cell r="B6167">
            <v>12274</v>
          </cell>
          <cell r="C6167">
            <v>45805</v>
          </cell>
          <cell r="D6167" t="str">
            <v>JILANI</v>
          </cell>
          <cell r="E6167" t="str">
            <v>نواب ٹیکسٹائل اعظم مارکیٹ لاہور</v>
          </cell>
        </row>
        <row r="6168">
          <cell r="A6168" t="str">
            <v>2579 J</v>
          </cell>
          <cell r="B6168">
            <v>12274</v>
          </cell>
          <cell r="C6168">
            <v>45805</v>
          </cell>
          <cell r="D6168" t="str">
            <v>JILANI</v>
          </cell>
          <cell r="E6168" t="str">
            <v>نواب ٹیکسٹائل اعظم مارکیٹ لاہور</v>
          </cell>
        </row>
        <row r="6169">
          <cell r="A6169" t="str">
            <v>2580 J</v>
          </cell>
          <cell r="B6169">
            <v>12275</v>
          </cell>
          <cell r="C6169">
            <v>45805</v>
          </cell>
          <cell r="D6169" t="str">
            <v>JILANI</v>
          </cell>
          <cell r="E6169" t="str">
            <v>نواب ٹیکسٹائل اعظم مارکیٹ لاہور</v>
          </cell>
        </row>
        <row r="6170">
          <cell r="A6170" t="str">
            <v>2581 J</v>
          </cell>
          <cell r="B6170">
            <v>12276</v>
          </cell>
          <cell r="C6170">
            <v>45805</v>
          </cell>
          <cell r="D6170" t="str">
            <v>JILANI</v>
          </cell>
          <cell r="E6170" t="str">
            <v>اعجاز شیر صوابی</v>
          </cell>
        </row>
        <row r="6171">
          <cell r="A6171" t="str">
            <v>2582 J</v>
          </cell>
          <cell r="B6171">
            <v>12277</v>
          </cell>
          <cell r="C6171">
            <v>45805</v>
          </cell>
          <cell r="D6171" t="str">
            <v>JILANI</v>
          </cell>
          <cell r="E6171" t="str">
            <v>فاروق ٹیکسٹائل لاہور</v>
          </cell>
        </row>
        <row r="6172">
          <cell r="A6172" t="str">
            <v>2583 J</v>
          </cell>
          <cell r="B6172">
            <v>12278</v>
          </cell>
          <cell r="C6172">
            <v>45805</v>
          </cell>
          <cell r="D6172" t="str">
            <v>JILANI</v>
          </cell>
          <cell r="E6172" t="str">
            <v>جے ایس پرنٹرز لاہور</v>
          </cell>
        </row>
        <row r="6173">
          <cell r="A6173" t="str">
            <v>2584 J</v>
          </cell>
          <cell r="B6173">
            <v>12279</v>
          </cell>
          <cell r="C6173">
            <v>45805</v>
          </cell>
          <cell r="D6173" t="str">
            <v>JILANI</v>
          </cell>
          <cell r="E6173" t="str">
            <v>برجر پینٹ لاہور</v>
          </cell>
        </row>
        <row r="6174">
          <cell r="A6174" t="str">
            <v>2585 J</v>
          </cell>
          <cell r="B6174">
            <v>12282</v>
          </cell>
          <cell r="C6174">
            <v>45806</v>
          </cell>
          <cell r="D6174" t="str">
            <v>JILANI</v>
          </cell>
          <cell r="E6174" t="str">
            <v>شیخ اصغر علی اینڈ سنز سرگودھا</v>
          </cell>
        </row>
        <row r="6175">
          <cell r="A6175" t="str">
            <v>2586 J</v>
          </cell>
          <cell r="B6175">
            <v>12281</v>
          </cell>
          <cell r="C6175">
            <v>45806</v>
          </cell>
          <cell r="D6175" t="str">
            <v>JILANI</v>
          </cell>
          <cell r="E6175" t="str">
            <v>ہیڈ آفس لاہور</v>
          </cell>
        </row>
        <row r="6176">
          <cell r="A6176" t="str">
            <v>2587 J</v>
          </cell>
          <cell r="B6176">
            <v>12281</v>
          </cell>
          <cell r="C6176">
            <v>45806</v>
          </cell>
          <cell r="D6176" t="str">
            <v>JILANI</v>
          </cell>
          <cell r="E6176" t="str">
            <v>ہیڈ آفس لاہور</v>
          </cell>
        </row>
        <row r="6177">
          <cell r="A6177" t="str">
            <v>2588 J</v>
          </cell>
          <cell r="B6177">
            <v>12281</v>
          </cell>
          <cell r="C6177">
            <v>45806</v>
          </cell>
          <cell r="D6177" t="str">
            <v>JILANI</v>
          </cell>
          <cell r="E6177" t="str">
            <v>ہیڈ آفس لاہور</v>
          </cell>
        </row>
        <row r="6178">
          <cell r="A6178" t="str">
            <v>2589 J</v>
          </cell>
          <cell r="B6178">
            <v>12283</v>
          </cell>
          <cell r="C6178">
            <v>45806</v>
          </cell>
          <cell r="D6178" t="str">
            <v>JILANI</v>
          </cell>
          <cell r="E6178" t="str">
            <v>قمر کلاتھ ہاؤس کروڑ</v>
          </cell>
        </row>
        <row r="6179">
          <cell r="A6179" t="str">
            <v>2590 J</v>
          </cell>
          <cell r="B6179">
            <v>12284</v>
          </cell>
          <cell r="C6179">
            <v>45806</v>
          </cell>
          <cell r="D6179" t="str">
            <v>JILANI</v>
          </cell>
          <cell r="E6179" t="str">
            <v>زم زم شاپنگ مال ٹمبرگراں</v>
          </cell>
        </row>
        <row r="6180">
          <cell r="A6180" t="str">
            <v>2591 J</v>
          </cell>
          <cell r="B6180">
            <v>12284</v>
          </cell>
          <cell r="C6180">
            <v>45806</v>
          </cell>
          <cell r="D6180" t="str">
            <v>JILANI</v>
          </cell>
          <cell r="E6180" t="str">
            <v>زم زم شاپنگ مال ٹمبرگراں</v>
          </cell>
        </row>
        <row r="6181">
          <cell r="A6181" t="str">
            <v>2592 J</v>
          </cell>
          <cell r="B6181">
            <v>12284</v>
          </cell>
          <cell r="C6181">
            <v>45806</v>
          </cell>
          <cell r="D6181" t="str">
            <v>JILANI</v>
          </cell>
          <cell r="E6181" t="str">
            <v>زم زم شاپنگ مال ٹمبرگراں</v>
          </cell>
        </row>
        <row r="6182">
          <cell r="A6182" t="str">
            <v>2593 J</v>
          </cell>
          <cell r="B6182">
            <v>12284</v>
          </cell>
          <cell r="C6182">
            <v>45806</v>
          </cell>
          <cell r="D6182" t="str">
            <v>JILANI</v>
          </cell>
          <cell r="E6182" t="str">
            <v>زم زم شاپنگ مال ٹمبرگراں</v>
          </cell>
        </row>
        <row r="6183">
          <cell r="A6183" t="str">
            <v>2594 J</v>
          </cell>
          <cell r="B6183">
            <v>12285</v>
          </cell>
          <cell r="C6183">
            <v>45806</v>
          </cell>
          <cell r="D6183" t="str">
            <v>JILANI</v>
          </cell>
          <cell r="E6183" t="str">
            <v>واہ نوبل پرائیویٹ لمیٹڈ</v>
          </cell>
        </row>
        <row r="6184">
          <cell r="A6184" t="str">
            <v>2595 J</v>
          </cell>
          <cell r="B6184">
            <v>12286</v>
          </cell>
          <cell r="C6184">
            <v>45806</v>
          </cell>
          <cell r="D6184" t="str">
            <v>JILANI</v>
          </cell>
          <cell r="E6184" t="str">
            <v>ریحان بٹ انار کلی</v>
          </cell>
        </row>
        <row r="6185">
          <cell r="A6185" t="str">
            <v>2596 J</v>
          </cell>
          <cell r="B6185">
            <v>12286</v>
          </cell>
          <cell r="C6185">
            <v>45806</v>
          </cell>
          <cell r="D6185" t="str">
            <v>JILANI</v>
          </cell>
          <cell r="E6185" t="str">
            <v>ریحان بٹ انار کلی</v>
          </cell>
        </row>
        <row r="6186">
          <cell r="A6186" t="str">
            <v>2597 J</v>
          </cell>
          <cell r="B6186">
            <v>12287</v>
          </cell>
          <cell r="C6186">
            <v>45806</v>
          </cell>
          <cell r="D6186" t="str">
            <v>JILANI</v>
          </cell>
          <cell r="E6186" t="str">
            <v>ایم کے بی پشاور</v>
          </cell>
        </row>
        <row r="6187">
          <cell r="A6187" t="str">
            <v>2598 J</v>
          </cell>
          <cell r="B6187">
            <v>12287</v>
          </cell>
          <cell r="C6187">
            <v>45806</v>
          </cell>
          <cell r="D6187" t="str">
            <v>JILANI</v>
          </cell>
          <cell r="E6187" t="str">
            <v>ایم کے بی پشاور</v>
          </cell>
        </row>
        <row r="6188">
          <cell r="A6188" t="str">
            <v>2599 J</v>
          </cell>
          <cell r="B6188">
            <v>12280</v>
          </cell>
          <cell r="C6188">
            <v>45806</v>
          </cell>
          <cell r="D6188" t="str">
            <v>JILANI</v>
          </cell>
          <cell r="E6188" t="str">
            <v>سپر یونیفارم شاپ لاہور</v>
          </cell>
        </row>
        <row r="6189">
          <cell r="A6189" t="str">
            <v>2600 J</v>
          </cell>
          <cell r="B6189"/>
          <cell r="C6189">
            <v>45807</v>
          </cell>
          <cell r="D6189" t="str">
            <v>JILANI</v>
          </cell>
          <cell r="E6189" t="str">
            <v>جیلانی پلاسٹک</v>
          </cell>
        </row>
        <row r="6190">
          <cell r="A6190" t="str">
            <v>2601 J</v>
          </cell>
          <cell r="B6190"/>
          <cell r="C6190">
            <v>45807</v>
          </cell>
          <cell r="D6190" t="str">
            <v>JILANI</v>
          </cell>
          <cell r="E6190" t="str">
            <v>جیلانی پلاسٹک</v>
          </cell>
        </row>
        <row r="6191">
          <cell r="A6191" t="str">
            <v>2602 J</v>
          </cell>
          <cell r="B6191"/>
          <cell r="C6191">
            <v>45807</v>
          </cell>
          <cell r="D6191" t="str">
            <v>JILANI</v>
          </cell>
          <cell r="E6191" t="str">
            <v>جیلانی پلاسٹک</v>
          </cell>
        </row>
        <row r="6192">
          <cell r="A6192" t="str">
            <v>2603 J</v>
          </cell>
          <cell r="B6192"/>
          <cell r="C6192">
            <v>45807</v>
          </cell>
          <cell r="D6192" t="str">
            <v>JILANI</v>
          </cell>
          <cell r="E6192" t="str">
            <v>جیلانی پلاسٹک</v>
          </cell>
        </row>
        <row r="6193">
          <cell r="A6193" t="str">
            <v>2604 J</v>
          </cell>
          <cell r="B6193"/>
          <cell r="C6193">
            <v>45807</v>
          </cell>
          <cell r="D6193" t="str">
            <v>JILANI</v>
          </cell>
          <cell r="E6193" t="str">
            <v>جیلانی پلاسٹک</v>
          </cell>
        </row>
        <row r="6194">
          <cell r="A6194" t="str">
            <v>2605 J</v>
          </cell>
          <cell r="B6194"/>
          <cell r="C6194">
            <v>45807</v>
          </cell>
          <cell r="D6194" t="str">
            <v>JILANI</v>
          </cell>
          <cell r="E6194" t="str">
            <v>جیلانی پلاسٹک</v>
          </cell>
        </row>
        <row r="6195">
          <cell r="A6195" t="str">
            <v>2606 J</v>
          </cell>
          <cell r="B6195"/>
          <cell r="C6195">
            <v>45807</v>
          </cell>
          <cell r="D6195" t="str">
            <v>JILANI</v>
          </cell>
          <cell r="E6195" t="str">
            <v>جیلانی پلاسٹک</v>
          </cell>
        </row>
        <row r="6196">
          <cell r="A6196" t="str">
            <v>2607 J</v>
          </cell>
          <cell r="B6196"/>
          <cell r="C6196">
            <v>45807</v>
          </cell>
          <cell r="D6196" t="str">
            <v>JILANI</v>
          </cell>
          <cell r="E6196" t="str">
            <v>جیلانی پلاسٹک</v>
          </cell>
        </row>
        <row r="6197">
          <cell r="A6197" t="str">
            <v>2608 J</v>
          </cell>
          <cell r="B6197"/>
          <cell r="C6197">
            <v>45807</v>
          </cell>
          <cell r="D6197" t="str">
            <v>JILANI</v>
          </cell>
          <cell r="E6197" t="str">
            <v>جیلانی پلاسٹک</v>
          </cell>
        </row>
        <row r="6198">
          <cell r="A6198" t="str">
            <v>2608 J</v>
          </cell>
          <cell r="B6198"/>
          <cell r="C6198">
            <v>45807</v>
          </cell>
          <cell r="D6198" t="str">
            <v>JILANI</v>
          </cell>
          <cell r="E6198" t="str">
            <v>جیلانی پلاسٹک</v>
          </cell>
        </row>
        <row r="6199">
          <cell r="A6199" t="str">
            <v>2610 J</v>
          </cell>
          <cell r="B6199">
            <v>12288</v>
          </cell>
          <cell r="C6199">
            <v>45807</v>
          </cell>
          <cell r="D6199" t="str">
            <v>JILANI</v>
          </cell>
          <cell r="E6199" t="str">
            <v>ہیڈ آفس لاہور</v>
          </cell>
        </row>
        <row r="6200">
          <cell r="A6200" t="str">
            <v>2611 J</v>
          </cell>
          <cell r="B6200">
            <v>12288</v>
          </cell>
          <cell r="C6200">
            <v>45807</v>
          </cell>
          <cell r="D6200" t="str">
            <v>JILANI</v>
          </cell>
          <cell r="E6200" t="str">
            <v>ہیڈ آفس لاہور</v>
          </cell>
        </row>
        <row r="6201">
          <cell r="A6201" t="str">
            <v>2612 J</v>
          </cell>
          <cell r="B6201">
            <v>12289</v>
          </cell>
          <cell r="C6201">
            <v>45807</v>
          </cell>
          <cell r="D6201" t="str">
            <v>JILANI</v>
          </cell>
          <cell r="E6201" t="str">
            <v>شیخ شیراز سیالکوٹ</v>
          </cell>
        </row>
        <row r="6202">
          <cell r="A6202" t="str">
            <v>2613 J</v>
          </cell>
          <cell r="B6202">
            <v>12290</v>
          </cell>
          <cell r="C6202">
            <v>45807</v>
          </cell>
          <cell r="D6202" t="str">
            <v>JILANI</v>
          </cell>
          <cell r="E6202" t="str">
            <v>پاک پلاسٹک لاہور</v>
          </cell>
        </row>
        <row r="6203">
          <cell r="A6203" t="str">
            <v>2614 J</v>
          </cell>
          <cell r="B6203">
            <v>12290</v>
          </cell>
          <cell r="C6203">
            <v>45807</v>
          </cell>
          <cell r="D6203" t="str">
            <v>JILANI</v>
          </cell>
          <cell r="E6203" t="str">
            <v>پاک پلاسٹک لاہور</v>
          </cell>
        </row>
        <row r="6204">
          <cell r="A6204" t="str">
            <v>2615 J</v>
          </cell>
          <cell r="B6204">
            <v>12291</v>
          </cell>
          <cell r="C6204">
            <v>45807</v>
          </cell>
          <cell r="D6204" t="str">
            <v>JILANI</v>
          </cell>
          <cell r="E6204" t="str">
            <v>پاک پلاسٹک لاہور</v>
          </cell>
        </row>
        <row r="6205">
          <cell r="A6205" t="str">
            <v>2616 J</v>
          </cell>
          <cell r="B6205"/>
          <cell r="C6205">
            <v>45807</v>
          </cell>
          <cell r="D6205" t="str">
            <v>JILANI</v>
          </cell>
          <cell r="E6205" t="str">
            <v>محبوب پلاسٹک کئیر آف شاہزیب صاحب</v>
          </cell>
        </row>
        <row r="6206">
          <cell r="A6206" t="str">
            <v>2617 J</v>
          </cell>
          <cell r="B6206"/>
          <cell r="C6206">
            <v>45807</v>
          </cell>
          <cell r="D6206" t="str">
            <v>JILANI</v>
          </cell>
          <cell r="E6206" t="str">
            <v>محبوب پلاسٹک کئیر آف شاہزیب صاحب</v>
          </cell>
        </row>
        <row r="6207">
          <cell r="A6207" t="str">
            <v>2618 J</v>
          </cell>
          <cell r="B6207"/>
          <cell r="C6207">
            <v>45807</v>
          </cell>
          <cell r="D6207" t="str">
            <v>JILANI</v>
          </cell>
          <cell r="E6207" t="str">
            <v>محبوب پلاسٹک کئیر آف شاہزیب صاحب</v>
          </cell>
        </row>
        <row r="6208">
          <cell r="A6208" t="str">
            <v>2619 J</v>
          </cell>
          <cell r="B6208"/>
          <cell r="C6208">
            <v>45807</v>
          </cell>
          <cell r="D6208" t="str">
            <v>JILANI</v>
          </cell>
          <cell r="E6208" t="str">
            <v>محبوب پلاسٹک کئیر آف شاہزیب صاحب</v>
          </cell>
        </row>
        <row r="6209">
          <cell r="A6209" t="str">
            <v>2620 J</v>
          </cell>
          <cell r="B6209"/>
          <cell r="C6209">
            <v>45807</v>
          </cell>
          <cell r="D6209" t="str">
            <v>JILANI</v>
          </cell>
          <cell r="E6209" t="str">
            <v>محبوب پلاسٹک کئیر آف شاہزیب صاحب</v>
          </cell>
        </row>
        <row r="6210">
          <cell r="A6210" t="str">
            <v>2621 J</v>
          </cell>
          <cell r="B6210"/>
          <cell r="C6210">
            <v>45807</v>
          </cell>
          <cell r="D6210" t="str">
            <v>JILANI</v>
          </cell>
          <cell r="E6210" t="str">
            <v>محبوب پلاسٹک کئیر آف شاہزیب صاحب</v>
          </cell>
        </row>
        <row r="6211">
          <cell r="A6211" t="str">
            <v>2622 J</v>
          </cell>
          <cell r="B6211"/>
          <cell r="C6211">
            <v>45807</v>
          </cell>
          <cell r="D6211" t="str">
            <v>OTHER</v>
          </cell>
          <cell r="E6211" t="str">
            <v>جیلانی پلاسٹک</v>
          </cell>
        </row>
        <row r="6212">
          <cell r="A6212" t="str">
            <v>2623 J</v>
          </cell>
          <cell r="B6212"/>
          <cell r="C6212">
            <v>45807</v>
          </cell>
          <cell r="D6212" t="str">
            <v>OTHER</v>
          </cell>
          <cell r="E6212" t="str">
            <v>جیلانی پلاسٹک</v>
          </cell>
        </row>
        <row r="6213">
          <cell r="A6213" t="str">
            <v>2624 J</v>
          </cell>
          <cell r="B6213"/>
          <cell r="C6213">
            <v>45808</v>
          </cell>
          <cell r="D6213" t="str">
            <v>OTHER</v>
          </cell>
          <cell r="E6213" t="str">
            <v>جیلانی پولی سٹاک</v>
          </cell>
        </row>
        <row r="6214">
          <cell r="A6214" t="str">
            <v>2625 J</v>
          </cell>
          <cell r="B6214"/>
          <cell r="C6214">
            <v>45808</v>
          </cell>
          <cell r="D6214" t="str">
            <v>OTHER</v>
          </cell>
          <cell r="E6214" t="str">
            <v>جیلانی پولی سٹاک</v>
          </cell>
        </row>
        <row r="6215">
          <cell r="A6215" t="str">
            <v>2626 J</v>
          </cell>
          <cell r="B6215"/>
          <cell r="C6215">
            <v>45808</v>
          </cell>
          <cell r="D6215" t="str">
            <v>OTHER</v>
          </cell>
          <cell r="E6215" t="str">
            <v>جیلانی پولی سٹاک</v>
          </cell>
        </row>
        <row r="6216">
          <cell r="A6216" t="str">
            <v>2627 J</v>
          </cell>
          <cell r="B6216"/>
          <cell r="C6216">
            <v>45808</v>
          </cell>
          <cell r="D6216" t="str">
            <v>OTHER</v>
          </cell>
          <cell r="E6216" t="str">
            <v>جیلانی پولی سٹاک</v>
          </cell>
        </row>
        <row r="6217">
          <cell r="A6217" t="str">
            <v>2628 J</v>
          </cell>
          <cell r="B6217">
            <v>12257</v>
          </cell>
          <cell r="C6217">
            <v>45804</v>
          </cell>
          <cell r="D6217" t="str">
            <v>JILANI</v>
          </cell>
          <cell r="E6217" t="str">
            <v>امارات پلاسٹک ٹھوکر نیاز بیگ</v>
          </cell>
        </row>
        <row r="6218">
          <cell r="A6218" t="str">
            <v>2629 J</v>
          </cell>
          <cell r="B6218">
            <v>12258</v>
          </cell>
          <cell r="C6218">
            <v>45804</v>
          </cell>
          <cell r="D6218" t="str">
            <v>JILANI</v>
          </cell>
          <cell r="E6218" t="str">
            <v>عالم پرنٹرز بٹ خیلہ</v>
          </cell>
        </row>
        <row r="6219">
          <cell r="A6219" t="str">
            <v>2630 J</v>
          </cell>
          <cell r="B6219">
            <v>12258</v>
          </cell>
          <cell r="C6219">
            <v>45804</v>
          </cell>
          <cell r="D6219" t="str">
            <v>JILANI</v>
          </cell>
          <cell r="E6219" t="str">
            <v>عالم پرنٹرز بٹ خیلہ</v>
          </cell>
        </row>
        <row r="6220">
          <cell r="A6220" t="str">
            <v>2631 J</v>
          </cell>
          <cell r="B6220">
            <v>12258</v>
          </cell>
          <cell r="C6220">
            <v>45804</v>
          </cell>
          <cell r="D6220" t="str">
            <v>JILANI</v>
          </cell>
          <cell r="E6220" t="str">
            <v>عالم پرنٹرز بٹ خیلہ</v>
          </cell>
        </row>
        <row r="6221">
          <cell r="A6221" t="str">
            <v>2632 J</v>
          </cell>
          <cell r="B6221">
            <v>12259</v>
          </cell>
          <cell r="C6221">
            <v>45804</v>
          </cell>
          <cell r="D6221" t="str">
            <v>JILANI</v>
          </cell>
          <cell r="E6221" t="str">
            <v>پنجاب پرنٹرز حافظ آباد</v>
          </cell>
        </row>
        <row r="6222">
          <cell r="A6222" t="str">
            <v>2633 J</v>
          </cell>
          <cell r="B6222">
            <v>12260</v>
          </cell>
          <cell r="C6222">
            <v>45804</v>
          </cell>
          <cell r="D6222" t="str">
            <v>JILANI</v>
          </cell>
          <cell r="E6222" t="str">
            <v>مغل پلاسٹک لیہ</v>
          </cell>
        </row>
        <row r="6223">
          <cell r="A6223" t="str">
            <v>2634 J</v>
          </cell>
          <cell r="B6223">
            <v>12261</v>
          </cell>
          <cell r="C6223">
            <v>45804</v>
          </cell>
          <cell r="D6223" t="str">
            <v>JILANI</v>
          </cell>
          <cell r="E6223" t="str">
            <v>ہائی کلاس بیکرز گجرات</v>
          </cell>
        </row>
        <row r="6224">
          <cell r="A6224" t="str">
            <v>2635 J</v>
          </cell>
          <cell r="B6224">
            <v>12261</v>
          </cell>
          <cell r="C6224">
            <v>45804</v>
          </cell>
          <cell r="D6224" t="str">
            <v>JILANI</v>
          </cell>
          <cell r="E6224" t="str">
            <v>ہائی کلاس بیکرز گجرات</v>
          </cell>
        </row>
        <row r="6225">
          <cell r="A6225" t="str">
            <v>2636 J</v>
          </cell>
          <cell r="B6225">
            <v>12261</v>
          </cell>
          <cell r="C6225">
            <v>45804</v>
          </cell>
          <cell r="D6225" t="str">
            <v>JILANI</v>
          </cell>
          <cell r="E6225" t="str">
            <v>ہائی کلاس بیکرز گجرات</v>
          </cell>
        </row>
        <row r="6226">
          <cell r="A6226" t="str">
            <v>2637 J</v>
          </cell>
          <cell r="B6226">
            <v>12162</v>
          </cell>
          <cell r="C6226">
            <v>45804</v>
          </cell>
          <cell r="D6226" t="str">
            <v>JILANI</v>
          </cell>
          <cell r="E6226" t="str">
            <v>ہائی کلاس بیکرز گجرات</v>
          </cell>
        </row>
        <row r="6227">
          <cell r="A6227" t="str">
            <v>2638 J</v>
          </cell>
          <cell r="B6227">
            <v>12163</v>
          </cell>
          <cell r="C6227">
            <v>45804</v>
          </cell>
          <cell r="D6227" t="str">
            <v>JILANI</v>
          </cell>
          <cell r="E6227" t="str">
            <v>ہائی کلاس بیکرز گجرات</v>
          </cell>
        </row>
        <row r="6228">
          <cell r="A6228" t="str">
            <v>2639 J</v>
          </cell>
          <cell r="B6228"/>
          <cell r="C6228">
            <v>45778</v>
          </cell>
          <cell r="D6228" t="str">
            <v>JILANI</v>
          </cell>
          <cell r="E6228" t="str">
            <v>امتیاز سپر مارکیٹ لاہور (گجرانوالہ)</v>
          </cell>
        </row>
        <row r="6229">
          <cell r="A6229" t="str">
            <v>2640 J</v>
          </cell>
          <cell r="B6229"/>
          <cell r="C6229">
            <v>45778</v>
          </cell>
          <cell r="D6229" t="str">
            <v>JILANI</v>
          </cell>
          <cell r="E6229" t="str">
            <v>امتیاز سپر مارکیٹ لاہور (گجرانوالہ)</v>
          </cell>
        </row>
        <row r="6230">
          <cell r="A6230" t="str">
            <v>2641 J</v>
          </cell>
          <cell r="B6230"/>
          <cell r="C6230">
            <v>45810</v>
          </cell>
          <cell r="D6230" t="str">
            <v>JILANI</v>
          </cell>
          <cell r="E6230" t="str">
            <v>جیلانی پلاسٹک</v>
          </cell>
        </row>
        <row r="6231">
          <cell r="A6231" t="str">
            <v>2642 J</v>
          </cell>
          <cell r="B6231"/>
          <cell r="C6231">
            <v>45810</v>
          </cell>
          <cell r="D6231" t="str">
            <v>JILANI</v>
          </cell>
          <cell r="E6231" t="str">
            <v>جیلانی پلاسٹک</v>
          </cell>
        </row>
        <row r="6232">
          <cell r="A6232" t="str">
            <v>2643 J</v>
          </cell>
          <cell r="B6232"/>
          <cell r="C6232">
            <v>45810</v>
          </cell>
          <cell r="D6232" t="str">
            <v>JILANI</v>
          </cell>
          <cell r="E6232" t="str">
            <v>جیلانی پلاسٹک</v>
          </cell>
        </row>
        <row r="6233">
          <cell r="A6233" t="str">
            <v>2644 J</v>
          </cell>
          <cell r="B6233"/>
          <cell r="C6233">
            <v>45810</v>
          </cell>
          <cell r="D6233" t="str">
            <v>JILANI</v>
          </cell>
          <cell r="E6233" t="str">
            <v>جیلانی پلاسٹک</v>
          </cell>
        </row>
        <row r="6234">
          <cell r="A6234" t="str">
            <v>2645 J</v>
          </cell>
          <cell r="B6234"/>
          <cell r="C6234">
            <v>45810</v>
          </cell>
          <cell r="D6234" t="str">
            <v>JILANI</v>
          </cell>
          <cell r="E6234" t="str">
            <v>جیلانی پلاسٹک</v>
          </cell>
        </row>
        <row r="6235">
          <cell r="A6235" t="str">
            <v>2646 J</v>
          </cell>
          <cell r="B6235"/>
          <cell r="C6235">
            <v>45810</v>
          </cell>
          <cell r="D6235" t="str">
            <v>JILANI</v>
          </cell>
          <cell r="E6235" t="str">
            <v>جیلانی پلاسٹک</v>
          </cell>
        </row>
        <row r="6236">
          <cell r="A6236" t="str">
            <v>2647 J</v>
          </cell>
          <cell r="B6236"/>
          <cell r="C6236">
            <v>45810</v>
          </cell>
          <cell r="D6236" t="str">
            <v>JILANI</v>
          </cell>
          <cell r="E6236" t="str">
            <v>جیلانی پلاسٹک</v>
          </cell>
        </row>
        <row r="6237">
          <cell r="A6237" t="str">
            <v>2648 J</v>
          </cell>
          <cell r="B6237"/>
          <cell r="C6237">
            <v>45810</v>
          </cell>
          <cell r="D6237" t="str">
            <v>JILANI</v>
          </cell>
          <cell r="E6237" t="str">
            <v>جیلانی پلاسٹک</v>
          </cell>
        </row>
        <row r="6238">
          <cell r="A6238" t="str">
            <v>2649 J</v>
          </cell>
          <cell r="B6238"/>
          <cell r="C6238">
            <v>45810</v>
          </cell>
          <cell r="D6238" t="str">
            <v>JILANI</v>
          </cell>
          <cell r="E6238" t="str">
            <v>جیلانی پلاسٹک</v>
          </cell>
        </row>
        <row r="6239">
          <cell r="A6239" t="str">
            <v>2650 J</v>
          </cell>
          <cell r="B6239"/>
          <cell r="C6239">
            <v>45810</v>
          </cell>
          <cell r="D6239" t="str">
            <v>JILANI</v>
          </cell>
          <cell r="E6239" t="str">
            <v>جیلانی پلاسٹک</v>
          </cell>
        </row>
        <row r="6240">
          <cell r="A6240" t="str">
            <v>2651 J</v>
          </cell>
          <cell r="B6240"/>
          <cell r="C6240">
            <v>45810</v>
          </cell>
          <cell r="D6240" t="str">
            <v>OTHER</v>
          </cell>
          <cell r="E6240" t="str">
            <v>محبوب پلاسٹک کئیر آف شاہزیب صاحب</v>
          </cell>
        </row>
        <row r="6241">
          <cell r="A6241" t="str">
            <v>2652 J</v>
          </cell>
          <cell r="B6241"/>
          <cell r="C6241">
            <v>45810</v>
          </cell>
          <cell r="D6241" t="str">
            <v>OTHER</v>
          </cell>
          <cell r="E6241" t="str">
            <v>محبوب پلاسٹک کئیر آف شاہزیب صاحب</v>
          </cell>
        </row>
        <row r="6242">
          <cell r="A6242" t="str">
            <v>2653 J</v>
          </cell>
          <cell r="B6242"/>
          <cell r="C6242">
            <v>45810</v>
          </cell>
          <cell r="D6242" t="str">
            <v>OTHER</v>
          </cell>
          <cell r="E6242" t="str">
            <v>محبوب پلاسٹک کئیر آف شاہزیب صاحب</v>
          </cell>
        </row>
        <row r="6243">
          <cell r="A6243" t="str">
            <v>2654 J</v>
          </cell>
          <cell r="B6243"/>
          <cell r="C6243">
            <v>45810</v>
          </cell>
          <cell r="D6243" t="str">
            <v>OTHER</v>
          </cell>
          <cell r="E6243" t="str">
            <v>محبوب پلاسٹک کئیر آف شاہزیب صاحب</v>
          </cell>
        </row>
        <row r="6244">
          <cell r="A6244" t="str">
            <v>2655 J</v>
          </cell>
          <cell r="B6244"/>
          <cell r="C6244">
            <v>45810</v>
          </cell>
          <cell r="D6244" t="str">
            <v>OTHER</v>
          </cell>
          <cell r="E6244" t="str">
            <v>محبوب پلاسٹک کئیر آف شاہزیب صاحب</v>
          </cell>
        </row>
        <row r="6245">
          <cell r="A6245" t="str">
            <v>2656 J</v>
          </cell>
          <cell r="B6245"/>
          <cell r="C6245">
            <v>45810</v>
          </cell>
          <cell r="D6245" t="str">
            <v>OTHER</v>
          </cell>
          <cell r="E6245" t="str">
            <v>محبوب پلاسٹک کئیر آف شاہزیب صاحب</v>
          </cell>
        </row>
        <row r="6246">
          <cell r="A6246" t="str">
            <v>2657 J</v>
          </cell>
          <cell r="B6246"/>
          <cell r="C6246">
            <v>45810</v>
          </cell>
          <cell r="D6246" t="str">
            <v>OTHER</v>
          </cell>
          <cell r="E6246" t="str">
            <v>محبوب پلاسٹک کئیر آف شاہزیب صاحب</v>
          </cell>
        </row>
        <row r="6247">
          <cell r="A6247" t="str">
            <v>2658 J</v>
          </cell>
          <cell r="B6247"/>
          <cell r="C6247">
            <v>45810</v>
          </cell>
          <cell r="D6247" t="str">
            <v>OTHER</v>
          </cell>
          <cell r="E6247" t="str">
            <v>محبوب پلاسٹک کئیر آف شاہزیب صاحب</v>
          </cell>
        </row>
        <row r="6248">
          <cell r="A6248" t="str">
            <v>2659 J</v>
          </cell>
          <cell r="B6248"/>
          <cell r="C6248">
            <v>45810</v>
          </cell>
          <cell r="D6248" t="str">
            <v>OTHER</v>
          </cell>
          <cell r="E6248" t="str">
            <v>محبوب پلاسٹک کئیر آف شاہزیب صاحب</v>
          </cell>
        </row>
        <row r="6249">
          <cell r="A6249" t="str">
            <v>2660 J</v>
          </cell>
          <cell r="B6249"/>
          <cell r="C6249">
            <v>45810</v>
          </cell>
          <cell r="D6249" t="str">
            <v>OTHER</v>
          </cell>
          <cell r="E6249" t="str">
            <v>محبوب پلاسٹک کئیر آف شاہزیب صاحب</v>
          </cell>
        </row>
        <row r="6250">
          <cell r="A6250" t="str">
            <v>2661 J</v>
          </cell>
          <cell r="B6250"/>
          <cell r="C6250">
            <v>45810</v>
          </cell>
          <cell r="D6250" t="str">
            <v>OTHER</v>
          </cell>
          <cell r="E6250" t="str">
            <v>محبوب پلاسٹک کئیر آف شاہزیب صاحب</v>
          </cell>
        </row>
        <row r="6251">
          <cell r="A6251" t="str">
            <v>2662 J</v>
          </cell>
          <cell r="B6251"/>
          <cell r="C6251">
            <v>45810</v>
          </cell>
          <cell r="D6251" t="str">
            <v>OTHER</v>
          </cell>
          <cell r="E6251" t="str">
            <v>محبوب پلاسٹک کئیر آف شاہزیب صاحب</v>
          </cell>
        </row>
        <row r="6252">
          <cell r="A6252" t="str">
            <v>2663 J</v>
          </cell>
          <cell r="B6252"/>
          <cell r="C6252">
            <v>45810</v>
          </cell>
          <cell r="D6252" t="str">
            <v>OTHER</v>
          </cell>
          <cell r="E6252" t="str">
            <v>محبوب پلاسٹک کئیر آف شاہزیب صاحب</v>
          </cell>
        </row>
        <row r="6253">
          <cell r="A6253" t="str">
            <v>2664 J</v>
          </cell>
          <cell r="B6253"/>
          <cell r="C6253">
            <v>45810</v>
          </cell>
          <cell r="D6253" t="str">
            <v>OTHER</v>
          </cell>
          <cell r="E6253" t="str">
            <v>محبوب پلاسٹک کئیر آف شاہزیب صاحب</v>
          </cell>
        </row>
        <row r="6254">
          <cell r="A6254" t="str">
            <v>2665 J</v>
          </cell>
          <cell r="B6254"/>
          <cell r="C6254">
            <v>45810</v>
          </cell>
          <cell r="D6254" t="str">
            <v>JILANI</v>
          </cell>
          <cell r="E6254" t="str">
            <v>جیلانی پلاسٹک</v>
          </cell>
        </row>
        <row r="6255">
          <cell r="A6255" t="str">
            <v>2666 J</v>
          </cell>
          <cell r="B6255">
            <v>12192</v>
          </cell>
          <cell r="C6255">
            <v>45796</v>
          </cell>
          <cell r="D6255" t="str">
            <v>OTHER</v>
          </cell>
          <cell r="E6255" t="str">
            <v>عثمان عارف بٹ گوجرانولہ</v>
          </cell>
        </row>
        <row r="6256">
          <cell r="A6256" t="str">
            <v>2667 J</v>
          </cell>
          <cell r="B6256">
            <v>12294</v>
          </cell>
          <cell r="C6256">
            <v>45796</v>
          </cell>
          <cell r="D6256" t="str">
            <v>JILANI</v>
          </cell>
          <cell r="E6256" t="str">
            <v>کیکس اینڈ بیکس لاہور</v>
          </cell>
        </row>
        <row r="6257">
          <cell r="A6257" t="str">
            <v>1642 F</v>
          </cell>
          <cell r="B6257"/>
          <cell r="C6257">
            <v>45807</v>
          </cell>
          <cell r="D6257" t="str">
            <v>فینا</v>
          </cell>
          <cell r="E6257" t="str">
            <v>عثمان امین</v>
          </cell>
        </row>
        <row r="6258">
          <cell r="A6258" t="str">
            <v>1643 F</v>
          </cell>
          <cell r="B6258"/>
          <cell r="C6258">
            <v>45807</v>
          </cell>
          <cell r="D6258" t="str">
            <v>فینا</v>
          </cell>
          <cell r="E6258" t="str">
            <v>عثمان امین</v>
          </cell>
        </row>
        <row r="6259">
          <cell r="A6259" t="str">
            <v>1644 F</v>
          </cell>
          <cell r="B6259"/>
          <cell r="C6259">
            <v>45807</v>
          </cell>
          <cell r="D6259" t="str">
            <v>فینا</v>
          </cell>
          <cell r="E6259" t="str">
            <v>عثمان امین</v>
          </cell>
        </row>
        <row r="6260">
          <cell r="A6260" t="str">
            <v>1645 F</v>
          </cell>
          <cell r="B6260"/>
          <cell r="C6260">
            <v>45807</v>
          </cell>
          <cell r="D6260" t="str">
            <v>فینا</v>
          </cell>
          <cell r="E6260" t="str">
            <v>عثمان امین</v>
          </cell>
        </row>
        <row r="6261">
          <cell r="A6261" t="str">
            <v>1646 F</v>
          </cell>
          <cell r="B6261"/>
          <cell r="C6261">
            <v>45807</v>
          </cell>
          <cell r="D6261" t="str">
            <v>فینا</v>
          </cell>
          <cell r="E6261" t="str">
            <v>عثمان امین</v>
          </cell>
        </row>
        <row r="6262">
          <cell r="A6262" t="str">
            <v>1647 F</v>
          </cell>
          <cell r="B6262"/>
          <cell r="C6262">
            <v>45807</v>
          </cell>
          <cell r="D6262" t="str">
            <v>فینا</v>
          </cell>
          <cell r="E6262" t="str">
            <v>عثمان امین</v>
          </cell>
        </row>
        <row r="6263">
          <cell r="A6263" t="str">
            <v>1648 F</v>
          </cell>
          <cell r="B6263"/>
          <cell r="C6263">
            <v>45807</v>
          </cell>
          <cell r="D6263" t="str">
            <v>فینا</v>
          </cell>
          <cell r="E6263" t="str">
            <v>عثمان امین</v>
          </cell>
        </row>
        <row r="6264">
          <cell r="A6264" t="str">
            <v>1649 F</v>
          </cell>
          <cell r="B6264"/>
          <cell r="C6264">
            <v>45808</v>
          </cell>
          <cell r="D6264" t="str">
            <v>فینا</v>
          </cell>
          <cell r="E6264" t="str">
            <v>عثمان امین</v>
          </cell>
        </row>
        <row r="6265">
          <cell r="A6265" t="str">
            <v>1650 F</v>
          </cell>
          <cell r="B6265"/>
          <cell r="C6265">
            <v>45808</v>
          </cell>
          <cell r="D6265" t="str">
            <v>فینا</v>
          </cell>
          <cell r="E6265" t="str">
            <v>عثمان امین</v>
          </cell>
        </row>
        <row r="6266">
          <cell r="A6266" t="str">
            <v>1651 F</v>
          </cell>
          <cell r="B6266"/>
          <cell r="C6266">
            <v>45808</v>
          </cell>
          <cell r="D6266" t="str">
            <v>فینا</v>
          </cell>
          <cell r="E6266" t="str">
            <v>عثمان امین</v>
          </cell>
        </row>
        <row r="6267">
          <cell r="A6267" t="str">
            <v>1652 F</v>
          </cell>
          <cell r="B6267"/>
          <cell r="C6267">
            <v>45808</v>
          </cell>
          <cell r="D6267" t="str">
            <v>فینا</v>
          </cell>
          <cell r="E6267" t="str">
            <v>عثمان امین</v>
          </cell>
        </row>
        <row r="6268">
          <cell r="A6268" t="str">
            <v>1653 F</v>
          </cell>
          <cell r="B6268"/>
          <cell r="C6268">
            <v>45808</v>
          </cell>
          <cell r="D6268" t="str">
            <v>فینا</v>
          </cell>
          <cell r="E6268" t="str">
            <v>عثمان امین</v>
          </cell>
        </row>
        <row r="6269">
          <cell r="A6269" t="str">
            <v>1654 F</v>
          </cell>
          <cell r="B6269"/>
          <cell r="C6269">
            <v>45808</v>
          </cell>
          <cell r="D6269" t="str">
            <v>فینا</v>
          </cell>
          <cell r="E6269" t="str">
            <v>عثمان امین</v>
          </cell>
        </row>
        <row r="6270">
          <cell r="A6270" t="str">
            <v>1655 F</v>
          </cell>
          <cell r="B6270"/>
          <cell r="C6270">
            <v>45808</v>
          </cell>
          <cell r="D6270" t="str">
            <v>فینا</v>
          </cell>
          <cell r="E6270" t="str">
            <v>عثمان امین</v>
          </cell>
        </row>
        <row r="6271">
          <cell r="A6271" t="str">
            <v>2668 J</v>
          </cell>
          <cell r="B6271">
            <v>12292</v>
          </cell>
          <cell r="C6271">
            <v>45811</v>
          </cell>
          <cell r="D6271" t="str">
            <v>JILANI</v>
          </cell>
          <cell r="E6271" t="str">
            <v>بندوخاں</v>
          </cell>
        </row>
        <row r="6272">
          <cell r="A6272" t="str">
            <v>2669 J</v>
          </cell>
          <cell r="B6272">
            <v>12292</v>
          </cell>
          <cell r="C6272">
            <v>45811</v>
          </cell>
          <cell r="D6272" t="str">
            <v>JILANI</v>
          </cell>
          <cell r="E6272" t="str">
            <v>بندوخاں</v>
          </cell>
        </row>
        <row r="6273">
          <cell r="A6273" t="str">
            <v>2670 J</v>
          </cell>
          <cell r="B6273">
            <v>12292</v>
          </cell>
          <cell r="C6273">
            <v>45811</v>
          </cell>
          <cell r="D6273" t="str">
            <v>JILANI</v>
          </cell>
          <cell r="E6273" t="str">
            <v>بندوخاں لاہور</v>
          </cell>
        </row>
        <row r="6274">
          <cell r="A6274" t="str">
            <v>2671 J</v>
          </cell>
          <cell r="B6274">
            <v>12292</v>
          </cell>
          <cell r="C6274">
            <v>45811</v>
          </cell>
          <cell r="D6274" t="str">
            <v>JILANI</v>
          </cell>
          <cell r="E6274" t="str">
            <v>بندوخاں لاہور</v>
          </cell>
        </row>
        <row r="6275">
          <cell r="A6275" t="str">
            <v>2672 J</v>
          </cell>
          <cell r="B6275">
            <v>12292</v>
          </cell>
          <cell r="C6275">
            <v>45811</v>
          </cell>
          <cell r="D6275" t="str">
            <v>JILANI</v>
          </cell>
          <cell r="E6275" t="str">
            <v>بندوخاں لاہور</v>
          </cell>
        </row>
        <row r="6276">
          <cell r="A6276" t="str">
            <v>2673 J</v>
          </cell>
          <cell r="B6276">
            <v>12293</v>
          </cell>
          <cell r="C6276">
            <v>45811</v>
          </cell>
          <cell r="D6276" t="str">
            <v>JILANI</v>
          </cell>
          <cell r="E6276" t="str">
            <v>بندوخاں لاہور</v>
          </cell>
        </row>
        <row r="6277">
          <cell r="A6277" t="str">
            <v>2674 J</v>
          </cell>
          <cell r="B6277">
            <v>12295</v>
          </cell>
          <cell r="C6277">
            <v>45811</v>
          </cell>
          <cell r="D6277" t="str">
            <v>JILANI</v>
          </cell>
          <cell r="E6277" t="str">
            <v>جی جی اسنیکس لاہور</v>
          </cell>
        </row>
        <row r="6278">
          <cell r="A6278" t="str">
            <v>2675 J</v>
          </cell>
          <cell r="B6278">
            <v>12296</v>
          </cell>
          <cell r="C6278">
            <v>45811</v>
          </cell>
          <cell r="D6278" t="str">
            <v>JILANI</v>
          </cell>
          <cell r="E6278" t="str">
            <v>ایوب ٹریڈرزمال روڈ لاہور</v>
          </cell>
        </row>
        <row r="6279">
          <cell r="A6279" t="str">
            <v>2676 J</v>
          </cell>
          <cell r="B6279">
            <v>12298</v>
          </cell>
          <cell r="C6279">
            <v>45811</v>
          </cell>
          <cell r="D6279" t="str">
            <v>JILANI</v>
          </cell>
          <cell r="E6279" t="str">
            <v>کارس پینٹ انڈسٹری پرائیویٹ لیمیٹڈ</v>
          </cell>
        </row>
        <row r="6280">
          <cell r="A6280" t="str">
            <v>2677 J</v>
          </cell>
          <cell r="B6280">
            <v>12299</v>
          </cell>
          <cell r="C6280">
            <v>45811</v>
          </cell>
          <cell r="D6280" t="str">
            <v>JILANI</v>
          </cell>
          <cell r="E6280" t="str">
            <v>کارس پینٹ انڈسٹری پرائیویٹ لیمیٹڈ</v>
          </cell>
        </row>
        <row r="6281">
          <cell r="A6281" t="str">
            <v>2678 J</v>
          </cell>
          <cell r="B6281">
            <v>12300</v>
          </cell>
          <cell r="C6281">
            <v>45811</v>
          </cell>
          <cell r="D6281" t="str">
            <v>JILANI</v>
          </cell>
          <cell r="E6281" t="str">
            <v>بن یوسف چوبرجی</v>
          </cell>
        </row>
        <row r="6282">
          <cell r="A6282" t="str">
            <v>2679 J</v>
          </cell>
          <cell r="B6282">
            <v>12300</v>
          </cell>
          <cell r="C6282">
            <v>45811</v>
          </cell>
          <cell r="D6282" t="str">
            <v>JILANI</v>
          </cell>
          <cell r="E6282" t="str">
            <v>بن یوسف چوبرجی</v>
          </cell>
        </row>
        <row r="6283">
          <cell r="A6283" t="str">
            <v>2680 J</v>
          </cell>
          <cell r="B6283">
            <v>12301</v>
          </cell>
          <cell r="C6283">
            <v>45811</v>
          </cell>
          <cell r="D6283" t="str">
            <v>JILANI</v>
          </cell>
          <cell r="E6283" t="str">
            <v>امتیاز سپر مارکیٹ لاہور (کراچی)</v>
          </cell>
        </row>
        <row r="6284">
          <cell r="A6284" t="str">
            <v>2681 J</v>
          </cell>
          <cell r="B6284">
            <v>12301</v>
          </cell>
          <cell r="C6284">
            <v>45811</v>
          </cell>
          <cell r="D6284" t="str">
            <v>JILANI</v>
          </cell>
          <cell r="E6284" t="str">
            <v>امتیاز سپر مارکیٹ لاہور (کراچی)</v>
          </cell>
        </row>
        <row r="6285">
          <cell r="A6285" t="str">
            <v>2682 J</v>
          </cell>
          <cell r="B6285"/>
          <cell r="C6285">
            <v>45811</v>
          </cell>
          <cell r="D6285" t="str">
            <v>OTHER</v>
          </cell>
          <cell r="E6285" t="str">
            <v>جیلانی پلاسٹک</v>
          </cell>
        </row>
        <row r="6286">
          <cell r="A6286" t="str">
            <v>1656 F</v>
          </cell>
          <cell r="B6286"/>
          <cell r="C6286">
            <v>45810</v>
          </cell>
          <cell r="D6286" t="str">
            <v>فینا</v>
          </cell>
          <cell r="E6286" t="str">
            <v>عثمان امین</v>
          </cell>
        </row>
        <row r="6287">
          <cell r="A6287" t="str">
            <v>1657 F</v>
          </cell>
          <cell r="B6287"/>
          <cell r="C6287">
            <v>45810</v>
          </cell>
          <cell r="D6287" t="str">
            <v>فینا</v>
          </cell>
          <cell r="E6287" t="str">
            <v>عثمان امین</v>
          </cell>
        </row>
        <row r="6288">
          <cell r="A6288" t="str">
            <v>1658 F</v>
          </cell>
          <cell r="B6288"/>
          <cell r="C6288">
            <v>45810</v>
          </cell>
          <cell r="D6288" t="str">
            <v>فینا</v>
          </cell>
          <cell r="E6288" t="str">
            <v>عثمان امین</v>
          </cell>
        </row>
        <row r="6289">
          <cell r="A6289" t="str">
            <v>1659 F</v>
          </cell>
          <cell r="B6289"/>
          <cell r="C6289">
            <v>45810</v>
          </cell>
          <cell r="D6289" t="str">
            <v>فینا</v>
          </cell>
          <cell r="E6289" t="str">
            <v>عثمان امین</v>
          </cell>
        </row>
        <row r="6290">
          <cell r="A6290" t="str">
            <v>1660 F</v>
          </cell>
          <cell r="B6290"/>
          <cell r="C6290">
            <v>45810</v>
          </cell>
          <cell r="D6290" t="str">
            <v>فینا</v>
          </cell>
          <cell r="E6290" t="str">
            <v>عثمان امین</v>
          </cell>
        </row>
        <row r="6291">
          <cell r="A6291" t="str">
            <v>1661 F</v>
          </cell>
          <cell r="B6291"/>
          <cell r="C6291">
            <v>45810</v>
          </cell>
          <cell r="D6291" t="str">
            <v>فینا</v>
          </cell>
          <cell r="E6291" t="str">
            <v>عثمان امین</v>
          </cell>
        </row>
        <row r="6292">
          <cell r="A6292" t="str">
            <v>1662 F</v>
          </cell>
          <cell r="B6292"/>
          <cell r="C6292">
            <v>45810</v>
          </cell>
          <cell r="D6292" t="str">
            <v>فینا</v>
          </cell>
          <cell r="E6292" t="str">
            <v>عثمان امین</v>
          </cell>
        </row>
        <row r="6293">
          <cell r="A6293" t="str">
            <v>1663 F</v>
          </cell>
          <cell r="B6293"/>
          <cell r="C6293">
            <v>45812</v>
          </cell>
          <cell r="D6293" t="str">
            <v>فینا</v>
          </cell>
          <cell r="E6293" t="str">
            <v>عثمان امین</v>
          </cell>
        </row>
        <row r="6294">
          <cell r="A6294" t="str">
            <v>1664 F</v>
          </cell>
          <cell r="B6294"/>
          <cell r="C6294">
            <v>45812</v>
          </cell>
          <cell r="D6294" t="str">
            <v>فینا</v>
          </cell>
          <cell r="E6294" t="str">
            <v>عثمان امین</v>
          </cell>
        </row>
        <row r="6295">
          <cell r="A6295" t="str">
            <v>1665 F</v>
          </cell>
          <cell r="B6295"/>
          <cell r="C6295">
            <v>45812</v>
          </cell>
          <cell r="D6295" t="str">
            <v>فینا</v>
          </cell>
          <cell r="E6295" t="str">
            <v>عثمان امین</v>
          </cell>
        </row>
        <row r="6296">
          <cell r="A6296" t="str">
            <v>1666 F</v>
          </cell>
          <cell r="B6296"/>
          <cell r="C6296">
            <v>45812</v>
          </cell>
          <cell r="D6296" t="str">
            <v>فینا</v>
          </cell>
          <cell r="E6296" t="str">
            <v>عثمان امین</v>
          </cell>
        </row>
        <row r="6297">
          <cell r="A6297" t="str">
            <v>1667 F</v>
          </cell>
          <cell r="B6297"/>
          <cell r="C6297">
            <v>45812</v>
          </cell>
          <cell r="D6297" t="str">
            <v>فینا</v>
          </cell>
          <cell r="E6297" t="str">
            <v>عثمان امین</v>
          </cell>
        </row>
        <row r="6298">
          <cell r="A6298" t="str">
            <v>1668 F</v>
          </cell>
          <cell r="B6298"/>
          <cell r="C6298">
            <v>45812</v>
          </cell>
          <cell r="D6298" t="str">
            <v>فینا</v>
          </cell>
          <cell r="E6298" t="str">
            <v>عثمان امین</v>
          </cell>
        </row>
        <row r="6299">
          <cell r="A6299" t="str">
            <v>1669 F</v>
          </cell>
          <cell r="B6299"/>
          <cell r="C6299">
            <v>45812</v>
          </cell>
          <cell r="D6299" t="str">
            <v>فینا</v>
          </cell>
          <cell r="E6299" t="str">
            <v>عثمان امین</v>
          </cell>
        </row>
        <row r="6300">
          <cell r="A6300" t="str">
            <v>1670 F</v>
          </cell>
          <cell r="B6300"/>
          <cell r="C6300">
            <v>45812</v>
          </cell>
          <cell r="D6300" t="str">
            <v>فینا</v>
          </cell>
          <cell r="E6300" t="str">
            <v>عثمان امین</v>
          </cell>
        </row>
        <row r="6301">
          <cell r="A6301" t="str">
            <v>1671 F</v>
          </cell>
          <cell r="B6301"/>
          <cell r="C6301">
            <v>45812</v>
          </cell>
          <cell r="D6301" t="str">
            <v>فینا</v>
          </cell>
          <cell r="E6301" t="str">
            <v>عثمان امین</v>
          </cell>
        </row>
        <row r="6302">
          <cell r="A6302" t="str">
            <v>1672 F</v>
          </cell>
          <cell r="B6302"/>
          <cell r="C6302">
            <v>45812</v>
          </cell>
          <cell r="D6302" t="str">
            <v>فینا</v>
          </cell>
          <cell r="E6302" t="str">
            <v>عثمان امین</v>
          </cell>
        </row>
        <row r="6303">
          <cell r="A6303" t="str">
            <v>1673 F</v>
          </cell>
          <cell r="B6303"/>
          <cell r="C6303">
            <v>45812</v>
          </cell>
          <cell r="D6303" t="str">
            <v>فینا</v>
          </cell>
          <cell r="E6303" t="str">
            <v>عثمان امین</v>
          </cell>
        </row>
        <row r="6304">
          <cell r="A6304" t="str">
            <v>1674 F</v>
          </cell>
          <cell r="B6304"/>
          <cell r="C6304">
            <v>45812</v>
          </cell>
          <cell r="D6304" t="str">
            <v>فینا</v>
          </cell>
          <cell r="E6304" t="str">
            <v>عثمان امین</v>
          </cell>
        </row>
        <row r="6305">
          <cell r="A6305">
            <v>2755</v>
          </cell>
          <cell r="B6305">
            <v>8151</v>
          </cell>
          <cell r="C6305">
            <v>45821</v>
          </cell>
          <cell r="D6305" t="str">
            <v>JILANI</v>
          </cell>
          <cell r="E6305" t="str">
            <v>HONDA ATLAS (CARS) LTD</v>
          </cell>
        </row>
        <row r="6306">
          <cell r="A6306">
            <v>2756</v>
          </cell>
          <cell r="B6306">
            <v>2833</v>
          </cell>
          <cell r="C6306">
            <v>45822</v>
          </cell>
          <cell r="D6306" t="str">
            <v>JILANI</v>
          </cell>
          <cell r="E6306" t="str">
            <v>MATCO FOOD</v>
          </cell>
        </row>
        <row r="6307">
          <cell r="A6307" t="str">
            <v>2683 J</v>
          </cell>
          <cell r="B6307">
            <v>561</v>
          </cell>
          <cell r="C6307">
            <v>45811</v>
          </cell>
          <cell r="D6307" t="str">
            <v>OTHER</v>
          </cell>
          <cell r="E6307" t="str">
            <v>محبوب پلاسٹک کئیر آف شاہزیب صاحب</v>
          </cell>
        </row>
        <row r="6308">
          <cell r="A6308" t="str">
            <v>2684 J</v>
          </cell>
          <cell r="B6308">
            <v>561</v>
          </cell>
          <cell r="C6308">
            <v>45811</v>
          </cell>
          <cell r="D6308" t="str">
            <v>OTHER</v>
          </cell>
          <cell r="E6308" t="str">
            <v>محبوب پلاسٹک کئیر آف شاہزیب صاحب</v>
          </cell>
        </row>
        <row r="6309">
          <cell r="A6309" t="str">
            <v>2685 J</v>
          </cell>
          <cell r="B6309">
            <v>561</v>
          </cell>
          <cell r="C6309">
            <v>45811</v>
          </cell>
          <cell r="D6309" t="str">
            <v>OTHER</v>
          </cell>
          <cell r="E6309" t="str">
            <v>محبوب پلاسٹک کئیر آف شاہزیب صاحب</v>
          </cell>
        </row>
        <row r="6310">
          <cell r="A6310" t="str">
            <v>2686 J</v>
          </cell>
          <cell r="B6310">
            <v>561</v>
          </cell>
          <cell r="C6310">
            <v>45811</v>
          </cell>
          <cell r="D6310" t="str">
            <v>OTHER</v>
          </cell>
          <cell r="E6310" t="str">
            <v>محبوب پلاسٹک کئیر آف شاہزیب صاحب</v>
          </cell>
        </row>
        <row r="6311">
          <cell r="A6311" t="str">
            <v>2687 J</v>
          </cell>
          <cell r="B6311">
            <v>12302</v>
          </cell>
          <cell r="C6311">
            <v>45818</v>
          </cell>
          <cell r="D6311" t="str">
            <v>JILANI</v>
          </cell>
          <cell r="E6311" t="str">
            <v>شیخ ایم شہزاد  فیصل آباد</v>
          </cell>
        </row>
        <row r="6312">
          <cell r="A6312" t="str">
            <v>2688 J</v>
          </cell>
          <cell r="B6312">
            <v>12303</v>
          </cell>
          <cell r="C6312">
            <v>45818</v>
          </cell>
          <cell r="D6312" t="str">
            <v>JILANI</v>
          </cell>
          <cell r="E6312" t="str">
            <v>شیخ ایم شہزاد  فیصل آباد</v>
          </cell>
        </row>
        <row r="6313">
          <cell r="A6313" t="str">
            <v>2689 J</v>
          </cell>
          <cell r="B6313">
            <v>12304</v>
          </cell>
          <cell r="C6313">
            <v>45818</v>
          </cell>
          <cell r="D6313" t="str">
            <v>JILANI</v>
          </cell>
          <cell r="E6313" t="str">
            <v>احسان کاٹن پراڈکٹس</v>
          </cell>
        </row>
        <row r="6314">
          <cell r="A6314" t="str">
            <v>2690 J</v>
          </cell>
          <cell r="B6314">
            <v>12305</v>
          </cell>
          <cell r="C6314">
            <v>45818</v>
          </cell>
          <cell r="D6314" t="str">
            <v>JILANI</v>
          </cell>
          <cell r="E6314" t="str">
            <v>احسان کاٹن پراڈکٹس</v>
          </cell>
        </row>
        <row r="6315">
          <cell r="A6315" t="str">
            <v>2691 J</v>
          </cell>
          <cell r="B6315">
            <v>12306</v>
          </cell>
          <cell r="C6315">
            <v>45818</v>
          </cell>
          <cell r="D6315" t="str">
            <v>JILANI</v>
          </cell>
          <cell r="E6315" t="str">
            <v>احسان کاٹن پراڈکٹس</v>
          </cell>
        </row>
        <row r="6316">
          <cell r="A6316" t="str">
            <v>2692 J</v>
          </cell>
          <cell r="B6316">
            <v>12306</v>
          </cell>
          <cell r="C6316">
            <v>45818</v>
          </cell>
          <cell r="D6316" t="str">
            <v>JILANI</v>
          </cell>
          <cell r="E6316" t="str">
            <v>احسان کاٹن پراڈکٹس</v>
          </cell>
        </row>
        <row r="6317">
          <cell r="A6317" t="str">
            <v>2693 J</v>
          </cell>
          <cell r="B6317">
            <v>12307</v>
          </cell>
          <cell r="C6317">
            <v>45818</v>
          </cell>
          <cell r="D6317" t="str">
            <v>JILANI</v>
          </cell>
          <cell r="E6317" t="str">
            <v>احسان کاٹن پراڈکٹس</v>
          </cell>
        </row>
        <row r="6318">
          <cell r="A6318" t="str">
            <v>2694 J</v>
          </cell>
          <cell r="B6318">
            <v>12308</v>
          </cell>
          <cell r="C6318">
            <v>45818</v>
          </cell>
          <cell r="D6318" t="str">
            <v>JILANI</v>
          </cell>
          <cell r="E6318" t="str">
            <v>اٹلس ہنڈا لمیٹڈ شیخوپورہ</v>
          </cell>
        </row>
        <row r="6319">
          <cell r="A6319" t="str">
            <v>2695 J</v>
          </cell>
          <cell r="B6319">
            <v>12309</v>
          </cell>
          <cell r="C6319">
            <v>45818</v>
          </cell>
          <cell r="D6319" t="str">
            <v>JILANI</v>
          </cell>
          <cell r="E6319" t="str">
            <v>اٹلس ہنڈا لمیٹڈ شیخوپورہ</v>
          </cell>
        </row>
        <row r="6320">
          <cell r="A6320" t="str">
            <v>2696 J</v>
          </cell>
          <cell r="B6320">
            <v>12310</v>
          </cell>
          <cell r="C6320">
            <v>45818</v>
          </cell>
          <cell r="D6320" t="str">
            <v>JILANI</v>
          </cell>
          <cell r="E6320" t="str">
            <v>اٹلس ہنڈا لمیٹڈ شیخوپورہ</v>
          </cell>
        </row>
        <row r="6321">
          <cell r="A6321" t="str">
            <v>2697 J</v>
          </cell>
          <cell r="B6321">
            <v>12311</v>
          </cell>
          <cell r="C6321">
            <v>45818</v>
          </cell>
          <cell r="D6321" t="str">
            <v>JILANI</v>
          </cell>
          <cell r="E6321" t="str">
            <v>اٹلس ہنڈا لمیٹڈ شیخوپورہ</v>
          </cell>
        </row>
        <row r="6322">
          <cell r="A6322" t="str">
            <v>2698 J</v>
          </cell>
          <cell r="B6322">
            <v>12312</v>
          </cell>
          <cell r="C6322">
            <v>45818</v>
          </cell>
          <cell r="D6322" t="str">
            <v>JILANI</v>
          </cell>
          <cell r="E6322" t="str">
            <v>اٹلس ہنڈا لمیٹڈ شیخوپورہ</v>
          </cell>
        </row>
        <row r="6323">
          <cell r="A6323" t="str">
            <v>2699 J</v>
          </cell>
          <cell r="B6323">
            <v>12313</v>
          </cell>
          <cell r="C6323">
            <v>45818</v>
          </cell>
          <cell r="D6323" t="str">
            <v>JILANI</v>
          </cell>
          <cell r="E6323" t="str">
            <v>اٹلس ہنڈا لمیٹڈ شیخوپورہ</v>
          </cell>
        </row>
        <row r="6324">
          <cell r="A6324" t="str">
            <v>2700 J</v>
          </cell>
          <cell r="B6324">
            <v>12314</v>
          </cell>
          <cell r="C6324">
            <v>45818</v>
          </cell>
          <cell r="D6324" t="str">
            <v>JILANI</v>
          </cell>
          <cell r="E6324" t="str">
            <v>وقاص وولن ملز گوجرانوالہ</v>
          </cell>
        </row>
        <row r="6325">
          <cell r="A6325" t="str">
            <v>2701 J</v>
          </cell>
          <cell r="B6325">
            <v>12314</v>
          </cell>
          <cell r="C6325">
            <v>45818</v>
          </cell>
          <cell r="D6325" t="str">
            <v>JILANI</v>
          </cell>
          <cell r="E6325" t="str">
            <v>وقاص وولن ملز گوجرانوالہ</v>
          </cell>
        </row>
        <row r="6326">
          <cell r="A6326" t="str">
            <v>2702 J</v>
          </cell>
          <cell r="B6326">
            <v>12315</v>
          </cell>
          <cell r="C6326">
            <v>45818</v>
          </cell>
          <cell r="D6326" t="str">
            <v>JILANI</v>
          </cell>
          <cell r="E6326" t="str">
            <v>وقاص وولن ملز گوجرانوالہ</v>
          </cell>
        </row>
        <row r="6327">
          <cell r="A6327" t="str">
            <v>2703 J</v>
          </cell>
          <cell r="B6327">
            <v>12316</v>
          </cell>
          <cell r="C6327">
            <v>45818</v>
          </cell>
          <cell r="D6327" t="str">
            <v>JILANI</v>
          </cell>
          <cell r="E6327" t="str">
            <v>وقاص وولن ملز گوجرانوالہ</v>
          </cell>
        </row>
        <row r="6328">
          <cell r="A6328" t="str">
            <v>2704 J</v>
          </cell>
          <cell r="B6328">
            <v>12316</v>
          </cell>
          <cell r="C6328">
            <v>45818</v>
          </cell>
          <cell r="D6328" t="str">
            <v>JILANI</v>
          </cell>
          <cell r="E6328" t="str">
            <v>وقاص وولن ملز گوجرانوالہ</v>
          </cell>
        </row>
        <row r="6329">
          <cell r="A6329" t="str">
            <v>2705 J</v>
          </cell>
          <cell r="B6329">
            <v>12317</v>
          </cell>
          <cell r="C6329">
            <v>45818</v>
          </cell>
          <cell r="D6329" t="str">
            <v>JILANI</v>
          </cell>
          <cell r="E6329" t="str">
            <v>وقاص وولن ملز گوجرانوالہ</v>
          </cell>
        </row>
        <row r="6330">
          <cell r="A6330" t="str">
            <v>2706 J</v>
          </cell>
          <cell r="B6330">
            <v>12317</v>
          </cell>
          <cell r="C6330">
            <v>45818</v>
          </cell>
          <cell r="D6330" t="str">
            <v>JILANI</v>
          </cell>
          <cell r="E6330" t="str">
            <v>وقاص وولن ملز گوجرانوالہ</v>
          </cell>
        </row>
        <row r="6331">
          <cell r="A6331" t="str">
            <v>2707 J</v>
          </cell>
          <cell r="B6331">
            <v>12318</v>
          </cell>
          <cell r="C6331">
            <v>45818</v>
          </cell>
          <cell r="D6331" t="str">
            <v>JILANI</v>
          </cell>
          <cell r="E6331" t="str">
            <v>وقاص وولن ملز گوجرانوالہ</v>
          </cell>
        </row>
        <row r="6332">
          <cell r="A6332" t="str">
            <v>2708 J</v>
          </cell>
          <cell r="B6332">
            <v>12318</v>
          </cell>
          <cell r="C6332">
            <v>45818</v>
          </cell>
          <cell r="D6332" t="str">
            <v>JILANI</v>
          </cell>
          <cell r="E6332" t="str">
            <v>وقاص وولن ملز گوجرانوالہ</v>
          </cell>
        </row>
        <row r="6333">
          <cell r="A6333" t="str">
            <v>2709 J</v>
          </cell>
          <cell r="B6333">
            <v>12319</v>
          </cell>
          <cell r="C6333">
            <v>45818</v>
          </cell>
          <cell r="D6333" t="str">
            <v>JILANI</v>
          </cell>
          <cell r="E6333" t="str">
            <v>وقاص وولن ملز گوجرانوالہ</v>
          </cell>
        </row>
        <row r="6334">
          <cell r="A6334" t="str">
            <v>2710 J</v>
          </cell>
          <cell r="B6334">
            <v>12319</v>
          </cell>
          <cell r="C6334">
            <v>45818</v>
          </cell>
          <cell r="D6334" t="str">
            <v>JILANI</v>
          </cell>
          <cell r="E6334" t="str">
            <v>وقاص وولن ملز گوجرانوالہ</v>
          </cell>
        </row>
        <row r="6335">
          <cell r="A6335" t="str">
            <v>2711 J</v>
          </cell>
          <cell r="B6335">
            <v>12319</v>
          </cell>
          <cell r="C6335">
            <v>45818</v>
          </cell>
          <cell r="D6335" t="str">
            <v>JILANI</v>
          </cell>
          <cell r="E6335" t="str">
            <v>وقاص وولن ملز گوجرانوالہ</v>
          </cell>
        </row>
        <row r="6336">
          <cell r="A6336" t="str">
            <v>2712 J</v>
          </cell>
          <cell r="B6336">
            <v>12320</v>
          </cell>
          <cell r="C6336">
            <v>45818</v>
          </cell>
          <cell r="D6336" t="str">
            <v>JILANI</v>
          </cell>
          <cell r="E6336" t="str">
            <v>وقاص وولن ملز گوجرانوالہ</v>
          </cell>
        </row>
        <row r="6337">
          <cell r="A6337" t="str">
            <v>2713 J</v>
          </cell>
          <cell r="B6337">
            <v>12320</v>
          </cell>
          <cell r="C6337">
            <v>45818</v>
          </cell>
          <cell r="D6337" t="str">
            <v>JILANI</v>
          </cell>
          <cell r="E6337" t="str">
            <v>وقاص وولن ملز گوجرانوالہ</v>
          </cell>
        </row>
        <row r="6338">
          <cell r="A6338" t="str">
            <v>2714 J</v>
          </cell>
          <cell r="B6338">
            <v>12321</v>
          </cell>
          <cell r="C6338">
            <v>45818</v>
          </cell>
          <cell r="D6338" t="str">
            <v>JILANI</v>
          </cell>
          <cell r="E6338" t="str">
            <v>وقاص وولن ملز گوجرانوالہ</v>
          </cell>
        </row>
        <row r="6339">
          <cell r="A6339" t="str">
            <v>2715 J</v>
          </cell>
          <cell r="B6339">
            <v>12321</v>
          </cell>
          <cell r="C6339">
            <v>45818</v>
          </cell>
          <cell r="D6339" t="str">
            <v>JILANI</v>
          </cell>
          <cell r="E6339" t="str">
            <v>وقاص وولن ملز گوجرانوالہ</v>
          </cell>
        </row>
        <row r="6340">
          <cell r="A6340" t="str">
            <v>2716 J</v>
          </cell>
          <cell r="B6340">
            <v>12322</v>
          </cell>
          <cell r="C6340">
            <v>45819</v>
          </cell>
          <cell r="D6340" t="str">
            <v>JILANI</v>
          </cell>
          <cell r="E6340" t="str">
            <v>شیخ اصغر علی اینڈ سنز سرگودھا</v>
          </cell>
        </row>
        <row r="6341">
          <cell r="A6341" t="str">
            <v>2717 J</v>
          </cell>
          <cell r="B6341">
            <v>12323</v>
          </cell>
          <cell r="C6341">
            <v>45819</v>
          </cell>
          <cell r="D6341" t="str">
            <v>JILANI</v>
          </cell>
          <cell r="E6341" t="str">
            <v>النور سویٹس آزاد کشمیر</v>
          </cell>
        </row>
        <row r="6342">
          <cell r="A6342" t="str">
            <v>2718 J</v>
          </cell>
          <cell r="B6342">
            <v>12323</v>
          </cell>
          <cell r="C6342">
            <v>45819</v>
          </cell>
          <cell r="D6342" t="str">
            <v>JILANI</v>
          </cell>
          <cell r="E6342" t="str">
            <v>النور سویٹس آزاد کشمیر</v>
          </cell>
        </row>
        <row r="6343">
          <cell r="A6343" t="str">
            <v>2719 J</v>
          </cell>
          <cell r="B6343">
            <v>12324</v>
          </cell>
          <cell r="C6343">
            <v>45819</v>
          </cell>
          <cell r="D6343" t="str">
            <v>JILANI</v>
          </cell>
          <cell r="E6343" t="str">
            <v>رضا لیڈیز گارمنٹس لاہور</v>
          </cell>
        </row>
        <row r="6344">
          <cell r="A6344" t="str">
            <v>2720 J</v>
          </cell>
          <cell r="B6344">
            <v>12325</v>
          </cell>
          <cell r="C6344">
            <v>45819</v>
          </cell>
          <cell r="D6344" t="str">
            <v>JILANI</v>
          </cell>
          <cell r="E6344" t="str">
            <v>سنیپ پرنٹر لاہور</v>
          </cell>
        </row>
        <row r="6345">
          <cell r="A6345" t="str">
            <v>2721 J</v>
          </cell>
          <cell r="B6345">
            <v>12326</v>
          </cell>
          <cell r="C6345">
            <v>45819</v>
          </cell>
          <cell r="D6345" t="str">
            <v>JILANI</v>
          </cell>
          <cell r="E6345" t="str">
            <v>سنیپ پرنٹر لاہور</v>
          </cell>
        </row>
        <row r="6346">
          <cell r="A6346" t="str">
            <v>2722 J</v>
          </cell>
          <cell r="B6346">
            <v>12327</v>
          </cell>
          <cell r="C6346">
            <v>45819</v>
          </cell>
          <cell r="D6346" t="str">
            <v>JILANI</v>
          </cell>
          <cell r="E6346" t="str">
            <v>سنیپ پرنٹرز لاہور</v>
          </cell>
        </row>
        <row r="6347">
          <cell r="A6347" t="str">
            <v>2723 J</v>
          </cell>
          <cell r="B6347">
            <v>12327</v>
          </cell>
          <cell r="C6347">
            <v>45819</v>
          </cell>
          <cell r="D6347" t="str">
            <v>JILANI</v>
          </cell>
          <cell r="E6347" t="str">
            <v>سنیپ پرنٹرز لاہور</v>
          </cell>
        </row>
        <row r="6348">
          <cell r="A6348" t="str">
            <v>2724 J</v>
          </cell>
          <cell r="B6348">
            <v>12328</v>
          </cell>
          <cell r="C6348">
            <v>45819</v>
          </cell>
          <cell r="D6348" t="str">
            <v>JILANI</v>
          </cell>
          <cell r="E6348" t="str">
            <v>عالم پرنٹرز بٹ خیلہ</v>
          </cell>
        </row>
        <row r="6349">
          <cell r="A6349" t="str">
            <v>2725 J</v>
          </cell>
          <cell r="B6349">
            <v>12329</v>
          </cell>
          <cell r="C6349">
            <v>45819</v>
          </cell>
          <cell r="D6349" t="str">
            <v>JILANI</v>
          </cell>
          <cell r="E6349" t="str">
            <v>رائل فیبرکس پشاور</v>
          </cell>
        </row>
        <row r="6350">
          <cell r="A6350" t="str">
            <v>2726 J</v>
          </cell>
          <cell r="B6350">
            <v>12330</v>
          </cell>
          <cell r="C6350">
            <v>45819</v>
          </cell>
          <cell r="D6350" t="str">
            <v>JILANI</v>
          </cell>
          <cell r="E6350" t="str">
            <v>جہانگیر حسین گدام لیجر ایچ ڈی</v>
          </cell>
        </row>
        <row r="6351">
          <cell r="A6351" t="str">
            <v>2727 J</v>
          </cell>
          <cell r="B6351">
            <v>12330</v>
          </cell>
          <cell r="C6351">
            <v>45819</v>
          </cell>
          <cell r="D6351" t="str">
            <v>JILANI</v>
          </cell>
          <cell r="E6351" t="str">
            <v>جہانگیر حسین گدام لیجر ایچ ڈی</v>
          </cell>
        </row>
        <row r="6352">
          <cell r="A6352" t="str">
            <v>2728 J</v>
          </cell>
          <cell r="B6352">
            <v>12330</v>
          </cell>
          <cell r="C6352">
            <v>45819</v>
          </cell>
          <cell r="D6352" t="str">
            <v>JILANI</v>
          </cell>
          <cell r="E6352" t="str">
            <v>جہانگیر حسین گدام لیجر ایچ ڈی</v>
          </cell>
        </row>
        <row r="6353">
          <cell r="A6353" t="str">
            <v>2729 J</v>
          </cell>
          <cell r="B6353">
            <v>12330</v>
          </cell>
          <cell r="C6353">
            <v>45819</v>
          </cell>
          <cell r="D6353" t="str">
            <v>JILANI</v>
          </cell>
          <cell r="E6353" t="str">
            <v>جہانگیر حسین گدام لیجر ایچ ڈی</v>
          </cell>
        </row>
        <row r="6354">
          <cell r="A6354" t="str">
            <v>2730 J</v>
          </cell>
          <cell r="B6354">
            <v>12330</v>
          </cell>
          <cell r="C6354">
            <v>45819</v>
          </cell>
          <cell r="D6354" t="str">
            <v>JILANI</v>
          </cell>
          <cell r="E6354" t="str">
            <v>جہانگیر حسین گدام لیجر ایچ ڈی</v>
          </cell>
        </row>
        <row r="6355">
          <cell r="A6355" t="str">
            <v>2731 J</v>
          </cell>
          <cell r="B6355">
            <v>12331</v>
          </cell>
          <cell r="C6355">
            <v>45819</v>
          </cell>
          <cell r="D6355" t="str">
            <v>JILANI</v>
          </cell>
          <cell r="E6355" t="str">
            <v>حماد پلاسٹک گوجرانوالہ</v>
          </cell>
        </row>
        <row r="6356">
          <cell r="A6356" t="str">
            <v>2732 J</v>
          </cell>
          <cell r="B6356">
            <v>12332</v>
          </cell>
          <cell r="C6356">
            <v>45819</v>
          </cell>
          <cell r="D6356" t="str">
            <v>JILANI</v>
          </cell>
          <cell r="E6356" t="str">
            <v>معظمی پلاسٹک ساہیوال</v>
          </cell>
        </row>
        <row r="6357">
          <cell r="A6357" t="str">
            <v>2733 J</v>
          </cell>
          <cell r="B6357">
            <v>12333</v>
          </cell>
          <cell r="C6357">
            <v>45819</v>
          </cell>
          <cell r="D6357" t="str">
            <v>JILANI</v>
          </cell>
          <cell r="E6357" t="str">
            <v>عثمان عارف بٹ گوجرانولہ</v>
          </cell>
        </row>
        <row r="6358">
          <cell r="A6358" t="str">
            <v>2734 J</v>
          </cell>
          <cell r="B6358">
            <v>12333</v>
          </cell>
          <cell r="C6358">
            <v>45819</v>
          </cell>
          <cell r="D6358" t="str">
            <v>JILANI</v>
          </cell>
          <cell r="E6358" t="str">
            <v>عثمان عارف بٹ گوجرانولہ</v>
          </cell>
        </row>
        <row r="6359">
          <cell r="A6359" t="str">
            <v>2735 J</v>
          </cell>
          <cell r="B6359">
            <v>12333</v>
          </cell>
          <cell r="C6359">
            <v>45819</v>
          </cell>
          <cell r="D6359" t="str">
            <v>JILANI</v>
          </cell>
          <cell r="E6359" t="str">
            <v>عثمان عارف بٹ گوجرانولہ</v>
          </cell>
        </row>
        <row r="6360">
          <cell r="A6360" t="str">
            <v>2736 J</v>
          </cell>
          <cell r="B6360">
            <v>12333</v>
          </cell>
          <cell r="C6360">
            <v>45819</v>
          </cell>
          <cell r="D6360" t="str">
            <v>JILANI</v>
          </cell>
          <cell r="E6360" t="str">
            <v>عثمان عارف بٹ گوجرانولہ</v>
          </cell>
        </row>
        <row r="6361">
          <cell r="A6361" t="str">
            <v>2737 J</v>
          </cell>
          <cell r="B6361">
            <v>12334</v>
          </cell>
          <cell r="C6361">
            <v>45819</v>
          </cell>
          <cell r="D6361" t="str">
            <v>JILANI</v>
          </cell>
          <cell r="E6361" t="str">
            <v>عثمان عارف بٹ گوجرانولہ</v>
          </cell>
        </row>
        <row r="6362">
          <cell r="A6362" t="str">
            <v>2738 J</v>
          </cell>
          <cell r="B6362">
            <v>12334</v>
          </cell>
          <cell r="C6362">
            <v>45819</v>
          </cell>
          <cell r="D6362" t="str">
            <v>JILANI</v>
          </cell>
          <cell r="E6362" t="str">
            <v>عثمان عارف بٹ گوجرانولہ</v>
          </cell>
        </row>
        <row r="6363">
          <cell r="A6363" t="str">
            <v>2739 J</v>
          </cell>
          <cell r="B6363">
            <v>12334</v>
          </cell>
          <cell r="C6363">
            <v>45819</v>
          </cell>
          <cell r="D6363" t="str">
            <v>JILANI</v>
          </cell>
          <cell r="E6363" t="str">
            <v>عثمان عارف بٹ گوجرانولہ</v>
          </cell>
        </row>
        <row r="6364">
          <cell r="A6364" t="str">
            <v>2740 J</v>
          </cell>
          <cell r="B6364">
            <v>12334</v>
          </cell>
          <cell r="C6364">
            <v>45819</v>
          </cell>
          <cell r="D6364" t="str">
            <v>JILANI</v>
          </cell>
          <cell r="E6364" t="str">
            <v>عثمان عارف بٹ گوجرانولہ</v>
          </cell>
        </row>
        <row r="6365">
          <cell r="A6365" t="str">
            <v>2741 J</v>
          </cell>
          <cell r="B6365">
            <v>12335</v>
          </cell>
          <cell r="C6365">
            <v>45819</v>
          </cell>
          <cell r="D6365" t="str">
            <v>JILANI</v>
          </cell>
          <cell r="E6365" t="str">
            <v>عثمان عارف بٹ گوجرانولہ</v>
          </cell>
        </row>
        <row r="6366">
          <cell r="A6366" t="str">
            <v>2742 J</v>
          </cell>
          <cell r="B6366">
            <v>12335</v>
          </cell>
          <cell r="C6366">
            <v>45819</v>
          </cell>
          <cell r="D6366" t="str">
            <v>JILANI</v>
          </cell>
          <cell r="E6366" t="str">
            <v>عثمان عارف بٹ گوجرانولہ</v>
          </cell>
        </row>
        <row r="6367">
          <cell r="A6367" t="str">
            <v>2743 J</v>
          </cell>
          <cell r="B6367">
            <v>12335</v>
          </cell>
          <cell r="C6367">
            <v>45819</v>
          </cell>
          <cell r="D6367" t="str">
            <v>JILANI</v>
          </cell>
          <cell r="E6367" t="str">
            <v>عثمان عارف بٹ گوجرانولہ</v>
          </cell>
        </row>
        <row r="6368">
          <cell r="A6368" t="str">
            <v>2744 J</v>
          </cell>
          <cell r="B6368">
            <v>12335</v>
          </cell>
          <cell r="C6368">
            <v>45819</v>
          </cell>
          <cell r="D6368" t="str">
            <v>JILANI</v>
          </cell>
          <cell r="E6368" t="str">
            <v>عثمان عارف بٹ گوجرانولہ</v>
          </cell>
        </row>
        <row r="6369">
          <cell r="A6369" t="str">
            <v>2745 J</v>
          </cell>
          <cell r="B6369">
            <v>12336</v>
          </cell>
          <cell r="C6369">
            <v>45819</v>
          </cell>
          <cell r="D6369" t="str">
            <v>JILANI</v>
          </cell>
          <cell r="E6369" t="str">
            <v>شیخ شیراز سیالکوٹ</v>
          </cell>
        </row>
        <row r="6370">
          <cell r="A6370" t="str">
            <v>2746 J</v>
          </cell>
          <cell r="B6370">
            <v>12337</v>
          </cell>
          <cell r="C6370">
            <v>45819</v>
          </cell>
          <cell r="D6370" t="str">
            <v>JILANI</v>
          </cell>
          <cell r="E6370" t="str">
            <v>عرفان صاحب اعظم مارکیٹ لاہور</v>
          </cell>
        </row>
        <row r="6371">
          <cell r="A6371" t="str">
            <v>2747 J</v>
          </cell>
          <cell r="B6371">
            <v>12338</v>
          </cell>
          <cell r="C6371">
            <v>45819</v>
          </cell>
          <cell r="D6371" t="str">
            <v>JILANI</v>
          </cell>
          <cell r="E6371" t="str">
            <v>عرفان صاحب اعظم مارکیٹ لاہور</v>
          </cell>
        </row>
        <row r="6372">
          <cell r="A6372" t="str">
            <v>2748 J</v>
          </cell>
          <cell r="B6372">
            <v>12339</v>
          </cell>
          <cell r="C6372">
            <v>45819</v>
          </cell>
          <cell r="D6372" t="str">
            <v>JILANI</v>
          </cell>
          <cell r="E6372" t="str">
            <v>عرفان صاحب اعظم مارکیٹ</v>
          </cell>
        </row>
        <row r="6373">
          <cell r="A6373" t="str">
            <v>2749 J</v>
          </cell>
          <cell r="B6373">
            <v>12340</v>
          </cell>
          <cell r="C6373">
            <v>45819</v>
          </cell>
          <cell r="D6373" t="str">
            <v>JILANI</v>
          </cell>
          <cell r="E6373" t="str">
            <v>عرفان صاحب اعظم مارکیٹ</v>
          </cell>
        </row>
        <row r="6374">
          <cell r="A6374" t="str">
            <v>2750 J</v>
          </cell>
          <cell r="B6374">
            <v>12341</v>
          </cell>
          <cell r="C6374">
            <v>45819</v>
          </cell>
          <cell r="D6374" t="str">
            <v>JILANI</v>
          </cell>
          <cell r="E6374" t="str">
            <v>شفعی ٹیکسل لمیٹڈ</v>
          </cell>
        </row>
        <row r="6375">
          <cell r="A6375" t="str">
            <v>2751 J</v>
          </cell>
          <cell r="B6375">
            <v>12341</v>
          </cell>
          <cell r="C6375">
            <v>45819</v>
          </cell>
          <cell r="D6375" t="str">
            <v>JILANI</v>
          </cell>
          <cell r="E6375" t="str">
            <v>شفعی ٹیکسل لمیٹڈ</v>
          </cell>
        </row>
        <row r="6376">
          <cell r="A6376" t="str">
            <v>2752 J</v>
          </cell>
          <cell r="B6376">
            <v>12341</v>
          </cell>
          <cell r="C6376">
            <v>45819</v>
          </cell>
          <cell r="D6376" t="str">
            <v>JILANI</v>
          </cell>
          <cell r="E6376" t="str">
            <v>شفعی ٹیکسل لمیٹڈ</v>
          </cell>
        </row>
        <row r="6377">
          <cell r="A6377" t="str">
            <v>2753 J</v>
          </cell>
          <cell r="B6377">
            <v>12341</v>
          </cell>
          <cell r="C6377">
            <v>45819</v>
          </cell>
          <cell r="D6377" t="str">
            <v>JILANI</v>
          </cell>
          <cell r="E6377" t="str">
            <v>شفعی ٹیکسل لمیٹڈ</v>
          </cell>
        </row>
        <row r="6378">
          <cell r="A6378" t="str">
            <v>2754 J</v>
          </cell>
          <cell r="B6378">
            <v>12342</v>
          </cell>
          <cell r="C6378">
            <v>45820</v>
          </cell>
          <cell r="D6378" t="str">
            <v>JILANI</v>
          </cell>
          <cell r="E6378" t="str">
            <v>ہیڈ آفس لاہور</v>
          </cell>
        </row>
        <row r="6379">
          <cell r="A6379" t="str">
            <v>2755 J</v>
          </cell>
          <cell r="B6379">
            <v>12342</v>
          </cell>
          <cell r="C6379">
            <v>45820</v>
          </cell>
          <cell r="D6379" t="str">
            <v>JILANI</v>
          </cell>
          <cell r="E6379" t="str">
            <v>ہیڈ آفس لاہور</v>
          </cell>
        </row>
        <row r="6380">
          <cell r="A6380" t="str">
            <v>2756 J</v>
          </cell>
          <cell r="B6380">
            <v>12342</v>
          </cell>
          <cell r="C6380">
            <v>45820</v>
          </cell>
          <cell r="D6380" t="str">
            <v>JILANI</v>
          </cell>
          <cell r="E6380" t="str">
            <v>ہیڈ آفس لاہور</v>
          </cell>
        </row>
        <row r="6381">
          <cell r="A6381" t="str">
            <v>2757 J</v>
          </cell>
          <cell r="B6381">
            <v>12342</v>
          </cell>
          <cell r="C6381">
            <v>45820</v>
          </cell>
          <cell r="D6381" t="str">
            <v>JILANI</v>
          </cell>
          <cell r="E6381" t="str">
            <v>ہیڈ آفس لاہور</v>
          </cell>
        </row>
        <row r="6382">
          <cell r="A6382" t="str">
            <v>2758 J</v>
          </cell>
          <cell r="B6382">
            <v>12342</v>
          </cell>
          <cell r="C6382">
            <v>45821</v>
          </cell>
          <cell r="D6382" t="str">
            <v>OTHER</v>
          </cell>
          <cell r="E6382" t="str">
            <v>جیلانی پولی سٹاک</v>
          </cell>
        </row>
        <row r="6383">
          <cell r="A6383" t="str">
            <v>2759 J</v>
          </cell>
          <cell r="B6383">
            <v>12342</v>
          </cell>
          <cell r="C6383">
            <v>45821</v>
          </cell>
          <cell r="D6383" t="str">
            <v>OTHER</v>
          </cell>
          <cell r="E6383" t="str">
            <v>جیلانی پولی سٹاک</v>
          </cell>
        </row>
        <row r="6384">
          <cell r="A6384" t="str">
            <v>2760 J</v>
          </cell>
          <cell r="B6384">
            <v>12342</v>
          </cell>
          <cell r="C6384">
            <v>45821</v>
          </cell>
          <cell r="D6384" t="str">
            <v>OTHER</v>
          </cell>
          <cell r="E6384" t="str">
            <v>ایچ ایس ایم فوڈ لاہور</v>
          </cell>
        </row>
        <row r="6385">
          <cell r="A6385" t="str">
            <v>2761 J</v>
          </cell>
          <cell r="B6385">
            <v>439</v>
          </cell>
          <cell r="C6385">
            <v>45822</v>
          </cell>
          <cell r="D6385" t="str">
            <v>NWN</v>
          </cell>
          <cell r="E6385" t="str">
            <v>جیلانی پولی 2PEP</v>
          </cell>
        </row>
        <row r="6386">
          <cell r="A6386" t="str">
            <v>2762 J</v>
          </cell>
          <cell r="B6386">
            <v>439</v>
          </cell>
          <cell r="C6386">
            <v>45822</v>
          </cell>
          <cell r="D6386" t="str">
            <v>NWN</v>
          </cell>
          <cell r="E6386" t="str">
            <v>جیلانی پولی 2PEP</v>
          </cell>
        </row>
        <row r="6387">
          <cell r="A6387" t="str">
            <v>1675 F</v>
          </cell>
          <cell r="B6387"/>
          <cell r="C6387">
            <v>45820</v>
          </cell>
          <cell r="D6387" t="str">
            <v>فینا</v>
          </cell>
          <cell r="E6387" t="str">
            <v>عثمان امین</v>
          </cell>
        </row>
        <row r="6388">
          <cell r="A6388" t="str">
            <v>1676 F</v>
          </cell>
          <cell r="B6388"/>
          <cell r="C6388">
            <v>45820</v>
          </cell>
          <cell r="D6388" t="str">
            <v>فینا</v>
          </cell>
          <cell r="E6388" t="str">
            <v>عثمان امین</v>
          </cell>
        </row>
        <row r="6389">
          <cell r="A6389" t="str">
            <v>1677 F</v>
          </cell>
          <cell r="B6389"/>
          <cell r="C6389">
            <v>45820</v>
          </cell>
          <cell r="D6389" t="str">
            <v>فینا</v>
          </cell>
          <cell r="E6389" t="str">
            <v>عثمان امین</v>
          </cell>
        </row>
        <row r="6390">
          <cell r="A6390" t="str">
            <v>1678 F</v>
          </cell>
          <cell r="B6390"/>
          <cell r="C6390">
            <v>45820</v>
          </cell>
          <cell r="D6390" t="str">
            <v>فینا</v>
          </cell>
          <cell r="E6390" t="str">
            <v>عثمان امین</v>
          </cell>
        </row>
        <row r="6391">
          <cell r="A6391" t="str">
            <v>1679 F</v>
          </cell>
          <cell r="B6391"/>
          <cell r="C6391">
            <v>45821</v>
          </cell>
          <cell r="D6391" t="str">
            <v>فینا</v>
          </cell>
          <cell r="E6391" t="str">
            <v>عثمان امین</v>
          </cell>
        </row>
        <row r="6392">
          <cell r="A6392" t="str">
            <v>1680 F</v>
          </cell>
          <cell r="B6392"/>
          <cell r="C6392">
            <v>45821</v>
          </cell>
          <cell r="D6392" t="str">
            <v>فینا</v>
          </cell>
          <cell r="E6392" t="str">
            <v>عثمان امین</v>
          </cell>
        </row>
        <row r="6393">
          <cell r="A6393" t="str">
            <v>1681 F</v>
          </cell>
          <cell r="B6393"/>
          <cell r="C6393">
            <v>45821</v>
          </cell>
          <cell r="D6393" t="str">
            <v>فینا</v>
          </cell>
          <cell r="E6393" t="str">
            <v>عثمان امین</v>
          </cell>
        </row>
        <row r="6394">
          <cell r="A6394" t="str">
            <v>1682 F</v>
          </cell>
          <cell r="B6394"/>
          <cell r="C6394">
            <v>45821</v>
          </cell>
          <cell r="D6394" t="str">
            <v>فینا</v>
          </cell>
          <cell r="E6394" t="str">
            <v>عثمان امین</v>
          </cell>
        </row>
        <row r="6395">
          <cell r="A6395" t="str">
            <v>1683 F</v>
          </cell>
          <cell r="B6395"/>
          <cell r="C6395">
            <v>45821</v>
          </cell>
          <cell r="D6395" t="str">
            <v>فینا</v>
          </cell>
          <cell r="E6395" t="str">
            <v>عثمان امین</v>
          </cell>
        </row>
        <row r="6396">
          <cell r="A6396" t="str">
            <v>1684 F</v>
          </cell>
          <cell r="B6396"/>
          <cell r="C6396">
            <v>45821</v>
          </cell>
          <cell r="D6396" t="str">
            <v>فینا</v>
          </cell>
          <cell r="E6396" t="str">
            <v>عثمان امین</v>
          </cell>
        </row>
        <row r="6397">
          <cell r="A6397" t="str">
            <v>6947/1</v>
          </cell>
          <cell r="B6397">
            <v>6947</v>
          </cell>
          <cell r="C6397">
            <v>45808</v>
          </cell>
          <cell r="D6397" t="str">
            <v>یونس صاحب</v>
          </cell>
          <cell r="E6397" t="str">
            <v>فقیر پلاسٹک عارف والا</v>
          </cell>
        </row>
        <row r="6398">
          <cell r="A6398" t="str">
            <v>4948/1</v>
          </cell>
          <cell r="B6398">
            <v>6948</v>
          </cell>
          <cell r="C6398">
            <v>45808</v>
          </cell>
          <cell r="D6398" t="str">
            <v>یونس صاحب</v>
          </cell>
          <cell r="E6398" t="str">
            <v>-</v>
          </cell>
        </row>
        <row r="6399">
          <cell r="A6399" t="str">
            <v>6949/1</v>
          </cell>
          <cell r="B6399">
            <v>6949</v>
          </cell>
          <cell r="C6399">
            <v>45808</v>
          </cell>
          <cell r="D6399" t="str">
            <v>یونس صاحب</v>
          </cell>
          <cell r="E6399" t="str">
            <v>حاجی اسلماعیل وہاڑی</v>
          </cell>
        </row>
        <row r="6400">
          <cell r="A6400" t="str">
            <v>6949/2</v>
          </cell>
          <cell r="B6400">
            <v>6949</v>
          </cell>
          <cell r="C6400">
            <v>45808</v>
          </cell>
          <cell r="D6400" t="str">
            <v>یونس صاحب</v>
          </cell>
          <cell r="E6400" t="str">
            <v>حاجی اسلماعیل وہاڑی</v>
          </cell>
        </row>
        <row r="6401">
          <cell r="A6401" t="str">
            <v>6949/3</v>
          </cell>
          <cell r="B6401">
            <v>6949</v>
          </cell>
          <cell r="C6401">
            <v>45808</v>
          </cell>
          <cell r="D6401" t="str">
            <v>یونس صاحب</v>
          </cell>
          <cell r="E6401" t="str">
            <v>حاجی اسلماعیل وہاڑی</v>
          </cell>
        </row>
        <row r="6402">
          <cell r="A6402" t="str">
            <v>6950/1</v>
          </cell>
          <cell r="B6402">
            <v>6950</v>
          </cell>
          <cell r="C6402">
            <v>45810</v>
          </cell>
          <cell r="D6402" t="str">
            <v>یونس صاحب</v>
          </cell>
          <cell r="E6402" t="str">
            <v>طاہر پلاسٹک جھنگ</v>
          </cell>
        </row>
        <row r="6403">
          <cell r="A6403" t="str">
            <v>6951/1</v>
          </cell>
          <cell r="B6403">
            <v>6951</v>
          </cell>
          <cell r="C6403">
            <v>45810</v>
          </cell>
          <cell r="D6403" t="str">
            <v>یونس صاحب</v>
          </cell>
          <cell r="E6403" t="str">
            <v>ایم اویس سرگودھا</v>
          </cell>
        </row>
        <row r="6404">
          <cell r="A6404" t="str">
            <v>6951/2</v>
          </cell>
          <cell r="B6404">
            <v>6951</v>
          </cell>
          <cell r="C6404">
            <v>45810</v>
          </cell>
          <cell r="D6404" t="str">
            <v>یونس صاحب</v>
          </cell>
          <cell r="E6404" t="str">
            <v>ایم اویس سرگودھا</v>
          </cell>
        </row>
        <row r="6405">
          <cell r="A6405" t="str">
            <v>6951/3</v>
          </cell>
          <cell r="B6405">
            <v>6951</v>
          </cell>
          <cell r="C6405">
            <v>45810</v>
          </cell>
          <cell r="D6405" t="str">
            <v>یونس صاحب</v>
          </cell>
          <cell r="E6405" t="str">
            <v>ایم اویس سرگودھا</v>
          </cell>
        </row>
        <row r="6406">
          <cell r="A6406" t="str">
            <v>6951/4</v>
          </cell>
          <cell r="B6406">
            <v>6951</v>
          </cell>
          <cell r="C6406">
            <v>45810</v>
          </cell>
          <cell r="D6406" t="str">
            <v>یونس صاحب</v>
          </cell>
          <cell r="E6406" t="str">
            <v>ایم اویس سرگودھا</v>
          </cell>
        </row>
        <row r="6407">
          <cell r="A6407" t="str">
            <v>6951/5</v>
          </cell>
          <cell r="B6407">
            <v>6951</v>
          </cell>
          <cell r="C6407">
            <v>45810</v>
          </cell>
          <cell r="D6407" t="str">
            <v>یونس صاحب</v>
          </cell>
          <cell r="E6407" t="str">
            <v>ایم اویس سرگودھا</v>
          </cell>
        </row>
        <row r="6408">
          <cell r="A6408" t="str">
            <v>6951/6</v>
          </cell>
          <cell r="B6408">
            <v>6951</v>
          </cell>
          <cell r="C6408">
            <v>45810</v>
          </cell>
          <cell r="D6408" t="str">
            <v>یونس صاحب</v>
          </cell>
          <cell r="E6408" t="str">
            <v>ایم اویس سرگودھا</v>
          </cell>
        </row>
        <row r="6409">
          <cell r="A6409" t="str">
            <v>6951/7</v>
          </cell>
          <cell r="B6409">
            <v>6951</v>
          </cell>
          <cell r="C6409">
            <v>45810</v>
          </cell>
          <cell r="D6409" t="str">
            <v>یونس صاحب</v>
          </cell>
          <cell r="E6409" t="str">
            <v>ایم اویس سرگودھا</v>
          </cell>
        </row>
        <row r="6410">
          <cell r="A6410" t="str">
            <v>6952/1</v>
          </cell>
          <cell r="B6410">
            <v>6952</v>
          </cell>
          <cell r="C6410">
            <v>45810</v>
          </cell>
          <cell r="D6410" t="str">
            <v>یونس صاحب</v>
          </cell>
          <cell r="E6410" t="str">
            <v>نعمان پلاسٹک سیالکوٹ</v>
          </cell>
        </row>
        <row r="6411">
          <cell r="A6411" t="str">
            <v>6953/1</v>
          </cell>
          <cell r="B6411">
            <v>6953</v>
          </cell>
          <cell r="C6411">
            <v>45810</v>
          </cell>
          <cell r="D6411" t="str">
            <v>یونس صاحب</v>
          </cell>
          <cell r="E6411" t="str">
            <v>بوٹا اعظم مارکیٹ</v>
          </cell>
        </row>
        <row r="6412">
          <cell r="A6412" t="str">
            <v>6954/1</v>
          </cell>
          <cell r="B6412">
            <v>6954</v>
          </cell>
          <cell r="C6412">
            <v>45811</v>
          </cell>
          <cell r="D6412" t="str">
            <v>یونس صاحب</v>
          </cell>
          <cell r="E6412" t="str">
            <v>عاصم عطاری اعظم مارکیٹ</v>
          </cell>
        </row>
        <row r="6413">
          <cell r="A6413" t="str">
            <v>6954/2</v>
          </cell>
          <cell r="B6413">
            <v>6954</v>
          </cell>
          <cell r="C6413">
            <v>45811</v>
          </cell>
          <cell r="D6413" t="str">
            <v>یونس صاحب</v>
          </cell>
          <cell r="E6413" t="str">
            <v>عاصم عطاری اعظم مارکیٹ</v>
          </cell>
        </row>
        <row r="6414">
          <cell r="A6414" t="str">
            <v>6955/1</v>
          </cell>
          <cell r="B6414">
            <v>6955</v>
          </cell>
          <cell r="C6414">
            <v>45818</v>
          </cell>
          <cell r="D6414" t="str">
            <v>یونس صاحب</v>
          </cell>
          <cell r="E6414" t="str">
            <v>حزیفہ پلاسٹک اعظم مارکیٹ</v>
          </cell>
        </row>
        <row r="6415">
          <cell r="A6415" t="str">
            <v>6956/1</v>
          </cell>
          <cell r="B6415">
            <v>6956</v>
          </cell>
          <cell r="C6415">
            <v>45818</v>
          </cell>
          <cell r="D6415" t="str">
            <v>یونس صاحب</v>
          </cell>
          <cell r="E6415" t="str">
            <v>ایم اویس سرگودھا</v>
          </cell>
        </row>
        <row r="6416">
          <cell r="A6416" t="str">
            <v>6956/2</v>
          </cell>
          <cell r="B6416">
            <v>6956</v>
          </cell>
          <cell r="C6416">
            <v>45818</v>
          </cell>
          <cell r="D6416" t="str">
            <v>یونس صاحب</v>
          </cell>
          <cell r="E6416" t="str">
            <v>ایم اویس سرگودھا</v>
          </cell>
        </row>
        <row r="6417">
          <cell r="A6417" t="str">
            <v>6956/3</v>
          </cell>
          <cell r="B6417">
            <v>6956</v>
          </cell>
          <cell r="C6417">
            <v>45818</v>
          </cell>
          <cell r="D6417" t="str">
            <v>یونس صاحب</v>
          </cell>
          <cell r="E6417" t="str">
            <v>ایم اویس سرگودھا</v>
          </cell>
        </row>
        <row r="6418">
          <cell r="A6418" t="str">
            <v>6956/4</v>
          </cell>
          <cell r="B6418">
            <v>6956</v>
          </cell>
          <cell r="C6418">
            <v>45818</v>
          </cell>
          <cell r="D6418" t="str">
            <v>یونس صاحب</v>
          </cell>
          <cell r="E6418" t="str">
            <v>ایم اویس سرگودھا</v>
          </cell>
        </row>
        <row r="6419">
          <cell r="A6419" t="str">
            <v>6956/5</v>
          </cell>
          <cell r="B6419">
            <v>6956</v>
          </cell>
          <cell r="C6419">
            <v>45818</v>
          </cell>
          <cell r="D6419" t="str">
            <v>یونس صاحب</v>
          </cell>
          <cell r="E6419" t="str">
            <v>ایم اویس سرگودھا</v>
          </cell>
        </row>
        <row r="6420">
          <cell r="A6420" t="str">
            <v>6956/6</v>
          </cell>
          <cell r="B6420">
            <v>6956</v>
          </cell>
          <cell r="C6420">
            <v>45818</v>
          </cell>
          <cell r="D6420" t="str">
            <v>یونس صاحب</v>
          </cell>
          <cell r="E6420" t="str">
            <v>ایم اویس سرگودھا</v>
          </cell>
        </row>
        <row r="6421">
          <cell r="A6421" t="str">
            <v>6957/1</v>
          </cell>
          <cell r="B6421">
            <v>6957</v>
          </cell>
          <cell r="C6421">
            <v>45818</v>
          </cell>
          <cell r="D6421" t="str">
            <v>یونس صاحب</v>
          </cell>
          <cell r="E6421" t="str">
            <v>مھبوب مقبول گجرانوالہ</v>
          </cell>
        </row>
        <row r="6422">
          <cell r="A6422" t="str">
            <v>6957/2</v>
          </cell>
          <cell r="B6422">
            <v>6957</v>
          </cell>
          <cell r="C6422">
            <v>45818</v>
          </cell>
          <cell r="D6422" t="str">
            <v>یونس صاحب</v>
          </cell>
          <cell r="E6422" t="str">
            <v>مھبوب مقبول گجرانوالہ</v>
          </cell>
        </row>
        <row r="6423">
          <cell r="A6423" t="str">
            <v>6957/3</v>
          </cell>
          <cell r="B6423">
            <v>6957</v>
          </cell>
          <cell r="C6423">
            <v>45818</v>
          </cell>
          <cell r="D6423" t="str">
            <v>یونس صاحب</v>
          </cell>
          <cell r="E6423" t="str">
            <v>مھبوب مقبول گجرانوالہ</v>
          </cell>
        </row>
        <row r="6424">
          <cell r="A6424" t="str">
            <v>6957/4</v>
          </cell>
          <cell r="B6424">
            <v>6957</v>
          </cell>
          <cell r="C6424">
            <v>45818</v>
          </cell>
          <cell r="D6424" t="str">
            <v>یونس صاحب</v>
          </cell>
          <cell r="E6424" t="str">
            <v>مھبوب مقبول گجرانوالہ</v>
          </cell>
        </row>
        <row r="6425">
          <cell r="A6425" t="str">
            <v>6957/5</v>
          </cell>
          <cell r="B6425">
            <v>6957</v>
          </cell>
          <cell r="C6425">
            <v>45818</v>
          </cell>
          <cell r="D6425" t="str">
            <v>یونس صاحب</v>
          </cell>
          <cell r="E6425" t="str">
            <v>مھبوب مقبول گجرانوالہ</v>
          </cell>
        </row>
        <row r="6426">
          <cell r="A6426" t="str">
            <v>6957/6</v>
          </cell>
          <cell r="B6426">
            <v>6957</v>
          </cell>
          <cell r="C6426">
            <v>45818</v>
          </cell>
          <cell r="D6426" t="str">
            <v>یونس صاحب</v>
          </cell>
          <cell r="E6426" t="str">
            <v>مھبوب مقبول گجرانوالہ</v>
          </cell>
        </row>
        <row r="6427">
          <cell r="A6427" t="str">
            <v>6957/7</v>
          </cell>
          <cell r="B6427">
            <v>6957</v>
          </cell>
          <cell r="C6427">
            <v>45818</v>
          </cell>
          <cell r="D6427" t="str">
            <v>یونس صاحب</v>
          </cell>
          <cell r="E6427" t="str">
            <v>مھبوب مقبول گجرانوالہ</v>
          </cell>
        </row>
        <row r="6428">
          <cell r="A6428" t="str">
            <v>6957/8</v>
          </cell>
          <cell r="B6428">
            <v>6957</v>
          </cell>
          <cell r="C6428">
            <v>45818</v>
          </cell>
          <cell r="D6428" t="str">
            <v>یونس صاحب</v>
          </cell>
          <cell r="E6428" t="str">
            <v>مھبوب مقبول گجرانوالہ</v>
          </cell>
        </row>
        <row r="6429">
          <cell r="A6429" t="str">
            <v>6957/9</v>
          </cell>
          <cell r="B6429">
            <v>6957</v>
          </cell>
          <cell r="C6429">
            <v>45818</v>
          </cell>
          <cell r="D6429" t="str">
            <v>یونس صاحب</v>
          </cell>
          <cell r="E6429" t="str">
            <v>مھبوب مقبول گجرانوالہ</v>
          </cell>
        </row>
        <row r="6430">
          <cell r="A6430" t="str">
            <v>6957/10</v>
          </cell>
          <cell r="B6430">
            <v>6957</v>
          </cell>
          <cell r="C6430">
            <v>45818</v>
          </cell>
          <cell r="D6430" t="str">
            <v>یونس صاحب</v>
          </cell>
          <cell r="E6430" t="str">
            <v>مھبوب مقبول گجرانوالہ</v>
          </cell>
        </row>
        <row r="6431">
          <cell r="A6431" t="str">
            <v>6957/11</v>
          </cell>
          <cell r="B6431">
            <v>6957</v>
          </cell>
          <cell r="C6431">
            <v>45818</v>
          </cell>
          <cell r="D6431" t="str">
            <v>یونس صاحب</v>
          </cell>
          <cell r="E6431" t="str">
            <v>مھبوب مقبول گجرانوالہ</v>
          </cell>
        </row>
        <row r="6432">
          <cell r="A6432" t="str">
            <v>6958/1</v>
          </cell>
          <cell r="B6432">
            <v>6958</v>
          </cell>
          <cell r="C6432">
            <v>45818</v>
          </cell>
          <cell r="D6432" t="str">
            <v>یونس صاحب</v>
          </cell>
          <cell r="E6432" t="str">
            <v>احمد فاروقی جہلم</v>
          </cell>
        </row>
        <row r="6433">
          <cell r="A6433" t="str">
            <v>6959/1</v>
          </cell>
          <cell r="B6433">
            <v>6959</v>
          </cell>
          <cell r="C6433">
            <v>45818</v>
          </cell>
          <cell r="D6433" t="str">
            <v>یونس صاحب</v>
          </cell>
          <cell r="E6433" t="str">
            <v>رانا  طارق بھکر</v>
          </cell>
        </row>
        <row r="6434">
          <cell r="A6434" t="str">
            <v>6959/2</v>
          </cell>
          <cell r="B6434">
            <v>6959</v>
          </cell>
          <cell r="C6434">
            <v>45818</v>
          </cell>
          <cell r="D6434" t="str">
            <v>یونس صاحب</v>
          </cell>
          <cell r="E6434" t="str">
            <v>رانا  طارق بھکر</v>
          </cell>
        </row>
        <row r="6435">
          <cell r="A6435" t="str">
            <v>6959/3</v>
          </cell>
          <cell r="B6435">
            <v>6959</v>
          </cell>
          <cell r="C6435">
            <v>45818</v>
          </cell>
          <cell r="D6435" t="str">
            <v>یونس صاحب</v>
          </cell>
          <cell r="E6435" t="str">
            <v>رانا  طارق بھکر</v>
          </cell>
        </row>
        <row r="6436">
          <cell r="A6436" t="str">
            <v>6960/1</v>
          </cell>
          <cell r="B6436">
            <v>6960</v>
          </cell>
          <cell r="C6436">
            <v>45822</v>
          </cell>
          <cell r="D6436" t="str">
            <v>یونس صاحب</v>
          </cell>
          <cell r="E6436" t="str">
            <v>عاہر پلاسٹک جھنگ</v>
          </cell>
        </row>
        <row r="6437">
          <cell r="A6437" t="str">
            <v>6960/2</v>
          </cell>
          <cell r="B6437">
            <v>6960</v>
          </cell>
          <cell r="C6437">
            <v>45822</v>
          </cell>
          <cell r="D6437" t="str">
            <v>یونس صاحب</v>
          </cell>
          <cell r="E6437" t="str">
            <v>عاہر پلاسٹک جھنگ</v>
          </cell>
        </row>
        <row r="6438">
          <cell r="A6438" t="str">
            <v>6960/3</v>
          </cell>
          <cell r="B6438">
            <v>6960</v>
          </cell>
          <cell r="C6438">
            <v>45822</v>
          </cell>
          <cell r="D6438" t="str">
            <v>یونس صاحب</v>
          </cell>
          <cell r="E6438" t="str">
            <v>عاہر پلاسٹک جھنگ</v>
          </cell>
        </row>
        <row r="6439">
          <cell r="A6439" t="str">
            <v>6960/4</v>
          </cell>
          <cell r="B6439">
            <v>6960</v>
          </cell>
          <cell r="C6439">
            <v>45822</v>
          </cell>
          <cell r="D6439" t="str">
            <v>یونس صاحب</v>
          </cell>
          <cell r="E6439" t="str">
            <v>عاہر پلاسٹک جھنگ</v>
          </cell>
        </row>
        <row r="6440">
          <cell r="A6440" t="str">
            <v>6960/5</v>
          </cell>
          <cell r="B6440">
            <v>6960</v>
          </cell>
          <cell r="C6440">
            <v>45822</v>
          </cell>
          <cell r="D6440" t="str">
            <v>یونس صاحب</v>
          </cell>
          <cell r="E6440" t="str">
            <v>عاہر پلاسٹک جھنگ</v>
          </cell>
        </row>
        <row r="6441">
          <cell r="A6441" t="str">
            <v>6960/6</v>
          </cell>
          <cell r="B6441">
            <v>6960</v>
          </cell>
          <cell r="C6441">
            <v>45822</v>
          </cell>
          <cell r="D6441" t="str">
            <v>یونس صاحب</v>
          </cell>
          <cell r="E6441" t="str">
            <v>عاہر پلاسٹک جھنگ</v>
          </cell>
        </row>
        <row r="6442">
          <cell r="A6442" t="str">
            <v>6960/7</v>
          </cell>
          <cell r="B6442">
            <v>6960</v>
          </cell>
          <cell r="C6442">
            <v>45822</v>
          </cell>
          <cell r="D6442" t="str">
            <v>یونس صاحب</v>
          </cell>
          <cell r="E6442" t="str">
            <v>عاہر پلاسٹک جھنگ</v>
          </cell>
        </row>
        <row r="6443">
          <cell r="A6443" t="str">
            <v>6960/8</v>
          </cell>
          <cell r="B6443">
            <v>6960</v>
          </cell>
          <cell r="C6443">
            <v>45822</v>
          </cell>
          <cell r="D6443" t="str">
            <v>یونس صاحب</v>
          </cell>
          <cell r="E6443" t="str">
            <v>عاہر پلاسٹک جھنگ</v>
          </cell>
        </row>
        <row r="6444">
          <cell r="A6444" t="str">
            <v>6961/1</v>
          </cell>
          <cell r="B6444">
            <v>6961</v>
          </cell>
          <cell r="C6444">
            <v>45822</v>
          </cell>
          <cell r="D6444" t="str">
            <v>یونس صاحب</v>
          </cell>
          <cell r="E6444" t="str">
            <v>ایم دین  بند ل</v>
          </cell>
        </row>
        <row r="6445">
          <cell r="A6445" t="str">
            <v>6961/2</v>
          </cell>
          <cell r="B6445">
            <v>6961</v>
          </cell>
          <cell r="C6445">
            <v>45822</v>
          </cell>
          <cell r="D6445" t="str">
            <v>یونس صاحب</v>
          </cell>
          <cell r="E6445" t="str">
            <v>ایم دین  بند ل</v>
          </cell>
        </row>
        <row r="6446">
          <cell r="A6446">
            <v>2757</v>
          </cell>
          <cell r="B6446">
            <v>1767</v>
          </cell>
          <cell r="C6446">
            <v>45824</v>
          </cell>
          <cell r="D6446" t="str">
            <v>JILANI</v>
          </cell>
          <cell r="E6446" t="str">
            <v>USMAN AMIN FINA</v>
          </cell>
        </row>
        <row r="6447">
          <cell r="A6447" t="str">
            <v>2763 J</v>
          </cell>
          <cell r="B6447">
            <v>12343</v>
          </cell>
          <cell r="C6447">
            <v>45820</v>
          </cell>
          <cell r="D6447" t="str">
            <v>JILANI</v>
          </cell>
          <cell r="E6447" t="str">
            <v>مون ٹچ کاسمیٹکس لاہور</v>
          </cell>
        </row>
        <row r="6448">
          <cell r="A6448" t="str">
            <v>2764 J</v>
          </cell>
          <cell r="B6448">
            <v>12343</v>
          </cell>
          <cell r="C6448">
            <v>45820</v>
          </cell>
          <cell r="D6448" t="str">
            <v>JILANI</v>
          </cell>
          <cell r="E6448" t="str">
            <v>مون ٹچ کاسمیٹکس لاہور</v>
          </cell>
        </row>
        <row r="6449">
          <cell r="A6449" t="str">
            <v>2765 J</v>
          </cell>
          <cell r="B6449">
            <v>12343</v>
          </cell>
          <cell r="C6449">
            <v>45820</v>
          </cell>
          <cell r="D6449" t="str">
            <v>JILANI</v>
          </cell>
          <cell r="E6449" t="str">
            <v>مون ٹچ کاسمیٹکس لاہور</v>
          </cell>
        </row>
        <row r="6450">
          <cell r="A6450" t="str">
            <v>2766 J</v>
          </cell>
          <cell r="B6450">
            <v>12344</v>
          </cell>
          <cell r="C6450">
            <v>45820</v>
          </cell>
          <cell r="D6450" t="str">
            <v>JILANI</v>
          </cell>
          <cell r="E6450" t="str">
            <v>افورڈ سپر سٹور لیہ</v>
          </cell>
        </row>
        <row r="6451">
          <cell r="A6451" t="str">
            <v>2767 J</v>
          </cell>
          <cell r="B6451">
            <v>12344</v>
          </cell>
          <cell r="C6451">
            <v>45820</v>
          </cell>
          <cell r="D6451" t="str">
            <v>JILANI</v>
          </cell>
          <cell r="E6451" t="str">
            <v>افورڈ سپر سٹور لیہ</v>
          </cell>
        </row>
        <row r="6452">
          <cell r="A6452" t="str">
            <v>2768 J</v>
          </cell>
          <cell r="B6452">
            <v>12344</v>
          </cell>
          <cell r="C6452">
            <v>45820</v>
          </cell>
          <cell r="D6452" t="str">
            <v>JILANI</v>
          </cell>
          <cell r="E6452" t="str">
            <v>افورڈ سپر سٹور لیہ</v>
          </cell>
        </row>
        <row r="6453">
          <cell r="A6453" t="str">
            <v>2769 J</v>
          </cell>
          <cell r="B6453">
            <v>12344</v>
          </cell>
          <cell r="C6453">
            <v>45820</v>
          </cell>
          <cell r="D6453" t="str">
            <v>JILANI</v>
          </cell>
          <cell r="E6453" t="str">
            <v>افورڈ سپر سٹور لیہ</v>
          </cell>
        </row>
        <row r="6454">
          <cell r="A6454" t="str">
            <v>2770 J</v>
          </cell>
          <cell r="B6454">
            <v>12345</v>
          </cell>
          <cell r="C6454">
            <v>45820</v>
          </cell>
          <cell r="D6454" t="str">
            <v>JILANI</v>
          </cell>
          <cell r="E6454" t="str">
            <v>یورو میٹرس گجرات</v>
          </cell>
        </row>
        <row r="6455">
          <cell r="A6455" t="str">
            <v>2771 J</v>
          </cell>
          <cell r="B6455">
            <v>12346</v>
          </cell>
          <cell r="C6455">
            <v>45820</v>
          </cell>
          <cell r="D6455" t="str">
            <v>JILANI</v>
          </cell>
          <cell r="E6455" t="str">
            <v>یورو میٹرس گجرات</v>
          </cell>
        </row>
        <row r="6456">
          <cell r="A6456" t="str">
            <v>2772 J</v>
          </cell>
          <cell r="B6456">
            <v>12347</v>
          </cell>
          <cell r="C6456">
            <v>45820</v>
          </cell>
          <cell r="D6456" t="str">
            <v>JILANI</v>
          </cell>
          <cell r="E6456" t="str">
            <v>عالم پرنٹرز بٹ خیلہ</v>
          </cell>
        </row>
        <row r="6457">
          <cell r="A6457" t="str">
            <v>2773 J</v>
          </cell>
          <cell r="B6457">
            <v>12348</v>
          </cell>
          <cell r="C6457">
            <v>45820</v>
          </cell>
          <cell r="D6457" t="str">
            <v>JILANI</v>
          </cell>
          <cell r="E6457" t="str">
            <v>سبحان ٹریڈرز آوٹ فال روڈ لاہور</v>
          </cell>
        </row>
        <row r="6458">
          <cell r="A6458" t="str">
            <v>2774 J</v>
          </cell>
          <cell r="B6458">
            <v>12348</v>
          </cell>
          <cell r="C6458">
            <v>45820</v>
          </cell>
          <cell r="D6458" t="str">
            <v>JILANI</v>
          </cell>
          <cell r="E6458" t="str">
            <v>سبحان ٹریڈرز آوٹ فال روڈ لاہور</v>
          </cell>
        </row>
        <row r="6459">
          <cell r="A6459" t="str">
            <v>2775 J</v>
          </cell>
          <cell r="B6459">
            <v>12349</v>
          </cell>
          <cell r="C6459">
            <v>45820</v>
          </cell>
          <cell r="D6459" t="str">
            <v>JILANI</v>
          </cell>
          <cell r="E6459" t="str">
            <v>افنان پرنٹنگ پریس بٹ خیلہ</v>
          </cell>
        </row>
        <row r="6460">
          <cell r="A6460" t="str">
            <v>2776 J</v>
          </cell>
          <cell r="B6460">
            <v>12350</v>
          </cell>
          <cell r="C6460">
            <v>45820</v>
          </cell>
          <cell r="D6460" t="str">
            <v>JILANI</v>
          </cell>
          <cell r="E6460" t="str">
            <v>ملک عصمت سوپ مریدکے</v>
          </cell>
        </row>
        <row r="6461">
          <cell r="A6461" t="str">
            <v>2777 J</v>
          </cell>
          <cell r="B6461">
            <v>12351</v>
          </cell>
          <cell r="C6461">
            <v>45820</v>
          </cell>
          <cell r="D6461" t="str">
            <v>JILANI</v>
          </cell>
          <cell r="E6461" t="str">
            <v>توصیف بٹ گوجرانوالہ</v>
          </cell>
        </row>
        <row r="6462">
          <cell r="A6462" t="str">
            <v>2778 J</v>
          </cell>
          <cell r="B6462">
            <v>12351</v>
          </cell>
          <cell r="C6462">
            <v>45820</v>
          </cell>
          <cell r="D6462" t="str">
            <v>JILANI</v>
          </cell>
          <cell r="E6462" t="str">
            <v>توصیف بٹ گوجرانوالہ</v>
          </cell>
        </row>
        <row r="6463">
          <cell r="A6463" t="str">
            <v>2779 J</v>
          </cell>
          <cell r="B6463">
            <v>12352</v>
          </cell>
          <cell r="C6463">
            <v>45820</v>
          </cell>
          <cell r="D6463" t="str">
            <v>JILANI</v>
          </cell>
          <cell r="E6463" t="str">
            <v>اٹلس ہنڈا لمیٹڈ شیخوپورہ</v>
          </cell>
        </row>
        <row r="6464">
          <cell r="A6464" t="str">
            <v>2780 J</v>
          </cell>
          <cell r="B6464">
            <v>12353</v>
          </cell>
          <cell r="C6464">
            <v>45820</v>
          </cell>
          <cell r="D6464" t="str">
            <v>JILANI</v>
          </cell>
          <cell r="E6464" t="str">
            <v>کینٹر پرا‏ئیویٹ لیمیٹڈ</v>
          </cell>
        </row>
        <row r="6465">
          <cell r="A6465" t="str">
            <v>2781 J</v>
          </cell>
          <cell r="B6465">
            <v>12354</v>
          </cell>
          <cell r="C6465">
            <v>45820</v>
          </cell>
          <cell r="D6465" t="str">
            <v>JILANI</v>
          </cell>
          <cell r="E6465" t="str">
            <v>کینٹر پرا‏ئیویٹ لیمیٹڈ</v>
          </cell>
        </row>
        <row r="6466">
          <cell r="A6466" t="str">
            <v>2782 J</v>
          </cell>
          <cell r="B6466">
            <v>12355</v>
          </cell>
          <cell r="C6466">
            <v>45820</v>
          </cell>
          <cell r="D6466" t="str">
            <v>JILANI</v>
          </cell>
          <cell r="E6466" t="str">
            <v>خواجہ واچ سنٹر لاہور</v>
          </cell>
        </row>
        <row r="6467">
          <cell r="A6467" t="str">
            <v>2783 J</v>
          </cell>
          <cell r="B6467">
            <v>12356</v>
          </cell>
          <cell r="C6467">
            <v>45820</v>
          </cell>
          <cell r="D6467" t="str">
            <v>JILANI</v>
          </cell>
          <cell r="E6467" t="str">
            <v>الجنت شاپنگ مال لاہور</v>
          </cell>
        </row>
        <row r="6468">
          <cell r="A6468" t="str">
            <v>2784 J</v>
          </cell>
          <cell r="B6468">
            <v>12357</v>
          </cell>
          <cell r="C6468">
            <v>45820</v>
          </cell>
          <cell r="D6468" t="str">
            <v>JILANI</v>
          </cell>
          <cell r="E6468" t="str">
            <v>ابتسام ٹریڈرز شیخوپورا</v>
          </cell>
        </row>
        <row r="6469">
          <cell r="A6469" t="str">
            <v>2785 J</v>
          </cell>
          <cell r="B6469"/>
          <cell r="C6469">
            <v>45547</v>
          </cell>
          <cell r="D6469" t="str">
            <v>OTHER</v>
          </cell>
          <cell r="E6469" t="str">
            <v>جیلانی پولی سٹاک</v>
          </cell>
        </row>
        <row r="6470">
          <cell r="A6470" t="str">
            <v>1685 F</v>
          </cell>
          <cell r="B6470"/>
          <cell r="C6470">
            <v>45822</v>
          </cell>
          <cell r="D6470" t="str">
            <v>فینا</v>
          </cell>
          <cell r="E6470" t="str">
            <v>عثمان امین</v>
          </cell>
        </row>
        <row r="6471">
          <cell r="A6471" t="str">
            <v>1686 F</v>
          </cell>
          <cell r="B6471"/>
          <cell r="C6471">
            <v>45822</v>
          </cell>
          <cell r="D6471" t="str">
            <v>فینا</v>
          </cell>
          <cell r="E6471" t="str">
            <v>عثمان امین</v>
          </cell>
        </row>
        <row r="6472">
          <cell r="A6472" t="str">
            <v>1687 F</v>
          </cell>
          <cell r="B6472"/>
          <cell r="C6472">
            <v>45822</v>
          </cell>
          <cell r="D6472" t="str">
            <v>فینا</v>
          </cell>
          <cell r="E6472" t="str">
            <v>عثمان امین</v>
          </cell>
        </row>
        <row r="6473">
          <cell r="A6473">
            <v>2758</v>
          </cell>
          <cell r="B6473">
            <v>2834</v>
          </cell>
          <cell r="C6473">
            <v>45826</v>
          </cell>
          <cell r="D6473" t="str">
            <v>JILANI</v>
          </cell>
          <cell r="E6473" t="str">
            <v>SITARA CHEMICAL</v>
          </cell>
        </row>
        <row r="6474">
          <cell r="A6474" t="str">
            <v>2786 J</v>
          </cell>
          <cell r="B6474"/>
          <cell r="C6474">
            <v>45547</v>
          </cell>
          <cell r="D6474" t="str">
            <v>OTHER</v>
          </cell>
          <cell r="E6474" t="str">
            <v>جیلانی پلاسٹک</v>
          </cell>
        </row>
        <row r="6475">
          <cell r="A6475" t="str">
            <v>2787 J</v>
          </cell>
          <cell r="B6475">
            <v>12358</v>
          </cell>
          <cell r="C6475">
            <v>45824</v>
          </cell>
          <cell r="D6475" t="str">
            <v>JILANI</v>
          </cell>
          <cell r="E6475" t="str">
            <v>بندوخاں لاہور</v>
          </cell>
        </row>
        <row r="6476">
          <cell r="A6476" t="str">
            <v>2788 J</v>
          </cell>
          <cell r="B6476">
            <v>12358</v>
          </cell>
          <cell r="C6476">
            <v>45824</v>
          </cell>
          <cell r="D6476" t="str">
            <v>JILANI</v>
          </cell>
          <cell r="E6476" t="str">
            <v>بندوخاں لاہور</v>
          </cell>
        </row>
        <row r="6477">
          <cell r="A6477" t="str">
            <v>2789 J</v>
          </cell>
          <cell r="B6477">
            <v>12358</v>
          </cell>
          <cell r="C6477">
            <v>45824</v>
          </cell>
          <cell r="D6477" t="str">
            <v>JILANI</v>
          </cell>
          <cell r="E6477" t="str">
            <v>بندوخاں لاہور</v>
          </cell>
        </row>
        <row r="6478">
          <cell r="A6478" t="str">
            <v>2790 J</v>
          </cell>
          <cell r="B6478">
            <v>12359</v>
          </cell>
          <cell r="C6478">
            <v>45824</v>
          </cell>
          <cell r="D6478" t="str">
            <v>JILANI</v>
          </cell>
          <cell r="E6478" t="str">
            <v>چیزو چیزلاہور</v>
          </cell>
        </row>
        <row r="6479">
          <cell r="A6479" t="str">
            <v>2791 J</v>
          </cell>
          <cell r="B6479">
            <v>12360</v>
          </cell>
          <cell r="C6479">
            <v>45824</v>
          </cell>
          <cell r="D6479" t="str">
            <v>JILANI</v>
          </cell>
          <cell r="E6479" t="str">
            <v>شعیب آٹوز راولپنڈی</v>
          </cell>
        </row>
        <row r="6480">
          <cell r="A6480" t="str">
            <v>2792 J</v>
          </cell>
          <cell r="B6480">
            <v>12360</v>
          </cell>
          <cell r="C6480">
            <v>45824</v>
          </cell>
          <cell r="D6480" t="str">
            <v>JILANI</v>
          </cell>
          <cell r="E6480" t="str">
            <v>شعیب آٹوز راولپنڈی</v>
          </cell>
        </row>
        <row r="6481">
          <cell r="A6481" t="str">
            <v>2793 J</v>
          </cell>
          <cell r="B6481">
            <v>12360</v>
          </cell>
          <cell r="C6481">
            <v>45824</v>
          </cell>
          <cell r="D6481" t="str">
            <v>JILANI</v>
          </cell>
          <cell r="E6481" t="str">
            <v>شعیب آٹوز راولپنڈی</v>
          </cell>
        </row>
        <row r="6482">
          <cell r="A6482" t="str">
            <v>2794 J</v>
          </cell>
          <cell r="B6482">
            <v>12361</v>
          </cell>
          <cell r="C6482">
            <v>45824</v>
          </cell>
          <cell r="D6482" t="str">
            <v>JILANI</v>
          </cell>
          <cell r="E6482" t="str">
            <v>حماد پلاسٹک گوجرانوالہ</v>
          </cell>
        </row>
        <row r="6483">
          <cell r="A6483" t="str">
            <v>2795 J</v>
          </cell>
          <cell r="B6483">
            <v>12362</v>
          </cell>
          <cell r="C6483">
            <v>45824</v>
          </cell>
          <cell r="D6483" t="str">
            <v>JILANI</v>
          </cell>
          <cell r="E6483" t="str">
            <v>ایکسون الیکٹر ک لاہور</v>
          </cell>
        </row>
        <row r="6484">
          <cell r="A6484" t="str">
            <v>2796 J</v>
          </cell>
          <cell r="B6484">
            <v>12363</v>
          </cell>
          <cell r="C6484">
            <v>45824</v>
          </cell>
          <cell r="D6484" t="str">
            <v>JILANI</v>
          </cell>
          <cell r="E6484" t="str">
            <v>مکہ کلاتھ ہاؤس بھکر</v>
          </cell>
        </row>
        <row r="6485">
          <cell r="A6485" t="str">
            <v>2797 J</v>
          </cell>
          <cell r="B6485">
            <v>12364</v>
          </cell>
          <cell r="C6485">
            <v>45824</v>
          </cell>
          <cell r="D6485" t="str">
            <v>JILANI</v>
          </cell>
          <cell r="E6485" t="str">
            <v>مکہ کلاتھ ہاؤس بھکر</v>
          </cell>
        </row>
        <row r="6486">
          <cell r="A6486" t="str">
            <v>2798 J</v>
          </cell>
          <cell r="B6486">
            <v>12365</v>
          </cell>
          <cell r="C6486">
            <v>45824</v>
          </cell>
          <cell r="D6486" t="str">
            <v>JILANI</v>
          </cell>
          <cell r="E6486" t="str">
            <v>ذائقہ بریانی لاہور</v>
          </cell>
        </row>
        <row r="6487">
          <cell r="A6487" t="str">
            <v>2799 J</v>
          </cell>
          <cell r="B6487">
            <v>12366</v>
          </cell>
          <cell r="C6487">
            <v>45824</v>
          </cell>
          <cell r="D6487" t="str">
            <v>JILANI</v>
          </cell>
          <cell r="E6487" t="str">
            <v>ایسی فٹ ٹمبر مارکیٹ لاہور</v>
          </cell>
        </row>
        <row r="6488">
          <cell r="A6488" t="str">
            <v>2800 J</v>
          </cell>
          <cell r="B6488">
            <v>12367</v>
          </cell>
          <cell r="C6488">
            <v>45824</v>
          </cell>
          <cell r="D6488" t="str">
            <v>JILANI</v>
          </cell>
          <cell r="E6488" t="str">
            <v>بن یوسف چوبرجی</v>
          </cell>
        </row>
        <row r="6489">
          <cell r="A6489" t="str">
            <v>2801 J</v>
          </cell>
          <cell r="B6489">
            <v>12368</v>
          </cell>
          <cell r="C6489">
            <v>45824</v>
          </cell>
          <cell r="D6489" t="str">
            <v>JILANI</v>
          </cell>
          <cell r="E6489" t="str">
            <v>عثمان عارف بٹ گوجرانولہ</v>
          </cell>
        </row>
        <row r="6490">
          <cell r="A6490" t="str">
            <v>2802 J</v>
          </cell>
          <cell r="B6490"/>
          <cell r="C6490">
            <v>45824</v>
          </cell>
          <cell r="D6490" t="str">
            <v>JILANI</v>
          </cell>
          <cell r="E6490" t="str">
            <v>جیلانی ہیڈ آفس</v>
          </cell>
        </row>
        <row r="6491">
          <cell r="A6491" t="str">
            <v>2803 J</v>
          </cell>
          <cell r="B6491"/>
          <cell r="C6491">
            <v>45824</v>
          </cell>
          <cell r="D6491" t="str">
            <v>JILANI</v>
          </cell>
          <cell r="E6491" t="str">
            <v>جیلانی ہیڈ آفس</v>
          </cell>
        </row>
        <row r="6492">
          <cell r="A6492" t="str">
            <v>1688 F</v>
          </cell>
          <cell r="B6492"/>
          <cell r="C6492">
            <v>45825</v>
          </cell>
          <cell r="D6492" t="str">
            <v>فینا</v>
          </cell>
          <cell r="E6492" t="str">
            <v>عثمان امین</v>
          </cell>
        </row>
        <row r="6493">
          <cell r="A6493" t="str">
            <v>1689 F</v>
          </cell>
          <cell r="B6493"/>
          <cell r="C6493">
            <v>45825</v>
          </cell>
          <cell r="D6493" t="str">
            <v>فینا</v>
          </cell>
          <cell r="E6493" t="str">
            <v>عثمان امین</v>
          </cell>
        </row>
        <row r="6494">
          <cell r="A6494" t="str">
            <v>1690 F</v>
          </cell>
          <cell r="B6494"/>
          <cell r="C6494">
            <v>45825</v>
          </cell>
          <cell r="D6494" t="str">
            <v>فینا</v>
          </cell>
          <cell r="E6494" t="str">
            <v>عثمان امین</v>
          </cell>
        </row>
        <row r="6495">
          <cell r="A6495" t="str">
            <v>1691 F</v>
          </cell>
          <cell r="B6495"/>
          <cell r="C6495">
            <v>45825</v>
          </cell>
          <cell r="D6495" t="str">
            <v>فینا</v>
          </cell>
          <cell r="E6495" t="str">
            <v>عثمان امین</v>
          </cell>
        </row>
        <row r="6496">
          <cell r="A6496" t="str">
            <v>1692 F</v>
          </cell>
          <cell r="B6496"/>
          <cell r="C6496">
            <v>45825</v>
          </cell>
          <cell r="D6496" t="str">
            <v>فینا</v>
          </cell>
          <cell r="E6496" t="str">
            <v>عثمان امین</v>
          </cell>
        </row>
        <row r="6497">
          <cell r="A6497" t="str">
            <v>1693 F</v>
          </cell>
          <cell r="B6497"/>
          <cell r="C6497">
            <v>45826</v>
          </cell>
          <cell r="D6497" t="str">
            <v>فینا</v>
          </cell>
          <cell r="E6497" t="str">
            <v>عثمان امین</v>
          </cell>
        </row>
        <row r="6498">
          <cell r="A6498" t="str">
            <v>1694 F</v>
          </cell>
          <cell r="B6498"/>
          <cell r="C6498">
            <v>45826</v>
          </cell>
          <cell r="D6498" t="str">
            <v>فینا</v>
          </cell>
          <cell r="E6498" t="str">
            <v>عثمان امین</v>
          </cell>
        </row>
        <row r="6499">
          <cell r="A6499" t="str">
            <v>1695 F</v>
          </cell>
          <cell r="B6499"/>
          <cell r="C6499">
            <v>45826</v>
          </cell>
          <cell r="D6499" t="str">
            <v>فینا</v>
          </cell>
          <cell r="E6499" t="str">
            <v>عثمان امین</v>
          </cell>
        </row>
        <row r="6500">
          <cell r="A6500" t="str">
            <v>1696 F</v>
          </cell>
          <cell r="B6500"/>
          <cell r="C6500">
            <v>45826</v>
          </cell>
          <cell r="D6500" t="str">
            <v>فینا</v>
          </cell>
          <cell r="E6500" t="str">
            <v>عثمان امین</v>
          </cell>
        </row>
        <row r="6501">
          <cell r="A6501" t="str">
            <v>1697 F</v>
          </cell>
          <cell r="B6501"/>
          <cell r="C6501">
            <v>45826</v>
          </cell>
          <cell r="D6501" t="str">
            <v>فینا</v>
          </cell>
          <cell r="E6501" t="str">
            <v>عثمان امین</v>
          </cell>
        </row>
        <row r="6502">
          <cell r="A6502" t="str">
            <v>1698 F</v>
          </cell>
          <cell r="B6502"/>
          <cell r="C6502">
            <v>45826</v>
          </cell>
          <cell r="D6502" t="str">
            <v>فینا</v>
          </cell>
          <cell r="E6502" t="str">
            <v>عثمان امین</v>
          </cell>
        </row>
        <row r="6503">
          <cell r="A6503" t="str">
            <v>1699 F</v>
          </cell>
          <cell r="B6503"/>
          <cell r="C6503">
            <v>45826</v>
          </cell>
          <cell r="D6503" t="str">
            <v>فینا</v>
          </cell>
          <cell r="E6503" t="str">
            <v>عثمان امین</v>
          </cell>
        </row>
        <row r="6504">
          <cell r="A6504" t="str">
            <v>1700 F</v>
          </cell>
          <cell r="B6504"/>
          <cell r="C6504">
            <v>45826</v>
          </cell>
          <cell r="D6504" t="str">
            <v>فینا</v>
          </cell>
          <cell r="E6504" t="str">
            <v>عثمان امین</v>
          </cell>
        </row>
        <row r="6505">
          <cell r="A6505" t="str">
            <v>1701 F</v>
          </cell>
          <cell r="B6505"/>
          <cell r="C6505">
            <v>45826</v>
          </cell>
          <cell r="D6505" t="str">
            <v>فینا</v>
          </cell>
          <cell r="E6505" t="str">
            <v>عثمان امین</v>
          </cell>
        </row>
        <row r="6506">
          <cell r="A6506" t="str">
            <v>1702 F</v>
          </cell>
          <cell r="B6506"/>
          <cell r="C6506">
            <v>45826</v>
          </cell>
          <cell r="D6506" t="str">
            <v>فینا</v>
          </cell>
          <cell r="E6506" t="str">
            <v>عثمان امین</v>
          </cell>
        </row>
        <row r="6507">
          <cell r="A6507" t="str">
            <v>1703 F</v>
          </cell>
          <cell r="B6507"/>
          <cell r="C6507">
            <v>45826</v>
          </cell>
          <cell r="D6507" t="str">
            <v>فینا</v>
          </cell>
          <cell r="E6507" t="str">
            <v>عثمان امین</v>
          </cell>
        </row>
        <row r="6508">
          <cell r="A6508" t="str">
            <v>1704 F</v>
          </cell>
          <cell r="B6508"/>
          <cell r="C6508">
            <v>45826</v>
          </cell>
          <cell r="D6508" t="str">
            <v>فینا</v>
          </cell>
          <cell r="E6508" t="str">
            <v>عثمان امین</v>
          </cell>
        </row>
        <row r="6509">
          <cell r="A6509" t="str">
            <v>1705 F</v>
          </cell>
          <cell r="B6509"/>
          <cell r="C6509">
            <v>45826</v>
          </cell>
          <cell r="D6509" t="str">
            <v>فینا</v>
          </cell>
          <cell r="E6509" t="str">
            <v>عثمان امین</v>
          </cell>
        </row>
        <row r="6510">
          <cell r="A6510" t="str">
            <v>1706 F</v>
          </cell>
          <cell r="B6510"/>
          <cell r="C6510">
            <v>45826</v>
          </cell>
          <cell r="D6510" t="str">
            <v>فینا</v>
          </cell>
          <cell r="E6510" t="str">
            <v>عثمان امین</v>
          </cell>
        </row>
        <row r="6511">
          <cell r="A6511" t="str">
            <v>1707 F</v>
          </cell>
          <cell r="B6511"/>
          <cell r="C6511">
            <v>45826</v>
          </cell>
          <cell r="D6511" t="str">
            <v>فینا</v>
          </cell>
          <cell r="E6511" t="str">
            <v>عثمان امین</v>
          </cell>
        </row>
        <row r="6512">
          <cell r="A6512" t="str">
            <v>1708 F</v>
          </cell>
          <cell r="B6512"/>
          <cell r="C6512">
            <v>45827</v>
          </cell>
          <cell r="D6512" t="str">
            <v>فینا</v>
          </cell>
          <cell r="E6512" t="str">
            <v>عثمان امین</v>
          </cell>
        </row>
        <row r="6513">
          <cell r="A6513" t="str">
            <v>1709 F</v>
          </cell>
          <cell r="B6513"/>
          <cell r="C6513">
            <v>45827</v>
          </cell>
          <cell r="D6513" t="str">
            <v>فینا</v>
          </cell>
          <cell r="E6513" t="str">
            <v>عثمان امین</v>
          </cell>
        </row>
        <row r="6514">
          <cell r="A6514" t="str">
            <v>6962/1</v>
          </cell>
          <cell r="B6514">
            <v>6962</v>
          </cell>
          <cell r="C6514">
            <v>45824</v>
          </cell>
          <cell r="D6514" t="str">
            <v>یونس صاحب</v>
          </cell>
          <cell r="E6514" t="str">
            <v>MTM شاہ عالم</v>
          </cell>
        </row>
        <row r="6515">
          <cell r="A6515" t="str">
            <v>6963/1</v>
          </cell>
          <cell r="B6515">
            <v>6963</v>
          </cell>
          <cell r="C6515">
            <v>45824</v>
          </cell>
          <cell r="D6515" t="str">
            <v>یونس صاحب</v>
          </cell>
          <cell r="E6515" t="str">
            <v>فیصل پلاسٹک فیصل آباد</v>
          </cell>
        </row>
        <row r="6516">
          <cell r="A6516" t="str">
            <v>6964/1</v>
          </cell>
          <cell r="B6516">
            <v>6964</v>
          </cell>
          <cell r="C6516">
            <v>45824</v>
          </cell>
          <cell r="D6516" t="str">
            <v>یونس صاحب</v>
          </cell>
          <cell r="E6516" t="str">
            <v>آصف پلاسٹک سرگودھا</v>
          </cell>
        </row>
        <row r="6517">
          <cell r="A6517" t="str">
            <v>6964/2</v>
          </cell>
          <cell r="B6517">
            <v>6964</v>
          </cell>
          <cell r="C6517">
            <v>45824</v>
          </cell>
          <cell r="D6517" t="str">
            <v>یونس صاحب</v>
          </cell>
          <cell r="E6517" t="str">
            <v>آصف پلاسٹک سرگودھا</v>
          </cell>
        </row>
        <row r="6518">
          <cell r="A6518" t="str">
            <v>6964/3</v>
          </cell>
          <cell r="B6518">
            <v>6964</v>
          </cell>
          <cell r="C6518">
            <v>45824</v>
          </cell>
          <cell r="D6518" t="str">
            <v>یونس صاحب</v>
          </cell>
          <cell r="E6518" t="str">
            <v>آصف پلاسٹک سرگودھا</v>
          </cell>
        </row>
        <row r="6519">
          <cell r="A6519" t="str">
            <v>6964/4</v>
          </cell>
          <cell r="B6519">
            <v>6964</v>
          </cell>
          <cell r="C6519">
            <v>45824</v>
          </cell>
          <cell r="D6519" t="str">
            <v>یونس صاحب</v>
          </cell>
          <cell r="E6519" t="str">
            <v>آصف پلاسٹک سرگودھا</v>
          </cell>
        </row>
        <row r="6520">
          <cell r="A6520" t="str">
            <v>6964/5</v>
          </cell>
          <cell r="B6520">
            <v>6964</v>
          </cell>
          <cell r="C6520">
            <v>45824</v>
          </cell>
          <cell r="D6520" t="str">
            <v>یونس صاحب</v>
          </cell>
          <cell r="E6520" t="str">
            <v>آصف پلاسٹک سرگودھا</v>
          </cell>
        </row>
        <row r="6521">
          <cell r="A6521" t="str">
            <v>6964/6</v>
          </cell>
          <cell r="B6521">
            <v>6964</v>
          </cell>
          <cell r="C6521">
            <v>45824</v>
          </cell>
          <cell r="D6521" t="str">
            <v>یونس صاحب</v>
          </cell>
          <cell r="E6521" t="str">
            <v>آصف پلاسٹک سرگودھا</v>
          </cell>
        </row>
        <row r="6522">
          <cell r="A6522" t="str">
            <v>6964/7</v>
          </cell>
          <cell r="B6522">
            <v>6964</v>
          </cell>
          <cell r="C6522">
            <v>45824</v>
          </cell>
          <cell r="D6522" t="str">
            <v>یونس صاحب</v>
          </cell>
          <cell r="E6522" t="str">
            <v>آصف پلاسٹک سرگودھا</v>
          </cell>
        </row>
        <row r="6523">
          <cell r="A6523" t="str">
            <v>6964/8</v>
          </cell>
          <cell r="B6523">
            <v>6964</v>
          </cell>
          <cell r="C6523">
            <v>45824</v>
          </cell>
          <cell r="D6523" t="str">
            <v>یونس صاحب</v>
          </cell>
          <cell r="E6523" t="str">
            <v>آصف پلاسٹک سرگودھا</v>
          </cell>
        </row>
        <row r="6524">
          <cell r="A6524" t="str">
            <v>6964/9</v>
          </cell>
          <cell r="B6524">
            <v>6964</v>
          </cell>
          <cell r="C6524">
            <v>45824</v>
          </cell>
          <cell r="D6524" t="str">
            <v>یونس صاحب</v>
          </cell>
          <cell r="E6524" t="str">
            <v>آصف پلاسٹک سرگودھا</v>
          </cell>
        </row>
        <row r="6525">
          <cell r="A6525" t="str">
            <v>6964/10</v>
          </cell>
          <cell r="B6525">
            <v>6964</v>
          </cell>
          <cell r="C6525">
            <v>45824</v>
          </cell>
          <cell r="D6525" t="str">
            <v>یونس صاحب</v>
          </cell>
          <cell r="E6525" t="str">
            <v>آصف پلاسٹک سرگودھا</v>
          </cell>
        </row>
        <row r="6526">
          <cell r="A6526" t="str">
            <v>6965/1</v>
          </cell>
          <cell r="B6526">
            <v>6965</v>
          </cell>
          <cell r="C6526">
            <v>45824</v>
          </cell>
          <cell r="D6526" t="str">
            <v>یونس صاحب</v>
          </cell>
          <cell r="E6526" t="str">
            <v>آصف پلاسٹک سرگودھا</v>
          </cell>
        </row>
        <row r="6527">
          <cell r="A6527" t="str">
            <v>6965/2</v>
          </cell>
          <cell r="B6527">
            <v>6965</v>
          </cell>
          <cell r="C6527">
            <v>45824</v>
          </cell>
          <cell r="D6527" t="str">
            <v>یونس صاحب</v>
          </cell>
          <cell r="E6527" t="str">
            <v>آصف پلاسٹک سرگودھا</v>
          </cell>
        </row>
        <row r="6528">
          <cell r="A6528" t="str">
            <v>6965/3</v>
          </cell>
          <cell r="B6528">
            <v>6965</v>
          </cell>
          <cell r="C6528">
            <v>45824</v>
          </cell>
          <cell r="D6528" t="str">
            <v>یونس صاحب</v>
          </cell>
          <cell r="E6528" t="str">
            <v>آصف پلاسٹک سرگودھا</v>
          </cell>
        </row>
        <row r="6529">
          <cell r="A6529" t="str">
            <v>6965/4</v>
          </cell>
          <cell r="B6529">
            <v>6965</v>
          </cell>
          <cell r="C6529">
            <v>45824</v>
          </cell>
          <cell r="D6529" t="str">
            <v>یونس صاحب</v>
          </cell>
          <cell r="E6529" t="str">
            <v>آصف پلاسٹک سرگودھا</v>
          </cell>
        </row>
        <row r="6530">
          <cell r="A6530" t="str">
            <v>6965/5</v>
          </cell>
          <cell r="B6530">
            <v>6965</v>
          </cell>
          <cell r="C6530">
            <v>45824</v>
          </cell>
          <cell r="D6530" t="str">
            <v>یونس صاحب</v>
          </cell>
          <cell r="E6530" t="str">
            <v>آصف پلاسٹک سرگودھا</v>
          </cell>
        </row>
        <row r="6531">
          <cell r="A6531" t="str">
            <v>6966/1</v>
          </cell>
          <cell r="B6531">
            <v>6966</v>
          </cell>
          <cell r="C6531">
            <v>45824</v>
          </cell>
          <cell r="D6531" t="str">
            <v>یونس صاحب</v>
          </cell>
          <cell r="E6531" t="str">
            <v>ایم زبیر پلاسٹک سرگودھا</v>
          </cell>
        </row>
        <row r="6532">
          <cell r="A6532" t="str">
            <v>6966/2</v>
          </cell>
          <cell r="B6532">
            <v>6966</v>
          </cell>
          <cell r="C6532">
            <v>45824</v>
          </cell>
          <cell r="D6532" t="str">
            <v>یونس صاحب</v>
          </cell>
          <cell r="E6532" t="str">
            <v>ایم زبیر پلاسٹک سرگودھا</v>
          </cell>
        </row>
        <row r="6533">
          <cell r="A6533" t="str">
            <v>6966/3</v>
          </cell>
          <cell r="B6533">
            <v>6966</v>
          </cell>
          <cell r="C6533">
            <v>45824</v>
          </cell>
          <cell r="D6533" t="str">
            <v>یونس صاحب</v>
          </cell>
          <cell r="E6533" t="str">
            <v>ایم زبیر پلاسٹک سرگودھا</v>
          </cell>
        </row>
        <row r="6534">
          <cell r="A6534" t="str">
            <v>6966/4</v>
          </cell>
          <cell r="B6534">
            <v>6966</v>
          </cell>
          <cell r="C6534">
            <v>45824</v>
          </cell>
          <cell r="D6534" t="str">
            <v>یونس صاحب</v>
          </cell>
          <cell r="E6534" t="str">
            <v>ایم زبیر پلاسٹک سرگودھا</v>
          </cell>
        </row>
        <row r="6535">
          <cell r="A6535" t="str">
            <v>6966/5</v>
          </cell>
          <cell r="B6535">
            <v>6966</v>
          </cell>
          <cell r="C6535">
            <v>45824</v>
          </cell>
          <cell r="D6535" t="str">
            <v>یونس صاحب</v>
          </cell>
          <cell r="E6535" t="str">
            <v>ایم زبیر پلاسٹک سرگودھا</v>
          </cell>
        </row>
        <row r="6536">
          <cell r="A6536" t="str">
            <v>6966/6</v>
          </cell>
          <cell r="B6536">
            <v>6966</v>
          </cell>
          <cell r="C6536">
            <v>45824</v>
          </cell>
          <cell r="D6536" t="str">
            <v>یونس صاحب</v>
          </cell>
          <cell r="E6536" t="str">
            <v>ایم زبیر پلاسٹک سرگودھا</v>
          </cell>
        </row>
        <row r="6537">
          <cell r="A6537" t="str">
            <v>6966/7</v>
          </cell>
          <cell r="B6537">
            <v>6966</v>
          </cell>
          <cell r="C6537">
            <v>45824</v>
          </cell>
          <cell r="D6537" t="str">
            <v>یونس صاحب</v>
          </cell>
          <cell r="E6537" t="str">
            <v>ایم زبیر پلاسٹک سرگودھا</v>
          </cell>
        </row>
        <row r="6538">
          <cell r="A6538" t="str">
            <v>6967/1</v>
          </cell>
          <cell r="B6538">
            <v>6967</v>
          </cell>
          <cell r="C6538">
            <v>45824</v>
          </cell>
          <cell r="D6538" t="str">
            <v>یونس صاحب</v>
          </cell>
          <cell r="E6538" t="str">
            <v>ایم زبیر پلاسٹک سرگودھا</v>
          </cell>
        </row>
        <row r="6539">
          <cell r="A6539" t="str">
            <v>6967/2</v>
          </cell>
          <cell r="B6539">
            <v>6967</v>
          </cell>
          <cell r="C6539">
            <v>45824</v>
          </cell>
          <cell r="D6539" t="str">
            <v>یونس صاحب</v>
          </cell>
          <cell r="E6539" t="str">
            <v>ایم زبیر پلاسٹک سرگودھا</v>
          </cell>
        </row>
        <row r="6540">
          <cell r="A6540" t="str">
            <v>6967/3</v>
          </cell>
          <cell r="B6540">
            <v>6967</v>
          </cell>
          <cell r="C6540">
            <v>45824</v>
          </cell>
          <cell r="D6540" t="str">
            <v>یونس صاحب</v>
          </cell>
          <cell r="E6540" t="str">
            <v>ایم زبیر پلاسٹک سرگودھا</v>
          </cell>
        </row>
        <row r="6541">
          <cell r="A6541" t="str">
            <v>6967/4</v>
          </cell>
          <cell r="B6541">
            <v>6967</v>
          </cell>
          <cell r="C6541">
            <v>45824</v>
          </cell>
          <cell r="D6541" t="str">
            <v>یونس صاحب</v>
          </cell>
          <cell r="E6541" t="str">
            <v>ایم زبیر پلاسٹک سرگودھا</v>
          </cell>
        </row>
        <row r="6542">
          <cell r="A6542" t="str">
            <v>6967/5</v>
          </cell>
          <cell r="B6542">
            <v>6967</v>
          </cell>
          <cell r="C6542">
            <v>45824</v>
          </cell>
          <cell r="D6542" t="str">
            <v>یونس صاحب</v>
          </cell>
          <cell r="E6542" t="str">
            <v>ایم زبیر پلاسٹک سرگودھا</v>
          </cell>
        </row>
        <row r="6543">
          <cell r="A6543" t="str">
            <v>6967/6</v>
          </cell>
          <cell r="B6543">
            <v>6967</v>
          </cell>
          <cell r="C6543">
            <v>45824</v>
          </cell>
          <cell r="D6543" t="str">
            <v>یونس صاحب</v>
          </cell>
          <cell r="E6543" t="str">
            <v>ایم زبیر پلاسٹک سرگودھا</v>
          </cell>
        </row>
        <row r="6544">
          <cell r="A6544" t="str">
            <v>6967/7</v>
          </cell>
          <cell r="B6544">
            <v>6967</v>
          </cell>
          <cell r="C6544">
            <v>45824</v>
          </cell>
          <cell r="D6544" t="str">
            <v>یونس صاحب</v>
          </cell>
          <cell r="E6544" t="str">
            <v>ایم زبیر پلاسٹک سرگودھا</v>
          </cell>
        </row>
        <row r="6545">
          <cell r="A6545" t="str">
            <v>6967/8</v>
          </cell>
          <cell r="B6545">
            <v>6967</v>
          </cell>
          <cell r="C6545">
            <v>45824</v>
          </cell>
          <cell r="D6545" t="str">
            <v>یونس صاحب</v>
          </cell>
          <cell r="E6545" t="str">
            <v>ایم زبیر پلاسٹک سرگودھا</v>
          </cell>
        </row>
        <row r="6546">
          <cell r="A6546" t="str">
            <v>6967/9</v>
          </cell>
          <cell r="B6546">
            <v>6967</v>
          </cell>
          <cell r="C6546">
            <v>45824</v>
          </cell>
          <cell r="D6546" t="str">
            <v>یونس صاحب</v>
          </cell>
          <cell r="E6546" t="str">
            <v>ایم زبیر پلاسٹک سرگودھا</v>
          </cell>
        </row>
        <row r="6547">
          <cell r="A6547" t="str">
            <v>6967/10</v>
          </cell>
          <cell r="B6547">
            <v>6967</v>
          </cell>
          <cell r="C6547">
            <v>45824</v>
          </cell>
          <cell r="D6547" t="str">
            <v>یونس صاحب</v>
          </cell>
          <cell r="E6547" t="str">
            <v>ایم زبیر پلاسٹک سرگودھا</v>
          </cell>
        </row>
        <row r="6548">
          <cell r="A6548" t="str">
            <v>6967/11</v>
          </cell>
          <cell r="B6548">
            <v>6967</v>
          </cell>
          <cell r="C6548">
            <v>45824</v>
          </cell>
          <cell r="D6548" t="str">
            <v>یونس صاحب</v>
          </cell>
          <cell r="E6548" t="str">
            <v>ایم زبیر پلاسٹک سرگودھا</v>
          </cell>
        </row>
        <row r="6549">
          <cell r="A6549" t="str">
            <v>6968/1</v>
          </cell>
          <cell r="B6549">
            <v>6968</v>
          </cell>
          <cell r="C6549">
            <v>45824</v>
          </cell>
          <cell r="D6549" t="str">
            <v>یونس صاحب</v>
          </cell>
          <cell r="E6549" t="str">
            <v>العمر پلاسٹک گوجرانوالہ</v>
          </cell>
        </row>
        <row r="6550">
          <cell r="A6550" t="str">
            <v>6968/2</v>
          </cell>
          <cell r="B6550">
            <v>6968</v>
          </cell>
          <cell r="C6550">
            <v>45824</v>
          </cell>
          <cell r="D6550" t="str">
            <v>یونس صاحب</v>
          </cell>
          <cell r="E6550" t="str">
            <v>العمر پلاسٹک گوجرانوالہ</v>
          </cell>
        </row>
        <row r="6551">
          <cell r="A6551" t="str">
            <v>6968/3</v>
          </cell>
          <cell r="B6551">
            <v>6968</v>
          </cell>
          <cell r="C6551">
            <v>45824</v>
          </cell>
          <cell r="D6551" t="str">
            <v>یونس صاحب</v>
          </cell>
          <cell r="E6551" t="str">
            <v>العمر پلاسٹک گوجرانوالہ</v>
          </cell>
        </row>
        <row r="6552">
          <cell r="A6552" t="str">
            <v>6969/1</v>
          </cell>
          <cell r="B6552">
            <v>6969</v>
          </cell>
          <cell r="C6552">
            <v>45824</v>
          </cell>
          <cell r="D6552" t="str">
            <v>یونس صاحب</v>
          </cell>
          <cell r="E6552" t="str">
            <v>مھبوب مقبول گجرانوالہ</v>
          </cell>
        </row>
        <row r="6553">
          <cell r="A6553" t="str">
            <v>6969/2</v>
          </cell>
          <cell r="B6553">
            <v>6969</v>
          </cell>
          <cell r="C6553">
            <v>45824</v>
          </cell>
          <cell r="D6553" t="str">
            <v>یونس صاحب</v>
          </cell>
          <cell r="E6553" t="str">
            <v>مھبوب مقبول گجرانوالہ</v>
          </cell>
        </row>
        <row r="6554">
          <cell r="A6554" t="str">
            <v>6969/3</v>
          </cell>
          <cell r="B6554">
            <v>6969</v>
          </cell>
          <cell r="C6554">
            <v>45824</v>
          </cell>
          <cell r="D6554" t="str">
            <v>یونس صاحب</v>
          </cell>
          <cell r="E6554" t="str">
            <v>مھبوب مقبول گجرانوالہ</v>
          </cell>
        </row>
        <row r="6555">
          <cell r="A6555" t="str">
            <v>6970/1</v>
          </cell>
          <cell r="B6555">
            <v>6970</v>
          </cell>
          <cell r="C6555">
            <v>45825</v>
          </cell>
          <cell r="D6555" t="str">
            <v>یونس صاحب</v>
          </cell>
          <cell r="E6555" t="str">
            <v>مقبول پرنٹر ہری پور</v>
          </cell>
        </row>
        <row r="6556">
          <cell r="A6556" t="str">
            <v>6970/2</v>
          </cell>
          <cell r="B6556">
            <v>6970</v>
          </cell>
          <cell r="C6556">
            <v>45825</v>
          </cell>
          <cell r="D6556" t="str">
            <v>یونس صاحب</v>
          </cell>
          <cell r="E6556" t="str">
            <v>مقبول پرنٹر ہری پور</v>
          </cell>
        </row>
        <row r="6557">
          <cell r="A6557" t="str">
            <v>6970/3</v>
          </cell>
          <cell r="B6557">
            <v>6970</v>
          </cell>
          <cell r="C6557">
            <v>45825</v>
          </cell>
          <cell r="D6557" t="str">
            <v>یونس صاحب</v>
          </cell>
          <cell r="E6557" t="str">
            <v>مقبول پرنٹر ہری پور</v>
          </cell>
        </row>
        <row r="6558">
          <cell r="A6558" t="str">
            <v>6970/4</v>
          </cell>
          <cell r="B6558">
            <v>6970</v>
          </cell>
          <cell r="C6558">
            <v>45825</v>
          </cell>
          <cell r="D6558" t="str">
            <v>یونس صاحب</v>
          </cell>
          <cell r="E6558" t="str">
            <v>مقبول پرنٹر ہری پور</v>
          </cell>
        </row>
        <row r="6559">
          <cell r="A6559" t="str">
            <v>6971/1</v>
          </cell>
          <cell r="B6559">
            <v>6971</v>
          </cell>
          <cell r="C6559">
            <v>45825</v>
          </cell>
          <cell r="D6559" t="str">
            <v>یونس صاحب</v>
          </cell>
          <cell r="E6559" t="str">
            <v>ملک شنا حویلیاں</v>
          </cell>
        </row>
        <row r="6560">
          <cell r="A6560" t="str">
            <v>6972/1</v>
          </cell>
          <cell r="B6560">
            <v>6972</v>
          </cell>
          <cell r="C6560">
            <v>45825</v>
          </cell>
          <cell r="D6560" t="str">
            <v>یونس صاحب</v>
          </cell>
          <cell r="E6560" t="str">
            <v>مھبوب مقبول گجرانوالہ</v>
          </cell>
        </row>
        <row r="6561">
          <cell r="A6561" t="str">
            <v>6972/2</v>
          </cell>
          <cell r="B6561">
            <v>6972</v>
          </cell>
          <cell r="C6561">
            <v>45825</v>
          </cell>
          <cell r="D6561" t="str">
            <v>یونس صاحب</v>
          </cell>
          <cell r="E6561" t="str">
            <v>مھبوب مقبول گجرانوالہ</v>
          </cell>
        </row>
        <row r="6562">
          <cell r="A6562" t="str">
            <v>6973/1</v>
          </cell>
          <cell r="B6562">
            <v>6973</v>
          </cell>
          <cell r="C6562">
            <v>45825</v>
          </cell>
          <cell r="D6562" t="str">
            <v>یونس صاحب</v>
          </cell>
          <cell r="E6562" t="str">
            <v>العمر پلاسٹک گوجرانوالہ</v>
          </cell>
        </row>
        <row r="6563">
          <cell r="A6563" t="str">
            <v>6973/2</v>
          </cell>
          <cell r="B6563">
            <v>6973</v>
          </cell>
          <cell r="C6563">
            <v>45825</v>
          </cell>
          <cell r="D6563" t="str">
            <v>یونس صاحب</v>
          </cell>
          <cell r="E6563" t="str">
            <v>العمر پلاسٹک گوجرانوالہ</v>
          </cell>
        </row>
        <row r="6564">
          <cell r="A6564" t="str">
            <v>6973/3</v>
          </cell>
          <cell r="B6564">
            <v>6973</v>
          </cell>
          <cell r="C6564">
            <v>45825</v>
          </cell>
          <cell r="D6564" t="str">
            <v>یونس صاحب</v>
          </cell>
          <cell r="E6564" t="str">
            <v>العمر پلاسٹک گوجرانوالہ</v>
          </cell>
        </row>
        <row r="6565">
          <cell r="A6565" t="str">
            <v>6973/4</v>
          </cell>
          <cell r="B6565">
            <v>6973</v>
          </cell>
          <cell r="C6565">
            <v>45825</v>
          </cell>
          <cell r="D6565" t="str">
            <v>یونس صاحب</v>
          </cell>
          <cell r="E6565" t="str">
            <v>العمر پلاسٹک گوجرانوالہ</v>
          </cell>
        </row>
        <row r="6566">
          <cell r="A6566" t="str">
            <v>6973/5</v>
          </cell>
          <cell r="B6566">
            <v>6973</v>
          </cell>
          <cell r="C6566">
            <v>45825</v>
          </cell>
          <cell r="D6566" t="str">
            <v>یونس صاحب</v>
          </cell>
          <cell r="E6566" t="str">
            <v>العمر پلاسٹک گوجرانوالہ</v>
          </cell>
        </row>
        <row r="6567">
          <cell r="A6567" t="str">
            <v>6974/1</v>
          </cell>
          <cell r="B6567">
            <v>6974</v>
          </cell>
          <cell r="C6567">
            <v>45825</v>
          </cell>
          <cell r="D6567" t="str">
            <v>یونس صاحب</v>
          </cell>
          <cell r="E6567" t="str">
            <v>العمر پلاسٹک گوجرانوالہ</v>
          </cell>
        </row>
        <row r="6568">
          <cell r="A6568" t="str">
            <v>6974/2</v>
          </cell>
          <cell r="B6568">
            <v>6974</v>
          </cell>
          <cell r="C6568">
            <v>45825</v>
          </cell>
          <cell r="D6568" t="str">
            <v>یونس صاحب</v>
          </cell>
          <cell r="E6568" t="str">
            <v>العمر پلاسٹک گوجرانوالہ</v>
          </cell>
        </row>
        <row r="6569">
          <cell r="A6569" t="str">
            <v>6974/3</v>
          </cell>
          <cell r="B6569">
            <v>6974</v>
          </cell>
          <cell r="C6569">
            <v>45825</v>
          </cell>
          <cell r="D6569" t="str">
            <v>یونس صاحب</v>
          </cell>
          <cell r="E6569" t="str">
            <v>العمر پلاسٹک گوجرانوالہ</v>
          </cell>
        </row>
        <row r="6570">
          <cell r="A6570" t="str">
            <v>6974/4</v>
          </cell>
          <cell r="B6570">
            <v>6974</v>
          </cell>
          <cell r="C6570">
            <v>45825</v>
          </cell>
          <cell r="D6570" t="str">
            <v>یونس صاحب</v>
          </cell>
          <cell r="E6570" t="str">
            <v>العمر پلاسٹک گوجرانوالہ</v>
          </cell>
        </row>
        <row r="6571">
          <cell r="A6571" t="str">
            <v>6974/5</v>
          </cell>
          <cell r="B6571">
            <v>6974</v>
          </cell>
          <cell r="C6571">
            <v>45825</v>
          </cell>
          <cell r="D6571" t="str">
            <v>یونس صاحب</v>
          </cell>
          <cell r="E6571" t="str">
            <v>العمر پلاسٹک گوجرانوالہ</v>
          </cell>
        </row>
        <row r="6572">
          <cell r="A6572" t="str">
            <v>6974/6</v>
          </cell>
          <cell r="B6572">
            <v>6974</v>
          </cell>
          <cell r="C6572">
            <v>45825</v>
          </cell>
          <cell r="D6572" t="str">
            <v>یونس صاحب</v>
          </cell>
          <cell r="E6572" t="str">
            <v>العمر پلاسٹک گوجرانوالہ</v>
          </cell>
        </row>
        <row r="6573">
          <cell r="A6573" t="str">
            <v>6974/7</v>
          </cell>
          <cell r="B6573">
            <v>6974</v>
          </cell>
          <cell r="C6573">
            <v>45825</v>
          </cell>
          <cell r="D6573" t="str">
            <v>یونس صاحب</v>
          </cell>
          <cell r="E6573" t="str">
            <v>العمر پلاسٹک گوجرانوالہ</v>
          </cell>
        </row>
        <row r="6574">
          <cell r="A6574" t="str">
            <v>6975/1</v>
          </cell>
          <cell r="B6574">
            <v>6975</v>
          </cell>
          <cell r="C6574">
            <v>45825</v>
          </cell>
          <cell r="D6574" t="str">
            <v>یونس صاحب</v>
          </cell>
          <cell r="E6574" t="str">
            <v>فیصل پلاسٹک فیصل آباد</v>
          </cell>
        </row>
        <row r="6575">
          <cell r="A6575" t="str">
            <v>6977/1</v>
          </cell>
          <cell r="B6575">
            <v>6977</v>
          </cell>
          <cell r="C6575">
            <v>45825</v>
          </cell>
          <cell r="D6575" t="str">
            <v>یونس صاحب</v>
          </cell>
          <cell r="E6575" t="str">
            <v>ایم زبیر پلاسٹک سرگودھا</v>
          </cell>
        </row>
        <row r="6576">
          <cell r="A6576" t="str">
            <v>6978/1</v>
          </cell>
          <cell r="B6576">
            <v>6978</v>
          </cell>
          <cell r="C6576">
            <v>45825</v>
          </cell>
          <cell r="D6576" t="str">
            <v>یونس صاحب</v>
          </cell>
          <cell r="E6576" t="str">
            <v>ملک خالد سلیم فیصل آباد</v>
          </cell>
        </row>
        <row r="6577">
          <cell r="A6577" t="str">
            <v>6978/2</v>
          </cell>
          <cell r="B6577">
            <v>6978</v>
          </cell>
          <cell r="C6577">
            <v>45825</v>
          </cell>
          <cell r="D6577" t="str">
            <v>یونس صاحب</v>
          </cell>
          <cell r="E6577" t="str">
            <v>ملک خالد سلیم فیصل آباد</v>
          </cell>
        </row>
        <row r="6578">
          <cell r="A6578" t="str">
            <v>6978/3</v>
          </cell>
          <cell r="B6578">
            <v>6978</v>
          </cell>
          <cell r="C6578">
            <v>45825</v>
          </cell>
          <cell r="D6578" t="str">
            <v>یونس صاحب</v>
          </cell>
          <cell r="E6578" t="str">
            <v>ملک خالد سلیم فیصل آباد</v>
          </cell>
        </row>
        <row r="6579">
          <cell r="A6579" t="str">
            <v>6978/4</v>
          </cell>
          <cell r="B6579">
            <v>6978</v>
          </cell>
          <cell r="C6579">
            <v>45825</v>
          </cell>
          <cell r="D6579" t="str">
            <v>یونس صاحب</v>
          </cell>
          <cell r="E6579" t="str">
            <v>ملک خالد سلیم فیصل آباد</v>
          </cell>
        </row>
        <row r="6580">
          <cell r="A6580" t="str">
            <v>6978/5</v>
          </cell>
          <cell r="B6580">
            <v>6978</v>
          </cell>
          <cell r="C6580">
            <v>45825</v>
          </cell>
          <cell r="D6580" t="str">
            <v>یونس صاحب</v>
          </cell>
          <cell r="E6580" t="str">
            <v>ملک خالد سلیم فیصل آباد</v>
          </cell>
        </row>
        <row r="6581">
          <cell r="A6581" t="str">
            <v>6978/6</v>
          </cell>
          <cell r="B6581">
            <v>6978</v>
          </cell>
          <cell r="C6581">
            <v>45825</v>
          </cell>
          <cell r="D6581" t="str">
            <v>یونس صاحب</v>
          </cell>
          <cell r="E6581" t="str">
            <v>ملک خالد سلیم فیصل آباد</v>
          </cell>
        </row>
        <row r="6582">
          <cell r="A6582" t="str">
            <v>6978/7</v>
          </cell>
          <cell r="B6582">
            <v>6978</v>
          </cell>
          <cell r="C6582">
            <v>45825</v>
          </cell>
          <cell r="D6582" t="str">
            <v>یونس صاحب</v>
          </cell>
          <cell r="E6582" t="str">
            <v>ملک خالد سلیم فیصل آباد</v>
          </cell>
        </row>
        <row r="6583">
          <cell r="A6583" t="str">
            <v>6978/8</v>
          </cell>
          <cell r="B6583">
            <v>6978</v>
          </cell>
          <cell r="C6583">
            <v>45825</v>
          </cell>
          <cell r="D6583" t="str">
            <v>یونس صاحب</v>
          </cell>
          <cell r="E6583" t="str">
            <v>ملک خالد سلیم فیصل آباد</v>
          </cell>
        </row>
        <row r="6584">
          <cell r="A6584" t="str">
            <v>6978/9</v>
          </cell>
          <cell r="B6584">
            <v>6978</v>
          </cell>
          <cell r="C6584">
            <v>45825</v>
          </cell>
          <cell r="D6584" t="str">
            <v>یونس صاحب</v>
          </cell>
          <cell r="E6584" t="str">
            <v>ملک خالد سلیم فیصل آباد</v>
          </cell>
        </row>
        <row r="6585">
          <cell r="A6585" t="str">
            <v>6979/1</v>
          </cell>
          <cell r="B6585">
            <v>6979</v>
          </cell>
          <cell r="C6585">
            <v>45825</v>
          </cell>
          <cell r="D6585" t="str">
            <v>یونس صاحب</v>
          </cell>
          <cell r="E6585" t="str">
            <v>مھبوب پلاسٹک فیصل آباد</v>
          </cell>
        </row>
        <row r="6586">
          <cell r="A6586" t="str">
            <v>6979/2</v>
          </cell>
          <cell r="B6586">
            <v>6979</v>
          </cell>
          <cell r="C6586">
            <v>45825</v>
          </cell>
          <cell r="D6586" t="str">
            <v>یونس صاحب</v>
          </cell>
          <cell r="E6586" t="str">
            <v>مھبوب پلاسٹک فیصل آباد</v>
          </cell>
        </row>
        <row r="6587">
          <cell r="A6587" t="str">
            <v>6979/3</v>
          </cell>
          <cell r="B6587">
            <v>6979</v>
          </cell>
          <cell r="C6587">
            <v>45825</v>
          </cell>
          <cell r="D6587" t="str">
            <v>یونس صاحب</v>
          </cell>
          <cell r="E6587" t="str">
            <v>مھبوب پلاسٹک فیصل آباد</v>
          </cell>
        </row>
        <row r="6588">
          <cell r="A6588" t="str">
            <v>6979/4</v>
          </cell>
          <cell r="B6588">
            <v>6979</v>
          </cell>
          <cell r="C6588">
            <v>45825</v>
          </cell>
          <cell r="D6588" t="str">
            <v>یونس صاحب</v>
          </cell>
          <cell r="E6588" t="str">
            <v>مھبوب پلاسٹک فیصل آباد</v>
          </cell>
        </row>
        <row r="6589">
          <cell r="A6589" t="str">
            <v>6979/5</v>
          </cell>
          <cell r="B6589">
            <v>6979</v>
          </cell>
          <cell r="C6589">
            <v>45825</v>
          </cell>
          <cell r="D6589" t="str">
            <v>یونس صاحب</v>
          </cell>
          <cell r="E6589" t="str">
            <v>مھبوب پلاسٹک فیصل آباد</v>
          </cell>
        </row>
        <row r="6590">
          <cell r="A6590" t="str">
            <v>6979/6</v>
          </cell>
          <cell r="B6590">
            <v>6979</v>
          </cell>
          <cell r="C6590">
            <v>45825</v>
          </cell>
          <cell r="D6590" t="str">
            <v>یونس صاحب</v>
          </cell>
          <cell r="E6590" t="str">
            <v>مھبوب پلاسٹک فیصل آباد</v>
          </cell>
        </row>
        <row r="6591">
          <cell r="A6591" t="str">
            <v>6979/7</v>
          </cell>
          <cell r="B6591">
            <v>6979</v>
          </cell>
          <cell r="C6591">
            <v>45825</v>
          </cell>
          <cell r="D6591" t="str">
            <v>یونس صاحب</v>
          </cell>
          <cell r="E6591" t="str">
            <v>مھبوب پلاسٹک فیصل آباد</v>
          </cell>
        </row>
        <row r="6592">
          <cell r="A6592" t="str">
            <v>6979/8</v>
          </cell>
          <cell r="B6592">
            <v>6979</v>
          </cell>
          <cell r="C6592">
            <v>45825</v>
          </cell>
          <cell r="D6592" t="str">
            <v>یونس صاحب</v>
          </cell>
          <cell r="E6592" t="str">
            <v>مھبوب پلاسٹک فیصل آباد</v>
          </cell>
        </row>
        <row r="6593">
          <cell r="A6593" t="str">
            <v>6979/9</v>
          </cell>
          <cell r="B6593">
            <v>6979</v>
          </cell>
          <cell r="C6593">
            <v>45825</v>
          </cell>
          <cell r="D6593" t="str">
            <v>یونس صاحب</v>
          </cell>
          <cell r="E6593" t="str">
            <v>مھبوب پلاسٹک فیصل آباد</v>
          </cell>
        </row>
        <row r="6594">
          <cell r="A6594" t="str">
            <v>6979/10</v>
          </cell>
          <cell r="B6594">
            <v>6979</v>
          </cell>
          <cell r="C6594">
            <v>45825</v>
          </cell>
          <cell r="D6594" t="str">
            <v>یونس صاحب</v>
          </cell>
          <cell r="E6594" t="str">
            <v>مھبوب پلاسٹک فیصل آباد</v>
          </cell>
        </row>
        <row r="6595">
          <cell r="A6595" t="str">
            <v>6979/11</v>
          </cell>
          <cell r="B6595">
            <v>6979</v>
          </cell>
          <cell r="C6595">
            <v>45825</v>
          </cell>
          <cell r="D6595" t="str">
            <v>یونس صاحب</v>
          </cell>
          <cell r="E6595" t="str">
            <v>مھبوب پلاسٹک فیصل آباد</v>
          </cell>
        </row>
        <row r="6596">
          <cell r="A6596" t="str">
            <v>6979/12</v>
          </cell>
          <cell r="B6596">
            <v>6979</v>
          </cell>
          <cell r="C6596">
            <v>45825</v>
          </cell>
          <cell r="D6596" t="str">
            <v>یونس صاحب</v>
          </cell>
          <cell r="E6596" t="str">
            <v>مھبوب پلاسٹک فیصل آباد</v>
          </cell>
        </row>
        <row r="6597">
          <cell r="A6597" t="str">
            <v>6979/13</v>
          </cell>
          <cell r="B6597">
            <v>6979</v>
          </cell>
          <cell r="C6597">
            <v>45825</v>
          </cell>
          <cell r="D6597" t="str">
            <v>یونس صاحب</v>
          </cell>
          <cell r="E6597" t="str">
            <v>مھبوب پلاسٹک فیصل آباد</v>
          </cell>
        </row>
        <row r="6598">
          <cell r="A6598" t="str">
            <v>6979/14</v>
          </cell>
          <cell r="B6598">
            <v>6979</v>
          </cell>
          <cell r="C6598">
            <v>45825</v>
          </cell>
          <cell r="D6598" t="str">
            <v>یونس صاحب</v>
          </cell>
          <cell r="E6598" t="str">
            <v>مھبوب پلاسٹک فیصل آباد</v>
          </cell>
        </row>
        <row r="6599">
          <cell r="A6599" t="str">
            <v>6979/15</v>
          </cell>
          <cell r="B6599">
            <v>6979</v>
          </cell>
          <cell r="C6599">
            <v>45825</v>
          </cell>
          <cell r="D6599" t="str">
            <v>یونس صاحب</v>
          </cell>
          <cell r="E6599" t="str">
            <v>مھبوب پلاسٹک فیصل آباد</v>
          </cell>
        </row>
        <row r="6600">
          <cell r="A6600" t="str">
            <v>6979/16</v>
          </cell>
          <cell r="B6600">
            <v>6979</v>
          </cell>
          <cell r="C6600">
            <v>45825</v>
          </cell>
          <cell r="D6600" t="str">
            <v>یونس صاحب</v>
          </cell>
          <cell r="E6600" t="str">
            <v>مھبوب پلاسٹک فیصل آباد</v>
          </cell>
        </row>
        <row r="6601">
          <cell r="A6601" t="str">
            <v>6979/17</v>
          </cell>
          <cell r="B6601">
            <v>6979</v>
          </cell>
          <cell r="C6601">
            <v>45825</v>
          </cell>
          <cell r="D6601" t="str">
            <v>یونس صاحب</v>
          </cell>
          <cell r="E6601" t="str">
            <v>مھبوب پلاسٹک فیصل آباد</v>
          </cell>
        </row>
        <row r="6602">
          <cell r="A6602" t="str">
            <v>6979/18</v>
          </cell>
          <cell r="B6602">
            <v>6979</v>
          </cell>
          <cell r="C6602">
            <v>45825</v>
          </cell>
          <cell r="D6602" t="str">
            <v>یونس صاحب</v>
          </cell>
          <cell r="E6602" t="str">
            <v>مھبوب پلاسٹک فیصل آباد</v>
          </cell>
        </row>
        <row r="6603">
          <cell r="A6603" t="str">
            <v>6979/19</v>
          </cell>
          <cell r="B6603">
            <v>6979</v>
          </cell>
          <cell r="C6603">
            <v>45825</v>
          </cell>
          <cell r="D6603" t="str">
            <v>یونس صاحب</v>
          </cell>
          <cell r="E6603" t="str">
            <v>مھبوب پلاسٹک فیصل آباد</v>
          </cell>
        </row>
        <row r="6604">
          <cell r="A6604" t="str">
            <v>6979/20</v>
          </cell>
          <cell r="B6604">
            <v>6979</v>
          </cell>
          <cell r="C6604">
            <v>45825</v>
          </cell>
          <cell r="D6604" t="str">
            <v>یونس صاحب</v>
          </cell>
          <cell r="E6604" t="str">
            <v>مھبوب پلاسٹک فیصل آباد</v>
          </cell>
        </row>
        <row r="6605">
          <cell r="A6605" t="str">
            <v>6979/21</v>
          </cell>
          <cell r="B6605">
            <v>6979</v>
          </cell>
          <cell r="C6605">
            <v>45825</v>
          </cell>
          <cell r="D6605" t="str">
            <v>یونس صاحب</v>
          </cell>
          <cell r="E6605" t="str">
            <v>مھبوب پلاسٹک فیصل آباد</v>
          </cell>
        </row>
        <row r="6606">
          <cell r="A6606" t="str">
            <v>6979/22</v>
          </cell>
          <cell r="B6606">
            <v>6979</v>
          </cell>
          <cell r="C6606">
            <v>45825</v>
          </cell>
          <cell r="D6606" t="str">
            <v>یونس صاحب</v>
          </cell>
          <cell r="E6606" t="str">
            <v>مھبوب پلاسٹک فیصل آباد</v>
          </cell>
        </row>
        <row r="6607">
          <cell r="A6607" t="str">
            <v>6979/23</v>
          </cell>
          <cell r="B6607">
            <v>6979</v>
          </cell>
          <cell r="C6607">
            <v>45825</v>
          </cell>
          <cell r="D6607" t="str">
            <v>یونس صاحب</v>
          </cell>
          <cell r="E6607" t="str">
            <v>مھبوب پلاسٹک فیصل آباد</v>
          </cell>
        </row>
        <row r="6608">
          <cell r="A6608" t="str">
            <v>6979/24</v>
          </cell>
          <cell r="B6608">
            <v>6979</v>
          </cell>
          <cell r="C6608">
            <v>45825</v>
          </cell>
          <cell r="D6608" t="str">
            <v>یونس صاحب</v>
          </cell>
          <cell r="E6608" t="str">
            <v>مھبوب پلاسٹک فیصل آباد</v>
          </cell>
        </row>
        <row r="6609">
          <cell r="A6609" t="str">
            <v>6982/1</v>
          </cell>
          <cell r="B6609">
            <v>6982</v>
          </cell>
          <cell r="C6609">
            <v>45826</v>
          </cell>
          <cell r="D6609" t="str">
            <v>یونس صاحب</v>
          </cell>
          <cell r="E6609" t="str">
            <v>نزیر پلاسٹک ملتان</v>
          </cell>
        </row>
        <row r="6610">
          <cell r="A6610" t="str">
            <v>6983/1</v>
          </cell>
          <cell r="B6610">
            <v>6983</v>
          </cell>
          <cell r="C6610">
            <v>45826</v>
          </cell>
          <cell r="D6610" t="str">
            <v>یونس صاحب</v>
          </cell>
          <cell r="E6610" t="str">
            <v>زوہیب شوکت پیوکی</v>
          </cell>
        </row>
        <row r="6611">
          <cell r="A6611" t="str">
            <v>6983/2</v>
          </cell>
          <cell r="B6611">
            <v>6983</v>
          </cell>
          <cell r="C6611">
            <v>45826</v>
          </cell>
          <cell r="D6611" t="str">
            <v>یونس صاحب</v>
          </cell>
          <cell r="E6611" t="str">
            <v>زوہیب شوکت پیوکی</v>
          </cell>
        </row>
        <row r="6612">
          <cell r="A6612" t="str">
            <v>6983/3</v>
          </cell>
          <cell r="B6612">
            <v>6983</v>
          </cell>
          <cell r="C6612">
            <v>45826</v>
          </cell>
          <cell r="D6612" t="str">
            <v>یونس صاحب</v>
          </cell>
          <cell r="E6612" t="str">
            <v>زوہیب شوکت پیوکی</v>
          </cell>
        </row>
        <row r="6613">
          <cell r="A6613" t="str">
            <v>6983/4</v>
          </cell>
          <cell r="B6613">
            <v>6983</v>
          </cell>
          <cell r="C6613">
            <v>45826</v>
          </cell>
          <cell r="D6613" t="str">
            <v>یونس صاحب</v>
          </cell>
          <cell r="E6613" t="str">
            <v>زوہیب شوکت پیوکی</v>
          </cell>
        </row>
        <row r="6614">
          <cell r="A6614" t="str">
            <v>6983/5</v>
          </cell>
          <cell r="B6614">
            <v>6983</v>
          </cell>
          <cell r="C6614">
            <v>45826</v>
          </cell>
          <cell r="D6614" t="str">
            <v>یونس صاحب</v>
          </cell>
          <cell r="E6614" t="str">
            <v>زوہیب شوکت پیوکی</v>
          </cell>
        </row>
        <row r="6615">
          <cell r="A6615" t="str">
            <v>6983/6</v>
          </cell>
          <cell r="B6615">
            <v>6983</v>
          </cell>
          <cell r="C6615">
            <v>45826</v>
          </cell>
          <cell r="D6615" t="str">
            <v>یونس صاحب</v>
          </cell>
          <cell r="E6615" t="str">
            <v>زوہیب شوکت پیوکی</v>
          </cell>
        </row>
        <row r="6616">
          <cell r="A6616" t="str">
            <v>6983/7</v>
          </cell>
          <cell r="B6616">
            <v>6983</v>
          </cell>
          <cell r="C6616">
            <v>45826</v>
          </cell>
          <cell r="D6616" t="str">
            <v>یونس صاحب</v>
          </cell>
          <cell r="E6616" t="str">
            <v>زوہیب شوکت پیوکی</v>
          </cell>
        </row>
        <row r="6617">
          <cell r="A6617" t="str">
            <v>6983/8</v>
          </cell>
          <cell r="B6617">
            <v>6983</v>
          </cell>
          <cell r="C6617">
            <v>45826</v>
          </cell>
          <cell r="D6617" t="str">
            <v>یونس صاحب</v>
          </cell>
          <cell r="E6617" t="str">
            <v>زوہیب شوکت پیوکی</v>
          </cell>
        </row>
        <row r="6618">
          <cell r="A6618" t="str">
            <v>6983/9</v>
          </cell>
          <cell r="B6618">
            <v>6983</v>
          </cell>
          <cell r="C6618">
            <v>45826</v>
          </cell>
          <cell r="D6618" t="str">
            <v>یونس صاحب</v>
          </cell>
          <cell r="E6618" t="str">
            <v>زوہیب شوکت پیوکی</v>
          </cell>
        </row>
        <row r="6619">
          <cell r="A6619" t="str">
            <v>6984/1</v>
          </cell>
          <cell r="B6619">
            <v>6984</v>
          </cell>
          <cell r="C6619">
            <v>45826</v>
          </cell>
          <cell r="D6619" t="str">
            <v>یونس صاحب</v>
          </cell>
          <cell r="E6619" t="str">
            <v>عاصم عطاری اعظم مارکیٹ</v>
          </cell>
        </row>
        <row r="6620">
          <cell r="A6620" t="str">
            <v>6985/1</v>
          </cell>
          <cell r="B6620">
            <v>6985</v>
          </cell>
          <cell r="C6620">
            <v>45826</v>
          </cell>
          <cell r="D6620" t="str">
            <v>یونس صاحب</v>
          </cell>
          <cell r="E6620" t="str">
            <v>ایم زبیر پلاسٹک سرگودھا</v>
          </cell>
        </row>
        <row r="6621">
          <cell r="A6621" t="str">
            <v>6985/2</v>
          </cell>
          <cell r="B6621">
            <v>6985</v>
          </cell>
          <cell r="C6621">
            <v>45826</v>
          </cell>
          <cell r="D6621" t="str">
            <v>یونس صاحب</v>
          </cell>
          <cell r="E6621" t="str">
            <v>ایم زبیر پلاسٹک سرگودھا</v>
          </cell>
        </row>
        <row r="6622">
          <cell r="A6622" t="str">
            <v>6985/3</v>
          </cell>
          <cell r="B6622">
            <v>6985</v>
          </cell>
          <cell r="C6622">
            <v>45826</v>
          </cell>
          <cell r="D6622" t="str">
            <v>یونس صاحب</v>
          </cell>
          <cell r="E6622" t="str">
            <v>ایم زبیر پلاسٹک سرگودھا</v>
          </cell>
        </row>
        <row r="6623">
          <cell r="A6623" t="str">
            <v>6986/1</v>
          </cell>
          <cell r="B6623">
            <v>6986</v>
          </cell>
          <cell r="C6623">
            <v>45826</v>
          </cell>
          <cell r="D6623" t="str">
            <v>یونس صاحب</v>
          </cell>
          <cell r="E6623" t="str">
            <v>مھبوب مقبول گجرانوالہ</v>
          </cell>
        </row>
        <row r="6624">
          <cell r="A6624" t="str">
            <v>6987/1</v>
          </cell>
          <cell r="B6624">
            <v>6987</v>
          </cell>
          <cell r="C6624">
            <v>45827</v>
          </cell>
          <cell r="D6624" t="str">
            <v>یونس صاحب</v>
          </cell>
          <cell r="E6624" t="str">
            <v>حاجی اسلماعیل وہاڑی</v>
          </cell>
        </row>
        <row r="6625">
          <cell r="A6625" t="str">
            <v>6987/2</v>
          </cell>
          <cell r="B6625">
            <v>6987</v>
          </cell>
          <cell r="C6625">
            <v>45827</v>
          </cell>
          <cell r="D6625" t="str">
            <v>یونس صاحب</v>
          </cell>
          <cell r="E6625" t="str">
            <v>حاجی اسلماعیل وہاڑی</v>
          </cell>
        </row>
        <row r="6626">
          <cell r="A6626" t="str">
            <v>6987/3</v>
          </cell>
          <cell r="B6626">
            <v>6987</v>
          </cell>
          <cell r="C6626">
            <v>45827</v>
          </cell>
          <cell r="D6626" t="str">
            <v>یونس صاحب</v>
          </cell>
          <cell r="E6626" t="str">
            <v>حاجی اسلماعیل وہاڑی</v>
          </cell>
        </row>
        <row r="6627">
          <cell r="A6627" t="str">
            <v>6987/4</v>
          </cell>
          <cell r="B6627">
            <v>6987</v>
          </cell>
          <cell r="C6627">
            <v>45827</v>
          </cell>
          <cell r="D6627" t="str">
            <v>یونس صاحب</v>
          </cell>
          <cell r="E6627" t="str">
            <v>حاجی اسلماعیل وہاڑی</v>
          </cell>
        </row>
        <row r="6628">
          <cell r="A6628" t="str">
            <v>6988/1</v>
          </cell>
          <cell r="B6628">
            <v>6988</v>
          </cell>
          <cell r="C6628">
            <v>45827</v>
          </cell>
          <cell r="D6628" t="str">
            <v>یونس صاحب</v>
          </cell>
          <cell r="E6628" t="str">
            <v>اختر علی چیچہ وطنی</v>
          </cell>
        </row>
        <row r="6629">
          <cell r="A6629" t="str">
            <v>6988/2</v>
          </cell>
          <cell r="B6629">
            <v>6988</v>
          </cell>
          <cell r="C6629">
            <v>45827</v>
          </cell>
          <cell r="D6629" t="str">
            <v>یونس صاحب</v>
          </cell>
          <cell r="E6629" t="str">
            <v>اختر علی چیچہ وطنی</v>
          </cell>
        </row>
        <row r="6630">
          <cell r="A6630" t="str">
            <v>6988/3</v>
          </cell>
          <cell r="B6630">
            <v>6988</v>
          </cell>
          <cell r="C6630">
            <v>45827</v>
          </cell>
          <cell r="D6630" t="str">
            <v>یونس صاحب</v>
          </cell>
          <cell r="E6630" t="str">
            <v>اختر علی چیچہ وطنی</v>
          </cell>
        </row>
        <row r="6631">
          <cell r="A6631" t="str">
            <v>6988/4</v>
          </cell>
          <cell r="B6631">
            <v>6988</v>
          </cell>
          <cell r="C6631">
            <v>45827</v>
          </cell>
          <cell r="D6631" t="str">
            <v>یونس صاحب</v>
          </cell>
          <cell r="E6631" t="str">
            <v>اختر علی چیچہ وطنی</v>
          </cell>
        </row>
        <row r="6632">
          <cell r="A6632" t="str">
            <v>6988/5</v>
          </cell>
          <cell r="B6632">
            <v>6988</v>
          </cell>
          <cell r="C6632">
            <v>45827</v>
          </cell>
          <cell r="D6632" t="str">
            <v>یونس صاحب</v>
          </cell>
          <cell r="E6632" t="str">
            <v>اختر علی چیچہ وطنی</v>
          </cell>
        </row>
        <row r="6633">
          <cell r="A6633" t="str">
            <v>6988/6</v>
          </cell>
          <cell r="B6633">
            <v>6988</v>
          </cell>
          <cell r="C6633">
            <v>45827</v>
          </cell>
          <cell r="D6633" t="str">
            <v>یونس صاحب</v>
          </cell>
          <cell r="E6633" t="str">
            <v>اختر علی چیچہ وطنی</v>
          </cell>
        </row>
        <row r="6634">
          <cell r="A6634" t="str">
            <v>6989/1</v>
          </cell>
          <cell r="B6634">
            <v>6989</v>
          </cell>
          <cell r="C6634">
            <v>45827</v>
          </cell>
          <cell r="D6634" t="str">
            <v>یونس صاحب</v>
          </cell>
          <cell r="E6634" t="str">
            <v>اے ایس کلاتھ -اعظم مارکیٹ</v>
          </cell>
        </row>
        <row r="6635">
          <cell r="A6635" t="str">
            <v>6990/1</v>
          </cell>
          <cell r="B6635">
            <v>6990</v>
          </cell>
          <cell r="C6635">
            <v>45827</v>
          </cell>
          <cell r="D6635" t="str">
            <v>یونس صاحب</v>
          </cell>
          <cell r="E6635" t="str">
            <v>عاصم مدنی انارکلی</v>
          </cell>
        </row>
        <row r="6636">
          <cell r="A6636" t="str">
            <v>6990/2</v>
          </cell>
          <cell r="B6636">
            <v>6990</v>
          </cell>
          <cell r="C6636">
            <v>45827</v>
          </cell>
          <cell r="D6636" t="str">
            <v>یونس صاحب</v>
          </cell>
          <cell r="E6636" t="str">
            <v>عاصم مدنی انارکلی</v>
          </cell>
        </row>
        <row r="6637">
          <cell r="A6637" t="str">
            <v>6990/3</v>
          </cell>
          <cell r="B6637">
            <v>6990</v>
          </cell>
          <cell r="C6637">
            <v>45827</v>
          </cell>
          <cell r="D6637" t="str">
            <v>یونس صاحب</v>
          </cell>
          <cell r="E6637" t="str">
            <v>عاصم مدنی انارکلی</v>
          </cell>
        </row>
        <row r="6638">
          <cell r="A6638" t="str">
            <v>6990/4</v>
          </cell>
          <cell r="B6638">
            <v>6990</v>
          </cell>
          <cell r="C6638">
            <v>45827</v>
          </cell>
          <cell r="D6638" t="str">
            <v>یونس صاحب</v>
          </cell>
          <cell r="E6638" t="str">
            <v>عاصم مدنی انارکلی</v>
          </cell>
        </row>
        <row r="6639">
          <cell r="A6639" t="str">
            <v>6991/1</v>
          </cell>
          <cell r="B6639">
            <v>6991</v>
          </cell>
          <cell r="C6639">
            <v>45827</v>
          </cell>
          <cell r="D6639" t="str">
            <v>یونس صاحب</v>
          </cell>
          <cell r="E6639" t="str">
            <v>مھبوب مقبول گجرانوالہ</v>
          </cell>
        </row>
        <row r="6640">
          <cell r="A6640" t="str">
            <v>6991/2</v>
          </cell>
          <cell r="B6640">
            <v>6991</v>
          </cell>
          <cell r="C6640">
            <v>45827</v>
          </cell>
          <cell r="D6640" t="str">
            <v>یونس صاحب</v>
          </cell>
          <cell r="E6640" t="str">
            <v>مھبوب مقبول گجرانوالہ</v>
          </cell>
        </row>
        <row r="6641">
          <cell r="A6641" t="str">
            <v>6991/3</v>
          </cell>
          <cell r="B6641">
            <v>6991</v>
          </cell>
          <cell r="C6641">
            <v>45827</v>
          </cell>
          <cell r="D6641" t="str">
            <v>یونس صاحب</v>
          </cell>
          <cell r="E6641" t="str">
            <v>مھبوب مقبول گجرانوالہ</v>
          </cell>
        </row>
        <row r="6642">
          <cell r="A6642" t="str">
            <v>6991/4</v>
          </cell>
          <cell r="B6642">
            <v>6991</v>
          </cell>
          <cell r="C6642">
            <v>45827</v>
          </cell>
          <cell r="D6642" t="str">
            <v>یونس صاحب</v>
          </cell>
          <cell r="E6642" t="str">
            <v>مھبوب مقبول گجرانوالہ</v>
          </cell>
        </row>
        <row r="6643">
          <cell r="A6643" t="str">
            <v>6992/1</v>
          </cell>
          <cell r="B6643">
            <v>6992</v>
          </cell>
          <cell r="C6643">
            <v>45827</v>
          </cell>
          <cell r="D6643" t="str">
            <v>یونس صاحب</v>
          </cell>
          <cell r="E6643" t="str">
            <v>خرم پلاسٹک لالہ موسہ</v>
          </cell>
        </row>
        <row r="6644">
          <cell r="A6644" t="str">
            <v>6992/2</v>
          </cell>
          <cell r="B6644">
            <v>6992</v>
          </cell>
          <cell r="C6644">
            <v>45827</v>
          </cell>
          <cell r="D6644" t="str">
            <v>یونس صاحب</v>
          </cell>
          <cell r="E6644" t="str">
            <v>خرم پلاسٹک لالہ موسہ</v>
          </cell>
        </row>
        <row r="6645">
          <cell r="A6645" t="str">
            <v>6993/1</v>
          </cell>
          <cell r="B6645">
            <v>6993</v>
          </cell>
          <cell r="C6645">
            <v>45827</v>
          </cell>
          <cell r="D6645" t="str">
            <v>یونس صاحب</v>
          </cell>
          <cell r="E6645" t="str">
            <v>ہیڈ  آفس لاہور</v>
          </cell>
        </row>
        <row r="6646">
          <cell r="A6646" t="str">
            <v>6993/2</v>
          </cell>
          <cell r="B6646">
            <v>6993</v>
          </cell>
          <cell r="C6646">
            <v>45827</v>
          </cell>
          <cell r="D6646" t="str">
            <v>یونس صاحب</v>
          </cell>
          <cell r="E6646" t="str">
            <v>ہیڈ  آفس لاہور</v>
          </cell>
        </row>
        <row r="6647">
          <cell r="A6647" t="str">
            <v>6993/3</v>
          </cell>
          <cell r="B6647">
            <v>6993</v>
          </cell>
          <cell r="C6647">
            <v>45827</v>
          </cell>
          <cell r="D6647" t="str">
            <v>یونس صاحب</v>
          </cell>
          <cell r="E6647" t="str">
            <v>ہیڈ  آفس لاہور</v>
          </cell>
        </row>
        <row r="6648">
          <cell r="A6648" t="str">
            <v>6993/4</v>
          </cell>
          <cell r="B6648">
            <v>6993</v>
          </cell>
          <cell r="C6648">
            <v>45827</v>
          </cell>
          <cell r="D6648" t="str">
            <v>یونس صاحب</v>
          </cell>
          <cell r="E6648" t="str">
            <v>ہیڈ  آفس لاہور</v>
          </cell>
        </row>
        <row r="6649">
          <cell r="A6649" t="str">
            <v>6993/5</v>
          </cell>
          <cell r="B6649">
            <v>6993</v>
          </cell>
          <cell r="C6649">
            <v>45827</v>
          </cell>
          <cell r="D6649" t="str">
            <v>یونس صاحب</v>
          </cell>
          <cell r="E6649" t="str">
            <v>ہیڈ  آفس لاہور</v>
          </cell>
        </row>
        <row r="6650">
          <cell r="A6650" t="str">
            <v>6993/6</v>
          </cell>
          <cell r="B6650">
            <v>6993</v>
          </cell>
          <cell r="C6650">
            <v>45827</v>
          </cell>
          <cell r="D6650" t="str">
            <v>یونس صاحب</v>
          </cell>
          <cell r="E6650" t="str">
            <v>ہیڈ  آفس لاہور</v>
          </cell>
        </row>
        <row r="6651">
          <cell r="A6651" t="str">
            <v>6993/7</v>
          </cell>
          <cell r="B6651">
            <v>6993</v>
          </cell>
          <cell r="C6651">
            <v>45827</v>
          </cell>
          <cell r="D6651" t="str">
            <v>یونس صاحب</v>
          </cell>
          <cell r="E6651" t="str">
            <v>ہیڈ  آفس لاہور</v>
          </cell>
        </row>
        <row r="6652">
          <cell r="A6652" t="str">
            <v>6993/8</v>
          </cell>
          <cell r="B6652">
            <v>6993</v>
          </cell>
          <cell r="C6652">
            <v>45827</v>
          </cell>
          <cell r="D6652" t="str">
            <v>یونس صاحب</v>
          </cell>
          <cell r="E6652" t="str">
            <v>ہیڈ  آفس لاہور</v>
          </cell>
        </row>
        <row r="6653">
          <cell r="A6653" t="str">
            <v>6993/9</v>
          </cell>
          <cell r="B6653">
            <v>6993</v>
          </cell>
          <cell r="C6653">
            <v>45827</v>
          </cell>
          <cell r="D6653" t="str">
            <v>یونس صاحب</v>
          </cell>
          <cell r="E6653" t="str">
            <v>ہیڈ  آفس لاہور</v>
          </cell>
        </row>
        <row r="6654">
          <cell r="A6654" t="str">
            <v>6993/10</v>
          </cell>
          <cell r="B6654">
            <v>6993</v>
          </cell>
          <cell r="C6654">
            <v>45827</v>
          </cell>
          <cell r="D6654" t="str">
            <v>یونس صاحب</v>
          </cell>
          <cell r="E6654" t="str">
            <v>ہیڈ  آفس لاہور</v>
          </cell>
        </row>
        <row r="6655">
          <cell r="A6655" t="str">
            <v>6993/11</v>
          </cell>
          <cell r="B6655">
            <v>6993</v>
          </cell>
          <cell r="C6655">
            <v>45827</v>
          </cell>
          <cell r="D6655" t="str">
            <v>یونس صاحب</v>
          </cell>
          <cell r="E6655" t="str">
            <v>ہیڈ  آفس لاہور</v>
          </cell>
        </row>
        <row r="6656">
          <cell r="A6656" t="str">
            <v>6993/12</v>
          </cell>
          <cell r="B6656">
            <v>6993</v>
          </cell>
          <cell r="C6656">
            <v>45827</v>
          </cell>
          <cell r="D6656" t="str">
            <v>یونس صاحب</v>
          </cell>
          <cell r="E6656" t="str">
            <v>ہیڈ  آفس لاہور</v>
          </cell>
        </row>
        <row r="6657">
          <cell r="A6657" t="str">
            <v>6993/13</v>
          </cell>
          <cell r="B6657">
            <v>6993</v>
          </cell>
          <cell r="C6657">
            <v>45827</v>
          </cell>
          <cell r="D6657" t="str">
            <v>یونس صاحب</v>
          </cell>
          <cell r="E6657" t="str">
            <v>ہیڈ  آفس لاہور</v>
          </cell>
        </row>
        <row r="6658">
          <cell r="A6658" t="str">
            <v>6993/14</v>
          </cell>
          <cell r="B6658">
            <v>6993</v>
          </cell>
          <cell r="C6658">
            <v>45827</v>
          </cell>
          <cell r="D6658" t="str">
            <v>یونس صاحب</v>
          </cell>
          <cell r="E6658" t="str">
            <v>ہیڈ  آفس لاہور</v>
          </cell>
        </row>
        <row r="6659">
          <cell r="A6659" t="str">
            <v>6993/15</v>
          </cell>
          <cell r="B6659">
            <v>6993</v>
          </cell>
          <cell r="C6659">
            <v>45827</v>
          </cell>
          <cell r="D6659" t="str">
            <v>یونس صاحب</v>
          </cell>
          <cell r="E6659" t="str">
            <v>ہیڈ  آفس لاہور</v>
          </cell>
        </row>
        <row r="6660">
          <cell r="A6660" t="str">
            <v>2804 J</v>
          </cell>
          <cell r="B6660">
            <v>12369</v>
          </cell>
          <cell r="C6660">
            <v>45826</v>
          </cell>
          <cell r="D6660" t="str">
            <v>JILANI</v>
          </cell>
          <cell r="E6660" t="str">
            <v>یو ایس ڈینم ملز پرائیویٹ لیمیٹڈ</v>
          </cell>
        </row>
        <row r="6661">
          <cell r="A6661" t="str">
            <v>2805 J</v>
          </cell>
          <cell r="B6661">
            <v>12369</v>
          </cell>
          <cell r="C6661">
            <v>45826</v>
          </cell>
          <cell r="D6661" t="str">
            <v>JILANI</v>
          </cell>
          <cell r="E6661" t="str">
            <v>یو ایس ڈینم ملز پرائیویٹ لیمیٹڈ</v>
          </cell>
        </row>
        <row r="6662">
          <cell r="A6662" t="str">
            <v>2806 J</v>
          </cell>
          <cell r="B6662">
            <v>12370</v>
          </cell>
          <cell r="C6662">
            <v>45826</v>
          </cell>
          <cell r="D6662" t="str">
            <v>JILANI</v>
          </cell>
          <cell r="E6662" t="str">
            <v>احسان کاٹن پراڈکٹس</v>
          </cell>
        </row>
        <row r="6663">
          <cell r="A6663" t="str">
            <v>2807 J</v>
          </cell>
          <cell r="B6663">
            <v>12370</v>
          </cell>
          <cell r="C6663">
            <v>45826</v>
          </cell>
          <cell r="D6663" t="str">
            <v>JILANI</v>
          </cell>
          <cell r="E6663" t="str">
            <v>احسان کاٹن پراڈکٹس</v>
          </cell>
        </row>
        <row r="6664">
          <cell r="A6664" t="str">
            <v>2808 J</v>
          </cell>
          <cell r="B6664">
            <v>12370</v>
          </cell>
          <cell r="C6664">
            <v>45826</v>
          </cell>
          <cell r="D6664" t="str">
            <v>JILANI</v>
          </cell>
          <cell r="E6664" t="str">
            <v>احسان کاٹن پراڈکٹس</v>
          </cell>
        </row>
        <row r="6665">
          <cell r="A6665" t="str">
            <v>2809 J</v>
          </cell>
          <cell r="B6665">
            <v>12371</v>
          </cell>
          <cell r="C6665">
            <v>45826</v>
          </cell>
          <cell r="D6665" t="str">
            <v>JILANI</v>
          </cell>
          <cell r="E6665" t="str">
            <v>مغل پلاسٹک لیہ</v>
          </cell>
        </row>
        <row r="6666">
          <cell r="A6666" t="str">
            <v>2810 J</v>
          </cell>
          <cell r="B6666">
            <v>12372</v>
          </cell>
          <cell r="C6666">
            <v>45826</v>
          </cell>
          <cell r="D6666" t="str">
            <v>JILANI</v>
          </cell>
          <cell r="E6666" t="str">
            <v>مغل پلاسٹک لیہ</v>
          </cell>
        </row>
        <row r="6667">
          <cell r="A6667" t="str">
            <v>2811 J</v>
          </cell>
          <cell r="B6667">
            <v>12373</v>
          </cell>
          <cell r="C6667">
            <v>45826</v>
          </cell>
          <cell r="D6667" t="str">
            <v>JILANI</v>
          </cell>
          <cell r="E6667" t="str">
            <v>لکی کلاتھ ہاؤس لیہ</v>
          </cell>
        </row>
        <row r="6668">
          <cell r="A6668" t="str">
            <v>2812 J</v>
          </cell>
          <cell r="B6668">
            <v>12374</v>
          </cell>
          <cell r="C6668">
            <v>45826</v>
          </cell>
          <cell r="D6668" t="str">
            <v>JILANI</v>
          </cell>
          <cell r="E6668" t="str">
            <v>افنان پرنٹنگ پریس بٹ خیلہ</v>
          </cell>
        </row>
        <row r="6669">
          <cell r="A6669" t="str">
            <v>2813 J</v>
          </cell>
          <cell r="B6669">
            <v>12374</v>
          </cell>
          <cell r="C6669">
            <v>45826</v>
          </cell>
          <cell r="D6669" t="str">
            <v>JILANI</v>
          </cell>
          <cell r="E6669" t="str">
            <v>افنان پرنٹنگ پریس بٹ خیلہ</v>
          </cell>
        </row>
        <row r="6670">
          <cell r="A6670" t="str">
            <v>2814 J</v>
          </cell>
          <cell r="B6670">
            <v>12375</v>
          </cell>
          <cell r="C6670">
            <v>45826</v>
          </cell>
          <cell r="D6670" t="str">
            <v>JILANI</v>
          </cell>
          <cell r="E6670" t="str">
            <v>محبوب پرنٹرز گوجرانوالہ</v>
          </cell>
        </row>
        <row r="6671">
          <cell r="A6671" t="str">
            <v>2815 J</v>
          </cell>
          <cell r="B6671">
            <v>12375</v>
          </cell>
          <cell r="C6671">
            <v>45826</v>
          </cell>
          <cell r="D6671" t="str">
            <v>JILANI</v>
          </cell>
          <cell r="E6671" t="str">
            <v>محبوب پرنٹرز گوجرانوالہ</v>
          </cell>
        </row>
        <row r="6672">
          <cell r="A6672" t="str">
            <v>2816 J</v>
          </cell>
          <cell r="B6672">
            <v>12376</v>
          </cell>
          <cell r="C6672">
            <v>45826</v>
          </cell>
          <cell r="D6672" t="str">
            <v>JILANI</v>
          </cell>
          <cell r="E6672" t="str">
            <v>ہدایت خان پشاور</v>
          </cell>
        </row>
        <row r="6673">
          <cell r="A6673" t="str">
            <v>2817 J</v>
          </cell>
          <cell r="B6673">
            <v>12376</v>
          </cell>
          <cell r="C6673">
            <v>45826</v>
          </cell>
          <cell r="D6673" t="str">
            <v>JILANI</v>
          </cell>
          <cell r="E6673" t="str">
            <v>ہدایت خان پشاور</v>
          </cell>
        </row>
        <row r="6674">
          <cell r="A6674" t="str">
            <v>2818 J</v>
          </cell>
          <cell r="B6674">
            <v>12376</v>
          </cell>
          <cell r="C6674">
            <v>45826</v>
          </cell>
          <cell r="D6674" t="str">
            <v>JILANI</v>
          </cell>
          <cell r="E6674" t="str">
            <v>ہدایت خان پشاور</v>
          </cell>
        </row>
        <row r="6675">
          <cell r="A6675" t="str">
            <v>2819 J</v>
          </cell>
          <cell r="B6675">
            <v>12377</v>
          </cell>
          <cell r="C6675">
            <v>45826</v>
          </cell>
          <cell r="D6675" t="str">
            <v>JILANI</v>
          </cell>
          <cell r="E6675" t="str">
            <v>ہدایت خان پشاور</v>
          </cell>
        </row>
        <row r="6676">
          <cell r="A6676" t="str">
            <v>2820 J</v>
          </cell>
          <cell r="B6676">
            <v>12377</v>
          </cell>
          <cell r="C6676">
            <v>45826</v>
          </cell>
          <cell r="D6676" t="str">
            <v>JILANI</v>
          </cell>
          <cell r="E6676" t="str">
            <v>ہدایت خان پشاور</v>
          </cell>
        </row>
        <row r="6677">
          <cell r="A6677" t="str">
            <v>2821 J</v>
          </cell>
          <cell r="B6677">
            <v>12377</v>
          </cell>
          <cell r="C6677">
            <v>45826</v>
          </cell>
          <cell r="D6677" t="str">
            <v>JILANI</v>
          </cell>
          <cell r="E6677" t="str">
            <v>ہدایت خان پشاور</v>
          </cell>
        </row>
        <row r="6678">
          <cell r="A6678" t="str">
            <v>2822 J</v>
          </cell>
          <cell r="B6678">
            <v>12378</v>
          </cell>
          <cell r="C6678">
            <v>45826</v>
          </cell>
          <cell r="D6678" t="str">
            <v>JILANI</v>
          </cell>
          <cell r="E6678" t="str">
            <v>علی سویٹس اینڈ بیکرز رحیم یار خان</v>
          </cell>
        </row>
        <row r="6679">
          <cell r="A6679" t="str">
            <v>2823 J</v>
          </cell>
          <cell r="B6679">
            <v>12379</v>
          </cell>
          <cell r="C6679">
            <v>45826</v>
          </cell>
          <cell r="D6679" t="str">
            <v>JILANI</v>
          </cell>
          <cell r="E6679" t="str">
            <v>شاہ جی اچار  مردان</v>
          </cell>
        </row>
        <row r="6680">
          <cell r="A6680" t="str">
            <v>2824 J</v>
          </cell>
          <cell r="B6680">
            <v>12379</v>
          </cell>
          <cell r="C6680">
            <v>45826</v>
          </cell>
          <cell r="D6680" t="str">
            <v>JILANI</v>
          </cell>
          <cell r="E6680" t="str">
            <v>شاہ جی اچار  مردان</v>
          </cell>
        </row>
        <row r="6681">
          <cell r="A6681" t="str">
            <v>2825 J</v>
          </cell>
          <cell r="B6681">
            <v>12379</v>
          </cell>
          <cell r="C6681">
            <v>45826</v>
          </cell>
          <cell r="D6681" t="str">
            <v>JILANI</v>
          </cell>
          <cell r="E6681" t="str">
            <v>شاہ جی اچار  مردان</v>
          </cell>
        </row>
        <row r="6682">
          <cell r="A6682" t="str">
            <v>2826 J</v>
          </cell>
          <cell r="B6682">
            <v>12380</v>
          </cell>
          <cell r="C6682">
            <v>45826</v>
          </cell>
          <cell r="D6682" t="str">
            <v>JILANI</v>
          </cell>
          <cell r="E6682" t="str">
            <v xml:space="preserve">آصف اقبال کئیر آف تکبیر ایگرو </v>
          </cell>
        </row>
        <row r="6683">
          <cell r="A6683" t="str">
            <v>2827 J</v>
          </cell>
          <cell r="B6683">
            <v>12381</v>
          </cell>
          <cell r="C6683">
            <v>45826</v>
          </cell>
          <cell r="D6683" t="str">
            <v>JILANI</v>
          </cell>
          <cell r="E6683" t="str">
            <v>فیشن ہاؤس شاہدرہ</v>
          </cell>
        </row>
        <row r="6684">
          <cell r="A6684" t="str">
            <v>2828 J</v>
          </cell>
          <cell r="B6684">
            <v>12382</v>
          </cell>
          <cell r="C6684">
            <v>45826</v>
          </cell>
          <cell r="D6684" t="str">
            <v>JILANI</v>
          </cell>
          <cell r="E6684" t="str">
            <v>مدثر شبیربمبرآزادکشمیر</v>
          </cell>
        </row>
        <row r="6685">
          <cell r="A6685" t="str">
            <v>2829 J</v>
          </cell>
          <cell r="B6685">
            <v>12382</v>
          </cell>
          <cell r="C6685">
            <v>45826</v>
          </cell>
          <cell r="D6685" t="str">
            <v>JILANI</v>
          </cell>
          <cell r="E6685" t="str">
            <v>مدثر شبیربمبرآزادکشمیر</v>
          </cell>
        </row>
        <row r="6686">
          <cell r="A6686" t="str">
            <v>2830 J</v>
          </cell>
          <cell r="B6686">
            <v>12384</v>
          </cell>
          <cell r="C6686">
            <v>45828</v>
          </cell>
          <cell r="D6686" t="str">
            <v>JILANI</v>
          </cell>
          <cell r="E6686" t="str">
            <v>عثمان عارف بٹ گوجرانولہ</v>
          </cell>
        </row>
        <row r="6687">
          <cell r="A6687" t="str">
            <v>2831 J</v>
          </cell>
          <cell r="B6687">
            <v>12384</v>
          </cell>
          <cell r="C6687">
            <v>45828</v>
          </cell>
          <cell r="D6687" t="str">
            <v>JILANI</v>
          </cell>
          <cell r="E6687" t="str">
            <v>عثمان عارف بٹ گوجرانولہ</v>
          </cell>
        </row>
        <row r="6688">
          <cell r="A6688" t="str">
            <v>1710 F</v>
          </cell>
          <cell r="B6688"/>
          <cell r="C6688">
            <v>45828</v>
          </cell>
          <cell r="D6688" t="str">
            <v>فینا</v>
          </cell>
          <cell r="E6688" t="str">
            <v>عثمان امین</v>
          </cell>
        </row>
        <row r="6689">
          <cell r="A6689" t="str">
            <v>1711 F</v>
          </cell>
          <cell r="B6689"/>
          <cell r="C6689">
            <v>45828</v>
          </cell>
          <cell r="D6689" t="str">
            <v>فینا</v>
          </cell>
          <cell r="E6689" t="str">
            <v>عثمان امین</v>
          </cell>
        </row>
        <row r="6690">
          <cell r="A6690" t="str">
            <v>1712 F</v>
          </cell>
          <cell r="B6690"/>
          <cell r="C6690">
            <v>45828</v>
          </cell>
          <cell r="D6690" t="str">
            <v>فینا</v>
          </cell>
          <cell r="E6690" t="str">
            <v>عثمان امین</v>
          </cell>
        </row>
        <row r="6691">
          <cell r="A6691" t="str">
            <v>1713 F</v>
          </cell>
          <cell r="B6691"/>
          <cell r="C6691">
            <v>45828</v>
          </cell>
          <cell r="D6691" t="str">
            <v>فینا</v>
          </cell>
          <cell r="E6691" t="str">
            <v>عثمان امین</v>
          </cell>
        </row>
        <row r="6692">
          <cell r="A6692" t="str">
            <v>1714 F</v>
          </cell>
          <cell r="B6692"/>
          <cell r="C6692">
            <v>45828</v>
          </cell>
          <cell r="D6692" t="str">
            <v>فینا</v>
          </cell>
          <cell r="E6692" t="str">
            <v>عثمان امین</v>
          </cell>
        </row>
        <row r="6693">
          <cell r="A6693" t="str">
            <v>1715 F</v>
          </cell>
          <cell r="B6693"/>
          <cell r="C6693">
            <v>45828</v>
          </cell>
          <cell r="D6693" t="str">
            <v>فینا</v>
          </cell>
          <cell r="E6693" t="str">
            <v>عثمان امین</v>
          </cell>
        </row>
        <row r="6694">
          <cell r="A6694" t="str">
            <v>1716 F</v>
          </cell>
          <cell r="B6694"/>
          <cell r="C6694">
            <v>45828</v>
          </cell>
          <cell r="D6694" t="str">
            <v>فینا</v>
          </cell>
          <cell r="E6694" t="str">
            <v>عثمان امین</v>
          </cell>
        </row>
        <row r="6695">
          <cell r="A6695" t="str">
            <v>1717 F</v>
          </cell>
          <cell r="B6695"/>
          <cell r="C6695">
            <v>45828</v>
          </cell>
          <cell r="D6695" t="str">
            <v>فینا</v>
          </cell>
          <cell r="E6695" t="str">
            <v>عثمان امین</v>
          </cell>
        </row>
        <row r="6696">
          <cell r="A6696" t="str">
            <v>1718 F</v>
          </cell>
          <cell r="B6696"/>
          <cell r="C6696">
            <v>45828</v>
          </cell>
          <cell r="D6696" t="str">
            <v>فینا</v>
          </cell>
          <cell r="E6696" t="str">
            <v>عثمان امین</v>
          </cell>
        </row>
        <row r="6697">
          <cell r="A6697" t="str">
            <v>1719 F</v>
          </cell>
          <cell r="B6697"/>
          <cell r="C6697">
            <v>45828</v>
          </cell>
          <cell r="D6697" t="str">
            <v>فینا</v>
          </cell>
          <cell r="E6697" t="str">
            <v>عثمان امین</v>
          </cell>
        </row>
        <row r="6698">
          <cell r="A6698" t="str">
            <v>6994/1</v>
          </cell>
          <cell r="B6698">
            <v>6994</v>
          </cell>
          <cell r="C6698">
            <v>45827</v>
          </cell>
          <cell r="D6698" t="str">
            <v>یونس صاحب</v>
          </cell>
          <cell r="E6698" t="str">
            <v>اشرف پلاسٹک بھکر</v>
          </cell>
        </row>
        <row r="6699">
          <cell r="A6699" t="str">
            <v>6995/1</v>
          </cell>
          <cell r="B6699">
            <v>6995</v>
          </cell>
          <cell r="C6699">
            <v>45827</v>
          </cell>
          <cell r="D6699" t="str">
            <v>یونس صاحب</v>
          </cell>
          <cell r="E6699" t="str">
            <v>شیخ انوار لیہ</v>
          </cell>
        </row>
        <row r="6700">
          <cell r="A6700" t="str">
            <v>6996/1</v>
          </cell>
          <cell r="B6700">
            <v>6996</v>
          </cell>
          <cell r="C6700">
            <v>45828</v>
          </cell>
          <cell r="D6700" t="str">
            <v>یونس صاحب</v>
          </cell>
          <cell r="E6700" t="str">
            <v>شیخ پلاسٹک سرگودھا</v>
          </cell>
        </row>
        <row r="6701">
          <cell r="A6701" t="str">
            <v>6996/2</v>
          </cell>
          <cell r="B6701">
            <v>6996</v>
          </cell>
          <cell r="C6701">
            <v>45828</v>
          </cell>
          <cell r="D6701" t="str">
            <v>یونس صاحب</v>
          </cell>
          <cell r="E6701" t="str">
            <v>شیخ پلاسٹک سرگودھا</v>
          </cell>
        </row>
        <row r="6702">
          <cell r="A6702" t="str">
            <v>6996/3</v>
          </cell>
          <cell r="B6702">
            <v>6996</v>
          </cell>
          <cell r="C6702">
            <v>45828</v>
          </cell>
          <cell r="D6702" t="str">
            <v>یونس صاحب</v>
          </cell>
          <cell r="E6702" t="str">
            <v>شیخ پلاسٹک سرگودھا</v>
          </cell>
        </row>
        <row r="6703">
          <cell r="A6703" t="str">
            <v>6996/4</v>
          </cell>
          <cell r="B6703">
            <v>6996</v>
          </cell>
          <cell r="C6703">
            <v>45828</v>
          </cell>
          <cell r="D6703" t="str">
            <v>یونس صاحب</v>
          </cell>
          <cell r="E6703" t="str">
            <v>شیخ پلاسٹک سرگودھا</v>
          </cell>
        </row>
        <row r="6704">
          <cell r="A6704" t="str">
            <v>6996/5</v>
          </cell>
          <cell r="B6704">
            <v>6996</v>
          </cell>
          <cell r="C6704">
            <v>45828</v>
          </cell>
          <cell r="D6704" t="str">
            <v>یونس صاحب</v>
          </cell>
          <cell r="E6704" t="str">
            <v>شیخ پلاسٹک سرگودھا</v>
          </cell>
        </row>
        <row r="6705">
          <cell r="A6705" t="str">
            <v>6996/6</v>
          </cell>
          <cell r="B6705">
            <v>6996</v>
          </cell>
          <cell r="C6705">
            <v>45828</v>
          </cell>
          <cell r="D6705" t="str">
            <v>یونس صاحب</v>
          </cell>
          <cell r="E6705" t="str">
            <v>شیخ پلاسٹک سرگودھا</v>
          </cell>
        </row>
        <row r="6706">
          <cell r="A6706" t="str">
            <v>6996/7</v>
          </cell>
          <cell r="B6706">
            <v>6996</v>
          </cell>
          <cell r="C6706">
            <v>45828</v>
          </cell>
          <cell r="D6706" t="str">
            <v>یونس صاحب</v>
          </cell>
          <cell r="E6706" t="str">
            <v>شیخ پلاسٹک سرگودھا</v>
          </cell>
        </row>
        <row r="6707">
          <cell r="A6707" t="str">
            <v>6996/8</v>
          </cell>
          <cell r="B6707">
            <v>6996</v>
          </cell>
          <cell r="C6707">
            <v>45828</v>
          </cell>
          <cell r="D6707" t="str">
            <v>یونس صاحب</v>
          </cell>
          <cell r="E6707" t="str">
            <v>شیخ پلاسٹک سرگودھا</v>
          </cell>
        </row>
        <row r="6708">
          <cell r="A6708" t="str">
            <v>6996/9</v>
          </cell>
          <cell r="B6708">
            <v>6996</v>
          </cell>
          <cell r="C6708">
            <v>45828</v>
          </cell>
          <cell r="D6708" t="str">
            <v>یونس صاحب</v>
          </cell>
          <cell r="E6708" t="str">
            <v>شیخ پلاسٹک سرگودھا</v>
          </cell>
        </row>
        <row r="6709">
          <cell r="A6709" t="str">
            <v>6996/10</v>
          </cell>
          <cell r="B6709">
            <v>6996</v>
          </cell>
          <cell r="C6709">
            <v>45828</v>
          </cell>
          <cell r="D6709" t="str">
            <v>یونس صاحب</v>
          </cell>
          <cell r="E6709" t="str">
            <v>شیخ پلاسٹک سرگودھا</v>
          </cell>
        </row>
        <row r="6710">
          <cell r="A6710" t="str">
            <v>6996/11</v>
          </cell>
          <cell r="B6710">
            <v>6996</v>
          </cell>
          <cell r="C6710">
            <v>45828</v>
          </cell>
          <cell r="D6710" t="str">
            <v>یونس صاحب</v>
          </cell>
          <cell r="E6710" t="str">
            <v>شیخ پلاسٹک سرگودھا</v>
          </cell>
        </row>
        <row r="6711">
          <cell r="A6711" t="str">
            <v>6997/1</v>
          </cell>
          <cell r="B6711">
            <v>6997</v>
          </cell>
          <cell r="C6711">
            <v>45828</v>
          </cell>
          <cell r="D6711" t="str">
            <v>یونس صاحب</v>
          </cell>
          <cell r="E6711" t="str">
            <v>فیصل پلاسٹک  تلہ کنگ</v>
          </cell>
        </row>
        <row r="6712">
          <cell r="A6712" t="str">
            <v>6997/2</v>
          </cell>
          <cell r="B6712">
            <v>6997</v>
          </cell>
          <cell r="C6712">
            <v>45828</v>
          </cell>
          <cell r="D6712" t="str">
            <v>یونس صاحب</v>
          </cell>
          <cell r="E6712" t="str">
            <v>فیصل پلاسٹک  تلہ کنگ</v>
          </cell>
        </row>
        <row r="6713">
          <cell r="A6713" t="str">
            <v>6997/3</v>
          </cell>
          <cell r="B6713">
            <v>6997</v>
          </cell>
          <cell r="C6713">
            <v>45828</v>
          </cell>
          <cell r="D6713" t="str">
            <v>یونس صاحب</v>
          </cell>
          <cell r="E6713" t="str">
            <v>فیصل پلاسٹک  تلہ کنگ</v>
          </cell>
        </row>
        <row r="6714">
          <cell r="A6714" t="str">
            <v>6997/4</v>
          </cell>
          <cell r="B6714">
            <v>6997</v>
          </cell>
          <cell r="C6714">
            <v>45828</v>
          </cell>
          <cell r="D6714" t="str">
            <v>یونس صاحب</v>
          </cell>
          <cell r="E6714" t="str">
            <v>فیصل پلاسٹک  تلہ کنگ</v>
          </cell>
        </row>
        <row r="6715">
          <cell r="A6715" t="str">
            <v>6998/1</v>
          </cell>
          <cell r="B6715">
            <v>6998</v>
          </cell>
          <cell r="C6715">
            <v>45828</v>
          </cell>
          <cell r="D6715" t="str">
            <v>یونس صاحب</v>
          </cell>
          <cell r="E6715" t="str">
            <v>وہاڑی پلاسٹک وہاڑی</v>
          </cell>
        </row>
        <row r="6716">
          <cell r="A6716" t="str">
            <v>6999/1</v>
          </cell>
          <cell r="B6716">
            <v>6999</v>
          </cell>
          <cell r="C6716">
            <v>45828</v>
          </cell>
          <cell r="D6716" t="str">
            <v>یونس صاحب</v>
          </cell>
          <cell r="E6716" t="str">
            <v>وحید پلاسٹک گوجرانوالہ</v>
          </cell>
        </row>
        <row r="6717">
          <cell r="A6717" t="str">
            <v>6999/2</v>
          </cell>
          <cell r="B6717">
            <v>6999</v>
          </cell>
          <cell r="C6717">
            <v>45828</v>
          </cell>
          <cell r="D6717" t="str">
            <v>یونس صاحب</v>
          </cell>
          <cell r="E6717" t="str">
            <v>وحید پلاسٹک گوجرانوالہ</v>
          </cell>
        </row>
        <row r="6718">
          <cell r="A6718" t="str">
            <v>6999/3</v>
          </cell>
          <cell r="B6718">
            <v>6999</v>
          </cell>
          <cell r="C6718">
            <v>45828</v>
          </cell>
          <cell r="D6718" t="str">
            <v>یونس صاحب</v>
          </cell>
          <cell r="E6718" t="str">
            <v>وحید پلاسٹک گوجرانوالہ</v>
          </cell>
        </row>
        <row r="6719">
          <cell r="A6719" t="str">
            <v>6999/4</v>
          </cell>
          <cell r="B6719">
            <v>6999</v>
          </cell>
          <cell r="C6719">
            <v>45828</v>
          </cell>
          <cell r="D6719" t="str">
            <v>یونس صاحب</v>
          </cell>
          <cell r="E6719" t="str">
            <v>وحید پلاسٹک گوجرانوالہ</v>
          </cell>
        </row>
        <row r="6720">
          <cell r="A6720" t="str">
            <v>6999/5</v>
          </cell>
          <cell r="B6720">
            <v>6999</v>
          </cell>
          <cell r="C6720">
            <v>45828</v>
          </cell>
          <cell r="D6720" t="str">
            <v>یونس صاحب</v>
          </cell>
          <cell r="E6720" t="str">
            <v>وحید پلاسٹک گوجرانوالہ</v>
          </cell>
        </row>
        <row r="6721">
          <cell r="A6721" t="str">
            <v>6999/6</v>
          </cell>
          <cell r="B6721">
            <v>6999</v>
          </cell>
          <cell r="C6721">
            <v>45828</v>
          </cell>
          <cell r="D6721" t="str">
            <v>یونس صاحب</v>
          </cell>
          <cell r="E6721" t="str">
            <v>وحید پلاسٹک گوجرانوالہ</v>
          </cell>
        </row>
        <row r="6722">
          <cell r="A6722" t="str">
            <v>6999/7</v>
          </cell>
          <cell r="B6722">
            <v>6999</v>
          </cell>
          <cell r="C6722">
            <v>45828</v>
          </cell>
          <cell r="D6722" t="str">
            <v>یونس صاحب</v>
          </cell>
          <cell r="E6722" t="str">
            <v>وحید پلاسٹک گوجرانوالہ</v>
          </cell>
        </row>
        <row r="6723">
          <cell r="A6723" t="str">
            <v>6999/8</v>
          </cell>
          <cell r="B6723">
            <v>6999</v>
          </cell>
          <cell r="C6723">
            <v>45828</v>
          </cell>
          <cell r="D6723" t="str">
            <v>یونس صاحب</v>
          </cell>
          <cell r="E6723" t="str">
            <v>وحید پلاسٹک گوجرانوالہ</v>
          </cell>
        </row>
        <row r="6724">
          <cell r="A6724" t="str">
            <v>6999/9</v>
          </cell>
          <cell r="B6724">
            <v>6999</v>
          </cell>
          <cell r="C6724">
            <v>45828</v>
          </cell>
          <cell r="D6724" t="str">
            <v>یونس صاحب</v>
          </cell>
          <cell r="E6724" t="str">
            <v>وحید پلاسٹک گوجرانوالہ</v>
          </cell>
        </row>
        <row r="6725">
          <cell r="A6725" t="str">
            <v>6999/10</v>
          </cell>
          <cell r="B6725">
            <v>6999</v>
          </cell>
          <cell r="C6725">
            <v>45828</v>
          </cell>
          <cell r="D6725" t="str">
            <v>یونس صاحب</v>
          </cell>
          <cell r="E6725" t="str">
            <v>وحید پلاسٹک گوجرانوالہ</v>
          </cell>
        </row>
        <row r="6726">
          <cell r="A6726" t="str">
            <v>6999/11</v>
          </cell>
          <cell r="B6726">
            <v>6999</v>
          </cell>
          <cell r="C6726">
            <v>45828</v>
          </cell>
          <cell r="D6726" t="str">
            <v>یونس صاحب</v>
          </cell>
          <cell r="E6726" t="str">
            <v>وحید پلاسٹک گوجرانوالہ</v>
          </cell>
        </row>
        <row r="6727">
          <cell r="A6727" t="str">
            <v>6999/12</v>
          </cell>
          <cell r="B6727">
            <v>6999</v>
          </cell>
          <cell r="C6727">
            <v>45828</v>
          </cell>
          <cell r="D6727" t="str">
            <v>یونس صاحب</v>
          </cell>
          <cell r="E6727" t="str">
            <v>وحید پلاسٹک گوجرانوالہ</v>
          </cell>
        </row>
        <row r="6728">
          <cell r="A6728" t="str">
            <v>2899 J</v>
          </cell>
          <cell r="B6728">
            <v>12369</v>
          </cell>
          <cell r="C6728">
            <v>45826</v>
          </cell>
          <cell r="D6728" t="str">
            <v>JILANI</v>
          </cell>
          <cell r="E6728" t="str">
            <v>یو ایس ڈینم ملز پرائیویٹ لیمیٹڈ</v>
          </cell>
        </row>
        <row r="6729">
          <cell r="A6729" t="str">
            <v>2805 J</v>
          </cell>
          <cell r="B6729">
            <v>12369</v>
          </cell>
          <cell r="C6729">
            <v>45826</v>
          </cell>
          <cell r="D6729" t="str">
            <v>JILANI</v>
          </cell>
          <cell r="E6729" t="str">
            <v>یو ایس ڈینم ملز پرائیویٹ لیمیٹڈ</v>
          </cell>
        </row>
        <row r="6730">
          <cell r="A6730" t="str">
            <v>2806 J</v>
          </cell>
          <cell r="B6730">
            <v>12370</v>
          </cell>
          <cell r="C6730">
            <v>45826</v>
          </cell>
          <cell r="D6730" t="str">
            <v>JILANI</v>
          </cell>
          <cell r="E6730" t="str">
            <v>احسان کاٹن پراڈکٹس</v>
          </cell>
        </row>
        <row r="6731">
          <cell r="A6731" t="str">
            <v>2807 J</v>
          </cell>
          <cell r="B6731">
            <v>12370</v>
          </cell>
          <cell r="C6731">
            <v>45826</v>
          </cell>
          <cell r="D6731" t="str">
            <v>JILANI</v>
          </cell>
          <cell r="E6731" t="str">
            <v>احسان کاٹن پراڈکٹس</v>
          </cell>
        </row>
        <row r="6732">
          <cell r="A6732" t="str">
            <v>2808 J</v>
          </cell>
          <cell r="B6732">
            <v>12370</v>
          </cell>
          <cell r="C6732">
            <v>45826</v>
          </cell>
          <cell r="D6732" t="str">
            <v>JILANI</v>
          </cell>
          <cell r="E6732" t="str">
            <v>احسان کاٹن پراڈکٹس</v>
          </cell>
        </row>
        <row r="6733">
          <cell r="A6733" t="str">
            <v>2809 J</v>
          </cell>
          <cell r="B6733">
            <v>12371</v>
          </cell>
          <cell r="C6733">
            <v>45826</v>
          </cell>
          <cell r="D6733" t="str">
            <v>JILANI</v>
          </cell>
          <cell r="E6733" t="str">
            <v>مغل پلاسٹک لیہ</v>
          </cell>
        </row>
        <row r="6734">
          <cell r="A6734" t="str">
            <v>2810 J</v>
          </cell>
          <cell r="B6734">
            <v>12372</v>
          </cell>
          <cell r="C6734">
            <v>45826</v>
          </cell>
          <cell r="D6734" t="str">
            <v>JILANI</v>
          </cell>
          <cell r="E6734" t="str">
            <v>مغل پلاسٹک لیہ</v>
          </cell>
        </row>
        <row r="6735">
          <cell r="A6735" t="str">
            <v>2811 J</v>
          </cell>
          <cell r="B6735">
            <v>12373</v>
          </cell>
          <cell r="C6735">
            <v>45826</v>
          </cell>
          <cell r="D6735" t="str">
            <v>JILANI</v>
          </cell>
          <cell r="E6735" t="str">
            <v>لکی کلاتھ ہاؤس لیہ</v>
          </cell>
        </row>
        <row r="6736">
          <cell r="A6736" t="str">
            <v>2812 J</v>
          </cell>
          <cell r="B6736">
            <v>12374</v>
          </cell>
          <cell r="C6736">
            <v>45826</v>
          </cell>
          <cell r="D6736" t="str">
            <v>JILANI</v>
          </cell>
          <cell r="E6736" t="str">
            <v>افنان پرنٹنگ پریس بٹ خیلہ</v>
          </cell>
        </row>
        <row r="6737">
          <cell r="A6737" t="str">
            <v>2813 J</v>
          </cell>
          <cell r="B6737">
            <v>12374</v>
          </cell>
          <cell r="C6737">
            <v>45826</v>
          </cell>
          <cell r="D6737" t="str">
            <v>JILANI</v>
          </cell>
          <cell r="E6737" t="str">
            <v>افنان پرنٹنگ پریس بٹ خیلہ</v>
          </cell>
        </row>
        <row r="6738">
          <cell r="A6738" t="str">
            <v>2814 J</v>
          </cell>
          <cell r="B6738">
            <v>12375</v>
          </cell>
          <cell r="C6738">
            <v>45826</v>
          </cell>
          <cell r="D6738" t="str">
            <v>JILANI</v>
          </cell>
          <cell r="E6738" t="str">
            <v>محبوب پرنٹرز گوجرانوالہ</v>
          </cell>
        </row>
        <row r="6739">
          <cell r="A6739" t="str">
            <v>2815 J</v>
          </cell>
          <cell r="B6739">
            <v>12375</v>
          </cell>
          <cell r="C6739">
            <v>45826</v>
          </cell>
          <cell r="D6739" t="str">
            <v>JILANI</v>
          </cell>
          <cell r="E6739" t="str">
            <v>محبوب پرنٹرز گوجرانوالہ</v>
          </cell>
        </row>
        <row r="6740">
          <cell r="A6740" t="str">
            <v>2816 J</v>
          </cell>
          <cell r="B6740">
            <v>12376</v>
          </cell>
          <cell r="C6740">
            <v>45826</v>
          </cell>
          <cell r="D6740" t="str">
            <v>JILANI</v>
          </cell>
          <cell r="E6740" t="str">
            <v>ہدایت خان پشاور</v>
          </cell>
        </row>
        <row r="6741">
          <cell r="A6741" t="str">
            <v>2817 J</v>
          </cell>
          <cell r="B6741">
            <v>12376</v>
          </cell>
          <cell r="C6741">
            <v>45826</v>
          </cell>
          <cell r="D6741" t="str">
            <v>JILANI</v>
          </cell>
          <cell r="E6741" t="str">
            <v>ہدایت خان پشاور</v>
          </cell>
        </row>
        <row r="6742">
          <cell r="A6742" t="str">
            <v>2818 J</v>
          </cell>
          <cell r="B6742">
            <v>12376</v>
          </cell>
          <cell r="C6742">
            <v>45826</v>
          </cell>
          <cell r="D6742" t="str">
            <v>JILANI</v>
          </cell>
          <cell r="E6742" t="str">
            <v>ہدایت خان پشاور</v>
          </cell>
        </row>
        <row r="6743">
          <cell r="A6743" t="str">
            <v>2819 J</v>
          </cell>
          <cell r="B6743">
            <v>12377</v>
          </cell>
          <cell r="C6743">
            <v>45826</v>
          </cell>
          <cell r="D6743" t="str">
            <v>JILANI</v>
          </cell>
          <cell r="E6743" t="str">
            <v>ہدایت خان پشاور</v>
          </cell>
        </row>
        <row r="6744">
          <cell r="A6744" t="str">
            <v>2820 J</v>
          </cell>
          <cell r="B6744">
            <v>12377</v>
          </cell>
          <cell r="C6744">
            <v>45826</v>
          </cell>
          <cell r="D6744" t="str">
            <v>JILANI</v>
          </cell>
          <cell r="E6744" t="str">
            <v>ہدایت خان پشاور</v>
          </cell>
        </row>
        <row r="6745">
          <cell r="A6745" t="str">
            <v>2821 J</v>
          </cell>
          <cell r="B6745">
            <v>12377</v>
          </cell>
          <cell r="C6745">
            <v>45826</v>
          </cell>
          <cell r="D6745" t="str">
            <v>JILANI</v>
          </cell>
          <cell r="E6745" t="str">
            <v>ہدایت خان پشاور</v>
          </cell>
        </row>
        <row r="6746">
          <cell r="A6746" t="str">
            <v>2822 J</v>
          </cell>
          <cell r="B6746">
            <v>12378</v>
          </cell>
          <cell r="C6746">
            <v>45826</v>
          </cell>
          <cell r="D6746" t="str">
            <v>JILANI</v>
          </cell>
          <cell r="E6746" t="str">
            <v>علی سویٹس اینڈ بیکرز رحیم یار خان</v>
          </cell>
        </row>
        <row r="6747">
          <cell r="A6747" t="str">
            <v>2823 J</v>
          </cell>
          <cell r="B6747">
            <v>12379</v>
          </cell>
          <cell r="C6747">
            <v>45826</v>
          </cell>
          <cell r="D6747" t="str">
            <v>JILANI</v>
          </cell>
          <cell r="E6747" t="str">
            <v>شاہ جی اچار  مردان</v>
          </cell>
        </row>
        <row r="6748">
          <cell r="A6748" t="str">
            <v>2824 J</v>
          </cell>
          <cell r="B6748">
            <v>12379</v>
          </cell>
          <cell r="C6748">
            <v>45826</v>
          </cell>
          <cell r="D6748" t="str">
            <v>JILANI</v>
          </cell>
          <cell r="E6748" t="str">
            <v>شاہ جی اچار  مردان</v>
          </cell>
        </row>
        <row r="6749">
          <cell r="A6749" t="str">
            <v>2825 J</v>
          </cell>
          <cell r="B6749">
            <v>12379</v>
          </cell>
          <cell r="C6749">
            <v>45826</v>
          </cell>
          <cell r="D6749" t="str">
            <v>JILANI</v>
          </cell>
          <cell r="E6749" t="str">
            <v>شاہ جی اچار  مردان</v>
          </cell>
        </row>
        <row r="6750">
          <cell r="A6750" t="str">
            <v>2826 J</v>
          </cell>
          <cell r="B6750">
            <v>12380</v>
          </cell>
          <cell r="C6750">
            <v>45826</v>
          </cell>
          <cell r="D6750" t="str">
            <v>JILANI</v>
          </cell>
          <cell r="E6750" t="str">
            <v xml:space="preserve">آصف اقبال کئیر آف تکبیر ایگرو </v>
          </cell>
        </row>
        <row r="6751">
          <cell r="A6751" t="str">
            <v>2827 J</v>
          </cell>
          <cell r="B6751">
            <v>12381</v>
          </cell>
          <cell r="C6751">
            <v>45826</v>
          </cell>
          <cell r="D6751" t="str">
            <v>JILANI</v>
          </cell>
          <cell r="E6751" t="str">
            <v>فیشن ہاؤس شاہدرہ</v>
          </cell>
        </row>
        <row r="6752">
          <cell r="A6752" t="str">
            <v>2828 J</v>
          </cell>
          <cell r="B6752">
            <v>12382</v>
          </cell>
          <cell r="C6752">
            <v>45826</v>
          </cell>
          <cell r="D6752" t="str">
            <v>JILANI</v>
          </cell>
          <cell r="E6752" t="str">
            <v>مدثر شبیربمبرآزادکشمیر</v>
          </cell>
        </row>
        <row r="6753">
          <cell r="A6753" t="str">
            <v>2829 J</v>
          </cell>
          <cell r="B6753">
            <v>12382</v>
          </cell>
          <cell r="C6753">
            <v>45826</v>
          </cell>
          <cell r="D6753" t="str">
            <v>JILANI</v>
          </cell>
          <cell r="E6753" t="str">
            <v>مدثر شبیربمبرآزادکشمیر</v>
          </cell>
        </row>
        <row r="6754">
          <cell r="A6754" t="str">
            <v>2830 J</v>
          </cell>
          <cell r="B6754">
            <v>12384</v>
          </cell>
          <cell r="C6754">
            <v>45826</v>
          </cell>
          <cell r="D6754" t="str">
            <v>JILANI</v>
          </cell>
          <cell r="E6754" t="str">
            <v>عثمان عارف بٹ گوجرانولہ</v>
          </cell>
        </row>
        <row r="6755">
          <cell r="A6755" t="str">
            <v>2831 J</v>
          </cell>
          <cell r="B6755">
            <v>12384</v>
          </cell>
          <cell r="C6755">
            <v>45826</v>
          </cell>
          <cell r="D6755" t="str">
            <v>JILANI</v>
          </cell>
          <cell r="E6755" t="str">
            <v>عثمان عارف بٹ گوجرانولہ</v>
          </cell>
        </row>
        <row r="6756">
          <cell r="A6756" t="str">
            <v>2832 J</v>
          </cell>
          <cell r="B6756"/>
          <cell r="C6756">
            <v>45829</v>
          </cell>
          <cell r="D6756" t="str">
            <v>OTHER</v>
          </cell>
          <cell r="E6756" t="str">
            <v>جیلانی پولی سٹاک</v>
          </cell>
        </row>
        <row r="6757">
          <cell r="A6757" t="str">
            <v>2833 J</v>
          </cell>
          <cell r="B6757">
            <v>12385</v>
          </cell>
          <cell r="C6757">
            <v>45826</v>
          </cell>
          <cell r="D6757" t="str">
            <v>JILANI</v>
          </cell>
          <cell r="E6757" t="str">
            <v>عثمان عارف بٹ گوجرانولہ</v>
          </cell>
        </row>
        <row r="6758">
          <cell r="A6758" t="str">
            <v>2834 J</v>
          </cell>
          <cell r="B6758">
            <v>12385</v>
          </cell>
          <cell r="C6758">
            <v>45826</v>
          </cell>
          <cell r="D6758" t="str">
            <v>JILANI</v>
          </cell>
          <cell r="E6758" t="str">
            <v>عثمان عارف بٹ گوجرانولہ</v>
          </cell>
        </row>
        <row r="6759">
          <cell r="A6759" t="str">
            <v>2835 J</v>
          </cell>
          <cell r="B6759">
            <v>12386</v>
          </cell>
          <cell r="C6759">
            <v>45826</v>
          </cell>
          <cell r="D6759" t="str">
            <v>JILANI</v>
          </cell>
          <cell r="E6759" t="str">
            <v>معظمی پلاسٹک ساہیوال</v>
          </cell>
        </row>
        <row r="6760">
          <cell r="A6760" t="str">
            <v>2836 J</v>
          </cell>
          <cell r="B6760">
            <v>12386</v>
          </cell>
          <cell r="C6760">
            <v>45826</v>
          </cell>
          <cell r="D6760" t="str">
            <v>JILANI</v>
          </cell>
          <cell r="E6760" t="str">
            <v>معظمی پلاسٹک ساہیوال</v>
          </cell>
        </row>
        <row r="6761">
          <cell r="A6761" t="str">
            <v>2837 J</v>
          </cell>
          <cell r="B6761">
            <v>12387</v>
          </cell>
          <cell r="C6761">
            <v>45826</v>
          </cell>
          <cell r="D6761" t="str">
            <v>JILANI</v>
          </cell>
          <cell r="E6761" t="str">
            <v>میٹرو فیبرکس بریکوٹ سوات</v>
          </cell>
        </row>
        <row r="6762">
          <cell r="A6762" t="str">
            <v>2838 J</v>
          </cell>
          <cell r="B6762">
            <v>12388</v>
          </cell>
          <cell r="C6762">
            <v>45826</v>
          </cell>
          <cell r="D6762" t="str">
            <v>JILANI</v>
          </cell>
          <cell r="E6762" t="str">
            <v>پرفیکٹ فوڈ لاہور</v>
          </cell>
        </row>
        <row r="6763">
          <cell r="A6763" t="str">
            <v>2839 J</v>
          </cell>
          <cell r="B6763">
            <v>12389</v>
          </cell>
          <cell r="C6763">
            <v>45826</v>
          </cell>
          <cell r="D6763" t="str">
            <v>JILANI</v>
          </cell>
          <cell r="E6763" t="str">
            <v>افنان پرنٹنگ پریس بٹ خیلہ</v>
          </cell>
        </row>
        <row r="6764">
          <cell r="A6764" t="str">
            <v>2840 J</v>
          </cell>
          <cell r="B6764">
            <v>12390</v>
          </cell>
          <cell r="C6764">
            <v>45826</v>
          </cell>
          <cell r="D6764" t="str">
            <v>JILANI</v>
          </cell>
          <cell r="E6764" t="str">
            <v>نواب جیلانی پلاسٹک لیہ</v>
          </cell>
        </row>
        <row r="6765">
          <cell r="A6765" t="str">
            <v>2841 J</v>
          </cell>
          <cell r="B6765">
            <v>12391</v>
          </cell>
          <cell r="C6765">
            <v>45826</v>
          </cell>
          <cell r="D6765" t="str">
            <v>JILANI</v>
          </cell>
          <cell r="E6765" t="str">
            <v>نواب جیلانی پلاسٹک لیہ</v>
          </cell>
        </row>
        <row r="6766">
          <cell r="A6766" t="str">
            <v>2842 J</v>
          </cell>
          <cell r="B6766">
            <v>12392</v>
          </cell>
          <cell r="C6766">
            <v>45826</v>
          </cell>
          <cell r="D6766" t="str">
            <v>JILANI</v>
          </cell>
          <cell r="E6766" t="str">
            <v>ایم صبیح برادرز رنگ محل لاہور</v>
          </cell>
        </row>
        <row r="6767">
          <cell r="A6767" t="str">
            <v>2843 J</v>
          </cell>
          <cell r="B6767">
            <v>12393</v>
          </cell>
          <cell r="C6767">
            <v>45826</v>
          </cell>
          <cell r="D6767" t="str">
            <v>JILANI</v>
          </cell>
          <cell r="E6767" t="str">
            <v>ابراہیم فلٹر انڈسٹری(SMC.PVT.LTD)</v>
          </cell>
        </row>
        <row r="6768">
          <cell r="A6768" t="str">
            <v>2844 J</v>
          </cell>
          <cell r="B6768">
            <v>12394</v>
          </cell>
          <cell r="C6768">
            <v>45826</v>
          </cell>
          <cell r="D6768" t="str">
            <v>JILANI</v>
          </cell>
          <cell r="E6768" t="str">
            <v>احسان کاٹن پراڈکٹس</v>
          </cell>
        </row>
        <row r="6769">
          <cell r="A6769" t="str">
            <v>2845 J</v>
          </cell>
          <cell r="B6769">
            <v>12394</v>
          </cell>
          <cell r="C6769">
            <v>45826</v>
          </cell>
          <cell r="D6769" t="str">
            <v>JILANI</v>
          </cell>
          <cell r="E6769" t="str">
            <v>احسان کاٹن پراڈکٹس</v>
          </cell>
        </row>
        <row r="6770">
          <cell r="A6770" t="str">
            <v>2846 J</v>
          </cell>
          <cell r="B6770">
            <v>12394</v>
          </cell>
          <cell r="C6770">
            <v>45826</v>
          </cell>
          <cell r="D6770" t="str">
            <v>JILANI</v>
          </cell>
          <cell r="E6770" t="str">
            <v>احسان کاٹن پراڈکٹس</v>
          </cell>
        </row>
        <row r="6771">
          <cell r="A6771" t="str">
            <v>2847 J</v>
          </cell>
          <cell r="B6771">
            <v>12394</v>
          </cell>
          <cell r="C6771">
            <v>45826</v>
          </cell>
          <cell r="D6771" t="str">
            <v>JILANI</v>
          </cell>
          <cell r="E6771" t="str">
            <v>احسان کاٹن پراڈکٹس</v>
          </cell>
        </row>
        <row r="6772">
          <cell r="A6772" t="str">
            <v>2848 J</v>
          </cell>
          <cell r="B6772">
            <v>12395</v>
          </cell>
          <cell r="C6772">
            <v>45826</v>
          </cell>
          <cell r="D6772" t="str">
            <v>JILANI</v>
          </cell>
          <cell r="E6772" t="str">
            <v>پرفیکٹ فوڈ لاہور</v>
          </cell>
        </row>
        <row r="6773">
          <cell r="A6773" t="str">
            <v>2849 J</v>
          </cell>
          <cell r="B6773">
            <v>12396</v>
          </cell>
          <cell r="C6773">
            <v>45826</v>
          </cell>
          <cell r="D6773" t="str">
            <v>JILANI</v>
          </cell>
          <cell r="E6773" t="str">
            <v>عدنان ایوب آزاد کشمیر</v>
          </cell>
        </row>
        <row r="6774">
          <cell r="A6774" t="str">
            <v>2850 J</v>
          </cell>
          <cell r="B6774">
            <v>12396</v>
          </cell>
          <cell r="C6774">
            <v>45826</v>
          </cell>
          <cell r="D6774" t="str">
            <v>JILANI</v>
          </cell>
          <cell r="E6774" t="str">
            <v>عدنان ایوب آزاد کشمیر</v>
          </cell>
        </row>
        <row r="6775">
          <cell r="A6775" t="str">
            <v>2851 J</v>
          </cell>
          <cell r="B6775">
            <v>12396</v>
          </cell>
          <cell r="C6775">
            <v>45826</v>
          </cell>
          <cell r="D6775" t="str">
            <v>JILANI</v>
          </cell>
          <cell r="E6775" t="str">
            <v>عدنان ایوب آزاد کشمیر</v>
          </cell>
        </row>
        <row r="6776">
          <cell r="A6776" t="str">
            <v>2852 J</v>
          </cell>
          <cell r="B6776">
            <v>12396</v>
          </cell>
          <cell r="C6776">
            <v>45826</v>
          </cell>
          <cell r="D6776" t="str">
            <v>JILANI</v>
          </cell>
          <cell r="E6776" t="str">
            <v>عدنان ایوب آزاد کشمیر</v>
          </cell>
        </row>
        <row r="6777">
          <cell r="A6777" t="str">
            <v>2853 J</v>
          </cell>
          <cell r="B6777">
            <v>12397</v>
          </cell>
          <cell r="C6777">
            <v>45827</v>
          </cell>
          <cell r="D6777" t="str">
            <v>JILANI</v>
          </cell>
          <cell r="E6777" t="str">
            <v>خوش بخت فیبرکس لاہور</v>
          </cell>
        </row>
        <row r="6778">
          <cell r="A6778" t="str">
            <v>2854 J</v>
          </cell>
          <cell r="B6778">
            <v>12397</v>
          </cell>
          <cell r="C6778">
            <v>45827</v>
          </cell>
          <cell r="D6778" t="str">
            <v>JILANI</v>
          </cell>
          <cell r="E6778" t="str">
            <v>خوش بخت فیبرکس لاہور</v>
          </cell>
        </row>
        <row r="6779">
          <cell r="A6779" t="str">
            <v>2855 J</v>
          </cell>
          <cell r="B6779">
            <v>12398</v>
          </cell>
          <cell r="C6779">
            <v>45827</v>
          </cell>
          <cell r="D6779" t="str">
            <v>JILANI</v>
          </cell>
          <cell r="E6779" t="str">
            <v>وسیم شاپر ہاوس اعظم مارکیٹ</v>
          </cell>
        </row>
        <row r="6780">
          <cell r="A6780" t="str">
            <v>2856 J</v>
          </cell>
          <cell r="B6780">
            <v>12398</v>
          </cell>
          <cell r="C6780">
            <v>45827</v>
          </cell>
          <cell r="D6780" t="str">
            <v>JILANI</v>
          </cell>
          <cell r="E6780" t="str">
            <v>وسیم شاپر ہاوس اعظم مارکیٹ</v>
          </cell>
        </row>
        <row r="6781">
          <cell r="A6781" t="str">
            <v>2857 J</v>
          </cell>
          <cell r="B6781">
            <v>12399</v>
          </cell>
          <cell r="C6781">
            <v>45827</v>
          </cell>
          <cell r="D6781" t="str">
            <v>JILANI</v>
          </cell>
          <cell r="E6781" t="str">
            <v>وسیم شاپر ہاوس اعظم مارکیٹ</v>
          </cell>
        </row>
        <row r="6782">
          <cell r="A6782" t="str">
            <v>2858 J</v>
          </cell>
          <cell r="B6782">
            <v>12400</v>
          </cell>
          <cell r="C6782">
            <v>45827</v>
          </cell>
          <cell r="D6782" t="str">
            <v>JILANI</v>
          </cell>
          <cell r="E6782" t="str">
            <v>وسیم شاپر ہاوس اعظم مارکیٹ</v>
          </cell>
        </row>
        <row r="6783">
          <cell r="A6783" t="str">
            <v>2859 J</v>
          </cell>
          <cell r="B6783">
            <v>12401</v>
          </cell>
          <cell r="C6783">
            <v>45827</v>
          </cell>
          <cell r="D6783" t="str">
            <v>JILANI</v>
          </cell>
          <cell r="E6783" t="str">
            <v>جاوید انٹرپرائزز</v>
          </cell>
        </row>
        <row r="6784">
          <cell r="A6784" t="str">
            <v>2860 J</v>
          </cell>
          <cell r="B6784">
            <v>12402</v>
          </cell>
          <cell r="C6784">
            <v>45827</v>
          </cell>
          <cell r="D6784" t="str">
            <v>JILANI</v>
          </cell>
          <cell r="E6784" t="str">
            <v>سپر ڈائمنڈ فوڈکامونکی</v>
          </cell>
        </row>
        <row r="6785">
          <cell r="A6785" t="str">
            <v>2861 J</v>
          </cell>
          <cell r="B6785">
            <v>12403</v>
          </cell>
          <cell r="C6785">
            <v>45827</v>
          </cell>
          <cell r="D6785" t="str">
            <v>JILANI</v>
          </cell>
          <cell r="E6785" t="str">
            <v>ہیئراولڈ فارماسیوٹیکل پرائیویٹ لمیٹڈ</v>
          </cell>
        </row>
        <row r="6786">
          <cell r="A6786" t="str">
            <v>2862 J</v>
          </cell>
          <cell r="B6786">
            <v>12404</v>
          </cell>
          <cell r="C6786">
            <v>45827</v>
          </cell>
          <cell r="D6786" t="str">
            <v>JILANI</v>
          </cell>
          <cell r="E6786" t="str">
            <v>جاز ہٹاری لاہور</v>
          </cell>
        </row>
        <row r="6787">
          <cell r="A6787" t="str">
            <v>2863 J</v>
          </cell>
          <cell r="B6787">
            <v>12405</v>
          </cell>
          <cell r="C6787">
            <v>45827</v>
          </cell>
          <cell r="D6787" t="str">
            <v>JILANI</v>
          </cell>
          <cell r="E6787" t="str">
            <v>ایمان کیمیکل لاہور</v>
          </cell>
        </row>
        <row r="6788">
          <cell r="A6788" t="str">
            <v>2864 J</v>
          </cell>
          <cell r="B6788">
            <v>12406</v>
          </cell>
          <cell r="C6788">
            <v>45828</v>
          </cell>
          <cell r="D6788" t="str">
            <v>JILANI</v>
          </cell>
          <cell r="E6788" t="str">
            <v>سروس انڈسٹری گجرات</v>
          </cell>
        </row>
        <row r="6789">
          <cell r="A6789" t="str">
            <v>2865 J</v>
          </cell>
          <cell r="B6789">
            <v>12407</v>
          </cell>
          <cell r="C6789">
            <v>45828</v>
          </cell>
          <cell r="D6789" t="str">
            <v>JILANI</v>
          </cell>
          <cell r="E6789" t="str">
            <v>سروس انڈسٹری گجرات</v>
          </cell>
        </row>
        <row r="6790">
          <cell r="A6790" t="str">
            <v>2866 J</v>
          </cell>
          <cell r="B6790">
            <v>12408</v>
          </cell>
          <cell r="C6790">
            <v>45828</v>
          </cell>
          <cell r="D6790" t="str">
            <v>JILANI</v>
          </cell>
          <cell r="E6790" t="str">
            <v>سروس انڈسٹری گجرات</v>
          </cell>
        </row>
        <row r="6791">
          <cell r="A6791" t="str">
            <v>2867 J</v>
          </cell>
          <cell r="B6791">
            <v>12409</v>
          </cell>
          <cell r="C6791">
            <v>45828</v>
          </cell>
          <cell r="D6791" t="str">
            <v>JILANI</v>
          </cell>
          <cell r="E6791" t="str">
            <v>ایمان کیمیکل لاہور</v>
          </cell>
        </row>
        <row r="6792">
          <cell r="A6792" t="str">
            <v>2868 J</v>
          </cell>
          <cell r="B6792">
            <v>12409</v>
          </cell>
          <cell r="C6792">
            <v>45828</v>
          </cell>
          <cell r="D6792" t="str">
            <v>JILANI</v>
          </cell>
          <cell r="E6792" t="str">
            <v>ایمان کیمیکل لاہور</v>
          </cell>
        </row>
        <row r="6793">
          <cell r="A6793" t="str">
            <v>2869 J</v>
          </cell>
          <cell r="B6793">
            <v>12410</v>
          </cell>
          <cell r="C6793">
            <v>45828</v>
          </cell>
          <cell r="D6793" t="str">
            <v>JILANI</v>
          </cell>
          <cell r="E6793" t="str">
            <v>ایمان کیمیکل لاہور</v>
          </cell>
        </row>
        <row r="6794">
          <cell r="A6794" t="str">
            <v>2870 J</v>
          </cell>
          <cell r="B6794">
            <v>12410</v>
          </cell>
          <cell r="C6794">
            <v>45828</v>
          </cell>
          <cell r="D6794" t="str">
            <v>JILANI</v>
          </cell>
          <cell r="E6794" t="str">
            <v>ایمان کیمیکل لاہور</v>
          </cell>
        </row>
        <row r="6795">
          <cell r="A6795" t="str">
            <v>2871 J</v>
          </cell>
          <cell r="B6795"/>
          <cell r="C6795">
            <v>45825</v>
          </cell>
          <cell r="D6795" t="str">
            <v>OTHER</v>
          </cell>
          <cell r="E6795" t="str">
            <v>جیلانی پلاسٹک</v>
          </cell>
        </row>
        <row r="6796">
          <cell r="A6796" t="str">
            <v>2872 J</v>
          </cell>
          <cell r="B6796">
            <v>12411</v>
          </cell>
          <cell r="C6796">
            <v>45828</v>
          </cell>
          <cell r="D6796" t="str">
            <v>JILANI</v>
          </cell>
          <cell r="E6796" t="str">
            <v>شالیمار سویٹس دینا</v>
          </cell>
        </row>
        <row r="6797">
          <cell r="A6797" t="str">
            <v>2873 J</v>
          </cell>
          <cell r="B6797">
            <v>12412</v>
          </cell>
          <cell r="C6797">
            <v>45828</v>
          </cell>
          <cell r="D6797" t="str">
            <v>JILANI</v>
          </cell>
          <cell r="E6797" t="str">
            <v>تہذیب سپرسٹور حاصلپور</v>
          </cell>
        </row>
        <row r="6798">
          <cell r="A6798" t="str">
            <v>2874 J</v>
          </cell>
          <cell r="B6798">
            <v>12413</v>
          </cell>
          <cell r="C6798">
            <v>45828</v>
          </cell>
          <cell r="D6798" t="str">
            <v>JILANI</v>
          </cell>
          <cell r="E6798" t="str">
            <v>وسیم شاپر ہاوس اعظم مارکیٹ</v>
          </cell>
        </row>
        <row r="6799">
          <cell r="A6799" t="str">
            <v>2875 J</v>
          </cell>
          <cell r="B6799">
            <v>12414</v>
          </cell>
          <cell r="C6799">
            <v>45828</v>
          </cell>
          <cell r="D6799" t="str">
            <v>JILANI</v>
          </cell>
          <cell r="E6799" t="str">
            <v>بندوخاں لاہور</v>
          </cell>
        </row>
        <row r="6800">
          <cell r="A6800" t="str">
            <v>2876 J</v>
          </cell>
          <cell r="B6800">
            <v>12415</v>
          </cell>
          <cell r="C6800">
            <v>45828</v>
          </cell>
          <cell r="D6800" t="str">
            <v>JILANI</v>
          </cell>
          <cell r="E6800" t="str">
            <v>عثمان عارف بٹ گوجرانولہ</v>
          </cell>
        </row>
        <row r="6801">
          <cell r="A6801" t="str">
            <v>2877 J</v>
          </cell>
          <cell r="B6801">
            <v>12416</v>
          </cell>
          <cell r="C6801">
            <v>45828</v>
          </cell>
          <cell r="D6801" t="str">
            <v>JILANI</v>
          </cell>
          <cell r="E6801" t="str">
            <v>عثمان عارف بٹ گوجرانولہ</v>
          </cell>
        </row>
        <row r="6802">
          <cell r="A6802" t="str">
            <v>2878 J</v>
          </cell>
          <cell r="B6802">
            <v>12416</v>
          </cell>
          <cell r="C6802">
            <v>45828</v>
          </cell>
          <cell r="D6802" t="str">
            <v>JILANI</v>
          </cell>
          <cell r="E6802" t="str">
            <v>عثمان عارف بٹ گوجرانولہ</v>
          </cell>
        </row>
        <row r="6803">
          <cell r="A6803" t="str">
            <v>2879 J</v>
          </cell>
          <cell r="B6803">
            <v>12416</v>
          </cell>
          <cell r="C6803">
            <v>45828</v>
          </cell>
          <cell r="D6803" t="str">
            <v>JILANI</v>
          </cell>
          <cell r="E6803" t="str">
            <v>عثمان عارف بٹ گوجرانولہ</v>
          </cell>
        </row>
        <row r="6804">
          <cell r="A6804" t="str">
            <v>2880 J</v>
          </cell>
          <cell r="B6804">
            <v>12416</v>
          </cell>
          <cell r="C6804">
            <v>45828</v>
          </cell>
          <cell r="D6804" t="str">
            <v>JILANI</v>
          </cell>
          <cell r="E6804" t="str">
            <v>عثمان عارف بٹ گوجرانولہ</v>
          </cell>
        </row>
        <row r="6805">
          <cell r="A6805" t="str">
            <v>2881 J</v>
          </cell>
          <cell r="B6805">
            <v>12417</v>
          </cell>
          <cell r="C6805">
            <v>45828</v>
          </cell>
          <cell r="D6805" t="str">
            <v>JILANI</v>
          </cell>
          <cell r="E6805" t="str">
            <v>عثمان عارف بٹ گوجرانولہ</v>
          </cell>
        </row>
        <row r="6806">
          <cell r="A6806" t="str">
            <v>2882 J</v>
          </cell>
          <cell r="B6806">
            <v>12417</v>
          </cell>
          <cell r="C6806">
            <v>45828</v>
          </cell>
          <cell r="D6806" t="str">
            <v>JILANI</v>
          </cell>
          <cell r="E6806" t="str">
            <v>عثمان عارف بٹ گوجرانولہ</v>
          </cell>
        </row>
        <row r="6807">
          <cell r="A6807" t="str">
            <v>2883 J</v>
          </cell>
          <cell r="B6807">
            <v>12417</v>
          </cell>
          <cell r="C6807">
            <v>45828</v>
          </cell>
          <cell r="D6807" t="str">
            <v>JILANI</v>
          </cell>
          <cell r="E6807" t="str">
            <v>عثمان عارف بٹ گوجرانولہ</v>
          </cell>
        </row>
        <row r="6808">
          <cell r="A6808" t="str">
            <v>2884 J</v>
          </cell>
          <cell r="B6808">
            <v>12417</v>
          </cell>
          <cell r="C6808">
            <v>45828</v>
          </cell>
          <cell r="D6808" t="str">
            <v>JILANI</v>
          </cell>
          <cell r="E6808" t="str">
            <v>عثمان عارف بٹ گوجرانولہ</v>
          </cell>
        </row>
        <row r="6809">
          <cell r="A6809" t="str">
            <v>2885 J</v>
          </cell>
          <cell r="B6809">
            <v>12418</v>
          </cell>
          <cell r="C6809">
            <v>45828</v>
          </cell>
          <cell r="D6809" t="str">
            <v>JILANI</v>
          </cell>
          <cell r="E6809" t="str">
            <v>محبوب پرنٹرز گوجرانوالہ</v>
          </cell>
        </row>
        <row r="6810">
          <cell r="A6810" t="str">
            <v>2886 J</v>
          </cell>
          <cell r="B6810">
            <v>12418</v>
          </cell>
          <cell r="C6810">
            <v>45828</v>
          </cell>
          <cell r="D6810" t="str">
            <v>JILANI</v>
          </cell>
          <cell r="E6810" t="str">
            <v>محبوب پرنٹرز گوجرانوالہ</v>
          </cell>
        </row>
        <row r="6811">
          <cell r="A6811" t="str">
            <v>2887 J</v>
          </cell>
          <cell r="B6811">
            <v>12418</v>
          </cell>
          <cell r="C6811">
            <v>45828</v>
          </cell>
          <cell r="D6811" t="str">
            <v>JILANI</v>
          </cell>
          <cell r="E6811" t="str">
            <v>محبوب پرنٹرز گوجرانوالہ</v>
          </cell>
        </row>
        <row r="6812">
          <cell r="A6812" t="str">
            <v>2888 J</v>
          </cell>
          <cell r="B6812">
            <v>12419</v>
          </cell>
          <cell r="C6812">
            <v>45828</v>
          </cell>
          <cell r="D6812" t="str">
            <v>JILANI</v>
          </cell>
          <cell r="E6812" t="str">
            <v>ایم عمرپرنٹنگ خانگاہ ڈوگراں</v>
          </cell>
        </row>
        <row r="6813">
          <cell r="A6813" t="str">
            <v>2889 J</v>
          </cell>
          <cell r="B6813">
            <v>12420</v>
          </cell>
          <cell r="C6813">
            <v>45829</v>
          </cell>
          <cell r="D6813" t="str">
            <v>JILANI</v>
          </cell>
          <cell r="E6813" t="str">
            <v>پاک سویٹس خانکاہ ڈوگراں</v>
          </cell>
        </row>
        <row r="6814">
          <cell r="A6814" t="str">
            <v>2890 J</v>
          </cell>
          <cell r="B6814">
            <v>12421</v>
          </cell>
          <cell r="C6814">
            <v>45829</v>
          </cell>
          <cell r="D6814" t="str">
            <v>JILANI</v>
          </cell>
          <cell r="E6814" t="str">
            <v>چیزو چیزلاہور</v>
          </cell>
        </row>
        <row r="6815">
          <cell r="A6815" t="str">
            <v>2891 J</v>
          </cell>
          <cell r="B6815">
            <v>12422</v>
          </cell>
          <cell r="C6815">
            <v>45829</v>
          </cell>
          <cell r="D6815" t="str">
            <v>JILANI</v>
          </cell>
          <cell r="E6815" t="str">
            <v>سپر شنگھائی ننکانہ صاحب</v>
          </cell>
        </row>
        <row r="6816">
          <cell r="A6816" t="str">
            <v>2892 J</v>
          </cell>
          <cell r="B6816">
            <v>12423</v>
          </cell>
          <cell r="C6816">
            <v>45829</v>
          </cell>
          <cell r="D6816" t="str">
            <v>JILANI</v>
          </cell>
          <cell r="E6816" t="str">
            <v>نور کلاتھ ہاؤس مردان</v>
          </cell>
        </row>
        <row r="6817">
          <cell r="A6817" t="str">
            <v>2893 J</v>
          </cell>
          <cell r="B6817">
            <v>12424</v>
          </cell>
          <cell r="C6817">
            <v>45829</v>
          </cell>
          <cell r="D6817" t="str">
            <v>JILANI</v>
          </cell>
          <cell r="E6817" t="str">
            <v>بولان پیسٹری کوئٹہ</v>
          </cell>
        </row>
        <row r="6818">
          <cell r="A6818" t="str">
            <v>2894 J</v>
          </cell>
          <cell r="B6818">
            <v>12424</v>
          </cell>
          <cell r="C6818">
            <v>45829</v>
          </cell>
          <cell r="D6818" t="str">
            <v>JILANI</v>
          </cell>
          <cell r="E6818" t="str">
            <v>بولان پیسٹری کوئٹہ</v>
          </cell>
        </row>
        <row r="6819">
          <cell r="A6819" t="str">
            <v>2895 J</v>
          </cell>
          <cell r="B6819">
            <v>12425</v>
          </cell>
          <cell r="C6819">
            <v>45829</v>
          </cell>
          <cell r="D6819" t="str">
            <v>JILANI</v>
          </cell>
          <cell r="E6819" t="str">
            <v>زاہد صاحب شکرگڑھ</v>
          </cell>
        </row>
        <row r="6820">
          <cell r="A6820" t="str">
            <v>2896 J</v>
          </cell>
          <cell r="B6820">
            <v>12425</v>
          </cell>
          <cell r="C6820">
            <v>45829</v>
          </cell>
          <cell r="D6820" t="str">
            <v>JILANI</v>
          </cell>
          <cell r="E6820" t="str">
            <v>زاہد صاحب شکرگڑھ</v>
          </cell>
        </row>
        <row r="6821">
          <cell r="A6821" t="str">
            <v>2897 J</v>
          </cell>
          <cell r="B6821">
            <v>12426</v>
          </cell>
          <cell r="C6821">
            <v>45829</v>
          </cell>
          <cell r="D6821" t="str">
            <v>JILANI</v>
          </cell>
          <cell r="E6821" t="str">
            <v>زاہد صاحب شکرگڑھ</v>
          </cell>
        </row>
        <row r="6822">
          <cell r="A6822" t="str">
            <v>2898 J</v>
          </cell>
          <cell r="B6822">
            <v>12426</v>
          </cell>
          <cell r="C6822">
            <v>45829</v>
          </cell>
          <cell r="D6822" t="str">
            <v>JILANI</v>
          </cell>
          <cell r="E6822" t="str">
            <v>زاہد صاحب شکرگڑھ</v>
          </cell>
        </row>
        <row r="6823">
          <cell r="A6823" t="str">
            <v>1720 F</v>
          </cell>
          <cell r="B6823"/>
          <cell r="C6823">
            <v>45831</v>
          </cell>
          <cell r="D6823" t="str">
            <v>فینا</v>
          </cell>
          <cell r="E6823" t="str">
            <v>عثمان امین</v>
          </cell>
        </row>
        <row r="6824">
          <cell r="A6824" t="str">
            <v>1721 F</v>
          </cell>
          <cell r="B6824"/>
          <cell r="C6824">
            <v>45831</v>
          </cell>
          <cell r="D6824" t="str">
            <v>فینا</v>
          </cell>
          <cell r="E6824" t="str">
            <v>عثمان امین</v>
          </cell>
        </row>
        <row r="6825">
          <cell r="A6825" t="str">
            <v>1722 F</v>
          </cell>
          <cell r="B6825"/>
          <cell r="C6825">
            <v>45831</v>
          </cell>
          <cell r="D6825" t="str">
            <v>فینا</v>
          </cell>
          <cell r="E6825" t="str">
            <v>عثمان امین</v>
          </cell>
        </row>
        <row r="6826">
          <cell r="A6826" t="str">
            <v>7000/1</v>
          </cell>
          <cell r="B6826">
            <v>7000</v>
          </cell>
          <cell r="C6826">
            <v>45828</v>
          </cell>
          <cell r="D6826" t="str">
            <v>یونس صاحب</v>
          </cell>
          <cell r="E6826" t="str">
            <v>رفیق پلاسٹک اوکازہ</v>
          </cell>
        </row>
        <row r="6827">
          <cell r="A6827" t="str">
            <v>7000/2</v>
          </cell>
          <cell r="B6827">
            <v>7000</v>
          </cell>
          <cell r="C6827">
            <v>45828</v>
          </cell>
          <cell r="D6827" t="str">
            <v>یونس صاحب</v>
          </cell>
          <cell r="E6827" t="str">
            <v>رفیق پلاسٹک اوکازہ</v>
          </cell>
        </row>
        <row r="6828">
          <cell r="A6828" t="str">
            <v>7000/3</v>
          </cell>
          <cell r="B6828">
            <v>7000</v>
          </cell>
          <cell r="C6828">
            <v>45828</v>
          </cell>
          <cell r="D6828" t="str">
            <v>یونس صاحب</v>
          </cell>
          <cell r="E6828" t="str">
            <v>رفیق پلاسٹک اوکازہ</v>
          </cell>
        </row>
        <row r="6829">
          <cell r="A6829" t="str">
            <v>7000/4</v>
          </cell>
          <cell r="B6829">
            <v>7000</v>
          </cell>
          <cell r="C6829">
            <v>45828</v>
          </cell>
          <cell r="D6829" t="str">
            <v>یونس صاحب</v>
          </cell>
          <cell r="E6829" t="str">
            <v>رفیق پلاسٹک اوکازہ</v>
          </cell>
        </row>
        <row r="6830">
          <cell r="A6830" t="str">
            <v>7000/5</v>
          </cell>
          <cell r="B6830">
            <v>7000</v>
          </cell>
          <cell r="C6830">
            <v>45828</v>
          </cell>
          <cell r="D6830" t="str">
            <v>یونس صاحب</v>
          </cell>
          <cell r="E6830" t="str">
            <v>رفیق پلاسٹک اوکازہ</v>
          </cell>
        </row>
        <row r="6831">
          <cell r="A6831" t="str">
            <v>7001/1</v>
          </cell>
          <cell r="B6831">
            <v>7001</v>
          </cell>
          <cell r="C6831">
            <v>45829</v>
          </cell>
          <cell r="D6831" t="str">
            <v>یونس صاحب</v>
          </cell>
          <cell r="E6831" t="str">
            <v>ریفلکٹ پیک</v>
          </cell>
        </row>
        <row r="6832">
          <cell r="A6832" t="str">
            <v>7002/1</v>
          </cell>
          <cell r="B6832">
            <v>7002</v>
          </cell>
          <cell r="C6832">
            <v>45829</v>
          </cell>
          <cell r="D6832" t="str">
            <v>یونس صاحب</v>
          </cell>
          <cell r="E6832" t="str">
            <v>ریفلکٹ پیک</v>
          </cell>
        </row>
        <row r="6833">
          <cell r="A6833" t="str">
            <v>7003/1</v>
          </cell>
          <cell r="B6833">
            <v>7003</v>
          </cell>
          <cell r="C6833">
            <v>45831</v>
          </cell>
          <cell r="D6833" t="str">
            <v>یونس صاحب</v>
          </cell>
          <cell r="E6833" t="str">
            <v>وحید پلاسٹک گوجرانوالہ</v>
          </cell>
        </row>
        <row r="6834">
          <cell r="A6834" t="str">
            <v>7003/2</v>
          </cell>
          <cell r="B6834">
            <v>7003</v>
          </cell>
          <cell r="C6834">
            <v>45831</v>
          </cell>
          <cell r="D6834" t="str">
            <v>یونس صاحب</v>
          </cell>
          <cell r="E6834" t="str">
            <v>وحید پلاسٹک گوجرانوالہ</v>
          </cell>
        </row>
        <row r="6835">
          <cell r="A6835" t="str">
            <v>7003/3</v>
          </cell>
          <cell r="B6835">
            <v>7003</v>
          </cell>
          <cell r="C6835">
            <v>45831</v>
          </cell>
          <cell r="D6835" t="str">
            <v>یونس صاحب</v>
          </cell>
          <cell r="E6835" t="str">
            <v>وحید پلاسٹک گوجرانوالہ</v>
          </cell>
        </row>
        <row r="6836">
          <cell r="A6836" t="str">
            <v>7003/4</v>
          </cell>
          <cell r="B6836">
            <v>7003</v>
          </cell>
          <cell r="C6836">
            <v>45831</v>
          </cell>
          <cell r="D6836" t="str">
            <v>یونس صاحب</v>
          </cell>
          <cell r="E6836" t="str">
            <v>وحید پلاسٹک گوجرانوالہ</v>
          </cell>
        </row>
        <row r="6837">
          <cell r="A6837" t="str">
            <v>7004/1</v>
          </cell>
          <cell r="B6837">
            <v>7004</v>
          </cell>
          <cell r="C6837">
            <v>45831</v>
          </cell>
          <cell r="D6837" t="str">
            <v>یونس صاحب</v>
          </cell>
          <cell r="E6837" t="str">
            <v>مھبوب مقبول گجرانوالہ</v>
          </cell>
        </row>
        <row r="6838">
          <cell r="A6838" t="str">
            <v>7004/2</v>
          </cell>
          <cell r="B6838">
            <v>7004</v>
          </cell>
          <cell r="C6838">
            <v>45831</v>
          </cell>
          <cell r="D6838" t="str">
            <v>یونس صاحب</v>
          </cell>
          <cell r="E6838" t="str">
            <v>مھبوب مقبول گجرانوالہ</v>
          </cell>
        </row>
        <row r="6839">
          <cell r="A6839" t="str">
            <v>7004/3</v>
          </cell>
          <cell r="B6839">
            <v>7004</v>
          </cell>
          <cell r="C6839">
            <v>45831</v>
          </cell>
          <cell r="D6839" t="str">
            <v>یونس صاحب</v>
          </cell>
          <cell r="E6839" t="str">
            <v>مھبوب مقبول گجرانوالہ</v>
          </cell>
        </row>
        <row r="6840">
          <cell r="A6840" t="str">
            <v>7004/4</v>
          </cell>
          <cell r="B6840">
            <v>7004</v>
          </cell>
          <cell r="C6840">
            <v>45831</v>
          </cell>
          <cell r="D6840" t="str">
            <v>یونس صاحب</v>
          </cell>
          <cell r="E6840" t="str">
            <v>مھبوب مقبول گجرانوالہ</v>
          </cell>
        </row>
        <row r="6841">
          <cell r="A6841" t="str">
            <v>7004/5</v>
          </cell>
          <cell r="B6841">
            <v>7004</v>
          </cell>
          <cell r="C6841">
            <v>45831</v>
          </cell>
          <cell r="D6841" t="str">
            <v>یونس صاحب</v>
          </cell>
          <cell r="E6841" t="str">
            <v>مھبوب مقبول گجرانوالہ</v>
          </cell>
        </row>
        <row r="6842">
          <cell r="A6842" t="str">
            <v>7004/6</v>
          </cell>
          <cell r="B6842">
            <v>7004</v>
          </cell>
          <cell r="C6842">
            <v>45831</v>
          </cell>
          <cell r="D6842" t="str">
            <v>یونس صاحب</v>
          </cell>
          <cell r="E6842" t="str">
            <v>مھبوب مقبول گجرانوالہ</v>
          </cell>
        </row>
        <row r="6843">
          <cell r="A6843" t="str">
            <v>7004/7</v>
          </cell>
          <cell r="B6843">
            <v>7004</v>
          </cell>
          <cell r="C6843">
            <v>45831</v>
          </cell>
          <cell r="D6843" t="str">
            <v>یونس صاحب</v>
          </cell>
          <cell r="E6843" t="str">
            <v>مھبوب مقبول گجرانوالہ</v>
          </cell>
        </row>
        <row r="6844">
          <cell r="A6844">
            <v>2759</v>
          </cell>
          <cell r="B6844"/>
          <cell r="C6844">
            <v>45832</v>
          </cell>
          <cell r="D6844" t="str">
            <v>JILANI</v>
          </cell>
          <cell r="E6844" t="str">
            <v>OLYMPIA</v>
          </cell>
        </row>
        <row r="6845">
          <cell r="A6845" t="str">
            <v>2900 J</v>
          </cell>
          <cell r="B6845"/>
          <cell r="C6845">
            <v>45832</v>
          </cell>
          <cell r="D6845" t="str">
            <v>OTHER</v>
          </cell>
          <cell r="E6845" t="str">
            <v>جیلانی پولی سٹاک</v>
          </cell>
        </row>
        <row r="6846">
          <cell r="A6846" t="str">
            <v>2901 J</v>
          </cell>
          <cell r="B6846"/>
          <cell r="C6846">
            <v>45831</v>
          </cell>
          <cell r="D6846" t="str">
            <v>JILANI</v>
          </cell>
          <cell r="E6846" t="str">
            <v>جیلانی پلاسٹک</v>
          </cell>
        </row>
        <row r="6847">
          <cell r="A6847" t="str">
            <v>2902 J</v>
          </cell>
          <cell r="B6847"/>
          <cell r="C6847">
            <v>45831</v>
          </cell>
          <cell r="D6847" t="str">
            <v>JILANI</v>
          </cell>
          <cell r="E6847" t="str">
            <v>جیلانی پلاسٹک</v>
          </cell>
        </row>
        <row r="6848">
          <cell r="A6848" t="str">
            <v>2903 J</v>
          </cell>
          <cell r="B6848"/>
          <cell r="C6848">
            <v>45831</v>
          </cell>
          <cell r="D6848" t="str">
            <v>JILANI</v>
          </cell>
          <cell r="E6848" t="str">
            <v>محبوب پرنٹرز گوجرانوالہ</v>
          </cell>
        </row>
        <row r="6849">
          <cell r="A6849" t="str">
            <v>2904 J</v>
          </cell>
          <cell r="B6849"/>
          <cell r="C6849">
            <v>45831</v>
          </cell>
          <cell r="D6849" t="str">
            <v>JILANI</v>
          </cell>
          <cell r="E6849" t="str">
            <v>محبوب پرنٹرز گوجرانوالہ</v>
          </cell>
        </row>
        <row r="6850">
          <cell r="A6850" t="str">
            <v>1723 F</v>
          </cell>
          <cell r="B6850"/>
          <cell r="C6850">
            <v>45831</v>
          </cell>
          <cell r="D6850" t="str">
            <v>فینا</v>
          </cell>
          <cell r="E6850" t="str">
            <v>عثمان امین</v>
          </cell>
        </row>
        <row r="6851">
          <cell r="A6851" t="str">
            <v>1724 F</v>
          </cell>
          <cell r="B6851"/>
          <cell r="C6851">
            <v>45831</v>
          </cell>
          <cell r="D6851" t="str">
            <v>فینا</v>
          </cell>
          <cell r="E6851" t="str">
            <v>عثمان امین</v>
          </cell>
        </row>
        <row r="6852">
          <cell r="A6852" t="str">
            <v>1725 F</v>
          </cell>
          <cell r="B6852"/>
          <cell r="C6852">
            <v>45831</v>
          </cell>
          <cell r="D6852" t="str">
            <v>فینا</v>
          </cell>
          <cell r="E6852" t="str">
            <v>عثمان امین</v>
          </cell>
        </row>
        <row r="6853">
          <cell r="A6853" t="str">
            <v>1726 F</v>
          </cell>
          <cell r="B6853"/>
          <cell r="C6853">
            <v>45831</v>
          </cell>
          <cell r="D6853" t="str">
            <v>فینا</v>
          </cell>
          <cell r="E6853" t="str">
            <v>عثمان امین</v>
          </cell>
        </row>
        <row r="6854">
          <cell r="A6854" t="str">
            <v>1727 F</v>
          </cell>
          <cell r="B6854"/>
          <cell r="C6854">
            <v>45831</v>
          </cell>
          <cell r="D6854" t="str">
            <v>فینا</v>
          </cell>
          <cell r="E6854" t="str">
            <v>عثمان امین</v>
          </cell>
        </row>
        <row r="6855">
          <cell r="A6855" t="str">
            <v>1728 F</v>
          </cell>
          <cell r="B6855"/>
          <cell r="C6855">
            <v>45831</v>
          </cell>
          <cell r="D6855" t="str">
            <v>فینا</v>
          </cell>
          <cell r="E6855" t="str">
            <v>عثمان امین</v>
          </cell>
        </row>
        <row r="6856">
          <cell r="A6856" t="str">
            <v>1729 F</v>
          </cell>
          <cell r="B6856"/>
          <cell r="C6856">
            <v>45831</v>
          </cell>
          <cell r="D6856" t="str">
            <v>فینا</v>
          </cell>
          <cell r="E6856" t="str">
            <v>عثمان امین</v>
          </cell>
        </row>
        <row r="6857">
          <cell r="A6857" t="str">
            <v>1730 F</v>
          </cell>
          <cell r="B6857"/>
          <cell r="C6857">
            <v>45831</v>
          </cell>
          <cell r="D6857" t="str">
            <v>فینا</v>
          </cell>
          <cell r="E6857" t="str">
            <v>عثمان امین</v>
          </cell>
        </row>
        <row r="6858">
          <cell r="A6858" t="str">
            <v>1731 F</v>
          </cell>
          <cell r="B6858"/>
          <cell r="C6858">
            <v>45831</v>
          </cell>
          <cell r="D6858" t="str">
            <v>فینا</v>
          </cell>
          <cell r="E6858" t="str">
            <v>عثمان امین</v>
          </cell>
        </row>
        <row r="6859">
          <cell r="A6859" t="str">
            <v>1732 F</v>
          </cell>
          <cell r="B6859"/>
          <cell r="C6859">
            <v>45831</v>
          </cell>
          <cell r="D6859" t="str">
            <v>فینا</v>
          </cell>
          <cell r="E6859" t="str">
            <v>عثمان امین</v>
          </cell>
        </row>
        <row r="6860">
          <cell r="A6860" t="str">
            <v>1733 F</v>
          </cell>
          <cell r="B6860"/>
          <cell r="C6860">
            <v>45832</v>
          </cell>
          <cell r="D6860" t="str">
            <v>فینا</v>
          </cell>
          <cell r="E6860" t="str">
            <v>عثمان امین</v>
          </cell>
        </row>
        <row r="6861">
          <cell r="A6861" t="str">
            <v>1734 F</v>
          </cell>
          <cell r="B6861"/>
          <cell r="C6861">
            <v>45832</v>
          </cell>
          <cell r="D6861" t="str">
            <v>فینا</v>
          </cell>
          <cell r="E6861" t="str">
            <v>عثمان امین</v>
          </cell>
        </row>
        <row r="6862">
          <cell r="A6862" t="str">
            <v>1735 F</v>
          </cell>
          <cell r="B6862"/>
          <cell r="C6862">
            <v>45832</v>
          </cell>
          <cell r="D6862" t="str">
            <v>فینا</v>
          </cell>
          <cell r="E6862" t="str">
            <v>عثمان امین</v>
          </cell>
        </row>
        <row r="6863">
          <cell r="A6863" t="str">
            <v>7005/1</v>
          </cell>
          <cell r="B6863">
            <v>7005</v>
          </cell>
          <cell r="C6863">
            <v>45831</v>
          </cell>
          <cell r="D6863" t="str">
            <v>یونس صاحب</v>
          </cell>
          <cell r="E6863" t="str">
            <v>آصف پلاسٹک بورے والا</v>
          </cell>
        </row>
        <row r="6864">
          <cell r="A6864" t="str">
            <v>7005/2</v>
          </cell>
          <cell r="B6864">
            <v>7005</v>
          </cell>
          <cell r="C6864">
            <v>45831</v>
          </cell>
          <cell r="D6864" t="str">
            <v>یونس صاحب</v>
          </cell>
          <cell r="E6864" t="str">
            <v>آصف پلاسٹک بورے والا</v>
          </cell>
        </row>
        <row r="6865">
          <cell r="A6865" t="str">
            <v>7005/3</v>
          </cell>
          <cell r="B6865">
            <v>7005</v>
          </cell>
          <cell r="C6865">
            <v>45831</v>
          </cell>
          <cell r="D6865" t="str">
            <v>یونس صاحب</v>
          </cell>
          <cell r="E6865" t="str">
            <v>آصف پلاسٹک بورے والا</v>
          </cell>
        </row>
        <row r="6866">
          <cell r="A6866" t="str">
            <v>7006/1</v>
          </cell>
          <cell r="B6866">
            <v>7006</v>
          </cell>
          <cell r="C6866">
            <v>45831</v>
          </cell>
          <cell r="D6866" t="str">
            <v>یونس صاحب</v>
          </cell>
          <cell r="E6866" t="str">
            <v>ایم   دین پنڈی</v>
          </cell>
        </row>
        <row r="6867">
          <cell r="A6867" t="str">
            <v>7006/2</v>
          </cell>
          <cell r="B6867">
            <v>7006</v>
          </cell>
          <cell r="C6867">
            <v>45831</v>
          </cell>
          <cell r="D6867" t="str">
            <v>یونس صاحب</v>
          </cell>
          <cell r="E6867" t="str">
            <v>ایم   دین پنڈی</v>
          </cell>
        </row>
        <row r="6868">
          <cell r="A6868" t="str">
            <v>7007/1</v>
          </cell>
          <cell r="B6868">
            <v>7007</v>
          </cell>
          <cell r="C6868">
            <v>45831</v>
          </cell>
          <cell r="D6868" t="str">
            <v>یونس صاحب</v>
          </cell>
          <cell r="E6868" t="str">
            <v>ایم   دین پنڈی</v>
          </cell>
        </row>
        <row r="6869">
          <cell r="A6869" t="str">
            <v>7007/2</v>
          </cell>
          <cell r="B6869">
            <v>7007</v>
          </cell>
          <cell r="C6869">
            <v>45831</v>
          </cell>
          <cell r="D6869" t="str">
            <v>یونس صاحب</v>
          </cell>
          <cell r="E6869" t="str">
            <v>ایم   دین پنڈی</v>
          </cell>
        </row>
        <row r="6870">
          <cell r="A6870" t="str">
            <v>7007/3</v>
          </cell>
          <cell r="B6870">
            <v>7007</v>
          </cell>
          <cell r="C6870">
            <v>45831</v>
          </cell>
          <cell r="D6870" t="str">
            <v>یونس صاحب</v>
          </cell>
          <cell r="E6870" t="str">
            <v>ایم   دین پنڈی</v>
          </cell>
        </row>
        <row r="6871">
          <cell r="A6871" t="str">
            <v>7008/1</v>
          </cell>
          <cell r="B6871">
            <v>7008</v>
          </cell>
          <cell r="C6871">
            <v>45831</v>
          </cell>
          <cell r="D6871" t="str">
            <v>یونس صاحب</v>
          </cell>
          <cell r="E6871" t="str">
            <v>عاصم عطاری اعظم مارکیٹ</v>
          </cell>
        </row>
        <row r="6872">
          <cell r="A6872" t="str">
            <v>7008/2</v>
          </cell>
          <cell r="B6872">
            <v>7008</v>
          </cell>
          <cell r="C6872">
            <v>45831</v>
          </cell>
          <cell r="D6872" t="str">
            <v>یونس صاحب</v>
          </cell>
          <cell r="E6872" t="str">
            <v>عاصم عطاری اعظم مارکیٹ</v>
          </cell>
        </row>
        <row r="6873">
          <cell r="A6873" t="str">
            <v>7009/1</v>
          </cell>
          <cell r="B6873">
            <v>7009</v>
          </cell>
          <cell r="C6873">
            <v>45832</v>
          </cell>
          <cell r="D6873" t="str">
            <v>یونس صاحب</v>
          </cell>
          <cell r="E6873" t="str">
            <v>راجکپور کریانہ سٹور گھونکی</v>
          </cell>
        </row>
        <row r="6874">
          <cell r="A6874" t="str">
            <v>7009/2</v>
          </cell>
          <cell r="B6874">
            <v>7009</v>
          </cell>
          <cell r="C6874">
            <v>45832</v>
          </cell>
          <cell r="D6874" t="str">
            <v>یونس صاحب</v>
          </cell>
          <cell r="E6874" t="str">
            <v>راجکپور کریانہ سٹور گھونکی</v>
          </cell>
        </row>
        <row r="6875">
          <cell r="A6875" t="str">
            <v>7009/3</v>
          </cell>
          <cell r="B6875">
            <v>7009</v>
          </cell>
          <cell r="C6875">
            <v>45832</v>
          </cell>
          <cell r="D6875" t="str">
            <v>یونس صاحب</v>
          </cell>
          <cell r="E6875" t="str">
            <v>راجکپور کریانہ سٹور گھونکی</v>
          </cell>
        </row>
        <row r="6876">
          <cell r="A6876" t="str">
            <v>7010/1</v>
          </cell>
          <cell r="B6876">
            <v>7010</v>
          </cell>
          <cell r="C6876">
            <v>45832</v>
          </cell>
          <cell r="D6876" t="str">
            <v>یونس صاحب</v>
          </cell>
          <cell r="E6876" t="str">
            <v>حیدر عمر بہاولپور</v>
          </cell>
        </row>
        <row r="6877">
          <cell r="A6877" t="str">
            <v>7010/2</v>
          </cell>
          <cell r="B6877">
            <v>7010</v>
          </cell>
          <cell r="C6877">
            <v>45832</v>
          </cell>
          <cell r="D6877" t="str">
            <v>یونس صاحب</v>
          </cell>
          <cell r="E6877" t="str">
            <v>حیدر عمر بہاولپور</v>
          </cell>
        </row>
        <row r="6878">
          <cell r="A6878" t="str">
            <v>7010/3</v>
          </cell>
          <cell r="B6878">
            <v>7010</v>
          </cell>
          <cell r="C6878">
            <v>45832</v>
          </cell>
          <cell r="D6878" t="str">
            <v>یونس صاحب</v>
          </cell>
          <cell r="E6878" t="str">
            <v>حیدر عمر بہاولپور</v>
          </cell>
        </row>
        <row r="6879">
          <cell r="A6879" t="str">
            <v>7010/4</v>
          </cell>
          <cell r="B6879">
            <v>7010</v>
          </cell>
          <cell r="C6879">
            <v>45832</v>
          </cell>
          <cell r="D6879" t="str">
            <v>یونس صاحب</v>
          </cell>
          <cell r="E6879" t="str">
            <v>حیدر عمر بہاولپور</v>
          </cell>
        </row>
        <row r="6880">
          <cell r="A6880" t="str">
            <v>7010/5</v>
          </cell>
          <cell r="B6880">
            <v>7010</v>
          </cell>
          <cell r="C6880">
            <v>45832</v>
          </cell>
          <cell r="D6880" t="str">
            <v>یونس صاحب</v>
          </cell>
          <cell r="E6880" t="str">
            <v>حیدر عمر بہاولپور</v>
          </cell>
        </row>
        <row r="6881">
          <cell r="A6881" t="str">
            <v>7010/6</v>
          </cell>
          <cell r="B6881">
            <v>7010</v>
          </cell>
          <cell r="C6881">
            <v>45832</v>
          </cell>
          <cell r="D6881" t="str">
            <v>یونس صاحب</v>
          </cell>
          <cell r="E6881" t="str">
            <v>حیدر عمر بہاولپور</v>
          </cell>
        </row>
        <row r="6882">
          <cell r="A6882" t="str">
            <v>7010/7</v>
          </cell>
          <cell r="B6882">
            <v>7010</v>
          </cell>
          <cell r="C6882">
            <v>45832</v>
          </cell>
          <cell r="D6882" t="str">
            <v>یونس صاحب</v>
          </cell>
          <cell r="E6882" t="str">
            <v>حیدر عمر بہاولپور</v>
          </cell>
        </row>
        <row r="6883">
          <cell r="A6883" t="str">
            <v>7010/8</v>
          </cell>
          <cell r="B6883">
            <v>7010</v>
          </cell>
          <cell r="C6883">
            <v>45832</v>
          </cell>
          <cell r="D6883" t="str">
            <v>یونس صاحب</v>
          </cell>
          <cell r="E6883" t="str">
            <v>حیدر عمر بہاولپور</v>
          </cell>
        </row>
        <row r="6884">
          <cell r="A6884" t="str">
            <v>7010/9</v>
          </cell>
          <cell r="B6884">
            <v>7010</v>
          </cell>
          <cell r="C6884">
            <v>45832</v>
          </cell>
          <cell r="D6884" t="str">
            <v>یونس صاحب</v>
          </cell>
          <cell r="E6884" t="str">
            <v>حیدر عمر بہاولپور</v>
          </cell>
        </row>
        <row r="6885">
          <cell r="A6885" t="str">
            <v>7010/10</v>
          </cell>
          <cell r="B6885">
            <v>7010</v>
          </cell>
          <cell r="C6885">
            <v>45832</v>
          </cell>
          <cell r="D6885" t="str">
            <v>یونس صاحب</v>
          </cell>
          <cell r="E6885" t="str">
            <v>حیدر عمر بہاولپور</v>
          </cell>
        </row>
        <row r="6886">
          <cell r="A6886" t="str">
            <v>7010/11</v>
          </cell>
          <cell r="B6886">
            <v>7010</v>
          </cell>
          <cell r="C6886">
            <v>45832</v>
          </cell>
          <cell r="D6886" t="str">
            <v>یونس صاحب</v>
          </cell>
          <cell r="E6886" t="str">
            <v>حیدر عمر بہاولپور</v>
          </cell>
        </row>
        <row r="6887">
          <cell r="A6887" t="str">
            <v>7010/12</v>
          </cell>
          <cell r="B6887">
            <v>7010</v>
          </cell>
          <cell r="C6887">
            <v>45832</v>
          </cell>
          <cell r="D6887" t="str">
            <v>یونس صاحب</v>
          </cell>
          <cell r="E6887" t="str">
            <v>حیدر عمر بہاولپور</v>
          </cell>
        </row>
        <row r="6888">
          <cell r="A6888" t="str">
            <v>7010/13</v>
          </cell>
          <cell r="B6888">
            <v>7010</v>
          </cell>
          <cell r="C6888">
            <v>45832</v>
          </cell>
          <cell r="D6888" t="str">
            <v>یونس صاحب</v>
          </cell>
          <cell r="E6888" t="str">
            <v>حیدر عمر بہاولپور</v>
          </cell>
        </row>
        <row r="6889">
          <cell r="A6889" t="str">
            <v>7010/14</v>
          </cell>
          <cell r="B6889">
            <v>7010</v>
          </cell>
          <cell r="C6889">
            <v>45832</v>
          </cell>
          <cell r="D6889" t="str">
            <v>یونس صاحب</v>
          </cell>
          <cell r="E6889" t="str">
            <v>حیدر عمر بہاولپور</v>
          </cell>
        </row>
        <row r="6890">
          <cell r="A6890" t="str">
            <v>7010/15</v>
          </cell>
          <cell r="B6890">
            <v>7010</v>
          </cell>
          <cell r="C6890">
            <v>45832</v>
          </cell>
          <cell r="D6890" t="str">
            <v>یونس صاحب</v>
          </cell>
          <cell r="E6890" t="str">
            <v>حیدر عمر بہاولپور</v>
          </cell>
        </row>
        <row r="6891">
          <cell r="A6891" t="str">
            <v>7010/16</v>
          </cell>
          <cell r="B6891">
            <v>7010</v>
          </cell>
          <cell r="C6891">
            <v>45832</v>
          </cell>
          <cell r="D6891" t="str">
            <v>یونس صاحب</v>
          </cell>
          <cell r="E6891" t="str">
            <v>حیدر عمر بہاولپور</v>
          </cell>
        </row>
        <row r="6892">
          <cell r="A6892" t="str">
            <v>7010/17</v>
          </cell>
          <cell r="B6892">
            <v>7010</v>
          </cell>
          <cell r="C6892">
            <v>45832</v>
          </cell>
          <cell r="D6892" t="str">
            <v>یونس صاحب</v>
          </cell>
          <cell r="E6892" t="str">
            <v>حیدر عمر بہاولپور</v>
          </cell>
        </row>
        <row r="6893">
          <cell r="A6893" t="str">
            <v>7010/18</v>
          </cell>
          <cell r="B6893">
            <v>7010</v>
          </cell>
          <cell r="C6893">
            <v>45832</v>
          </cell>
          <cell r="D6893" t="str">
            <v>یونس صاحب</v>
          </cell>
          <cell r="E6893" t="str">
            <v>حیدر عمر بہاولپور</v>
          </cell>
        </row>
        <row r="6894">
          <cell r="A6894" t="str">
            <v>7010/19</v>
          </cell>
          <cell r="B6894">
            <v>7010</v>
          </cell>
          <cell r="C6894">
            <v>45832</v>
          </cell>
          <cell r="D6894" t="str">
            <v>یونس صاحب</v>
          </cell>
          <cell r="E6894" t="str">
            <v>حیدر عمر بہاولپور</v>
          </cell>
        </row>
        <row r="6895">
          <cell r="A6895" t="str">
            <v>7010/20</v>
          </cell>
          <cell r="B6895">
            <v>7010</v>
          </cell>
          <cell r="C6895">
            <v>45832</v>
          </cell>
          <cell r="D6895" t="str">
            <v>یونس صاحب</v>
          </cell>
          <cell r="E6895" t="str">
            <v>حیدر عمر بہاولپور</v>
          </cell>
        </row>
        <row r="6896">
          <cell r="A6896" t="str">
            <v>7010/21</v>
          </cell>
          <cell r="B6896">
            <v>7010</v>
          </cell>
          <cell r="C6896">
            <v>45832</v>
          </cell>
          <cell r="D6896" t="str">
            <v>یونس صاحب</v>
          </cell>
          <cell r="E6896" t="str">
            <v>حیدر عمر بہاولپور</v>
          </cell>
        </row>
        <row r="6897">
          <cell r="A6897" t="str">
            <v>7010/22</v>
          </cell>
          <cell r="B6897">
            <v>7010</v>
          </cell>
          <cell r="C6897">
            <v>45832</v>
          </cell>
          <cell r="D6897" t="str">
            <v>یونس صاحب</v>
          </cell>
          <cell r="E6897" t="str">
            <v>حیدر عمر بہاولپور</v>
          </cell>
        </row>
        <row r="6898">
          <cell r="A6898" t="str">
            <v>2905 J</v>
          </cell>
          <cell r="B6898"/>
          <cell r="C6898">
            <v>45833</v>
          </cell>
          <cell r="D6898" t="str">
            <v>OTHER</v>
          </cell>
          <cell r="E6898" t="str">
            <v>جیلانی پلاسٹک</v>
          </cell>
        </row>
        <row r="6899">
          <cell r="A6899" t="str">
            <v>2906 J</v>
          </cell>
          <cell r="B6899"/>
          <cell r="C6899">
            <v>45833</v>
          </cell>
          <cell r="D6899" t="str">
            <v>OTHER</v>
          </cell>
          <cell r="E6899" t="str">
            <v>جیلانی پلاسٹک</v>
          </cell>
        </row>
        <row r="6900">
          <cell r="A6900" t="str">
            <v>2907 J</v>
          </cell>
          <cell r="B6900"/>
          <cell r="C6900">
            <v>45833</v>
          </cell>
          <cell r="D6900" t="str">
            <v>OTHER</v>
          </cell>
          <cell r="E6900" t="str">
            <v>جیلانی پلاسٹک</v>
          </cell>
        </row>
        <row r="6901">
          <cell r="A6901" t="str">
            <v>2908 J</v>
          </cell>
          <cell r="B6901">
            <v>12427</v>
          </cell>
          <cell r="C6901">
            <v>45833</v>
          </cell>
          <cell r="D6901" t="str">
            <v>JILANI</v>
          </cell>
          <cell r="E6901" t="str">
            <v>کیمیکل لاہور SYNT</v>
          </cell>
        </row>
        <row r="6902">
          <cell r="A6902" t="str">
            <v>2909 J</v>
          </cell>
          <cell r="B6902">
            <v>12428</v>
          </cell>
          <cell r="C6902">
            <v>45833</v>
          </cell>
          <cell r="D6902" t="str">
            <v>JILANI</v>
          </cell>
          <cell r="E6902" t="str">
            <v>عثمان غنی ٹیکسٹائل</v>
          </cell>
        </row>
        <row r="6903">
          <cell r="A6903" t="str">
            <v>2910 J</v>
          </cell>
          <cell r="B6903">
            <v>12429</v>
          </cell>
          <cell r="C6903">
            <v>45833</v>
          </cell>
          <cell r="D6903" t="str">
            <v>JILANI</v>
          </cell>
          <cell r="E6903" t="str">
            <v>صابر پلاسٹک شاہدرہ کیئر آف نزر قمر</v>
          </cell>
        </row>
        <row r="6904">
          <cell r="A6904" t="str">
            <v>2911 J</v>
          </cell>
          <cell r="B6904">
            <v>12430</v>
          </cell>
          <cell r="C6904">
            <v>45833</v>
          </cell>
          <cell r="D6904" t="str">
            <v>JILANI</v>
          </cell>
          <cell r="E6904" t="str">
            <v>اٹلس ہنڈا لمیٹڈ شیخوپورہ</v>
          </cell>
        </row>
        <row r="6905">
          <cell r="A6905" t="str">
            <v>2912 J</v>
          </cell>
          <cell r="B6905">
            <v>12431</v>
          </cell>
          <cell r="C6905">
            <v>45833</v>
          </cell>
          <cell r="D6905" t="str">
            <v>JILANI</v>
          </cell>
          <cell r="E6905" t="str">
            <v>اٹلس ہنڈا لمیٹڈ شیخوپورہ</v>
          </cell>
        </row>
        <row r="6906">
          <cell r="A6906" t="str">
            <v>2913 J</v>
          </cell>
          <cell r="B6906">
            <v>12432</v>
          </cell>
          <cell r="C6906">
            <v>45833</v>
          </cell>
          <cell r="D6906" t="str">
            <v>JILANI</v>
          </cell>
          <cell r="E6906" t="str">
            <v>اٹلس ہنڈا لمیٹڈ شیخوپورہ</v>
          </cell>
        </row>
        <row r="6907">
          <cell r="A6907" t="str">
            <v>2914 J</v>
          </cell>
          <cell r="B6907">
            <v>12433</v>
          </cell>
          <cell r="C6907">
            <v>45833</v>
          </cell>
          <cell r="D6907" t="str">
            <v>JILANI</v>
          </cell>
          <cell r="E6907" t="str">
            <v>اٹلس ہنڈا لمیٹڈ شیخوپورہ</v>
          </cell>
        </row>
        <row r="6908">
          <cell r="A6908" t="str">
            <v>2915 J</v>
          </cell>
          <cell r="B6908">
            <v>12434</v>
          </cell>
          <cell r="C6908">
            <v>45833</v>
          </cell>
          <cell r="D6908" t="str">
            <v>JILANI</v>
          </cell>
          <cell r="E6908" t="str">
            <v>اٹلس ہنڈا لمیٹڈ شیخوپورہ</v>
          </cell>
        </row>
        <row r="6909">
          <cell r="A6909" t="str">
            <v>2916 J</v>
          </cell>
          <cell r="B6909">
            <v>12435</v>
          </cell>
          <cell r="C6909">
            <v>45833</v>
          </cell>
          <cell r="D6909" t="str">
            <v>JILANI</v>
          </cell>
          <cell r="E6909" t="str">
            <v>اٹلس ہنڈا لمیٹڈ شیخوپورہ</v>
          </cell>
        </row>
        <row r="6910">
          <cell r="A6910" t="str">
            <v>2917 J</v>
          </cell>
          <cell r="B6910">
            <v>12436</v>
          </cell>
          <cell r="C6910">
            <v>45833</v>
          </cell>
          <cell r="D6910" t="str">
            <v>JILANI</v>
          </cell>
          <cell r="E6910" t="str">
            <v>اٹلس ہنڈا لمیٹڈ شیخوپورہ</v>
          </cell>
        </row>
        <row r="6911">
          <cell r="A6911" t="str">
            <v>2918 J</v>
          </cell>
          <cell r="B6911">
            <v>12437</v>
          </cell>
          <cell r="C6911">
            <v>45833</v>
          </cell>
          <cell r="D6911" t="str">
            <v>JILANI</v>
          </cell>
          <cell r="E6911" t="str">
            <v>اٹلس ہنڈا لمیٹڈ شیخوپورہ</v>
          </cell>
        </row>
        <row r="6912">
          <cell r="A6912" t="str">
            <v>2919 J</v>
          </cell>
          <cell r="B6912">
            <v>12438</v>
          </cell>
          <cell r="C6912">
            <v>45833</v>
          </cell>
          <cell r="D6912" t="str">
            <v>JILANI</v>
          </cell>
          <cell r="E6912" t="str">
            <v>اٹلس ہنڈا لمیٹڈ شیخوپورہ</v>
          </cell>
        </row>
        <row r="6913">
          <cell r="A6913" t="str">
            <v>2920 J</v>
          </cell>
          <cell r="B6913">
            <v>12439</v>
          </cell>
          <cell r="C6913">
            <v>45833</v>
          </cell>
          <cell r="D6913" t="str">
            <v>JILANI</v>
          </cell>
          <cell r="E6913" t="str">
            <v>امر پاک ڈرائی کلینرز لاہور</v>
          </cell>
        </row>
        <row r="6914">
          <cell r="A6914" t="str">
            <v>2921 J</v>
          </cell>
          <cell r="B6914">
            <v>12439</v>
          </cell>
          <cell r="C6914">
            <v>45833</v>
          </cell>
          <cell r="D6914" t="str">
            <v>JILANI</v>
          </cell>
          <cell r="E6914" t="str">
            <v>امر پاک ڈرائی کلینرز لاہور</v>
          </cell>
        </row>
        <row r="6915">
          <cell r="A6915" t="str">
            <v>2922 J</v>
          </cell>
          <cell r="B6915">
            <v>12439</v>
          </cell>
          <cell r="C6915">
            <v>45833</v>
          </cell>
          <cell r="D6915" t="str">
            <v>JILANI</v>
          </cell>
          <cell r="E6915" t="str">
            <v>امر پاک ڈرائی کلینرز لاہور</v>
          </cell>
        </row>
        <row r="6916">
          <cell r="A6916" t="str">
            <v>2923 J</v>
          </cell>
          <cell r="B6916">
            <v>12440</v>
          </cell>
          <cell r="C6916">
            <v>45833</v>
          </cell>
          <cell r="D6916" t="str">
            <v>JILANI</v>
          </cell>
          <cell r="E6916" t="str">
            <v>زاہد محمود شاہ عالم</v>
          </cell>
        </row>
        <row r="6917">
          <cell r="A6917" t="str">
            <v>2924 J</v>
          </cell>
          <cell r="B6917">
            <v>12440</v>
          </cell>
          <cell r="C6917">
            <v>45833</v>
          </cell>
          <cell r="D6917" t="str">
            <v>JILANI</v>
          </cell>
          <cell r="E6917" t="str">
            <v>زاہد محمود شاہ عالم</v>
          </cell>
        </row>
        <row r="6918">
          <cell r="A6918" t="str">
            <v>2925 J</v>
          </cell>
          <cell r="B6918">
            <v>12441</v>
          </cell>
          <cell r="C6918">
            <v>45833</v>
          </cell>
          <cell r="D6918" t="str">
            <v>JILANI</v>
          </cell>
          <cell r="E6918" t="str">
            <v>علی سویٹس اینڈ بیکرز رحیم یار خان</v>
          </cell>
        </row>
        <row r="6919">
          <cell r="A6919" t="str">
            <v>2926 J</v>
          </cell>
          <cell r="B6919">
            <v>12442</v>
          </cell>
          <cell r="C6919">
            <v>45833</v>
          </cell>
          <cell r="D6919" t="str">
            <v>JILANI</v>
          </cell>
          <cell r="E6919" t="str">
            <v>پیزا بنک فاسٹ فوڈ کامونکی</v>
          </cell>
        </row>
        <row r="6920">
          <cell r="A6920" t="str">
            <v>2927 J</v>
          </cell>
          <cell r="B6920">
            <v>12442</v>
          </cell>
          <cell r="C6920">
            <v>45833</v>
          </cell>
          <cell r="D6920" t="str">
            <v>JILANI</v>
          </cell>
          <cell r="E6920" t="str">
            <v>پیزا بنک فاسٹ فوڈ کامونکی</v>
          </cell>
        </row>
        <row r="6921">
          <cell r="A6921" t="str">
            <v>2928 J</v>
          </cell>
          <cell r="B6921">
            <v>12442</v>
          </cell>
          <cell r="C6921">
            <v>45833</v>
          </cell>
          <cell r="D6921" t="str">
            <v>JILANI</v>
          </cell>
          <cell r="E6921" t="str">
            <v>پیزا بنک فاسٹ فوڈ کامونکی</v>
          </cell>
        </row>
        <row r="6922">
          <cell r="A6922" t="str">
            <v>2929 J</v>
          </cell>
          <cell r="B6922">
            <v>12444</v>
          </cell>
          <cell r="C6922">
            <v>45833</v>
          </cell>
          <cell r="D6922" t="str">
            <v>JILANI</v>
          </cell>
          <cell r="E6922" t="str">
            <v>زاہد منظور لاہور</v>
          </cell>
        </row>
        <row r="6923">
          <cell r="A6923" t="str">
            <v>2930 J</v>
          </cell>
          <cell r="B6923">
            <v>12444</v>
          </cell>
          <cell r="C6923">
            <v>45833</v>
          </cell>
          <cell r="D6923" t="str">
            <v>JILANI</v>
          </cell>
          <cell r="E6923" t="str">
            <v>زاہد منظور لاہور</v>
          </cell>
        </row>
        <row r="6924">
          <cell r="A6924" t="str">
            <v>2931 J</v>
          </cell>
          <cell r="B6924">
            <v>12444</v>
          </cell>
          <cell r="C6924">
            <v>45833</v>
          </cell>
          <cell r="D6924" t="str">
            <v>JILANI</v>
          </cell>
          <cell r="E6924" t="str">
            <v>زاہد منظور لاہور</v>
          </cell>
        </row>
        <row r="6925">
          <cell r="A6925" t="str">
            <v>2932 J</v>
          </cell>
          <cell r="B6925">
            <v>12445</v>
          </cell>
          <cell r="C6925">
            <v>45833</v>
          </cell>
          <cell r="D6925" t="str">
            <v>JILANI</v>
          </cell>
          <cell r="E6925" t="str">
            <v>زم زم کیپ لاہور</v>
          </cell>
        </row>
        <row r="6926">
          <cell r="A6926" t="str">
            <v>2933 J</v>
          </cell>
          <cell r="B6926">
            <v>12446</v>
          </cell>
          <cell r="C6926">
            <v>45833</v>
          </cell>
          <cell r="D6926" t="str">
            <v>JILANI</v>
          </cell>
          <cell r="E6926" t="str">
            <v>ہیڈ آفس لاہور</v>
          </cell>
        </row>
        <row r="6927">
          <cell r="A6927" t="str">
            <v>2934 J</v>
          </cell>
          <cell r="B6927">
            <v>12446</v>
          </cell>
          <cell r="C6927">
            <v>45833</v>
          </cell>
          <cell r="D6927" t="str">
            <v>JILANI</v>
          </cell>
          <cell r="E6927" t="str">
            <v>ہیڈ آفس لاہور</v>
          </cell>
        </row>
        <row r="6928">
          <cell r="A6928" t="str">
            <v>2935 J</v>
          </cell>
          <cell r="B6928">
            <v>12446</v>
          </cell>
          <cell r="C6928">
            <v>45833</v>
          </cell>
          <cell r="D6928" t="str">
            <v>JILANI</v>
          </cell>
          <cell r="E6928" t="str">
            <v>ہیڈ آفس لاہور</v>
          </cell>
        </row>
        <row r="6929">
          <cell r="A6929" t="str">
            <v>2936 J</v>
          </cell>
          <cell r="B6929">
            <v>12446</v>
          </cell>
          <cell r="C6929">
            <v>45833</v>
          </cell>
          <cell r="D6929" t="str">
            <v>JILANI</v>
          </cell>
          <cell r="E6929" t="str">
            <v>ہیڈ آفس لاہور</v>
          </cell>
        </row>
        <row r="6930">
          <cell r="A6930" t="str">
            <v>2937 J</v>
          </cell>
          <cell r="B6930">
            <v>12446</v>
          </cell>
          <cell r="C6930">
            <v>45833</v>
          </cell>
          <cell r="D6930" t="str">
            <v>JILANI</v>
          </cell>
          <cell r="E6930" t="str">
            <v>ہیڈ آفس لاہور</v>
          </cell>
        </row>
        <row r="6931">
          <cell r="A6931" t="str">
            <v>2938 J</v>
          </cell>
          <cell r="B6931">
            <v>12447</v>
          </cell>
          <cell r="C6931">
            <v>45833</v>
          </cell>
          <cell r="D6931" t="str">
            <v>JILANI</v>
          </cell>
          <cell r="E6931" t="str">
            <v>شعیب آٹوز راولپنڈی</v>
          </cell>
        </row>
        <row r="6932">
          <cell r="A6932" t="str">
            <v>2939 J</v>
          </cell>
          <cell r="B6932">
            <v>12447</v>
          </cell>
          <cell r="C6932">
            <v>45833</v>
          </cell>
          <cell r="D6932" t="str">
            <v>JILANI</v>
          </cell>
          <cell r="E6932" t="str">
            <v>شعیب آٹوز راولپنڈی</v>
          </cell>
        </row>
        <row r="6933">
          <cell r="A6933" t="str">
            <v>2940 J</v>
          </cell>
          <cell r="B6933">
            <v>12448</v>
          </cell>
          <cell r="C6933">
            <v>45833</v>
          </cell>
          <cell r="D6933" t="str">
            <v>JILANI</v>
          </cell>
          <cell r="E6933" t="str">
            <v xml:space="preserve">ایم آصف پرنٹنگ لاہور </v>
          </cell>
        </row>
        <row r="6934">
          <cell r="A6934" t="str">
            <v>2941 J</v>
          </cell>
          <cell r="B6934">
            <v>12448</v>
          </cell>
          <cell r="C6934">
            <v>45833</v>
          </cell>
          <cell r="D6934" t="str">
            <v>JILANI</v>
          </cell>
          <cell r="E6934" t="str">
            <v xml:space="preserve">ایم آصف پرنٹنگ لاہور </v>
          </cell>
        </row>
        <row r="6935">
          <cell r="A6935" t="str">
            <v>2942 J</v>
          </cell>
          <cell r="B6935">
            <v>12449</v>
          </cell>
          <cell r="C6935">
            <v>45833</v>
          </cell>
          <cell r="D6935" t="str">
            <v>JILANI</v>
          </cell>
          <cell r="E6935" t="str">
            <v>گولڈن کیمیکل فیصل آباد</v>
          </cell>
        </row>
        <row r="6936">
          <cell r="A6936" t="str">
            <v>2943 J</v>
          </cell>
          <cell r="B6936">
            <v>12449</v>
          </cell>
          <cell r="C6936">
            <v>45833</v>
          </cell>
          <cell r="D6936" t="str">
            <v>JILANI</v>
          </cell>
          <cell r="E6936" t="str">
            <v>گولڈن کیمیکل فیصل آباد</v>
          </cell>
        </row>
        <row r="6937">
          <cell r="A6937" t="str">
            <v>2944 J</v>
          </cell>
          <cell r="B6937">
            <v>12450</v>
          </cell>
          <cell r="C6937">
            <v>45833</v>
          </cell>
          <cell r="D6937" t="str">
            <v>JILANI</v>
          </cell>
          <cell r="E6937" t="str">
            <v>گولڈن کیمیکل فیصل آباد</v>
          </cell>
        </row>
        <row r="6938">
          <cell r="A6938" t="str">
            <v>2945 J</v>
          </cell>
          <cell r="B6938">
            <v>12450</v>
          </cell>
          <cell r="C6938">
            <v>45833</v>
          </cell>
          <cell r="D6938" t="str">
            <v>JILANI</v>
          </cell>
          <cell r="E6938" t="str">
            <v>گولڈن کیمیکل فیصل آباد</v>
          </cell>
        </row>
        <row r="6939">
          <cell r="A6939" t="str">
            <v>2946 J</v>
          </cell>
          <cell r="B6939">
            <v>12451</v>
          </cell>
          <cell r="C6939">
            <v>45833</v>
          </cell>
          <cell r="D6939" t="str">
            <v>JILANI</v>
          </cell>
          <cell r="E6939" t="str">
            <v>گولڈن کیمیکل فیصل آباد</v>
          </cell>
        </row>
        <row r="6940">
          <cell r="A6940" t="str">
            <v>2947 J</v>
          </cell>
          <cell r="B6940">
            <v>12451</v>
          </cell>
          <cell r="C6940">
            <v>45833</v>
          </cell>
          <cell r="D6940" t="str">
            <v>JILANI</v>
          </cell>
          <cell r="E6940" t="str">
            <v>گولڈن کیمیکل فیصل آباد</v>
          </cell>
        </row>
        <row r="6941">
          <cell r="A6941" t="str">
            <v>2948 J</v>
          </cell>
          <cell r="B6941">
            <v>12452</v>
          </cell>
          <cell r="C6941">
            <v>45833</v>
          </cell>
          <cell r="D6941" t="str">
            <v>JILANI</v>
          </cell>
          <cell r="E6941" t="str">
            <v>معظمی پلاسٹک ساہیوال</v>
          </cell>
        </row>
        <row r="6942">
          <cell r="A6942" t="str">
            <v>2949 J</v>
          </cell>
          <cell r="B6942">
            <v>12453</v>
          </cell>
          <cell r="C6942">
            <v>45833</v>
          </cell>
          <cell r="D6942" t="str">
            <v>JILANI</v>
          </cell>
          <cell r="E6942" t="str">
            <v>شیخ اصغر علی اینڈ سنز سرگودھا</v>
          </cell>
        </row>
        <row r="6943">
          <cell r="A6943" t="str">
            <v>2950 J</v>
          </cell>
          <cell r="B6943"/>
          <cell r="C6943">
            <v>45833</v>
          </cell>
          <cell r="D6943" t="str">
            <v>OTHER</v>
          </cell>
          <cell r="E6943" t="str">
            <v>پیکنگ سٹیکر سیک سٹور</v>
          </cell>
        </row>
        <row r="6944">
          <cell r="A6944" t="str">
            <v>2951 J</v>
          </cell>
          <cell r="B6944"/>
          <cell r="C6944">
            <v>45833</v>
          </cell>
          <cell r="D6944" t="str">
            <v>OTHER</v>
          </cell>
          <cell r="E6944" t="str">
            <v>جیلانی پولی سٹاک</v>
          </cell>
        </row>
        <row r="6945">
          <cell r="A6945" t="str">
            <v>2952 J</v>
          </cell>
          <cell r="B6945"/>
          <cell r="C6945">
            <v>45833</v>
          </cell>
          <cell r="D6945" t="str">
            <v>OTHER</v>
          </cell>
          <cell r="E6945" t="str">
            <v>جیلانی پولی سٹاک</v>
          </cell>
        </row>
        <row r="6946">
          <cell r="A6946" t="str">
            <v>2953 J</v>
          </cell>
          <cell r="B6946"/>
          <cell r="C6946">
            <v>45833</v>
          </cell>
          <cell r="D6946" t="str">
            <v>OTHER</v>
          </cell>
          <cell r="E6946" t="str">
            <v>جیلانی پلاسٹک</v>
          </cell>
        </row>
        <row r="6947">
          <cell r="A6947" t="str">
            <v>2954 J</v>
          </cell>
          <cell r="B6947"/>
          <cell r="C6947">
            <v>45833</v>
          </cell>
          <cell r="D6947" t="str">
            <v>OTHER</v>
          </cell>
          <cell r="E6947" t="str">
            <v>جیلانی پلاسٹک</v>
          </cell>
        </row>
        <row r="6948">
          <cell r="A6948" t="str">
            <v>2955 J</v>
          </cell>
          <cell r="B6948"/>
          <cell r="C6948">
            <v>45833</v>
          </cell>
          <cell r="D6948" t="str">
            <v>JILANI</v>
          </cell>
          <cell r="E6948" t="str">
            <v>نظر قمر پلاسٹک C/Oصابر پلاسٹک شاہدرہ</v>
          </cell>
        </row>
        <row r="6949">
          <cell r="A6949" t="str">
            <v>2956 J</v>
          </cell>
          <cell r="B6949"/>
          <cell r="C6949">
            <v>45833</v>
          </cell>
          <cell r="D6949" t="str">
            <v>JILANI</v>
          </cell>
          <cell r="E6949" t="str">
            <v>نظر قمر پلاسٹک C/Oصابر پلاسٹک شاہدرہ</v>
          </cell>
        </row>
        <row r="6950">
          <cell r="A6950" t="str">
            <v>1736 F</v>
          </cell>
          <cell r="B6950"/>
          <cell r="C6950">
            <v>45833</v>
          </cell>
          <cell r="D6950" t="str">
            <v>فینا</v>
          </cell>
          <cell r="E6950" t="str">
            <v>عثمان امین</v>
          </cell>
        </row>
        <row r="6951">
          <cell r="A6951" t="str">
            <v>1737 F</v>
          </cell>
          <cell r="B6951"/>
          <cell r="C6951">
            <v>45833</v>
          </cell>
          <cell r="D6951" t="str">
            <v>فینا</v>
          </cell>
          <cell r="E6951" t="str">
            <v>عثمان امین</v>
          </cell>
        </row>
        <row r="6952">
          <cell r="A6952" t="str">
            <v>1738 F</v>
          </cell>
          <cell r="B6952"/>
          <cell r="C6952">
            <v>45833</v>
          </cell>
          <cell r="D6952" t="str">
            <v>فینا</v>
          </cell>
          <cell r="E6952" t="str">
            <v>عثمان امین</v>
          </cell>
        </row>
        <row r="6953">
          <cell r="A6953" t="str">
            <v>1739 F</v>
          </cell>
          <cell r="B6953"/>
          <cell r="C6953">
            <v>45833</v>
          </cell>
          <cell r="D6953" t="str">
            <v>فینا</v>
          </cell>
          <cell r="E6953" t="str">
            <v>عثمان امین</v>
          </cell>
        </row>
        <row r="6954">
          <cell r="A6954" t="str">
            <v>1740 F</v>
          </cell>
          <cell r="B6954"/>
          <cell r="C6954">
            <v>45833</v>
          </cell>
          <cell r="D6954" t="str">
            <v>فینا</v>
          </cell>
          <cell r="E6954" t="str">
            <v>عثمان امین</v>
          </cell>
        </row>
        <row r="6955">
          <cell r="A6955" t="str">
            <v>1741 F</v>
          </cell>
          <cell r="B6955"/>
          <cell r="C6955">
            <v>45833</v>
          </cell>
          <cell r="D6955" t="str">
            <v>فینا</v>
          </cell>
          <cell r="E6955" t="str">
            <v>عثمان امین</v>
          </cell>
        </row>
        <row r="6956">
          <cell r="A6956" t="str">
            <v>1742 F</v>
          </cell>
          <cell r="B6956"/>
          <cell r="C6956">
            <v>45833</v>
          </cell>
          <cell r="D6956" t="str">
            <v>فینا</v>
          </cell>
          <cell r="E6956" t="str">
            <v>عثمان امین</v>
          </cell>
        </row>
        <row r="6957">
          <cell r="A6957" t="str">
            <v>1743 F</v>
          </cell>
          <cell r="B6957"/>
          <cell r="C6957">
            <v>45833</v>
          </cell>
          <cell r="D6957" t="str">
            <v>فینا</v>
          </cell>
          <cell r="E6957" t="str">
            <v>عثمان امین</v>
          </cell>
        </row>
        <row r="6958">
          <cell r="A6958" t="str">
            <v>1744 F</v>
          </cell>
          <cell r="B6958"/>
          <cell r="C6958">
            <v>45833</v>
          </cell>
          <cell r="D6958" t="str">
            <v>فینا</v>
          </cell>
          <cell r="E6958" t="str">
            <v>عثمان امین</v>
          </cell>
        </row>
        <row r="6959">
          <cell r="A6959" t="str">
            <v>1745 F</v>
          </cell>
          <cell r="B6959"/>
          <cell r="C6959">
            <v>45834</v>
          </cell>
          <cell r="D6959" t="str">
            <v>فینا</v>
          </cell>
          <cell r="E6959" t="str">
            <v>عثمان امین</v>
          </cell>
        </row>
        <row r="6960">
          <cell r="A6960" t="str">
            <v>1746 F</v>
          </cell>
          <cell r="B6960"/>
          <cell r="C6960">
            <v>45834</v>
          </cell>
          <cell r="D6960" t="str">
            <v>فینا</v>
          </cell>
          <cell r="E6960" t="str">
            <v>عثمان امین</v>
          </cell>
        </row>
        <row r="6961">
          <cell r="A6961" t="str">
            <v>1747 F</v>
          </cell>
          <cell r="B6961"/>
          <cell r="C6961">
            <v>45834</v>
          </cell>
          <cell r="D6961" t="str">
            <v>فینا</v>
          </cell>
          <cell r="E6961" t="str">
            <v>عثمان امین</v>
          </cell>
        </row>
        <row r="6962">
          <cell r="A6962" t="str">
            <v>1748 F</v>
          </cell>
          <cell r="B6962"/>
          <cell r="C6962">
            <v>45835</v>
          </cell>
          <cell r="D6962" t="str">
            <v>فینا</v>
          </cell>
          <cell r="E6962" t="str">
            <v>عثمان امین</v>
          </cell>
        </row>
        <row r="6963">
          <cell r="A6963" t="str">
            <v>1749 F</v>
          </cell>
          <cell r="B6963"/>
          <cell r="C6963">
            <v>45835</v>
          </cell>
          <cell r="D6963" t="str">
            <v>فینا</v>
          </cell>
          <cell r="E6963" t="str">
            <v>عثمان امین</v>
          </cell>
        </row>
        <row r="6964">
          <cell r="A6964" t="str">
            <v>1750 F</v>
          </cell>
          <cell r="B6964"/>
          <cell r="C6964">
            <v>45835</v>
          </cell>
          <cell r="D6964" t="str">
            <v>فینا</v>
          </cell>
          <cell r="E6964" t="str">
            <v>عثمان امین</v>
          </cell>
        </row>
        <row r="6965">
          <cell r="A6965" t="str">
            <v>1751 F</v>
          </cell>
          <cell r="B6965"/>
          <cell r="C6965">
            <v>45835</v>
          </cell>
          <cell r="D6965" t="str">
            <v>فینا</v>
          </cell>
          <cell r="E6965" t="str">
            <v>عثمان امین</v>
          </cell>
        </row>
        <row r="6966">
          <cell r="A6966" t="str">
            <v>1752 F</v>
          </cell>
          <cell r="B6966"/>
          <cell r="C6966">
            <v>45835</v>
          </cell>
          <cell r="D6966" t="str">
            <v>فینا</v>
          </cell>
          <cell r="E6966" t="str">
            <v>عثمان امین</v>
          </cell>
        </row>
        <row r="6967">
          <cell r="A6967" t="str">
            <v>1753 F</v>
          </cell>
          <cell r="B6967"/>
          <cell r="C6967">
            <v>45835</v>
          </cell>
          <cell r="D6967" t="str">
            <v>فینا</v>
          </cell>
          <cell r="E6967" t="str">
            <v>عثمان امین</v>
          </cell>
        </row>
        <row r="6968">
          <cell r="A6968" t="str">
            <v>1754 F</v>
          </cell>
          <cell r="B6968"/>
          <cell r="C6968">
            <v>45835</v>
          </cell>
          <cell r="D6968" t="str">
            <v>فینا</v>
          </cell>
          <cell r="E6968" t="str">
            <v>عثمان امین</v>
          </cell>
        </row>
        <row r="6969">
          <cell r="A6969" t="str">
            <v>7011/1</v>
          </cell>
          <cell r="B6969" t="str">
            <v>7011</v>
          </cell>
          <cell r="C6969">
            <v>45834</v>
          </cell>
          <cell r="D6969" t="str">
            <v>یونس صاحب</v>
          </cell>
          <cell r="E6969" t="str">
            <v>فیصل پلاسٹک وزیرٓاباد</v>
          </cell>
        </row>
        <row r="6970">
          <cell r="A6970" t="str">
            <v>7011/2</v>
          </cell>
          <cell r="B6970" t="str">
            <v>7011</v>
          </cell>
          <cell r="C6970">
            <v>45834</v>
          </cell>
          <cell r="D6970" t="str">
            <v>یونس صاحب</v>
          </cell>
          <cell r="E6970" t="str">
            <v>فیصل پلاسٹک وزیرٓاباد</v>
          </cell>
        </row>
        <row r="6971">
          <cell r="A6971" t="str">
            <v>7012/1</v>
          </cell>
          <cell r="B6971" t="str">
            <v>7012</v>
          </cell>
          <cell r="C6971">
            <v>45834</v>
          </cell>
          <cell r="D6971" t="str">
            <v>یونس صاحب</v>
          </cell>
          <cell r="E6971" t="str">
            <v>حنان پلاسٹک فیصل آباد</v>
          </cell>
        </row>
        <row r="6972">
          <cell r="A6972" t="str">
            <v>7012/2</v>
          </cell>
          <cell r="B6972" t="str">
            <v>7012</v>
          </cell>
          <cell r="C6972">
            <v>45834</v>
          </cell>
          <cell r="D6972" t="str">
            <v>یونس صاحب</v>
          </cell>
          <cell r="E6972" t="str">
            <v>حنان پلاسٹک فیصل آباد</v>
          </cell>
        </row>
        <row r="6973">
          <cell r="A6973" t="str">
            <v>7012/3</v>
          </cell>
          <cell r="B6973" t="str">
            <v>7012</v>
          </cell>
          <cell r="C6973">
            <v>45834</v>
          </cell>
          <cell r="D6973" t="str">
            <v>یونس صاحب</v>
          </cell>
          <cell r="E6973" t="str">
            <v>حنان پلاسٹک فیصل آباد</v>
          </cell>
        </row>
        <row r="6974">
          <cell r="A6974" t="str">
            <v>7012/4</v>
          </cell>
          <cell r="B6974" t="str">
            <v>7012</v>
          </cell>
          <cell r="C6974">
            <v>45834</v>
          </cell>
          <cell r="D6974" t="str">
            <v>یونس صاحب</v>
          </cell>
          <cell r="E6974" t="str">
            <v>حنان پلاسٹک فیصل آباد</v>
          </cell>
        </row>
        <row r="6975">
          <cell r="A6975" t="str">
            <v>7012/5</v>
          </cell>
          <cell r="B6975" t="str">
            <v>7012</v>
          </cell>
          <cell r="C6975">
            <v>45834</v>
          </cell>
          <cell r="D6975" t="str">
            <v>یونس صاحب</v>
          </cell>
          <cell r="E6975" t="str">
            <v>حنان پلاسٹک فیصل آباد</v>
          </cell>
        </row>
        <row r="6976">
          <cell r="A6976" t="str">
            <v>7012/6</v>
          </cell>
          <cell r="B6976" t="str">
            <v>7012</v>
          </cell>
          <cell r="C6976">
            <v>45834</v>
          </cell>
          <cell r="D6976" t="str">
            <v>یونس صاحب</v>
          </cell>
          <cell r="E6976" t="str">
            <v>حنان پلاسٹک فیصل آباد</v>
          </cell>
        </row>
        <row r="6977">
          <cell r="A6977" t="str">
            <v>7012/7</v>
          </cell>
          <cell r="B6977" t="str">
            <v>7012</v>
          </cell>
          <cell r="C6977">
            <v>45834</v>
          </cell>
          <cell r="D6977" t="str">
            <v>یونس صاحب</v>
          </cell>
          <cell r="E6977" t="str">
            <v>حنان پلاسٹک فیصل آباد</v>
          </cell>
        </row>
        <row r="6978">
          <cell r="A6978" t="str">
            <v>7012/8</v>
          </cell>
          <cell r="B6978" t="str">
            <v>7012</v>
          </cell>
          <cell r="C6978">
            <v>45834</v>
          </cell>
          <cell r="D6978" t="str">
            <v>یونس صاحب</v>
          </cell>
          <cell r="E6978" t="str">
            <v>حنان پلاسٹک فیصل آباد</v>
          </cell>
        </row>
        <row r="6979">
          <cell r="A6979" t="str">
            <v>7012/9</v>
          </cell>
          <cell r="B6979" t="str">
            <v>7012</v>
          </cell>
          <cell r="C6979">
            <v>45834</v>
          </cell>
          <cell r="D6979" t="str">
            <v>یونس صاحب</v>
          </cell>
          <cell r="E6979" t="str">
            <v>حنان پلاسٹک فیصل آباد</v>
          </cell>
        </row>
        <row r="6980">
          <cell r="A6980" t="str">
            <v>7012/10</v>
          </cell>
          <cell r="B6980" t="str">
            <v>7012</v>
          </cell>
          <cell r="C6980">
            <v>45834</v>
          </cell>
          <cell r="D6980" t="str">
            <v>یونس صاحب</v>
          </cell>
          <cell r="E6980" t="str">
            <v>حنان پلاسٹک فیصل آباد</v>
          </cell>
        </row>
        <row r="6981">
          <cell r="A6981" t="str">
            <v>7012/11</v>
          </cell>
          <cell r="B6981" t="str">
            <v>7012</v>
          </cell>
          <cell r="C6981">
            <v>45834</v>
          </cell>
          <cell r="D6981" t="str">
            <v>یونس صاحب</v>
          </cell>
          <cell r="E6981" t="str">
            <v>حنان پلاسٹک فیصل آباد</v>
          </cell>
        </row>
        <row r="6982">
          <cell r="A6982" t="str">
            <v>7012/12</v>
          </cell>
          <cell r="B6982" t="str">
            <v>7012</v>
          </cell>
          <cell r="C6982">
            <v>45834</v>
          </cell>
          <cell r="D6982" t="str">
            <v>یونس صاحب</v>
          </cell>
          <cell r="E6982" t="str">
            <v>حنان پلاسٹک فیصل آباد</v>
          </cell>
        </row>
        <row r="6983">
          <cell r="A6983" t="str">
            <v>7012/13</v>
          </cell>
          <cell r="B6983" t="str">
            <v>7012</v>
          </cell>
          <cell r="C6983">
            <v>45834</v>
          </cell>
          <cell r="D6983" t="str">
            <v>یونس صاحب</v>
          </cell>
          <cell r="E6983" t="str">
            <v>حنان پلاسٹک فیصل آباد</v>
          </cell>
        </row>
        <row r="6984">
          <cell r="A6984" t="str">
            <v>7012/14</v>
          </cell>
          <cell r="B6984" t="str">
            <v>7012</v>
          </cell>
          <cell r="C6984">
            <v>45834</v>
          </cell>
          <cell r="D6984" t="str">
            <v>یونس صاحب</v>
          </cell>
          <cell r="E6984" t="str">
            <v>حنان پلاسٹک فیصل آباد</v>
          </cell>
        </row>
        <row r="6985">
          <cell r="A6985" t="str">
            <v>7013/1</v>
          </cell>
          <cell r="B6985">
            <v>7013</v>
          </cell>
          <cell r="C6985">
            <v>45834</v>
          </cell>
          <cell r="D6985" t="str">
            <v>یونس صاحب</v>
          </cell>
          <cell r="E6985" t="str">
            <v>زوالقرنین Pکامونکی</v>
          </cell>
        </row>
        <row r="6986">
          <cell r="A6986" t="str">
            <v>7014/1</v>
          </cell>
          <cell r="B6986">
            <v>7014</v>
          </cell>
          <cell r="C6986">
            <v>45835</v>
          </cell>
          <cell r="D6986" t="str">
            <v>یونس صاحب</v>
          </cell>
          <cell r="E6986" t="str">
            <v>ایم زبیر پلاسٹک سرگودھا</v>
          </cell>
        </row>
        <row r="6987">
          <cell r="A6987" t="str">
            <v>7014/2</v>
          </cell>
          <cell r="B6987">
            <v>7014</v>
          </cell>
          <cell r="C6987">
            <v>45835</v>
          </cell>
          <cell r="D6987" t="str">
            <v>یونس صاحب</v>
          </cell>
          <cell r="E6987" t="str">
            <v>ایم زبیر پلاسٹک سرگودھا</v>
          </cell>
        </row>
        <row r="6988">
          <cell r="A6988" t="str">
            <v>7014/3</v>
          </cell>
          <cell r="B6988">
            <v>7014</v>
          </cell>
          <cell r="C6988">
            <v>45835</v>
          </cell>
          <cell r="D6988" t="str">
            <v>یونس صاحب</v>
          </cell>
          <cell r="E6988" t="str">
            <v>ایم زبیر پلاسٹک سرگودھا</v>
          </cell>
        </row>
        <row r="6989">
          <cell r="A6989" t="str">
            <v>7014/4</v>
          </cell>
          <cell r="B6989">
            <v>7014</v>
          </cell>
          <cell r="C6989">
            <v>45835</v>
          </cell>
          <cell r="D6989" t="str">
            <v>یونس صاحب</v>
          </cell>
          <cell r="E6989" t="str">
            <v>ایم زبیر پلاسٹک سرگودھا</v>
          </cell>
        </row>
        <row r="6990">
          <cell r="A6990" t="str">
            <v>7014/5</v>
          </cell>
          <cell r="B6990">
            <v>7014</v>
          </cell>
          <cell r="C6990">
            <v>45835</v>
          </cell>
          <cell r="D6990" t="str">
            <v>یونس صاحب</v>
          </cell>
          <cell r="E6990" t="str">
            <v>ایم زبیر پلاسٹک سرگودھا</v>
          </cell>
        </row>
        <row r="6991">
          <cell r="A6991" t="str">
            <v>7014/6</v>
          </cell>
          <cell r="B6991">
            <v>7014</v>
          </cell>
          <cell r="C6991">
            <v>45835</v>
          </cell>
          <cell r="D6991" t="str">
            <v>یونس صاحب</v>
          </cell>
          <cell r="E6991" t="str">
            <v>ایم زبیر پلاسٹک سرگودھا</v>
          </cell>
        </row>
        <row r="6992">
          <cell r="A6992" t="str">
            <v>7014/7</v>
          </cell>
          <cell r="B6992">
            <v>7014</v>
          </cell>
          <cell r="C6992">
            <v>45835</v>
          </cell>
          <cell r="D6992" t="str">
            <v>یونس صاحب</v>
          </cell>
          <cell r="E6992" t="str">
            <v>ایم زبیر پلاسٹک سرگودھا</v>
          </cell>
        </row>
        <row r="6993">
          <cell r="A6993" t="str">
            <v>7014/8</v>
          </cell>
          <cell r="B6993">
            <v>7014</v>
          </cell>
          <cell r="C6993">
            <v>45835</v>
          </cell>
          <cell r="D6993" t="str">
            <v>یونس صاحب</v>
          </cell>
          <cell r="E6993" t="str">
            <v>ایم زبیر پلاسٹک سرگودھا</v>
          </cell>
        </row>
        <row r="6994">
          <cell r="A6994" t="str">
            <v>7014/9</v>
          </cell>
          <cell r="B6994">
            <v>7014</v>
          </cell>
          <cell r="C6994">
            <v>45835</v>
          </cell>
          <cell r="D6994" t="str">
            <v>یونس صاحب</v>
          </cell>
          <cell r="E6994" t="str">
            <v>ایم زبیر پلاسٹک سرگودھا</v>
          </cell>
        </row>
        <row r="6995">
          <cell r="A6995" t="str">
            <v>7014/10</v>
          </cell>
          <cell r="B6995">
            <v>7014</v>
          </cell>
          <cell r="C6995">
            <v>45835</v>
          </cell>
          <cell r="D6995" t="str">
            <v>یونس صاحب</v>
          </cell>
          <cell r="E6995" t="str">
            <v>ایم زبیر پلاسٹک سرگودھا</v>
          </cell>
        </row>
        <row r="6996">
          <cell r="A6996" t="str">
            <v>2957 J</v>
          </cell>
          <cell r="B6996">
            <v>12454</v>
          </cell>
          <cell r="C6996">
            <v>45834</v>
          </cell>
          <cell r="D6996" t="str">
            <v>JILANI</v>
          </cell>
          <cell r="E6996" t="str">
            <v>عثمان عارف بٹ گوجرانولہ</v>
          </cell>
        </row>
        <row r="6997">
          <cell r="A6997" t="str">
            <v>2958 J</v>
          </cell>
          <cell r="B6997">
            <v>12454</v>
          </cell>
          <cell r="C6997">
            <v>45834</v>
          </cell>
          <cell r="D6997" t="str">
            <v>JILANI</v>
          </cell>
          <cell r="E6997" t="str">
            <v>عثمان عارف بٹ گوجرانولہ</v>
          </cell>
        </row>
        <row r="6998">
          <cell r="A6998" t="str">
            <v>2959 J</v>
          </cell>
          <cell r="B6998">
            <v>12454</v>
          </cell>
          <cell r="C6998">
            <v>45834</v>
          </cell>
          <cell r="D6998" t="str">
            <v>JILANI</v>
          </cell>
          <cell r="E6998" t="str">
            <v>عثمان عارف بٹ گوجرانولہ</v>
          </cell>
        </row>
        <row r="6999">
          <cell r="A6999" t="str">
            <v>2960 J</v>
          </cell>
          <cell r="B6999">
            <v>12454</v>
          </cell>
          <cell r="C6999">
            <v>45834</v>
          </cell>
          <cell r="D6999" t="str">
            <v>JILANI</v>
          </cell>
          <cell r="E6999" t="str">
            <v>عثمان عارف بٹ گوجرانولہ</v>
          </cell>
        </row>
        <row r="7000">
          <cell r="A7000" t="str">
            <v>2961 J</v>
          </cell>
          <cell r="B7000">
            <v>12455</v>
          </cell>
          <cell r="C7000">
            <v>45834</v>
          </cell>
          <cell r="D7000" t="str">
            <v>JILANI</v>
          </cell>
          <cell r="E7000" t="str">
            <v>سپر ڈائمنڈ فوڈکامونکی</v>
          </cell>
        </row>
        <row r="7001">
          <cell r="A7001" t="str">
            <v>2962 J</v>
          </cell>
          <cell r="B7001">
            <v>12456</v>
          </cell>
          <cell r="C7001">
            <v>45834</v>
          </cell>
          <cell r="D7001" t="str">
            <v>JILANI</v>
          </cell>
          <cell r="E7001" t="str">
            <v>زمرد کلاتھ ہاؤس سرائے عالمگیر</v>
          </cell>
        </row>
        <row r="7002">
          <cell r="A7002" t="str">
            <v>2963 J</v>
          </cell>
          <cell r="B7002">
            <v>12457</v>
          </cell>
          <cell r="C7002">
            <v>45834</v>
          </cell>
          <cell r="D7002" t="str">
            <v>JILANI</v>
          </cell>
          <cell r="E7002" t="str">
            <v>امارات پلاسٹک ٹھوکر نیاز بیگ</v>
          </cell>
        </row>
        <row r="7003">
          <cell r="A7003" t="str">
            <v>2964 J</v>
          </cell>
          <cell r="B7003">
            <v>12458</v>
          </cell>
          <cell r="C7003">
            <v>45834</v>
          </cell>
          <cell r="D7003" t="str">
            <v>JILANI</v>
          </cell>
          <cell r="E7003" t="str">
            <v>امارات پلاسٹک ٹھوکر نیاز بیگ</v>
          </cell>
        </row>
        <row r="7004">
          <cell r="A7004" t="str">
            <v>2965 J</v>
          </cell>
          <cell r="B7004">
            <v>12459</v>
          </cell>
          <cell r="C7004">
            <v>45834</v>
          </cell>
          <cell r="D7004" t="str">
            <v>JILANI</v>
          </cell>
          <cell r="E7004" t="str">
            <v>دی کڈز مال لاہور</v>
          </cell>
        </row>
        <row r="7005">
          <cell r="A7005" t="str">
            <v>2966 J</v>
          </cell>
          <cell r="B7005">
            <v>12459</v>
          </cell>
          <cell r="C7005">
            <v>45834</v>
          </cell>
          <cell r="D7005" t="str">
            <v>JILANI</v>
          </cell>
          <cell r="E7005" t="str">
            <v>دی کڈز مال لاہور</v>
          </cell>
        </row>
        <row r="7006">
          <cell r="A7006" t="str">
            <v>2967 J</v>
          </cell>
          <cell r="B7006">
            <v>12459</v>
          </cell>
          <cell r="C7006">
            <v>45834</v>
          </cell>
          <cell r="D7006" t="str">
            <v>JILANI</v>
          </cell>
          <cell r="E7006" t="str">
            <v>دی کڈز مال لاہور</v>
          </cell>
        </row>
        <row r="7007">
          <cell r="A7007" t="str">
            <v>2968 J</v>
          </cell>
          <cell r="B7007">
            <v>12460</v>
          </cell>
          <cell r="C7007">
            <v>45834</v>
          </cell>
          <cell r="D7007" t="str">
            <v>JILANI</v>
          </cell>
          <cell r="E7007" t="str">
            <v>کراچی لیس سنٹر لاہور</v>
          </cell>
        </row>
        <row r="7008">
          <cell r="A7008" t="str">
            <v>2969 J</v>
          </cell>
          <cell r="B7008">
            <v>12460</v>
          </cell>
          <cell r="C7008">
            <v>45834</v>
          </cell>
          <cell r="D7008" t="str">
            <v>JILANI</v>
          </cell>
          <cell r="E7008" t="str">
            <v>کراچی لیس سنٹر لاہور</v>
          </cell>
        </row>
        <row r="7009">
          <cell r="A7009" t="str">
            <v>2970 J</v>
          </cell>
          <cell r="B7009">
            <v>12460</v>
          </cell>
          <cell r="C7009">
            <v>45834</v>
          </cell>
          <cell r="D7009" t="str">
            <v>JILANI</v>
          </cell>
          <cell r="E7009" t="str">
            <v>کراچی لیس سنٹر لاہور</v>
          </cell>
        </row>
        <row r="7010">
          <cell r="A7010" t="str">
            <v>2971 J</v>
          </cell>
          <cell r="B7010">
            <v>12461</v>
          </cell>
          <cell r="C7010">
            <v>45834</v>
          </cell>
          <cell r="D7010" t="str">
            <v>JILANI</v>
          </cell>
          <cell r="E7010" t="str">
            <v>کراچی لیس سنٹر لاہور</v>
          </cell>
        </row>
        <row r="7011">
          <cell r="A7011" t="str">
            <v>2972 J</v>
          </cell>
          <cell r="B7011">
            <v>12461</v>
          </cell>
          <cell r="C7011">
            <v>45834</v>
          </cell>
          <cell r="D7011" t="str">
            <v>JILANI</v>
          </cell>
          <cell r="E7011" t="str">
            <v>کراچی لیس سنٹر لاہور</v>
          </cell>
        </row>
        <row r="7012">
          <cell r="A7012" t="str">
            <v>2973 J</v>
          </cell>
          <cell r="B7012">
            <v>12462</v>
          </cell>
          <cell r="C7012">
            <v>45834</v>
          </cell>
          <cell r="D7012" t="str">
            <v>JILANI</v>
          </cell>
          <cell r="E7012" t="str">
            <v>رمادا ملتان</v>
          </cell>
        </row>
        <row r="7013">
          <cell r="A7013" t="str">
            <v>2974 J</v>
          </cell>
          <cell r="B7013">
            <v>12463</v>
          </cell>
          <cell r="C7013">
            <v>45834</v>
          </cell>
          <cell r="D7013" t="str">
            <v>JILANI</v>
          </cell>
          <cell r="E7013" t="str">
            <v>البابر گارمنٹس لاہور</v>
          </cell>
        </row>
        <row r="7014">
          <cell r="A7014" t="str">
            <v>2975 J</v>
          </cell>
          <cell r="B7014">
            <v>12463</v>
          </cell>
          <cell r="C7014">
            <v>45834</v>
          </cell>
          <cell r="D7014" t="str">
            <v>JILANI</v>
          </cell>
          <cell r="E7014" t="str">
            <v>البابر گارمنٹس لاہور</v>
          </cell>
        </row>
        <row r="7015">
          <cell r="A7015" t="str">
            <v>2976 J</v>
          </cell>
          <cell r="B7015">
            <v>12463</v>
          </cell>
          <cell r="C7015">
            <v>45834</v>
          </cell>
          <cell r="D7015" t="str">
            <v>JILANI</v>
          </cell>
          <cell r="E7015" t="str">
            <v>البابر گارمنٹس لاہور</v>
          </cell>
        </row>
        <row r="7016">
          <cell r="A7016" t="str">
            <v>2977 J</v>
          </cell>
          <cell r="B7016">
            <v>12464</v>
          </cell>
          <cell r="C7016">
            <v>45834</v>
          </cell>
          <cell r="D7016" t="str">
            <v>JILANI</v>
          </cell>
          <cell r="E7016" t="str">
            <v>شاہین کلاتھ لاہور</v>
          </cell>
        </row>
        <row r="7017">
          <cell r="A7017" t="str">
            <v>2978 J</v>
          </cell>
          <cell r="B7017">
            <v>12465</v>
          </cell>
          <cell r="C7017">
            <v>45834</v>
          </cell>
          <cell r="D7017" t="str">
            <v>JILANI</v>
          </cell>
          <cell r="E7017" t="str">
            <v>محبوب پرنٹرز گوجرانوالہ</v>
          </cell>
        </row>
        <row r="7018">
          <cell r="A7018" t="str">
            <v>2979 J</v>
          </cell>
          <cell r="B7018">
            <v>12469</v>
          </cell>
          <cell r="C7018">
            <v>45834</v>
          </cell>
          <cell r="D7018" t="str">
            <v>JILANI</v>
          </cell>
          <cell r="E7018" t="str">
            <v>پروکون انجینئرنگ لمیٹڈ</v>
          </cell>
        </row>
        <row r="7019">
          <cell r="A7019" t="str">
            <v>2980 J</v>
          </cell>
          <cell r="B7019">
            <v>12469</v>
          </cell>
          <cell r="C7019">
            <v>45834</v>
          </cell>
          <cell r="D7019" t="str">
            <v>JILANI</v>
          </cell>
          <cell r="E7019" t="str">
            <v>پروکون انجینئرنگ لمیٹڈ</v>
          </cell>
        </row>
        <row r="7020">
          <cell r="A7020" t="str">
            <v>2981 J</v>
          </cell>
          <cell r="B7020">
            <v>12466</v>
          </cell>
          <cell r="C7020">
            <v>45835</v>
          </cell>
          <cell r="D7020" t="str">
            <v>JILANI</v>
          </cell>
          <cell r="E7020" t="str">
            <v>نظر قمر پلاسٹک C/Oصابر پلاسٹک شاہدرہ</v>
          </cell>
        </row>
        <row r="7021">
          <cell r="A7021" t="str">
            <v>2982 J</v>
          </cell>
          <cell r="B7021">
            <v>12466</v>
          </cell>
          <cell r="C7021">
            <v>45835</v>
          </cell>
          <cell r="D7021" t="str">
            <v>JILANI</v>
          </cell>
          <cell r="E7021" t="str">
            <v>نظر قمر پلاسٹک C/Oصابر پلاسٹک شاہدرہ</v>
          </cell>
        </row>
        <row r="7022">
          <cell r="A7022" t="str">
            <v>2983 J</v>
          </cell>
          <cell r="B7022">
            <v>12467</v>
          </cell>
          <cell r="C7022">
            <v>45835</v>
          </cell>
          <cell r="D7022" t="str">
            <v>JILANI</v>
          </cell>
          <cell r="E7022" t="str">
            <v>کینٹر پرا‏ئیویٹ لیمیٹڈ</v>
          </cell>
        </row>
        <row r="7023">
          <cell r="A7023" t="str">
            <v>2984 J</v>
          </cell>
          <cell r="B7023">
            <v>12468</v>
          </cell>
          <cell r="C7023">
            <v>45835</v>
          </cell>
          <cell r="D7023" t="str">
            <v>JILANI</v>
          </cell>
          <cell r="E7023" t="str">
            <v>بن یوسف چوبرجی</v>
          </cell>
        </row>
        <row r="7024">
          <cell r="A7024" t="str">
            <v>2985 J</v>
          </cell>
          <cell r="B7024">
            <v>12468</v>
          </cell>
          <cell r="C7024">
            <v>45835</v>
          </cell>
          <cell r="D7024" t="str">
            <v>JILANI</v>
          </cell>
          <cell r="E7024" t="str">
            <v>بن یوسف چوبرجی</v>
          </cell>
        </row>
        <row r="7025">
          <cell r="A7025" t="str">
            <v>2986 J</v>
          </cell>
          <cell r="B7025">
            <v>12470</v>
          </cell>
          <cell r="C7025">
            <v>45835</v>
          </cell>
          <cell r="D7025" t="str">
            <v>JILANI</v>
          </cell>
          <cell r="E7025" t="str">
            <v>جہانگیر حسین گدام لیجر ایچ ڈی</v>
          </cell>
        </row>
        <row r="7026">
          <cell r="A7026" t="str">
            <v>2987 J</v>
          </cell>
          <cell r="B7026">
            <v>12470</v>
          </cell>
          <cell r="C7026">
            <v>45835</v>
          </cell>
          <cell r="D7026" t="str">
            <v>JILANI</v>
          </cell>
          <cell r="E7026" t="str">
            <v>جہانگیر حسین گدام لیجر ایچ ڈی</v>
          </cell>
        </row>
        <row r="7027">
          <cell r="A7027" t="str">
            <v>2988 J</v>
          </cell>
          <cell r="B7027">
            <v>12470</v>
          </cell>
          <cell r="C7027">
            <v>45835</v>
          </cell>
          <cell r="D7027" t="str">
            <v>JILANI</v>
          </cell>
          <cell r="E7027" t="str">
            <v>جہانگیر حسین گدام لیجر ایچ ڈی</v>
          </cell>
        </row>
        <row r="7028">
          <cell r="A7028" t="str">
            <v>2989 J</v>
          </cell>
          <cell r="B7028">
            <v>12470</v>
          </cell>
          <cell r="C7028">
            <v>45835</v>
          </cell>
          <cell r="D7028" t="str">
            <v>JILANI</v>
          </cell>
          <cell r="E7028" t="str">
            <v>جہانگیر حسین گدام لیجر ایچ ڈی</v>
          </cell>
        </row>
        <row r="7029">
          <cell r="A7029" t="str">
            <v>2990 J</v>
          </cell>
          <cell r="B7029">
            <v>12470</v>
          </cell>
          <cell r="C7029">
            <v>45835</v>
          </cell>
          <cell r="D7029" t="str">
            <v>JILANI</v>
          </cell>
          <cell r="E7029" t="str">
            <v>جہانگیر حسین گوجرانوالہ</v>
          </cell>
        </row>
        <row r="7030">
          <cell r="A7030" t="str">
            <v>2991 J</v>
          </cell>
          <cell r="B7030">
            <v>12472</v>
          </cell>
          <cell r="C7030">
            <v>45835</v>
          </cell>
          <cell r="D7030" t="str">
            <v>JILANI</v>
          </cell>
          <cell r="E7030" t="str">
            <v>الحبیب پلاسٹک اوکاڑہ</v>
          </cell>
        </row>
        <row r="7031">
          <cell r="A7031" t="str">
            <v>2992 J</v>
          </cell>
          <cell r="B7031">
            <v>12473</v>
          </cell>
          <cell r="C7031">
            <v>45836</v>
          </cell>
          <cell r="D7031" t="str">
            <v>JILANI</v>
          </cell>
          <cell r="E7031" t="str">
            <v>بولان پیسٹری کوئٹہ</v>
          </cell>
        </row>
        <row r="7032">
          <cell r="A7032" t="str">
            <v>2993 J</v>
          </cell>
          <cell r="B7032">
            <v>12473</v>
          </cell>
          <cell r="C7032">
            <v>45836</v>
          </cell>
          <cell r="D7032" t="str">
            <v>JILANI</v>
          </cell>
          <cell r="E7032" t="str">
            <v>بولان پیسٹری کوئٹہ</v>
          </cell>
        </row>
        <row r="7033">
          <cell r="A7033" t="str">
            <v>2994 J</v>
          </cell>
          <cell r="B7033">
            <v>12474</v>
          </cell>
          <cell r="C7033">
            <v>45836</v>
          </cell>
          <cell r="D7033" t="str">
            <v>JILANI</v>
          </cell>
          <cell r="E7033" t="str">
            <v>بولان پیسٹری کوئٹہ</v>
          </cell>
        </row>
        <row r="7034">
          <cell r="A7034" t="str">
            <v>2995 J</v>
          </cell>
          <cell r="B7034">
            <v>12475</v>
          </cell>
          <cell r="C7034">
            <v>45836</v>
          </cell>
          <cell r="D7034" t="str">
            <v>JILANI</v>
          </cell>
          <cell r="E7034" t="str">
            <v>صابر سویٹس اینڈ بیکرز شاہدرہ ٹاؤن</v>
          </cell>
        </row>
        <row r="7035">
          <cell r="A7035" t="str">
            <v>2996 J</v>
          </cell>
          <cell r="B7035">
            <v>12476</v>
          </cell>
          <cell r="C7035">
            <v>45836</v>
          </cell>
          <cell r="D7035" t="str">
            <v>JILANI</v>
          </cell>
          <cell r="E7035" t="str">
            <v xml:space="preserve">پاک الیکٹرون لیمیٹڈ  </v>
          </cell>
        </row>
        <row r="7036">
          <cell r="A7036" t="str">
            <v>2997 J</v>
          </cell>
          <cell r="B7036">
            <v>12476</v>
          </cell>
          <cell r="C7036">
            <v>45836</v>
          </cell>
          <cell r="D7036" t="str">
            <v>JILANI</v>
          </cell>
          <cell r="E7036" t="str">
            <v xml:space="preserve">پاک الیکٹرون لیمیٹڈ  </v>
          </cell>
        </row>
        <row r="7037">
          <cell r="A7037">
            <v>2760</v>
          </cell>
          <cell r="B7037">
            <v>8197</v>
          </cell>
          <cell r="C7037">
            <v>45840</v>
          </cell>
          <cell r="D7037" t="str">
            <v>JILANI</v>
          </cell>
          <cell r="E7037" t="str">
            <v>ORINGNAL PRODUCT GUJRAT</v>
          </cell>
        </row>
        <row r="7038">
          <cell r="A7038" t="str">
            <v>7016/1</v>
          </cell>
          <cell r="B7038">
            <v>7016</v>
          </cell>
          <cell r="C7038">
            <v>45835</v>
          </cell>
          <cell r="D7038" t="str">
            <v>یونس صاحب</v>
          </cell>
          <cell r="E7038" t="str">
            <v>شیخ الوار لیہ</v>
          </cell>
        </row>
        <row r="7039">
          <cell r="A7039" t="str">
            <v>7017/1</v>
          </cell>
          <cell r="B7039">
            <v>7017</v>
          </cell>
          <cell r="C7039">
            <v>45836</v>
          </cell>
          <cell r="D7039" t="str">
            <v>یونس صاحب</v>
          </cell>
          <cell r="E7039" t="str">
            <v>ایم زبیر پلاسٹک سرگودھا</v>
          </cell>
        </row>
        <row r="7040">
          <cell r="A7040" t="str">
            <v>7017/2</v>
          </cell>
          <cell r="B7040">
            <v>7017</v>
          </cell>
          <cell r="C7040">
            <v>45836</v>
          </cell>
          <cell r="D7040" t="str">
            <v>یونس صاحب</v>
          </cell>
          <cell r="E7040" t="str">
            <v>ایم زبیر پلاسٹک سرگودھا</v>
          </cell>
        </row>
        <row r="7041">
          <cell r="A7041" t="str">
            <v>7017/3</v>
          </cell>
          <cell r="B7041">
            <v>7017</v>
          </cell>
          <cell r="C7041">
            <v>45836</v>
          </cell>
          <cell r="D7041" t="str">
            <v>یونس صاحب</v>
          </cell>
          <cell r="E7041" t="str">
            <v>ایم زبیر پلاسٹک سرگودھا</v>
          </cell>
        </row>
        <row r="7042">
          <cell r="A7042" t="str">
            <v>7018/1</v>
          </cell>
          <cell r="B7042">
            <v>7018</v>
          </cell>
          <cell r="C7042">
            <v>45838</v>
          </cell>
          <cell r="D7042" t="str">
            <v>یونس صاحب</v>
          </cell>
          <cell r="E7042" t="str">
            <v>طلحہ پلاسٹک پنڈی</v>
          </cell>
        </row>
        <row r="7043">
          <cell r="A7043" t="str">
            <v>7020/1</v>
          </cell>
          <cell r="B7043">
            <v>7020</v>
          </cell>
          <cell r="C7043">
            <v>45838</v>
          </cell>
          <cell r="D7043" t="str">
            <v>یونس صاحب</v>
          </cell>
          <cell r="E7043" t="str">
            <v>آصف پلاسٹک سرگودھا</v>
          </cell>
        </row>
        <row r="7044">
          <cell r="A7044" t="str">
            <v>7020/2</v>
          </cell>
          <cell r="B7044">
            <v>7020</v>
          </cell>
          <cell r="C7044">
            <v>45838</v>
          </cell>
          <cell r="D7044" t="str">
            <v>یونس صاحب</v>
          </cell>
          <cell r="E7044" t="str">
            <v>آصف پلاسٹک سرگودھا</v>
          </cell>
        </row>
        <row r="7045">
          <cell r="A7045" t="str">
            <v>7020/3</v>
          </cell>
          <cell r="B7045">
            <v>7020</v>
          </cell>
          <cell r="C7045">
            <v>45838</v>
          </cell>
          <cell r="D7045" t="str">
            <v>یونس صاحب</v>
          </cell>
          <cell r="E7045" t="str">
            <v>آصف پلاسٹک سرگودھا</v>
          </cell>
        </row>
        <row r="7046">
          <cell r="A7046" t="str">
            <v>7020/4</v>
          </cell>
          <cell r="B7046">
            <v>7020</v>
          </cell>
          <cell r="C7046">
            <v>45838</v>
          </cell>
          <cell r="D7046" t="str">
            <v>یونس صاحب</v>
          </cell>
          <cell r="E7046" t="str">
            <v>آصف پلاسٹک سرگودھا</v>
          </cell>
        </row>
        <row r="7047">
          <cell r="A7047" t="str">
            <v>7020/5</v>
          </cell>
          <cell r="B7047">
            <v>7020</v>
          </cell>
          <cell r="C7047">
            <v>45838</v>
          </cell>
          <cell r="D7047" t="str">
            <v>یونس صاحب</v>
          </cell>
          <cell r="E7047" t="str">
            <v>آصف پلاسٹک سرگودھا</v>
          </cell>
        </row>
        <row r="7048">
          <cell r="A7048" t="str">
            <v>7020/6</v>
          </cell>
          <cell r="B7048">
            <v>7020</v>
          </cell>
          <cell r="C7048">
            <v>45838</v>
          </cell>
          <cell r="D7048" t="str">
            <v>یونس صاحب</v>
          </cell>
          <cell r="E7048" t="str">
            <v>آصف پلاسٹک سرگودھا</v>
          </cell>
        </row>
        <row r="7049">
          <cell r="A7049" t="str">
            <v>7020/7</v>
          </cell>
          <cell r="B7049">
            <v>7020</v>
          </cell>
          <cell r="C7049">
            <v>45838</v>
          </cell>
          <cell r="D7049" t="str">
            <v>یونس صاحب</v>
          </cell>
          <cell r="E7049" t="str">
            <v>آصف پلاسٹک سرگودھا</v>
          </cell>
        </row>
        <row r="7050">
          <cell r="A7050" t="str">
            <v>7020/8</v>
          </cell>
          <cell r="B7050">
            <v>7020</v>
          </cell>
          <cell r="C7050">
            <v>45838</v>
          </cell>
          <cell r="D7050" t="str">
            <v>یونس صاحب</v>
          </cell>
          <cell r="E7050" t="str">
            <v>آصف پلاسٹک سرگودھا</v>
          </cell>
        </row>
        <row r="7051">
          <cell r="A7051" t="str">
            <v>7020/9</v>
          </cell>
          <cell r="B7051">
            <v>7020</v>
          </cell>
          <cell r="C7051">
            <v>45838</v>
          </cell>
          <cell r="D7051" t="str">
            <v>یونس صاحب</v>
          </cell>
          <cell r="E7051" t="str">
            <v>آصف پلاسٹک سرگودھا</v>
          </cell>
        </row>
        <row r="7052">
          <cell r="A7052" t="str">
            <v>7020/10</v>
          </cell>
          <cell r="B7052">
            <v>7020</v>
          </cell>
          <cell r="C7052">
            <v>45838</v>
          </cell>
          <cell r="D7052" t="str">
            <v>یونس صاحب</v>
          </cell>
          <cell r="E7052" t="str">
            <v>آصف پلاسٹک سرگودھا</v>
          </cell>
        </row>
        <row r="7053">
          <cell r="A7053" t="str">
            <v>7022/1</v>
          </cell>
          <cell r="B7053">
            <v>7022</v>
          </cell>
          <cell r="C7053">
            <v>45838</v>
          </cell>
          <cell r="D7053" t="str">
            <v>یونس صاحب</v>
          </cell>
          <cell r="E7053" t="str">
            <v>العمر پلاسٹک گوجرانوالہ</v>
          </cell>
        </row>
        <row r="7054">
          <cell r="A7054" t="str">
            <v>7022/2</v>
          </cell>
          <cell r="B7054">
            <v>7022</v>
          </cell>
          <cell r="C7054">
            <v>45838</v>
          </cell>
          <cell r="D7054" t="str">
            <v>یونس صاحب</v>
          </cell>
          <cell r="E7054" t="str">
            <v>العمر پلاسٹک گوجرانوالہ</v>
          </cell>
        </row>
        <row r="7055">
          <cell r="A7055" t="str">
            <v>2998 J</v>
          </cell>
          <cell r="B7055"/>
          <cell r="C7055">
            <v>45836</v>
          </cell>
          <cell r="D7055" t="str">
            <v>OTHER</v>
          </cell>
          <cell r="E7055" t="str">
            <v>جیلانی پولی سٹاک</v>
          </cell>
        </row>
        <row r="7056">
          <cell r="A7056" t="str">
            <v>2999 J</v>
          </cell>
          <cell r="B7056">
            <v>12477</v>
          </cell>
          <cell r="C7056">
            <v>45838</v>
          </cell>
          <cell r="D7056" t="str">
            <v>JILANI</v>
          </cell>
          <cell r="E7056" t="str">
            <v>شیخ  ممتاز سو یٹس لا ہور</v>
          </cell>
        </row>
        <row r="7057">
          <cell r="A7057" t="str">
            <v>3000 J</v>
          </cell>
          <cell r="B7057">
            <v>12477</v>
          </cell>
          <cell r="C7057">
            <v>45838</v>
          </cell>
          <cell r="D7057" t="str">
            <v>JILANI</v>
          </cell>
          <cell r="E7057" t="str">
            <v>شیخ  ممتاز سو یٹس لا ہور</v>
          </cell>
        </row>
        <row r="7058">
          <cell r="A7058" t="str">
            <v>3001 J</v>
          </cell>
          <cell r="B7058">
            <v>12477</v>
          </cell>
          <cell r="C7058">
            <v>45838</v>
          </cell>
          <cell r="D7058" t="str">
            <v>JILANI</v>
          </cell>
          <cell r="E7058" t="str">
            <v>شیخ  ممتاز سو یٹس لا ہور</v>
          </cell>
        </row>
        <row r="7059">
          <cell r="A7059" t="str">
            <v>3002 J</v>
          </cell>
          <cell r="B7059">
            <v>12478</v>
          </cell>
          <cell r="C7059">
            <v>45838</v>
          </cell>
          <cell r="D7059" t="str">
            <v>JILANI</v>
          </cell>
          <cell r="E7059" t="str">
            <v>بندوخاں لاہور</v>
          </cell>
        </row>
        <row r="7060">
          <cell r="A7060" t="str">
            <v>3003 J</v>
          </cell>
          <cell r="B7060">
            <v>12478</v>
          </cell>
          <cell r="C7060">
            <v>45838</v>
          </cell>
          <cell r="D7060" t="str">
            <v>JILANI</v>
          </cell>
          <cell r="E7060" t="str">
            <v>بندوخاں لاہور</v>
          </cell>
        </row>
        <row r="7061">
          <cell r="A7061" t="str">
            <v>3004 J</v>
          </cell>
          <cell r="B7061">
            <v>12478</v>
          </cell>
          <cell r="C7061">
            <v>45838</v>
          </cell>
          <cell r="D7061" t="str">
            <v>JILANI</v>
          </cell>
          <cell r="E7061" t="str">
            <v>بندوخاں لاہور</v>
          </cell>
        </row>
        <row r="7062">
          <cell r="A7062" t="str">
            <v>3005 J</v>
          </cell>
          <cell r="B7062">
            <v>12478</v>
          </cell>
          <cell r="C7062">
            <v>45838</v>
          </cell>
          <cell r="D7062" t="str">
            <v>JILANI</v>
          </cell>
          <cell r="E7062" t="str">
            <v>بندوخاں لاہور</v>
          </cell>
        </row>
        <row r="7063">
          <cell r="A7063" t="str">
            <v>3006 J</v>
          </cell>
          <cell r="B7063">
            <v>12478</v>
          </cell>
          <cell r="C7063">
            <v>45838</v>
          </cell>
          <cell r="D7063" t="str">
            <v>JILANI</v>
          </cell>
          <cell r="E7063" t="str">
            <v>بندوخاں لاہور</v>
          </cell>
        </row>
        <row r="7064">
          <cell r="A7064" t="str">
            <v>3007 J</v>
          </cell>
          <cell r="B7064">
            <v>12479</v>
          </cell>
          <cell r="C7064">
            <v>45838</v>
          </cell>
          <cell r="D7064" t="str">
            <v>JILANI</v>
          </cell>
          <cell r="E7064" t="str">
            <v>مدنی پرنٹنگ پریس نارنگ منڈی</v>
          </cell>
        </row>
        <row r="7065">
          <cell r="A7065" t="str">
            <v>3008 J</v>
          </cell>
          <cell r="B7065">
            <v>12480</v>
          </cell>
          <cell r="C7065">
            <v>45838</v>
          </cell>
          <cell r="D7065" t="str">
            <v>JILANI</v>
          </cell>
          <cell r="E7065" t="str">
            <v>مدنئ پرنٹنگ پریس نارنگ منڈی</v>
          </cell>
        </row>
        <row r="7066">
          <cell r="A7066" t="str">
            <v>3009 J</v>
          </cell>
          <cell r="B7066">
            <v>12481</v>
          </cell>
          <cell r="C7066">
            <v>45838</v>
          </cell>
          <cell r="D7066" t="str">
            <v>JILANI</v>
          </cell>
          <cell r="E7066" t="str">
            <v>مدنئ پرنٹنگ پریس نارنگ منڈی</v>
          </cell>
        </row>
        <row r="7067">
          <cell r="A7067" t="str">
            <v>3010 J</v>
          </cell>
          <cell r="B7067">
            <v>12481</v>
          </cell>
          <cell r="C7067">
            <v>45838</v>
          </cell>
          <cell r="D7067" t="str">
            <v>JILANI</v>
          </cell>
          <cell r="E7067" t="str">
            <v>مدنئ پرنٹنگ پریس نارنگ منڈی</v>
          </cell>
        </row>
        <row r="7068">
          <cell r="A7068" t="str">
            <v>3011 J</v>
          </cell>
          <cell r="B7068">
            <v>12481</v>
          </cell>
          <cell r="C7068">
            <v>45838</v>
          </cell>
          <cell r="D7068" t="str">
            <v>JILANI</v>
          </cell>
          <cell r="E7068" t="str">
            <v>مدنئ پرنٹنگ پریس نارنگ منڈی</v>
          </cell>
        </row>
        <row r="7069">
          <cell r="A7069" t="str">
            <v>3012 J</v>
          </cell>
          <cell r="B7069">
            <v>12482</v>
          </cell>
          <cell r="C7069">
            <v>45838</v>
          </cell>
          <cell r="D7069" t="str">
            <v>OTHER</v>
          </cell>
          <cell r="E7069" t="str">
            <v>جیلانی پولی سٹاک</v>
          </cell>
        </row>
        <row r="7070">
          <cell r="A7070" t="str">
            <v>3013 J</v>
          </cell>
          <cell r="B7070"/>
          <cell r="C7070">
            <v>45838</v>
          </cell>
          <cell r="D7070" t="str">
            <v>OTHER</v>
          </cell>
          <cell r="E7070" t="str">
            <v>جیلانی پولی سٹاک</v>
          </cell>
        </row>
        <row r="7071">
          <cell r="A7071" t="str">
            <v>3014 J</v>
          </cell>
          <cell r="B7071">
            <v>12483</v>
          </cell>
          <cell r="C7071">
            <v>45838</v>
          </cell>
          <cell r="D7071" t="str">
            <v>JILANI</v>
          </cell>
          <cell r="E7071" t="str">
            <v>جاوید انٹرپرائزز گوجرانولہ</v>
          </cell>
        </row>
        <row r="7072">
          <cell r="A7072" t="str">
            <v>3015 J</v>
          </cell>
          <cell r="B7072">
            <v>12484</v>
          </cell>
          <cell r="C7072">
            <v>45838</v>
          </cell>
          <cell r="D7072" t="str">
            <v>JILANI</v>
          </cell>
          <cell r="E7072" t="str">
            <v>پائیزر فٹ وئیر پشاور</v>
          </cell>
        </row>
        <row r="7073">
          <cell r="A7073" t="str">
            <v>3016 J</v>
          </cell>
          <cell r="B7073">
            <v>12485</v>
          </cell>
          <cell r="C7073">
            <v>45838</v>
          </cell>
          <cell r="D7073" t="str">
            <v>JILANI</v>
          </cell>
          <cell r="E7073" t="str">
            <v>بابا صفدر سویٹس اینڈ بیکرز  حویلی</v>
          </cell>
        </row>
        <row r="7074">
          <cell r="A7074" t="str">
            <v>3017 J</v>
          </cell>
          <cell r="B7074">
            <v>12485</v>
          </cell>
          <cell r="C7074">
            <v>45838</v>
          </cell>
          <cell r="D7074" t="str">
            <v>JILANI</v>
          </cell>
          <cell r="E7074" t="str">
            <v>بابا صفدر سویٹس اینڈ بیکرز  حویلی</v>
          </cell>
        </row>
        <row r="7075">
          <cell r="A7075" t="str">
            <v>3018 J</v>
          </cell>
          <cell r="B7075">
            <v>12486</v>
          </cell>
          <cell r="C7075">
            <v>45838</v>
          </cell>
          <cell r="D7075" t="str">
            <v>JILANI</v>
          </cell>
          <cell r="E7075" t="str">
            <v>عالم پرنٹرز بٹ خیلہ</v>
          </cell>
        </row>
        <row r="7076">
          <cell r="A7076" t="str">
            <v>3019 J</v>
          </cell>
          <cell r="B7076">
            <v>12487</v>
          </cell>
          <cell r="C7076">
            <v>45838</v>
          </cell>
          <cell r="D7076" t="str">
            <v>JILANI</v>
          </cell>
          <cell r="E7076" t="str">
            <v>عالم پرنٹرز بٹ خیلہ</v>
          </cell>
        </row>
        <row r="7077">
          <cell r="A7077" t="str">
            <v>3020 J</v>
          </cell>
          <cell r="B7077">
            <v>12488</v>
          </cell>
          <cell r="C7077">
            <v>45838</v>
          </cell>
          <cell r="D7077" t="str">
            <v>JILANI</v>
          </cell>
          <cell r="E7077" t="str">
            <v>شیخ اقبال کلاتھ اینڈ بوتیک سنٹر لاہور</v>
          </cell>
        </row>
        <row r="7078">
          <cell r="A7078" t="str">
            <v>3021 J</v>
          </cell>
          <cell r="B7078">
            <v>12489</v>
          </cell>
          <cell r="C7078">
            <v>45838</v>
          </cell>
          <cell r="D7078" t="str">
            <v>JILANI</v>
          </cell>
          <cell r="E7078" t="str">
            <v>شیخ اقبال کلاتھ اینڈ بوتیک سنٹر لاہور</v>
          </cell>
        </row>
        <row r="7079">
          <cell r="A7079" t="str">
            <v>3022 J</v>
          </cell>
          <cell r="B7079">
            <v>12489</v>
          </cell>
          <cell r="C7079">
            <v>45838</v>
          </cell>
          <cell r="D7079" t="str">
            <v>JILANI</v>
          </cell>
          <cell r="E7079" t="str">
            <v>شیخ اقبال کلاتھ اینڈ بوتیک سنٹر لاہور</v>
          </cell>
        </row>
        <row r="7080">
          <cell r="A7080" t="str">
            <v>3023 J</v>
          </cell>
          <cell r="B7080">
            <v>12489</v>
          </cell>
          <cell r="C7080">
            <v>45838</v>
          </cell>
          <cell r="D7080" t="str">
            <v>JILANI</v>
          </cell>
          <cell r="E7080" t="str">
            <v>شیخ اقبال کلاتھ اینڈ بوتیک سنٹر لاہور</v>
          </cell>
        </row>
        <row r="7081">
          <cell r="A7081" t="str">
            <v>3024 J</v>
          </cell>
          <cell r="B7081">
            <v>12489</v>
          </cell>
          <cell r="C7081">
            <v>45838</v>
          </cell>
          <cell r="D7081" t="str">
            <v>JILANI</v>
          </cell>
          <cell r="E7081" t="str">
            <v>فاروق ٹیکسٹائل لاہور</v>
          </cell>
        </row>
        <row r="7082">
          <cell r="A7082" t="str">
            <v>3025 J</v>
          </cell>
          <cell r="B7082">
            <v>12490</v>
          </cell>
          <cell r="C7082">
            <v>45838</v>
          </cell>
          <cell r="D7082" t="str">
            <v>JILANI</v>
          </cell>
          <cell r="E7082" t="str">
            <v>عالم پرنٹرز بٹ خیلہ</v>
          </cell>
        </row>
        <row r="7083">
          <cell r="A7083" t="str">
            <v>3026 J</v>
          </cell>
          <cell r="B7083">
            <v>12490</v>
          </cell>
          <cell r="C7083">
            <v>45838</v>
          </cell>
          <cell r="D7083" t="str">
            <v>JILANI</v>
          </cell>
          <cell r="E7083" t="str">
            <v>عالم پرنٹرز بٹ خیلہ</v>
          </cell>
        </row>
        <row r="7084">
          <cell r="A7084" t="str">
            <v>3027 J</v>
          </cell>
          <cell r="B7084">
            <v>12490</v>
          </cell>
          <cell r="C7084">
            <v>45838</v>
          </cell>
          <cell r="D7084" t="str">
            <v>JILANI</v>
          </cell>
          <cell r="E7084" t="str">
            <v>عالم پرنٹرز بٹ خیلہ</v>
          </cell>
        </row>
        <row r="7085">
          <cell r="A7085" t="str">
            <v>3028 J</v>
          </cell>
          <cell r="B7085">
            <v>12491</v>
          </cell>
          <cell r="C7085">
            <v>45839</v>
          </cell>
          <cell r="D7085" t="str">
            <v>JILANI</v>
          </cell>
          <cell r="E7085" t="str">
            <v>AK And HBCO Lahore</v>
          </cell>
        </row>
        <row r="7086">
          <cell r="A7086" t="str">
            <v>3029 J</v>
          </cell>
          <cell r="B7086">
            <v>12492</v>
          </cell>
          <cell r="C7086">
            <v>45839</v>
          </cell>
          <cell r="D7086" t="str">
            <v>JILANI</v>
          </cell>
          <cell r="E7086" t="str">
            <v>Moez Traders Ghazi Road Lahore</v>
          </cell>
        </row>
        <row r="7087">
          <cell r="A7087" t="str">
            <v>3030 J</v>
          </cell>
          <cell r="B7087">
            <v>12493</v>
          </cell>
          <cell r="C7087">
            <v>45839</v>
          </cell>
          <cell r="D7087" t="str">
            <v>JILANI</v>
          </cell>
          <cell r="E7087" t="str">
            <v>Al Burak Deparmental Store Lahore</v>
          </cell>
        </row>
        <row r="7088">
          <cell r="A7088" t="str">
            <v>3031 J</v>
          </cell>
          <cell r="B7088">
            <v>12494</v>
          </cell>
          <cell r="C7088">
            <v>45839</v>
          </cell>
          <cell r="D7088" t="str">
            <v>JILANI</v>
          </cell>
          <cell r="E7088" t="str">
            <v>Head Office Lahore</v>
          </cell>
        </row>
        <row r="7089">
          <cell r="A7089" t="str">
            <v>3032 J</v>
          </cell>
          <cell r="B7089">
            <v>12494</v>
          </cell>
          <cell r="C7089">
            <v>45839</v>
          </cell>
          <cell r="D7089" t="str">
            <v>JILANI</v>
          </cell>
          <cell r="E7089" t="str">
            <v>Head Office Lahore</v>
          </cell>
        </row>
        <row r="7090">
          <cell r="A7090" t="str">
            <v>3033 J</v>
          </cell>
          <cell r="B7090">
            <v>12494</v>
          </cell>
          <cell r="C7090">
            <v>45839</v>
          </cell>
          <cell r="D7090" t="str">
            <v>JILANI</v>
          </cell>
          <cell r="E7090" t="str">
            <v>Head Office Lahore</v>
          </cell>
        </row>
        <row r="7091">
          <cell r="A7091" t="str">
            <v>3034 J</v>
          </cell>
          <cell r="B7091">
            <v>12494</v>
          </cell>
          <cell r="C7091">
            <v>45839</v>
          </cell>
          <cell r="D7091" t="str">
            <v>JILANI</v>
          </cell>
          <cell r="E7091" t="str">
            <v>Head Office Lahore</v>
          </cell>
        </row>
        <row r="7092">
          <cell r="A7092" t="str">
            <v>3035 J</v>
          </cell>
          <cell r="B7092">
            <v>12495</v>
          </cell>
          <cell r="C7092">
            <v>45839</v>
          </cell>
          <cell r="D7092" t="str">
            <v>JILANI</v>
          </cell>
          <cell r="E7092" t="str">
            <v>Polo Hosiery Gujranwala</v>
          </cell>
        </row>
        <row r="7093">
          <cell r="A7093" t="str">
            <v>3036 J</v>
          </cell>
          <cell r="B7093">
            <v>12495</v>
          </cell>
          <cell r="C7093">
            <v>45839</v>
          </cell>
          <cell r="D7093" t="str">
            <v>JILANI</v>
          </cell>
          <cell r="E7093" t="str">
            <v>Polo Hosiery Gujranwala</v>
          </cell>
        </row>
        <row r="7094">
          <cell r="A7094" t="str">
            <v>3037 J</v>
          </cell>
          <cell r="B7094">
            <v>12496</v>
          </cell>
          <cell r="C7094">
            <v>45839</v>
          </cell>
          <cell r="D7094" t="str">
            <v>JILANI</v>
          </cell>
          <cell r="E7094" t="str">
            <v>Alam Printers Butkhela</v>
          </cell>
        </row>
        <row r="7095">
          <cell r="A7095" t="str">
            <v>3038 J</v>
          </cell>
          <cell r="B7095"/>
          <cell r="C7095">
            <v>45839</v>
          </cell>
          <cell r="D7095" t="str">
            <v>JILANI</v>
          </cell>
          <cell r="E7095" t="str">
            <v>جیلانی پلاسٹک</v>
          </cell>
        </row>
        <row r="7096">
          <cell r="A7096" t="str">
            <v>3039 J</v>
          </cell>
          <cell r="B7096"/>
          <cell r="C7096">
            <v>45839</v>
          </cell>
          <cell r="D7096" t="str">
            <v>JILANI</v>
          </cell>
          <cell r="E7096" t="str">
            <v>جیلانی پلاسٹک</v>
          </cell>
        </row>
        <row r="7097">
          <cell r="A7097" t="str">
            <v>3040 J</v>
          </cell>
          <cell r="B7097">
            <v>12497</v>
          </cell>
          <cell r="C7097">
            <v>45839</v>
          </cell>
          <cell r="D7097" t="str">
            <v>JILANI</v>
          </cell>
          <cell r="E7097" t="str">
            <v>Hammad Plastic Gujranwala</v>
          </cell>
        </row>
        <row r="7098">
          <cell r="A7098" t="str">
            <v>3041 J</v>
          </cell>
          <cell r="B7098"/>
          <cell r="C7098">
            <v>45840</v>
          </cell>
          <cell r="D7098" t="str">
            <v>JILANI</v>
          </cell>
          <cell r="E7098" t="str">
            <v>Atlas Honda Karachi</v>
          </cell>
        </row>
        <row r="7099">
          <cell r="A7099" t="str">
            <v>1755 F</v>
          </cell>
          <cell r="B7099"/>
          <cell r="C7099">
            <v>45838</v>
          </cell>
          <cell r="D7099" t="str">
            <v>فینا</v>
          </cell>
          <cell r="E7099" t="str">
            <v>عثمان امین</v>
          </cell>
        </row>
        <row r="7100">
          <cell r="A7100" t="str">
            <v>1756 F</v>
          </cell>
          <cell r="B7100"/>
          <cell r="C7100">
            <v>45838</v>
          </cell>
          <cell r="D7100" t="str">
            <v>فینا</v>
          </cell>
          <cell r="E7100" t="str">
            <v>عثمان امین</v>
          </cell>
        </row>
        <row r="7101">
          <cell r="A7101" t="str">
            <v>1757 F</v>
          </cell>
          <cell r="B7101"/>
          <cell r="C7101">
            <v>45838</v>
          </cell>
          <cell r="D7101" t="str">
            <v>فینا</v>
          </cell>
          <cell r="E7101" t="str">
            <v>عثمان امین</v>
          </cell>
        </row>
        <row r="7102">
          <cell r="A7102" t="str">
            <v>1758 F</v>
          </cell>
          <cell r="B7102"/>
          <cell r="C7102">
            <v>45838</v>
          </cell>
          <cell r="D7102" t="str">
            <v>فینا</v>
          </cell>
          <cell r="E7102" t="str">
            <v>عثمان امین</v>
          </cell>
        </row>
        <row r="7103">
          <cell r="A7103" t="str">
            <v>1759 F</v>
          </cell>
          <cell r="B7103"/>
          <cell r="C7103">
            <v>45838</v>
          </cell>
          <cell r="D7103" t="str">
            <v>فینا</v>
          </cell>
          <cell r="E7103" t="str">
            <v>عثمان امین</v>
          </cell>
        </row>
        <row r="7104">
          <cell r="A7104" t="str">
            <v>1760 F</v>
          </cell>
          <cell r="B7104"/>
          <cell r="C7104">
            <v>45838</v>
          </cell>
          <cell r="D7104" t="str">
            <v>فینا</v>
          </cell>
          <cell r="E7104" t="str">
            <v>عثمان امین</v>
          </cell>
        </row>
        <row r="7105">
          <cell r="A7105" t="str">
            <v>1761 F</v>
          </cell>
          <cell r="B7105"/>
          <cell r="C7105">
            <v>45838</v>
          </cell>
          <cell r="D7105" t="str">
            <v>فینا</v>
          </cell>
          <cell r="E7105" t="str">
            <v>عثمان امین</v>
          </cell>
        </row>
        <row r="7106">
          <cell r="A7106" t="str">
            <v>1762 F</v>
          </cell>
          <cell r="B7106"/>
          <cell r="C7106">
            <v>45838</v>
          </cell>
          <cell r="D7106" t="str">
            <v>فینا</v>
          </cell>
          <cell r="E7106" t="str">
            <v>عثمان امین</v>
          </cell>
        </row>
        <row r="7107">
          <cell r="A7107" t="str">
            <v>1763 F</v>
          </cell>
          <cell r="B7107"/>
          <cell r="C7107">
            <v>45838</v>
          </cell>
          <cell r="D7107" t="str">
            <v>فینا</v>
          </cell>
          <cell r="E7107" t="str">
            <v>عثمان امین</v>
          </cell>
        </row>
        <row r="7108">
          <cell r="A7108" t="str">
            <v>1764 F</v>
          </cell>
          <cell r="B7108"/>
          <cell r="C7108">
            <v>45838</v>
          </cell>
          <cell r="D7108" t="str">
            <v>فینا</v>
          </cell>
          <cell r="E7108" t="str">
            <v>عثمان امین</v>
          </cell>
        </row>
        <row r="7109">
          <cell r="A7109" t="str">
            <v>1765 F</v>
          </cell>
          <cell r="B7109"/>
          <cell r="C7109">
            <v>45838</v>
          </cell>
          <cell r="D7109" t="str">
            <v>فینا</v>
          </cell>
          <cell r="E7109" t="str">
            <v>عثمان امین</v>
          </cell>
        </row>
        <row r="7110">
          <cell r="A7110" t="str">
            <v>1766 F</v>
          </cell>
          <cell r="B7110"/>
          <cell r="C7110">
            <v>45838</v>
          </cell>
          <cell r="D7110" t="str">
            <v>فینا</v>
          </cell>
          <cell r="E7110" t="str">
            <v>عثمان امین</v>
          </cell>
        </row>
        <row r="7111">
          <cell r="A7111" t="str">
            <v>1767 F</v>
          </cell>
          <cell r="B7111"/>
          <cell r="C7111">
            <v>45839</v>
          </cell>
          <cell r="D7111" t="str">
            <v>فینا</v>
          </cell>
          <cell r="E7111" t="str">
            <v>عثمان امین</v>
          </cell>
        </row>
        <row r="7112">
          <cell r="A7112" t="str">
            <v>1768 F</v>
          </cell>
          <cell r="B7112"/>
          <cell r="C7112">
            <v>45839</v>
          </cell>
          <cell r="D7112" t="str">
            <v>فینا</v>
          </cell>
          <cell r="E7112" t="str">
            <v>عثمان امین</v>
          </cell>
        </row>
        <row r="7113">
          <cell r="A7113" t="str">
            <v>1769 F</v>
          </cell>
          <cell r="B7113"/>
          <cell r="C7113">
            <v>45839</v>
          </cell>
          <cell r="D7113" t="str">
            <v>فینا</v>
          </cell>
          <cell r="E7113" t="str">
            <v>عثمان امین</v>
          </cell>
        </row>
        <row r="7114">
          <cell r="A7114" t="str">
            <v>1770 F</v>
          </cell>
          <cell r="B7114"/>
          <cell r="C7114">
            <v>45840</v>
          </cell>
          <cell r="D7114" t="str">
            <v>فینا</v>
          </cell>
          <cell r="E7114" t="str">
            <v>عثمان امین</v>
          </cell>
        </row>
        <row r="7115">
          <cell r="A7115" t="str">
            <v>1771 F</v>
          </cell>
          <cell r="B7115"/>
          <cell r="C7115">
            <v>45840</v>
          </cell>
          <cell r="D7115" t="str">
            <v>فینا</v>
          </cell>
          <cell r="E7115" t="str">
            <v>عثمان امین</v>
          </cell>
        </row>
        <row r="7116">
          <cell r="A7116" t="str">
            <v>1772 F</v>
          </cell>
          <cell r="B7116"/>
          <cell r="C7116">
            <v>45840</v>
          </cell>
          <cell r="D7116" t="str">
            <v>فینا</v>
          </cell>
          <cell r="E7116" t="str">
            <v>عثمان امین</v>
          </cell>
        </row>
        <row r="7117">
          <cell r="A7117" t="str">
            <v>1773 F</v>
          </cell>
          <cell r="B7117"/>
          <cell r="C7117">
            <v>45840</v>
          </cell>
          <cell r="D7117" t="str">
            <v>فینا</v>
          </cell>
          <cell r="E7117" t="str">
            <v>عثمان امین</v>
          </cell>
        </row>
        <row r="7118">
          <cell r="A7118" t="str">
            <v>1774 F</v>
          </cell>
          <cell r="B7118"/>
          <cell r="C7118">
            <v>45840</v>
          </cell>
          <cell r="D7118" t="str">
            <v>فینا</v>
          </cell>
          <cell r="E7118" t="str">
            <v>عثمان امین</v>
          </cell>
        </row>
        <row r="7119">
          <cell r="A7119" t="str">
            <v>1775 F</v>
          </cell>
          <cell r="B7119"/>
          <cell r="C7119">
            <v>45840</v>
          </cell>
          <cell r="D7119" t="str">
            <v>فینا</v>
          </cell>
          <cell r="E7119" t="str">
            <v>عثمان امین</v>
          </cell>
        </row>
        <row r="7120">
          <cell r="A7120" t="str">
            <v>1776 F</v>
          </cell>
          <cell r="B7120"/>
          <cell r="C7120">
            <v>45840</v>
          </cell>
          <cell r="D7120" t="str">
            <v>فینا</v>
          </cell>
          <cell r="E7120" t="str">
            <v>عثمان امین</v>
          </cell>
        </row>
        <row r="7121">
          <cell r="A7121" t="str">
            <v>254 R</v>
          </cell>
          <cell r="B7121"/>
          <cell r="C7121">
            <v>45829</v>
          </cell>
          <cell r="D7121" t="str">
            <v>REFLECTPACK</v>
          </cell>
          <cell r="E7121" t="str">
            <v>الربیع انٹرنیشنل C/Oریفلیکٹ پیک</v>
          </cell>
        </row>
        <row r="7122">
          <cell r="A7122" t="str">
            <v>255 R</v>
          </cell>
          <cell r="B7122"/>
          <cell r="C7122">
            <v>45829</v>
          </cell>
          <cell r="D7122" t="str">
            <v>REFLECTPACK</v>
          </cell>
          <cell r="E7122" t="str">
            <v>الربیع انٹرنیشنل C/Oریفلیکٹ پیک</v>
          </cell>
        </row>
        <row r="7123">
          <cell r="A7123">
            <v>2760</v>
          </cell>
          <cell r="B7123">
            <v>8197</v>
          </cell>
          <cell r="C7123">
            <v>45840</v>
          </cell>
          <cell r="D7123" t="str">
            <v>JILANI</v>
          </cell>
          <cell r="E7123" t="str">
            <v>ORINGNAL PRODUCT GUJRAT</v>
          </cell>
        </row>
        <row r="7124">
          <cell r="A7124">
            <v>2761</v>
          </cell>
          <cell r="B7124">
            <v>8189</v>
          </cell>
          <cell r="C7124">
            <v>45840</v>
          </cell>
          <cell r="D7124" t="str">
            <v>JILANI</v>
          </cell>
          <cell r="E7124" t="str">
            <v>HONDA ATLAS (CARS) LTD</v>
          </cell>
        </row>
        <row r="7125">
          <cell r="A7125">
            <v>2762</v>
          </cell>
          <cell r="B7125">
            <v>8189</v>
          </cell>
          <cell r="C7125">
            <v>45840</v>
          </cell>
          <cell r="D7125" t="str">
            <v>JILANI</v>
          </cell>
          <cell r="E7125" t="str">
            <v>HONDA ATLAS (CARS) LTD</v>
          </cell>
        </row>
        <row r="7126">
          <cell r="A7126" t="str">
            <v>1777 F</v>
          </cell>
          <cell r="B7126"/>
          <cell r="C7126">
            <v>45840</v>
          </cell>
          <cell r="D7126" t="str">
            <v>فینا</v>
          </cell>
          <cell r="E7126" t="str">
            <v>عثمان امین</v>
          </cell>
        </row>
        <row r="7127">
          <cell r="A7127" t="str">
            <v>1778 F</v>
          </cell>
          <cell r="B7127"/>
          <cell r="C7127">
            <v>45840</v>
          </cell>
          <cell r="D7127" t="str">
            <v>فینا</v>
          </cell>
          <cell r="E7127" t="str">
            <v>عثمان امین</v>
          </cell>
        </row>
        <row r="7128">
          <cell r="A7128" t="str">
            <v>1779 F</v>
          </cell>
          <cell r="B7128"/>
          <cell r="C7128">
            <v>45840</v>
          </cell>
          <cell r="D7128" t="str">
            <v>فینا</v>
          </cell>
          <cell r="E7128" t="str">
            <v>عثمان امین</v>
          </cell>
        </row>
        <row r="7129">
          <cell r="A7129" t="str">
            <v>1780 F</v>
          </cell>
          <cell r="B7129"/>
          <cell r="C7129">
            <v>45840</v>
          </cell>
          <cell r="D7129" t="str">
            <v>فینا</v>
          </cell>
          <cell r="E7129" t="str">
            <v>عثمان امین</v>
          </cell>
        </row>
        <row r="7130">
          <cell r="A7130" t="str">
            <v>1781 F</v>
          </cell>
          <cell r="B7130"/>
          <cell r="C7130">
            <v>45840</v>
          </cell>
          <cell r="D7130" t="str">
            <v>فینا</v>
          </cell>
          <cell r="E7130" t="str">
            <v>عثمان امین</v>
          </cell>
        </row>
        <row r="7131">
          <cell r="A7131" t="str">
            <v>1782 F</v>
          </cell>
          <cell r="B7131"/>
          <cell r="C7131">
            <v>45840</v>
          </cell>
          <cell r="D7131" t="str">
            <v>فینا</v>
          </cell>
          <cell r="E7131" t="str">
            <v>عثمان امین</v>
          </cell>
        </row>
        <row r="7132">
          <cell r="A7132" t="str">
            <v>1783 F</v>
          </cell>
          <cell r="B7132"/>
          <cell r="C7132">
            <v>45840</v>
          </cell>
          <cell r="D7132" t="str">
            <v>فینا</v>
          </cell>
          <cell r="E7132" t="str">
            <v>عثمان امین</v>
          </cell>
        </row>
        <row r="7133">
          <cell r="A7133" t="str">
            <v>1784 F</v>
          </cell>
          <cell r="B7133"/>
          <cell r="C7133">
            <v>45841</v>
          </cell>
          <cell r="D7133" t="str">
            <v>فینا</v>
          </cell>
          <cell r="E7133" t="str">
            <v>عثمان امین</v>
          </cell>
        </row>
        <row r="7134">
          <cell r="A7134" t="str">
            <v>1785 F</v>
          </cell>
          <cell r="B7134"/>
          <cell r="C7134">
            <v>45841</v>
          </cell>
          <cell r="D7134" t="str">
            <v>فینا</v>
          </cell>
          <cell r="E7134" t="str">
            <v>عثمان امین</v>
          </cell>
        </row>
        <row r="7135">
          <cell r="A7135" t="str">
            <v>1786 F</v>
          </cell>
          <cell r="B7135"/>
          <cell r="C7135">
            <v>45841</v>
          </cell>
          <cell r="D7135" t="str">
            <v>فینا</v>
          </cell>
          <cell r="E7135" t="str">
            <v>عثمان امین</v>
          </cell>
        </row>
        <row r="7136">
          <cell r="A7136" t="str">
            <v>1787 F</v>
          </cell>
          <cell r="B7136"/>
          <cell r="C7136">
            <v>45841</v>
          </cell>
          <cell r="D7136" t="str">
            <v>فینا</v>
          </cell>
          <cell r="E7136" t="str">
            <v>عثمان امین</v>
          </cell>
        </row>
        <row r="7137">
          <cell r="A7137" t="str">
            <v>1788 F</v>
          </cell>
          <cell r="B7137"/>
          <cell r="C7137">
            <v>45841</v>
          </cell>
          <cell r="D7137" t="str">
            <v>فینا</v>
          </cell>
          <cell r="E7137" t="str">
            <v>عثمان امین</v>
          </cell>
        </row>
        <row r="7138">
          <cell r="A7138" t="str">
            <v>1789 F</v>
          </cell>
          <cell r="B7138"/>
          <cell r="C7138">
            <v>45841</v>
          </cell>
          <cell r="D7138" t="str">
            <v>فینا</v>
          </cell>
          <cell r="E7138" t="str">
            <v>عثمان امین</v>
          </cell>
        </row>
        <row r="7139">
          <cell r="A7139" t="str">
            <v>7023/1</v>
          </cell>
          <cell r="B7139">
            <v>7023</v>
          </cell>
          <cell r="C7139">
            <v>45839</v>
          </cell>
          <cell r="D7139" t="str">
            <v>یونس صاحب</v>
          </cell>
          <cell r="E7139" t="str">
            <v>العمر پلاسٹک گوجرانوالہ</v>
          </cell>
        </row>
        <row r="7140">
          <cell r="A7140" t="str">
            <v>7023/2</v>
          </cell>
          <cell r="B7140">
            <v>7023</v>
          </cell>
          <cell r="C7140">
            <v>45839</v>
          </cell>
          <cell r="D7140" t="str">
            <v>یونس صاحب</v>
          </cell>
          <cell r="E7140" t="str">
            <v>العمر پلاسٹک گوجرانوالہ</v>
          </cell>
        </row>
        <row r="7141">
          <cell r="A7141" t="str">
            <v>7023/3</v>
          </cell>
          <cell r="B7141">
            <v>7023</v>
          </cell>
          <cell r="C7141">
            <v>45839</v>
          </cell>
          <cell r="D7141" t="str">
            <v>یونس صاحب</v>
          </cell>
          <cell r="E7141" t="str">
            <v>العمر پلاسٹک گوجرانوالہ</v>
          </cell>
        </row>
        <row r="7142">
          <cell r="A7142" t="str">
            <v>7024/1</v>
          </cell>
          <cell r="B7142">
            <v>7024</v>
          </cell>
          <cell r="C7142">
            <v>45839</v>
          </cell>
          <cell r="D7142" t="str">
            <v>یونس صاحب</v>
          </cell>
          <cell r="E7142" t="str">
            <v>طارق سوپ چکوال</v>
          </cell>
        </row>
        <row r="7143">
          <cell r="A7143" t="str">
            <v>7025/1</v>
          </cell>
          <cell r="B7143">
            <v>7025</v>
          </cell>
          <cell r="C7143">
            <v>45839</v>
          </cell>
          <cell r="D7143" t="str">
            <v>یونس صاحب</v>
          </cell>
          <cell r="E7143" t="str">
            <v>ملک ثناء حویلیاں</v>
          </cell>
        </row>
        <row r="7144">
          <cell r="A7144" t="str">
            <v>7025/2</v>
          </cell>
          <cell r="B7144">
            <v>7025</v>
          </cell>
          <cell r="C7144">
            <v>45839</v>
          </cell>
          <cell r="D7144" t="str">
            <v>یونس صاحب</v>
          </cell>
          <cell r="E7144" t="str">
            <v>ملک ثناء حویلیاں</v>
          </cell>
        </row>
        <row r="7145">
          <cell r="A7145" t="str">
            <v>7026/1</v>
          </cell>
          <cell r="B7145">
            <v>7026</v>
          </cell>
          <cell r="C7145">
            <v>45840</v>
          </cell>
          <cell r="D7145" t="str">
            <v>یونس صاحب</v>
          </cell>
          <cell r="E7145" t="str">
            <v>ایم زبیر پلاسٹک سرگودھا</v>
          </cell>
        </row>
        <row r="7146">
          <cell r="A7146" t="str">
            <v>7026/2</v>
          </cell>
          <cell r="B7146">
            <v>7026</v>
          </cell>
          <cell r="C7146">
            <v>45840</v>
          </cell>
          <cell r="D7146" t="str">
            <v>یونس صاحب</v>
          </cell>
          <cell r="E7146" t="str">
            <v>ایم زبیر پلاسٹک سرگودھا</v>
          </cell>
        </row>
        <row r="7147">
          <cell r="A7147" t="str">
            <v>7026/3</v>
          </cell>
          <cell r="B7147">
            <v>7026</v>
          </cell>
          <cell r="C7147">
            <v>45840</v>
          </cell>
          <cell r="D7147" t="str">
            <v>یونس صاحب</v>
          </cell>
          <cell r="E7147" t="str">
            <v>ایم زبیر پلاسٹک سرگودھا</v>
          </cell>
        </row>
        <row r="7148">
          <cell r="A7148" t="str">
            <v>7026/4</v>
          </cell>
          <cell r="B7148">
            <v>7026</v>
          </cell>
          <cell r="C7148">
            <v>45840</v>
          </cell>
          <cell r="D7148" t="str">
            <v>یونس صاحب</v>
          </cell>
          <cell r="E7148" t="str">
            <v>ایم زبیر پلاسٹک سرگودھا</v>
          </cell>
        </row>
        <row r="7149">
          <cell r="A7149" t="str">
            <v>7026/5</v>
          </cell>
          <cell r="B7149">
            <v>7026</v>
          </cell>
          <cell r="C7149">
            <v>45840</v>
          </cell>
          <cell r="D7149" t="str">
            <v>یونس صاحب</v>
          </cell>
          <cell r="E7149" t="str">
            <v>ایم زبیر پلاسٹک سرگودھا</v>
          </cell>
        </row>
        <row r="7150">
          <cell r="A7150" t="str">
            <v>7026/6</v>
          </cell>
          <cell r="B7150">
            <v>7026</v>
          </cell>
          <cell r="C7150">
            <v>45840</v>
          </cell>
          <cell r="D7150" t="str">
            <v>یونس صاحب</v>
          </cell>
          <cell r="E7150" t="str">
            <v>ایم زبیر پلاسٹک سرگودھا</v>
          </cell>
        </row>
        <row r="7151">
          <cell r="A7151" t="str">
            <v>7026/7</v>
          </cell>
          <cell r="B7151">
            <v>7026</v>
          </cell>
          <cell r="C7151">
            <v>45840</v>
          </cell>
          <cell r="D7151" t="str">
            <v>یونس صاحب</v>
          </cell>
          <cell r="E7151" t="str">
            <v>ایم زبیر پلاسٹک سرگودھا</v>
          </cell>
        </row>
        <row r="7152">
          <cell r="A7152" t="str">
            <v>7027/1</v>
          </cell>
          <cell r="B7152">
            <v>7027</v>
          </cell>
          <cell r="C7152">
            <v>45840</v>
          </cell>
          <cell r="D7152" t="str">
            <v>یونس صاحب</v>
          </cell>
          <cell r="E7152" t="str">
            <v>مھبوب مقبول گجرانوالہ</v>
          </cell>
        </row>
        <row r="7153">
          <cell r="A7153" t="str">
            <v>7027/2</v>
          </cell>
          <cell r="B7153">
            <v>7027</v>
          </cell>
          <cell r="C7153">
            <v>45840</v>
          </cell>
          <cell r="D7153" t="str">
            <v>یونس صاحب</v>
          </cell>
          <cell r="E7153" t="str">
            <v>مھبوب مقبول گجرانوالہ</v>
          </cell>
        </row>
        <row r="7154">
          <cell r="A7154" t="str">
            <v>7027/3</v>
          </cell>
          <cell r="B7154">
            <v>7027</v>
          </cell>
          <cell r="C7154">
            <v>45840</v>
          </cell>
          <cell r="D7154" t="str">
            <v>یونس صاحب</v>
          </cell>
          <cell r="E7154" t="str">
            <v>مھبوب مقبول گجرانوالہ</v>
          </cell>
        </row>
        <row r="7155">
          <cell r="A7155" t="str">
            <v>7027/4</v>
          </cell>
          <cell r="B7155">
            <v>7027</v>
          </cell>
          <cell r="C7155">
            <v>45840</v>
          </cell>
          <cell r="D7155" t="str">
            <v>یونس صاحب</v>
          </cell>
          <cell r="E7155" t="str">
            <v>مھبوب مقبول گجرانوالہ</v>
          </cell>
        </row>
        <row r="7156">
          <cell r="A7156" t="str">
            <v>7027/5</v>
          </cell>
          <cell r="B7156">
            <v>7027</v>
          </cell>
          <cell r="C7156">
            <v>45840</v>
          </cell>
          <cell r="D7156" t="str">
            <v>یونس صاحب</v>
          </cell>
          <cell r="E7156" t="str">
            <v>مھبوب مقبول گجرانوالہ</v>
          </cell>
        </row>
        <row r="7157">
          <cell r="A7157" t="str">
            <v>7027/6</v>
          </cell>
          <cell r="B7157">
            <v>7027</v>
          </cell>
          <cell r="C7157">
            <v>45840</v>
          </cell>
          <cell r="D7157" t="str">
            <v>یونس صاحب</v>
          </cell>
          <cell r="E7157" t="str">
            <v>مھبوب مقبول گجرانوالہ</v>
          </cell>
        </row>
        <row r="7158">
          <cell r="A7158" t="str">
            <v>7028/1</v>
          </cell>
          <cell r="B7158">
            <v>7028</v>
          </cell>
          <cell r="C7158">
            <v>45840</v>
          </cell>
          <cell r="D7158" t="str">
            <v>یونس صاحب</v>
          </cell>
          <cell r="E7158" t="str">
            <v>حسن پلاسٹک بہاولپور</v>
          </cell>
        </row>
        <row r="7159">
          <cell r="A7159" t="str">
            <v>7028/2</v>
          </cell>
          <cell r="B7159">
            <v>7028</v>
          </cell>
          <cell r="C7159">
            <v>45840</v>
          </cell>
          <cell r="D7159" t="str">
            <v>یونس صاحب</v>
          </cell>
          <cell r="E7159" t="str">
            <v>حسن پلاسٹک بہاولپور</v>
          </cell>
        </row>
        <row r="7160">
          <cell r="A7160" t="str">
            <v>7028/3</v>
          </cell>
          <cell r="B7160">
            <v>7028</v>
          </cell>
          <cell r="C7160">
            <v>45840</v>
          </cell>
          <cell r="D7160" t="str">
            <v>یونس صاحب</v>
          </cell>
          <cell r="E7160" t="str">
            <v>حسن پلاسٹک بہاولپور</v>
          </cell>
        </row>
        <row r="7161">
          <cell r="A7161" t="str">
            <v>7028/4</v>
          </cell>
          <cell r="B7161">
            <v>7028</v>
          </cell>
          <cell r="C7161">
            <v>45840</v>
          </cell>
          <cell r="D7161" t="str">
            <v>یونس صاحب</v>
          </cell>
          <cell r="E7161" t="str">
            <v>حسن پلاسٹک بہاولپور</v>
          </cell>
        </row>
        <row r="7162">
          <cell r="A7162" t="str">
            <v>7028/5</v>
          </cell>
          <cell r="B7162">
            <v>7028</v>
          </cell>
          <cell r="C7162">
            <v>45840</v>
          </cell>
          <cell r="D7162" t="str">
            <v>یونس صاحب</v>
          </cell>
          <cell r="E7162" t="str">
            <v>حسن پلاسٹک بہاولپور</v>
          </cell>
        </row>
        <row r="7163">
          <cell r="A7163" t="str">
            <v>7028/6</v>
          </cell>
          <cell r="B7163">
            <v>7028</v>
          </cell>
          <cell r="C7163">
            <v>45840</v>
          </cell>
          <cell r="D7163" t="str">
            <v>یونس صاحب</v>
          </cell>
          <cell r="E7163" t="str">
            <v>حسن پلاسٹک بہاولپور</v>
          </cell>
        </row>
        <row r="7164">
          <cell r="A7164" t="str">
            <v>7028/7</v>
          </cell>
          <cell r="B7164">
            <v>7028</v>
          </cell>
          <cell r="C7164">
            <v>45840</v>
          </cell>
          <cell r="D7164" t="str">
            <v>یونس صاحب</v>
          </cell>
          <cell r="E7164" t="str">
            <v>حسن پلاسٹک بہاولپور</v>
          </cell>
        </row>
        <row r="7165">
          <cell r="A7165" t="str">
            <v>7028/8</v>
          </cell>
          <cell r="B7165">
            <v>7028</v>
          </cell>
          <cell r="C7165">
            <v>45840</v>
          </cell>
          <cell r="D7165" t="str">
            <v>یونس صاحب</v>
          </cell>
          <cell r="E7165" t="str">
            <v>حسن پلاسٹک بہاولپور</v>
          </cell>
        </row>
        <row r="7166">
          <cell r="A7166" t="str">
            <v>7028/9</v>
          </cell>
          <cell r="B7166">
            <v>7028</v>
          </cell>
          <cell r="C7166">
            <v>45840</v>
          </cell>
          <cell r="D7166" t="str">
            <v>یونس صاحب</v>
          </cell>
          <cell r="E7166" t="str">
            <v>حسن پلاسٹک بہاولپور</v>
          </cell>
        </row>
        <row r="7167">
          <cell r="A7167" t="str">
            <v>7028/10</v>
          </cell>
          <cell r="B7167">
            <v>7028</v>
          </cell>
          <cell r="C7167">
            <v>45840</v>
          </cell>
          <cell r="D7167" t="str">
            <v>یونس صاحب</v>
          </cell>
          <cell r="E7167" t="str">
            <v>حسن پلاسٹک بہاولپور</v>
          </cell>
        </row>
        <row r="7168">
          <cell r="A7168" t="str">
            <v>7028/11</v>
          </cell>
          <cell r="B7168">
            <v>7028</v>
          </cell>
          <cell r="C7168">
            <v>45840</v>
          </cell>
          <cell r="D7168" t="str">
            <v>یونس صاحب</v>
          </cell>
          <cell r="E7168" t="str">
            <v>حسن پلاسٹک بہاولپور</v>
          </cell>
        </row>
        <row r="7169">
          <cell r="A7169" t="str">
            <v>7029/1</v>
          </cell>
          <cell r="B7169">
            <v>7029</v>
          </cell>
          <cell r="C7169">
            <v>45841</v>
          </cell>
          <cell r="D7169" t="str">
            <v>یونس صاحب</v>
          </cell>
          <cell r="E7169" t="str">
            <v>حزیفہ پلاسٹک اعظم مارکیٹ</v>
          </cell>
        </row>
        <row r="7170">
          <cell r="A7170" t="str">
            <v>7029/2</v>
          </cell>
          <cell r="B7170">
            <v>7029</v>
          </cell>
          <cell r="C7170">
            <v>45841</v>
          </cell>
          <cell r="D7170" t="str">
            <v>یونس صاحب</v>
          </cell>
          <cell r="E7170" t="str">
            <v>حزیفہ پلاسٹک اعظم مارکیٹ</v>
          </cell>
        </row>
        <row r="7171">
          <cell r="A7171" t="str">
            <v>7030/1</v>
          </cell>
          <cell r="B7171">
            <v>7030</v>
          </cell>
          <cell r="C7171">
            <v>45841</v>
          </cell>
          <cell r="D7171" t="str">
            <v>یونس صاحب</v>
          </cell>
          <cell r="E7171" t="str">
            <v>ایم زبیر پلاسٹک سرگودھا</v>
          </cell>
        </row>
        <row r="7172">
          <cell r="A7172" t="str">
            <v>7030/2</v>
          </cell>
          <cell r="B7172">
            <v>7030</v>
          </cell>
          <cell r="C7172">
            <v>45841</v>
          </cell>
          <cell r="D7172" t="str">
            <v>یونس صاحب</v>
          </cell>
          <cell r="E7172" t="str">
            <v>ایم زبیر پلاسٹک سرگودھا</v>
          </cell>
        </row>
        <row r="7173">
          <cell r="A7173" t="str">
            <v>7030/3</v>
          </cell>
          <cell r="B7173">
            <v>7030</v>
          </cell>
          <cell r="C7173">
            <v>45841</v>
          </cell>
          <cell r="D7173" t="str">
            <v>یونس صاحب</v>
          </cell>
          <cell r="E7173" t="str">
            <v>ایم زبیر پلاسٹک سرگودھا</v>
          </cell>
        </row>
        <row r="7174">
          <cell r="A7174" t="str">
            <v>7031/1</v>
          </cell>
          <cell r="B7174">
            <v>7031</v>
          </cell>
          <cell r="C7174">
            <v>45841</v>
          </cell>
          <cell r="D7174" t="str">
            <v>یونس صاحب</v>
          </cell>
          <cell r="E7174" t="str">
            <v>العمر پلاسٹک گوجرانوالہ</v>
          </cell>
        </row>
        <row r="7175">
          <cell r="A7175" t="str">
            <v>7031/2</v>
          </cell>
          <cell r="B7175">
            <v>7031</v>
          </cell>
          <cell r="C7175">
            <v>45841</v>
          </cell>
          <cell r="D7175" t="str">
            <v>یونس صاحب</v>
          </cell>
          <cell r="E7175" t="str">
            <v>العمر پلاسٹک گوجرانوالہ</v>
          </cell>
        </row>
        <row r="7176">
          <cell r="A7176" t="str">
            <v>7031/3</v>
          </cell>
          <cell r="B7176">
            <v>7031</v>
          </cell>
          <cell r="C7176">
            <v>45841</v>
          </cell>
          <cell r="D7176" t="str">
            <v>یونس صاحب</v>
          </cell>
          <cell r="E7176" t="str">
            <v>العمر پلاسٹک گوجرانوالہ</v>
          </cell>
        </row>
        <row r="7177">
          <cell r="A7177" t="str">
            <v>7032/1</v>
          </cell>
          <cell r="B7177">
            <v>7032</v>
          </cell>
          <cell r="C7177">
            <v>45841</v>
          </cell>
          <cell r="D7177" t="str">
            <v>یونس صاحب</v>
          </cell>
          <cell r="E7177" t="str">
            <v>العمر پلاسٹک گوجرانوالہ</v>
          </cell>
        </row>
        <row r="7178">
          <cell r="A7178" t="str">
            <v>7032/2</v>
          </cell>
          <cell r="B7178">
            <v>7032</v>
          </cell>
          <cell r="C7178">
            <v>45841</v>
          </cell>
          <cell r="D7178" t="str">
            <v>یونس صاحب</v>
          </cell>
          <cell r="E7178" t="str">
            <v>العمر پلاسٹک گوجرانوالہ</v>
          </cell>
        </row>
        <row r="7179">
          <cell r="A7179" t="str">
            <v>7033/1</v>
          </cell>
          <cell r="B7179">
            <v>7033</v>
          </cell>
          <cell r="C7179">
            <v>45841</v>
          </cell>
          <cell r="D7179" t="str">
            <v>یونس صاحب</v>
          </cell>
          <cell r="E7179" t="str">
            <v>ایم زبیر پلاسٹک سرگودھا</v>
          </cell>
        </row>
        <row r="7180">
          <cell r="A7180" t="str">
            <v>7033/2</v>
          </cell>
          <cell r="B7180">
            <v>7033</v>
          </cell>
          <cell r="C7180">
            <v>45841</v>
          </cell>
          <cell r="D7180" t="str">
            <v>یونس صاحب</v>
          </cell>
          <cell r="E7180" t="str">
            <v>ایم زبیر پلاسٹک سرگودھا</v>
          </cell>
        </row>
        <row r="7181">
          <cell r="A7181" t="str">
            <v>7033/3</v>
          </cell>
          <cell r="B7181">
            <v>7033</v>
          </cell>
          <cell r="C7181">
            <v>45841</v>
          </cell>
          <cell r="D7181" t="str">
            <v>یونس صاحب</v>
          </cell>
          <cell r="E7181" t="str">
            <v>ایم زبیر پلاسٹک سرگودھا</v>
          </cell>
        </row>
        <row r="7182">
          <cell r="A7182" t="str">
            <v>7033/4</v>
          </cell>
          <cell r="B7182">
            <v>7033</v>
          </cell>
          <cell r="C7182">
            <v>45841</v>
          </cell>
          <cell r="D7182" t="str">
            <v>یونس صاحب</v>
          </cell>
          <cell r="E7182" t="str">
            <v>ایم زبیر پلاسٹک سرگودھا</v>
          </cell>
        </row>
        <row r="7183">
          <cell r="A7183" t="str">
            <v>7033/5</v>
          </cell>
          <cell r="B7183">
            <v>7033</v>
          </cell>
          <cell r="C7183">
            <v>45841</v>
          </cell>
          <cell r="D7183" t="str">
            <v>یونس صاحب</v>
          </cell>
          <cell r="E7183" t="str">
            <v>ایم زبیر پلاسٹک سرگودھا</v>
          </cell>
        </row>
        <row r="7184">
          <cell r="A7184" t="str">
            <v>7033/6</v>
          </cell>
          <cell r="B7184">
            <v>7033</v>
          </cell>
          <cell r="C7184">
            <v>45841</v>
          </cell>
          <cell r="D7184" t="str">
            <v>یونس صاحب</v>
          </cell>
          <cell r="E7184" t="str">
            <v>ایم زبیر پلاسٹک سرگودھا</v>
          </cell>
        </row>
        <row r="7185">
          <cell r="A7185" t="str">
            <v>7033/7</v>
          </cell>
          <cell r="B7185">
            <v>7033</v>
          </cell>
          <cell r="C7185">
            <v>45841</v>
          </cell>
          <cell r="D7185" t="str">
            <v>یونس صاحب</v>
          </cell>
          <cell r="E7185" t="str">
            <v>ایم زبیر پلاسٹک سرگودھا</v>
          </cell>
        </row>
        <row r="7186">
          <cell r="A7186" t="str">
            <v>7034/1</v>
          </cell>
          <cell r="B7186">
            <v>7034</v>
          </cell>
          <cell r="C7186">
            <v>45841</v>
          </cell>
          <cell r="D7186" t="str">
            <v>یونس صاحب</v>
          </cell>
          <cell r="E7186" t="str">
            <v>اعظم ٹوائے شاہ عالم</v>
          </cell>
        </row>
        <row r="7187">
          <cell r="A7187" t="str">
            <v>7035/1</v>
          </cell>
          <cell r="B7187">
            <v>7035</v>
          </cell>
          <cell r="C7187">
            <v>45841</v>
          </cell>
          <cell r="D7187" t="str">
            <v>یونس صاحب</v>
          </cell>
          <cell r="E7187" t="str">
            <v>بوٹا پلاسٹک اعظم مارکیٹ</v>
          </cell>
        </row>
        <row r="7188">
          <cell r="A7188" t="str">
            <v>7036/1</v>
          </cell>
          <cell r="B7188">
            <v>7036</v>
          </cell>
          <cell r="C7188">
            <v>45841</v>
          </cell>
          <cell r="D7188" t="str">
            <v>یونس صاحب</v>
          </cell>
          <cell r="E7188" t="str">
            <v>نزیرپلاسٹک ملتان</v>
          </cell>
        </row>
        <row r="7189">
          <cell r="A7189" t="str">
            <v>7036/2</v>
          </cell>
          <cell r="B7189">
            <v>7036</v>
          </cell>
          <cell r="C7189">
            <v>45841</v>
          </cell>
          <cell r="D7189" t="str">
            <v>یونس صاحب</v>
          </cell>
          <cell r="E7189" t="str">
            <v>نزیرپلاسٹک ملتان</v>
          </cell>
        </row>
        <row r="7190">
          <cell r="A7190" t="str">
            <v>7036/3</v>
          </cell>
          <cell r="B7190">
            <v>7036</v>
          </cell>
          <cell r="C7190">
            <v>45841</v>
          </cell>
          <cell r="D7190" t="str">
            <v>یونس صاحب</v>
          </cell>
          <cell r="E7190" t="str">
            <v>نزیرپلاسٹک ملتان</v>
          </cell>
        </row>
        <row r="7191">
          <cell r="A7191" t="str">
            <v>7037/1</v>
          </cell>
          <cell r="B7191">
            <v>7037</v>
          </cell>
          <cell r="C7191">
            <v>45841</v>
          </cell>
          <cell r="D7191" t="str">
            <v>یونس صاحب</v>
          </cell>
          <cell r="E7191" t="str">
            <v>شیخ بشیر سیا لکوٹ</v>
          </cell>
        </row>
        <row r="7192">
          <cell r="A7192" t="str">
            <v>7037/2</v>
          </cell>
          <cell r="B7192">
            <v>7037</v>
          </cell>
          <cell r="C7192">
            <v>45841</v>
          </cell>
          <cell r="D7192" t="str">
            <v>یونس صاحب</v>
          </cell>
          <cell r="E7192" t="str">
            <v>شیخ بشیر سیا لکوٹ</v>
          </cell>
        </row>
        <row r="7193">
          <cell r="A7193">
            <v>2763</v>
          </cell>
          <cell r="B7193">
            <v>19405</v>
          </cell>
          <cell r="C7193">
            <v>45845</v>
          </cell>
          <cell r="D7193" t="str">
            <v>JILANI</v>
          </cell>
          <cell r="E7193" t="str">
            <v>HEAD OFFICE JILANI OFFICE</v>
          </cell>
        </row>
        <row r="7194">
          <cell r="A7194" t="str">
            <v>3042 J</v>
          </cell>
          <cell r="B7194"/>
          <cell r="C7194">
            <v>45842</v>
          </cell>
          <cell r="D7194" t="str">
            <v>JILANI</v>
          </cell>
          <cell r="E7194" t="str">
            <v>Jilani Plastic</v>
          </cell>
        </row>
        <row r="7195">
          <cell r="A7195" t="str">
            <v>3043 J</v>
          </cell>
          <cell r="B7195">
            <v>12498</v>
          </cell>
          <cell r="C7195">
            <v>45845</v>
          </cell>
          <cell r="D7195" t="str">
            <v>JILANI</v>
          </cell>
          <cell r="E7195" t="str">
            <v xml:space="preserve">Shafi Texcel Limited </v>
          </cell>
        </row>
        <row r="7196">
          <cell r="A7196" t="str">
            <v>3044 J</v>
          </cell>
          <cell r="B7196">
            <v>12499</v>
          </cell>
          <cell r="C7196">
            <v>45845</v>
          </cell>
          <cell r="D7196" t="str">
            <v>JILANI</v>
          </cell>
          <cell r="E7196" t="str">
            <v>Ahsan Cotton Products Pvt. LTD</v>
          </cell>
        </row>
        <row r="7197">
          <cell r="A7197" t="str">
            <v>3045 J</v>
          </cell>
          <cell r="B7197">
            <v>12500</v>
          </cell>
          <cell r="C7197">
            <v>45845</v>
          </cell>
          <cell r="D7197" t="str">
            <v>JILANI</v>
          </cell>
          <cell r="E7197" t="str">
            <v>Ahsan Cotton Products Pvt. LTD</v>
          </cell>
        </row>
        <row r="7198">
          <cell r="A7198" t="str">
            <v>3046 J</v>
          </cell>
          <cell r="B7198">
            <v>12500</v>
          </cell>
          <cell r="C7198">
            <v>45845</v>
          </cell>
          <cell r="D7198" t="str">
            <v>JILANI</v>
          </cell>
          <cell r="E7198" t="str">
            <v>Ahsan Cotton Products Pvt. LTD</v>
          </cell>
        </row>
        <row r="7199">
          <cell r="A7199" t="str">
            <v>3047 J</v>
          </cell>
          <cell r="B7199">
            <v>12500</v>
          </cell>
          <cell r="C7199">
            <v>45845</v>
          </cell>
          <cell r="D7199" t="str">
            <v>JILANI</v>
          </cell>
          <cell r="E7199" t="str">
            <v>Ahsan Cotton Products Pvt. LTD</v>
          </cell>
        </row>
        <row r="7200">
          <cell r="A7200" t="str">
            <v>3048 J</v>
          </cell>
          <cell r="B7200">
            <v>12501</v>
          </cell>
          <cell r="C7200">
            <v>45845</v>
          </cell>
          <cell r="D7200" t="str">
            <v>JILANI</v>
          </cell>
          <cell r="E7200" t="str">
            <v>Ahsan Cotton Products Pvt. LTD</v>
          </cell>
        </row>
        <row r="7201">
          <cell r="A7201" t="str">
            <v>3049 J</v>
          </cell>
          <cell r="B7201">
            <v>12501</v>
          </cell>
          <cell r="C7201">
            <v>45845</v>
          </cell>
          <cell r="D7201" t="str">
            <v>JILANI</v>
          </cell>
          <cell r="E7201" t="str">
            <v>Ahsan Cotton Products Pvt. LTD</v>
          </cell>
        </row>
        <row r="7202">
          <cell r="A7202" t="str">
            <v>3050 J</v>
          </cell>
          <cell r="B7202">
            <v>12502</v>
          </cell>
          <cell r="C7202">
            <v>45845</v>
          </cell>
          <cell r="D7202" t="str">
            <v>JILANI</v>
          </cell>
          <cell r="E7202" t="str">
            <v>Ahsan Cotton Products Pvt. LTD</v>
          </cell>
        </row>
        <row r="7203">
          <cell r="A7203" t="str">
            <v>3051 J</v>
          </cell>
          <cell r="B7203">
            <v>12502</v>
          </cell>
          <cell r="C7203">
            <v>45845</v>
          </cell>
          <cell r="D7203" t="str">
            <v>JILANI</v>
          </cell>
          <cell r="E7203" t="str">
            <v>Ahsan Cotton Products Pvt. LTD</v>
          </cell>
        </row>
        <row r="7204">
          <cell r="A7204" t="str">
            <v>3052 J</v>
          </cell>
          <cell r="B7204">
            <v>12502</v>
          </cell>
          <cell r="C7204">
            <v>45845</v>
          </cell>
          <cell r="D7204" t="str">
            <v>JILANI</v>
          </cell>
          <cell r="E7204" t="str">
            <v>Ahsan Cotton Products Pvt. LTD</v>
          </cell>
        </row>
        <row r="7205">
          <cell r="A7205" t="str">
            <v>3053 J</v>
          </cell>
          <cell r="B7205">
            <v>12503</v>
          </cell>
          <cell r="C7205">
            <v>45845</v>
          </cell>
          <cell r="D7205" t="str">
            <v>JILANI</v>
          </cell>
          <cell r="E7205" t="str">
            <v>Nadeem Hashmi Jwelry Azam Market LHR</v>
          </cell>
        </row>
        <row r="7206">
          <cell r="A7206" t="str">
            <v>3054 J</v>
          </cell>
          <cell r="B7206">
            <v>12503</v>
          </cell>
          <cell r="C7206">
            <v>45845</v>
          </cell>
          <cell r="D7206" t="str">
            <v>JILANI</v>
          </cell>
          <cell r="E7206" t="str">
            <v>Nadeem Hashmi Jwelry Azam Market LHR</v>
          </cell>
        </row>
        <row r="7207">
          <cell r="A7207" t="str">
            <v>3055 J</v>
          </cell>
          <cell r="B7207">
            <v>12503</v>
          </cell>
          <cell r="C7207">
            <v>45845</v>
          </cell>
          <cell r="D7207" t="str">
            <v>JILANI</v>
          </cell>
          <cell r="E7207" t="str">
            <v>Nadeem Hashmi Jwelry Azam Market LHR</v>
          </cell>
        </row>
        <row r="7208">
          <cell r="A7208" t="str">
            <v>3056 J</v>
          </cell>
          <cell r="B7208">
            <v>12503</v>
          </cell>
          <cell r="C7208">
            <v>45845</v>
          </cell>
          <cell r="D7208" t="str">
            <v>JILANI</v>
          </cell>
          <cell r="E7208" t="str">
            <v>Nadeem Hashmi Jwelry Azam Market LHR</v>
          </cell>
        </row>
        <row r="7209">
          <cell r="A7209" t="str">
            <v>3057 J</v>
          </cell>
          <cell r="B7209">
            <v>12504</v>
          </cell>
          <cell r="C7209">
            <v>45845</v>
          </cell>
          <cell r="D7209" t="str">
            <v>JILANI</v>
          </cell>
          <cell r="E7209" t="str">
            <v>Alam Printers Butkhela</v>
          </cell>
        </row>
        <row r="7210">
          <cell r="A7210" t="str">
            <v>3058 J</v>
          </cell>
          <cell r="B7210">
            <v>12506</v>
          </cell>
          <cell r="C7210">
            <v>45845</v>
          </cell>
          <cell r="D7210" t="str">
            <v>JILANI</v>
          </cell>
          <cell r="E7210" t="str">
            <v>Ahsan Zakka Printers Lahore</v>
          </cell>
        </row>
        <row r="7211">
          <cell r="A7211" t="str">
            <v>3059 J</v>
          </cell>
          <cell r="B7211">
            <v>12506</v>
          </cell>
          <cell r="C7211">
            <v>45845</v>
          </cell>
          <cell r="D7211" t="str">
            <v>JILANI</v>
          </cell>
          <cell r="E7211" t="str">
            <v>Ahsan Zakka Printers Lahore</v>
          </cell>
        </row>
        <row r="7212">
          <cell r="A7212" t="str">
            <v>3060 J</v>
          </cell>
          <cell r="B7212">
            <v>12506</v>
          </cell>
          <cell r="C7212">
            <v>45845</v>
          </cell>
          <cell r="D7212" t="str">
            <v>JILANI</v>
          </cell>
          <cell r="E7212" t="str">
            <v>Ahsan Zakka Printers Lahore</v>
          </cell>
        </row>
        <row r="7213">
          <cell r="A7213" t="str">
            <v>3061 J</v>
          </cell>
          <cell r="B7213">
            <v>12507</v>
          </cell>
          <cell r="C7213">
            <v>45845</v>
          </cell>
          <cell r="D7213" t="str">
            <v>JILANI</v>
          </cell>
          <cell r="E7213" t="str">
            <v xml:space="preserve">Irfan Sab Azam Market Lahore </v>
          </cell>
        </row>
        <row r="7214">
          <cell r="A7214" t="str">
            <v>3062 J</v>
          </cell>
          <cell r="B7214">
            <v>12507</v>
          </cell>
          <cell r="C7214">
            <v>45845</v>
          </cell>
          <cell r="D7214" t="str">
            <v>JILANI</v>
          </cell>
          <cell r="E7214" t="str">
            <v xml:space="preserve">Irfan Sab Azam Market Lahore </v>
          </cell>
        </row>
        <row r="7215">
          <cell r="A7215" t="str">
            <v>3063 J</v>
          </cell>
          <cell r="B7215">
            <v>12508</v>
          </cell>
          <cell r="C7215">
            <v>45845</v>
          </cell>
          <cell r="D7215" t="str">
            <v>JILANI</v>
          </cell>
          <cell r="E7215" t="str">
            <v xml:space="preserve">Irfan Sab Azam Market Lahore </v>
          </cell>
        </row>
        <row r="7216">
          <cell r="A7216" t="str">
            <v>3064 J</v>
          </cell>
          <cell r="B7216">
            <v>12509</v>
          </cell>
          <cell r="C7216">
            <v>45845</v>
          </cell>
          <cell r="D7216" t="str">
            <v>JILANI</v>
          </cell>
          <cell r="E7216" t="str">
            <v>KB Bussniss Service Hattlor</v>
          </cell>
        </row>
        <row r="7217">
          <cell r="A7217" t="str">
            <v>3065 J</v>
          </cell>
          <cell r="B7217">
            <v>12510</v>
          </cell>
          <cell r="C7217">
            <v>45845</v>
          </cell>
          <cell r="D7217" t="str">
            <v>JILANI</v>
          </cell>
          <cell r="E7217" t="str">
            <v>CNR Auto Parts Lahore</v>
          </cell>
        </row>
        <row r="7218">
          <cell r="A7218" t="str">
            <v>3066 J</v>
          </cell>
          <cell r="B7218">
            <v>12511</v>
          </cell>
          <cell r="C7218">
            <v>45845</v>
          </cell>
          <cell r="D7218" t="str">
            <v>JILANI</v>
          </cell>
          <cell r="E7218" t="str">
            <v>Smart Cash And Carry Norkot</v>
          </cell>
        </row>
        <row r="7219">
          <cell r="A7219" t="str">
            <v>3067 J</v>
          </cell>
          <cell r="B7219">
            <v>12511</v>
          </cell>
          <cell r="C7219">
            <v>45845</v>
          </cell>
          <cell r="D7219" t="str">
            <v>JILANI</v>
          </cell>
          <cell r="E7219" t="str">
            <v>Smart Cash And Carry Norkot</v>
          </cell>
        </row>
        <row r="7220">
          <cell r="A7220" t="str">
            <v>3068 J</v>
          </cell>
          <cell r="B7220">
            <v>12512</v>
          </cell>
          <cell r="C7220">
            <v>45845</v>
          </cell>
          <cell r="D7220" t="str">
            <v>JILANI</v>
          </cell>
          <cell r="E7220" t="str">
            <v>Smart Cash And Carry Norkot</v>
          </cell>
        </row>
        <row r="7221">
          <cell r="A7221" t="str">
            <v>3069 J</v>
          </cell>
          <cell r="B7221">
            <v>12512</v>
          </cell>
          <cell r="C7221">
            <v>45845</v>
          </cell>
          <cell r="D7221" t="str">
            <v>JILANI</v>
          </cell>
          <cell r="E7221" t="str">
            <v>Smart Cash And Carry Norkot</v>
          </cell>
        </row>
        <row r="7222">
          <cell r="A7222" t="str">
            <v>1790 F</v>
          </cell>
          <cell r="B7222"/>
          <cell r="C7222">
            <v>45842</v>
          </cell>
          <cell r="D7222" t="str">
            <v>فینا</v>
          </cell>
          <cell r="E7222" t="str">
            <v>عثمان امین</v>
          </cell>
        </row>
        <row r="7223">
          <cell r="A7223" t="str">
            <v>1791 F</v>
          </cell>
          <cell r="B7223"/>
          <cell r="C7223">
            <v>45842</v>
          </cell>
          <cell r="D7223" t="str">
            <v>فینا</v>
          </cell>
          <cell r="E7223" t="str">
            <v>عثمان امین</v>
          </cell>
        </row>
        <row r="7224">
          <cell r="A7224" t="str">
            <v>1792 F</v>
          </cell>
          <cell r="B7224"/>
          <cell r="C7224">
            <v>45842</v>
          </cell>
          <cell r="D7224" t="str">
            <v>فینا</v>
          </cell>
          <cell r="E7224" t="str">
            <v>عثمان امین</v>
          </cell>
        </row>
        <row r="7225">
          <cell r="A7225" t="str">
            <v>1793 F</v>
          </cell>
          <cell r="B7225"/>
          <cell r="C7225">
            <v>45842</v>
          </cell>
          <cell r="D7225" t="str">
            <v>فینا</v>
          </cell>
          <cell r="E7225" t="str">
            <v>عثمان امین</v>
          </cell>
        </row>
        <row r="7226">
          <cell r="A7226" t="str">
            <v>1794 F</v>
          </cell>
          <cell r="B7226"/>
          <cell r="C7226">
            <v>45842</v>
          </cell>
          <cell r="D7226" t="str">
            <v>فینا</v>
          </cell>
          <cell r="E7226" t="str">
            <v>عثمان امین</v>
          </cell>
        </row>
        <row r="7227">
          <cell r="A7227" t="str">
            <v>1795 F</v>
          </cell>
          <cell r="B7227"/>
          <cell r="C7227">
            <v>45842</v>
          </cell>
          <cell r="D7227" t="str">
            <v>فینا</v>
          </cell>
          <cell r="E7227" t="str">
            <v>عثمان امین</v>
          </cell>
        </row>
        <row r="7228">
          <cell r="A7228" t="str">
            <v>1796 F</v>
          </cell>
          <cell r="B7228"/>
          <cell r="C7228">
            <v>45842</v>
          </cell>
          <cell r="D7228" t="str">
            <v>فینا</v>
          </cell>
          <cell r="E7228" t="str">
            <v>عثمان امین</v>
          </cell>
        </row>
        <row r="7229">
          <cell r="A7229" t="str">
            <v>1797 F</v>
          </cell>
          <cell r="B7229"/>
          <cell r="C7229">
            <v>45842</v>
          </cell>
          <cell r="D7229" t="str">
            <v>فینا</v>
          </cell>
          <cell r="E7229" t="str">
            <v>عثمان امین</v>
          </cell>
        </row>
        <row r="7230">
          <cell r="A7230" t="str">
            <v>1798 F</v>
          </cell>
          <cell r="B7230"/>
          <cell r="C7230">
            <v>45845</v>
          </cell>
          <cell r="D7230" t="str">
            <v>فینا</v>
          </cell>
          <cell r="E7230" t="str">
            <v>عثمان امین</v>
          </cell>
        </row>
        <row r="7231">
          <cell r="A7231" t="str">
            <v>1799 F</v>
          </cell>
          <cell r="B7231"/>
          <cell r="C7231">
            <v>45845</v>
          </cell>
          <cell r="D7231" t="str">
            <v>فینا</v>
          </cell>
          <cell r="E7231" t="str">
            <v>عثمان امین</v>
          </cell>
        </row>
        <row r="7232">
          <cell r="A7232" t="str">
            <v>1800 F</v>
          </cell>
          <cell r="B7232"/>
          <cell r="C7232">
            <v>45845</v>
          </cell>
          <cell r="D7232" t="str">
            <v>فینا</v>
          </cell>
          <cell r="E7232" t="str">
            <v>عثمان امین</v>
          </cell>
        </row>
        <row r="7233">
          <cell r="A7233" t="str">
            <v>1801 F</v>
          </cell>
          <cell r="B7233"/>
          <cell r="C7233">
            <v>45845</v>
          </cell>
          <cell r="D7233" t="str">
            <v>فینا</v>
          </cell>
          <cell r="E7233" t="str">
            <v>عثمان امین</v>
          </cell>
        </row>
        <row r="7234">
          <cell r="A7234" t="str">
            <v>7038/1</v>
          </cell>
          <cell r="B7234">
            <v>7038</v>
          </cell>
          <cell r="C7234">
            <v>45846</v>
          </cell>
          <cell r="D7234" t="str">
            <v>یونس صاحب</v>
          </cell>
          <cell r="E7234" t="str">
            <v>ایم زبیر پلاسٹک سرگودھا</v>
          </cell>
        </row>
        <row r="7235">
          <cell r="A7235" t="str">
            <v>7039/1</v>
          </cell>
          <cell r="B7235">
            <v>7039</v>
          </cell>
          <cell r="C7235">
            <v>45846</v>
          </cell>
          <cell r="D7235" t="str">
            <v>یونس صاحب</v>
          </cell>
          <cell r="E7235" t="str">
            <v>ایم دین پنڈی</v>
          </cell>
        </row>
        <row r="7236">
          <cell r="A7236" t="str">
            <v>7040/1</v>
          </cell>
          <cell r="B7236">
            <v>7040</v>
          </cell>
          <cell r="C7236">
            <v>45846</v>
          </cell>
          <cell r="D7236" t="str">
            <v>یونس صاحب</v>
          </cell>
          <cell r="E7236" t="str">
            <v>ہیڈ  آفس لاہور</v>
          </cell>
        </row>
        <row r="7237">
          <cell r="A7237" t="str">
            <v>7040/2</v>
          </cell>
          <cell r="B7237">
            <v>7040</v>
          </cell>
          <cell r="C7237">
            <v>45846</v>
          </cell>
          <cell r="D7237" t="str">
            <v>یونس صاحب</v>
          </cell>
          <cell r="E7237" t="str">
            <v>ہیڈ  آفس لاہور</v>
          </cell>
        </row>
        <row r="7238">
          <cell r="A7238" t="str">
            <v>7040/3</v>
          </cell>
          <cell r="B7238">
            <v>7040</v>
          </cell>
          <cell r="C7238">
            <v>45846</v>
          </cell>
          <cell r="D7238" t="str">
            <v>یونس صاحب</v>
          </cell>
          <cell r="E7238" t="str">
            <v>ہیڈ  آفس لاہور</v>
          </cell>
        </row>
        <row r="7239">
          <cell r="A7239" t="str">
            <v>7040/4</v>
          </cell>
          <cell r="B7239">
            <v>7040</v>
          </cell>
          <cell r="C7239">
            <v>45846</v>
          </cell>
          <cell r="D7239" t="str">
            <v>یونس صاحب</v>
          </cell>
          <cell r="E7239" t="str">
            <v>ہیڈ  آفس لاہور</v>
          </cell>
        </row>
        <row r="7240">
          <cell r="A7240" t="str">
            <v>7040/5</v>
          </cell>
          <cell r="B7240">
            <v>7040</v>
          </cell>
          <cell r="C7240">
            <v>45846</v>
          </cell>
          <cell r="D7240" t="str">
            <v>یونس صاحب</v>
          </cell>
          <cell r="E7240" t="str">
            <v>ہیڈ  آفس لاہور</v>
          </cell>
        </row>
        <row r="7241">
          <cell r="A7241" t="str">
            <v>7040/6</v>
          </cell>
          <cell r="B7241">
            <v>7040</v>
          </cell>
          <cell r="C7241">
            <v>45846</v>
          </cell>
          <cell r="D7241" t="str">
            <v>یونس صاحب</v>
          </cell>
          <cell r="E7241" t="str">
            <v>ہیڈ  آفس لاہور</v>
          </cell>
        </row>
        <row r="7242">
          <cell r="A7242" t="str">
            <v>7040/7</v>
          </cell>
          <cell r="B7242">
            <v>7040</v>
          </cell>
          <cell r="C7242">
            <v>45846</v>
          </cell>
          <cell r="D7242" t="str">
            <v>یونس صاحب</v>
          </cell>
          <cell r="E7242" t="str">
            <v>ہیڈ  آفس لاہور</v>
          </cell>
        </row>
        <row r="7243">
          <cell r="A7243" t="str">
            <v>7040/8</v>
          </cell>
          <cell r="B7243">
            <v>7040</v>
          </cell>
          <cell r="C7243">
            <v>45846</v>
          </cell>
          <cell r="D7243" t="str">
            <v>یونس صاحب</v>
          </cell>
          <cell r="E7243" t="str">
            <v>ہیڈ  آفس لاہور</v>
          </cell>
        </row>
        <row r="7244">
          <cell r="A7244" t="str">
            <v>7040/9</v>
          </cell>
          <cell r="B7244">
            <v>7040</v>
          </cell>
          <cell r="C7244">
            <v>45846</v>
          </cell>
          <cell r="D7244" t="str">
            <v>یونس صاحب</v>
          </cell>
          <cell r="E7244" t="str">
            <v>ہیڈ  آفس لاہور</v>
          </cell>
        </row>
        <row r="7245">
          <cell r="A7245" t="str">
            <v>7041/1</v>
          </cell>
          <cell r="B7245">
            <v>7041</v>
          </cell>
          <cell r="C7245">
            <v>45846</v>
          </cell>
          <cell r="D7245" t="str">
            <v>یونس صاحب</v>
          </cell>
          <cell r="E7245" t="str">
            <v>محبوب مقبول گوجرانوالہ</v>
          </cell>
        </row>
        <row r="7246">
          <cell r="A7246" t="str">
            <v>7041/2</v>
          </cell>
          <cell r="B7246">
            <v>7041</v>
          </cell>
          <cell r="C7246">
            <v>45846</v>
          </cell>
          <cell r="D7246" t="str">
            <v>یونس صاحب</v>
          </cell>
          <cell r="E7246" t="str">
            <v>محبوب مقبول گوجرانوالہ</v>
          </cell>
        </row>
        <row r="7247">
          <cell r="A7247" t="str">
            <v>7041/3</v>
          </cell>
          <cell r="B7247">
            <v>7041</v>
          </cell>
          <cell r="C7247">
            <v>45846</v>
          </cell>
          <cell r="D7247" t="str">
            <v>یونس صاحب</v>
          </cell>
          <cell r="E7247" t="str">
            <v>محبوب مقبول گوجرانوالہ</v>
          </cell>
        </row>
        <row r="7248">
          <cell r="A7248" t="str">
            <v>7041/4</v>
          </cell>
          <cell r="B7248">
            <v>7041</v>
          </cell>
          <cell r="C7248">
            <v>45846</v>
          </cell>
          <cell r="D7248" t="str">
            <v>یونس صاحب</v>
          </cell>
          <cell r="E7248" t="str">
            <v>محبوب مقبول گوجرانوالہ</v>
          </cell>
        </row>
        <row r="7249">
          <cell r="A7249" t="str">
            <v>7041/5</v>
          </cell>
          <cell r="B7249">
            <v>7041</v>
          </cell>
          <cell r="C7249">
            <v>45846</v>
          </cell>
          <cell r="D7249" t="str">
            <v>یونس صاحب</v>
          </cell>
          <cell r="E7249" t="str">
            <v>محبوب مقبول گوجرانوالہ</v>
          </cell>
        </row>
        <row r="7250">
          <cell r="A7250" t="str">
            <v>7041/6</v>
          </cell>
          <cell r="B7250">
            <v>7041</v>
          </cell>
          <cell r="C7250">
            <v>45846</v>
          </cell>
          <cell r="D7250" t="str">
            <v>یونس صاحب</v>
          </cell>
          <cell r="E7250" t="str">
            <v>محبوب مقبول گوجرانوالہ</v>
          </cell>
        </row>
        <row r="7251">
          <cell r="A7251" t="str">
            <v>7041/7</v>
          </cell>
          <cell r="B7251">
            <v>7041</v>
          </cell>
          <cell r="C7251">
            <v>45846</v>
          </cell>
          <cell r="D7251" t="str">
            <v>یونس صاحب</v>
          </cell>
          <cell r="E7251" t="str">
            <v>محبوب مقبول گوجرانوالہ</v>
          </cell>
        </row>
        <row r="7252">
          <cell r="A7252" t="str">
            <v>7041/8</v>
          </cell>
          <cell r="B7252">
            <v>7041</v>
          </cell>
          <cell r="C7252">
            <v>45846</v>
          </cell>
          <cell r="D7252" t="str">
            <v>یونس صاحب</v>
          </cell>
          <cell r="E7252" t="str">
            <v>محبوب مقبول گوجرانوالہ</v>
          </cell>
        </row>
        <row r="7253">
          <cell r="A7253" t="str">
            <v>7041/9</v>
          </cell>
          <cell r="B7253">
            <v>7041</v>
          </cell>
          <cell r="C7253">
            <v>45846</v>
          </cell>
          <cell r="D7253" t="str">
            <v>یونس صاحب</v>
          </cell>
          <cell r="E7253" t="str">
            <v>محبوب مقبول گوجرانوالہ</v>
          </cell>
        </row>
        <row r="7254">
          <cell r="A7254" t="str">
            <v>7041/10</v>
          </cell>
          <cell r="B7254">
            <v>7041</v>
          </cell>
          <cell r="C7254">
            <v>45846</v>
          </cell>
          <cell r="D7254" t="str">
            <v>یونس صاحب</v>
          </cell>
          <cell r="E7254" t="str">
            <v>محبوب مقبول گوجرانوالہ</v>
          </cell>
        </row>
        <row r="7255">
          <cell r="A7255" t="str">
            <v>7041/11</v>
          </cell>
          <cell r="B7255">
            <v>7041</v>
          </cell>
          <cell r="C7255">
            <v>45846</v>
          </cell>
          <cell r="D7255" t="str">
            <v>یونس صاحب</v>
          </cell>
          <cell r="E7255" t="str">
            <v>محبوب مقبول گوجرانوالہ</v>
          </cell>
        </row>
        <row r="7256">
          <cell r="A7256" t="str">
            <v>7041/12</v>
          </cell>
          <cell r="B7256">
            <v>7041</v>
          </cell>
          <cell r="C7256">
            <v>45846</v>
          </cell>
          <cell r="D7256" t="str">
            <v>یونس صاحب</v>
          </cell>
          <cell r="E7256" t="str">
            <v>محبوب مقبول گوجرانوالہ</v>
          </cell>
        </row>
        <row r="7257">
          <cell r="A7257" t="str">
            <v>7041/13</v>
          </cell>
          <cell r="B7257">
            <v>7041</v>
          </cell>
          <cell r="C7257">
            <v>45846</v>
          </cell>
          <cell r="D7257" t="str">
            <v>یونس صاحب</v>
          </cell>
          <cell r="E7257" t="str">
            <v>محبوب مقبول گوجرانوالہ</v>
          </cell>
        </row>
        <row r="7258">
          <cell r="A7258" t="str">
            <v>7041/14</v>
          </cell>
          <cell r="B7258">
            <v>7041</v>
          </cell>
          <cell r="C7258">
            <v>45846</v>
          </cell>
          <cell r="D7258" t="str">
            <v>یونس صاحب</v>
          </cell>
          <cell r="E7258" t="str">
            <v>محبوب مقبول گوجرانوالہ</v>
          </cell>
        </row>
        <row r="7259">
          <cell r="A7259" t="str">
            <v>7041/15</v>
          </cell>
          <cell r="B7259">
            <v>7041</v>
          </cell>
          <cell r="C7259">
            <v>45846</v>
          </cell>
          <cell r="D7259" t="str">
            <v>یونس صاحب</v>
          </cell>
          <cell r="E7259" t="str">
            <v>محبوب مقبول گوجرانوالہ</v>
          </cell>
        </row>
        <row r="7260">
          <cell r="A7260" t="str">
            <v>7044/1</v>
          </cell>
          <cell r="B7260">
            <v>7044</v>
          </cell>
          <cell r="C7260">
            <v>45847</v>
          </cell>
          <cell r="D7260" t="str">
            <v>یونس صاحب</v>
          </cell>
          <cell r="E7260" t="str">
            <v>عمران مشتاق پتوکی</v>
          </cell>
        </row>
        <row r="7261">
          <cell r="A7261" t="str">
            <v>7044/2</v>
          </cell>
          <cell r="B7261">
            <v>7044</v>
          </cell>
          <cell r="C7261">
            <v>45847</v>
          </cell>
          <cell r="D7261" t="str">
            <v>یونس صاحب</v>
          </cell>
          <cell r="E7261" t="str">
            <v>عمران مشتاق پتوکی</v>
          </cell>
        </row>
        <row r="7262">
          <cell r="A7262" t="str">
            <v>7045/1</v>
          </cell>
          <cell r="B7262">
            <v>7045</v>
          </cell>
          <cell r="C7262">
            <v>45847</v>
          </cell>
          <cell r="D7262" t="str">
            <v>یونس صاحب</v>
          </cell>
          <cell r="E7262" t="str">
            <v>ایم   عمران    پاکستان مارکیٹ</v>
          </cell>
        </row>
        <row r="7263">
          <cell r="A7263" t="str">
            <v>7045/2</v>
          </cell>
          <cell r="B7263">
            <v>7045</v>
          </cell>
          <cell r="C7263">
            <v>45847</v>
          </cell>
          <cell r="D7263" t="str">
            <v>یونس صاحب</v>
          </cell>
          <cell r="E7263" t="str">
            <v>ایم   عمران    پاکستان مارکیٹ</v>
          </cell>
        </row>
        <row r="7264">
          <cell r="A7264" t="str">
            <v>7045/3</v>
          </cell>
          <cell r="B7264">
            <v>7045</v>
          </cell>
          <cell r="C7264">
            <v>45847</v>
          </cell>
          <cell r="D7264" t="str">
            <v>یونس صاحب</v>
          </cell>
          <cell r="E7264" t="str">
            <v>ایم   عمران    پاکستان مارکیٹ</v>
          </cell>
        </row>
        <row r="7265">
          <cell r="A7265" t="str">
            <v>7046/1</v>
          </cell>
          <cell r="B7265">
            <v>7046</v>
          </cell>
          <cell r="C7265">
            <v>45847</v>
          </cell>
          <cell r="D7265" t="str">
            <v>یونس صاحب</v>
          </cell>
          <cell r="E7265" t="str">
            <v>ایم   عمران    پاکستان مارکیٹ</v>
          </cell>
        </row>
        <row r="7266">
          <cell r="A7266" t="str">
            <v>7046/2</v>
          </cell>
          <cell r="B7266">
            <v>7046</v>
          </cell>
          <cell r="C7266">
            <v>45847</v>
          </cell>
          <cell r="D7266" t="str">
            <v>یونس صاحب</v>
          </cell>
          <cell r="E7266" t="str">
            <v>ایم   عمران    پاکستان مارکیٹ</v>
          </cell>
        </row>
        <row r="7267">
          <cell r="A7267" t="str">
            <v>7047/1</v>
          </cell>
          <cell r="B7267">
            <v>7047</v>
          </cell>
          <cell r="C7267">
            <v>45847</v>
          </cell>
          <cell r="D7267" t="str">
            <v>یونس صاحب</v>
          </cell>
          <cell r="E7267" t="str">
            <v xml:space="preserve">ایم بلال اعظم مارکیٹ </v>
          </cell>
        </row>
        <row r="7268">
          <cell r="A7268" t="str">
            <v>7048/1</v>
          </cell>
          <cell r="B7268">
            <v>7048</v>
          </cell>
          <cell r="C7268">
            <v>45847</v>
          </cell>
          <cell r="D7268" t="str">
            <v>یونس صاحب</v>
          </cell>
          <cell r="E7268" t="str">
            <v>عرفان احمد اعظم مارکیٹ</v>
          </cell>
        </row>
        <row r="7269">
          <cell r="A7269" t="str">
            <v>1802 F</v>
          </cell>
          <cell r="B7269"/>
          <cell r="C7269">
            <v>45846</v>
          </cell>
          <cell r="D7269" t="str">
            <v>Fina</v>
          </cell>
          <cell r="E7269" t="str">
            <v>Usman Amin</v>
          </cell>
        </row>
        <row r="7270">
          <cell r="A7270" t="str">
            <v>1803 F</v>
          </cell>
          <cell r="B7270"/>
          <cell r="C7270">
            <v>45846</v>
          </cell>
          <cell r="D7270" t="str">
            <v>Fina</v>
          </cell>
          <cell r="E7270" t="str">
            <v>Usman Amin</v>
          </cell>
        </row>
        <row r="7271">
          <cell r="A7271" t="str">
            <v>1804 F</v>
          </cell>
          <cell r="B7271"/>
          <cell r="C7271">
            <v>45846</v>
          </cell>
          <cell r="D7271" t="str">
            <v>Fina</v>
          </cell>
          <cell r="E7271" t="str">
            <v>Usman Amin</v>
          </cell>
        </row>
        <row r="7272">
          <cell r="A7272" t="str">
            <v>1805 F</v>
          </cell>
          <cell r="B7272"/>
          <cell r="C7272">
            <v>45846</v>
          </cell>
          <cell r="D7272" t="str">
            <v>Fina</v>
          </cell>
          <cell r="E7272" t="str">
            <v>Usman Amin</v>
          </cell>
        </row>
        <row r="7273">
          <cell r="A7273" t="str">
            <v>1806 F</v>
          </cell>
          <cell r="B7273"/>
          <cell r="C7273">
            <v>45846</v>
          </cell>
          <cell r="D7273" t="str">
            <v>Fina</v>
          </cell>
          <cell r="E7273" t="str">
            <v>Usman Amin</v>
          </cell>
        </row>
        <row r="7274">
          <cell r="A7274" t="str">
            <v>1807 F</v>
          </cell>
          <cell r="B7274"/>
          <cell r="C7274">
            <v>45846</v>
          </cell>
          <cell r="D7274" t="str">
            <v>Fina</v>
          </cell>
          <cell r="E7274" t="str">
            <v>Usman Amin</v>
          </cell>
        </row>
        <row r="7275">
          <cell r="A7275" t="str">
            <v>1808 F</v>
          </cell>
          <cell r="B7275"/>
          <cell r="C7275">
            <v>45846</v>
          </cell>
          <cell r="D7275" t="str">
            <v>Fina</v>
          </cell>
          <cell r="E7275" t="str">
            <v>Usman Amin</v>
          </cell>
        </row>
        <row r="7276">
          <cell r="A7276" t="str">
            <v>1809 F</v>
          </cell>
          <cell r="B7276"/>
          <cell r="C7276">
            <v>45846</v>
          </cell>
          <cell r="D7276" t="str">
            <v>Fina</v>
          </cell>
          <cell r="E7276" t="str">
            <v>Usman Amin</v>
          </cell>
        </row>
        <row r="7277">
          <cell r="A7277" t="str">
            <v>1810 F</v>
          </cell>
          <cell r="B7277"/>
          <cell r="C7277">
            <v>45846</v>
          </cell>
          <cell r="D7277" t="str">
            <v>Fina</v>
          </cell>
          <cell r="E7277" t="str">
            <v>Usman Amin</v>
          </cell>
        </row>
        <row r="7278">
          <cell r="A7278" t="str">
            <v>1811 F</v>
          </cell>
          <cell r="B7278"/>
          <cell r="C7278">
            <v>45846</v>
          </cell>
          <cell r="D7278" t="str">
            <v>Fina</v>
          </cell>
          <cell r="E7278" t="str">
            <v>Usman Amin</v>
          </cell>
        </row>
        <row r="7279">
          <cell r="A7279" t="str">
            <v>1812 F</v>
          </cell>
          <cell r="B7279"/>
          <cell r="C7279">
            <v>45846</v>
          </cell>
          <cell r="D7279" t="str">
            <v>Fina</v>
          </cell>
          <cell r="E7279" t="str">
            <v>Usman Amin</v>
          </cell>
        </row>
        <row r="7280">
          <cell r="A7280" t="str">
            <v>1813 F</v>
          </cell>
          <cell r="B7280"/>
          <cell r="C7280">
            <v>45846</v>
          </cell>
          <cell r="D7280" t="str">
            <v>Fina</v>
          </cell>
          <cell r="E7280" t="str">
            <v>Usman Amin</v>
          </cell>
        </row>
        <row r="7281">
          <cell r="A7281" t="str">
            <v>1814 F</v>
          </cell>
          <cell r="B7281"/>
          <cell r="C7281">
            <v>45847</v>
          </cell>
          <cell r="D7281" t="str">
            <v>Fina</v>
          </cell>
          <cell r="E7281" t="str">
            <v>Usman Amin</v>
          </cell>
        </row>
        <row r="7282">
          <cell r="A7282" t="str">
            <v>1815 F</v>
          </cell>
          <cell r="B7282"/>
          <cell r="C7282">
            <v>45847</v>
          </cell>
          <cell r="D7282" t="str">
            <v>Fina</v>
          </cell>
          <cell r="E7282" t="str">
            <v>Usman Amin</v>
          </cell>
        </row>
        <row r="7283">
          <cell r="A7283" t="str">
            <v>1816 F</v>
          </cell>
          <cell r="B7283"/>
          <cell r="C7283">
            <v>45847</v>
          </cell>
          <cell r="D7283" t="str">
            <v>Fina</v>
          </cell>
          <cell r="E7283" t="str">
            <v>Usman Amin</v>
          </cell>
        </row>
        <row r="7284">
          <cell r="A7284" t="str">
            <v>1817 F</v>
          </cell>
          <cell r="B7284"/>
          <cell r="C7284">
            <v>45847</v>
          </cell>
          <cell r="D7284" t="str">
            <v>Fina</v>
          </cell>
          <cell r="E7284" t="str">
            <v>Usman Amin</v>
          </cell>
        </row>
        <row r="7285">
          <cell r="A7285" t="str">
            <v>1818 F</v>
          </cell>
          <cell r="B7285"/>
          <cell r="C7285">
            <v>45847</v>
          </cell>
          <cell r="D7285" t="str">
            <v>Fina</v>
          </cell>
          <cell r="E7285" t="str">
            <v>Usman Amin</v>
          </cell>
        </row>
        <row r="7286">
          <cell r="A7286" t="str">
            <v>1819 F</v>
          </cell>
          <cell r="B7286"/>
          <cell r="C7286">
            <v>45847</v>
          </cell>
          <cell r="D7286" t="str">
            <v>Fina</v>
          </cell>
          <cell r="E7286" t="str">
            <v>Usman Amin</v>
          </cell>
        </row>
        <row r="7287">
          <cell r="A7287" t="str">
            <v>1820 F</v>
          </cell>
          <cell r="B7287"/>
          <cell r="C7287">
            <v>45848</v>
          </cell>
          <cell r="D7287" t="str">
            <v>Fina</v>
          </cell>
          <cell r="E7287" t="str">
            <v>Usman Amin</v>
          </cell>
        </row>
        <row r="7288">
          <cell r="A7288" t="str">
            <v>1821 F</v>
          </cell>
          <cell r="B7288"/>
          <cell r="C7288">
            <v>45848</v>
          </cell>
          <cell r="D7288" t="str">
            <v>Fina</v>
          </cell>
          <cell r="E7288" t="str">
            <v>Usman Amin</v>
          </cell>
        </row>
        <row r="7289">
          <cell r="A7289" t="str">
            <v>3070 J</v>
          </cell>
          <cell r="B7289">
            <v>12513</v>
          </cell>
          <cell r="C7289">
            <v>45845</v>
          </cell>
          <cell r="D7289" t="str">
            <v>JILANI</v>
          </cell>
          <cell r="E7289" t="str">
            <v xml:space="preserve">Ramada Gulberg Lahore </v>
          </cell>
        </row>
        <row r="7290">
          <cell r="A7290" t="str">
            <v>3071 J</v>
          </cell>
          <cell r="B7290">
            <v>12514</v>
          </cell>
          <cell r="C7290">
            <v>45845</v>
          </cell>
          <cell r="D7290" t="str">
            <v>JILANI</v>
          </cell>
          <cell r="E7290" t="str">
            <v>Hamza Plastic Peshawar</v>
          </cell>
        </row>
        <row r="7291">
          <cell r="A7291" t="str">
            <v>3072 J</v>
          </cell>
          <cell r="B7291">
            <v>12515</v>
          </cell>
          <cell r="C7291">
            <v>45845</v>
          </cell>
          <cell r="D7291" t="str">
            <v>JILANI</v>
          </cell>
          <cell r="E7291" t="str">
            <v xml:space="preserve">Bin Yousaf Chaburji </v>
          </cell>
        </row>
        <row r="7292">
          <cell r="A7292" t="str">
            <v>3073 J</v>
          </cell>
          <cell r="B7292">
            <v>12515</v>
          </cell>
          <cell r="C7292">
            <v>45845</v>
          </cell>
          <cell r="D7292" t="str">
            <v>JILANI</v>
          </cell>
          <cell r="E7292" t="str">
            <v xml:space="preserve">Bin Yousaf Chaburji </v>
          </cell>
        </row>
        <row r="7293">
          <cell r="A7293" t="str">
            <v>3074 J</v>
          </cell>
          <cell r="B7293">
            <v>12516</v>
          </cell>
          <cell r="C7293">
            <v>45845</v>
          </cell>
          <cell r="D7293" t="str">
            <v>JILANI</v>
          </cell>
          <cell r="E7293" t="str">
            <v>M. Imran Pakistan Market Lahore</v>
          </cell>
        </row>
        <row r="7294">
          <cell r="A7294" t="str">
            <v>3075 J</v>
          </cell>
          <cell r="B7294">
            <v>12516</v>
          </cell>
          <cell r="C7294">
            <v>45845</v>
          </cell>
          <cell r="D7294" t="str">
            <v>JILANI</v>
          </cell>
          <cell r="E7294" t="str">
            <v>M. Imran Pakistan Market Lahore</v>
          </cell>
        </row>
        <row r="7295">
          <cell r="A7295" t="str">
            <v>3076 J</v>
          </cell>
          <cell r="B7295"/>
          <cell r="C7295">
            <v>45845</v>
          </cell>
          <cell r="D7295" t="str">
            <v>OTHER</v>
          </cell>
          <cell r="E7295" t="str">
            <v>Jilani Plastic</v>
          </cell>
        </row>
        <row r="7296">
          <cell r="A7296" t="str">
            <v>3077 J</v>
          </cell>
          <cell r="B7296"/>
          <cell r="C7296">
            <v>45845</v>
          </cell>
          <cell r="D7296" t="str">
            <v>OTHER</v>
          </cell>
          <cell r="E7296" t="str">
            <v>Jilani Poly Stock</v>
          </cell>
        </row>
        <row r="7297">
          <cell r="A7297" t="str">
            <v>3078 J</v>
          </cell>
          <cell r="B7297">
            <v>12517</v>
          </cell>
          <cell r="C7297">
            <v>45845</v>
          </cell>
          <cell r="D7297" t="str">
            <v>JILANI</v>
          </cell>
          <cell r="E7297" t="str">
            <v>Alam Bakers Shahdrah</v>
          </cell>
        </row>
        <row r="7298">
          <cell r="A7298" t="str">
            <v>3079 J</v>
          </cell>
          <cell r="B7298">
            <v>12517</v>
          </cell>
          <cell r="C7298">
            <v>45845</v>
          </cell>
          <cell r="D7298" t="str">
            <v>JILANI</v>
          </cell>
          <cell r="E7298" t="str">
            <v>Alam Bakers Shahdrah</v>
          </cell>
        </row>
        <row r="7299">
          <cell r="A7299" t="str">
            <v>3080 J</v>
          </cell>
          <cell r="B7299">
            <v>12518</v>
          </cell>
          <cell r="C7299">
            <v>45845</v>
          </cell>
          <cell r="D7299" t="str">
            <v>JILANI</v>
          </cell>
          <cell r="E7299" t="str">
            <v>Alam Bakers Shahdrah</v>
          </cell>
        </row>
        <row r="7300">
          <cell r="A7300" t="str">
            <v>3081 J</v>
          </cell>
          <cell r="B7300">
            <v>12519</v>
          </cell>
          <cell r="C7300">
            <v>45845</v>
          </cell>
          <cell r="D7300" t="str">
            <v>JILANI</v>
          </cell>
          <cell r="E7300" t="str">
            <v>Alam Bakers Shahdrah</v>
          </cell>
        </row>
        <row r="7301">
          <cell r="A7301" t="str">
            <v>3082 J</v>
          </cell>
          <cell r="B7301">
            <v>12520</v>
          </cell>
          <cell r="C7301">
            <v>45845</v>
          </cell>
          <cell r="D7301" t="str">
            <v>JILANI</v>
          </cell>
          <cell r="E7301" t="str">
            <v>Service Industry Gujrat</v>
          </cell>
        </row>
        <row r="7302">
          <cell r="A7302" t="str">
            <v>3083 J</v>
          </cell>
          <cell r="B7302">
            <v>12521</v>
          </cell>
          <cell r="C7302">
            <v>45845</v>
          </cell>
          <cell r="D7302" t="str">
            <v>JILANI</v>
          </cell>
          <cell r="E7302" t="str">
            <v>Service Industry Gujrat</v>
          </cell>
        </row>
        <row r="7303">
          <cell r="A7303" t="str">
            <v>3084 J</v>
          </cell>
          <cell r="B7303">
            <v>12522</v>
          </cell>
          <cell r="C7303">
            <v>45845</v>
          </cell>
          <cell r="D7303" t="str">
            <v>JILANI</v>
          </cell>
          <cell r="E7303" t="str">
            <v>Service Industry Gujrat</v>
          </cell>
        </row>
        <row r="7304">
          <cell r="A7304" t="str">
            <v>3085 J</v>
          </cell>
          <cell r="B7304">
            <v>12523</v>
          </cell>
          <cell r="C7304">
            <v>45845</v>
          </cell>
          <cell r="D7304" t="str">
            <v>JILANI</v>
          </cell>
          <cell r="E7304" t="str">
            <v>Shoket Plus DHA Lahore Care Of Mubarik M/Gate (P1111)</v>
          </cell>
        </row>
        <row r="7305">
          <cell r="A7305" t="str">
            <v>3086 J</v>
          </cell>
          <cell r="B7305">
            <v>12524</v>
          </cell>
          <cell r="C7305">
            <v>45845</v>
          </cell>
          <cell r="D7305" t="str">
            <v>JILANI</v>
          </cell>
          <cell r="E7305" t="str">
            <v>Alkaram Pharmacy Dinga</v>
          </cell>
        </row>
        <row r="7306">
          <cell r="A7306" t="str">
            <v>3087 J</v>
          </cell>
          <cell r="B7306">
            <v>12525</v>
          </cell>
          <cell r="C7306">
            <v>45845</v>
          </cell>
          <cell r="D7306" t="str">
            <v>JILANI</v>
          </cell>
          <cell r="E7306" t="str">
            <v>KOS Joint Oil Company LHR</v>
          </cell>
        </row>
        <row r="7307">
          <cell r="A7307" t="str">
            <v>3088 J</v>
          </cell>
          <cell r="B7307">
            <v>12526</v>
          </cell>
          <cell r="C7307">
            <v>45845</v>
          </cell>
          <cell r="D7307" t="str">
            <v>JILANI</v>
          </cell>
          <cell r="E7307" t="str">
            <v>Waqas Wollan Mills Gujranwala</v>
          </cell>
        </row>
        <row r="7308">
          <cell r="A7308" t="str">
            <v>3089 J</v>
          </cell>
          <cell r="B7308">
            <v>12526</v>
          </cell>
          <cell r="C7308">
            <v>45845</v>
          </cell>
          <cell r="D7308" t="str">
            <v>JILANI</v>
          </cell>
          <cell r="E7308" t="str">
            <v>Waqas Wollan Mills Gujranwala</v>
          </cell>
        </row>
        <row r="7309">
          <cell r="A7309" t="str">
            <v>3090 J</v>
          </cell>
          <cell r="B7309">
            <v>12527</v>
          </cell>
          <cell r="C7309">
            <v>45845</v>
          </cell>
          <cell r="D7309" t="str">
            <v>JILANI</v>
          </cell>
          <cell r="E7309" t="str">
            <v>Waqas Wollan Mills Gujranwala</v>
          </cell>
        </row>
        <row r="7310">
          <cell r="A7310" t="str">
            <v>3091 J</v>
          </cell>
          <cell r="B7310">
            <v>12528</v>
          </cell>
          <cell r="C7310">
            <v>45845</v>
          </cell>
          <cell r="D7310" t="str">
            <v>JILANI</v>
          </cell>
          <cell r="E7310" t="str">
            <v>Waqas Wollan Mills Gujranwala</v>
          </cell>
        </row>
        <row r="7311">
          <cell r="A7311" t="str">
            <v>3092 J</v>
          </cell>
          <cell r="B7311">
            <v>12529</v>
          </cell>
          <cell r="C7311">
            <v>45845</v>
          </cell>
          <cell r="D7311" t="str">
            <v>JILANI</v>
          </cell>
          <cell r="E7311" t="str">
            <v>Waqas Wollan Mills Gujranwala</v>
          </cell>
        </row>
        <row r="7312">
          <cell r="A7312" t="str">
            <v>3093 J</v>
          </cell>
          <cell r="B7312">
            <v>12529</v>
          </cell>
          <cell r="C7312">
            <v>45845</v>
          </cell>
          <cell r="D7312" t="str">
            <v>JILANI</v>
          </cell>
          <cell r="E7312" t="str">
            <v>Waqas Wollan Mills Gujranwala</v>
          </cell>
        </row>
        <row r="7313">
          <cell r="A7313" t="str">
            <v>3094 J</v>
          </cell>
          <cell r="B7313">
            <v>12529</v>
          </cell>
          <cell r="C7313">
            <v>45845</v>
          </cell>
          <cell r="D7313" t="str">
            <v>JILANI</v>
          </cell>
          <cell r="E7313" t="str">
            <v>Waqas Wollan Mills Gujranwala</v>
          </cell>
        </row>
        <row r="7314">
          <cell r="A7314" t="str">
            <v>3095 J</v>
          </cell>
          <cell r="B7314">
            <v>12529</v>
          </cell>
          <cell r="C7314">
            <v>45845</v>
          </cell>
          <cell r="D7314" t="str">
            <v>JILANI</v>
          </cell>
          <cell r="E7314" t="str">
            <v>Waqas Wollan Mills Gujranwala</v>
          </cell>
        </row>
        <row r="7315">
          <cell r="A7315" t="str">
            <v>3096 J</v>
          </cell>
          <cell r="B7315">
            <v>12530</v>
          </cell>
          <cell r="C7315">
            <v>45845</v>
          </cell>
          <cell r="D7315" t="str">
            <v>JILANI</v>
          </cell>
          <cell r="E7315" t="str">
            <v>Waqas Wollan Mills Gujranwala</v>
          </cell>
        </row>
        <row r="7316">
          <cell r="A7316" t="str">
            <v>3097 J</v>
          </cell>
          <cell r="B7316">
            <v>12530</v>
          </cell>
          <cell r="C7316">
            <v>45845</v>
          </cell>
          <cell r="D7316" t="str">
            <v>JILANI</v>
          </cell>
          <cell r="E7316" t="str">
            <v>Waqas Wollan Mills Gujranwala</v>
          </cell>
        </row>
        <row r="7317">
          <cell r="A7317" t="str">
            <v>3098 J</v>
          </cell>
          <cell r="B7317">
            <v>12531</v>
          </cell>
          <cell r="C7317">
            <v>45845</v>
          </cell>
          <cell r="D7317" t="str">
            <v>JILANI</v>
          </cell>
          <cell r="E7317" t="str">
            <v>Waqas Wollan Mills Gujranwala</v>
          </cell>
        </row>
        <row r="7318">
          <cell r="A7318" t="str">
            <v>3099 J</v>
          </cell>
          <cell r="B7318">
            <v>12531</v>
          </cell>
          <cell r="C7318">
            <v>45845</v>
          </cell>
          <cell r="D7318" t="str">
            <v>JILANI</v>
          </cell>
          <cell r="E7318" t="str">
            <v>Waqas Wollan Mills Gujranwala</v>
          </cell>
        </row>
        <row r="7319">
          <cell r="A7319" t="str">
            <v>3100 J</v>
          </cell>
          <cell r="B7319">
            <v>12532</v>
          </cell>
          <cell r="C7319">
            <v>45845</v>
          </cell>
          <cell r="D7319" t="str">
            <v>JILANI</v>
          </cell>
          <cell r="E7319" t="str">
            <v>Waqas Wollan Mills Gujranwala</v>
          </cell>
        </row>
        <row r="7320">
          <cell r="A7320" t="str">
            <v>3101 J</v>
          </cell>
          <cell r="B7320">
            <v>12532</v>
          </cell>
          <cell r="C7320">
            <v>45845</v>
          </cell>
          <cell r="D7320" t="str">
            <v>JILANI</v>
          </cell>
          <cell r="E7320" t="str">
            <v>Waqas Wollan Mills Gujranwala</v>
          </cell>
        </row>
        <row r="7321">
          <cell r="A7321" t="str">
            <v>3102 J</v>
          </cell>
          <cell r="B7321">
            <v>12532</v>
          </cell>
          <cell r="C7321">
            <v>45845</v>
          </cell>
          <cell r="D7321" t="str">
            <v>JILANI</v>
          </cell>
          <cell r="E7321" t="str">
            <v>Waqas Wollan Mills Gujranwala</v>
          </cell>
        </row>
        <row r="7322">
          <cell r="A7322" t="str">
            <v>3103 J</v>
          </cell>
          <cell r="B7322">
            <v>12532</v>
          </cell>
          <cell r="C7322">
            <v>45845</v>
          </cell>
          <cell r="D7322" t="str">
            <v>JILANI</v>
          </cell>
          <cell r="E7322" t="str">
            <v>Waqas Wollan Mills Gujranwala</v>
          </cell>
        </row>
        <row r="7323">
          <cell r="A7323" t="str">
            <v>3104 J</v>
          </cell>
          <cell r="B7323"/>
          <cell r="C7323">
            <v>45845</v>
          </cell>
          <cell r="D7323" t="str">
            <v>OTHER</v>
          </cell>
          <cell r="E7323" t="str">
            <v>Jilani Plastic</v>
          </cell>
        </row>
        <row r="7324">
          <cell r="A7324" t="str">
            <v>3105 J</v>
          </cell>
          <cell r="B7324"/>
          <cell r="C7324">
            <v>45847</v>
          </cell>
          <cell r="D7324" t="str">
            <v>OTHER</v>
          </cell>
          <cell r="E7324" t="str">
            <v>SUNCROP GROUP PAKISTAN</v>
          </cell>
        </row>
        <row r="7325">
          <cell r="A7325" t="str">
            <v>3106 J</v>
          </cell>
          <cell r="B7325">
            <v>12533</v>
          </cell>
          <cell r="C7325">
            <v>45846</v>
          </cell>
          <cell r="D7325" t="str">
            <v>JILANI</v>
          </cell>
          <cell r="E7325" t="str">
            <v>Karss Paint Industry Pvt LTD</v>
          </cell>
        </row>
        <row r="7326">
          <cell r="A7326" t="str">
            <v>3107 J</v>
          </cell>
          <cell r="B7326">
            <v>12534</v>
          </cell>
          <cell r="C7326">
            <v>45846</v>
          </cell>
          <cell r="D7326" t="str">
            <v>JILANI</v>
          </cell>
          <cell r="E7326" t="str">
            <v>Atlas Honda LTD (SKP)</v>
          </cell>
        </row>
        <row r="7327">
          <cell r="A7327" t="str">
            <v>3108 J</v>
          </cell>
          <cell r="B7327">
            <v>12535</v>
          </cell>
          <cell r="C7327">
            <v>45846</v>
          </cell>
          <cell r="D7327" t="str">
            <v>JILANI</v>
          </cell>
          <cell r="E7327" t="str">
            <v>Atlas Honda LTD (SKP)</v>
          </cell>
        </row>
        <row r="7328">
          <cell r="A7328" t="str">
            <v>3109 J</v>
          </cell>
          <cell r="B7328">
            <v>12536</v>
          </cell>
          <cell r="C7328">
            <v>45846</v>
          </cell>
          <cell r="D7328" t="str">
            <v>JILANI</v>
          </cell>
          <cell r="E7328" t="str">
            <v>Atlas Honda LTD (SKP)</v>
          </cell>
        </row>
        <row r="7329">
          <cell r="A7329" t="str">
            <v>3110 J</v>
          </cell>
          <cell r="B7329">
            <v>12537</v>
          </cell>
          <cell r="C7329">
            <v>45846</v>
          </cell>
          <cell r="D7329" t="str">
            <v>JILANI</v>
          </cell>
          <cell r="E7329" t="str">
            <v>Atlas Honda LTD (SKP)</v>
          </cell>
        </row>
        <row r="7330">
          <cell r="A7330" t="str">
            <v>3111 J</v>
          </cell>
          <cell r="B7330">
            <v>12538</v>
          </cell>
          <cell r="C7330">
            <v>45846</v>
          </cell>
          <cell r="D7330" t="str">
            <v>JILANI</v>
          </cell>
          <cell r="E7330" t="str">
            <v>Atlas Honda LTD (SKP)</v>
          </cell>
        </row>
        <row r="7331">
          <cell r="A7331" t="str">
            <v>3112 J</v>
          </cell>
          <cell r="B7331">
            <v>12539</v>
          </cell>
          <cell r="C7331">
            <v>45846</v>
          </cell>
          <cell r="D7331" t="str">
            <v>JILANI</v>
          </cell>
          <cell r="E7331" t="str">
            <v>Atlas Honda LTD (SKP)</v>
          </cell>
        </row>
        <row r="7332">
          <cell r="A7332" t="str">
            <v>3113 J</v>
          </cell>
          <cell r="B7332">
            <v>12540</v>
          </cell>
          <cell r="C7332">
            <v>45846</v>
          </cell>
          <cell r="D7332" t="str">
            <v>JILANI</v>
          </cell>
          <cell r="E7332" t="str">
            <v>Lailpur Cloth Shaiwal</v>
          </cell>
        </row>
        <row r="7333">
          <cell r="A7333" t="str">
            <v>255 R</v>
          </cell>
          <cell r="B7333"/>
          <cell r="C7333">
            <v>45829</v>
          </cell>
          <cell r="D7333" t="str">
            <v>REFLECTPACK</v>
          </cell>
          <cell r="E7333" t="str">
            <v>الربیع انٹرنیشنل C/Oریفلیکٹ پیک</v>
          </cell>
        </row>
        <row r="7334">
          <cell r="A7334" t="str">
            <v>256 R</v>
          </cell>
          <cell r="B7334"/>
          <cell r="C7334">
            <v>45846</v>
          </cell>
          <cell r="D7334" t="str">
            <v>REFLECTPACK</v>
          </cell>
          <cell r="E7334" t="str">
            <v>Reflact Pack</v>
          </cell>
        </row>
        <row r="7335">
          <cell r="A7335" t="str">
            <v>7049/1</v>
          </cell>
          <cell r="B7335">
            <v>7049</v>
          </cell>
          <cell r="C7335">
            <v>45848</v>
          </cell>
          <cell r="D7335" t="str">
            <v>یونس صاحب</v>
          </cell>
          <cell r="E7335" t="str">
            <v>آصف پلاسٹک سرگودھا</v>
          </cell>
        </row>
        <row r="7336">
          <cell r="A7336" t="str">
            <v>7049/2</v>
          </cell>
          <cell r="B7336">
            <v>7049</v>
          </cell>
          <cell r="C7336">
            <v>45848</v>
          </cell>
          <cell r="D7336" t="str">
            <v>یونس صاحب</v>
          </cell>
          <cell r="E7336" t="str">
            <v>آصف پلاسٹک سرگودھا</v>
          </cell>
        </row>
        <row r="7337">
          <cell r="A7337" t="str">
            <v>7049/3</v>
          </cell>
          <cell r="B7337">
            <v>7049</v>
          </cell>
          <cell r="C7337">
            <v>45848</v>
          </cell>
          <cell r="D7337" t="str">
            <v>یونس صاحب</v>
          </cell>
          <cell r="E7337" t="str">
            <v>آصف پلاسٹک سرگودھا</v>
          </cell>
        </row>
        <row r="7338">
          <cell r="A7338" t="str">
            <v>7049/4</v>
          </cell>
          <cell r="B7338">
            <v>7049</v>
          </cell>
          <cell r="C7338">
            <v>45848</v>
          </cell>
          <cell r="D7338" t="str">
            <v>یونس صاحب</v>
          </cell>
          <cell r="E7338" t="str">
            <v>آصف پلاسٹک سرگودھا</v>
          </cell>
        </row>
        <row r="7339">
          <cell r="A7339" t="str">
            <v>7049/5</v>
          </cell>
          <cell r="B7339">
            <v>7049</v>
          </cell>
          <cell r="C7339">
            <v>45848</v>
          </cell>
          <cell r="D7339" t="str">
            <v>یونس صاحب</v>
          </cell>
          <cell r="E7339" t="str">
            <v>آصف پلاسٹک سرگودھا</v>
          </cell>
        </row>
        <row r="7340">
          <cell r="A7340" t="str">
            <v>7049/6</v>
          </cell>
          <cell r="B7340">
            <v>7049</v>
          </cell>
          <cell r="C7340">
            <v>45848</v>
          </cell>
          <cell r="D7340" t="str">
            <v>یونس صاحب</v>
          </cell>
          <cell r="E7340" t="str">
            <v>آصف پلاسٹک سرگودھا</v>
          </cell>
        </row>
        <row r="7341">
          <cell r="A7341" t="str">
            <v>7049/7</v>
          </cell>
          <cell r="B7341">
            <v>7049</v>
          </cell>
          <cell r="C7341">
            <v>45848</v>
          </cell>
          <cell r="D7341" t="str">
            <v>یونس صاحب</v>
          </cell>
          <cell r="E7341" t="str">
            <v>آصف پلاسٹک سرگودھا</v>
          </cell>
        </row>
        <row r="7342">
          <cell r="A7342" t="str">
            <v>7049/8</v>
          </cell>
          <cell r="B7342">
            <v>7049</v>
          </cell>
          <cell r="C7342">
            <v>45848</v>
          </cell>
          <cell r="D7342" t="str">
            <v>یونس صاحب</v>
          </cell>
          <cell r="E7342" t="str">
            <v>آصف پلاسٹک سرگودھا</v>
          </cell>
        </row>
        <row r="7343">
          <cell r="A7343" t="str">
            <v>7049/9</v>
          </cell>
          <cell r="B7343">
            <v>7049</v>
          </cell>
          <cell r="C7343">
            <v>45848</v>
          </cell>
          <cell r="D7343" t="str">
            <v>یونس صاحب</v>
          </cell>
          <cell r="E7343" t="str">
            <v>آصف پلاسٹک سرگودھا</v>
          </cell>
        </row>
        <row r="7344">
          <cell r="A7344" t="str">
            <v>7049/10</v>
          </cell>
          <cell r="B7344">
            <v>7049</v>
          </cell>
          <cell r="C7344">
            <v>45848</v>
          </cell>
          <cell r="D7344" t="str">
            <v>یونس صاحب</v>
          </cell>
          <cell r="E7344" t="str">
            <v>آصف پلاسٹک سرگودھا</v>
          </cell>
        </row>
        <row r="7345">
          <cell r="A7345" t="str">
            <v>7049/11</v>
          </cell>
          <cell r="B7345">
            <v>7049</v>
          </cell>
          <cell r="C7345">
            <v>45848</v>
          </cell>
          <cell r="D7345" t="str">
            <v>یونس صاحب</v>
          </cell>
          <cell r="E7345" t="str">
            <v>آصف پلاسٹک سرگودھا</v>
          </cell>
        </row>
        <row r="7346">
          <cell r="A7346" t="str">
            <v>7049/12</v>
          </cell>
          <cell r="B7346">
            <v>7049</v>
          </cell>
          <cell r="C7346">
            <v>45848</v>
          </cell>
          <cell r="D7346" t="str">
            <v>یونس صاحب</v>
          </cell>
          <cell r="E7346" t="str">
            <v>آصف پلاسٹک سرگودھا</v>
          </cell>
        </row>
        <row r="7347">
          <cell r="A7347" t="str">
            <v>7049/13</v>
          </cell>
          <cell r="B7347">
            <v>7049</v>
          </cell>
          <cell r="C7347">
            <v>45848</v>
          </cell>
          <cell r="D7347" t="str">
            <v>یونس صاحب</v>
          </cell>
          <cell r="E7347" t="str">
            <v>آصف پلاسٹک سرگودھا</v>
          </cell>
        </row>
        <row r="7348">
          <cell r="A7348" t="str">
            <v>7049/14</v>
          </cell>
          <cell r="B7348">
            <v>7049</v>
          </cell>
          <cell r="C7348">
            <v>45848</v>
          </cell>
          <cell r="D7348" t="str">
            <v>یونس صاحب</v>
          </cell>
          <cell r="E7348" t="str">
            <v>آصف پلاسٹک سرگودھا</v>
          </cell>
        </row>
        <row r="7349">
          <cell r="A7349" t="str">
            <v>7049/15</v>
          </cell>
          <cell r="B7349">
            <v>7049</v>
          </cell>
          <cell r="C7349">
            <v>45848</v>
          </cell>
          <cell r="D7349" t="str">
            <v>یونس صاحب</v>
          </cell>
          <cell r="E7349" t="str">
            <v>آصف پلاسٹک سرگودھا</v>
          </cell>
        </row>
        <row r="7350">
          <cell r="A7350" t="str">
            <v>7049/16</v>
          </cell>
          <cell r="B7350">
            <v>7049</v>
          </cell>
          <cell r="C7350">
            <v>45848</v>
          </cell>
          <cell r="D7350" t="str">
            <v>یونس صاحب</v>
          </cell>
          <cell r="E7350" t="str">
            <v>آصف پلاسٹک سرگودھا</v>
          </cell>
        </row>
        <row r="7351">
          <cell r="A7351" t="str">
            <v>7049/17</v>
          </cell>
          <cell r="B7351">
            <v>7049</v>
          </cell>
          <cell r="C7351">
            <v>45848</v>
          </cell>
          <cell r="D7351" t="str">
            <v>یونس صاحب</v>
          </cell>
          <cell r="E7351" t="str">
            <v>آصف پلاسٹک سرگودھا</v>
          </cell>
        </row>
        <row r="7352">
          <cell r="A7352" t="str">
            <v>7049/18</v>
          </cell>
          <cell r="B7352">
            <v>7049</v>
          </cell>
          <cell r="C7352">
            <v>45848</v>
          </cell>
          <cell r="D7352" t="str">
            <v>یونس صاحب</v>
          </cell>
          <cell r="E7352" t="str">
            <v>آصف پلاسٹک سرگودھا</v>
          </cell>
        </row>
        <row r="7353">
          <cell r="A7353" t="str">
            <v>7049/19</v>
          </cell>
          <cell r="B7353">
            <v>7049</v>
          </cell>
          <cell r="C7353">
            <v>45848</v>
          </cell>
          <cell r="D7353" t="str">
            <v>یونس صاحب</v>
          </cell>
          <cell r="E7353" t="str">
            <v>آصف پلاسٹک سرگودھا</v>
          </cell>
        </row>
        <row r="7354">
          <cell r="A7354" t="str">
            <v>3114 J</v>
          </cell>
          <cell r="B7354">
            <v>12542</v>
          </cell>
          <cell r="C7354">
            <v>45846</v>
          </cell>
          <cell r="D7354" t="str">
            <v>JILANI</v>
          </cell>
          <cell r="E7354" t="str">
            <v>Fata Industry Pvt LTD</v>
          </cell>
        </row>
        <row r="7355">
          <cell r="A7355" t="str">
            <v>3115 J</v>
          </cell>
          <cell r="B7355">
            <v>12542</v>
          </cell>
          <cell r="C7355">
            <v>45846</v>
          </cell>
          <cell r="D7355" t="str">
            <v>JILANI</v>
          </cell>
          <cell r="E7355" t="str">
            <v>Fata Industry Pvt LTD</v>
          </cell>
        </row>
        <row r="7356">
          <cell r="A7356" t="str">
            <v>3116 J</v>
          </cell>
          <cell r="B7356">
            <v>12543</v>
          </cell>
          <cell r="C7356">
            <v>45846</v>
          </cell>
          <cell r="D7356" t="str">
            <v>JILANI</v>
          </cell>
          <cell r="E7356" t="str">
            <v>Hafize Tanveer Zafarwal</v>
          </cell>
        </row>
        <row r="7357">
          <cell r="A7357" t="str">
            <v>3117 J</v>
          </cell>
          <cell r="B7357">
            <v>12543</v>
          </cell>
          <cell r="C7357">
            <v>45846</v>
          </cell>
          <cell r="D7357" t="str">
            <v>JILANI</v>
          </cell>
          <cell r="E7357" t="str">
            <v>Hafize Tanveer Zafarwal</v>
          </cell>
        </row>
        <row r="7358">
          <cell r="A7358" t="str">
            <v>3118 J</v>
          </cell>
          <cell r="B7358">
            <v>12543</v>
          </cell>
          <cell r="C7358">
            <v>45846</v>
          </cell>
          <cell r="D7358" t="str">
            <v>JILANI</v>
          </cell>
          <cell r="E7358" t="str">
            <v>Hafize Tanveer Zafarwal</v>
          </cell>
        </row>
        <row r="7359">
          <cell r="A7359" t="str">
            <v>3119 J</v>
          </cell>
          <cell r="B7359">
            <v>12544</v>
          </cell>
          <cell r="C7359">
            <v>45846</v>
          </cell>
          <cell r="D7359" t="str">
            <v>JILANI</v>
          </cell>
          <cell r="E7359" t="str">
            <v xml:space="preserve">Auto Tech Lahore </v>
          </cell>
        </row>
        <row r="7360">
          <cell r="A7360" t="str">
            <v>3120 J</v>
          </cell>
          <cell r="B7360">
            <v>12545</v>
          </cell>
          <cell r="C7360">
            <v>45846</v>
          </cell>
          <cell r="D7360" t="str">
            <v>JILANI</v>
          </cell>
          <cell r="E7360" t="str">
            <v>New Rehmat Bakers Sahiwal</v>
          </cell>
        </row>
        <row r="7361">
          <cell r="A7361" t="str">
            <v>3121 J</v>
          </cell>
          <cell r="B7361">
            <v>12546</v>
          </cell>
          <cell r="C7361">
            <v>45846</v>
          </cell>
          <cell r="D7361" t="str">
            <v>JILANI</v>
          </cell>
          <cell r="E7361" t="str">
            <v>Wallyat Butt Lalamusa</v>
          </cell>
        </row>
        <row r="7362">
          <cell r="A7362" t="str">
            <v>3122 J</v>
          </cell>
          <cell r="B7362">
            <v>12546</v>
          </cell>
          <cell r="C7362">
            <v>45846</v>
          </cell>
          <cell r="D7362" t="str">
            <v>JILANI</v>
          </cell>
          <cell r="E7362" t="str">
            <v>Wallyat Butt Lalamusa</v>
          </cell>
        </row>
        <row r="7363">
          <cell r="A7363" t="str">
            <v>3123 J</v>
          </cell>
          <cell r="B7363">
            <v>12547</v>
          </cell>
          <cell r="C7363">
            <v>45847</v>
          </cell>
          <cell r="D7363" t="str">
            <v>JILANI</v>
          </cell>
          <cell r="E7363" t="str">
            <v>Sheikh Iqbal Cloth and Botique Center Lhr</v>
          </cell>
        </row>
        <row r="7364">
          <cell r="A7364" t="str">
            <v>3124 J</v>
          </cell>
          <cell r="B7364">
            <v>12548</v>
          </cell>
          <cell r="C7364">
            <v>45847</v>
          </cell>
          <cell r="D7364" t="str">
            <v>JILANI</v>
          </cell>
          <cell r="E7364" t="str">
            <v>Fancy Garments Kamoki</v>
          </cell>
        </row>
        <row r="7365">
          <cell r="A7365" t="str">
            <v>3125 J</v>
          </cell>
          <cell r="B7365">
            <v>12548</v>
          </cell>
          <cell r="C7365">
            <v>45847</v>
          </cell>
          <cell r="D7365" t="str">
            <v>JILANI</v>
          </cell>
          <cell r="E7365" t="str">
            <v>Fancy Garments Kamoki</v>
          </cell>
        </row>
        <row r="7366">
          <cell r="A7366" t="str">
            <v>3126 J</v>
          </cell>
          <cell r="B7366">
            <v>12548</v>
          </cell>
          <cell r="C7366">
            <v>45847</v>
          </cell>
          <cell r="D7366" t="str">
            <v>JILANI</v>
          </cell>
          <cell r="E7366" t="str">
            <v>Fancy Garments Kamoki</v>
          </cell>
        </row>
        <row r="7367">
          <cell r="A7367" t="str">
            <v>3127 J</v>
          </cell>
          <cell r="B7367">
            <v>12548</v>
          </cell>
          <cell r="C7367">
            <v>45847</v>
          </cell>
          <cell r="D7367" t="str">
            <v>JILANI</v>
          </cell>
          <cell r="E7367" t="str">
            <v>Fancy Garments Kamoki</v>
          </cell>
        </row>
        <row r="7368">
          <cell r="A7368" t="str">
            <v>3128 J</v>
          </cell>
          <cell r="B7368">
            <v>12549</v>
          </cell>
          <cell r="C7368">
            <v>45847</v>
          </cell>
          <cell r="D7368" t="str">
            <v>JILANI</v>
          </cell>
          <cell r="E7368" t="str">
            <v>Raza Graments Lahore</v>
          </cell>
        </row>
        <row r="7369">
          <cell r="A7369" t="str">
            <v>3129 J</v>
          </cell>
          <cell r="B7369">
            <v>12550</v>
          </cell>
          <cell r="C7369">
            <v>45847</v>
          </cell>
          <cell r="D7369" t="str">
            <v>JILANI</v>
          </cell>
          <cell r="E7369" t="str">
            <v xml:space="preserve">Allied Impex Sialkot </v>
          </cell>
        </row>
        <row r="7370">
          <cell r="A7370" t="str">
            <v>3130 J</v>
          </cell>
          <cell r="B7370">
            <v>12551</v>
          </cell>
          <cell r="C7370">
            <v>45847</v>
          </cell>
          <cell r="D7370" t="str">
            <v>JILANI</v>
          </cell>
          <cell r="E7370" t="str">
            <v xml:space="preserve">Pak Sweets Khan Ghah Dogran </v>
          </cell>
        </row>
        <row r="7371">
          <cell r="A7371" t="str">
            <v>3131 J</v>
          </cell>
          <cell r="B7371">
            <v>12551</v>
          </cell>
          <cell r="C7371">
            <v>45847</v>
          </cell>
          <cell r="D7371" t="str">
            <v>JILANI</v>
          </cell>
          <cell r="E7371" t="str">
            <v xml:space="preserve">Pak Sweets Khan Ghah Dogran </v>
          </cell>
        </row>
        <row r="7372">
          <cell r="A7372" t="str">
            <v>3132 J</v>
          </cell>
          <cell r="B7372">
            <v>12552</v>
          </cell>
          <cell r="C7372">
            <v>45847</v>
          </cell>
          <cell r="D7372" t="str">
            <v>JILANI</v>
          </cell>
          <cell r="E7372" t="str">
            <v>Zam Zam Shoping Mall Timbergra</v>
          </cell>
        </row>
        <row r="7373">
          <cell r="A7373" t="str">
            <v>3133 J</v>
          </cell>
          <cell r="B7373">
            <v>12553</v>
          </cell>
          <cell r="C7373">
            <v>45847</v>
          </cell>
          <cell r="D7373" t="str">
            <v>JILANI</v>
          </cell>
          <cell r="E7373" t="str">
            <v>Zam Zam Shoping Mall Timbergra</v>
          </cell>
        </row>
        <row r="7374">
          <cell r="A7374" t="str">
            <v>3134 J</v>
          </cell>
          <cell r="B7374">
            <v>12554</v>
          </cell>
          <cell r="C7374">
            <v>45847</v>
          </cell>
          <cell r="D7374" t="str">
            <v>JILANI</v>
          </cell>
          <cell r="E7374" t="str">
            <v>Medi Pak Lahore</v>
          </cell>
        </row>
        <row r="7375">
          <cell r="A7375" t="str">
            <v>3135 J</v>
          </cell>
          <cell r="B7375">
            <v>12555</v>
          </cell>
          <cell r="C7375">
            <v>45847</v>
          </cell>
          <cell r="D7375" t="str">
            <v>JILANI</v>
          </cell>
          <cell r="E7375" t="str">
            <v>Medi Pak Lahore</v>
          </cell>
        </row>
        <row r="7376">
          <cell r="A7376" t="str">
            <v>3136 J</v>
          </cell>
          <cell r="B7376">
            <v>12556</v>
          </cell>
          <cell r="C7376">
            <v>45847</v>
          </cell>
          <cell r="D7376" t="str">
            <v>JILANI</v>
          </cell>
          <cell r="E7376" t="str">
            <v>Mehran Cloth Bannu</v>
          </cell>
        </row>
        <row r="7377">
          <cell r="A7377" t="str">
            <v>3137 J</v>
          </cell>
          <cell r="B7377">
            <v>12557</v>
          </cell>
          <cell r="C7377">
            <v>45847</v>
          </cell>
          <cell r="D7377" t="str">
            <v>JILANI</v>
          </cell>
          <cell r="E7377" t="str">
            <v>Paracon Engineering Pvt LTD</v>
          </cell>
        </row>
        <row r="7378">
          <cell r="A7378" t="str">
            <v>3138 J</v>
          </cell>
          <cell r="B7378">
            <v>12557</v>
          </cell>
          <cell r="C7378">
            <v>45847</v>
          </cell>
          <cell r="D7378" t="str">
            <v>JILANI</v>
          </cell>
          <cell r="E7378" t="str">
            <v>Paracon Engineering Pvt LTD</v>
          </cell>
        </row>
        <row r="7379">
          <cell r="A7379" t="str">
            <v>3139 J</v>
          </cell>
          <cell r="B7379">
            <v>12558</v>
          </cell>
          <cell r="C7379">
            <v>45847</v>
          </cell>
          <cell r="D7379" t="str">
            <v>JILANI</v>
          </cell>
          <cell r="E7379" t="str">
            <v>Usman Arif Butt Gujranwala</v>
          </cell>
        </row>
        <row r="7380">
          <cell r="A7380" t="str">
            <v>3140 J</v>
          </cell>
          <cell r="B7380">
            <v>12559</v>
          </cell>
          <cell r="C7380">
            <v>45847</v>
          </cell>
          <cell r="D7380" t="str">
            <v>JILANI</v>
          </cell>
          <cell r="E7380" t="str">
            <v>Waqas Wollan Mills Gujranwala</v>
          </cell>
        </row>
        <row r="7381">
          <cell r="A7381" t="str">
            <v>3141 J</v>
          </cell>
          <cell r="B7381">
            <v>12560</v>
          </cell>
          <cell r="C7381">
            <v>45847</v>
          </cell>
          <cell r="D7381" t="str">
            <v>JILANI</v>
          </cell>
          <cell r="E7381" t="str">
            <v>Golden Chemical Faislabad</v>
          </cell>
        </row>
        <row r="7382">
          <cell r="A7382" t="str">
            <v>3142 J</v>
          </cell>
          <cell r="B7382">
            <v>12561</v>
          </cell>
          <cell r="C7382">
            <v>45847</v>
          </cell>
          <cell r="D7382" t="str">
            <v>JILANI</v>
          </cell>
          <cell r="E7382" t="str">
            <v>Javed Enter Prises Gujranwala</v>
          </cell>
        </row>
        <row r="7383">
          <cell r="A7383" t="str">
            <v>3143 J</v>
          </cell>
          <cell r="B7383">
            <v>12562</v>
          </cell>
          <cell r="C7383">
            <v>45848</v>
          </cell>
          <cell r="D7383" t="str">
            <v>JILANI</v>
          </cell>
          <cell r="E7383" t="str">
            <v>M K B Peshawar</v>
          </cell>
        </row>
        <row r="7384">
          <cell r="A7384" t="str">
            <v>3144 J</v>
          </cell>
          <cell r="B7384">
            <v>12563</v>
          </cell>
          <cell r="C7384">
            <v>45848</v>
          </cell>
          <cell r="D7384" t="str">
            <v>JILANI</v>
          </cell>
          <cell r="E7384" t="str">
            <v>Nishat Arts Sakhar</v>
          </cell>
        </row>
        <row r="7385">
          <cell r="A7385" t="str">
            <v>3145 J</v>
          </cell>
          <cell r="B7385">
            <v>12563</v>
          </cell>
          <cell r="C7385">
            <v>45848</v>
          </cell>
          <cell r="D7385" t="str">
            <v>JILANI</v>
          </cell>
          <cell r="E7385" t="str">
            <v>Nishat Arts Sakhar</v>
          </cell>
        </row>
        <row r="7386">
          <cell r="A7386" t="str">
            <v>3146 J</v>
          </cell>
          <cell r="B7386"/>
          <cell r="C7386">
            <v>45848</v>
          </cell>
          <cell r="D7386" t="str">
            <v>OTHER</v>
          </cell>
          <cell r="E7386" t="str">
            <v>Jilani Plastic</v>
          </cell>
        </row>
        <row r="7387">
          <cell r="A7387" t="str">
            <v>3147 J</v>
          </cell>
          <cell r="B7387"/>
          <cell r="C7387">
            <v>45848</v>
          </cell>
          <cell r="D7387" t="str">
            <v>OTHER</v>
          </cell>
          <cell r="E7387" t="str">
            <v>Jilani Plastic</v>
          </cell>
        </row>
        <row r="7388">
          <cell r="A7388" t="str">
            <v>3148 J</v>
          </cell>
          <cell r="B7388"/>
          <cell r="C7388">
            <v>45848</v>
          </cell>
          <cell r="D7388" t="str">
            <v>OTHER</v>
          </cell>
          <cell r="E7388" t="str">
            <v>Jilani Plastic</v>
          </cell>
        </row>
        <row r="7389">
          <cell r="A7389" t="str">
            <v>3149 J</v>
          </cell>
          <cell r="B7389"/>
          <cell r="C7389">
            <v>45848</v>
          </cell>
          <cell r="D7389" t="str">
            <v>OTHER</v>
          </cell>
          <cell r="E7389" t="str">
            <v>Jilani Plastic</v>
          </cell>
        </row>
        <row r="7390">
          <cell r="A7390" t="str">
            <v>3150 J</v>
          </cell>
          <cell r="B7390"/>
          <cell r="C7390">
            <v>45848</v>
          </cell>
          <cell r="D7390" t="str">
            <v>OTHER</v>
          </cell>
          <cell r="E7390" t="str">
            <v>Jilani Plastic</v>
          </cell>
        </row>
        <row r="7391">
          <cell r="A7391" t="str">
            <v>3151 J</v>
          </cell>
          <cell r="B7391"/>
          <cell r="C7391">
            <v>45848</v>
          </cell>
          <cell r="D7391" t="str">
            <v>OTHER</v>
          </cell>
          <cell r="E7391" t="str">
            <v>Jilani Plastic</v>
          </cell>
        </row>
        <row r="7392">
          <cell r="A7392" t="str">
            <v>3152 J</v>
          </cell>
          <cell r="B7392"/>
          <cell r="C7392">
            <v>45848</v>
          </cell>
          <cell r="D7392" t="str">
            <v>OTHER</v>
          </cell>
          <cell r="E7392" t="str">
            <v>Jilani Plastic</v>
          </cell>
        </row>
        <row r="7393">
          <cell r="A7393" t="str">
            <v>3153 J</v>
          </cell>
          <cell r="B7393"/>
          <cell r="C7393">
            <v>45848</v>
          </cell>
          <cell r="D7393" t="str">
            <v>OTHER</v>
          </cell>
          <cell r="E7393" t="str">
            <v>Jilani Plastic</v>
          </cell>
        </row>
        <row r="7394">
          <cell r="A7394" t="str">
            <v>3154 J</v>
          </cell>
          <cell r="B7394"/>
          <cell r="C7394">
            <v>45848</v>
          </cell>
          <cell r="D7394" t="str">
            <v>OTHER</v>
          </cell>
          <cell r="E7394" t="str">
            <v>Jilani Plastic</v>
          </cell>
        </row>
        <row r="7395">
          <cell r="A7395" t="str">
            <v>3155 J</v>
          </cell>
          <cell r="B7395">
            <v>12482</v>
          </cell>
          <cell r="C7395">
            <v>45838</v>
          </cell>
          <cell r="D7395" t="str">
            <v>JILANI</v>
          </cell>
          <cell r="E7395" t="str">
            <v xml:space="preserve">Bata and Service c/o Rashid Minhas </v>
          </cell>
        </row>
        <row r="7396">
          <cell r="A7396" t="str">
            <v>3156 J</v>
          </cell>
          <cell r="B7396"/>
          <cell r="C7396">
            <v>45849</v>
          </cell>
          <cell r="D7396" t="str">
            <v>OTHER</v>
          </cell>
          <cell r="E7396" t="str">
            <v>Jilani Poly Stock</v>
          </cell>
        </row>
        <row r="7397">
          <cell r="A7397" t="str">
            <v>3157 J</v>
          </cell>
          <cell r="B7397"/>
          <cell r="C7397">
            <v>45849</v>
          </cell>
          <cell r="D7397" t="str">
            <v>OTHER</v>
          </cell>
          <cell r="E7397" t="str">
            <v>Jilani Poly Stock</v>
          </cell>
        </row>
        <row r="7398">
          <cell r="A7398" t="str">
            <v>3158 J</v>
          </cell>
          <cell r="B7398"/>
          <cell r="C7398">
            <v>45849</v>
          </cell>
          <cell r="D7398" t="str">
            <v>OTHER</v>
          </cell>
          <cell r="E7398" t="str">
            <v>Jilani Poly Stock</v>
          </cell>
        </row>
        <row r="7399">
          <cell r="A7399" t="str">
            <v>3159 J</v>
          </cell>
          <cell r="B7399"/>
          <cell r="C7399">
            <v>45849</v>
          </cell>
          <cell r="D7399" t="str">
            <v>OTHER</v>
          </cell>
          <cell r="E7399" t="str">
            <v>Jilani Poly Stock</v>
          </cell>
        </row>
        <row r="7400">
          <cell r="A7400" t="str">
            <v>3160 J</v>
          </cell>
          <cell r="B7400"/>
          <cell r="C7400">
            <v>45849</v>
          </cell>
          <cell r="D7400" t="str">
            <v>OTHER</v>
          </cell>
          <cell r="E7400" t="str">
            <v>Jilani Plastic</v>
          </cell>
        </row>
        <row r="7401">
          <cell r="A7401" t="str">
            <v>3161 J</v>
          </cell>
          <cell r="B7401"/>
          <cell r="C7401">
            <v>45849</v>
          </cell>
          <cell r="D7401" t="str">
            <v>OTHER</v>
          </cell>
          <cell r="E7401" t="str">
            <v>Jilani Plastic</v>
          </cell>
        </row>
        <row r="7402">
          <cell r="A7402" t="str">
            <v>3162 J</v>
          </cell>
          <cell r="B7402"/>
          <cell r="C7402">
            <v>45848</v>
          </cell>
          <cell r="D7402" t="str">
            <v>OTHER</v>
          </cell>
          <cell r="E7402" t="str">
            <v>Jilani Plastic</v>
          </cell>
        </row>
        <row r="7403">
          <cell r="A7403" t="str">
            <v>3163 J</v>
          </cell>
          <cell r="B7403"/>
          <cell r="C7403">
            <v>45848</v>
          </cell>
          <cell r="D7403" t="str">
            <v>OTHER</v>
          </cell>
          <cell r="E7403" t="str">
            <v>Jilani Plastic</v>
          </cell>
        </row>
        <row r="7404">
          <cell r="A7404">
            <v>2764</v>
          </cell>
          <cell r="B7404">
            <v>19517</v>
          </cell>
          <cell r="C7404">
            <v>45850</v>
          </cell>
          <cell r="D7404" t="str">
            <v>JILANI</v>
          </cell>
          <cell r="E7404" t="str">
            <v>اختر محمد چمن</v>
          </cell>
        </row>
        <row r="7405">
          <cell r="A7405">
            <v>2765</v>
          </cell>
          <cell r="B7405">
            <v>19517</v>
          </cell>
          <cell r="C7405">
            <v>45850</v>
          </cell>
          <cell r="D7405" t="str">
            <v>JILANI</v>
          </cell>
          <cell r="E7405" t="str">
            <v>اختر محمد چمن</v>
          </cell>
        </row>
        <row r="7406">
          <cell r="A7406" t="str">
            <v>3164 J</v>
          </cell>
          <cell r="B7406">
            <v>12542</v>
          </cell>
          <cell r="C7406">
            <v>45846</v>
          </cell>
          <cell r="D7406" t="str">
            <v>JILANI</v>
          </cell>
          <cell r="E7406" t="str">
            <v>Fata Industry Pvt LTD</v>
          </cell>
        </row>
        <row r="7407">
          <cell r="A7407" t="str">
            <v>3165 J</v>
          </cell>
          <cell r="B7407">
            <v>12542</v>
          </cell>
          <cell r="C7407">
            <v>45846</v>
          </cell>
          <cell r="D7407" t="str">
            <v>JILANI</v>
          </cell>
          <cell r="E7407" t="str">
            <v>Fata Industry Pvt LTD</v>
          </cell>
        </row>
        <row r="7408">
          <cell r="A7408" t="str">
            <v>3166 J</v>
          </cell>
          <cell r="B7408">
            <v>12571</v>
          </cell>
          <cell r="C7408">
            <v>45848</v>
          </cell>
          <cell r="D7408" t="str">
            <v>JILANI</v>
          </cell>
          <cell r="E7408" t="str">
            <v>Usman Arif Butt Gujranwala</v>
          </cell>
        </row>
        <row r="7409">
          <cell r="A7409" t="str">
            <v>3167 J</v>
          </cell>
          <cell r="B7409">
            <v>12571</v>
          </cell>
          <cell r="C7409">
            <v>45848</v>
          </cell>
          <cell r="D7409" t="str">
            <v>JILANI</v>
          </cell>
          <cell r="E7409" t="str">
            <v>Usman Arif Butt Gujranwala</v>
          </cell>
        </row>
        <row r="7410">
          <cell r="A7410" t="str">
            <v>3168 J</v>
          </cell>
          <cell r="B7410">
            <v>12571</v>
          </cell>
          <cell r="C7410">
            <v>45848</v>
          </cell>
          <cell r="D7410" t="str">
            <v>JILANI</v>
          </cell>
          <cell r="E7410" t="str">
            <v>Usman Arif Butt Gujranwala</v>
          </cell>
        </row>
        <row r="7411">
          <cell r="A7411" t="str">
            <v>3169 J</v>
          </cell>
          <cell r="B7411">
            <v>12571</v>
          </cell>
          <cell r="C7411">
            <v>45848</v>
          </cell>
          <cell r="D7411" t="str">
            <v>JILANI</v>
          </cell>
          <cell r="E7411" t="str">
            <v>Usman Arif Butt Gujranwala</v>
          </cell>
        </row>
        <row r="7412">
          <cell r="A7412" t="str">
            <v>3170 J</v>
          </cell>
          <cell r="B7412">
            <v>12564</v>
          </cell>
          <cell r="C7412">
            <v>45848</v>
          </cell>
          <cell r="D7412" t="str">
            <v>JILANI</v>
          </cell>
          <cell r="E7412" t="str">
            <v>Alam Printers Butkhela</v>
          </cell>
        </row>
        <row r="7413">
          <cell r="A7413" t="str">
            <v>3171 J</v>
          </cell>
          <cell r="B7413">
            <v>12565</v>
          </cell>
          <cell r="C7413">
            <v>45848</v>
          </cell>
          <cell r="D7413" t="str">
            <v>JILANI</v>
          </cell>
          <cell r="E7413" t="str">
            <v>Alam Printers Butkhela</v>
          </cell>
        </row>
        <row r="7414">
          <cell r="A7414" t="str">
            <v>3172 J</v>
          </cell>
          <cell r="B7414">
            <v>12566</v>
          </cell>
          <cell r="C7414">
            <v>45848</v>
          </cell>
          <cell r="D7414" t="str">
            <v>JILANI</v>
          </cell>
          <cell r="E7414" t="str">
            <v>Head Office Lahore</v>
          </cell>
        </row>
        <row r="7415">
          <cell r="A7415" t="str">
            <v>3173 J</v>
          </cell>
          <cell r="B7415">
            <v>12566</v>
          </cell>
          <cell r="C7415">
            <v>45848</v>
          </cell>
          <cell r="D7415" t="str">
            <v>JILANI</v>
          </cell>
          <cell r="E7415" t="str">
            <v>Head Office Lahore</v>
          </cell>
        </row>
        <row r="7416">
          <cell r="A7416" t="str">
            <v>3174 J</v>
          </cell>
          <cell r="B7416">
            <v>12566</v>
          </cell>
          <cell r="C7416">
            <v>45848</v>
          </cell>
          <cell r="D7416" t="str">
            <v>JILANI</v>
          </cell>
          <cell r="E7416" t="str">
            <v>Head Office Lahore</v>
          </cell>
        </row>
        <row r="7417">
          <cell r="A7417" t="str">
            <v>3175 J</v>
          </cell>
          <cell r="B7417">
            <v>12567</v>
          </cell>
          <cell r="C7417">
            <v>45848</v>
          </cell>
          <cell r="D7417" t="str">
            <v>JILANI</v>
          </cell>
          <cell r="E7417" t="str">
            <v>Head Office Lahore</v>
          </cell>
        </row>
        <row r="7418">
          <cell r="A7418" t="str">
            <v>3176 J</v>
          </cell>
          <cell r="B7418">
            <v>12567</v>
          </cell>
          <cell r="C7418">
            <v>45848</v>
          </cell>
          <cell r="D7418" t="str">
            <v>JILANI</v>
          </cell>
          <cell r="E7418" t="str">
            <v>Head Office Lahore</v>
          </cell>
        </row>
        <row r="7419">
          <cell r="A7419" t="str">
            <v>3177 J</v>
          </cell>
          <cell r="B7419">
            <v>12567</v>
          </cell>
          <cell r="C7419">
            <v>45848</v>
          </cell>
          <cell r="D7419" t="str">
            <v>JILANI</v>
          </cell>
          <cell r="E7419" t="str">
            <v>Head Office Lahore</v>
          </cell>
        </row>
        <row r="7420">
          <cell r="A7420" t="str">
            <v>3178 J</v>
          </cell>
          <cell r="B7420">
            <v>12568</v>
          </cell>
          <cell r="C7420">
            <v>45848</v>
          </cell>
          <cell r="D7420" t="str">
            <v>JILANI</v>
          </cell>
          <cell r="E7420" t="str">
            <v>Head Office Lahore</v>
          </cell>
        </row>
        <row r="7421">
          <cell r="A7421" t="str">
            <v>3179 J</v>
          </cell>
          <cell r="B7421">
            <v>12568</v>
          </cell>
          <cell r="C7421">
            <v>45848</v>
          </cell>
          <cell r="D7421" t="str">
            <v>JILANI</v>
          </cell>
          <cell r="E7421" t="str">
            <v>Head Office Lahore</v>
          </cell>
        </row>
        <row r="7422">
          <cell r="A7422" t="str">
            <v>3180 J</v>
          </cell>
          <cell r="B7422">
            <v>12568</v>
          </cell>
          <cell r="C7422">
            <v>45848</v>
          </cell>
          <cell r="D7422" t="str">
            <v>JILANI</v>
          </cell>
          <cell r="E7422" t="str">
            <v>Head Office Lahore</v>
          </cell>
        </row>
        <row r="7423">
          <cell r="A7423" t="str">
            <v>3181 J</v>
          </cell>
          <cell r="B7423">
            <v>12569</v>
          </cell>
          <cell r="C7423">
            <v>45848</v>
          </cell>
          <cell r="D7423" t="str">
            <v>JILANI</v>
          </cell>
          <cell r="E7423" t="str">
            <v>A Y Cans Lahore</v>
          </cell>
        </row>
        <row r="7424">
          <cell r="A7424" t="str">
            <v>3182 J</v>
          </cell>
          <cell r="B7424">
            <v>12570</v>
          </cell>
          <cell r="C7424">
            <v>45848</v>
          </cell>
          <cell r="D7424" t="str">
            <v>JILANI</v>
          </cell>
          <cell r="E7424" t="str">
            <v>Shahid Tufail Duska</v>
          </cell>
        </row>
        <row r="7425">
          <cell r="A7425" t="str">
            <v>3183 J</v>
          </cell>
          <cell r="B7425">
            <v>12570</v>
          </cell>
          <cell r="C7425">
            <v>45848</v>
          </cell>
          <cell r="D7425" t="str">
            <v>JILANI</v>
          </cell>
          <cell r="E7425" t="str">
            <v>Shahid Tufail Duska</v>
          </cell>
        </row>
        <row r="7426">
          <cell r="A7426" t="str">
            <v>3184 J</v>
          </cell>
          <cell r="B7426">
            <v>12570</v>
          </cell>
          <cell r="C7426">
            <v>45848</v>
          </cell>
          <cell r="D7426" t="str">
            <v>JILANI</v>
          </cell>
          <cell r="E7426" t="str">
            <v>Shahid Tufail Duska</v>
          </cell>
        </row>
        <row r="7427">
          <cell r="A7427" t="str">
            <v>3185 J</v>
          </cell>
          <cell r="B7427">
            <v>12570</v>
          </cell>
          <cell r="C7427">
            <v>45848</v>
          </cell>
          <cell r="D7427" t="str">
            <v>JILANI</v>
          </cell>
          <cell r="E7427" t="str">
            <v>Shahid Tufail Duska</v>
          </cell>
        </row>
        <row r="7428">
          <cell r="A7428" t="str">
            <v>3186 J</v>
          </cell>
          <cell r="B7428">
            <v>12572</v>
          </cell>
          <cell r="C7428">
            <v>45848</v>
          </cell>
          <cell r="D7428" t="str">
            <v>JILANI</v>
          </cell>
          <cell r="E7428" t="str">
            <v>Usman Arif Butt Gujranwala</v>
          </cell>
        </row>
        <row r="7429">
          <cell r="A7429" t="str">
            <v>3187 J</v>
          </cell>
          <cell r="B7429">
            <v>12572</v>
          </cell>
          <cell r="C7429">
            <v>45848</v>
          </cell>
          <cell r="D7429" t="str">
            <v>JILANI</v>
          </cell>
          <cell r="E7429" t="str">
            <v>Usman Arif Butt Gujranwala</v>
          </cell>
        </row>
        <row r="7430">
          <cell r="A7430" t="str">
            <v>3188 J</v>
          </cell>
          <cell r="B7430">
            <v>12572</v>
          </cell>
          <cell r="C7430">
            <v>45848</v>
          </cell>
          <cell r="D7430" t="str">
            <v>JILANI</v>
          </cell>
          <cell r="E7430" t="str">
            <v>Usman Arif Butt Gujranwala</v>
          </cell>
        </row>
        <row r="7431">
          <cell r="A7431" t="str">
            <v>3189 J</v>
          </cell>
          <cell r="B7431">
            <v>12572</v>
          </cell>
          <cell r="C7431">
            <v>45848</v>
          </cell>
          <cell r="D7431" t="str">
            <v>JILANI</v>
          </cell>
          <cell r="E7431" t="str">
            <v>Usman Arif Butt Gujranwala</v>
          </cell>
        </row>
        <row r="7432">
          <cell r="A7432" t="str">
            <v>3190 J</v>
          </cell>
          <cell r="B7432">
            <v>12573</v>
          </cell>
          <cell r="C7432">
            <v>45848</v>
          </cell>
          <cell r="D7432" t="str">
            <v>JILANI</v>
          </cell>
          <cell r="E7432" t="str">
            <v>Usman Arif Butt Gujranwala</v>
          </cell>
        </row>
        <row r="7433">
          <cell r="A7433" t="str">
            <v>3191 J</v>
          </cell>
          <cell r="B7433">
            <v>12573</v>
          </cell>
          <cell r="C7433">
            <v>45848</v>
          </cell>
          <cell r="D7433" t="str">
            <v>JILANI</v>
          </cell>
          <cell r="E7433" t="str">
            <v>Usman Arif Butt Gujranwala</v>
          </cell>
        </row>
        <row r="7434">
          <cell r="A7434" t="str">
            <v>3192 J</v>
          </cell>
          <cell r="B7434">
            <v>12573</v>
          </cell>
          <cell r="C7434">
            <v>45848</v>
          </cell>
          <cell r="D7434" t="str">
            <v>JILANI</v>
          </cell>
          <cell r="E7434" t="str">
            <v>Usman Arif Butt Gujranwala</v>
          </cell>
        </row>
        <row r="7435">
          <cell r="A7435" t="str">
            <v>3193 J</v>
          </cell>
          <cell r="B7435">
            <v>12573</v>
          </cell>
          <cell r="C7435">
            <v>45848</v>
          </cell>
          <cell r="D7435" t="str">
            <v>JILANI</v>
          </cell>
          <cell r="E7435" t="str">
            <v>Usman Arif Butt Gujranwala</v>
          </cell>
        </row>
        <row r="7436">
          <cell r="A7436" t="str">
            <v>1822 F</v>
          </cell>
          <cell r="B7436"/>
          <cell r="C7436">
            <v>45848</v>
          </cell>
          <cell r="D7436" t="str">
            <v>Fina</v>
          </cell>
          <cell r="E7436" t="str">
            <v>Usman Amin</v>
          </cell>
        </row>
        <row r="7437">
          <cell r="A7437" t="str">
            <v>1823 F</v>
          </cell>
          <cell r="B7437"/>
          <cell r="C7437">
            <v>45849</v>
          </cell>
          <cell r="D7437" t="str">
            <v>Fina</v>
          </cell>
          <cell r="E7437" t="str">
            <v>Usman Amin</v>
          </cell>
        </row>
        <row r="7438">
          <cell r="A7438" t="str">
            <v>1824 F</v>
          </cell>
          <cell r="B7438"/>
          <cell r="C7438">
            <v>45849</v>
          </cell>
          <cell r="D7438" t="str">
            <v>Fina</v>
          </cell>
          <cell r="E7438" t="str">
            <v>Usman Amin</v>
          </cell>
        </row>
        <row r="7439">
          <cell r="A7439" t="str">
            <v>1825 F</v>
          </cell>
          <cell r="B7439"/>
          <cell r="C7439">
            <v>45849</v>
          </cell>
          <cell r="D7439" t="str">
            <v>Fina</v>
          </cell>
          <cell r="E7439" t="str">
            <v>Usman Amin</v>
          </cell>
        </row>
        <row r="7440">
          <cell r="A7440" t="str">
            <v>1826 F</v>
          </cell>
          <cell r="B7440"/>
          <cell r="C7440">
            <v>45849</v>
          </cell>
          <cell r="D7440" t="str">
            <v>Fina</v>
          </cell>
          <cell r="E7440" t="str">
            <v>Usman Amin</v>
          </cell>
        </row>
        <row r="7441">
          <cell r="A7441" t="str">
            <v>1827 F</v>
          </cell>
          <cell r="B7441"/>
          <cell r="C7441">
            <v>45849</v>
          </cell>
          <cell r="D7441" t="str">
            <v>Fina</v>
          </cell>
          <cell r="E7441" t="str">
            <v>Usman Amin</v>
          </cell>
        </row>
        <row r="7442">
          <cell r="A7442" t="str">
            <v>1828 F</v>
          </cell>
          <cell r="B7442"/>
          <cell r="C7442">
            <v>45849</v>
          </cell>
          <cell r="D7442" t="str">
            <v>Fina</v>
          </cell>
          <cell r="E7442" t="str">
            <v>Usman Amin</v>
          </cell>
        </row>
        <row r="7443">
          <cell r="A7443" t="str">
            <v>1829 F</v>
          </cell>
          <cell r="B7443"/>
          <cell r="C7443">
            <v>45849</v>
          </cell>
          <cell r="D7443" t="str">
            <v>Fina</v>
          </cell>
          <cell r="E7443" t="str">
            <v>Usman Amin</v>
          </cell>
        </row>
        <row r="7444">
          <cell r="A7444" t="str">
            <v>1830 F</v>
          </cell>
          <cell r="B7444"/>
          <cell r="C7444">
            <v>45849</v>
          </cell>
          <cell r="D7444" t="str">
            <v>Fina</v>
          </cell>
          <cell r="E7444" t="str">
            <v>Usman Amin</v>
          </cell>
        </row>
        <row r="7445">
          <cell r="A7445" t="str">
            <v>1831 F</v>
          </cell>
          <cell r="B7445"/>
          <cell r="C7445">
            <v>45849</v>
          </cell>
          <cell r="D7445" t="str">
            <v>Fina</v>
          </cell>
          <cell r="E7445" t="str">
            <v>Usman Amin</v>
          </cell>
        </row>
        <row r="7446">
          <cell r="A7446" t="str">
            <v>1832 F</v>
          </cell>
          <cell r="B7446"/>
          <cell r="C7446">
            <v>45849</v>
          </cell>
          <cell r="D7446" t="str">
            <v>Fina</v>
          </cell>
          <cell r="E7446" t="str">
            <v>Usman Amin</v>
          </cell>
        </row>
        <row r="7447">
          <cell r="A7447" t="str">
            <v>1833 F</v>
          </cell>
          <cell r="B7447"/>
          <cell r="C7447">
            <v>45849</v>
          </cell>
          <cell r="D7447" t="str">
            <v>Fina</v>
          </cell>
          <cell r="E7447" t="str">
            <v>Usman Amin</v>
          </cell>
        </row>
        <row r="7448">
          <cell r="A7448">
            <v>2766</v>
          </cell>
          <cell r="B7448">
            <v>2865</v>
          </cell>
          <cell r="C7448">
            <v>45851</v>
          </cell>
          <cell r="D7448" t="str">
            <v>JILANI</v>
          </cell>
          <cell r="E7448" t="str">
            <v>MATCO FOOD</v>
          </cell>
        </row>
        <row r="7449">
          <cell r="A7449">
            <v>2767</v>
          </cell>
          <cell r="B7449">
            <v>19528</v>
          </cell>
          <cell r="C7449">
            <v>45851</v>
          </cell>
          <cell r="D7449" t="str">
            <v>JILANI</v>
          </cell>
          <cell r="E7449" t="str">
            <v>WHEED FOOD WAZIRABAD</v>
          </cell>
        </row>
        <row r="7450">
          <cell r="A7450" t="str">
            <v>7050/1</v>
          </cell>
          <cell r="B7450">
            <v>7050</v>
          </cell>
          <cell r="C7450">
            <v>45849</v>
          </cell>
          <cell r="D7450" t="str">
            <v>یونس صاحب</v>
          </cell>
          <cell r="E7450" t="str">
            <v>عبدالرشید اسلام ٓاباد</v>
          </cell>
        </row>
        <row r="7451">
          <cell r="A7451" t="str">
            <v>7050/2</v>
          </cell>
          <cell r="B7451">
            <v>7050</v>
          </cell>
          <cell r="C7451">
            <v>45849</v>
          </cell>
          <cell r="D7451" t="str">
            <v>یونس صاحب</v>
          </cell>
          <cell r="E7451" t="str">
            <v>عبدالرشید اسلام ٓاباد</v>
          </cell>
        </row>
        <row r="7452">
          <cell r="A7452" t="str">
            <v>7051/1</v>
          </cell>
          <cell r="B7452">
            <v>7051</v>
          </cell>
          <cell r="C7452">
            <v>45849</v>
          </cell>
          <cell r="D7452" t="str">
            <v>یونس صاحب</v>
          </cell>
          <cell r="E7452" t="str">
            <v>علی  اینڈ تاہر جھنگ</v>
          </cell>
        </row>
        <row r="7453">
          <cell r="A7453" t="str">
            <v>7052/1</v>
          </cell>
          <cell r="B7453">
            <v>7052</v>
          </cell>
          <cell r="C7453">
            <v>45849</v>
          </cell>
          <cell r="D7453" t="str">
            <v>یونس صاحب</v>
          </cell>
          <cell r="E7453" t="str">
            <v>پڑھا لکھا خانپور</v>
          </cell>
        </row>
        <row r="7454">
          <cell r="A7454" t="str">
            <v>7052/2</v>
          </cell>
          <cell r="B7454">
            <v>7052</v>
          </cell>
          <cell r="C7454">
            <v>45849</v>
          </cell>
          <cell r="D7454" t="str">
            <v>یونس صاحب</v>
          </cell>
          <cell r="E7454" t="str">
            <v>پڑھا لکھا خانپور</v>
          </cell>
        </row>
        <row r="7455">
          <cell r="A7455" t="str">
            <v>7052/3</v>
          </cell>
          <cell r="B7455">
            <v>7052</v>
          </cell>
          <cell r="C7455">
            <v>45849</v>
          </cell>
          <cell r="D7455" t="str">
            <v>یونس صاحب</v>
          </cell>
          <cell r="E7455" t="str">
            <v>پڑھا لکھا خانپور</v>
          </cell>
        </row>
        <row r="7456">
          <cell r="A7456" t="str">
            <v>7052/4</v>
          </cell>
          <cell r="B7456">
            <v>7052</v>
          </cell>
          <cell r="C7456">
            <v>45849</v>
          </cell>
          <cell r="D7456" t="str">
            <v>یونس صاحب</v>
          </cell>
          <cell r="E7456" t="str">
            <v>پڑھا لکھا خانپور</v>
          </cell>
        </row>
        <row r="7457">
          <cell r="A7457" t="str">
            <v>7052/5</v>
          </cell>
          <cell r="B7457">
            <v>7052</v>
          </cell>
          <cell r="C7457">
            <v>45849</v>
          </cell>
          <cell r="D7457" t="str">
            <v>یونس صاحب</v>
          </cell>
          <cell r="E7457" t="str">
            <v>پڑھا لکھا خانپور</v>
          </cell>
        </row>
        <row r="7458">
          <cell r="A7458" t="str">
            <v>7052/6</v>
          </cell>
          <cell r="B7458">
            <v>7052</v>
          </cell>
          <cell r="C7458">
            <v>45849</v>
          </cell>
          <cell r="D7458" t="str">
            <v>یونس صاحب</v>
          </cell>
          <cell r="E7458" t="str">
            <v>پڑھا لکھا خانپور</v>
          </cell>
        </row>
        <row r="7459">
          <cell r="A7459" t="str">
            <v>7052/7</v>
          </cell>
          <cell r="B7459">
            <v>7052</v>
          </cell>
          <cell r="C7459">
            <v>45849</v>
          </cell>
          <cell r="D7459" t="str">
            <v>یونس صاحب</v>
          </cell>
          <cell r="E7459" t="str">
            <v>شیخ پلاسٹک سرگودھا</v>
          </cell>
        </row>
        <row r="7460">
          <cell r="A7460" t="str">
            <v>7053/1</v>
          </cell>
          <cell r="B7460">
            <v>7053</v>
          </cell>
          <cell r="C7460">
            <v>45849</v>
          </cell>
          <cell r="D7460" t="str">
            <v>یونس صاحب</v>
          </cell>
          <cell r="E7460" t="str">
            <v>شیخ پلاسٹک سرگودھا</v>
          </cell>
        </row>
        <row r="7461">
          <cell r="A7461" t="str">
            <v>7053/2</v>
          </cell>
          <cell r="B7461">
            <v>7053</v>
          </cell>
          <cell r="C7461">
            <v>45849</v>
          </cell>
          <cell r="D7461" t="str">
            <v>یونس صاحب</v>
          </cell>
          <cell r="E7461" t="str">
            <v>شیخ پلاسٹک سرگودھا</v>
          </cell>
        </row>
        <row r="7462">
          <cell r="A7462" t="str">
            <v>7053/3</v>
          </cell>
          <cell r="B7462">
            <v>7053</v>
          </cell>
          <cell r="C7462">
            <v>45849</v>
          </cell>
          <cell r="D7462" t="str">
            <v>یونس صاحب</v>
          </cell>
          <cell r="E7462" t="str">
            <v>شیخ پلاسٹک سرگودھا</v>
          </cell>
        </row>
        <row r="7463">
          <cell r="A7463" t="str">
            <v>7053/4</v>
          </cell>
          <cell r="B7463">
            <v>7053</v>
          </cell>
          <cell r="C7463">
            <v>45849</v>
          </cell>
          <cell r="D7463" t="str">
            <v>یونس صاحب</v>
          </cell>
          <cell r="E7463" t="str">
            <v>شیخ پلاسٹک سرگودھا</v>
          </cell>
        </row>
        <row r="7464">
          <cell r="A7464" t="str">
            <v>7053/5</v>
          </cell>
          <cell r="B7464">
            <v>7053</v>
          </cell>
          <cell r="C7464">
            <v>45849</v>
          </cell>
          <cell r="D7464" t="str">
            <v>یونس صاحب</v>
          </cell>
          <cell r="E7464" t="str">
            <v>شیخ پلاسٹک سرگودھا</v>
          </cell>
        </row>
        <row r="7465">
          <cell r="A7465" t="str">
            <v>7053/6</v>
          </cell>
          <cell r="B7465">
            <v>7053</v>
          </cell>
          <cell r="C7465">
            <v>45849</v>
          </cell>
          <cell r="D7465" t="str">
            <v>یونس صاحب</v>
          </cell>
          <cell r="E7465" t="str">
            <v>شیخ پلاسٹک سرگودھا</v>
          </cell>
        </row>
        <row r="7466">
          <cell r="A7466" t="str">
            <v>7053/7</v>
          </cell>
          <cell r="B7466">
            <v>7053</v>
          </cell>
          <cell r="C7466">
            <v>45849</v>
          </cell>
          <cell r="D7466" t="str">
            <v>یونس صاحب</v>
          </cell>
          <cell r="E7466" t="str">
            <v>شیخ پلاسٹک سرگودھا</v>
          </cell>
        </row>
        <row r="7467">
          <cell r="A7467" t="str">
            <v>7053/8</v>
          </cell>
          <cell r="B7467">
            <v>7053</v>
          </cell>
          <cell r="C7467">
            <v>45849</v>
          </cell>
          <cell r="D7467" t="str">
            <v>یونس صاحب</v>
          </cell>
          <cell r="E7467" t="str">
            <v>شیخ پلاسٹک سرگودھا</v>
          </cell>
        </row>
        <row r="7468">
          <cell r="A7468" t="str">
            <v>7053/9</v>
          </cell>
          <cell r="B7468">
            <v>7053</v>
          </cell>
          <cell r="C7468">
            <v>45849</v>
          </cell>
          <cell r="D7468" t="str">
            <v>یونس صاحب</v>
          </cell>
          <cell r="E7468" t="str">
            <v>شیخ پلاسٹک سرگودھا</v>
          </cell>
        </row>
        <row r="7469">
          <cell r="A7469" t="str">
            <v>7053/10</v>
          </cell>
          <cell r="B7469">
            <v>7053</v>
          </cell>
          <cell r="C7469">
            <v>45849</v>
          </cell>
          <cell r="D7469" t="str">
            <v>یونس صاحب</v>
          </cell>
          <cell r="E7469" t="str">
            <v>شیخ پلاسٹک سرگودھا</v>
          </cell>
        </row>
        <row r="7470">
          <cell r="A7470" t="str">
            <v>7053/11</v>
          </cell>
          <cell r="B7470">
            <v>7053</v>
          </cell>
          <cell r="C7470">
            <v>45849</v>
          </cell>
          <cell r="D7470" t="str">
            <v>یونس صاحب</v>
          </cell>
          <cell r="E7470" t="str">
            <v>شیخ پلاسٹک سرگودھا</v>
          </cell>
        </row>
        <row r="7471">
          <cell r="A7471" t="str">
            <v>7053/12</v>
          </cell>
          <cell r="B7471">
            <v>7053</v>
          </cell>
          <cell r="C7471">
            <v>45849</v>
          </cell>
          <cell r="D7471" t="str">
            <v>یونس صاحب</v>
          </cell>
          <cell r="E7471" t="str">
            <v>شیخ پلاسٹک سرگودھا</v>
          </cell>
        </row>
        <row r="7472">
          <cell r="A7472" t="str">
            <v>7053/13</v>
          </cell>
          <cell r="B7472">
            <v>7053</v>
          </cell>
          <cell r="C7472">
            <v>45849</v>
          </cell>
          <cell r="D7472" t="str">
            <v>یونس صاحب</v>
          </cell>
          <cell r="E7472" t="str">
            <v>شیخ پلاسٹک سرگودھا</v>
          </cell>
        </row>
        <row r="7473">
          <cell r="A7473" t="str">
            <v>7053/14</v>
          </cell>
          <cell r="B7473">
            <v>7053</v>
          </cell>
          <cell r="C7473">
            <v>45849</v>
          </cell>
          <cell r="D7473" t="str">
            <v>یونس صاحب</v>
          </cell>
          <cell r="E7473" t="str">
            <v>شیخ پلاسٹک سرگودھا</v>
          </cell>
        </row>
        <row r="7474">
          <cell r="A7474" t="str">
            <v>7053/15</v>
          </cell>
          <cell r="B7474">
            <v>7053</v>
          </cell>
          <cell r="C7474">
            <v>45849</v>
          </cell>
          <cell r="D7474" t="str">
            <v>یونس صاحب</v>
          </cell>
          <cell r="E7474" t="str">
            <v>شیخ پلاسٹک سرگودھا</v>
          </cell>
        </row>
        <row r="7475">
          <cell r="A7475" t="str">
            <v>7053/16</v>
          </cell>
          <cell r="B7475">
            <v>7053</v>
          </cell>
          <cell r="C7475">
            <v>45849</v>
          </cell>
          <cell r="D7475" t="str">
            <v>یونس صاحب</v>
          </cell>
          <cell r="E7475" t="str">
            <v>شیخ پلاسٹک سرگودھا</v>
          </cell>
        </row>
        <row r="7476">
          <cell r="A7476" t="str">
            <v>7053/17</v>
          </cell>
          <cell r="B7476">
            <v>7053</v>
          </cell>
          <cell r="C7476">
            <v>45849</v>
          </cell>
          <cell r="D7476" t="str">
            <v>یونس صاحب</v>
          </cell>
          <cell r="E7476" t="str">
            <v>شیخ پلاسٹک سرگودھا</v>
          </cell>
        </row>
        <row r="7477">
          <cell r="A7477" t="str">
            <v>7053/18</v>
          </cell>
          <cell r="B7477">
            <v>7053</v>
          </cell>
          <cell r="C7477">
            <v>45849</v>
          </cell>
          <cell r="D7477" t="str">
            <v>یونس صاحب</v>
          </cell>
          <cell r="E7477" t="str">
            <v>شیخ پلاسٹک سرگودھا</v>
          </cell>
        </row>
        <row r="7478">
          <cell r="A7478" t="str">
            <v>7053/19</v>
          </cell>
          <cell r="B7478">
            <v>7053</v>
          </cell>
          <cell r="C7478">
            <v>45849</v>
          </cell>
          <cell r="D7478" t="str">
            <v>یونس صاحب</v>
          </cell>
          <cell r="E7478" t="str">
            <v>شیخ پلاسٹک سرگودھا</v>
          </cell>
        </row>
        <row r="7479">
          <cell r="A7479" t="str">
            <v>7053/20</v>
          </cell>
          <cell r="B7479">
            <v>7053</v>
          </cell>
          <cell r="C7479">
            <v>45849</v>
          </cell>
          <cell r="D7479" t="str">
            <v>یونس صاحب</v>
          </cell>
          <cell r="E7479" t="str">
            <v>شیخ پلاسٹک سرگودھا</v>
          </cell>
        </row>
        <row r="7480">
          <cell r="A7480" t="str">
            <v>7053/21</v>
          </cell>
          <cell r="B7480">
            <v>7053</v>
          </cell>
          <cell r="C7480">
            <v>45849</v>
          </cell>
          <cell r="D7480" t="str">
            <v>یونس صاحب</v>
          </cell>
          <cell r="E7480" t="str">
            <v>شیخ پلاسٹک سرگودھا</v>
          </cell>
        </row>
        <row r="7481">
          <cell r="A7481" t="str">
            <v>7053/22</v>
          </cell>
          <cell r="B7481">
            <v>7053</v>
          </cell>
          <cell r="C7481">
            <v>45849</v>
          </cell>
          <cell r="D7481" t="str">
            <v>یونس صاحب</v>
          </cell>
          <cell r="E7481" t="str">
            <v>شیخ پلاسٹک سرگودھا</v>
          </cell>
        </row>
        <row r="7482">
          <cell r="A7482" t="str">
            <v>7053/23</v>
          </cell>
          <cell r="B7482">
            <v>7053</v>
          </cell>
          <cell r="C7482">
            <v>45849</v>
          </cell>
          <cell r="D7482" t="str">
            <v>یونس صاحب</v>
          </cell>
          <cell r="E7482" t="str">
            <v>شیخ پلاسٹک سرگودھا</v>
          </cell>
        </row>
        <row r="7483">
          <cell r="A7483" t="str">
            <v>7053/24</v>
          </cell>
          <cell r="B7483">
            <v>7053</v>
          </cell>
          <cell r="C7483">
            <v>45849</v>
          </cell>
          <cell r="D7483" t="str">
            <v>یونس صاحب</v>
          </cell>
          <cell r="E7483" t="str">
            <v>شیخ پلاسٹک سرگودھا</v>
          </cell>
        </row>
        <row r="7484">
          <cell r="A7484" t="str">
            <v>7054/1</v>
          </cell>
          <cell r="B7484">
            <v>7054</v>
          </cell>
          <cell r="C7484">
            <v>45849</v>
          </cell>
          <cell r="D7484" t="str">
            <v>یونس صاحب</v>
          </cell>
          <cell r="E7484" t="str">
            <v>ایم زبیر پلاسٹک سرگودھا</v>
          </cell>
        </row>
        <row r="7485">
          <cell r="A7485" t="str">
            <v>7054/2</v>
          </cell>
          <cell r="B7485">
            <v>7054</v>
          </cell>
          <cell r="C7485">
            <v>45849</v>
          </cell>
          <cell r="D7485" t="str">
            <v>یونس صاحب</v>
          </cell>
          <cell r="E7485" t="str">
            <v>ایم زبیر پلاسٹک سرگودھا</v>
          </cell>
        </row>
        <row r="7486">
          <cell r="A7486" t="str">
            <v>7054/3</v>
          </cell>
          <cell r="B7486">
            <v>7054</v>
          </cell>
          <cell r="C7486">
            <v>45849</v>
          </cell>
          <cell r="D7486" t="str">
            <v>یونس صاحب</v>
          </cell>
          <cell r="E7486" t="str">
            <v>ایم زبیر پلاسٹک سرگودھا</v>
          </cell>
        </row>
        <row r="7487">
          <cell r="A7487" t="str">
            <v>7054/4</v>
          </cell>
          <cell r="B7487">
            <v>7054</v>
          </cell>
          <cell r="C7487">
            <v>45849</v>
          </cell>
          <cell r="D7487" t="str">
            <v>یونس صاحب</v>
          </cell>
          <cell r="E7487" t="str">
            <v>ایم زبیر پلاسٹک سرگودھا</v>
          </cell>
        </row>
        <row r="7488">
          <cell r="A7488" t="str">
            <v>7054/5</v>
          </cell>
          <cell r="B7488">
            <v>7054</v>
          </cell>
          <cell r="C7488">
            <v>45849</v>
          </cell>
          <cell r="D7488" t="str">
            <v>یونس صاحب</v>
          </cell>
          <cell r="E7488" t="str">
            <v>ایم زبیر پلاسٹک سرگودھا</v>
          </cell>
        </row>
        <row r="7489">
          <cell r="A7489" t="str">
            <v>7054/6</v>
          </cell>
          <cell r="B7489">
            <v>7054</v>
          </cell>
          <cell r="C7489">
            <v>45849</v>
          </cell>
          <cell r="D7489" t="str">
            <v>یونس صاحب</v>
          </cell>
          <cell r="E7489" t="str">
            <v>ایم زبیر پلاسٹک سرگودھا</v>
          </cell>
        </row>
        <row r="7490">
          <cell r="A7490" t="str">
            <v>7054/7</v>
          </cell>
          <cell r="B7490">
            <v>7054</v>
          </cell>
          <cell r="C7490">
            <v>45849</v>
          </cell>
          <cell r="D7490" t="str">
            <v>یونس صاحب</v>
          </cell>
          <cell r="E7490" t="str">
            <v>ایم زبیر پلاسٹک سرگودھا</v>
          </cell>
        </row>
        <row r="7491">
          <cell r="A7491" t="str">
            <v>7054/8</v>
          </cell>
          <cell r="B7491">
            <v>7054</v>
          </cell>
          <cell r="C7491">
            <v>45849</v>
          </cell>
          <cell r="D7491" t="str">
            <v>یونس صاحب</v>
          </cell>
          <cell r="E7491" t="str">
            <v>ایم زبیر پلاسٹک سرگودھا</v>
          </cell>
        </row>
        <row r="7492">
          <cell r="A7492" t="str">
            <v>7054/9</v>
          </cell>
          <cell r="B7492">
            <v>7054</v>
          </cell>
          <cell r="C7492">
            <v>45849</v>
          </cell>
          <cell r="D7492" t="str">
            <v>یونس صاحب</v>
          </cell>
          <cell r="E7492" t="str">
            <v>ایم زبیر پلاسٹک سرگودھا</v>
          </cell>
        </row>
        <row r="7493">
          <cell r="A7493" t="str">
            <v>7054/10</v>
          </cell>
          <cell r="B7493">
            <v>7054</v>
          </cell>
          <cell r="C7493">
            <v>45849</v>
          </cell>
          <cell r="D7493" t="str">
            <v>یونس صاحب</v>
          </cell>
          <cell r="E7493" t="str">
            <v>ایم زبیر پلاسٹک سرگودھا</v>
          </cell>
        </row>
        <row r="7494">
          <cell r="A7494" t="str">
            <v>7054/11</v>
          </cell>
          <cell r="B7494">
            <v>7054</v>
          </cell>
          <cell r="C7494">
            <v>45849</v>
          </cell>
          <cell r="D7494" t="str">
            <v>یونس صاحب</v>
          </cell>
          <cell r="E7494" t="str">
            <v>ایم زبیر پلاسٹک سرگودھا</v>
          </cell>
        </row>
        <row r="7495">
          <cell r="A7495" t="str">
            <v>7054/12</v>
          </cell>
          <cell r="B7495">
            <v>7054</v>
          </cell>
          <cell r="C7495">
            <v>45849</v>
          </cell>
          <cell r="D7495" t="str">
            <v>یونس صاحب</v>
          </cell>
          <cell r="E7495" t="str">
            <v>ایم زبیر پلاسٹک سرگودھا</v>
          </cell>
        </row>
        <row r="7496">
          <cell r="A7496" t="str">
            <v>7054/13</v>
          </cell>
          <cell r="B7496">
            <v>7054</v>
          </cell>
          <cell r="C7496">
            <v>45849</v>
          </cell>
          <cell r="D7496" t="str">
            <v>یونس صاحب</v>
          </cell>
          <cell r="E7496" t="str">
            <v>ایم زبیر پلاسٹک سرگودھا</v>
          </cell>
        </row>
        <row r="7497">
          <cell r="A7497" t="str">
            <v>7055/1</v>
          </cell>
          <cell r="B7497">
            <v>7055</v>
          </cell>
          <cell r="C7497">
            <v>45850</v>
          </cell>
          <cell r="D7497" t="str">
            <v>یونس صاحب</v>
          </cell>
          <cell r="E7497" t="str">
            <v>عثمان امین لاہور</v>
          </cell>
        </row>
        <row r="7498">
          <cell r="A7498" t="str">
            <v>7055/2</v>
          </cell>
          <cell r="B7498">
            <v>7055</v>
          </cell>
          <cell r="C7498">
            <v>45850</v>
          </cell>
          <cell r="D7498" t="str">
            <v>یونس صاحب</v>
          </cell>
          <cell r="E7498" t="str">
            <v>عثمان امین لاہور</v>
          </cell>
        </row>
        <row r="7499">
          <cell r="A7499" t="str">
            <v>7055/3</v>
          </cell>
          <cell r="B7499">
            <v>7055</v>
          </cell>
          <cell r="C7499">
            <v>45850</v>
          </cell>
          <cell r="D7499" t="str">
            <v>یونس صاحب</v>
          </cell>
          <cell r="E7499" t="str">
            <v>عثمان امین لاہور</v>
          </cell>
        </row>
        <row r="7500">
          <cell r="A7500" t="str">
            <v>7056/1</v>
          </cell>
          <cell r="B7500">
            <v>7056</v>
          </cell>
          <cell r="C7500">
            <v>45850</v>
          </cell>
          <cell r="D7500" t="str">
            <v>یونس صاحب</v>
          </cell>
          <cell r="E7500" t="str">
            <v>ہیڈ  آفس لاہور</v>
          </cell>
        </row>
        <row r="7501">
          <cell r="A7501" t="str">
            <v>7057/1</v>
          </cell>
          <cell r="B7501">
            <v>7057</v>
          </cell>
          <cell r="C7501">
            <v>45850</v>
          </cell>
          <cell r="D7501" t="str">
            <v>یونس صاحب</v>
          </cell>
          <cell r="E7501" t="str">
            <v>عثمان امین لاہور</v>
          </cell>
        </row>
        <row r="7502">
          <cell r="A7502" t="str">
            <v>1834 F</v>
          </cell>
          <cell r="B7502"/>
          <cell r="C7502">
            <v>45850</v>
          </cell>
          <cell r="D7502" t="str">
            <v>Fina</v>
          </cell>
          <cell r="E7502" t="str">
            <v>Usman Amin</v>
          </cell>
        </row>
        <row r="7503">
          <cell r="A7503" t="str">
            <v>1835 F</v>
          </cell>
          <cell r="B7503"/>
          <cell r="C7503">
            <v>45850</v>
          </cell>
          <cell r="D7503" t="str">
            <v>Fina</v>
          </cell>
          <cell r="E7503" t="str">
            <v>Usman Amin</v>
          </cell>
        </row>
        <row r="7504">
          <cell r="A7504" t="str">
            <v>1836 F</v>
          </cell>
          <cell r="B7504"/>
          <cell r="C7504">
            <v>45850</v>
          </cell>
          <cell r="D7504" t="str">
            <v>Fina</v>
          </cell>
          <cell r="E7504" t="str">
            <v>Usman Amin</v>
          </cell>
        </row>
        <row r="7505">
          <cell r="A7505" t="str">
            <v>1837 F</v>
          </cell>
          <cell r="B7505"/>
          <cell r="C7505">
            <v>45850</v>
          </cell>
          <cell r="D7505" t="str">
            <v>Fina</v>
          </cell>
          <cell r="E7505" t="str">
            <v>Usman Amin</v>
          </cell>
        </row>
        <row r="7506">
          <cell r="A7506" t="str">
            <v>1838 F</v>
          </cell>
          <cell r="B7506"/>
          <cell r="C7506">
            <v>45852</v>
          </cell>
          <cell r="D7506" t="str">
            <v>Fina</v>
          </cell>
          <cell r="E7506" t="str">
            <v>Usman Amin</v>
          </cell>
        </row>
        <row r="7507">
          <cell r="A7507" t="str">
            <v>1839 F</v>
          </cell>
          <cell r="B7507"/>
          <cell r="C7507">
            <v>45852</v>
          </cell>
          <cell r="D7507" t="str">
            <v>Fina</v>
          </cell>
          <cell r="E7507" t="str">
            <v>Usman Amin</v>
          </cell>
        </row>
        <row r="7508">
          <cell r="A7508" t="str">
            <v>1840 F</v>
          </cell>
          <cell r="B7508"/>
          <cell r="C7508">
            <v>45852</v>
          </cell>
          <cell r="D7508" t="str">
            <v>Fina</v>
          </cell>
          <cell r="E7508" t="str">
            <v>Usman Amin</v>
          </cell>
        </row>
        <row r="7509">
          <cell r="A7509" t="str">
            <v>1841 F</v>
          </cell>
          <cell r="B7509"/>
          <cell r="C7509">
            <v>45852</v>
          </cell>
          <cell r="D7509" t="str">
            <v>Fina</v>
          </cell>
          <cell r="E7509" t="str">
            <v>Usman Amin</v>
          </cell>
        </row>
        <row r="7510">
          <cell r="A7510" t="str">
            <v>1842 F</v>
          </cell>
          <cell r="B7510"/>
          <cell r="C7510">
            <v>45852</v>
          </cell>
          <cell r="D7510" t="str">
            <v>Fina</v>
          </cell>
          <cell r="E7510" t="str">
            <v>Usman Amin</v>
          </cell>
        </row>
        <row r="7511">
          <cell r="A7511" t="str">
            <v>1843 F</v>
          </cell>
          <cell r="B7511"/>
          <cell r="C7511">
            <v>45852</v>
          </cell>
          <cell r="D7511" t="str">
            <v>Fina</v>
          </cell>
          <cell r="E7511" t="str">
            <v>Usman Amin</v>
          </cell>
        </row>
        <row r="7512">
          <cell r="A7512" t="str">
            <v>1844 F</v>
          </cell>
          <cell r="B7512"/>
          <cell r="C7512">
            <v>45852</v>
          </cell>
          <cell r="D7512" t="str">
            <v>Fina</v>
          </cell>
          <cell r="E7512" t="str">
            <v>Usman Amin</v>
          </cell>
        </row>
        <row r="7513">
          <cell r="A7513" t="str">
            <v>1845 F</v>
          </cell>
          <cell r="B7513"/>
          <cell r="C7513">
            <v>45852</v>
          </cell>
          <cell r="D7513" t="str">
            <v>Fina</v>
          </cell>
          <cell r="E7513" t="str">
            <v>Usman Amin</v>
          </cell>
        </row>
        <row r="7514">
          <cell r="A7514" t="str">
            <v>1846 F</v>
          </cell>
          <cell r="B7514"/>
          <cell r="C7514">
            <v>45852</v>
          </cell>
          <cell r="D7514" t="str">
            <v>Fina</v>
          </cell>
          <cell r="E7514" t="str">
            <v>Usman Amin</v>
          </cell>
        </row>
        <row r="7515">
          <cell r="A7515" t="str">
            <v>1847 F</v>
          </cell>
          <cell r="B7515"/>
          <cell r="C7515">
            <v>45852</v>
          </cell>
          <cell r="D7515" t="str">
            <v>Fina</v>
          </cell>
          <cell r="E7515" t="str">
            <v>Usman Amin</v>
          </cell>
        </row>
        <row r="7516">
          <cell r="A7516" t="str">
            <v>1848 F</v>
          </cell>
          <cell r="B7516"/>
          <cell r="C7516">
            <v>45852</v>
          </cell>
          <cell r="D7516" t="str">
            <v>Fina</v>
          </cell>
          <cell r="E7516" t="str">
            <v>Usman Amin</v>
          </cell>
        </row>
        <row r="7517">
          <cell r="A7517" t="str">
            <v>1849 F</v>
          </cell>
          <cell r="B7517"/>
          <cell r="C7517">
            <v>45852</v>
          </cell>
          <cell r="D7517" t="str">
            <v>Fina</v>
          </cell>
          <cell r="E7517" t="str">
            <v>Usman Amin</v>
          </cell>
        </row>
        <row r="7518">
          <cell r="A7518" t="str">
            <v>1850 F</v>
          </cell>
          <cell r="B7518"/>
          <cell r="C7518">
            <v>45852</v>
          </cell>
          <cell r="D7518" t="str">
            <v>Fina</v>
          </cell>
          <cell r="E7518" t="str">
            <v>Usman Amin</v>
          </cell>
        </row>
        <row r="7519">
          <cell r="A7519" t="str">
            <v>1851 F</v>
          </cell>
          <cell r="B7519"/>
          <cell r="C7519">
            <v>45852</v>
          </cell>
          <cell r="D7519" t="str">
            <v>Fina</v>
          </cell>
          <cell r="E7519" t="str">
            <v>Usman Amin</v>
          </cell>
        </row>
        <row r="7520">
          <cell r="A7520" t="str">
            <v>1852 F</v>
          </cell>
          <cell r="B7520"/>
          <cell r="C7520">
            <v>45852</v>
          </cell>
          <cell r="D7520" t="str">
            <v>Fina</v>
          </cell>
          <cell r="E7520" t="str">
            <v>Usman Amin</v>
          </cell>
        </row>
        <row r="7521">
          <cell r="A7521" t="str">
            <v>3194 J</v>
          </cell>
          <cell r="B7521">
            <v>12574</v>
          </cell>
          <cell r="C7521">
            <v>45854</v>
          </cell>
          <cell r="D7521" t="str">
            <v>JILANI</v>
          </cell>
          <cell r="E7521" t="str">
            <v>Hijaz Hospital Lahore</v>
          </cell>
        </row>
        <row r="7522">
          <cell r="A7522" t="str">
            <v>3195 J</v>
          </cell>
          <cell r="B7522">
            <v>12575</v>
          </cell>
          <cell r="C7522">
            <v>45850</v>
          </cell>
          <cell r="D7522" t="str">
            <v>JILANI</v>
          </cell>
          <cell r="E7522" t="str">
            <v>برجر پینٹ لاہور</v>
          </cell>
        </row>
        <row r="7523">
          <cell r="A7523" t="str">
            <v>3196 J</v>
          </cell>
          <cell r="B7523">
            <v>12576</v>
          </cell>
          <cell r="C7523">
            <v>45850</v>
          </cell>
          <cell r="D7523" t="str">
            <v>JILANI</v>
          </cell>
          <cell r="E7523" t="str">
            <v>برجر پینٹ لاہور</v>
          </cell>
        </row>
        <row r="7524">
          <cell r="A7524" t="str">
            <v>3197 J</v>
          </cell>
          <cell r="B7524">
            <v>12577</v>
          </cell>
          <cell r="C7524">
            <v>45850</v>
          </cell>
          <cell r="D7524" t="str">
            <v>JILANI</v>
          </cell>
          <cell r="E7524" t="str">
            <v>PO CANCEL</v>
          </cell>
        </row>
        <row r="7525">
          <cell r="A7525" t="str">
            <v>3198 J</v>
          </cell>
          <cell r="B7525">
            <v>12578</v>
          </cell>
          <cell r="C7525">
            <v>45852</v>
          </cell>
          <cell r="D7525" t="str">
            <v>JILANI</v>
          </cell>
          <cell r="E7525" t="str">
            <v>Bandu Khan</v>
          </cell>
        </row>
        <row r="7526">
          <cell r="A7526" t="str">
            <v>3199 J</v>
          </cell>
          <cell r="B7526">
            <v>12579</v>
          </cell>
          <cell r="C7526">
            <v>45852</v>
          </cell>
          <cell r="D7526" t="str">
            <v>JILANI</v>
          </cell>
          <cell r="E7526" t="str">
            <v>Bandu Khan</v>
          </cell>
        </row>
        <row r="7527">
          <cell r="A7527" t="str">
            <v>3200 J</v>
          </cell>
          <cell r="B7527">
            <v>12579</v>
          </cell>
          <cell r="C7527">
            <v>45852</v>
          </cell>
          <cell r="D7527" t="str">
            <v>JILANI</v>
          </cell>
          <cell r="E7527" t="str">
            <v>Bandu Khan</v>
          </cell>
        </row>
        <row r="7528">
          <cell r="A7528" t="str">
            <v>3201 J</v>
          </cell>
          <cell r="B7528">
            <v>12579</v>
          </cell>
          <cell r="C7528">
            <v>45852</v>
          </cell>
          <cell r="D7528" t="str">
            <v>JILANI</v>
          </cell>
          <cell r="E7528" t="str">
            <v>Bandu Khan</v>
          </cell>
        </row>
        <row r="7529">
          <cell r="A7529" t="str">
            <v>3202 J</v>
          </cell>
          <cell r="B7529">
            <v>12579</v>
          </cell>
          <cell r="C7529">
            <v>45852</v>
          </cell>
          <cell r="D7529" t="str">
            <v>JILANI</v>
          </cell>
          <cell r="E7529" t="str">
            <v>Bandu Khan</v>
          </cell>
        </row>
        <row r="7530">
          <cell r="A7530" t="str">
            <v>3203 J</v>
          </cell>
          <cell r="B7530">
            <v>12580</v>
          </cell>
          <cell r="C7530">
            <v>45852</v>
          </cell>
          <cell r="D7530" t="str">
            <v>JILANI</v>
          </cell>
          <cell r="E7530" t="str">
            <v>Burger saucy Shahadra Lahore</v>
          </cell>
        </row>
        <row r="7531">
          <cell r="A7531" t="str">
            <v>3204 J</v>
          </cell>
          <cell r="B7531">
            <v>12580</v>
          </cell>
          <cell r="C7531">
            <v>45852</v>
          </cell>
          <cell r="D7531" t="str">
            <v>JILANI</v>
          </cell>
          <cell r="E7531" t="str">
            <v>Burger saucy Shahadra Lahore</v>
          </cell>
        </row>
        <row r="7532">
          <cell r="A7532" t="str">
            <v>3205 J</v>
          </cell>
          <cell r="B7532">
            <v>12580</v>
          </cell>
          <cell r="C7532">
            <v>45852</v>
          </cell>
          <cell r="D7532" t="str">
            <v>JILANI</v>
          </cell>
          <cell r="E7532" t="str">
            <v>Burger saucy Shahadra Lahore</v>
          </cell>
        </row>
        <row r="7533">
          <cell r="A7533" t="str">
            <v>3206 J</v>
          </cell>
          <cell r="B7533">
            <v>12580</v>
          </cell>
          <cell r="C7533">
            <v>45852</v>
          </cell>
          <cell r="D7533" t="str">
            <v>JILANI</v>
          </cell>
          <cell r="E7533" t="str">
            <v>Burger saucy Shahadra Lahore</v>
          </cell>
        </row>
        <row r="7534">
          <cell r="A7534" t="str">
            <v>3207 j</v>
          </cell>
          <cell r="B7534">
            <v>12581</v>
          </cell>
          <cell r="C7534">
            <v>45852</v>
          </cell>
          <cell r="D7534" t="str">
            <v>JILANI</v>
          </cell>
          <cell r="E7534" t="str">
            <v>Milker Dairies Sialkot</v>
          </cell>
        </row>
        <row r="7535">
          <cell r="A7535" t="str">
            <v>7058/1</v>
          </cell>
          <cell r="B7535">
            <v>7058</v>
          </cell>
          <cell r="C7535">
            <v>45853</v>
          </cell>
          <cell r="D7535" t="str">
            <v>یونس صاحب</v>
          </cell>
          <cell r="E7535" t="str">
            <v>محبوب مقبول گوجرانوالہ</v>
          </cell>
        </row>
        <row r="7536">
          <cell r="A7536" t="str">
            <v>7058/2</v>
          </cell>
          <cell r="B7536">
            <v>7058</v>
          </cell>
          <cell r="C7536">
            <v>45853</v>
          </cell>
          <cell r="D7536" t="str">
            <v>یونس صاحب</v>
          </cell>
          <cell r="E7536" t="str">
            <v>محبوب مقبول گوجرانوالہ</v>
          </cell>
        </row>
        <row r="7537">
          <cell r="A7537" t="str">
            <v>7059/1</v>
          </cell>
          <cell r="B7537">
            <v>7059</v>
          </cell>
          <cell r="C7537">
            <v>45853</v>
          </cell>
          <cell r="D7537" t="str">
            <v>یونس صاحب</v>
          </cell>
          <cell r="E7537" t="str">
            <v>عمران مشتاق پتوکی</v>
          </cell>
        </row>
        <row r="7538">
          <cell r="A7538" t="str">
            <v>7060/1</v>
          </cell>
          <cell r="B7538">
            <v>7060</v>
          </cell>
          <cell r="C7538">
            <v>45853</v>
          </cell>
          <cell r="D7538" t="str">
            <v>یونس صاحب</v>
          </cell>
          <cell r="E7538" t="str">
            <v>سرفرازPجھنگ</v>
          </cell>
        </row>
        <row r="7539">
          <cell r="A7539" t="str">
            <v>7061/1</v>
          </cell>
          <cell r="B7539">
            <v>7061</v>
          </cell>
          <cell r="C7539">
            <v>45853</v>
          </cell>
          <cell r="D7539" t="str">
            <v>یونس صاحب</v>
          </cell>
          <cell r="E7539" t="str">
            <v>فیصل پلاسٹک فیصل آباد</v>
          </cell>
        </row>
        <row r="7540">
          <cell r="A7540" t="str">
            <v>7061/2</v>
          </cell>
          <cell r="B7540">
            <v>7061</v>
          </cell>
          <cell r="C7540">
            <v>45853</v>
          </cell>
          <cell r="D7540" t="str">
            <v>یونس صاحب</v>
          </cell>
          <cell r="E7540" t="str">
            <v>فیصل پلاسٹک فیصل آباد</v>
          </cell>
        </row>
        <row r="7541">
          <cell r="A7541" t="str">
            <v>7061/3</v>
          </cell>
          <cell r="B7541">
            <v>7061</v>
          </cell>
          <cell r="C7541">
            <v>45853</v>
          </cell>
          <cell r="D7541" t="str">
            <v>یونس صاحب</v>
          </cell>
          <cell r="E7541" t="str">
            <v>فیصل پلاسٹک فیصل آباد</v>
          </cell>
        </row>
        <row r="7542">
          <cell r="A7542" t="str">
            <v>7061/4</v>
          </cell>
          <cell r="B7542">
            <v>7061</v>
          </cell>
          <cell r="C7542">
            <v>45853</v>
          </cell>
          <cell r="D7542" t="str">
            <v>یونس صاحب</v>
          </cell>
          <cell r="E7542" t="str">
            <v>فیصل پلاسٹک فیصل آباد</v>
          </cell>
        </row>
        <row r="7543">
          <cell r="A7543" t="str">
            <v>7061/5</v>
          </cell>
          <cell r="B7543">
            <v>7061</v>
          </cell>
          <cell r="C7543">
            <v>45853</v>
          </cell>
          <cell r="D7543" t="str">
            <v>یونس صاحب</v>
          </cell>
          <cell r="E7543" t="str">
            <v>فیصل پلاسٹک فیصل آباد</v>
          </cell>
        </row>
        <row r="7544">
          <cell r="A7544" t="str">
            <v>7061/6</v>
          </cell>
          <cell r="B7544">
            <v>7061</v>
          </cell>
          <cell r="C7544">
            <v>45853</v>
          </cell>
          <cell r="D7544" t="str">
            <v>یونس صاحب</v>
          </cell>
          <cell r="E7544" t="str">
            <v>فیصل پلاسٹک فیصل آباد</v>
          </cell>
        </row>
        <row r="7545">
          <cell r="A7545" t="str">
            <v>7061/7</v>
          </cell>
          <cell r="B7545">
            <v>7061</v>
          </cell>
          <cell r="C7545">
            <v>45853</v>
          </cell>
          <cell r="D7545" t="str">
            <v>یونس صاحب</v>
          </cell>
          <cell r="E7545" t="str">
            <v>فیصل پلاسٹک فیصل آباد</v>
          </cell>
        </row>
        <row r="7546">
          <cell r="A7546" t="str">
            <v>7061/8</v>
          </cell>
          <cell r="B7546">
            <v>7061</v>
          </cell>
          <cell r="C7546">
            <v>45853</v>
          </cell>
          <cell r="D7546" t="str">
            <v>یونس صاحب</v>
          </cell>
          <cell r="E7546" t="str">
            <v>فیصل پلاسٹک فیصل آباد</v>
          </cell>
        </row>
        <row r="7547">
          <cell r="A7547" t="str">
            <v>7061/9</v>
          </cell>
          <cell r="B7547">
            <v>7061</v>
          </cell>
          <cell r="C7547">
            <v>45853</v>
          </cell>
          <cell r="D7547" t="str">
            <v>یونس صاحب</v>
          </cell>
          <cell r="E7547" t="str">
            <v>فیصل پلاسٹک فیصل آباد</v>
          </cell>
        </row>
        <row r="7548">
          <cell r="A7548" t="str">
            <v>7061/10</v>
          </cell>
          <cell r="B7548">
            <v>7061</v>
          </cell>
          <cell r="C7548">
            <v>45853</v>
          </cell>
          <cell r="D7548" t="str">
            <v>یونس صاحب</v>
          </cell>
          <cell r="E7548" t="str">
            <v>فیصل پلاسٹک فیصل آباد</v>
          </cell>
        </row>
        <row r="7549">
          <cell r="A7549" t="str">
            <v>7061/11</v>
          </cell>
          <cell r="B7549">
            <v>7061</v>
          </cell>
          <cell r="C7549">
            <v>45853</v>
          </cell>
          <cell r="D7549" t="str">
            <v>یونس صاحب</v>
          </cell>
          <cell r="E7549" t="str">
            <v>فیصل پلاسٹک فیصل آباد</v>
          </cell>
        </row>
        <row r="7550">
          <cell r="A7550" t="str">
            <v>7062/1</v>
          </cell>
          <cell r="B7550">
            <v>7062</v>
          </cell>
          <cell r="C7550">
            <v>45853</v>
          </cell>
          <cell r="D7550" t="str">
            <v>یونس صاحب</v>
          </cell>
          <cell r="E7550" t="str">
            <v>زلقرنین کاموکی</v>
          </cell>
        </row>
        <row r="7551">
          <cell r="A7551" t="str">
            <v>7062/2</v>
          </cell>
          <cell r="B7551">
            <v>7062</v>
          </cell>
          <cell r="C7551">
            <v>45853</v>
          </cell>
          <cell r="D7551" t="str">
            <v>یونس صاحب</v>
          </cell>
          <cell r="E7551" t="str">
            <v>زلقرنین کاموکی</v>
          </cell>
        </row>
        <row r="7552">
          <cell r="A7552" t="str">
            <v>7063/1</v>
          </cell>
          <cell r="B7552">
            <v>7063</v>
          </cell>
          <cell r="C7552">
            <v>45853</v>
          </cell>
          <cell r="D7552" t="str">
            <v>یونس صاحب</v>
          </cell>
          <cell r="E7552" t="str">
            <v>محبوب مقبول گوجرانوالہ</v>
          </cell>
        </row>
        <row r="7553">
          <cell r="A7553" t="str">
            <v>7063/2</v>
          </cell>
          <cell r="B7553">
            <v>7063</v>
          </cell>
          <cell r="C7553">
            <v>45853</v>
          </cell>
          <cell r="D7553" t="str">
            <v>یونس صاحب</v>
          </cell>
          <cell r="E7553" t="str">
            <v>محبوب مقبول گوجرانوالہ</v>
          </cell>
        </row>
        <row r="7554">
          <cell r="A7554" t="str">
            <v>7064/1</v>
          </cell>
          <cell r="B7554">
            <v>7064</v>
          </cell>
          <cell r="C7554">
            <v>45853</v>
          </cell>
          <cell r="D7554" t="str">
            <v>یونس صاحب</v>
          </cell>
          <cell r="E7554" t="str">
            <v>شمائل پلاسٹک بھکر</v>
          </cell>
        </row>
        <row r="7555">
          <cell r="A7555" t="str">
            <v>7064/2</v>
          </cell>
          <cell r="B7555">
            <v>7064</v>
          </cell>
          <cell r="C7555">
            <v>45853</v>
          </cell>
          <cell r="D7555" t="str">
            <v>یونس صاحب</v>
          </cell>
          <cell r="E7555" t="str">
            <v>شمائل پلاسٹک بھکر</v>
          </cell>
        </row>
        <row r="7556">
          <cell r="A7556" t="str">
            <v>7064/3</v>
          </cell>
          <cell r="B7556">
            <v>7064</v>
          </cell>
          <cell r="C7556">
            <v>45853</v>
          </cell>
          <cell r="D7556" t="str">
            <v>یونس صاحب</v>
          </cell>
          <cell r="E7556" t="str">
            <v>شمائل پلاسٹک بھکر</v>
          </cell>
        </row>
        <row r="7557">
          <cell r="A7557" t="str">
            <v>7064/4</v>
          </cell>
          <cell r="B7557">
            <v>7064</v>
          </cell>
          <cell r="C7557">
            <v>45853</v>
          </cell>
          <cell r="D7557" t="str">
            <v>یونس صاحب</v>
          </cell>
          <cell r="E7557" t="str">
            <v>شمائل پلاسٹک بھکر</v>
          </cell>
        </row>
        <row r="7558">
          <cell r="A7558" t="str">
            <v>7065/1</v>
          </cell>
          <cell r="B7558">
            <v>7065</v>
          </cell>
          <cell r="C7558">
            <v>45853</v>
          </cell>
          <cell r="D7558" t="str">
            <v>یونس صاحب</v>
          </cell>
          <cell r="E7558" t="str">
            <v>محبوب مقبول گوجرانوالہ</v>
          </cell>
        </row>
        <row r="7559">
          <cell r="A7559" t="str">
            <v>7065/2</v>
          </cell>
          <cell r="B7559">
            <v>7065</v>
          </cell>
          <cell r="C7559">
            <v>45853</v>
          </cell>
          <cell r="D7559" t="str">
            <v>یونس صاحب</v>
          </cell>
          <cell r="E7559" t="str">
            <v>محبوب مقبول گوجرانوالہ</v>
          </cell>
        </row>
        <row r="7560">
          <cell r="A7560" t="str">
            <v>7065/3</v>
          </cell>
          <cell r="B7560">
            <v>7065</v>
          </cell>
          <cell r="C7560">
            <v>45853</v>
          </cell>
          <cell r="D7560" t="str">
            <v>یونس صاحب</v>
          </cell>
          <cell r="E7560" t="str">
            <v>محبوب مقبول گوجرانوالہ</v>
          </cell>
        </row>
        <row r="7561">
          <cell r="A7561" t="str">
            <v>7066/1</v>
          </cell>
          <cell r="B7561">
            <v>7066</v>
          </cell>
          <cell r="C7561">
            <v>45853</v>
          </cell>
          <cell r="D7561" t="str">
            <v>یونس صاحب</v>
          </cell>
          <cell r="E7561" t="str">
            <v>عرفان احمد اعظم مارکیٹ</v>
          </cell>
        </row>
        <row r="7562">
          <cell r="A7562" t="str">
            <v>7067/1</v>
          </cell>
          <cell r="B7562">
            <v>7067</v>
          </cell>
          <cell r="C7562">
            <v>45853</v>
          </cell>
          <cell r="D7562" t="str">
            <v>یونس صاحب</v>
          </cell>
          <cell r="E7562" t="str">
            <v>عرفان احمد اعظم مارکیٹ</v>
          </cell>
        </row>
        <row r="7563">
          <cell r="A7563" t="str">
            <v>7067/2</v>
          </cell>
          <cell r="B7563">
            <v>7067</v>
          </cell>
          <cell r="C7563">
            <v>45853</v>
          </cell>
          <cell r="D7563" t="str">
            <v>یونس صاحب</v>
          </cell>
          <cell r="E7563" t="str">
            <v>عرفان احمد اعظم مارکیٹ</v>
          </cell>
        </row>
        <row r="7564">
          <cell r="A7564" t="str">
            <v>7067/3</v>
          </cell>
          <cell r="B7564">
            <v>7067</v>
          </cell>
          <cell r="C7564">
            <v>45853</v>
          </cell>
          <cell r="D7564" t="str">
            <v>یونس صاحب</v>
          </cell>
          <cell r="E7564" t="str">
            <v>عرفان احمد اعظم مارکیٹ</v>
          </cell>
        </row>
        <row r="7565">
          <cell r="A7565" t="str">
            <v>3208 J</v>
          </cell>
          <cell r="B7565">
            <v>12583</v>
          </cell>
          <cell r="C7565">
            <v>45852</v>
          </cell>
          <cell r="D7565" t="str">
            <v>JILANI</v>
          </cell>
          <cell r="E7565" t="str">
            <v>Mughal Plastic Store Layyah</v>
          </cell>
        </row>
        <row r="7566">
          <cell r="A7566" t="str">
            <v>3209 J</v>
          </cell>
          <cell r="B7566">
            <v>12584</v>
          </cell>
          <cell r="C7566">
            <v>45852</v>
          </cell>
          <cell r="D7566" t="str">
            <v>JILANI</v>
          </cell>
          <cell r="E7566" t="str">
            <v>Subhan Traders Out Fall Road Lahore</v>
          </cell>
        </row>
        <row r="7567">
          <cell r="A7567" t="str">
            <v>3210 J</v>
          </cell>
          <cell r="B7567">
            <v>12584</v>
          </cell>
          <cell r="C7567">
            <v>45852</v>
          </cell>
          <cell r="D7567" t="str">
            <v>JILANI</v>
          </cell>
          <cell r="E7567" t="str">
            <v>Subhan Traders Out Fall Road Lahore</v>
          </cell>
        </row>
        <row r="7568">
          <cell r="A7568" t="str">
            <v>3211 J</v>
          </cell>
          <cell r="B7568">
            <v>12585</v>
          </cell>
          <cell r="C7568">
            <v>45852</v>
          </cell>
          <cell r="D7568" t="str">
            <v>JILANI</v>
          </cell>
          <cell r="E7568" t="str">
            <v>Makkah Garments Burewala</v>
          </cell>
        </row>
        <row r="7569">
          <cell r="A7569" t="str">
            <v>3212 J</v>
          </cell>
          <cell r="B7569">
            <v>12586</v>
          </cell>
          <cell r="C7569">
            <v>45852</v>
          </cell>
          <cell r="D7569" t="str">
            <v>JILANI</v>
          </cell>
          <cell r="E7569" t="str">
            <v>Head Office Lahore</v>
          </cell>
        </row>
        <row r="7570">
          <cell r="A7570" t="str">
            <v>3213 J</v>
          </cell>
          <cell r="B7570">
            <v>12586</v>
          </cell>
          <cell r="C7570">
            <v>45852</v>
          </cell>
          <cell r="D7570" t="str">
            <v>JILANI</v>
          </cell>
          <cell r="E7570" t="str">
            <v>Head Office Lahore</v>
          </cell>
        </row>
        <row r="7571">
          <cell r="A7571" t="str">
            <v>3214 J</v>
          </cell>
          <cell r="B7571">
            <v>12587</v>
          </cell>
          <cell r="C7571">
            <v>45852</v>
          </cell>
          <cell r="D7571" t="str">
            <v>JILANI</v>
          </cell>
          <cell r="E7571" t="str">
            <v>Al Harmain Garments Karim Park Lahore</v>
          </cell>
        </row>
        <row r="7572">
          <cell r="A7572" t="str">
            <v>3215 J</v>
          </cell>
          <cell r="B7572">
            <v>12587</v>
          </cell>
          <cell r="C7572">
            <v>45852</v>
          </cell>
          <cell r="D7572" t="str">
            <v>JILANI</v>
          </cell>
          <cell r="E7572" t="str">
            <v>Al Harmain Garments Karim Park Lahore</v>
          </cell>
        </row>
        <row r="7573">
          <cell r="A7573" t="str">
            <v>3216 J</v>
          </cell>
          <cell r="B7573">
            <v>12588</v>
          </cell>
          <cell r="C7573">
            <v>45853</v>
          </cell>
          <cell r="D7573" t="str">
            <v>JILANI</v>
          </cell>
          <cell r="E7573" t="str">
            <v xml:space="preserve">Laam Lungi By M Shawl Lahore </v>
          </cell>
        </row>
        <row r="7574">
          <cell r="A7574" t="str">
            <v>3217 J</v>
          </cell>
          <cell r="B7574">
            <v>12588</v>
          </cell>
          <cell r="C7574">
            <v>45853</v>
          </cell>
          <cell r="D7574" t="str">
            <v>JILANI</v>
          </cell>
          <cell r="E7574" t="str">
            <v xml:space="preserve">Laam Lungi By M Shawl Lahore </v>
          </cell>
        </row>
        <row r="7575">
          <cell r="A7575" t="str">
            <v>3218 J</v>
          </cell>
          <cell r="B7575">
            <v>12589</v>
          </cell>
          <cell r="C7575">
            <v>45853</v>
          </cell>
          <cell r="D7575" t="str">
            <v>JILANI</v>
          </cell>
          <cell r="E7575" t="str">
            <v xml:space="preserve">Bata and Service c/o Rashid Minhas </v>
          </cell>
        </row>
        <row r="7576">
          <cell r="A7576" t="str">
            <v>3219 J</v>
          </cell>
          <cell r="B7576">
            <v>12530</v>
          </cell>
          <cell r="C7576">
            <v>45853</v>
          </cell>
          <cell r="D7576" t="str">
            <v>JILANI</v>
          </cell>
          <cell r="E7576" t="str">
            <v xml:space="preserve">Shoaib Auto Rawalpindi </v>
          </cell>
        </row>
        <row r="7577">
          <cell r="A7577" t="str">
            <v>3220 J</v>
          </cell>
          <cell r="B7577">
            <v>12530</v>
          </cell>
          <cell r="C7577">
            <v>45853</v>
          </cell>
          <cell r="D7577" t="str">
            <v>JILANI</v>
          </cell>
          <cell r="E7577" t="str">
            <v xml:space="preserve">Shoaib Auto Rawalpindi </v>
          </cell>
        </row>
        <row r="7578">
          <cell r="A7578" t="str">
            <v>3221 J</v>
          </cell>
          <cell r="B7578">
            <v>12530</v>
          </cell>
          <cell r="C7578">
            <v>45853</v>
          </cell>
          <cell r="D7578" t="str">
            <v>JILANI</v>
          </cell>
          <cell r="E7578" t="str">
            <v xml:space="preserve">Shoaib Auto Rawalpindi </v>
          </cell>
        </row>
        <row r="7579">
          <cell r="A7579" t="str">
            <v>3222 J</v>
          </cell>
          <cell r="B7579">
            <v>12531</v>
          </cell>
          <cell r="C7579">
            <v>45853</v>
          </cell>
          <cell r="D7579" t="str">
            <v>JILANI</v>
          </cell>
          <cell r="E7579" t="str">
            <v>H A Industry Peshawar</v>
          </cell>
        </row>
        <row r="7580">
          <cell r="A7580" t="str">
            <v>3223 J</v>
          </cell>
          <cell r="B7580">
            <v>12532</v>
          </cell>
          <cell r="C7580">
            <v>45853</v>
          </cell>
          <cell r="D7580" t="str">
            <v>JILANI</v>
          </cell>
          <cell r="E7580" t="str">
            <v>H A Industry Peshawar</v>
          </cell>
        </row>
        <row r="7581">
          <cell r="A7581" t="str">
            <v>3224 J</v>
          </cell>
          <cell r="B7581">
            <v>12533</v>
          </cell>
          <cell r="C7581">
            <v>45853</v>
          </cell>
          <cell r="D7581" t="str">
            <v>JILANI</v>
          </cell>
          <cell r="E7581" t="str">
            <v>H A Industry Peshawar</v>
          </cell>
        </row>
        <row r="7582">
          <cell r="A7582" t="str">
            <v>3225 J</v>
          </cell>
          <cell r="B7582">
            <v>12534</v>
          </cell>
          <cell r="C7582">
            <v>45853</v>
          </cell>
          <cell r="D7582" t="str">
            <v>JILANI</v>
          </cell>
          <cell r="E7582" t="str">
            <v>Binaris Cloth House Gojar Khan</v>
          </cell>
        </row>
        <row r="7583">
          <cell r="A7583" t="str">
            <v>3226 J</v>
          </cell>
          <cell r="B7583">
            <v>12535</v>
          </cell>
          <cell r="C7583">
            <v>45853</v>
          </cell>
          <cell r="D7583" t="str">
            <v>JILANI</v>
          </cell>
          <cell r="E7583" t="str">
            <v xml:space="preserve">Moazmi Plastic Sahiwal </v>
          </cell>
        </row>
        <row r="7584">
          <cell r="A7584" t="str">
            <v>3227 J</v>
          </cell>
          <cell r="B7584">
            <v>12535</v>
          </cell>
          <cell r="C7584">
            <v>45853</v>
          </cell>
          <cell r="D7584" t="str">
            <v>JILANI</v>
          </cell>
          <cell r="E7584" t="str">
            <v xml:space="preserve">Moazmi Plastic Sahiwal </v>
          </cell>
        </row>
        <row r="7585">
          <cell r="A7585" t="str">
            <v>3228 J</v>
          </cell>
          <cell r="B7585">
            <v>12596</v>
          </cell>
          <cell r="C7585">
            <v>45853</v>
          </cell>
          <cell r="D7585" t="str">
            <v>JILANI</v>
          </cell>
          <cell r="E7585" t="str">
            <v>Alam Printer ButKhela</v>
          </cell>
        </row>
        <row r="7586">
          <cell r="A7586" t="str">
            <v>3229 J</v>
          </cell>
          <cell r="B7586">
            <v>12597</v>
          </cell>
          <cell r="C7586">
            <v>45853</v>
          </cell>
          <cell r="D7586" t="str">
            <v>JILANI</v>
          </cell>
          <cell r="E7586" t="str">
            <v>Alam Printer ButKhela</v>
          </cell>
        </row>
        <row r="7587">
          <cell r="A7587" t="str">
            <v>3230 J</v>
          </cell>
          <cell r="B7587">
            <v>12598</v>
          </cell>
          <cell r="C7587">
            <v>45853</v>
          </cell>
          <cell r="D7587" t="str">
            <v>JILANI</v>
          </cell>
          <cell r="E7587" t="str">
            <v>Baber Sher C/O Al Fatah Bakers</v>
          </cell>
        </row>
        <row r="7588">
          <cell r="A7588" t="str">
            <v>3231 J</v>
          </cell>
          <cell r="B7588">
            <v>12599</v>
          </cell>
          <cell r="C7588">
            <v>45853</v>
          </cell>
          <cell r="D7588" t="str">
            <v>JILANI</v>
          </cell>
          <cell r="E7588" t="str">
            <v>Alam Bakers Hafizabad</v>
          </cell>
        </row>
        <row r="7589">
          <cell r="A7589" t="str">
            <v>3232 J</v>
          </cell>
          <cell r="B7589">
            <v>12600</v>
          </cell>
          <cell r="C7589">
            <v>45853</v>
          </cell>
          <cell r="D7589" t="str">
            <v>JILANI</v>
          </cell>
          <cell r="E7589" t="str">
            <v>Chaudhry Milk Sweets and Bakers Jhangh</v>
          </cell>
        </row>
        <row r="7590">
          <cell r="A7590" t="str">
            <v>3233 J</v>
          </cell>
          <cell r="B7590">
            <v>12600</v>
          </cell>
          <cell r="C7590">
            <v>45853</v>
          </cell>
          <cell r="D7590" t="str">
            <v>JILANI</v>
          </cell>
          <cell r="E7590" t="str">
            <v>Chaudhry Milk Sweets and Bakers Jhangh</v>
          </cell>
        </row>
        <row r="7591">
          <cell r="A7591" t="str">
            <v>3234 J</v>
          </cell>
          <cell r="B7591">
            <v>12601</v>
          </cell>
          <cell r="C7591">
            <v>45853</v>
          </cell>
          <cell r="D7591" t="str">
            <v>JILANI</v>
          </cell>
          <cell r="E7591" t="str">
            <v>Madni Printing Press Narang Mandi</v>
          </cell>
        </row>
        <row r="7592">
          <cell r="A7592" t="str">
            <v>3235 J</v>
          </cell>
          <cell r="B7592">
            <v>12602</v>
          </cell>
          <cell r="C7592">
            <v>45853</v>
          </cell>
          <cell r="D7592" t="str">
            <v>JILANI</v>
          </cell>
          <cell r="E7592" t="str">
            <v>Waqas Wollan Mills Gujranwala</v>
          </cell>
        </row>
        <row r="7593">
          <cell r="A7593" t="str">
            <v>3236 J</v>
          </cell>
          <cell r="B7593">
            <v>12603</v>
          </cell>
          <cell r="C7593">
            <v>45853</v>
          </cell>
          <cell r="D7593" t="str">
            <v>JILANI</v>
          </cell>
          <cell r="E7593" t="str">
            <v>Waqas Wollan Mills Gujranwala</v>
          </cell>
        </row>
        <row r="7594">
          <cell r="A7594" t="str">
            <v>3237 J</v>
          </cell>
          <cell r="B7594"/>
          <cell r="C7594">
            <v>45853</v>
          </cell>
          <cell r="D7594" t="str">
            <v>OTHER</v>
          </cell>
          <cell r="E7594" t="str">
            <v>Jilani Poly Stock</v>
          </cell>
        </row>
        <row r="7595">
          <cell r="A7595" t="str">
            <v>3238 J</v>
          </cell>
          <cell r="B7595"/>
          <cell r="C7595">
            <v>45853</v>
          </cell>
          <cell r="D7595" t="str">
            <v>OTHER</v>
          </cell>
          <cell r="E7595" t="str">
            <v>Jilani Poly Stock</v>
          </cell>
        </row>
        <row r="7596">
          <cell r="A7596" t="str">
            <v>3239 J</v>
          </cell>
          <cell r="B7596"/>
          <cell r="C7596">
            <v>45853</v>
          </cell>
          <cell r="D7596" t="str">
            <v>OTHER</v>
          </cell>
          <cell r="E7596" t="str">
            <v>Jilani Poly Stock</v>
          </cell>
        </row>
        <row r="7597">
          <cell r="A7597" t="str">
            <v>3240 J</v>
          </cell>
          <cell r="B7597"/>
          <cell r="C7597">
            <v>45853</v>
          </cell>
          <cell r="D7597" t="str">
            <v>OTHER</v>
          </cell>
          <cell r="E7597" t="str">
            <v>Jilani Poly Stock</v>
          </cell>
        </row>
        <row r="7598">
          <cell r="A7598" t="str">
            <v>3241 J</v>
          </cell>
          <cell r="B7598"/>
          <cell r="C7598">
            <v>45853</v>
          </cell>
          <cell r="D7598" t="str">
            <v>OTHER</v>
          </cell>
          <cell r="E7598" t="str">
            <v>Jilani Poly Stock</v>
          </cell>
        </row>
        <row r="7599">
          <cell r="A7599" t="str">
            <v>3242 J</v>
          </cell>
          <cell r="B7599"/>
          <cell r="C7599">
            <v>45853</v>
          </cell>
          <cell r="D7599" t="str">
            <v>OTHER</v>
          </cell>
          <cell r="E7599" t="str">
            <v>Jilani Poly Stock</v>
          </cell>
        </row>
        <row r="7600">
          <cell r="A7600" t="str">
            <v>1853 F</v>
          </cell>
          <cell r="B7600"/>
          <cell r="C7600">
            <v>45853</v>
          </cell>
          <cell r="D7600" t="str">
            <v>Fina</v>
          </cell>
          <cell r="E7600" t="str">
            <v>Usman Amin</v>
          </cell>
        </row>
        <row r="7601">
          <cell r="A7601" t="str">
            <v>1854 F</v>
          </cell>
          <cell r="B7601"/>
          <cell r="C7601">
            <v>45854</v>
          </cell>
          <cell r="D7601" t="str">
            <v>Fina</v>
          </cell>
          <cell r="E7601" t="str">
            <v>Usman Amin</v>
          </cell>
        </row>
        <row r="7602">
          <cell r="A7602" t="str">
            <v>1855 F</v>
          </cell>
          <cell r="B7602"/>
          <cell r="C7602">
            <v>45854</v>
          </cell>
          <cell r="D7602" t="str">
            <v>Fina</v>
          </cell>
          <cell r="E7602" t="str">
            <v>Usman Amin</v>
          </cell>
        </row>
        <row r="7603">
          <cell r="A7603" t="str">
            <v>1856 F</v>
          </cell>
          <cell r="B7603"/>
          <cell r="C7603">
            <v>45854</v>
          </cell>
          <cell r="D7603" t="str">
            <v>Fina</v>
          </cell>
          <cell r="E7603" t="str">
            <v>Usman Amin</v>
          </cell>
        </row>
        <row r="7604">
          <cell r="A7604" t="str">
            <v>1857 F</v>
          </cell>
          <cell r="B7604"/>
          <cell r="C7604">
            <v>45854</v>
          </cell>
          <cell r="D7604" t="str">
            <v>Fina</v>
          </cell>
          <cell r="E7604" t="str">
            <v>Usman Amin</v>
          </cell>
        </row>
        <row r="7605">
          <cell r="A7605" t="str">
            <v>1858 F</v>
          </cell>
          <cell r="B7605"/>
          <cell r="C7605">
            <v>45854</v>
          </cell>
          <cell r="D7605" t="str">
            <v>Fina</v>
          </cell>
          <cell r="E7605" t="str">
            <v>Usman Amin</v>
          </cell>
        </row>
        <row r="7606">
          <cell r="A7606">
            <v>2768</v>
          </cell>
          <cell r="B7606">
            <v>1792</v>
          </cell>
          <cell r="C7606">
            <v>45853</v>
          </cell>
          <cell r="D7606" t="str">
            <v>JILANI</v>
          </cell>
          <cell r="E7606" t="str">
            <v>USMAN AMEEN LAHORE</v>
          </cell>
        </row>
        <row r="7607">
          <cell r="A7607" t="str">
            <v>7068/1</v>
          </cell>
          <cell r="B7607">
            <v>7068</v>
          </cell>
          <cell r="C7607">
            <v>45854</v>
          </cell>
          <cell r="D7607" t="str">
            <v>یونس صاحب</v>
          </cell>
          <cell r="E7607" t="str">
            <v xml:space="preserve">ایم بلال اعظم مارکیٹ </v>
          </cell>
        </row>
        <row r="7608">
          <cell r="A7608" t="str">
            <v>7069/1</v>
          </cell>
          <cell r="B7608">
            <v>7069</v>
          </cell>
          <cell r="C7608">
            <v>45854</v>
          </cell>
          <cell r="D7608" t="str">
            <v>یونس صاحب</v>
          </cell>
          <cell r="E7608" t="str">
            <v>ایم   عمران    پاکستان مارکیٹ</v>
          </cell>
        </row>
        <row r="7609">
          <cell r="A7609" t="str">
            <v>7069/2</v>
          </cell>
          <cell r="B7609">
            <v>7069</v>
          </cell>
          <cell r="C7609">
            <v>45854</v>
          </cell>
          <cell r="D7609" t="str">
            <v>یونس صاحب</v>
          </cell>
          <cell r="E7609" t="str">
            <v>ایم   عمران    پاکستان مارکیٹ</v>
          </cell>
        </row>
        <row r="7610">
          <cell r="A7610" t="str">
            <v>7069/3</v>
          </cell>
          <cell r="B7610">
            <v>7069</v>
          </cell>
          <cell r="C7610">
            <v>45854</v>
          </cell>
          <cell r="D7610" t="str">
            <v>یونس صاحب</v>
          </cell>
          <cell r="E7610" t="str">
            <v>ایم   عمران    پاکستان مارکیٹ</v>
          </cell>
        </row>
        <row r="7611">
          <cell r="A7611" t="str">
            <v>7069/4</v>
          </cell>
          <cell r="B7611">
            <v>7069</v>
          </cell>
          <cell r="C7611">
            <v>45854</v>
          </cell>
          <cell r="D7611" t="str">
            <v>یونس صاحب</v>
          </cell>
          <cell r="E7611" t="str">
            <v>ایم   عمران    پاکستان مارکیٹ</v>
          </cell>
        </row>
        <row r="7612">
          <cell r="A7612" t="str">
            <v>7070/1</v>
          </cell>
          <cell r="B7612">
            <v>7070</v>
          </cell>
          <cell r="C7612">
            <v>45854</v>
          </cell>
          <cell r="D7612" t="str">
            <v>یونس صاحب</v>
          </cell>
          <cell r="E7612" t="str">
            <v>اکرم بلو کریانہ خانیور</v>
          </cell>
        </row>
        <row r="7613">
          <cell r="A7613" t="str">
            <v>7070/2</v>
          </cell>
          <cell r="B7613">
            <v>7070</v>
          </cell>
          <cell r="C7613">
            <v>45854</v>
          </cell>
          <cell r="D7613" t="str">
            <v>یونس صاحب</v>
          </cell>
          <cell r="E7613" t="str">
            <v>اکرم بلو کریانہ خانیور</v>
          </cell>
        </row>
        <row r="7614">
          <cell r="A7614" t="str">
            <v>7070/3</v>
          </cell>
          <cell r="B7614">
            <v>7070</v>
          </cell>
          <cell r="C7614">
            <v>45854</v>
          </cell>
          <cell r="D7614" t="str">
            <v>یونس صاحب</v>
          </cell>
          <cell r="E7614" t="str">
            <v>اکرم بلو کریانہ خانیور</v>
          </cell>
        </row>
        <row r="7615">
          <cell r="A7615" t="str">
            <v>7070/4</v>
          </cell>
          <cell r="B7615">
            <v>7070</v>
          </cell>
          <cell r="C7615">
            <v>45854</v>
          </cell>
          <cell r="D7615" t="str">
            <v>یونس صاحب</v>
          </cell>
          <cell r="E7615" t="str">
            <v>اکرم بلو کریانہ خانیور</v>
          </cell>
        </row>
        <row r="7616">
          <cell r="A7616" t="str">
            <v>7070/5</v>
          </cell>
          <cell r="B7616">
            <v>7070</v>
          </cell>
          <cell r="C7616">
            <v>45854</v>
          </cell>
          <cell r="D7616" t="str">
            <v>یونس صاحب</v>
          </cell>
          <cell r="E7616" t="str">
            <v>اکرم بلو کریانہ خانیور</v>
          </cell>
        </row>
        <row r="7617">
          <cell r="A7617" t="str">
            <v>7070/6</v>
          </cell>
          <cell r="B7617">
            <v>7070</v>
          </cell>
          <cell r="C7617">
            <v>45854</v>
          </cell>
          <cell r="D7617" t="str">
            <v>یونس صاحب</v>
          </cell>
          <cell r="E7617" t="str">
            <v>اکرم بلو کریانہ خانیور</v>
          </cell>
        </row>
        <row r="7618">
          <cell r="A7618" t="str">
            <v>7070/7</v>
          </cell>
          <cell r="B7618">
            <v>7070</v>
          </cell>
          <cell r="C7618">
            <v>45854</v>
          </cell>
          <cell r="D7618" t="str">
            <v>یونس صاحب</v>
          </cell>
          <cell r="E7618" t="str">
            <v>اکرم بلو کریانہ خانیور</v>
          </cell>
        </row>
        <row r="7619">
          <cell r="A7619" t="str">
            <v>7070/8</v>
          </cell>
          <cell r="B7619">
            <v>7070</v>
          </cell>
          <cell r="C7619">
            <v>45854</v>
          </cell>
          <cell r="D7619" t="str">
            <v>یونس صاحب</v>
          </cell>
          <cell r="E7619" t="str">
            <v>اکرم بلو کریانہ خانیور</v>
          </cell>
        </row>
        <row r="7620">
          <cell r="A7620" t="str">
            <v>7070/9</v>
          </cell>
          <cell r="B7620">
            <v>7070</v>
          </cell>
          <cell r="C7620">
            <v>45854</v>
          </cell>
          <cell r="D7620" t="str">
            <v>یونس صاحب</v>
          </cell>
          <cell r="E7620" t="str">
            <v>اکرم بلو کریانہ خانیور</v>
          </cell>
        </row>
        <row r="7621">
          <cell r="A7621" t="str">
            <v>7071/1</v>
          </cell>
          <cell r="B7621">
            <v>7071</v>
          </cell>
          <cell r="C7621">
            <v>45854</v>
          </cell>
          <cell r="D7621" t="str">
            <v>یونس صاحب</v>
          </cell>
          <cell r="E7621" t="str">
            <v>حاجی سنز خانیوال</v>
          </cell>
        </row>
        <row r="7622">
          <cell r="A7622" t="str">
            <v>7071/2</v>
          </cell>
          <cell r="B7622">
            <v>7071</v>
          </cell>
          <cell r="C7622">
            <v>45854</v>
          </cell>
          <cell r="D7622" t="str">
            <v>یونس صاحب</v>
          </cell>
          <cell r="E7622" t="str">
            <v>حاجی سنز خانیوال</v>
          </cell>
        </row>
        <row r="7623">
          <cell r="A7623" t="str">
            <v>7071/3</v>
          </cell>
          <cell r="B7623">
            <v>7071</v>
          </cell>
          <cell r="C7623">
            <v>45854</v>
          </cell>
          <cell r="D7623" t="str">
            <v>یونس صاحب</v>
          </cell>
          <cell r="E7623" t="str">
            <v>حاجی سنز خانیوال</v>
          </cell>
        </row>
        <row r="7624">
          <cell r="A7624" t="str">
            <v>7071/4</v>
          </cell>
          <cell r="B7624">
            <v>7071</v>
          </cell>
          <cell r="C7624">
            <v>45854</v>
          </cell>
          <cell r="D7624" t="str">
            <v>یونس صاحب</v>
          </cell>
          <cell r="E7624" t="str">
            <v>حاجی سنز خانیوال</v>
          </cell>
        </row>
        <row r="7625">
          <cell r="A7625" t="str">
            <v>7071/5</v>
          </cell>
          <cell r="B7625">
            <v>7071</v>
          </cell>
          <cell r="C7625">
            <v>45854</v>
          </cell>
          <cell r="D7625" t="str">
            <v>یونس صاحب</v>
          </cell>
          <cell r="E7625" t="str">
            <v>حاجی سنز خانیوال</v>
          </cell>
        </row>
        <row r="7626">
          <cell r="A7626" t="str">
            <v>7071/6</v>
          </cell>
          <cell r="B7626">
            <v>7071</v>
          </cell>
          <cell r="C7626">
            <v>45854</v>
          </cell>
          <cell r="D7626" t="str">
            <v>یونس صاحب</v>
          </cell>
          <cell r="E7626" t="str">
            <v>حاجی سنز خانیوال</v>
          </cell>
        </row>
        <row r="7627">
          <cell r="A7627" t="str">
            <v>7071/7</v>
          </cell>
          <cell r="B7627">
            <v>7071</v>
          </cell>
          <cell r="C7627">
            <v>45854</v>
          </cell>
          <cell r="D7627" t="str">
            <v>یونس صاحب</v>
          </cell>
          <cell r="E7627" t="str">
            <v>حاجی سنز خانیوال</v>
          </cell>
        </row>
        <row r="7628">
          <cell r="A7628" t="str">
            <v>7071/8</v>
          </cell>
          <cell r="B7628">
            <v>7071</v>
          </cell>
          <cell r="C7628">
            <v>45854</v>
          </cell>
          <cell r="D7628" t="str">
            <v>یونس صاحب</v>
          </cell>
          <cell r="E7628" t="str">
            <v>حاجی سنز خانیوال</v>
          </cell>
        </row>
        <row r="7629">
          <cell r="A7629" t="str">
            <v>7071/9</v>
          </cell>
          <cell r="B7629">
            <v>7071</v>
          </cell>
          <cell r="C7629">
            <v>45854</v>
          </cell>
          <cell r="D7629" t="str">
            <v>یونس صاحب</v>
          </cell>
          <cell r="E7629" t="str">
            <v>حاجی سنز خانیوال</v>
          </cell>
        </row>
        <row r="7630">
          <cell r="A7630" t="str">
            <v>7071/10</v>
          </cell>
          <cell r="B7630">
            <v>7071</v>
          </cell>
          <cell r="C7630">
            <v>45854</v>
          </cell>
          <cell r="D7630" t="str">
            <v>یونس صاحب</v>
          </cell>
          <cell r="E7630" t="str">
            <v>حاجی سنز خانیوال</v>
          </cell>
        </row>
        <row r="7631">
          <cell r="A7631" t="str">
            <v>7071/11</v>
          </cell>
          <cell r="B7631">
            <v>7071</v>
          </cell>
          <cell r="C7631">
            <v>45854</v>
          </cell>
          <cell r="D7631" t="str">
            <v>یونس صاحب</v>
          </cell>
          <cell r="E7631" t="str">
            <v>حاجی سنز خانیوال</v>
          </cell>
        </row>
        <row r="7632">
          <cell r="A7632" t="str">
            <v>7071/12</v>
          </cell>
          <cell r="B7632">
            <v>7071</v>
          </cell>
          <cell r="C7632">
            <v>45854</v>
          </cell>
          <cell r="D7632" t="str">
            <v>یونس صاحب</v>
          </cell>
          <cell r="E7632" t="str">
            <v>حاجی سنز خانیوال</v>
          </cell>
        </row>
        <row r="7633">
          <cell r="A7633" t="str">
            <v>7072/1</v>
          </cell>
          <cell r="B7633">
            <v>7072</v>
          </cell>
          <cell r="C7633">
            <v>45854</v>
          </cell>
          <cell r="D7633" t="str">
            <v>یونس صاحب</v>
          </cell>
          <cell r="E7633" t="str">
            <v>حاجی اسلماعیل وہاڑی</v>
          </cell>
        </row>
        <row r="7634">
          <cell r="A7634" t="str">
            <v>7072/2</v>
          </cell>
          <cell r="B7634">
            <v>7072</v>
          </cell>
          <cell r="C7634">
            <v>45854</v>
          </cell>
          <cell r="D7634" t="str">
            <v>یونس صاحب</v>
          </cell>
          <cell r="E7634" t="str">
            <v>حاجی اسلماعیل وہاڑی</v>
          </cell>
        </row>
        <row r="7635">
          <cell r="A7635" t="str">
            <v>7072/3</v>
          </cell>
          <cell r="B7635">
            <v>7072</v>
          </cell>
          <cell r="C7635">
            <v>45854</v>
          </cell>
          <cell r="D7635" t="str">
            <v>یونس صاحب</v>
          </cell>
          <cell r="E7635" t="str">
            <v>حاجی اسلماعیل وہاڑی</v>
          </cell>
        </row>
        <row r="7636">
          <cell r="A7636" t="str">
            <v>7072/4</v>
          </cell>
          <cell r="B7636">
            <v>7072</v>
          </cell>
          <cell r="C7636">
            <v>45854</v>
          </cell>
          <cell r="D7636" t="str">
            <v>یونس صاحب</v>
          </cell>
          <cell r="E7636" t="str">
            <v>حاجی اسلماعیل وہاڑی</v>
          </cell>
        </row>
        <row r="7637">
          <cell r="A7637" t="str">
            <v>7073/1</v>
          </cell>
          <cell r="B7637">
            <v>7073</v>
          </cell>
          <cell r="C7637">
            <v>45854</v>
          </cell>
          <cell r="D7637" t="str">
            <v>یونس صاحب</v>
          </cell>
          <cell r="E7637" t="str">
            <v>ریفلکٹ پیک لاہور</v>
          </cell>
        </row>
        <row r="7638">
          <cell r="A7638" t="str">
            <v>7074/1</v>
          </cell>
          <cell r="B7638">
            <v>7074</v>
          </cell>
          <cell r="C7638">
            <v>45854</v>
          </cell>
          <cell r="D7638" t="str">
            <v>یونس صاحب</v>
          </cell>
          <cell r="E7638" t="str">
            <v>حنان پلاسٹک فیصل آباد</v>
          </cell>
        </row>
        <row r="7639">
          <cell r="A7639" t="str">
            <v>7074/2</v>
          </cell>
          <cell r="B7639">
            <v>7074</v>
          </cell>
          <cell r="C7639">
            <v>45854</v>
          </cell>
          <cell r="D7639" t="str">
            <v>یونس صاحب</v>
          </cell>
          <cell r="E7639" t="str">
            <v>حنان پلاسٹک فیصل آباد</v>
          </cell>
        </row>
        <row r="7640">
          <cell r="A7640" t="str">
            <v>7074/3</v>
          </cell>
          <cell r="B7640">
            <v>7074</v>
          </cell>
          <cell r="C7640">
            <v>45854</v>
          </cell>
          <cell r="D7640" t="str">
            <v>یونس صاحب</v>
          </cell>
          <cell r="E7640" t="str">
            <v>حنان پلاسٹک فیصل آباد</v>
          </cell>
        </row>
        <row r="7641">
          <cell r="A7641" t="str">
            <v>7074/4</v>
          </cell>
          <cell r="B7641">
            <v>7074</v>
          </cell>
          <cell r="C7641">
            <v>45854</v>
          </cell>
          <cell r="D7641" t="str">
            <v>یونس صاحب</v>
          </cell>
          <cell r="E7641" t="str">
            <v>حنان پلاسٹک فیصل آباد</v>
          </cell>
        </row>
        <row r="7642">
          <cell r="A7642" t="str">
            <v>7074/5</v>
          </cell>
          <cell r="B7642">
            <v>7074</v>
          </cell>
          <cell r="C7642">
            <v>45854</v>
          </cell>
          <cell r="D7642" t="str">
            <v>یونس صاحب</v>
          </cell>
          <cell r="E7642" t="str">
            <v>حنان پلاسٹک فیصل آباد</v>
          </cell>
        </row>
        <row r="7643">
          <cell r="A7643" t="str">
            <v>7074/6</v>
          </cell>
          <cell r="B7643">
            <v>7074</v>
          </cell>
          <cell r="C7643">
            <v>45854</v>
          </cell>
          <cell r="D7643" t="str">
            <v>یونس صاحب</v>
          </cell>
          <cell r="E7643" t="str">
            <v>حنان پلاسٹک فیصل آباد</v>
          </cell>
        </row>
        <row r="7644">
          <cell r="A7644" t="str">
            <v>7074/7</v>
          </cell>
          <cell r="B7644">
            <v>7074</v>
          </cell>
          <cell r="C7644">
            <v>45854</v>
          </cell>
          <cell r="D7644" t="str">
            <v>یونس صاحب</v>
          </cell>
          <cell r="E7644" t="str">
            <v>حنان پلاسٹک فیصل آباد</v>
          </cell>
        </row>
        <row r="7645">
          <cell r="A7645" t="str">
            <v>7074/8</v>
          </cell>
          <cell r="B7645">
            <v>7074</v>
          </cell>
          <cell r="C7645">
            <v>45854</v>
          </cell>
          <cell r="D7645" t="str">
            <v>یونس صاحب</v>
          </cell>
          <cell r="E7645" t="str">
            <v>حنان پلاسٹک فیصل آباد</v>
          </cell>
        </row>
        <row r="7646">
          <cell r="A7646" t="str">
            <v>7074/9</v>
          </cell>
          <cell r="B7646">
            <v>7074</v>
          </cell>
          <cell r="C7646">
            <v>45854</v>
          </cell>
          <cell r="D7646" t="str">
            <v>یونس صاحب</v>
          </cell>
          <cell r="E7646" t="str">
            <v>حنان پلاسٹک فیصل آباد</v>
          </cell>
        </row>
        <row r="7647">
          <cell r="A7647" t="str">
            <v>7074/10</v>
          </cell>
          <cell r="B7647">
            <v>7074</v>
          </cell>
          <cell r="C7647">
            <v>45854</v>
          </cell>
          <cell r="D7647" t="str">
            <v>یونس صاحب</v>
          </cell>
          <cell r="E7647" t="str">
            <v>حنان پلاسٹک فیصل آباد</v>
          </cell>
        </row>
        <row r="7648">
          <cell r="A7648" t="str">
            <v>7074/11</v>
          </cell>
          <cell r="B7648">
            <v>7074</v>
          </cell>
          <cell r="C7648">
            <v>45854</v>
          </cell>
          <cell r="D7648" t="str">
            <v>یونس صاحب</v>
          </cell>
          <cell r="E7648" t="str">
            <v>حنان پلاسٹک فیصل آباد</v>
          </cell>
        </row>
        <row r="7649">
          <cell r="A7649" t="str">
            <v>7075/1</v>
          </cell>
          <cell r="B7649">
            <v>7075</v>
          </cell>
          <cell r="C7649">
            <v>45854</v>
          </cell>
          <cell r="D7649" t="str">
            <v>یونس صاحب</v>
          </cell>
          <cell r="E7649" t="str">
            <v>حنان پلاسٹک فیصل آباد</v>
          </cell>
        </row>
        <row r="7650">
          <cell r="A7650" t="str">
            <v>7075/2</v>
          </cell>
          <cell r="B7650">
            <v>7075</v>
          </cell>
          <cell r="C7650">
            <v>45854</v>
          </cell>
          <cell r="D7650" t="str">
            <v>یونس صاحب</v>
          </cell>
          <cell r="E7650" t="str">
            <v>حنان پلاسٹک فیصل آباد</v>
          </cell>
        </row>
        <row r="7651">
          <cell r="A7651" t="str">
            <v>7075/3</v>
          </cell>
          <cell r="B7651">
            <v>7075</v>
          </cell>
          <cell r="C7651">
            <v>45854</v>
          </cell>
          <cell r="D7651" t="str">
            <v>یونس صاحب</v>
          </cell>
          <cell r="E7651" t="str">
            <v>حنان پلاسٹک فیصل آباد</v>
          </cell>
        </row>
        <row r="7652">
          <cell r="A7652" t="str">
            <v>7075/4</v>
          </cell>
          <cell r="B7652">
            <v>7075</v>
          </cell>
          <cell r="C7652">
            <v>45854</v>
          </cell>
          <cell r="D7652" t="str">
            <v>یونس صاحب</v>
          </cell>
          <cell r="E7652" t="str">
            <v>حنان پلاسٹک فیصل آباد</v>
          </cell>
        </row>
        <row r="7653">
          <cell r="A7653" t="str">
            <v>7075/5</v>
          </cell>
          <cell r="B7653">
            <v>7075</v>
          </cell>
          <cell r="C7653">
            <v>45854</v>
          </cell>
          <cell r="D7653" t="str">
            <v>یونس صاحب</v>
          </cell>
          <cell r="E7653" t="str">
            <v>حنان پلاسٹک فیصل آباد</v>
          </cell>
        </row>
        <row r="7654">
          <cell r="A7654" t="str">
            <v>7075/6</v>
          </cell>
          <cell r="B7654">
            <v>7075</v>
          </cell>
          <cell r="C7654">
            <v>45854</v>
          </cell>
          <cell r="D7654" t="str">
            <v>یونس صاحب</v>
          </cell>
          <cell r="E7654" t="str">
            <v>حنان پلاسٹک فیصل آباد</v>
          </cell>
        </row>
        <row r="7655">
          <cell r="A7655" t="str">
            <v>7075/7</v>
          </cell>
          <cell r="B7655">
            <v>7075</v>
          </cell>
          <cell r="C7655">
            <v>45854</v>
          </cell>
          <cell r="D7655" t="str">
            <v>یونس صاحب</v>
          </cell>
          <cell r="E7655" t="str">
            <v>حنان پلاسٹک فیصل آباد</v>
          </cell>
        </row>
        <row r="7656">
          <cell r="A7656" t="str">
            <v>7076/1</v>
          </cell>
          <cell r="B7656">
            <v>7076</v>
          </cell>
          <cell r="C7656">
            <v>45855</v>
          </cell>
          <cell r="D7656" t="str">
            <v>یونس صاحب</v>
          </cell>
          <cell r="E7656" t="str">
            <v>عزیز ٹریڈرز ہاؤس لاہور</v>
          </cell>
        </row>
        <row r="7657">
          <cell r="A7657" t="str">
            <v>7076/2</v>
          </cell>
          <cell r="B7657">
            <v>7076</v>
          </cell>
          <cell r="C7657">
            <v>45855</v>
          </cell>
          <cell r="D7657" t="str">
            <v>یونس صاحب</v>
          </cell>
          <cell r="E7657" t="str">
            <v>عزیز ٹریڈرز ہاؤس لاہور</v>
          </cell>
        </row>
        <row r="7658">
          <cell r="A7658" t="str">
            <v>7076/3</v>
          </cell>
          <cell r="B7658">
            <v>7076</v>
          </cell>
          <cell r="C7658">
            <v>45855</v>
          </cell>
          <cell r="D7658" t="str">
            <v>یونس صاحب</v>
          </cell>
          <cell r="E7658" t="str">
            <v>عزیز ٹریڈرز ہاؤس لاہور</v>
          </cell>
        </row>
        <row r="7659">
          <cell r="A7659" t="str">
            <v>7077/1</v>
          </cell>
          <cell r="B7659">
            <v>7077</v>
          </cell>
          <cell r="C7659">
            <v>45855</v>
          </cell>
          <cell r="D7659" t="str">
            <v>یونس صاحب</v>
          </cell>
          <cell r="E7659" t="str">
            <v>ہیڈآفس لاہور</v>
          </cell>
        </row>
        <row r="7660">
          <cell r="A7660" t="str">
            <v>7078/1</v>
          </cell>
          <cell r="B7660">
            <v>7078</v>
          </cell>
          <cell r="C7660">
            <v>45855</v>
          </cell>
          <cell r="D7660" t="str">
            <v>یونس صاحب</v>
          </cell>
          <cell r="E7660" t="str">
            <v>ایم زبیر پلاسٹک سرگودھا</v>
          </cell>
        </row>
        <row r="7661">
          <cell r="A7661" t="str">
            <v>7078/2</v>
          </cell>
          <cell r="B7661">
            <v>7078</v>
          </cell>
          <cell r="C7661">
            <v>45855</v>
          </cell>
          <cell r="D7661" t="str">
            <v>یونس صاحب</v>
          </cell>
          <cell r="E7661" t="str">
            <v>ایم زبیر پلاسٹک سرگودھا</v>
          </cell>
        </row>
        <row r="7662">
          <cell r="A7662" t="str">
            <v>7078/3</v>
          </cell>
          <cell r="B7662">
            <v>7078</v>
          </cell>
          <cell r="C7662">
            <v>45855</v>
          </cell>
          <cell r="D7662" t="str">
            <v>یونس صاحب</v>
          </cell>
          <cell r="E7662" t="str">
            <v>ایم زبیر پلاسٹک سرگودھا</v>
          </cell>
        </row>
        <row r="7663">
          <cell r="A7663" t="str">
            <v>7078/4</v>
          </cell>
          <cell r="B7663">
            <v>7078</v>
          </cell>
          <cell r="C7663">
            <v>45855</v>
          </cell>
          <cell r="D7663" t="str">
            <v>یونس صاحب</v>
          </cell>
          <cell r="E7663" t="str">
            <v>ایم زبیر پلاسٹک سرگودھا</v>
          </cell>
        </row>
        <row r="7664">
          <cell r="A7664" t="str">
            <v>7079/1</v>
          </cell>
          <cell r="B7664">
            <v>7079</v>
          </cell>
          <cell r="C7664">
            <v>45855</v>
          </cell>
          <cell r="D7664" t="str">
            <v>یونس صاحب</v>
          </cell>
          <cell r="E7664" t="str">
            <v>قیصرپلاسٹک وزیر آباد</v>
          </cell>
        </row>
        <row r="7665">
          <cell r="A7665" t="str">
            <v>7079/2</v>
          </cell>
          <cell r="B7665">
            <v>7079</v>
          </cell>
          <cell r="C7665">
            <v>45855</v>
          </cell>
          <cell r="D7665" t="str">
            <v>یونس صاحب</v>
          </cell>
          <cell r="E7665" t="str">
            <v>قیصرپلاسٹک وزیر آباد</v>
          </cell>
        </row>
        <row r="7666">
          <cell r="A7666" t="str">
            <v>7080/1</v>
          </cell>
          <cell r="B7666">
            <v>7080</v>
          </cell>
          <cell r="C7666">
            <v>45855</v>
          </cell>
          <cell r="D7666" t="str">
            <v>یونس صاحب</v>
          </cell>
          <cell r="E7666" t="str">
            <v>محبوب لفافہ ہری پور</v>
          </cell>
        </row>
        <row r="7667">
          <cell r="A7667" t="str">
            <v>7080/2</v>
          </cell>
          <cell r="B7667">
            <v>7080</v>
          </cell>
          <cell r="C7667">
            <v>45855</v>
          </cell>
          <cell r="D7667" t="str">
            <v>یونس صاحب</v>
          </cell>
          <cell r="E7667" t="str">
            <v>محبوب لفافہ ہری پور</v>
          </cell>
        </row>
        <row r="7668">
          <cell r="A7668" t="str">
            <v>7081/1</v>
          </cell>
          <cell r="B7668">
            <v>7081</v>
          </cell>
          <cell r="C7668">
            <v>45855</v>
          </cell>
          <cell r="D7668" t="str">
            <v>یونس صاحب</v>
          </cell>
          <cell r="E7668" t="str">
            <v>اسد بلال بہاورلپور</v>
          </cell>
        </row>
        <row r="7669">
          <cell r="A7669" t="str">
            <v>7081/2</v>
          </cell>
          <cell r="B7669">
            <v>7081</v>
          </cell>
          <cell r="C7669">
            <v>45855</v>
          </cell>
          <cell r="D7669" t="str">
            <v>یونس صاحب</v>
          </cell>
          <cell r="E7669" t="str">
            <v>اسد بلال بہاورلپور</v>
          </cell>
        </row>
        <row r="7670">
          <cell r="A7670" t="str">
            <v>7082/1</v>
          </cell>
          <cell r="B7670">
            <v>7082</v>
          </cell>
          <cell r="C7670">
            <v>45855</v>
          </cell>
          <cell r="D7670" t="str">
            <v>یونس صاحب</v>
          </cell>
          <cell r="E7670" t="str">
            <v>اسد بلال بہاورلپور</v>
          </cell>
        </row>
        <row r="7671">
          <cell r="A7671" t="str">
            <v>7082/2</v>
          </cell>
          <cell r="B7671">
            <v>7082</v>
          </cell>
          <cell r="C7671">
            <v>45855</v>
          </cell>
          <cell r="D7671" t="str">
            <v>یونس صاحب</v>
          </cell>
          <cell r="E7671" t="str">
            <v>اسد بلال بہاورلپور</v>
          </cell>
        </row>
        <row r="7672">
          <cell r="A7672" t="str">
            <v>7082/3</v>
          </cell>
          <cell r="B7672">
            <v>7082</v>
          </cell>
          <cell r="C7672">
            <v>45855</v>
          </cell>
          <cell r="D7672" t="str">
            <v>یونس صاحب</v>
          </cell>
          <cell r="E7672" t="str">
            <v>اسد بلال بہاورلپور</v>
          </cell>
        </row>
        <row r="7673">
          <cell r="A7673" t="str">
            <v>7082/4</v>
          </cell>
          <cell r="B7673">
            <v>7082</v>
          </cell>
          <cell r="C7673">
            <v>45855</v>
          </cell>
          <cell r="D7673" t="str">
            <v>یونس صاحب</v>
          </cell>
          <cell r="E7673" t="str">
            <v>اسد بلال بہاورلپور</v>
          </cell>
        </row>
        <row r="7674">
          <cell r="A7674" t="str">
            <v>7082/5</v>
          </cell>
          <cell r="B7674">
            <v>7082</v>
          </cell>
          <cell r="C7674">
            <v>45855</v>
          </cell>
          <cell r="D7674" t="str">
            <v>یونس صاحب</v>
          </cell>
          <cell r="E7674" t="str">
            <v>اسد بلال بہاورلپور</v>
          </cell>
        </row>
        <row r="7675">
          <cell r="A7675" t="str">
            <v>7082/6</v>
          </cell>
          <cell r="B7675">
            <v>7082</v>
          </cell>
          <cell r="C7675">
            <v>45855</v>
          </cell>
          <cell r="D7675" t="str">
            <v>یونس صاحب</v>
          </cell>
          <cell r="E7675" t="str">
            <v>اسد بلال بہاورلپور</v>
          </cell>
        </row>
        <row r="7676">
          <cell r="A7676" t="str">
            <v>7082/7</v>
          </cell>
          <cell r="B7676">
            <v>7082</v>
          </cell>
          <cell r="C7676">
            <v>45855</v>
          </cell>
          <cell r="D7676" t="str">
            <v>یونس صاحب</v>
          </cell>
          <cell r="E7676" t="str">
            <v>اسد بلال بہاورلپور</v>
          </cell>
        </row>
        <row r="7677">
          <cell r="A7677" t="str">
            <v>7082/8</v>
          </cell>
          <cell r="B7677">
            <v>7082</v>
          </cell>
          <cell r="C7677">
            <v>45855</v>
          </cell>
          <cell r="D7677" t="str">
            <v>یونس صاحب</v>
          </cell>
          <cell r="E7677" t="str">
            <v>اسد بلال بہاورلپور</v>
          </cell>
        </row>
        <row r="7678">
          <cell r="A7678" t="str">
            <v>7082/9</v>
          </cell>
          <cell r="B7678">
            <v>7082</v>
          </cell>
          <cell r="C7678">
            <v>45855</v>
          </cell>
          <cell r="D7678" t="str">
            <v>یونس صاحب</v>
          </cell>
          <cell r="E7678" t="str">
            <v>اسد بلال بہاورلپور</v>
          </cell>
        </row>
        <row r="7679">
          <cell r="A7679" t="str">
            <v>7082/10</v>
          </cell>
          <cell r="B7679">
            <v>7082</v>
          </cell>
          <cell r="C7679">
            <v>45855</v>
          </cell>
          <cell r="D7679" t="str">
            <v>یونس صاحب</v>
          </cell>
          <cell r="E7679" t="str">
            <v>اسد بلال بہاورلپور</v>
          </cell>
        </row>
        <row r="7680">
          <cell r="A7680" t="str">
            <v>7082/11</v>
          </cell>
          <cell r="B7680">
            <v>7082</v>
          </cell>
          <cell r="C7680">
            <v>45855</v>
          </cell>
          <cell r="D7680" t="str">
            <v>یونس صاحب</v>
          </cell>
          <cell r="E7680" t="str">
            <v>اسد بلال بہاورلپور</v>
          </cell>
        </row>
        <row r="7681">
          <cell r="A7681" t="str">
            <v>7082/12</v>
          </cell>
          <cell r="B7681">
            <v>7082</v>
          </cell>
          <cell r="C7681">
            <v>45855</v>
          </cell>
          <cell r="D7681" t="str">
            <v>یونس صاحب</v>
          </cell>
          <cell r="E7681" t="str">
            <v>اسد بلال بہاورلپور</v>
          </cell>
        </row>
        <row r="7682">
          <cell r="A7682" t="str">
            <v>7082/13</v>
          </cell>
          <cell r="B7682">
            <v>7082</v>
          </cell>
          <cell r="C7682">
            <v>45855</v>
          </cell>
          <cell r="D7682" t="str">
            <v>یونس صاحب</v>
          </cell>
          <cell r="E7682" t="str">
            <v>اسد بلال بہاورلپور</v>
          </cell>
        </row>
        <row r="7683">
          <cell r="A7683" t="str">
            <v>7083/1</v>
          </cell>
          <cell r="B7683">
            <v>7083</v>
          </cell>
          <cell r="C7683">
            <v>45855</v>
          </cell>
          <cell r="D7683" t="str">
            <v>یونس صاحب</v>
          </cell>
          <cell r="E7683" t="str">
            <v>عظیم ٹوائز شاہ عالم</v>
          </cell>
        </row>
        <row r="7684">
          <cell r="A7684" t="str">
            <v>7083/2</v>
          </cell>
          <cell r="B7684">
            <v>7083</v>
          </cell>
          <cell r="C7684">
            <v>45855</v>
          </cell>
          <cell r="D7684" t="str">
            <v>یونس صاحب</v>
          </cell>
          <cell r="E7684" t="str">
            <v>عظیم ٹوائز شاہ عالم</v>
          </cell>
        </row>
        <row r="7685">
          <cell r="A7685" t="str">
            <v>7084/1</v>
          </cell>
          <cell r="B7685">
            <v>7084</v>
          </cell>
          <cell r="C7685">
            <v>45855</v>
          </cell>
          <cell r="D7685" t="str">
            <v>یونس صاحب</v>
          </cell>
          <cell r="E7685" t="str">
            <v>العمر پلاسٹک گوجرانوالہ</v>
          </cell>
        </row>
        <row r="7686">
          <cell r="A7686" t="str">
            <v>3243 J</v>
          </cell>
          <cell r="B7686">
            <v>12604</v>
          </cell>
          <cell r="C7686">
            <v>45854</v>
          </cell>
          <cell r="D7686" t="str">
            <v>JILANI</v>
          </cell>
          <cell r="E7686" t="str">
            <v>Tauseef Butt Gujjranwala</v>
          </cell>
        </row>
        <row r="7687">
          <cell r="A7687" t="str">
            <v>3244 J</v>
          </cell>
          <cell r="B7687">
            <v>12604</v>
          </cell>
          <cell r="C7687">
            <v>45854</v>
          </cell>
          <cell r="D7687" t="str">
            <v>JILANI</v>
          </cell>
          <cell r="E7687" t="str">
            <v>Tauseef Butt Gujjranwala</v>
          </cell>
        </row>
        <row r="7688">
          <cell r="A7688" t="str">
            <v>3245 J</v>
          </cell>
          <cell r="B7688">
            <v>12605</v>
          </cell>
          <cell r="C7688">
            <v>45854</v>
          </cell>
          <cell r="D7688" t="str">
            <v>JILANI</v>
          </cell>
          <cell r="E7688" t="str">
            <v>Khwaja Watch Center Lahore</v>
          </cell>
        </row>
        <row r="7689">
          <cell r="A7689" t="str">
            <v>3246 J</v>
          </cell>
          <cell r="B7689">
            <v>12606</v>
          </cell>
          <cell r="C7689">
            <v>45854</v>
          </cell>
          <cell r="D7689" t="str">
            <v>JILANI</v>
          </cell>
          <cell r="E7689" t="str">
            <v>Khwaja Watch Center Lahore</v>
          </cell>
        </row>
        <row r="7690">
          <cell r="A7690" t="str">
            <v>3247 J</v>
          </cell>
          <cell r="B7690">
            <v>12607</v>
          </cell>
          <cell r="C7690">
            <v>45854</v>
          </cell>
          <cell r="D7690" t="str">
            <v>JILANI</v>
          </cell>
          <cell r="E7690" t="str">
            <v>Anayat Khan Dry Fruits Karishan Nagar Lahore</v>
          </cell>
        </row>
        <row r="7691">
          <cell r="A7691" t="str">
            <v>3248 J</v>
          </cell>
          <cell r="B7691">
            <v>12607</v>
          </cell>
          <cell r="C7691">
            <v>45854</v>
          </cell>
          <cell r="D7691" t="str">
            <v>JILANI</v>
          </cell>
          <cell r="E7691" t="str">
            <v>Anayat Khan Dry Fruits Karishan Nagar Lahore</v>
          </cell>
        </row>
        <row r="7692">
          <cell r="A7692" t="str">
            <v>3249 J</v>
          </cell>
          <cell r="B7692">
            <v>12607</v>
          </cell>
          <cell r="C7692">
            <v>45854</v>
          </cell>
          <cell r="D7692" t="str">
            <v>JILANI</v>
          </cell>
          <cell r="E7692" t="str">
            <v>Anayat Khan Dry Fruits Karishan Nagar Lahore</v>
          </cell>
        </row>
        <row r="7693">
          <cell r="A7693" t="str">
            <v>3250 J</v>
          </cell>
          <cell r="B7693" t="str">
            <v>-</v>
          </cell>
          <cell r="C7693" t="str">
            <v>-</v>
          </cell>
          <cell r="D7693" t="str">
            <v>-</v>
          </cell>
          <cell r="E7693" t="str">
            <v>-</v>
          </cell>
        </row>
        <row r="7694">
          <cell r="A7694" t="str">
            <v>3251 J</v>
          </cell>
          <cell r="B7694">
            <v>12609</v>
          </cell>
          <cell r="C7694">
            <v>45854</v>
          </cell>
          <cell r="D7694" t="str">
            <v>JILANI</v>
          </cell>
          <cell r="E7694" t="str">
            <v>Waqas Wollan Mills Gujranwala</v>
          </cell>
        </row>
        <row r="7695">
          <cell r="A7695" t="str">
            <v>3252 J</v>
          </cell>
          <cell r="B7695">
            <v>12610</v>
          </cell>
          <cell r="C7695">
            <v>45854</v>
          </cell>
          <cell r="D7695" t="str">
            <v>JILANI</v>
          </cell>
          <cell r="E7695" t="str">
            <v>Punjab Rusk Lahore</v>
          </cell>
        </row>
        <row r="7696">
          <cell r="A7696" t="str">
            <v>3253 J</v>
          </cell>
          <cell r="B7696">
            <v>12610</v>
          </cell>
          <cell r="C7696">
            <v>45854</v>
          </cell>
          <cell r="D7696" t="str">
            <v>JILANI</v>
          </cell>
          <cell r="E7696" t="str">
            <v>Punjab Rusk Lahore</v>
          </cell>
        </row>
        <row r="7697">
          <cell r="A7697" t="str">
            <v>3254 J</v>
          </cell>
          <cell r="B7697">
            <v>12611</v>
          </cell>
          <cell r="C7697">
            <v>45854</v>
          </cell>
          <cell r="D7697" t="str">
            <v>JILANI</v>
          </cell>
          <cell r="E7697" t="str">
            <v>Punjab Sweets and Bakers Kot RadaKishan</v>
          </cell>
        </row>
        <row r="7698">
          <cell r="A7698" t="str">
            <v>3255 J</v>
          </cell>
          <cell r="B7698">
            <v>12611</v>
          </cell>
          <cell r="C7698">
            <v>45854</v>
          </cell>
          <cell r="D7698" t="str">
            <v>JILANI</v>
          </cell>
          <cell r="E7698" t="str">
            <v>Punjab Sweets and Bakers Kot RadaKishan</v>
          </cell>
        </row>
        <row r="7699">
          <cell r="A7699" t="str">
            <v>3256 J</v>
          </cell>
          <cell r="B7699">
            <v>12612</v>
          </cell>
          <cell r="C7699">
            <v>45854</v>
          </cell>
          <cell r="D7699" t="str">
            <v>JILANI</v>
          </cell>
          <cell r="E7699" t="str">
            <v>Usman Arif Butt Gujranwala</v>
          </cell>
        </row>
        <row r="7700">
          <cell r="A7700" t="str">
            <v>3257 J</v>
          </cell>
          <cell r="B7700">
            <v>12612</v>
          </cell>
          <cell r="C7700">
            <v>45854</v>
          </cell>
          <cell r="D7700" t="str">
            <v>JILANI</v>
          </cell>
          <cell r="E7700" t="str">
            <v>Usman Arif Butt Gujranwala</v>
          </cell>
        </row>
        <row r="7701">
          <cell r="A7701" t="str">
            <v>3258 J</v>
          </cell>
          <cell r="B7701">
            <v>12612</v>
          </cell>
          <cell r="C7701">
            <v>45854</v>
          </cell>
          <cell r="D7701" t="str">
            <v>JILANI</v>
          </cell>
          <cell r="E7701" t="str">
            <v>Usman Arif Butt Gujranwala</v>
          </cell>
        </row>
        <row r="7702">
          <cell r="A7702" t="str">
            <v>3259 J</v>
          </cell>
          <cell r="B7702">
            <v>12612</v>
          </cell>
          <cell r="C7702">
            <v>45854</v>
          </cell>
          <cell r="D7702" t="str">
            <v>JILANI</v>
          </cell>
          <cell r="E7702" t="str">
            <v>Usman Arif Butt Gujranwala</v>
          </cell>
        </row>
        <row r="7703">
          <cell r="A7703" t="str">
            <v>3260 J</v>
          </cell>
          <cell r="B7703">
            <v>12613</v>
          </cell>
          <cell r="C7703">
            <v>45854</v>
          </cell>
          <cell r="D7703" t="str">
            <v>JILANI</v>
          </cell>
          <cell r="E7703" t="str">
            <v>Usman Arif Butt Gujranwala</v>
          </cell>
        </row>
        <row r="7704">
          <cell r="A7704" t="str">
            <v>3261 J</v>
          </cell>
          <cell r="B7704">
            <v>12613</v>
          </cell>
          <cell r="C7704">
            <v>45854</v>
          </cell>
          <cell r="D7704" t="str">
            <v>JILANI</v>
          </cell>
          <cell r="E7704" t="str">
            <v>Usman Arif Butt Gujranwala</v>
          </cell>
        </row>
        <row r="7705">
          <cell r="A7705" t="str">
            <v>3262 J</v>
          </cell>
          <cell r="B7705">
            <v>12613</v>
          </cell>
          <cell r="C7705">
            <v>45854</v>
          </cell>
          <cell r="D7705" t="str">
            <v>JILANI</v>
          </cell>
          <cell r="E7705" t="str">
            <v>Usman Arif Butt Gujranwala</v>
          </cell>
        </row>
        <row r="7706">
          <cell r="A7706" t="str">
            <v>3263 J</v>
          </cell>
          <cell r="B7706">
            <v>12613</v>
          </cell>
          <cell r="C7706">
            <v>45854</v>
          </cell>
          <cell r="D7706" t="str">
            <v>JILANI</v>
          </cell>
          <cell r="E7706" t="str">
            <v>Usman Arif Butt Gujranwala</v>
          </cell>
        </row>
        <row r="7707">
          <cell r="A7707" t="str">
            <v>3264 J</v>
          </cell>
          <cell r="B7707">
            <v>12614</v>
          </cell>
          <cell r="C7707">
            <v>45854</v>
          </cell>
          <cell r="D7707" t="str">
            <v>JILANI</v>
          </cell>
          <cell r="E7707" t="str">
            <v>A and J Dairies Lahore</v>
          </cell>
        </row>
        <row r="7708">
          <cell r="A7708" t="str">
            <v>3265 J</v>
          </cell>
          <cell r="B7708">
            <v>12615</v>
          </cell>
          <cell r="C7708">
            <v>45854</v>
          </cell>
          <cell r="D7708" t="str">
            <v>JILANI</v>
          </cell>
          <cell r="E7708" t="str">
            <v>A and J Dairies Lahore</v>
          </cell>
        </row>
        <row r="7709">
          <cell r="A7709" t="str">
            <v>3266 J</v>
          </cell>
          <cell r="B7709">
            <v>12616</v>
          </cell>
          <cell r="C7709">
            <v>45854</v>
          </cell>
          <cell r="D7709" t="str">
            <v>JILANI</v>
          </cell>
          <cell r="E7709" t="str">
            <v>G Mart Gujrat</v>
          </cell>
        </row>
        <row r="7710">
          <cell r="A7710" t="str">
            <v>3267 J</v>
          </cell>
          <cell r="B7710">
            <v>12616</v>
          </cell>
          <cell r="C7710">
            <v>45854</v>
          </cell>
          <cell r="D7710" t="str">
            <v>JILANI</v>
          </cell>
          <cell r="E7710" t="str">
            <v>G Mart Gujrat</v>
          </cell>
        </row>
        <row r="7711">
          <cell r="A7711" t="str">
            <v>3268 J</v>
          </cell>
          <cell r="B7711">
            <v>12616</v>
          </cell>
          <cell r="C7711">
            <v>45854</v>
          </cell>
          <cell r="D7711" t="str">
            <v>JILANI</v>
          </cell>
          <cell r="E7711" t="str">
            <v>G Mart Gujrat</v>
          </cell>
        </row>
        <row r="7712">
          <cell r="A7712" t="str">
            <v>3269 J</v>
          </cell>
          <cell r="B7712">
            <v>12617</v>
          </cell>
          <cell r="C7712">
            <v>45854</v>
          </cell>
          <cell r="D7712" t="str">
            <v>JILANI</v>
          </cell>
          <cell r="E7712" t="str">
            <v>Hadyat Khan Peshawar</v>
          </cell>
        </row>
        <row r="7713">
          <cell r="A7713" t="str">
            <v>3270 J</v>
          </cell>
          <cell r="B7713">
            <v>12618</v>
          </cell>
          <cell r="C7713">
            <v>45854</v>
          </cell>
          <cell r="D7713" t="str">
            <v>JILANI</v>
          </cell>
          <cell r="E7713" t="str">
            <v>Hadyat Khan Peshawar</v>
          </cell>
        </row>
        <row r="7714">
          <cell r="A7714" t="str">
            <v>3271 J</v>
          </cell>
          <cell r="B7714">
            <v>12618</v>
          </cell>
          <cell r="C7714">
            <v>45854</v>
          </cell>
          <cell r="D7714" t="str">
            <v>JILANI</v>
          </cell>
          <cell r="E7714" t="str">
            <v>Hadyat Khan Peshawar</v>
          </cell>
        </row>
        <row r="7715">
          <cell r="A7715" t="str">
            <v>3272 J</v>
          </cell>
          <cell r="B7715">
            <v>12618</v>
          </cell>
          <cell r="C7715">
            <v>45854</v>
          </cell>
          <cell r="D7715" t="str">
            <v>JILANI</v>
          </cell>
          <cell r="E7715" t="str">
            <v>Hadyat Khan Peshawar</v>
          </cell>
        </row>
        <row r="7716">
          <cell r="A7716" t="str">
            <v>3273 J</v>
          </cell>
          <cell r="B7716">
            <v>12618</v>
          </cell>
          <cell r="C7716">
            <v>45854</v>
          </cell>
          <cell r="D7716" t="str">
            <v>JILANI</v>
          </cell>
          <cell r="E7716" t="str">
            <v>Hadyat Khan Peshawar</v>
          </cell>
        </row>
        <row r="7717">
          <cell r="A7717" t="str">
            <v>3274 J</v>
          </cell>
          <cell r="B7717">
            <v>12619</v>
          </cell>
          <cell r="C7717">
            <v>45854</v>
          </cell>
          <cell r="D7717" t="str">
            <v>JILANI</v>
          </cell>
          <cell r="E7717" t="str">
            <v>Daata Lace Hi Gujrawala</v>
          </cell>
        </row>
        <row r="7718">
          <cell r="A7718" t="str">
            <v>3275 J</v>
          </cell>
          <cell r="B7718">
            <v>12620</v>
          </cell>
          <cell r="C7718">
            <v>45854</v>
          </cell>
          <cell r="D7718" t="str">
            <v>JILANI</v>
          </cell>
          <cell r="E7718" t="str">
            <v>Daata Lace Hi Gujrawala</v>
          </cell>
        </row>
        <row r="7719">
          <cell r="A7719" t="str">
            <v>3276 J</v>
          </cell>
          <cell r="B7719">
            <v>12621</v>
          </cell>
          <cell r="C7719">
            <v>45854</v>
          </cell>
          <cell r="D7719" t="str">
            <v>JILANI</v>
          </cell>
          <cell r="E7719" t="str">
            <v>J.S Printers Lahore</v>
          </cell>
        </row>
        <row r="7720">
          <cell r="A7720" t="str">
            <v>3277 J</v>
          </cell>
          <cell r="B7720">
            <v>12622</v>
          </cell>
          <cell r="C7720">
            <v>45854</v>
          </cell>
          <cell r="D7720" t="str">
            <v>JILANI</v>
          </cell>
          <cell r="E7720" t="str">
            <v>J.S Printers Lahore</v>
          </cell>
        </row>
        <row r="7721">
          <cell r="A7721" t="str">
            <v>3278 J</v>
          </cell>
          <cell r="B7721"/>
          <cell r="C7721">
            <v>45855</v>
          </cell>
          <cell r="D7721" t="str">
            <v>JILANI</v>
          </cell>
          <cell r="E7721" t="str">
            <v>جیلانی پلاسٹک</v>
          </cell>
        </row>
        <row r="7722">
          <cell r="A7722" t="str">
            <v>3279 J</v>
          </cell>
          <cell r="B7722"/>
          <cell r="C7722">
            <v>45855</v>
          </cell>
          <cell r="D7722" t="str">
            <v>JILANI</v>
          </cell>
          <cell r="E7722" t="str">
            <v>جیلانی پلاسٹک</v>
          </cell>
        </row>
        <row r="7723">
          <cell r="A7723" t="str">
            <v>3280 J</v>
          </cell>
          <cell r="B7723"/>
          <cell r="C7723">
            <v>45855</v>
          </cell>
          <cell r="D7723" t="str">
            <v>JILANI</v>
          </cell>
          <cell r="E7723" t="str">
            <v>جیلانی پلاسٹک</v>
          </cell>
        </row>
        <row r="7724">
          <cell r="A7724" t="str">
            <v>3281 J</v>
          </cell>
          <cell r="B7724"/>
          <cell r="C7724">
            <v>45855</v>
          </cell>
          <cell r="D7724" t="str">
            <v>JILANI</v>
          </cell>
          <cell r="E7724" t="str">
            <v>جیلانی پلاسٹک</v>
          </cell>
        </row>
        <row r="7725">
          <cell r="A7725" t="str">
            <v>3282 J</v>
          </cell>
          <cell r="B7725"/>
          <cell r="C7725">
            <v>45855</v>
          </cell>
          <cell r="D7725" t="str">
            <v>JILANI</v>
          </cell>
          <cell r="E7725" t="str">
            <v>جیلانی پلاسٹک</v>
          </cell>
        </row>
        <row r="7726">
          <cell r="A7726" t="str">
            <v>3283 J</v>
          </cell>
          <cell r="B7726">
            <v>12623</v>
          </cell>
          <cell r="C7726">
            <v>45855</v>
          </cell>
          <cell r="D7726" t="str">
            <v>JILANI</v>
          </cell>
          <cell r="E7726" t="str">
            <v>H A Industry Peshawar</v>
          </cell>
        </row>
        <row r="7727">
          <cell r="A7727" t="str">
            <v>3284 J</v>
          </cell>
          <cell r="B7727">
            <v>12624</v>
          </cell>
          <cell r="C7727">
            <v>45855</v>
          </cell>
          <cell r="D7727" t="str">
            <v>JILANI</v>
          </cell>
          <cell r="E7727" t="str">
            <v>Rehan Butt Anarkali Lahore</v>
          </cell>
        </row>
        <row r="7728">
          <cell r="A7728" t="str">
            <v>3285 J</v>
          </cell>
          <cell r="B7728">
            <v>12624</v>
          </cell>
          <cell r="C7728">
            <v>45855</v>
          </cell>
          <cell r="D7728" t="str">
            <v>JILANI</v>
          </cell>
          <cell r="E7728" t="str">
            <v>Rehan Butt Anarkali Lahore</v>
          </cell>
        </row>
        <row r="7729">
          <cell r="A7729" t="str">
            <v>3286 J</v>
          </cell>
          <cell r="B7729">
            <v>12624</v>
          </cell>
          <cell r="C7729">
            <v>45855</v>
          </cell>
          <cell r="D7729" t="str">
            <v>JILANI</v>
          </cell>
          <cell r="E7729" t="str">
            <v>Rehan Butt Anarkali Lahore</v>
          </cell>
        </row>
        <row r="7730">
          <cell r="A7730" t="str">
            <v>3287 J</v>
          </cell>
          <cell r="B7730">
            <v>12624</v>
          </cell>
          <cell r="C7730">
            <v>45855</v>
          </cell>
          <cell r="D7730" t="str">
            <v>JILANI</v>
          </cell>
          <cell r="E7730" t="str">
            <v>Rehan Butt Anarkali Lahore</v>
          </cell>
        </row>
        <row r="7731">
          <cell r="A7731" t="str">
            <v>3288 J</v>
          </cell>
          <cell r="B7731">
            <v>12625</v>
          </cell>
          <cell r="C7731">
            <v>45855</v>
          </cell>
          <cell r="D7731" t="str">
            <v>JILANI</v>
          </cell>
          <cell r="E7731" t="str">
            <v>Total Trader Mingora Swat</v>
          </cell>
        </row>
        <row r="7732">
          <cell r="A7732" t="str">
            <v>3289 J</v>
          </cell>
          <cell r="B7732">
            <v>12625</v>
          </cell>
          <cell r="C7732">
            <v>45855</v>
          </cell>
          <cell r="D7732" t="str">
            <v>JILANI</v>
          </cell>
          <cell r="E7732" t="str">
            <v>Total Trader Mingora Swat</v>
          </cell>
        </row>
        <row r="7733">
          <cell r="A7733" t="str">
            <v>3290 J</v>
          </cell>
          <cell r="B7733">
            <v>12625</v>
          </cell>
          <cell r="C7733">
            <v>45855</v>
          </cell>
          <cell r="D7733" t="str">
            <v>JILANI</v>
          </cell>
          <cell r="E7733" t="str">
            <v>Total Trader Mingora Swat</v>
          </cell>
        </row>
        <row r="7734">
          <cell r="A7734" t="str">
            <v>3291 J</v>
          </cell>
          <cell r="B7734">
            <v>12625</v>
          </cell>
          <cell r="C7734">
            <v>45855</v>
          </cell>
          <cell r="D7734" t="str">
            <v>JILANI</v>
          </cell>
          <cell r="E7734" t="str">
            <v>Total Trader Mingora Swat</v>
          </cell>
        </row>
        <row r="7735">
          <cell r="A7735" t="str">
            <v>3292 J</v>
          </cell>
          <cell r="B7735">
            <v>12626</v>
          </cell>
          <cell r="C7735">
            <v>45855</v>
          </cell>
          <cell r="D7735" t="str">
            <v>JILANI</v>
          </cell>
          <cell r="E7735" t="str">
            <v>عثمان کلاتھ ہاؤس چیچہ وطنی</v>
          </cell>
        </row>
        <row r="7736">
          <cell r="A7736" t="str">
            <v>3293 J</v>
          </cell>
          <cell r="B7736">
            <v>12626</v>
          </cell>
          <cell r="C7736">
            <v>45855</v>
          </cell>
          <cell r="D7736" t="str">
            <v>JILANI</v>
          </cell>
          <cell r="E7736" t="str">
            <v>عثمان کلاتھ ہاؤس چیچہ وطنی</v>
          </cell>
        </row>
        <row r="7737">
          <cell r="A7737" t="str">
            <v>3294 J</v>
          </cell>
          <cell r="B7737">
            <v>12626</v>
          </cell>
          <cell r="C7737">
            <v>45855</v>
          </cell>
          <cell r="D7737" t="str">
            <v>JILANI</v>
          </cell>
          <cell r="E7737" t="str">
            <v>عثمان کلاتھ ہاؤس چیچہ وطنی</v>
          </cell>
        </row>
        <row r="7738">
          <cell r="A7738" t="str">
            <v>3295 J</v>
          </cell>
          <cell r="B7738">
            <v>12627</v>
          </cell>
          <cell r="C7738">
            <v>45855</v>
          </cell>
          <cell r="D7738" t="str">
            <v>JILANI</v>
          </cell>
          <cell r="E7738" t="str">
            <v>ریحان بٹ انار کلی</v>
          </cell>
        </row>
        <row r="7739">
          <cell r="A7739" t="str">
            <v>3296 J</v>
          </cell>
          <cell r="B7739">
            <v>12627</v>
          </cell>
          <cell r="C7739">
            <v>45855</v>
          </cell>
          <cell r="D7739" t="str">
            <v>JILANI</v>
          </cell>
          <cell r="E7739" t="str">
            <v>ریحان بٹ انار کلی</v>
          </cell>
        </row>
        <row r="7740">
          <cell r="A7740" t="str">
            <v>3297 J</v>
          </cell>
          <cell r="B7740">
            <v>12628</v>
          </cell>
          <cell r="C7740">
            <v>45855</v>
          </cell>
          <cell r="D7740" t="str">
            <v>JILANI</v>
          </cell>
          <cell r="E7740" t="str">
            <v>Shahad Hafeez Lahore C/O Shahad sb</v>
          </cell>
        </row>
        <row r="7741">
          <cell r="A7741" t="str">
            <v>3298 J</v>
          </cell>
          <cell r="B7741">
            <v>12629</v>
          </cell>
          <cell r="C7741">
            <v>45855</v>
          </cell>
          <cell r="D7741" t="str">
            <v>JILANI</v>
          </cell>
          <cell r="E7741" t="str">
            <v>عالم پرنٹرز بٹ خیلہ</v>
          </cell>
        </row>
        <row r="7742">
          <cell r="A7742" t="str">
            <v>3299 J</v>
          </cell>
          <cell r="B7742"/>
          <cell r="C7742">
            <v>45855</v>
          </cell>
          <cell r="D7742" t="str">
            <v>JILANI</v>
          </cell>
          <cell r="E7742" t="str">
            <v>Jilani plastic</v>
          </cell>
        </row>
        <row r="7743">
          <cell r="A7743" t="str">
            <v>3300 J</v>
          </cell>
          <cell r="B7743">
            <v>12630</v>
          </cell>
          <cell r="C7743">
            <v>45855</v>
          </cell>
          <cell r="D7743" t="str">
            <v>JILANI</v>
          </cell>
          <cell r="E7743" t="str">
            <v>Alam Printer ButKhela</v>
          </cell>
        </row>
        <row r="7744">
          <cell r="A7744" t="str">
            <v>3301 J</v>
          </cell>
          <cell r="B7744">
            <v>12631</v>
          </cell>
          <cell r="C7744">
            <v>45855</v>
          </cell>
          <cell r="D7744" t="str">
            <v>JILANI</v>
          </cell>
          <cell r="E7744" t="str">
            <v>Al Burak Deparmental Store Lahore</v>
          </cell>
        </row>
        <row r="7745">
          <cell r="A7745" t="str">
            <v>3302 J</v>
          </cell>
          <cell r="B7745">
            <v>12632</v>
          </cell>
          <cell r="C7745">
            <v>45855</v>
          </cell>
          <cell r="D7745" t="str">
            <v>JILANI</v>
          </cell>
          <cell r="E7745" t="str">
            <v>Amer Pak Bry Cleaners Lahore</v>
          </cell>
        </row>
        <row r="7746">
          <cell r="A7746" t="str">
            <v>3303 J</v>
          </cell>
          <cell r="B7746">
            <v>12633</v>
          </cell>
          <cell r="C7746">
            <v>45855</v>
          </cell>
          <cell r="D7746" t="str">
            <v>JILANI</v>
          </cell>
          <cell r="E7746" t="str">
            <v>IHSAN Cotton Products Pvt. LTD</v>
          </cell>
        </row>
        <row r="7747">
          <cell r="A7747" t="str">
            <v>3304 J</v>
          </cell>
          <cell r="B7747">
            <v>12633</v>
          </cell>
          <cell r="C7747">
            <v>45855</v>
          </cell>
          <cell r="D7747" t="str">
            <v>JILANI</v>
          </cell>
          <cell r="E7747" t="str">
            <v>IHSAN Cotton Products Pvt. LTD</v>
          </cell>
        </row>
        <row r="7748">
          <cell r="A7748" t="str">
            <v>3305 J</v>
          </cell>
          <cell r="B7748">
            <v>12634</v>
          </cell>
          <cell r="C7748">
            <v>45855</v>
          </cell>
          <cell r="D7748" t="str">
            <v>JILANI</v>
          </cell>
          <cell r="E7748" t="str">
            <v>Shahid Shaker Garh</v>
          </cell>
        </row>
        <row r="7749">
          <cell r="A7749" t="str">
            <v>3306 J</v>
          </cell>
          <cell r="B7749">
            <v>12634</v>
          </cell>
          <cell r="C7749">
            <v>45855</v>
          </cell>
          <cell r="D7749" t="str">
            <v>JILANI</v>
          </cell>
          <cell r="E7749" t="str">
            <v>Shahid Shaker Garh</v>
          </cell>
        </row>
        <row r="7750">
          <cell r="A7750" t="str">
            <v>3307 J</v>
          </cell>
          <cell r="B7750">
            <v>12635</v>
          </cell>
          <cell r="C7750">
            <v>45855</v>
          </cell>
          <cell r="D7750" t="str">
            <v>JILANI</v>
          </cell>
          <cell r="E7750" t="str">
            <v>Usman Arif Butt Gujranwala</v>
          </cell>
        </row>
        <row r="7751">
          <cell r="A7751" t="str">
            <v>3308 J</v>
          </cell>
          <cell r="B7751">
            <v>12635</v>
          </cell>
          <cell r="C7751">
            <v>45855</v>
          </cell>
          <cell r="D7751" t="str">
            <v>JILANI</v>
          </cell>
          <cell r="E7751" t="str">
            <v>Usman Arif Butt Gujranwala</v>
          </cell>
        </row>
        <row r="7752">
          <cell r="A7752" t="str">
            <v>3309 J</v>
          </cell>
          <cell r="B7752">
            <v>12635</v>
          </cell>
          <cell r="C7752">
            <v>45855</v>
          </cell>
          <cell r="D7752" t="str">
            <v>JILANI</v>
          </cell>
          <cell r="E7752" t="str">
            <v>Usman Arif Butt Gujranwala</v>
          </cell>
        </row>
        <row r="7753">
          <cell r="A7753" t="str">
            <v>3310 J</v>
          </cell>
          <cell r="B7753">
            <v>12635</v>
          </cell>
          <cell r="C7753">
            <v>45855</v>
          </cell>
          <cell r="D7753" t="str">
            <v>JILANI</v>
          </cell>
          <cell r="E7753" t="str">
            <v>Usman Arif Butt Gujranwala</v>
          </cell>
        </row>
        <row r="7754">
          <cell r="A7754" t="str">
            <v>3311 J</v>
          </cell>
          <cell r="B7754">
            <v>12636</v>
          </cell>
          <cell r="C7754">
            <v>45855</v>
          </cell>
          <cell r="D7754" t="str">
            <v>JILANI</v>
          </cell>
          <cell r="E7754" t="str">
            <v>Khan Chapli Kbab and Fish Corner</v>
          </cell>
        </row>
        <row r="7755">
          <cell r="A7755" t="str">
            <v>3312 J</v>
          </cell>
          <cell r="B7755">
            <v>12637</v>
          </cell>
          <cell r="C7755">
            <v>45856</v>
          </cell>
          <cell r="D7755" t="str">
            <v>JILANI</v>
          </cell>
          <cell r="E7755" t="str">
            <v>M.K.B Peshawar</v>
          </cell>
        </row>
        <row r="7756">
          <cell r="A7756" t="str">
            <v>3313 J</v>
          </cell>
          <cell r="B7756">
            <v>12638</v>
          </cell>
          <cell r="C7756">
            <v>45856</v>
          </cell>
          <cell r="D7756" t="str">
            <v>JILANI</v>
          </cell>
          <cell r="E7756" t="str">
            <v>H A Industry Peshawar</v>
          </cell>
        </row>
        <row r="7757">
          <cell r="A7757" t="str">
            <v>3314 J</v>
          </cell>
          <cell r="B7757">
            <v>12639</v>
          </cell>
          <cell r="C7757">
            <v>45856</v>
          </cell>
          <cell r="D7757" t="str">
            <v>JILANI</v>
          </cell>
          <cell r="E7757" t="str">
            <v>Naseer Sab Chiniot</v>
          </cell>
        </row>
        <row r="7758">
          <cell r="A7758" t="str">
            <v>3315 J</v>
          </cell>
          <cell r="B7758">
            <v>12639</v>
          </cell>
          <cell r="C7758">
            <v>45856</v>
          </cell>
          <cell r="D7758" t="str">
            <v>JILANI</v>
          </cell>
          <cell r="E7758" t="str">
            <v>Naseer Sab Chiniot</v>
          </cell>
        </row>
        <row r="7759">
          <cell r="A7759" t="str">
            <v>3316 J</v>
          </cell>
          <cell r="B7759">
            <v>12640</v>
          </cell>
          <cell r="C7759">
            <v>45856</v>
          </cell>
          <cell r="D7759" t="str">
            <v>JILANI</v>
          </cell>
          <cell r="E7759" t="str">
            <v xml:space="preserve">Synt Chemical Lahore </v>
          </cell>
        </row>
        <row r="7760">
          <cell r="A7760" t="str">
            <v>3317 J</v>
          </cell>
          <cell r="B7760">
            <v>12640</v>
          </cell>
          <cell r="C7760">
            <v>45856</v>
          </cell>
          <cell r="D7760" t="str">
            <v>JILANI</v>
          </cell>
          <cell r="E7760" t="str">
            <v xml:space="preserve">Synt Chemical Lahore </v>
          </cell>
        </row>
        <row r="7761">
          <cell r="A7761" t="str">
            <v>3318 J</v>
          </cell>
          <cell r="B7761">
            <v>12641</v>
          </cell>
          <cell r="C7761">
            <v>45856</v>
          </cell>
          <cell r="D7761" t="str">
            <v>JILANI</v>
          </cell>
          <cell r="E7761" t="str">
            <v>Azaz Plastic Market (Hasnain Ali Mangora</v>
          </cell>
        </row>
        <row r="7762">
          <cell r="A7762" t="str">
            <v>3319 J</v>
          </cell>
          <cell r="B7762">
            <v>12642</v>
          </cell>
          <cell r="C7762">
            <v>45859</v>
          </cell>
          <cell r="D7762" t="str">
            <v>JILANI</v>
          </cell>
          <cell r="E7762" t="str">
            <v>Atlas Honda LTD (SKP)</v>
          </cell>
        </row>
        <row r="7763">
          <cell r="A7763" t="str">
            <v>1859 F</v>
          </cell>
          <cell r="B7763"/>
          <cell r="C7763">
            <v>45856</v>
          </cell>
          <cell r="D7763" t="str">
            <v>Fina</v>
          </cell>
          <cell r="E7763" t="str">
            <v>Usman Amin</v>
          </cell>
        </row>
        <row r="7764">
          <cell r="A7764" t="str">
            <v>1860 F</v>
          </cell>
          <cell r="B7764"/>
          <cell r="C7764">
            <v>45856</v>
          </cell>
          <cell r="D7764" t="str">
            <v>Fina</v>
          </cell>
          <cell r="E7764" t="str">
            <v>Usman Amin</v>
          </cell>
        </row>
        <row r="7765">
          <cell r="A7765" t="str">
            <v>1861 F</v>
          </cell>
          <cell r="B7765"/>
          <cell r="C7765">
            <v>45856</v>
          </cell>
          <cell r="D7765" t="str">
            <v>Fina</v>
          </cell>
          <cell r="E7765" t="str">
            <v>Usman Amin</v>
          </cell>
        </row>
        <row r="7766">
          <cell r="A7766" t="str">
            <v>1862 F</v>
          </cell>
          <cell r="B7766"/>
          <cell r="C7766">
            <v>45856</v>
          </cell>
          <cell r="D7766" t="str">
            <v>Fina</v>
          </cell>
          <cell r="E7766" t="str">
            <v>Usman Amin</v>
          </cell>
        </row>
        <row r="7767">
          <cell r="A7767" t="str">
            <v>1863 F</v>
          </cell>
          <cell r="B7767"/>
          <cell r="C7767">
            <v>45857</v>
          </cell>
          <cell r="D7767" t="str">
            <v>Fina</v>
          </cell>
          <cell r="E7767" t="str">
            <v>Usman Amin</v>
          </cell>
        </row>
        <row r="7768">
          <cell r="A7768" t="str">
            <v>1864 F</v>
          </cell>
          <cell r="B7768"/>
          <cell r="C7768">
            <v>45857</v>
          </cell>
          <cell r="D7768" t="str">
            <v>Fina</v>
          </cell>
          <cell r="E7768" t="str">
            <v>Usman Amin</v>
          </cell>
        </row>
        <row r="7769">
          <cell r="A7769" t="str">
            <v>1865 F</v>
          </cell>
          <cell r="B7769"/>
          <cell r="C7769">
            <v>45857</v>
          </cell>
          <cell r="D7769" t="str">
            <v>Fina</v>
          </cell>
          <cell r="E7769" t="str">
            <v>Usman Amin</v>
          </cell>
        </row>
        <row r="7770">
          <cell r="A7770" t="str">
            <v>1866 F</v>
          </cell>
          <cell r="B7770"/>
          <cell r="C7770">
            <v>45857</v>
          </cell>
          <cell r="D7770" t="str">
            <v>Fina</v>
          </cell>
          <cell r="E7770" t="str">
            <v>Usman Amin</v>
          </cell>
        </row>
        <row r="7771">
          <cell r="A7771" t="str">
            <v>1867 F</v>
          </cell>
          <cell r="B7771"/>
          <cell r="C7771">
            <v>45857</v>
          </cell>
          <cell r="D7771" t="str">
            <v>Fina</v>
          </cell>
          <cell r="E7771" t="str">
            <v>Usman Amin</v>
          </cell>
        </row>
        <row r="7772">
          <cell r="A7772" t="str">
            <v>1868 F</v>
          </cell>
          <cell r="B7772"/>
          <cell r="C7772">
            <v>45857</v>
          </cell>
          <cell r="D7772" t="str">
            <v>Fina</v>
          </cell>
          <cell r="E7772" t="str">
            <v>Usman Amin</v>
          </cell>
        </row>
        <row r="7773">
          <cell r="A7773" t="str">
            <v>1869 F</v>
          </cell>
          <cell r="B7773"/>
          <cell r="C7773">
            <v>45857</v>
          </cell>
          <cell r="D7773" t="str">
            <v>Fina</v>
          </cell>
          <cell r="E7773" t="str">
            <v>Usman Amin</v>
          </cell>
        </row>
        <row r="7774">
          <cell r="A7774" t="str">
            <v>1870 F</v>
          </cell>
          <cell r="B7774"/>
          <cell r="C7774">
            <v>45857</v>
          </cell>
          <cell r="D7774" t="str">
            <v>Fina</v>
          </cell>
          <cell r="E7774" t="str">
            <v>Usman Amin</v>
          </cell>
        </row>
        <row r="7775">
          <cell r="A7775" t="str">
            <v>1871 F</v>
          </cell>
          <cell r="B7775"/>
          <cell r="C7775">
            <v>45857</v>
          </cell>
          <cell r="D7775" t="str">
            <v>Fina</v>
          </cell>
          <cell r="E7775" t="str">
            <v>Usman Amin</v>
          </cell>
        </row>
        <row r="7776">
          <cell r="A7776" t="str">
            <v>1872 F</v>
          </cell>
          <cell r="B7776"/>
          <cell r="C7776">
            <v>45857</v>
          </cell>
          <cell r="D7776" t="str">
            <v>Fina</v>
          </cell>
          <cell r="E7776" t="str">
            <v>Usman Amin</v>
          </cell>
        </row>
        <row r="7777">
          <cell r="A7777" t="str">
            <v>1873 F</v>
          </cell>
          <cell r="B7777"/>
          <cell r="C7777">
            <v>45859</v>
          </cell>
          <cell r="D7777">
            <v>45859</v>
          </cell>
          <cell r="E7777">
            <v>45859</v>
          </cell>
        </row>
        <row r="7778">
          <cell r="A7778" t="str">
            <v>1874 F</v>
          </cell>
          <cell r="B7778"/>
          <cell r="C7778">
            <v>45859</v>
          </cell>
          <cell r="D7778">
            <v>45859</v>
          </cell>
          <cell r="E7778">
            <v>45859</v>
          </cell>
        </row>
        <row r="7779">
          <cell r="A7779" t="str">
            <v>1875 F</v>
          </cell>
          <cell r="B7779"/>
          <cell r="C7779">
            <v>45859</v>
          </cell>
          <cell r="D7779">
            <v>45859</v>
          </cell>
          <cell r="E7779">
            <v>45859</v>
          </cell>
        </row>
        <row r="7780">
          <cell r="A7780" t="str">
            <v>1876 F</v>
          </cell>
          <cell r="B7780"/>
          <cell r="C7780">
            <v>45859</v>
          </cell>
          <cell r="D7780">
            <v>45859</v>
          </cell>
          <cell r="E7780">
            <v>45859</v>
          </cell>
        </row>
        <row r="7781">
          <cell r="A7781" t="str">
            <v>1877 F</v>
          </cell>
          <cell r="B7781"/>
          <cell r="C7781">
            <v>45859</v>
          </cell>
          <cell r="D7781">
            <v>45859</v>
          </cell>
          <cell r="E7781">
            <v>45859</v>
          </cell>
        </row>
        <row r="7782">
          <cell r="A7782" t="str">
            <v>1878 F</v>
          </cell>
          <cell r="B7782"/>
          <cell r="C7782">
            <v>45860</v>
          </cell>
          <cell r="D7782" t="str">
            <v>Fina</v>
          </cell>
          <cell r="E7782" t="str">
            <v>Usman Amin</v>
          </cell>
        </row>
        <row r="7783">
          <cell r="A7783" t="str">
            <v>1879 F</v>
          </cell>
          <cell r="B7783"/>
          <cell r="C7783">
            <v>45860</v>
          </cell>
          <cell r="D7783" t="str">
            <v>Fina</v>
          </cell>
          <cell r="E7783" t="str">
            <v>Usman Amin</v>
          </cell>
        </row>
        <row r="7784">
          <cell r="A7784" t="str">
            <v>7086/1</v>
          </cell>
          <cell r="B7784">
            <v>7086</v>
          </cell>
          <cell r="C7784">
            <v>45855</v>
          </cell>
          <cell r="D7784" t="str">
            <v>یونس صاحب</v>
          </cell>
          <cell r="E7784" t="str">
            <v>وحید پلاسٹک گوجرانولہ</v>
          </cell>
        </row>
        <row r="7785">
          <cell r="A7785" t="str">
            <v>7086/2</v>
          </cell>
          <cell r="B7785">
            <v>7086</v>
          </cell>
          <cell r="C7785">
            <v>45855</v>
          </cell>
          <cell r="D7785" t="str">
            <v>یونس صاحب</v>
          </cell>
          <cell r="E7785" t="str">
            <v>وحید پلاسٹک گوجرانولہ</v>
          </cell>
        </row>
        <row r="7786">
          <cell r="A7786" t="str">
            <v>7086/3</v>
          </cell>
          <cell r="B7786">
            <v>7086</v>
          </cell>
          <cell r="C7786">
            <v>45855</v>
          </cell>
          <cell r="D7786" t="str">
            <v>یونس صاحب</v>
          </cell>
          <cell r="E7786" t="str">
            <v>وحید پلاسٹک گوجرانولہ</v>
          </cell>
        </row>
        <row r="7787">
          <cell r="A7787" t="str">
            <v>7086/4</v>
          </cell>
          <cell r="B7787">
            <v>7086</v>
          </cell>
          <cell r="C7787">
            <v>45855</v>
          </cell>
          <cell r="D7787" t="str">
            <v>یونس صاحب</v>
          </cell>
          <cell r="E7787" t="str">
            <v>وحید پلاسٹک گوجرانولہ</v>
          </cell>
        </row>
        <row r="7788">
          <cell r="A7788" t="str">
            <v>7086/5</v>
          </cell>
          <cell r="B7788">
            <v>7086</v>
          </cell>
          <cell r="C7788">
            <v>45855</v>
          </cell>
          <cell r="D7788" t="str">
            <v>یونس صاحب</v>
          </cell>
          <cell r="E7788" t="str">
            <v>وحید پلاسٹک گوجرانولہ</v>
          </cell>
        </row>
        <row r="7789">
          <cell r="A7789" t="str">
            <v>7086/6</v>
          </cell>
          <cell r="B7789">
            <v>7086</v>
          </cell>
          <cell r="C7789">
            <v>45855</v>
          </cell>
          <cell r="D7789" t="str">
            <v>یونس صاحب</v>
          </cell>
          <cell r="E7789" t="str">
            <v>وحید پلاسٹک گوجرانولہ</v>
          </cell>
        </row>
        <row r="7790">
          <cell r="A7790" t="str">
            <v>7086/7</v>
          </cell>
          <cell r="B7790">
            <v>7086</v>
          </cell>
          <cell r="C7790">
            <v>45855</v>
          </cell>
          <cell r="D7790" t="str">
            <v>یونس صاحب</v>
          </cell>
          <cell r="E7790" t="str">
            <v>وحید پلاسٹک گوجرانولہ</v>
          </cell>
        </row>
        <row r="7791">
          <cell r="A7791" t="str">
            <v>7086/8</v>
          </cell>
          <cell r="B7791">
            <v>7086</v>
          </cell>
          <cell r="C7791">
            <v>45855</v>
          </cell>
          <cell r="D7791" t="str">
            <v>یونس صاحب</v>
          </cell>
          <cell r="E7791" t="str">
            <v>وحید پلاسٹک گوجرانولہ</v>
          </cell>
        </row>
        <row r="7792">
          <cell r="A7792" t="str">
            <v>7086/9</v>
          </cell>
          <cell r="B7792">
            <v>7086</v>
          </cell>
          <cell r="C7792">
            <v>45855</v>
          </cell>
          <cell r="D7792" t="str">
            <v>یونس صاحب</v>
          </cell>
          <cell r="E7792" t="str">
            <v>وحید پلاسٹک گوجرانولہ</v>
          </cell>
        </row>
        <row r="7793">
          <cell r="A7793" t="str">
            <v>7086/10</v>
          </cell>
          <cell r="B7793">
            <v>7086</v>
          </cell>
          <cell r="C7793">
            <v>45855</v>
          </cell>
          <cell r="D7793" t="str">
            <v>یونس صاحب</v>
          </cell>
          <cell r="E7793" t="str">
            <v>وحید پلاسٹک گوجرانولہ</v>
          </cell>
        </row>
        <row r="7794">
          <cell r="A7794" t="str">
            <v>7086/11</v>
          </cell>
          <cell r="B7794">
            <v>7086</v>
          </cell>
          <cell r="C7794">
            <v>45855</v>
          </cell>
          <cell r="D7794" t="str">
            <v>یونس صاحب</v>
          </cell>
          <cell r="E7794" t="str">
            <v>وحید پلاسٹک گوجرانولہ</v>
          </cell>
        </row>
        <row r="7795">
          <cell r="A7795" t="str">
            <v>7086/12</v>
          </cell>
          <cell r="B7795">
            <v>7086</v>
          </cell>
          <cell r="C7795">
            <v>45855</v>
          </cell>
          <cell r="D7795" t="str">
            <v>یونس صاحب</v>
          </cell>
          <cell r="E7795" t="str">
            <v>وحید پلاسٹک گوجرانولہ</v>
          </cell>
        </row>
        <row r="7796">
          <cell r="A7796" t="str">
            <v>7086/13</v>
          </cell>
          <cell r="B7796">
            <v>7086</v>
          </cell>
          <cell r="C7796">
            <v>45855</v>
          </cell>
          <cell r="D7796" t="str">
            <v>یونس صاحب</v>
          </cell>
          <cell r="E7796" t="str">
            <v>وحید پلاسٹک گوجرانولہ</v>
          </cell>
        </row>
        <row r="7797">
          <cell r="A7797" t="str">
            <v>7086/14</v>
          </cell>
          <cell r="B7797">
            <v>7086</v>
          </cell>
          <cell r="C7797">
            <v>45855</v>
          </cell>
          <cell r="D7797" t="str">
            <v>یونس صاحب</v>
          </cell>
          <cell r="E7797" t="str">
            <v>وحید پلاسٹک گوجرانولہ</v>
          </cell>
        </row>
        <row r="7798">
          <cell r="A7798" t="str">
            <v>7086/15</v>
          </cell>
          <cell r="B7798">
            <v>7086</v>
          </cell>
          <cell r="C7798">
            <v>45855</v>
          </cell>
          <cell r="D7798" t="str">
            <v>یونس صاحب</v>
          </cell>
          <cell r="E7798" t="str">
            <v>وحید پلاسٹک گوجرانولہ</v>
          </cell>
        </row>
        <row r="7799">
          <cell r="A7799" t="str">
            <v>7086/16</v>
          </cell>
          <cell r="B7799">
            <v>7086</v>
          </cell>
          <cell r="C7799">
            <v>45855</v>
          </cell>
          <cell r="D7799" t="str">
            <v>یونس صاحب</v>
          </cell>
          <cell r="E7799" t="str">
            <v>وحید پلاسٹک گوجرانولہ</v>
          </cell>
        </row>
        <row r="7800">
          <cell r="A7800" t="str">
            <v>7086/17</v>
          </cell>
          <cell r="B7800">
            <v>7086</v>
          </cell>
          <cell r="C7800">
            <v>45855</v>
          </cell>
          <cell r="D7800" t="str">
            <v>یونس صاحب</v>
          </cell>
          <cell r="E7800" t="str">
            <v>وحید پلاسٹک گوجرانولہ</v>
          </cell>
        </row>
        <row r="7801">
          <cell r="A7801" t="str">
            <v>7087/1</v>
          </cell>
          <cell r="B7801">
            <v>7087</v>
          </cell>
          <cell r="C7801">
            <v>45855</v>
          </cell>
          <cell r="D7801" t="str">
            <v>یونس صاحب</v>
          </cell>
          <cell r="E7801" t="str">
            <v>اسد نزیر چیچہ وطنی</v>
          </cell>
        </row>
        <row r="7802">
          <cell r="A7802" t="str">
            <v>7088/1</v>
          </cell>
          <cell r="B7802">
            <v>7088</v>
          </cell>
          <cell r="C7802">
            <v>45855</v>
          </cell>
          <cell r="D7802" t="str">
            <v>یونس صاحب</v>
          </cell>
          <cell r="E7802" t="str">
            <v>محبوب مقبول گوجرانوالہ</v>
          </cell>
        </row>
        <row r="7803">
          <cell r="A7803" t="str">
            <v>7088/2</v>
          </cell>
          <cell r="B7803">
            <v>7088</v>
          </cell>
          <cell r="C7803">
            <v>45855</v>
          </cell>
          <cell r="D7803" t="str">
            <v>یونس صاحب</v>
          </cell>
          <cell r="E7803" t="str">
            <v>محبوب مقبول گوجرانوالہ</v>
          </cell>
        </row>
        <row r="7804">
          <cell r="A7804" t="str">
            <v>7089/1</v>
          </cell>
          <cell r="B7804">
            <v>7089</v>
          </cell>
          <cell r="C7804">
            <v>45855</v>
          </cell>
          <cell r="D7804" t="str">
            <v>یونس صاحب</v>
          </cell>
          <cell r="E7804" t="str">
            <v>ندیم پلاسٹک پھلوال</v>
          </cell>
        </row>
        <row r="7805">
          <cell r="A7805" t="str">
            <v>7089/2</v>
          </cell>
          <cell r="B7805">
            <v>7089</v>
          </cell>
          <cell r="C7805">
            <v>45855</v>
          </cell>
          <cell r="D7805" t="str">
            <v>یونس صاحب</v>
          </cell>
          <cell r="E7805" t="str">
            <v>ندیم پلاسٹک پھلوال</v>
          </cell>
        </row>
        <row r="7806">
          <cell r="A7806" t="str">
            <v>7090/1</v>
          </cell>
          <cell r="B7806">
            <v>7090</v>
          </cell>
          <cell r="C7806">
            <v>45855</v>
          </cell>
          <cell r="D7806" t="str">
            <v>یونس صاحب</v>
          </cell>
          <cell r="E7806" t="str">
            <v>فقیر حسین عارف والا</v>
          </cell>
        </row>
        <row r="7807">
          <cell r="A7807" t="str">
            <v>7090/2</v>
          </cell>
          <cell r="B7807">
            <v>7090</v>
          </cell>
          <cell r="C7807">
            <v>45855</v>
          </cell>
          <cell r="D7807" t="str">
            <v>یونس صاحب</v>
          </cell>
          <cell r="E7807" t="str">
            <v>فقیر حسین عارف والا</v>
          </cell>
        </row>
        <row r="7808">
          <cell r="A7808" t="str">
            <v>7090/3</v>
          </cell>
          <cell r="B7808">
            <v>7090</v>
          </cell>
          <cell r="C7808">
            <v>45855</v>
          </cell>
          <cell r="D7808" t="str">
            <v>یونس صاحب</v>
          </cell>
          <cell r="E7808" t="str">
            <v>فقیر حسین عارف والا</v>
          </cell>
        </row>
        <row r="7809">
          <cell r="A7809" t="str">
            <v>7091/1</v>
          </cell>
          <cell r="B7809">
            <v>7091</v>
          </cell>
          <cell r="C7809">
            <v>45855</v>
          </cell>
          <cell r="D7809" t="str">
            <v>یونس صاحب</v>
          </cell>
          <cell r="E7809" t="str">
            <v>علمدین پلاسٹک حاصلپور</v>
          </cell>
        </row>
        <row r="7810">
          <cell r="A7810">
            <v>2769</v>
          </cell>
          <cell r="B7810">
            <v>2885</v>
          </cell>
          <cell r="C7810">
            <v>45860</v>
          </cell>
          <cell r="D7810" t="str">
            <v>JILANI</v>
          </cell>
          <cell r="E7810" t="str">
            <v>MATCO FOOD</v>
          </cell>
        </row>
        <row r="7811">
          <cell r="A7811">
            <v>2770</v>
          </cell>
          <cell r="B7811">
            <v>2865</v>
          </cell>
          <cell r="C7811">
            <v>45860</v>
          </cell>
          <cell r="D7811" t="str">
            <v>JILANI</v>
          </cell>
          <cell r="E7811" t="str">
            <v>MATCO FOOD</v>
          </cell>
        </row>
        <row r="7812">
          <cell r="A7812" t="str">
            <v>7092/1</v>
          </cell>
          <cell r="B7812">
            <v>7092</v>
          </cell>
          <cell r="C7812">
            <v>45859</v>
          </cell>
          <cell r="D7812" t="str">
            <v>یونس صاحب</v>
          </cell>
          <cell r="E7812" t="str">
            <v>باؤ اشرف خانپور</v>
          </cell>
        </row>
        <row r="7813">
          <cell r="A7813" t="str">
            <v>7092/2</v>
          </cell>
          <cell r="B7813">
            <v>7092</v>
          </cell>
          <cell r="C7813">
            <v>45859</v>
          </cell>
          <cell r="D7813" t="str">
            <v>یونس صاحب</v>
          </cell>
          <cell r="E7813" t="str">
            <v>باؤ اشرف خانپور</v>
          </cell>
        </row>
        <row r="7814">
          <cell r="A7814" t="str">
            <v>7092/3</v>
          </cell>
          <cell r="B7814">
            <v>7092</v>
          </cell>
          <cell r="C7814">
            <v>45859</v>
          </cell>
          <cell r="D7814" t="str">
            <v>یونس صاحب</v>
          </cell>
          <cell r="E7814" t="str">
            <v>باؤ اشرف خانپور</v>
          </cell>
        </row>
        <row r="7815">
          <cell r="A7815" t="str">
            <v>7092/4</v>
          </cell>
          <cell r="B7815">
            <v>7092</v>
          </cell>
          <cell r="C7815">
            <v>45859</v>
          </cell>
          <cell r="D7815" t="str">
            <v>یونس صاحب</v>
          </cell>
          <cell r="E7815" t="str">
            <v>باؤ اشرف خانپور</v>
          </cell>
        </row>
        <row r="7816">
          <cell r="A7816" t="str">
            <v>7092/5</v>
          </cell>
          <cell r="B7816">
            <v>7092</v>
          </cell>
          <cell r="C7816">
            <v>45859</v>
          </cell>
          <cell r="D7816" t="str">
            <v>یونس صاحب</v>
          </cell>
          <cell r="E7816" t="str">
            <v>باؤ اشرف خانپور</v>
          </cell>
        </row>
        <row r="7817">
          <cell r="A7817" t="str">
            <v>7092/6</v>
          </cell>
          <cell r="B7817">
            <v>7092</v>
          </cell>
          <cell r="C7817">
            <v>45859</v>
          </cell>
          <cell r="D7817" t="str">
            <v>یونس صاحب</v>
          </cell>
          <cell r="E7817" t="str">
            <v>باؤ اشرف خانپور</v>
          </cell>
        </row>
        <row r="7818">
          <cell r="A7818" t="str">
            <v>7093/1</v>
          </cell>
          <cell r="B7818">
            <v>7093</v>
          </cell>
          <cell r="C7818">
            <v>45859</v>
          </cell>
          <cell r="D7818" t="str">
            <v>یونس صاحب</v>
          </cell>
          <cell r="E7818" t="str">
            <v>ثاقب   پلاسٹک خانپور</v>
          </cell>
        </row>
        <row r="7819">
          <cell r="A7819" t="str">
            <v>7093/2</v>
          </cell>
          <cell r="B7819">
            <v>7093</v>
          </cell>
          <cell r="C7819">
            <v>45859</v>
          </cell>
          <cell r="D7819" t="str">
            <v>یونس صاحب</v>
          </cell>
          <cell r="E7819" t="str">
            <v>ثاقب   پلاسٹک خانپور</v>
          </cell>
        </row>
        <row r="7820">
          <cell r="A7820" t="str">
            <v>7093/3</v>
          </cell>
          <cell r="B7820">
            <v>7093</v>
          </cell>
          <cell r="C7820">
            <v>45859</v>
          </cell>
          <cell r="D7820" t="str">
            <v>یونس صاحب</v>
          </cell>
          <cell r="E7820" t="str">
            <v>ثاقب   پلاسٹک خانپور</v>
          </cell>
        </row>
        <row r="7821">
          <cell r="A7821" t="str">
            <v>7093/4</v>
          </cell>
          <cell r="B7821">
            <v>7093</v>
          </cell>
          <cell r="C7821">
            <v>45859</v>
          </cell>
          <cell r="D7821" t="str">
            <v>یونس صاحب</v>
          </cell>
          <cell r="E7821" t="str">
            <v>ثاقب   پلاسٹک خانپور</v>
          </cell>
        </row>
        <row r="7822">
          <cell r="A7822" t="str">
            <v>7093/5</v>
          </cell>
          <cell r="B7822">
            <v>7093</v>
          </cell>
          <cell r="C7822">
            <v>45859</v>
          </cell>
          <cell r="D7822" t="str">
            <v>یونس صاحب</v>
          </cell>
          <cell r="E7822" t="str">
            <v>ثاقب   پلاسٹک خانپور</v>
          </cell>
        </row>
        <row r="7823">
          <cell r="A7823" t="str">
            <v>7094/1</v>
          </cell>
          <cell r="B7823">
            <v>7094</v>
          </cell>
          <cell r="C7823">
            <v>45859</v>
          </cell>
          <cell r="D7823" t="str">
            <v>یونس صاحب</v>
          </cell>
          <cell r="E7823" t="str">
            <v>فضل سعید صادق اباد</v>
          </cell>
        </row>
        <row r="7824">
          <cell r="A7824" t="str">
            <v>7094/2</v>
          </cell>
          <cell r="B7824">
            <v>7094</v>
          </cell>
          <cell r="C7824">
            <v>45859</v>
          </cell>
          <cell r="D7824" t="str">
            <v>یونس صاحب</v>
          </cell>
          <cell r="E7824" t="str">
            <v>فضل سعید صادق اباد</v>
          </cell>
        </row>
        <row r="7825">
          <cell r="A7825" t="str">
            <v>7094/3</v>
          </cell>
          <cell r="B7825">
            <v>7094</v>
          </cell>
          <cell r="C7825">
            <v>45859</v>
          </cell>
          <cell r="D7825" t="str">
            <v>یونس صاحب</v>
          </cell>
          <cell r="E7825" t="str">
            <v>فضل سعید صادق اباد</v>
          </cell>
        </row>
        <row r="7826">
          <cell r="A7826" t="str">
            <v>7094/4</v>
          </cell>
          <cell r="B7826">
            <v>7094</v>
          </cell>
          <cell r="C7826">
            <v>45859</v>
          </cell>
          <cell r="D7826" t="str">
            <v>یونس صاحب</v>
          </cell>
          <cell r="E7826" t="str">
            <v>فضل سعید صادق اباد</v>
          </cell>
        </row>
        <row r="7827">
          <cell r="A7827" t="str">
            <v>7094/5</v>
          </cell>
          <cell r="B7827">
            <v>7094</v>
          </cell>
          <cell r="C7827">
            <v>45859</v>
          </cell>
          <cell r="D7827" t="str">
            <v>یونس صاحب</v>
          </cell>
          <cell r="E7827" t="str">
            <v>فضل سعید صادق اباد</v>
          </cell>
        </row>
        <row r="7828">
          <cell r="A7828" t="str">
            <v>7094/6</v>
          </cell>
          <cell r="B7828">
            <v>7094</v>
          </cell>
          <cell r="C7828">
            <v>45859</v>
          </cell>
          <cell r="D7828" t="str">
            <v>یونس صاحب</v>
          </cell>
          <cell r="E7828" t="str">
            <v>فضل سعید صادق اباد</v>
          </cell>
        </row>
        <row r="7829">
          <cell r="A7829" t="str">
            <v>7094/7</v>
          </cell>
          <cell r="B7829">
            <v>7094</v>
          </cell>
          <cell r="C7829">
            <v>45859</v>
          </cell>
          <cell r="D7829" t="str">
            <v>یونس صاحب</v>
          </cell>
          <cell r="E7829" t="str">
            <v>فضل سعید صادق اباد</v>
          </cell>
        </row>
        <row r="7830">
          <cell r="A7830" t="str">
            <v>7094/8</v>
          </cell>
          <cell r="B7830">
            <v>7094</v>
          </cell>
          <cell r="C7830">
            <v>45859</v>
          </cell>
          <cell r="D7830" t="str">
            <v>یونس صاحب</v>
          </cell>
          <cell r="E7830" t="str">
            <v>فضل سعید صادق اباد</v>
          </cell>
        </row>
        <row r="7831">
          <cell r="A7831" t="str">
            <v>7094/9</v>
          </cell>
          <cell r="B7831">
            <v>7094</v>
          </cell>
          <cell r="C7831">
            <v>45859</v>
          </cell>
          <cell r="D7831" t="str">
            <v>یونس صاحب</v>
          </cell>
          <cell r="E7831" t="str">
            <v>فضل سعید صادق اباد</v>
          </cell>
        </row>
        <row r="7832">
          <cell r="A7832" t="str">
            <v>7094/10</v>
          </cell>
          <cell r="B7832">
            <v>7094</v>
          </cell>
          <cell r="C7832">
            <v>45859</v>
          </cell>
          <cell r="D7832" t="str">
            <v>یونس صاحب</v>
          </cell>
          <cell r="E7832" t="str">
            <v>فضل سعید صادق اباد</v>
          </cell>
        </row>
        <row r="7833">
          <cell r="A7833" t="str">
            <v>7094/11</v>
          </cell>
          <cell r="B7833">
            <v>7094</v>
          </cell>
          <cell r="C7833">
            <v>45859</v>
          </cell>
          <cell r="D7833" t="str">
            <v>یونس صاحب</v>
          </cell>
          <cell r="E7833" t="str">
            <v>فضل سعید صادق اباد</v>
          </cell>
        </row>
        <row r="7834">
          <cell r="A7834" t="str">
            <v>7094/12</v>
          </cell>
          <cell r="B7834">
            <v>7094</v>
          </cell>
          <cell r="C7834">
            <v>45859</v>
          </cell>
          <cell r="D7834" t="str">
            <v>یونس صاحب</v>
          </cell>
          <cell r="E7834" t="str">
            <v>فضل سعید صادق اباد</v>
          </cell>
        </row>
        <row r="7835">
          <cell r="A7835" t="str">
            <v>7094/13</v>
          </cell>
          <cell r="B7835">
            <v>7094</v>
          </cell>
          <cell r="C7835">
            <v>45859</v>
          </cell>
          <cell r="D7835" t="str">
            <v>یونس صاحب</v>
          </cell>
          <cell r="E7835" t="str">
            <v>فضل سعید صادق اباد</v>
          </cell>
        </row>
        <row r="7836">
          <cell r="A7836" t="str">
            <v>7094/14</v>
          </cell>
          <cell r="B7836">
            <v>7094</v>
          </cell>
          <cell r="C7836">
            <v>45859</v>
          </cell>
          <cell r="D7836" t="str">
            <v>یونس صاحب</v>
          </cell>
          <cell r="E7836" t="str">
            <v>فضل سعید صادق اباد</v>
          </cell>
        </row>
        <row r="7837">
          <cell r="A7837" t="str">
            <v>7095/1</v>
          </cell>
          <cell r="B7837">
            <v>7095</v>
          </cell>
          <cell r="C7837">
            <v>45859</v>
          </cell>
          <cell r="D7837" t="str">
            <v>یونس صاحب</v>
          </cell>
          <cell r="E7837" t="str">
            <v>خواجہ فرقان  ٹمبر مارکیٹ</v>
          </cell>
        </row>
        <row r="7838">
          <cell r="A7838" t="str">
            <v>7095/2</v>
          </cell>
          <cell r="B7838">
            <v>7095</v>
          </cell>
          <cell r="C7838">
            <v>45860</v>
          </cell>
          <cell r="D7838" t="str">
            <v>یونس صاحب</v>
          </cell>
          <cell r="E7838" t="str">
            <v>خواجہ فرقان  ٹمبر مارکیٹ</v>
          </cell>
        </row>
        <row r="7839">
          <cell r="A7839" t="str">
            <v>7096/1</v>
          </cell>
          <cell r="B7839">
            <v>7096</v>
          </cell>
          <cell r="C7839">
            <v>45860</v>
          </cell>
          <cell r="D7839" t="str">
            <v>یونس صاحب</v>
          </cell>
          <cell r="E7839" t="str">
            <v>العمر پلاسٹک گوجرانوالہ</v>
          </cell>
        </row>
        <row r="7840">
          <cell r="A7840" t="str">
            <v>7096/2</v>
          </cell>
          <cell r="B7840">
            <v>7096</v>
          </cell>
          <cell r="C7840">
            <v>45860</v>
          </cell>
          <cell r="D7840" t="str">
            <v>یونس صاحب</v>
          </cell>
          <cell r="E7840" t="str">
            <v>العمر پلاسٹک گوجرانوالہ</v>
          </cell>
        </row>
        <row r="7841">
          <cell r="A7841" t="str">
            <v>7097/1</v>
          </cell>
          <cell r="B7841">
            <v>7097</v>
          </cell>
          <cell r="C7841">
            <v>45860</v>
          </cell>
          <cell r="D7841" t="str">
            <v>یونس صاحب</v>
          </cell>
          <cell r="E7841" t="str">
            <v>امارت پلاسٹک چوہنگ</v>
          </cell>
        </row>
        <row r="7842">
          <cell r="A7842" t="str">
            <v>7097/2</v>
          </cell>
          <cell r="B7842">
            <v>7097</v>
          </cell>
          <cell r="C7842">
            <v>45860</v>
          </cell>
          <cell r="D7842" t="str">
            <v>یونس صاحب</v>
          </cell>
          <cell r="E7842" t="str">
            <v>امارت پلاسٹک چوہنگ</v>
          </cell>
        </row>
        <row r="7843">
          <cell r="A7843" t="str">
            <v>7097/3</v>
          </cell>
          <cell r="B7843">
            <v>7097</v>
          </cell>
          <cell r="C7843">
            <v>45860</v>
          </cell>
          <cell r="D7843" t="str">
            <v>یونس صاحب</v>
          </cell>
          <cell r="E7843" t="str">
            <v>امارت پلاسٹک چوہنگ</v>
          </cell>
        </row>
        <row r="7844">
          <cell r="A7844" t="str">
            <v>7097/4</v>
          </cell>
          <cell r="B7844">
            <v>7097</v>
          </cell>
          <cell r="C7844">
            <v>45860</v>
          </cell>
          <cell r="D7844" t="str">
            <v>یونس صاحب</v>
          </cell>
          <cell r="E7844" t="str">
            <v>امارت پلاسٹک چوہنگ</v>
          </cell>
        </row>
        <row r="7845">
          <cell r="A7845" t="str">
            <v>7097/5</v>
          </cell>
          <cell r="B7845">
            <v>7097</v>
          </cell>
          <cell r="C7845">
            <v>45860</v>
          </cell>
          <cell r="D7845" t="str">
            <v>یونس صاحب</v>
          </cell>
          <cell r="E7845" t="str">
            <v>امارت پلاسٹک چوہنگ</v>
          </cell>
        </row>
        <row r="7846">
          <cell r="A7846" t="str">
            <v>7098/1</v>
          </cell>
          <cell r="B7846">
            <v>7098</v>
          </cell>
          <cell r="C7846">
            <v>45860</v>
          </cell>
          <cell r="D7846" t="str">
            <v>یونس صاحب</v>
          </cell>
          <cell r="E7846" t="str">
            <v>عظیم ٹوائز شاہ عالم</v>
          </cell>
        </row>
        <row r="7847">
          <cell r="A7847" t="str">
            <v>3320 J</v>
          </cell>
          <cell r="B7847">
            <v>12653</v>
          </cell>
          <cell r="C7847">
            <v>45860</v>
          </cell>
          <cell r="D7847" t="str">
            <v>JILANI</v>
          </cell>
          <cell r="E7847" t="str">
            <v>Shahbaz Hafeez Lahore C/O Shazeeb Sb</v>
          </cell>
        </row>
        <row r="7848">
          <cell r="A7848" t="str">
            <v>3321 J</v>
          </cell>
          <cell r="B7848">
            <v>12643</v>
          </cell>
          <cell r="C7848">
            <v>45860</v>
          </cell>
          <cell r="D7848" t="str">
            <v>JILANI</v>
          </cell>
          <cell r="E7848" t="str">
            <v>Atlas Honda LTD (SKP)</v>
          </cell>
        </row>
        <row r="7849">
          <cell r="A7849" t="str">
            <v>3322 J</v>
          </cell>
          <cell r="B7849">
            <v>12644</v>
          </cell>
          <cell r="C7849">
            <v>45860</v>
          </cell>
          <cell r="D7849" t="str">
            <v>JILANI</v>
          </cell>
          <cell r="E7849" t="str">
            <v xml:space="preserve">Shoaib Auto Rawalpindi </v>
          </cell>
        </row>
        <row r="7850">
          <cell r="A7850" t="str">
            <v>3323 J</v>
          </cell>
          <cell r="B7850">
            <v>12644</v>
          </cell>
          <cell r="C7850">
            <v>45860</v>
          </cell>
          <cell r="D7850" t="str">
            <v>JILANI</v>
          </cell>
          <cell r="E7850" t="str">
            <v xml:space="preserve">Shoaib Auto Rawalpindi </v>
          </cell>
        </row>
        <row r="7851">
          <cell r="A7851" t="str">
            <v>3324 J</v>
          </cell>
          <cell r="B7851">
            <v>12645</v>
          </cell>
          <cell r="C7851">
            <v>45860</v>
          </cell>
          <cell r="D7851" t="str">
            <v>JILANI</v>
          </cell>
          <cell r="E7851" t="str">
            <v xml:space="preserve">Shoaib Auto Rawalpindi </v>
          </cell>
        </row>
        <row r="7852">
          <cell r="A7852" t="str">
            <v>3325 J</v>
          </cell>
          <cell r="B7852">
            <v>12645</v>
          </cell>
          <cell r="C7852">
            <v>45860</v>
          </cell>
          <cell r="D7852" t="str">
            <v>JILANI</v>
          </cell>
          <cell r="E7852" t="str">
            <v xml:space="preserve">Shoaib Auto Rawalpindi </v>
          </cell>
        </row>
        <row r="7853">
          <cell r="A7853" t="str">
            <v>3326 J</v>
          </cell>
          <cell r="B7853">
            <v>12646</v>
          </cell>
          <cell r="C7853">
            <v>45860</v>
          </cell>
          <cell r="D7853" t="str">
            <v>JILANI</v>
          </cell>
          <cell r="E7853" t="str">
            <v>Total Trader Mingora Swat</v>
          </cell>
        </row>
        <row r="7854">
          <cell r="A7854" t="str">
            <v>3327 J</v>
          </cell>
          <cell r="B7854">
            <v>12647</v>
          </cell>
          <cell r="C7854">
            <v>45860</v>
          </cell>
          <cell r="D7854" t="str">
            <v>JILANI</v>
          </cell>
          <cell r="E7854" t="str">
            <v>Hafize Printing Agency Lahore</v>
          </cell>
        </row>
        <row r="7855">
          <cell r="A7855" t="str">
            <v>3328 J</v>
          </cell>
          <cell r="B7855">
            <v>12648</v>
          </cell>
          <cell r="C7855">
            <v>45860</v>
          </cell>
          <cell r="D7855" t="str">
            <v>JILANI</v>
          </cell>
          <cell r="E7855" t="str">
            <v xml:space="preserve">Shoaib Auto Rawalpindi </v>
          </cell>
        </row>
        <row r="7856">
          <cell r="A7856" t="str">
            <v>3329 J</v>
          </cell>
          <cell r="B7856"/>
          <cell r="C7856">
            <v>45706</v>
          </cell>
          <cell r="D7856" t="str">
            <v>OTHER</v>
          </cell>
          <cell r="E7856" t="str">
            <v>زمیندار فوڈ کمپنی بنوں</v>
          </cell>
        </row>
        <row r="7857">
          <cell r="A7857" t="str">
            <v>3330 J</v>
          </cell>
          <cell r="B7857"/>
          <cell r="C7857">
            <v>45860</v>
          </cell>
          <cell r="D7857" t="str">
            <v>OTHER</v>
          </cell>
          <cell r="E7857" t="str">
            <v>Jilani Poly Stock</v>
          </cell>
        </row>
        <row r="7858">
          <cell r="A7858" t="str">
            <v>3331 J</v>
          </cell>
          <cell r="B7858"/>
          <cell r="C7858">
            <v>45860</v>
          </cell>
          <cell r="D7858" t="str">
            <v>OTHER</v>
          </cell>
          <cell r="E7858" t="str">
            <v>Jilani Poly Stock</v>
          </cell>
        </row>
        <row r="7859">
          <cell r="A7859" t="str">
            <v>3332 J</v>
          </cell>
          <cell r="B7859"/>
          <cell r="C7859">
            <v>45860</v>
          </cell>
          <cell r="D7859" t="str">
            <v>OTHER</v>
          </cell>
          <cell r="E7859" t="str">
            <v>Jilani Poly Stock</v>
          </cell>
        </row>
        <row r="7860">
          <cell r="A7860" t="str">
            <v>3333 J</v>
          </cell>
          <cell r="B7860"/>
          <cell r="C7860">
            <v>45860</v>
          </cell>
          <cell r="D7860" t="str">
            <v>OTHER</v>
          </cell>
          <cell r="E7860" t="str">
            <v>Jilani plastic</v>
          </cell>
        </row>
        <row r="7861">
          <cell r="A7861" t="str">
            <v>3334 J</v>
          </cell>
          <cell r="B7861"/>
          <cell r="C7861">
            <v>45860</v>
          </cell>
          <cell r="D7861" t="str">
            <v>OTHER</v>
          </cell>
          <cell r="E7861" t="str">
            <v>Jilani plastic</v>
          </cell>
        </row>
        <row r="7862">
          <cell r="A7862" t="str">
            <v>3335 J</v>
          </cell>
          <cell r="B7862"/>
          <cell r="C7862">
            <v>45860</v>
          </cell>
          <cell r="D7862" t="str">
            <v>OTHER</v>
          </cell>
          <cell r="E7862" t="str">
            <v>Jilani plastic</v>
          </cell>
        </row>
        <row r="7863">
          <cell r="A7863" t="str">
            <v>3336 J</v>
          </cell>
          <cell r="B7863">
            <v>12649</v>
          </cell>
          <cell r="C7863">
            <v>45860</v>
          </cell>
          <cell r="D7863" t="str">
            <v>JILANI</v>
          </cell>
          <cell r="E7863" t="str">
            <v>Mushtaq Cut Piece Lahore</v>
          </cell>
        </row>
        <row r="7864">
          <cell r="A7864" t="str">
            <v>3337 J</v>
          </cell>
          <cell r="B7864">
            <v>12650</v>
          </cell>
          <cell r="C7864">
            <v>45860</v>
          </cell>
          <cell r="D7864" t="str">
            <v>JILANI</v>
          </cell>
          <cell r="E7864" t="str">
            <v>Shahbaz Hafeez Lahore C/O Shazeeb Sb</v>
          </cell>
        </row>
        <row r="7865">
          <cell r="A7865" t="str">
            <v>3338 J</v>
          </cell>
          <cell r="B7865">
            <v>12650</v>
          </cell>
          <cell r="C7865">
            <v>45860</v>
          </cell>
          <cell r="D7865" t="str">
            <v>JILANI</v>
          </cell>
          <cell r="E7865" t="str">
            <v>Shahbaz Hafeez Lahore C/O Shazeeb Sb</v>
          </cell>
        </row>
        <row r="7866">
          <cell r="A7866" t="str">
            <v>3339 J</v>
          </cell>
          <cell r="B7866">
            <v>12650</v>
          </cell>
          <cell r="C7866">
            <v>45860</v>
          </cell>
          <cell r="D7866" t="str">
            <v>JILANI</v>
          </cell>
          <cell r="E7866" t="str">
            <v>Shahbaz Hafeez Lahore C/O Shazeeb Sb</v>
          </cell>
        </row>
        <row r="7867">
          <cell r="A7867" t="str">
            <v>3340 J</v>
          </cell>
          <cell r="B7867">
            <v>12651</v>
          </cell>
          <cell r="C7867">
            <v>45860</v>
          </cell>
          <cell r="D7867" t="str">
            <v>JILANI</v>
          </cell>
          <cell r="E7867" t="str">
            <v>Chezo Cheez Lahore</v>
          </cell>
        </row>
        <row r="7868">
          <cell r="A7868" t="str">
            <v>3341 J</v>
          </cell>
          <cell r="B7868">
            <v>12652</v>
          </cell>
          <cell r="C7868">
            <v>45860</v>
          </cell>
          <cell r="D7868" t="str">
            <v>JILANI</v>
          </cell>
          <cell r="E7868" t="str">
            <v>Alam Printer ButKhela</v>
          </cell>
        </row>
        <row r="7869">
          <cell r="A7869" t="str">
            <v>3342 J</v>
          </cell>
          <cell r="B7869">
            <v>12652</v>
          </cell>
          <cell r="C7869">
            <v>45860</v>
          </cell>
          <cell r="D7869" t="str">
            <v>JILANI</v>
          </cell>
          <cell r="E7869" t="str">
            <v>Alam Printer ButKhela</v>
          </cell>
        </row>
        <row r="7870">
          <cell r="A7870" t="str">
            <v>3343 J</v>
          </cell>
          <cell r="B7870">
            <v>12654</v>
          </cell>
          <cell r="C7870">
            <v>45860</v>
          </cell>
          <cell r="D7870" t="str">
            <v>JILANI</v>
          </cell>
          <cell r="E7870" t="str">
            <v>Zeeshan Fruit Chart Chakwal</v>
          </cell>
        </row>
        <row r="7871">
          <cell r="A7871" t="str">
            <v>3344 J</v>
          </cell>
          <cell r="B7871">
            <v>12655</v>
          </cell>
          <cell r="C7871">
            <v>45860</v>
          </cell>
          <cell r="D7871" t="str">
            <v>JILANI</v>
          </cell>
          <cell r="E7871" t="str">
            <v>Al Rehman Kulfi and Faloda House Lahore</v>
          </cell>
        </row>
        <row r="7872">
          <cell r="A7872" t="str">
            <v>3345 J</v>
          </cell>
          <cell r="B7872">
            <v>12655</v>
          </cell>
          <cell r="C7872">
            <v>45860</v>
          </cell>
          <cell r="D7872" t="str">
            <v>JILANI</v>
          </cell>
          <cell r="E7872" t="str">
            <v>Al Rehman Kulfi and Faloda House Lahore</v>
          </cell>
        </row>
        <row r="7873">
          <cell r="A7873" t="str">
            <v>3346 J</v>
          </cell>
          <cell r="B7873">
            <v>12655</v>
          </cell>
          <cell r="C7873">
            <v>45860</v>
          </cell>
          <cell r="D7873" t="str">
            <v>JILANI</v>
          </cell>
          <cell r="E7873" t="str">
            <v>Al Rehman Kulfi and Faloda House Lahore</v>
          </cell>
        </row>
        <row r="7874">
          <cell r="A7874" t="str">
            <v>3347 J</v>
          </cell>
          <cell r="B7874">
            <v>12656</v>
          </cell>
          <cell r="C7874">
            <v>45860</v>
          </cell>
          <cell r="D7874" t="str">
            <v>JILANI</v>
          </cell>
          <cell r="E7874" t="str">
            <v>Alam Bakers Sheikupura</v>
          </cell>
        </row>
        <row r="7875">
          <cell r="A7875" t="str">
            <v>3348 J</v>
          </cell>
          <cell r="B7875">
            <v>12656</v>
          </cell>
          <cell r="C7875">
            <v>45860</v>
          </cell>
          <cell r="D7875" t="str">
            <v>JILANI</v>
          </cell>
          <cell r="E7875" t="str">
            <v>Alam Bakers Sheikupura</v>
          </cell>
        </row>
        <row r="7876">
          <cell r="A7876" t="str">
            <v>3349 J</v>
          </cell>
          <cell r="B7876">
            <v>12657</v>
          </cell>
          <cell r="C7876">
            <v>45860</v>
          </cell>
          <cell r="D7876" t="str">
            <v>JILANI</v>
          </cell>
          <cell r="E7876" t="str">
            <v>Alam Bakers Sheikupura</v>
          </cell>
        </row>
        <row r="7877">
          <cell r="A7877" t="str">
            <v>3350 J</v>
          </cell>
          <cell r="B7877">
            <v>12657</v>
          </cell>
          <cell r="C7877">
            <v>45860</v>
          </cell>
          <cell r="D7877" t="str">
            <v>JILANI</v>
          </cell>
          <cell r="E7877" t="str">
            <v>Alam Bakers Sheikupura</v>
          </cell>
        </row>
        <row r="7878">
          <cell r="A7878" t="str">
            <v>3351 J</v>
          </cell>
          <cell r="B7878">
            <v>12658</v>
          </cell>
          <cell r="C7878">
            <v>45860</v>
          </cell>
          <cell r="D7878" t="str">
            <v>JILANI</v>
          </cell>
          <cell r="E7878" t="str">
            <v>Akbar Azam co LTD</v>
          </cell>
        </row>
        <row r="7879">
          <cell r="A7879" t="str">
            <v>3352 J</v>
          </cell>
          <cell r="B7879"/>
          <cell r="C7879">
            <v>45860</v>
          </cell>
          <cell r="D7879" t="str">
            <v>OTHER</v>
          </cell>
          <cell r="E7879" t="str">
            <v>Jilani Poly Stock</v>
          </cell>
        </row>
        <row r="7880">
          <cell r="A7880" t="str">
            <v>3353 J</v>
          </cell>
          <cell r="B7880"/>
          <cell r="C7880">
            <v>45860</v>
          </cell>
          <cell r="D7880" t="str">
            <v>JILANI</v>
          </cell>
          <cell r="E7880" t="str">
            <v>Jilani plastic</v>
          </cell>
        </row>
        <row r="7881">
          <cell r="A7881" t="str">
            <v>3354 J</v>
          </cell>
          <cell r="B7881"/>
          <cell r="C7881">
            <v>45860</v>
          </cell>
          <cell r="D7881" t="str">
            <v>OTHER</v>
          </cell>
          <cell r="E7881" t="str">
            <v>Jilani plastic</v>
          </cell>
        </row>
        <row r="7882">
          <cell r="A7882" t="str">
            <v>3355 J</v>
          </cell>
          <cell r="B7882">
            <v>12659</v>
          </cell>
          <cell r="C7882">
            <v>45861</v>
          </cell>
          <cell r="D7882" t="str">
            <v>JILANI</v>
          </cell>
          <cell r="E7882" t="str">
            <v xml:space="preserve">Bata and Service c/o Rashid Minhas </v>
          </cell>
        </row>
        <row r="7883">
          <cell r="A7883" t="str">
            <v>3356 J</v>
          </cell>
          <cell r="B7883">
            <v>12659</v>
          </cell>
          <cell r="C7883">
            <v>45861</v>
          </cell>
          <cell r="D7883" t="str">
            <v>JILANI</v>
          </cell>
          <cell r="E7883" t="str">
            <v xml:space="preserve">Bata and Service c/o Rashid Minhas </v>
          </cell>
        </row>
        <row r="7884">
          <cell r="A7884" t="str">
            <v>3357 J</v>
          </cell>
          <cell r="B7884">
            <v>12660</v>
          </cell>
          <cell r="C7884">
            <v>45861</v>
          </cell>
          <cell r="D7884" t="str">
            <v>JILANI</v>
          </cell>
          <cell r="E7884" t="str">
            <v xml:space="preserve">Bata and Service c/o Rashid Minhas </v>
          </cell>
        </row>
        <row r="7885">
          <cell r="A7885" t="str">
            <v>3358 J</v>
          </cell>
          <cell r="B7885">
            <v>12661</v>
          </cell>
          <cell r="C7885">
            <v>45861</v>
          </cell>
          <cell r="D7885" t="str">
            <v>JILANI</v>
          </cell>
          <cell r="E7885" t="str">
            <v>Mobeen Plastic Rawalpindi</v>
          </cell>
        </row>
        <row r="7886">
          <cell r="A7886" t="str">
            <v>3359 J</v>
          </cell>
          <cell r="B7886">
            <v>12662</v>
          </cell>
          <cell r="C7886">
            <v>45861</v>
          </cell>
          <cell r="D7886" t="str">
            <v>JILANI</v>
          </cell>
          <cell r="E7886" t="str">
            <v>Good Boy Shoping Mall Fortabas</v>
          </cell>
        </row>
        <row r="7887">
          <cell r="A7887" t="str">
            <v>3360 J</v>
          </cell>
          <cell r="B7887">
            <v>12663</v>
          </cell>
          <cell r="C7887">
            <v>45861</v>
          </cell>
          <cell r="D7887" t="str">
            <v>JILANI</v>
          </cell>
          <cell r="E7887" t="str">
            <v>Waseem Shoper House Lahore</v>
          </cell>
        </row>
        <row r="7888">
          <cell r="A7888" t="str">
            <v>3361 J</v>
          </cell>
          <cell r="B7888">
            <v>12663</v>
          </cell>
          <cell r="C7888">
            <v>45861</v>
          </cell>
          <cell r="D7888" t="str">
            <v>JILANI</v>
          </cell>
          <cell r="E7888" t="str">
            <v>Waseem Shoper House Lahore</v>
          </cell>
        </row>
        <row r="7889">
          <cell r="A7889" t="str">
            <v>3362 J</v>
          </cell>
          <cell r="B7889">
            <v>12664</v>
          </cell>
          <cell r="C7889">
            <v>45861</v>
          </cell>
          <cell r="D7889" t="str">
            <v>JILANI</v>
          </cell>
          <cell r="E7889" t="str">
            <v>Ahmed Sweets and Bakers Chishtian</v>
          </cell>
        </row>
        <row r="7890">
          <cell r="A7890" t="str">
            <v>3363 J</v>
          </cell>
          <cell r="B7890">
            <v>12665</v>
          </cell>
          <cell r="C7890">
            <v>45861</v>
          </cell>
          <cell r="D7890" t="str">
            <v>JILANI</v>
          </cell>
          <cell r="E7890" t="str">
            <v>Ahmed Sweets and Bakers Chishtian</v>
          </cell>
        </row>
        <row r="7891">
          <cell r="A7891" t="str">
            <v>3364 J</v>
          </cell>
          <cell r="B7891">
            <v>12666</v>
          </cell>
          <cell r="C7891">
            <v>45861</v>
          </cell>
          <cell r="D7891" t="str">
            <v>JILANI</v>
          </cell>
          <cell r="E7891" t="str">
            <v xml:space="preserve">Moazmi Plastic Sahiwal </v>
          </cell>
        </row>
        <row r="7892">
          <cell r="A7892" t="str">
            <v>3365 J</v>
          </cell>
          <cell r="B7892">
            <v>12667</v>
          </cell>
          <cell r="C7892">
            <v>45861</v>
          </cell>
          <cell r="D7892" t="str">
            <v>JILANI</v>
          </cell>
          <cell r="E7892" t="str">
            <v>Emarat Plastic Thokar Niaz Baig</v>
          </cell>
        </row>
        <row r="7893">
          <cell r="A7893" t="str">
            <v>3366 J</v>
          </cell>
          <cell r="B7893">
            <v>12667</v>
          </cell>
          <cell r="C7893">
            <v>45861</v>
          </cell>
          <cell r="D7893" t="str">
            <v>JILANI</v>
          </cell>
          <cell r="E7893" t="str">
            <v>Emarat Plastic Thokar Niaz Baig</v>
          </cell>
        </row>
        <row r="7894">
          <cell r="A7894" t="str">
            <v>3367 J</v>
          </cell>
          <cell r="B7894">
            <v>12668</v>
          </cell>
          <cell r="C7894">
            <v>45861</v>
          </cell>
          <cell r="D7894" t="str">
            <v>JILANI</v>
          </cell>
          <cell r="E7894" t="str">
            <v>Emarat Plastic Thokar Niaz Baig</v>
          </cell>
        </row>
        <row r="7895">
          <cell r="A7895" t="str">
            <v>3368 J</v>
          </cell>
          <cell r="B7895">
            <v>12669</v>
          </cell>
          <cell r="C7895">
            <v>45861</v>
          </cell>
          <cell r="D7895" t="str">
            <v>JILANI</v>
          </cell>
          <cell r="E7895" t="str">
            <v>Fancy Garments Kamoki</v>
          </cell>
        </row>
        <row r="7896">
          <cell r="A7896" t="str">
            <v>3369 J</v>
          </cell>
          <cell r="B7896">
            <v>12670</v>
          </cell>
          <cell r="C7896">
            <v>45861</v>
          </cell>
          <cell r="D7896" t="str">
            <v>JILANI</v>
          </cell>
          <cell r="E7896" t="str">
            <v>Fancy Garments Kamoki</v>
          </cell>
        </row>
        <row r="7897">
          <cell r="A7897" t="str">
            <v>3370 J</v>
          </cell>
          <cell r="B7897">
            <v>12671</v>
          </cell>
          <cell r="C7897">
            <v>45861</v>
          </cell>
          <cell r="D7897" t="str">
            <v>JILANI</v>
          </cell>
          <cell r="E7897" t="str">
            <v xml:space="preserve">Auto Tech Lahore </v>
          </cell>
        </row>
        <row r="7898">
          <cell r="A7898" t="str">
            <v>3371 J</v>
          </cell>
          <cell r="B7898">
            <v>12672</v>
          </cell>
          <cell r="C7898">
            <v>45862</v>
          </cell>
          <cell r="D7898" t="str">
            <v>JILANI</v>
          </cell>
          <cell r="E7898" t="str">
            <v>Atlas Honda LTD (SKP)</v>
          </cell>
        </row>
        <row r="7899">
          <cell r="A7899" t="str">
            <v>3372 J</v>
          </cell>
          <cell r="B7899">
            <v>12673</v>
          </cell>
          <cell r="C7899">
            <v>45862</v>
          </cell>
          <cell r="D7899" t="str">
            <v>JILANI</v>
          </cell>
          <cell r="E7899" t="str">
            <v>Atlas Honda LTD (SKP)</v>
          </cell>
        </row>
        <row r="7900">
          <cell r="A7900" t="str">
            <v>3373 J</v>
          </cell>
          <cell r="B7900">
            <v>12674</v>
          </cell>
          <cell r="C7900">
            <v>45862</v>
          </cell>
          <cell r="D7900" t="str">
            <v>JILANI</v>
          </cell>
          <cell r="E7900" t="str">
            <v>Atlas Honda LTD (SKP)</v>
          </cell>
        </row>
        <row r="7901">
          <cell r="A7901" t="str">
            <v>3374 J</v>
          </cell>
          <cell r="B7901">
            <v>12675</v>
          </cell>
          <cell r="C7901">
            <v>45862</v>
          </cell>
          <cell r="D7901" t="str">
            <v>JILANI</v>
          </cell>
          <cell r="E7901" t="str">
            <v>Atlas Honda LTD (SKP)</v>
          </cell>
        </row>
        <row r="7902">
          <cell r="A7902" t="str">
            <v>3375 J</v>
          </cell>
          <cell r="B7902">
            <v>12676</v>
          </cell>
          <cell r="C7902">
            <v>45862</v>
          </cell>
          <cell r="D7902" t="str">
            <v>JILANI</v>
          </cell>
          <cell r="E7902" t="str">
            <v>Atlas Honda LTD (SKP)</v>
          </cell>
        </row>
        <row r="7903">
          <cell r="A7903" t="str">
            <v>3376 J</v>
          </cell>
          <cell r="B7903">
            <v>12677</v>
          </cell>
          <cell r="C7903">
            <v>45862</v>
          </cell>
          <cell r="D7903" t="str">
            <v>JILANI</v>
          </cell>
          <cell r="E7903" t="str">
            <v>Atlas Honda LTD (SKP)</v>
          </cell>
        </row>
        <row r="7904">
          <cell r="A7904" t="str">
            <v>3377 J</v>
          </cell>
          <cell r="B7904">
            <v>12678</v>
          </cell>
          <cell r="C7904">
            <v>45862</v>
          </cell>
          <cell r="D7904" t="str">
            <v>JILANI</v>
          </cell>
          <cell r="E7904" t="str">
            <v>Atlas Honda LTD (SKP)</v>
          </cell>
        </row>
        <row r="7905">
          <cell r="A7905" t="str">
            <v>3378 J</v>
          </cell>
          <cell r="B7905">
            <v>12679</v>
          </cell>
          <cell r="C7905">
            <v>45862</v>
          </cell>
          <cell r="D7905" t="str">
            <v>JILANI</v>
          </cell>
          <cell r="E7905" t="str">
            <v>Atlas Honda LTD (SKP)</v>
          </cell>
        </row>
        <row r="7906">
          <cell r="A7906" t="str">
            <v>3379 J</v>
          </cell>
          <cell r="B7906">
            <v>12680</v>
          </cell>
          <cell r="C7906">
            <v>45862</v>
          </cell>
          <cell r="D7906" t="str">
            <v>JILANI</v>
          </cell>
          <cell r="E7906" t="str">
            <v>Atlas Honda LTD (SKP)</v>
          </cell>
        </row>
        <row r="7907">
          <cell r="A7907" t="str">
            <v>3380 J</v>
          </cell>
          <cell r="B7907">
            <v>12681</v>
          </cell>
          <cell r="C7907">
            <v>45862</v>
          </cell>
          <cell r="D7907" t="str">
            <v>JILANI</v>
          </cell>
          <cell r="E7907" t="str">
            <v>Atlas Honda LTD (SKP)</v>
          </cell>
        </row>
        <row r="7908">
          <cell r="A7908" t="str">
            <v>3381 J</v>
          </cell>
          <cell r="B7908">
            <v>12682</v>
          </cell>
          <cell r="C7908">
            <v>45862</v>
          </cell>
          <cell r="D7908" t="str">
            <v>JILANI</v>
          </cell>
          <cell r="E7908" t="str">
            <v>H.A Industry Peshawar</v>
          </cell>
        </row>
        <row r="7909">
          <cell r="A7909" t="str">
            <v>3382 J</v>
          </cell>
          <cell r="B7909">
            <v>12683</v>
          </cell>
          <cell r="C7909">
            <v>45862</v>
          </cell>
          <cell r="D7909" t="str">
            <v>JILANI</v>
          </cell>
          <cell r="E7909" t="str">
            <v>Sadique Sweets and Bakers Noshehra Virka</v>
          </cell>
        </row>
        <row r="7910">
          <cell r="A7910" t="str">
            <v>3383 J</v>
          </cell>
          <cell r="B7910">
            <v>12683</v>
          </cell>
          <cell r="C7910">
            <v>45862</v>
          </cell>
          <cell r="D7910" t="str">
            <v>JILANI</v>
          </cell>
          <cell r="E7910" t="str">
            <v>Sadique Sweets and Bakers Noshehra Virka</v>
          </cell>
        </row>
        <row r="7911">
          <cell r="A7911" t="str">
            <v>3384 J</v>
          </cell>
          <cell r="B7911">
            <v>12684</v>
          </cell>
          <cell r="C7911">
            <v>45862</v>
          </cell>
          <cell r="D7911" t="str">
            <v>JILANI</v>
          </cell>
          <cell r="E7911" t="str">
            <v>Al Baber Garments Lahore</v>
          </cell>
        </row>
        <row r="7912">
          <cell r="A7912" t="str">
            <v>3385 J</v>
          </cell>
          <cell r="B7912">
            <v>12685</v>
          </cell>
          <cell r="C7912">
            <v>45862</v>
          </cell>
          <cell r="D7912" t="str">
            <v>JILANI</v>
          </cell>
          <cell r="E7912" t="str">
            <v>Ajwa Fabrics Vehari</v>
          </cell>
        </row>
        <row r="7913">
          <cell r="A7913" t="str">
            <v>3386 J</v>
          </cell>
          <cell r="B7913">
            <v>12686</v>
          </cell>
          <cell r="C7913">
            <v>45862</v>
          </cell>
          <cell r="D7913" t="str">
            <v>JILANI</v>
          </cell>
          <cell r="E7913" t="str">
            <v>Usman Arif Butt Gujranwala</v>
          </cell>
        </row>
        <row r="7914">
          <cell r="A7914" t="str">
            <v>3387 J</v>
          </cell>
          <cell r="B7914">
            <v>12687</v>
          </cell>
          <cell r="C7914">
            <v>45862</v>
          </cell>
          <cell r="D7914" t="str">
            <v>JILANI</v>
          </cell>
          <cell r="E7914" t="str">
            <v>Waqas Wollan Mills Gujranwala</v>
          </cell>
        </row>
        <row r="7915">
          <cell r="A7915" t="str">
            <v>3388 J</v>
          </cell>
          <cell r="B7915"/>
          <cell r="C7915">
            <v>45861</v>
          </cell>
          <cell r="D7915" t="str">
            <v>OTHER</v>
          </cell>
          <cell r="E7915" t="str">
            <v>Jilani plastic</v>
          </cell>
        </row>
        <row r="7916">
          <cell r="A7916" t="str">
            <v>3389 J</v>
          </cell>
          <cell r="B7916"/>
          <cell r="C7916">
            <v>45861</v>
          </cell>
          <cell r="D7916" t="str">
            <v>OTHER</v>
          </cell>
          <cell r="E7916" t="str">
            <v>Jilani plastic</v>
          </cell>
        </row>
        <row r="7917">
          <cell r="A7917" t="str">
            <v>3390 J</v>
          </cell>
          <cell r="B7917"/>
          <cell r="C7917">
            <v>45861</v>
          </cell>
          <cell r="D7917" t="str">
            <v>OTHER</v>
          </cell>
          <cell r="E7917" t="str">
            <v>Jilani plastic</v>
          </cell>
        </row>
        <row r="7918">
          <cell r="A7918" t="str">
            <v>3391 J</v>
          </cell>
          <cell r="B7918">
            <v>12688</v>
          </cell>
          <cell r="C7918">
            <v>45863</v>
          </cell>
          <cell r="D7918" t="str">
            <v>JILANI</v>
          </cell>
          <cell r="E7918" t="str">
            <v>Ramada Multan</v>
          </cell>
        </row>
        <row r="7919">
          <cell r="A7919" t="str">
            <v>3392 J</v>
          </cell>
          <cell r="B7919">
            <v>12689</v>
          </cell>
          <cell r="C7919">
            <v>45863</v>
          </cell>
          <cell r="D7919" t="str">
            <v>JILANI</v>
          </cell>
          <cell r="E7919" t="str">
            <v>Ramada Multan</v>
          </cell>
        </row>
        <row r="7920">
          <cell r="A7920" t="str">
            <v>3393 J</v>
          </cell>
          <cell r="B7920">
            <v>12690</v>
          </cell>
          <cell r="C7920">
            <v>45863</v>
          </cell>
          <cell r="D7920" t="str">
            <v>JILANI</v>
          </cell>
          <cell r="E7920" t="str">
            <v>Zahid Manzoor Lahore</v>
          </cell>
        </row>
        <row r="7921">
          <cell r="A7921" t="str">
            <v>3394 J</v>
          </cell>
          <cell r="B7921">
            <v>12690</v>
          </cell>
          <cell r="C7921">
            <v>45863</v>
          </cell>
          <cell r="D7921" t="str">
            <v>JILANI</v>
          </cell>
          <cell r="E7921" t="str">
            <v>Zahid Manzoor Lahore</v>
          </cell>
        </row>
        <row r="7922">
          <cell r="A7922" t="str">
            <v>3395 J</v>
          </cell>
          <cell r="B7922">
            <v>12690</v>
          </cell>
          <cell r="C7922">
            <v>45863</v>
          </cell>
          <cell r="D7922" t="str">
            <v>JILANI</v>
          </cell>
          <cell r="E7922" t="str">
            <v>Zahid Manzoor Lahore</v>
          </cell>
        </row>
        <row r="7923">
          <cell r="A7923" t="str">
            <v>3396 J</v>
          </cell>
          <cell r="B7923">
            <v>12691</v>
          </cell>
          <cell r="C7923">
            <v>45864</v>
          </cell>
          <cell r="D7923" t="str">
            <v>JILANI</v>
          </cell>
          <cell r="E7923" t="str">
            <v>Super Shop Lahore</v>
          </cell>
        </row>
        <row r="7924">
          <cell r="A7924" t="str">
            <v>3397 J</v>
          </cell>
          <cell r="B7924">
            <v>12692</v>
          </cell>
          <cell r="C7924">
            <v>45864</v>
          </cell>
          <cell r="D7924" t="str">
            <v>JILANI</v>
          </cell>
          <cell r="E7924" t="str">
            <v>Hammad Plastic Gujranwala</v>
          </cell>
        </row>
        <row r="7925">
          <cell r="A7925" t="str">
            <v>3398 J</v>
          </cell>
          <cell r="B7925">
            <v>12693</v>
          </cell>
          <cell r="C7925">
            <v>45864</v>
          </cell>
          <cell r="D7925" t="str">
            <v>JILANI</v>
          </cell>
          <cell r="E7925" t="str">
            <v>Imran Jranwala</v>
          </cell>
        </row>
        <row r="7926">
          <cell r="A7926" t="str">
            <v>3399 J</v>
          </cell>
          <cell r="B7926">
            <v>12694</v>
          </cell>
          <cell r="C7926">
            <v>45864</v>
          </cell>
          <cell r="D7926" t="str">
            <v>JILANI</v>
          </cell>
          <cell r="E7926" t="str">
            <v>Sohaib Nazir Pattoki</v>
          </cell>
        </row>
        <row r="7927">
          <cell r="A7927" t="str">
            <v>3400 J</v>
          </cell>
          <cell r="B7927">
            <v>12695</v>
          </cell>
          <cell r="C7927">
            <v>45864</v>
          </cell>
          <cell r="D7927" t="str">
            <v>JILANI</v>
          </cell>
          <cell r="E7927" t="str">
            <v>Sohaib Nazir Pattoki</v>
          </cell>
        </row>
        <row r="7928">
          <cell r="A7928" t="str">
            <v>3401 J</v>
          </cell>
          <cell r="B7928">
            <v>12696</v>
          </cell>
          <cell r="C7928">
            <v>45864</v>
          </cell>
          <cell r="D7928" t="str">
            <v>JILANI</v>
          </cell>
          <cell r="E7928" t="str">
            <v>Sohaib Nazir Pattoki</v>
          </cell>
        </row>
        <row r="7929">
          <cell r="A7929" t="str">
            <v>3402 J</v>
          </cell>
          <cell r="B7929">
            <v>12697</v>
          </cell>
          <cell r="C7929">
            <v>45864</v>
          </cell>
          <cell r="D7929" t="str">
            <v>JILANI</v>
          </cell>
          <cell r="E7929" t="str">
            <v>Sohaib Nazir Pattoki</v>
          </cell>
        </row>
        <row r="7930">
          <cell r="A7930" t="str">
            <v>3403 J</v>
          </cell>
          <cell r="B7930">
            <v>12698</v>
          </cell>
          <cell r="C7930">
            <v>45864</v>
          </cell>
          <cell r="D7930" t="str">
            <v>JILANI</v>
          </cell>
          <cell r="E7930" t="str">
            <v>Sheer-e-Khas Lahore</v>
          </cell>
        </row>
        <row r="7931">
          <cell r="A7931" t="str">
            <v>3404 J</v>
          </cell>
          <cell r="B7931">
            <v>12699</v>
          </cell>
          <cell r="C7931">
            <v>45864</v>
          </cell>
          <cell r="D7931" t="str">
            <v>JILANI</v>
          </cell>
          <cell r="E7931" t="str">
            <v>Dress and Desgine Shahdra Lahore</v>
          </cell>
        </row>
        <row r="7932">
          <cell r="A7932" t="str">
            <v>3405 J</v>
          </cell>
          <cell r="B7932">
            <v>12700</v>
          </cell>
          <cell r="C7932">
            <v>45864</v>
          </cell>
          <cell r="D7932" t="str">
            <v>JILANI</v>
          </cell>
          <cell r="E7932" t="str">
            <v xml:space="preserve">Allied Impex Sialkot </v>
          </cell>
        </row>
        <row r="7933">
          <cell r="A7933" t="str">
            <v>3406 J</v>
          </cell>
          <cell r="B7933"/>
          <cell r="C7933">
            <v>45866</v>
          </cell>
          <cell r="D7933" t="str">
            <v>OTHER</v>
          </cell>
          <cell r="E7933" t="str">
            <v>Jilani Poly Stock</v>
          </cell>
        </row>
        <row r="7934">
          <cell r="A7934" t="str">
            <v>3407 J</v>
          </cell>
          <cell r="B7934"/>
          <cell r="C7934">
            <v>45866</v>
          </cell>
          <cell r="D7934" t="str">
            <v>OTHER</v>
          </cell>
          <cell r="E7934" t="str">
            <v>جیلانی پلاسٹک</v>
          </cell>
        </row>
        <row r="7935">
          <cell r="A7935" t="str">
            <v>3408 J</v>
          </cell>
          <cell r="B7935"/>
          <cell r="C7935">
            <v>45866</v>
          </cell>
          <cell r="D7935" t="str">
            <v>OTHER</v>
          </cell>
          <cell r="E7935" t="str">
            <v>جیلانی پولی 2PEP</v>
          </cell>
        </row>
        <row r="7936">
          <cell r="A7936" t="str">
            <v>3409 J</v>
          </cell>
          <cell r="B7936"/>
          <cell r="C7936">
            <v>45866</v>
          </cell>
          <cell r="D7936" t="str">
            <v>OTHER</v>
          </cell>
          <cell r="E7936" t="str">
            <v>جیلانی پولی 2PEP</v>
          </cell>
        </row>
        <row r="7937">
          <cell r="A7937" t="str">
            <v>3410 J</v>
          </cell>
          <cell r="B7937"/>
          <cell r="C7937">
            <v>45866</v>
          </cell>
          <cell r="D7937" t="str">
            <v>OTHER</v>
          </cell>
          <cell r="E7937" t="str">
            <v>Jilani plastic</v>
          </cell>
        </row>
        <row r="7938">
          <cell r="A7938" t="str">
            <v>3411 J</v>
          </cell>
          <cell r="B7938"/>
          <cell r="C7938">
            <v>45866</v>
          </cell>
          <cell r="D7938" t="str">
            <v>OTHER</v>
          </cell>
          <cell r="E7938" t="str">
            <v>Jilani plastic</v>
          </cell>
        </row>
        <row r="7939">
          <cell r="A7939" t="str">
            <v>3412 J</v>
          </cell>
          <cell r="B7939">
            <v>12701</v>
          </cell>
          <cell r="C7939">
            <v>45866</v>
          </cell>
          <cell r="D7939" t="str">
            <v>JILANI</v>
          </cell>
          <cell r="E7939" t="str">
            <v>Caker and Baker Lahore</v>
          </cell>
        </row>
        <row r="7940">
          <cell r="A7940" t="str">
            <v>3413 J</v>
          </cell>
          <cell r="B7940">
            <v>12702</v>
          </cell>
          <cell r="C7940">
            <v>45866</v>
          </cell>
          <cell r="D7940" t="str">
            <v>JILANI</v>
          </cell>
          <cell r="E7940" t="str">
            <v>Caker and Baker Lahore</v>
          </cell>
        </row>
        <row r="7941">
          <cell r="A7941" t="str">
            <v>3414 J</v>
          </cell>
          <cell r="B7941">
            <v>12703</v>
          </cell>
          <cell r="C7941">
            <v>45866</v>
          </cell>
          <cell r="D7941" t="str">
            <v>JILANI</v>
          </cell>
          <cell r="E7941" t="str">
            <v>Alam Baker Shahdrah</v>
          </cell>
        </row>
        <row r="7942">
          <cell r="A7942" t="str">
            <v>3415 J</v>
          </cell>
          <cell r="B7942">
            <v>12703</v>
          </cell>
          <cell r="C7942">
            <v>45866</v>
          </cell>
          <cell r="D7942" t="str">
            <v>JILANI</v>
          </cell>
          <cell r="E7942" t="str">
            <v>Alam Baker Shahdrah</v>
          </cell>
        </row>
        <row r="7943">
          <cell r="A7943" t="str">
            <v>3416 J</v>
          </cell>
          <cell r="B7943">
            <v>12704</v>
          </cell>
          <cell r="C7943">
            <v>45866</v>
          </cell>
          <cell r="D7943" t="str">
            <v>JILANI</v>
          </cell>
          <cell r="E7943" t="str">
            <v>Super Diamond Food Kamoki</v>
          </cell>
        </row>
        <row r="7944">
          <cell r="A7944" t="str">
            <v>3417 J</v>
          </cell>
          <cell r="B7944">
            <v>12705</v>
          </cell>
          <cell r="C7944">
            <v>45866</v>
          </cell>
          <cell r="D7944" t="str">
            <v>JILANI</v>
          </cell>
          <cell r="E7944" t="str">
            <v>Arshad Lafafa Muchant Gujar Khan</v>
          </cell>
        </row>
        <row r="7945">
          <cell r="A7945" t="str">
            <v>3418 J</v>
          </cell>
          <cell r="B7945">
            <v>12705</v>
          </cell>
          <cell r="C7945">
            <v>45866</v>
          </cell>
          <cell r="D7945" t="str">
            <v>JILANI</v>
          </cell>
          <cell r="E7945" t="str">
            <v>Arshad Lafafa Muchant Gujar Khan</v>
          </cell>
        </row>
        <row r="7946">
          <cell r="A7946" t="str">
            <v>3419 J</v>
          </cell>
          <cell r="B7946">
            <v>12706</v>
          </cell>
          <cell r="C7946">
            <v>45866</v>
          </cell>
          <cell r="D7946" t="str">
            <v>JILANI</v>
          </cell>
          <cell r="E7946" t="str">
            <v>Chezo Cheez Lahore</v>
          </cell>
        </row>
        <row r="7947">
          <cell r="A7947" t="str">
            <v>3420 J</v>
          </cell>
          <cell r="B7947">
            <v>12707</v>
          </cell>
          <cell r="C7947">
            <v>45866</v>
          </cell>
          <cell r="D7947" t="str">
            <v>JILANI</v>
          </cell>
          <cell r="E7947" t="str">
            <v>Nadeem Bed Sheet Okara</v>
          </cell>
        </row>
        <row r="7948">
          <cell r="A7948" t="str">
            <v>3421 J</v>
          </cell>
          <cell r="B7948">
            <v>12708</v>
          </cell>
          <cell r="C7948">
            <v>45866</v>
          </cell>
          <cell r="D7948" t="str">
            <v>JILANI</v>
          </cell>
          <cell r="E7948" t="str">
            <v>Usman Arif Butt Gujranwala</v>
          </cell>
        </row>
        <row r="7949">
          <cell r="A7949" t="str">
            <v>3422 J</v>
          </cell>
          <cell r="B7949">
            <v>12709</v>
          </cell>
          <cell r="C7949">
            <v>45866</v>
          </cell>
          <cell r="D7949" t="str">
            <v>JILANI</v>
          </cell>
          <cell r="E7949" t="str">
            <v>Pizza Bank And Fast Food Kamoki</v>
          </cell>
        </row>
        <row r="7950">
          <cell r="A7950" t="str">
            <v>3423 J</v>
          </cell>
          <cell r="B7950">
            <v>12709</v>
          </cell>
          <cell r="C7950">
            <v>45866</v>
          </cell>
          <cell r="D7950" t="str">
            <v>JILANI</v>
          </cell>
          <cell r="E7950" t="str">
            <v>Pizza Bank And Fast Food Kamoki</v>
          </cell>
        </row>
        <row r="7951">
          <cell r="A7951" t="str">
            <v>3424 J</v>
          </cell>
          <cell r="B7951">
            <v>12709</v>
          </cell>
          <cell r="C7951">
            <v>45866</v>
          </cell>
          <cell r="D7951" t="str">
            <v>JILANI</v>
          </cell>
          <cell r="E7951" t="str">
            <v>Pizza Bank And Fast Food Kamoki</v>
          </cell>
        </row>
        <row r="7952">
          <cell r="A7952" t="str">
            <v>3425 J</v>
          </cell>
          <cell r="B7952">
            <v>12710</v>
          </cell>
          <cell r="C7952">
            <v>45866</v>
          </cell>
          <cell r="D7952" t="str">
            <v>JILANI</v>
          </cell>
          <cell r="E7952" t="str">
            <v>Pizza Bank And Fast Food Kamoki</v>
          </cell>
        </row>
        <row r="7953">
          <cell r="A7953" t="str">
            <v>3426 J</v>
          </cell>
          <cell r="B7953">
            <v>12710</v>
          </cell>
          <cell r="C7953">
            <v>45866</v>
          </cell>
          <cell r="D7953" t="str">
            <v>JILANI</v>
          </cell>
          <cell r="E7953" t="str">
            <v>Pizza Bank And Fast Food Kamoki</v>
          </cell>
        </row>
        <row r="7954">
          <cell r="A7954" t="str">
            <v>3427 J</v>
          </cell>
          <cell r="B7954">
            <v>12711</v>
          </cell>
          <cell r="C7954">
            <v>45866</v>
          </cell>
          <cell r="D7954" t="str">
            <v>JILANI</v>
          </cell>
          <cell r="E7954" t="str">
            <v>Malik Asif Haripur</v>
          </cell>
        </row>
        <row r="7955">
          <cell r="A7955" t="str">
            <v>3428 J</v>
          </cell>
          <cell r="B7955">
            <v>12711</v>
          </cell>
          <cell r="C7955">
            <v>45866</v>
          </cell>
          <cell r="D7955" t="str">
            <v>JILANI</v>
          </cell>
          <cell r="E7955" t="str">
            <v>Malik Asif Haripur</v>
          </cell>
        </row>
        <row r="7956">
          <cell r="A7956" t="str">
            <v>3429 J</v>
          </cell>
          <cell r="B7956">
            <v>12711</v>
          </cell>
          <cell r="C7956">
            <v>45866</v>
          </cell>
          <cell r="D7956" t="str">
            <v>JILANI</v>
          </cell>
          <cell r="E7956" t="str">
            <v>Malik Asif Haripur</v>
          </cell>
        </row>
        <row r="7957">
          <cell r="A7957" t="str">
            <v>3430 J</v>
          </cell>
          <cell r="B7957">
            <v>12712</v>
          </cell>
          <cell r="C7957">
            <v>45866</v>
          </cell>
          <cell r="D7957" t="str">
            <v>JILANI</v>
          </cell>
          <cell r="E7957" t="str">
            <v>Alkaram Pharmacy Dinga</v>
          </cell>
        </row>
        <row r="7958">
          <cell r="A7958" t="str">
            <v>3431 J</v>
          </cell>
          <cell r="B7958">
            <v>12712</v>
          </cell>
          <cell r="C7958">
            <v>45866</v>
          </cell>
          <cell r="D7958" t="str">
            <v>JILANI</v>
          </cell>
          <cell r="E7958" t="str">
            <v>Alkaram Pharmacy Dinga</v>
          </cell>
        </row>
        <row r="7959">
          <cell r="A7959" t="str">
            <v>3432 J</v>
          </cell>
          <cell r="B7959">
            <v>12713</v>
          </cell>
          <cell r="C7959">
            <v>45866</v>
          </cell>
          <cell r="D7959" t="str">
            <v>JILANI</v>
          </cell>
          <cell r="E7959" t="str">
            <v>Alam Printers Butkhela</v>
          </cell>
        </row>
        <row r="7960">
          <cell r="A7960" t="str">
            <v>3433 J</v>
          </cell>
          <cell r="B7960">
            <v>12714</v>
          </cell>
          <cell r="C7960">
            <v>45866</v>
          </cell>
          <cell r="D7960" t="str">
            <v>JILANI</v>
          </cell>
          <cell r="E7960" t="str">
            <v>Sahibzada Printers Saray Norang</v>
          </cell>
        </row>
        <row r="7961">
          <cell r="A7961" t="str">
            <v>3434 J</v>
          </cell>
          <cell r="B7961">
            <v>12715</v>
          </cell>
          <cell r="C7961">
            <v>45866</v>
          </cell>
          <cell r="D7961" t="str">
            <v>JILANI</v>
          </cell>
          <cell r="E7961" t="str">
            <v>Iqbal Dry Fruit Timbergra</v>
          </cell>
        </row>
        <row r="7962">
          <cell r="A7962" t="str">
            <v>3435 J</v>
          </cell>
          <cell r="B7962">
            <v>12715</v>
          </cell>
          <cell r="C7962">
            <v>45866</v>
          </cell>
          <cell r="D7962" t="str">
            <v>JILANI</v>
          </cell>
          <cell r="E7962" t="str">
            <v>Iqbal Dry Fruit Timbergra</v>
          </cell>
        </row>
        <row r="7963">
          <cell r="A7963" t="str">
            <v>3436 J</v>
          </cell>
          <cell r="B7963">
            <v>12715</v>
          </cell>
          <cell r="C7963">
            <v>45866</v>
          </cell>
          <cell r="D7963" t="str">
            <v>JILANI</v>
          </cell>
          <cell r="E7963" t="str">
            <v>Iqbal Dry Fruit Timbergra</v>
          </cell>
        </row>
        <row r="7964">
          <cell r="A7964" t="str">
            <v>3437 J</v>
          </cell>
          <cell r="B7964">
            <v>12716</v>
          </cell>
          <cell r="C7964">
            <v>45866</v>
          </cell>
          <cell r="D7964" t="str">
            <v>JILANI</v>
          </cell>
          <cell r="E7964" t="str">
            <v>Anayat Khan Dry Fruits Karishan Nagar Lahore</v>
          </cell>
        </row>
        <row r="7965">
          <cell r="A7965" t="str">
            <v>3438 J</v>
          </cell>
          <cell r="B7965"/>
          <cell r="C7965">
            <v>45867</v>
          </cell>
          <cell r="D7965" t="str">
            <v>OTHER</v>
          </cell>
          <cell r="E7965" t="str">
            <v>Jilani Poly Stock</v>
          </cell>
        </row>
        <row r="7966">
          <cell r="A7966" t="str">
            <v>3439 J</v>
          </cell>
          <cell r="B7966"/>
          <cell r="C7966">
            <v>45867</v>
          </cell>
          <cell r="D7966" t="str">
            <v>OTHER</v>
          </cell>
          <cell r="E7966" t="str">
            <v>Jilani Poly Stock</v>
          </cell>
        </row>
        <row r="7967">
          <cell r="A7967" t="str">
            <v>3440 J</v>
          </cell>
          <cell r="B7967"/>
          <cell r="C7967">
            <v>45867</v>
          </cell>
          <cell r="D7967" t="str">
            <v>OTHER</v>
          </cell>
          <cell r="E7967" t="str">
            <v>Jilani Poly Stock</v>
          </cell>
        </row>
        <row r="7968">
          <cell r="A7968" t="str">
            <v>3441 J</v>
          </cell>
          <cell r="B7968"/>
          <cell r="C7968">
            <v>45867</v>
          </cell>
          <cell r="D7968" t="str">
            <v>OTHER</v>
          </cell>
          <cell r="E7968" t="str">
            <v>Jilani Poly Stock</v>
          </cell>
        </row>
        <row r="7969">
          <cell r="A7969" t="str">
            <v>3442 J</v>
          </cell>
          <cell r="B7969"/>
          <cell r="C7969">
            <v>45867</v>
          </cell>
          <cell r="D7969" t="str">
            <v>OTHER</v>
          </cell>
          <cell r="E7969" t="str">
            <v>Jilani Poly Stock</v>
          </cell>
        </row>
        <row r="7970">
          <cell r="A7970" t="str">
            <v>3442 J</v>
          </cell>
          <cell r="B7970"/>
          <cell r="C7970">
            <v>45867</v>
          </cell>
          <cell r="D7970" t="str">
            <v>OTHER</v>
          </cell>
          <cell r="E7970" t="str">
            <v>Jilani Poly Stock</v>
          </cell>
        </row>
        <row r="7971">
          <cell r="A7971" t="str">
            <v>3443 J</v>
          </cell>
          <cell r="B7971"/>
          <cell r="C7971">
            <v>45867</v>
          </cell>
          <cell r="D7971" t="str">
            <v>OTHER</v>
          </cell>
          <cell r="E7971" t="str">
            <v>جیلانی ہیڈ آفس</v>
          </cell>
        </row>
        <row r="7972">
          <cell r="A7972" t="str">
            <v>3444 J</v>
          </cell>
          <cell r="B7972">
            <v>12717</v>
          </cell>
          <cell r="C7972">
            <v>45867</v>
          </cell>
          <cell r="D7972" t="str">
            <v>JILANI</v>
          </cell>
          <cell r="E7972" t="str">
            <v>Cake and Baker Lahore</v>
          </cell>
        </row>
        <row r="7973">
          <cell r="A7973" t="str">
            <v>3445 J</v>
          </cell>
          <cell r="B7973">
            <v>12717</v>
          </cell>
          <cell r="C7973">
            <v>45867</v>
          </cell>
          <cell r="D7973" t="str">
            <v>JILANI</v>
          </cell>
          <cell r="E7973" t="str">
            <v>Cake and Baker Lahore</v>
          </cell>
        </row>
        <row r="7974">
          <cell r="A7974" t="str">
            <v>3446 J</v>
          </cell>
          <cell r="B7974">
            <v>12718</v>
          </cell>
          <cell r="C7974">
            <v>45867</v>
          </cell>
          <cell r="D7974" t="str">
            <v>JILANI</v>
          </cell>
          <cell r="E7974" t="str">
            <v>Cake and Baker Lahore</v>
          </cell>
        </row>
        <row r="7975">
          <cell r="A7975" t="str">
            <v>3447 J</v>
          </cell>
          <cell r="B7975">
            <v>12718</v>
          </cell>
          <cell r="C7975">
            <v>45867</v>
          </cell>
          <cell r="D7975" t="str">
            <v>JILANI</v>
          </cell>
          <cell r="E7975" t="str">
            <v>Cake and Baker Lahore</v>
          </cell>
        </row>
        <row r="7976">
          <cell r="A7976" t="str">
            <v>3448 J</v>
          </cell>
          <cell r="B7976">
            <v>12719</v>
          </cell>
          <cell r="C7976">
            <v>45867</v>
          </cell>
          <cell r="D7976" t="str">
            <v>JILANI</v>
          </cell>
          <cell r="E7976" t="str">
            <v>Cake and Baker Lahore</v>
          </cell>
        </row>
        <row r="7977">
          <cell r="A7977" t="str">
            <v>3449 J</v>
          </cell>
          <cell r="B7977">
            <v>12719</v>
          </cell>
          <cell r="C7977">
            <v>45867</v>
          </cell>
          <cell r="D7977" t="str">
            <v>JILANI</v>
          </cell>
          <cell r="E7977" t="str">
            <v>Cake and Baker Lahore</v>
          </cell>
        </row>
        <row r="7978">
          <cell r="A7978" t="str">
            <v>3450 J</v>
          </cell>
          <cell r="B7978">
            <v>12719</v>
          </cell>
          <cell r="C7978">
            <v>45867</v>
          </cell>
          <cell r="D7978" t="str">
            <v>JILANI</v>
          </cell>
          <cell r="E7978" t="str">
            <v>Cake and Baker Lahore</v>
          </cell>
        </row>
        <row r="7979">
          <cell r="A7979" t="str">
            <v>3451 J</v>
          </cell>
          <cell r="B7979">
            <v>12720</v>
          </cell>
          <cell r="C7979">
            <v>45867</v>
          </cell>
          <cell r="D7979" t="str">
            <v>JILANI</v>
          </cell>
          <cell r="E7979" t="str">
            <v>Cake and Baker Lahore</v>
          </cell>
        </row>
        <row r="7980">
          <cell r="A7980" t="str">
            <v>3452 J</v>
          </cell>
          <cell r="B7980">
            <v>12720</v>
          </cell>
          <cell r="C7980">
            <v>45867</v>
          </cell>
          <cell r="D7980" t="str">
            <v>JILANI</v>
          </cell>
          <cell r="E7980" t="str">
            <v>Cake and Baker Lahore</v>
          </cell>
        </row>
        <row r="7981">
          <cell r="A7981" t="str">
            <v>3453 J</v>
          </cell>
          <cell r="B7981">
            <v>12721</v>
          </cell>
          <cell r="C7981">
            <v>45867</v>
          </cell>
          <cell r="D7981" t="str">
            <v>JILANI</v>
          </cell>
          <cell r="E7981" t="str">
            <v>Hammad Plastic Gujranwala</v>
          </cell>
        </row>
        <row r="7982">
          <cell r="A7982" t="str">
            <v>3454 J</v>
          </cell>
          <cell r="B7982">
            <v>12722</v>
          </cell>
          <cell r="C7982">
            <v>45867</v>
          </cell>
          <cell r="D7982" t="str">
            <v>JILANI</v>
          </cell>
          <cell r="E7982" t="str">
            <v>Alam Printers Butkhela</v>
          </cell>
        </row>
        <row r="7983">
          <cell r="A7983" t="str">
            <v>7100/1</v>
          </cell>
          <cell r="B7983">
            <v>7100</v>
          </cell>
          <cell r="C7983">
            <v>45861</v>
          </cell>
          <cell r="D7983" t="str">
            <v>یونس صاحب</v>
          </cell>
          <cell r="E7983" t="str">
            <v>عبد الباری وہاڑی</v>
          </cell>
        </row>
        <row r="7984">
          <cell r="A7984" t="str">
            <v>7101/1</v>
          </cell>
          <cell r="B7984">
            <v>7101</v>
          </cell>
          <cell r="C7984">
            <v>45861</v>
          </cell>
          <cell r="D7984" t="str">
            <v>یونس صاحب</v>
          </cell>
          <cell r="E7984" t="str">
            <v>محبوب مقبول گوجرانوالہ</v>
          </cell>
        </row>
        <row r="7985">
          <cell r="A7985" t="str">
            <v>7101/2</v>
          </cell>
          <cell r="B7985">
            <v>7101</v>
          </cell>
          <cell r="C7985">
            <v>45861</v>
          </cell>
          <cell r="D7985" t="str">
            <v>یونس صاحب</v>
          </cell>
          <cell r="E7985" t="str">
            <v>محبوب مقبول گوجرانوالہ</v>
          </cell>
        </row>
        <row r="7986">
          <cell r="A7986" t="str">
            <v>7101/3</v>
          </cell>
          <cell r="B7986">
            <v>7101</v>
          </cell>
          <cell r="C7986">
            <v>45861</v>
          </cell>
          <cell r="D7986" t="str">
            <v>یونس صاحب</v>
          </cell>
          <cell r="E7986" t="str">
            <v>محبوب مقبول گوجرانوالہ</v>
          </cell>
        </row>
        <row r="7987">
          <cell r="A7987" t="str">
            <v>7101/4</v>
          </cell>
          <cell r="B7987">
            <v>7101</v>
          </cell>
          <cell r="C7987">
            <v>45861</v>
          </cell>
          <cell r="D7987" t="str">
            <v>یونس صاحب</v>
          </cell>
          <cell r="E7987" t="str">
            <v>محبوب مقبول گوجرانوالہ</v>
          </cell>
        </row>
        <row r="7988">
          <cell r="A7988" t="str">
            <v>7101/5</v>
          </cell>
          <cell r="B7988">
            <v>7101</v>
          </cell>
          <cell r="C7988">
            <v>45861</v>
          </cell>
          <cell r="D7988" t="str">
            <v>یونس صاحب</v>
          </cell>
          <cell r="E7988" t="str">
            <v>محبوب مقبول گوجرانوالہ</v>
          </cell>
        </row>
        <row r="7989">
          <cell r="A7989" t="str">
            <v>7101/6</v>
          </cell>
          <cell r="B7989">
            <v>7101</v>
          </cell>
          <cell r="C7989">
            <v>45861</v>
          </cell>
          <cell r="D7989" t="str">
            <v>یونس صاحب</v>
          </cell>
          <cell r="E7989" t="str">
            <v>محبوب مقبول گوجرانوالہ</v>
          </cell>
        </row>
        <row r="7990">
          <cell r="A7990" t="str">
            <v>7101/7</v>
          </cell>
          <cell r="B7990">
            <v>7101</v>
          </cell>
          <cell r="C7990">
            <v>45861</v>
          </cell>
          <cell r="D7990" t="str">
            <v>یونس صاحب</v>
          </cell>
          <cell r="E7990" t="str">
            <v>محبوب مقبول گوجرانوالہ</v>
          </cell>
        </row>
        <row r="7991">
          <cell r="A7991" t="str">
            <v>7101/8</v>
          </cell>
          <cell r="B7991">
            <v>7101</v>
          </cell>
          <cell r="C7991">
            <v>45861</v>
          </cell>
          <cell r="D7991" t="str">
            <v>یونس صاحب</v>
          </cell>
          <cell r="E7991" t="str">
            <v>محبوب مقبول گوجرانوالہ</v>
          </cell>
        </row>
        <row r="7992">
          <cell r="A7992" t="str">
            <v>7101/9</v>
          </cell>
          <cell r="B7992">
            <v>7101</v>
          </cell>
          <cell r="C7992">
            <v>45861</v>
          </cell>
          <cell r="D7992" t="str">
            <v>یونس صاحب</v>
          </cell>
          <cell r="E7992" t="str">
            <v>محبوب مقبول گوجرانوالہ</v>
          </cell>
        </row>
        <row r="7993">
          <cell r="A7993" t="str">
            <v>7101/10</v>
          </cell>
          <cell r="B7993">
            <v>7101</v>
          </cell>
          <cell r="C7993">
            <v>45861</v>
          </cell>
          <cell r="D7993" t="str">
            <v>یونس صاحب</v>
          </cell>
          <cell r="E7993" t="str">
            <v>محبوب مقبول گوجرانوالہ</v>
          </cell>
        </row>
        <row r="7994">
          <cell r="A7994" t="str">
            <v>7101/11</v>
          </cell>
          <cell r="B7994">
            <v>7101</v>
          </cell>
          <cell r="C7994">
            <v>45861</v>
          </cell>
          <cell r="D7994" t="str">
            <v>یونس صاحب</v>
          </cell>
          <cell r="E7994" t="str">
            <v>محبوب مقبول گوجرانوالہ</v>
          </cell>
        </row>
        <row r="7995">
          <cell r="A7995" t="str">
            <v>7101/12</v>
          </cell>
          <cell r="B7995">
            <v>7101</v>
          </cell>
          <cell r="C7995">
            <v>45861</v>
          </cell>
          <cell r="D7995" t="str">
            <v>یونس صاحب</v>
          </cell>
          <cell r="E7995" t="str">
            <v>محبوب مقبول گوجرانوالہ</v>
          </cell>
        </row>
        <row r="7996">
          <cell r="A7996" t="str">
            <v>7101/13</v>
          </cell>
          <cell r="B7996">
            <v>7101</v>
          </cell>
          <cell r="C7996">
            <v>45861</v>
          </cell>
          <cell r="D7996" t="str">
            <v>یونس صاحب</v>
          </cell>
          <cell r="E7996" t="str">
            <v>محبوب مقبول گوجرانوالہ</v>
          </cell>
        </row>
        <row r="7997">
          <cell r="A7997" t="str">
            <v>7101/14</v>
          </cell>
          <cell r="B7997">
            <v>7101</v>
          </cell>
          <cell r="C7997">
            <v>45861</v>
          </cell>
          <cell r="D7997" t="str">
            <v>یونس صاحب</v>
          </cell>
          <cell r="E7997" t="str">
            <v>محبوب مقبول گوجرانوالہ</v>
          </cell>
        </row>
        <row r="7998">
          <cell r="A7998" t="str">
            <v>7101/15</v>
          </cell>
          <cell r="B7998">
            <v>7101</v>
          </cell>
          <cell r="C7998">
            <v>45861</v>
          </cell>
          <cell r="D7998" t="str">
            <v>یونس صاحب</v>
          </cell>
          <cell r="E7998" t="str">
            <v>محبوب مقبول گوجرانوالہ</v>
          </cell>
        </row>
        <row r="7999">
          <cell r="A7999" t="str">
            <v>7102/1</v>
          </cell>
          <cell r="B7999">
            <v>7102</v>
          </cell>
          <cell r="C7999">
            <v>45861</v>
          </cell>
          <cell r="D7999" t="str">
            <v>یونس صاحب</v>
          </cell>
          <cell r="E7999" t="str">
            <v>محبوب مقبول گوجرانوالہ</v>
          </cell>
        </row>
        <row r="8000">
          <cell r="A8000" t="str">
            <v>7103/1</v>
          </cell>
          <cell r="B8000">
            <v>7103</v>
          </cell>
          <cell r="C8000">
            <v>45862</v>
          </cell>
          <cell r="D8000" t="str">
            <v>یونس صاحب</v>
          </cell>
          <cell r="E8000" t="str">
            <v>اسد پلاسٹک صادق ٓاباد</v>
          </cell>
        </row>
        <row r="8001">
          <cell r="A8001" t="str">
            <v>7103/2</v>
          </cell>
          <cell r="B8001">
            <v>7103</v>
          </cell>
          <cell r="C8001">
            <v>45862</v>
          </cell>
          <cell r="D8001" t="str">
            <v>یونس صاحب</v>
          </cell>
          <cell r="E8001" t="str">
            <v>اسد پلاسٹک صادق ٓاباد</v>
          </cell>
        </row>
        <row r="8002">
          <cell r="A8002" t="str">
            <v>7103/3</v>
          </cell>
          <cell r="B8002">
            <v>7103</v>
          </cell>
          <cell r="C8002">
            <v>45862</v>
          </cell>
          <cell r="D8002" t="str">
            <v>یونس صاحب</v>
          </cell>
          <cell r="E8002" t="str">
            <v>اسد پلاسٹک صادق ٓاباد</v>
          </cell>
        </row>
        <row r="8003">
          <cell r="A8003" t="str">
            <v>7103/4</v>
          </cell>
          <cell r="B8003">
            <v>7103</v>
          </cell>
          <cell r="C8003">
            <v>45862</v>
          </cell>
          <cell r="D8003" t="str">
            <v>یونس صاحب</v>
          </cell>
          <cell r="E8003" t="str">
            <v>اسد پلاسٹک صادق ٓاباد</v>
          </cell>
        </row>
        <row r="8004">
          <cell r="A8004" t="str">
            <v>7103/5</v>
          </cell>
          <cell r="B8004">
            <v>7103</v>
          </cell>
          <cell r="C8004">
            <v>45862</v>
          </cell>
          <cell r="D8004" t="str">
            <v>یونس صاحب</v>
          </cell>
          <cell r="E8004" t="str">
            <v>اسد پلاسٹک صادق ٓاباد</v>
          </cell>
        </row>
        <row r="8005">
          <cell r="A8005" t="str">
            <v>7103/6</v>
          </cell>
          <cell r="B8005">
            <v>7103</v>
          </cell>
          <cell r="C8005">
            <v>45862</v>
          </cell>
          <cell r="D8005" t="str">
            <v>یونس صاحب</v>
          </cell>
          <cell r="E8005" t="str">
            <v>اسد پلاسٹک صادق ٓاباد</v>
          </cell>
        </row>
        <row r="8006">
          <cell r="A8006" t="str">
            <v>7103/7</v>
          </cell>
          <cell r="B8006">
            <v>7103</v>
          </cell>
          <cell r="C8006">
            <v>45862</v>
          </cell>
          <cell r="D8006" t="str">
            <v>یونس صاحب</v>
          </cell>
          <cell r="E8006" t="str">
            <v>اسد پلاسٹک صادق ٓاباد</v>
          </cell>
        </row>
        <row r="8007">
          <cell r="A8007" t="str">
            <v>7103/8</v>
          </cell>
          <cell r="B8007">
            <v>7103</v>
          </cell>
          <cell r="C8007">
            <v>45862</v>
          </cell>
          <cell r="D8007" t="str">
            <v>یونس صاحب</v>
          </cell>
          <cell r="E8007" t="str">
            <v>اسد پلاسٹک صادق ٓاباد</v>
          </cell>
        </row>
        <row r="8008">
          <cell r="A8008" t="str">
            <v>7104/1</v>
          </cell>
          <cell r="B8008">
            <v>7104</v>
          </cell>
          <cell r="C8008">
            <v>45862</v>
          </cell>
          <cell r="D8008" t="str">
            <v>یونس صاحب</v>
          </cell>
          <cell r="E8008" t="str">
            <v>طلحہ پلاسٹک ملتان</v>
          </cell>
        </row>
        <row r="8009">
          <cell r="A8009" t="str">
            <v>7104/2</v>
          </cell>
          <cell r="B8009">
            <v>7104</v>
          </cell>
          <cell r="C8009">
            <v>45862</v>
          </cell>
          <cell r="D8009" t="str">
            <v>یونس صاحب</v>
          </cell>
          <cell r="E8009" t="str">
            <v>طلحہ پلاسٹک ملتان</v>
          </cell>
        </row>
        <row r="8010">
          <cell r="A8010" t="str">
            <v>7104/3</v>
          </cell>
          <cell r="B8010">
            <v>7104</v>
          </cell>
          <cell r="C8010">
            <v>45862</v>
          </cell>
          <cell r="D8010" t="str">
            <v>یونس صاحب</v>
          </cell>
          <cell r="E8010" t="str">
            <v>طلحہ پلاسٹک ملتان</v>
          </cell>
        </row>
        <row r="8011">
          <cell r="A8011" t="str">
            <v>7104/4</v>
          </cell>
          <cell r="B8011">
            <v>7104</v>
          </cell>
          <cell r="C8011">
            <v>45862</v>
          </cell>
          <cell r="D8011" t="str">
            <v>یونس صاحب</v>
          </cell>
          <cell r="E8011" t="str">
            <v>طلحہ پلاسٹک ملتان</v>
          </cell>
        </row>
        <row r="8012">
          <cell r="A8012" t="str">
            <v>7104/5</v>
          </cell>
          <cell r="B8012">
            <v>7104</v>
          </cell>
          <cell r="C8012">
            <v>45862</v>
          </cell>
          <cell r="D8012" t="str">
            <v>یونس صاحب</v>
          </cell>
          <cell r="E8012" t="str">
            <v>طلحہ پلاسٹک ملتان</v>
          </cell>
        </row>
        <row r="8013">
          <cell r="A8013" t="str">
            <v>7104/6</v>
          </cell>
          <cell r="B8013">
            <v>7104</v>
          </cell>
          <cell r="C8013">
            <v>45862</v>
          </cell>
          <cell r="D8013" t="str">
            <v>یونس صاحب</v>
          </cell>
          <cell r="E8013" t="str">
            <v>طلحہ پلاسٹک ملتان</v>
          </cell>
        </row>
        <row r="8014">
          <cell r="A8014" t="str">
            <v>7104/7</v>
          </cell>
          <cell r="B8014">
            <v>7104</v>
          </cell>
          <cell r="C8014">
            <v>45862</v>
          </cell>
          <cell r="D8014" t="str">
            <v>یونس صاحب</v>
          </cell>
          <cell r="E8014" t="str">
            <v>طلحہ پلاسٹک ملتان</v>
          </cell>
        </row>
        <row r="8015">
          <cell r="A8015" t="str">
            <v>7104/8</v>
          </cell>
          <cell r="B8015">
            <v>7104</v>
          </cell>
          <cell r="C8015">
            <v>45862</v>
          </cell>
          <cell r="D8015" t="str">
            <v>یونس صاحب</v>
          </cell>
          <cell r="E8015" t="str">
            <v>طلحہ پلاسٹک ملتان</v>
          </cell>
        </row>
        <row r="8016">
          <cell r="A8016" t="str">
            <v>7104/9</v>
          </cell>
          <cell r="B8016">
            <v>7104</v>
          </cell>
          <cell r="C8016">
            <v>45862</v>
          </cell>
          <cell r="D8016" t="str">
            <v>یونس صاحب</v>
          </cell>
          <cell r="E8016" t="str">
            <v>طلحہ پلاسٹک ملتان</v>
          </cell>
        </row>
        <row r="8017">
          <cell r="A8017" t="str">
            <v>7105/1</v>
          </cell>
          <cell r="B8017">
            <v>7105</v>
          </cell>
          <cell r="C8017">
            <v>45862</v>
          </cell>
          <cell r="D8017" t="str">
            <v>یونس صاحب</v>
          </cell>
          <cell r="E8017" t="str">
            <v>علی  اینڈ طاہر جھنگ</v>
          </cell>
        </row>
        <row r="8018">
          <cell r="A8018" t="str">
            <v>7105/2</v>
          </cell>
          <cell r="B8018">
            <v>7105</v>
          </cell>
          <cell r="C8018">
            <v>45862</v>
          </cell>
          <cell r="D8018" t="str">
            <v>یونس صاحب</v>
          </cell>
          <cell r="E8018" t="str">
            <v>علی  اینڈ طاہر جھنگ</v>
          </cell>
        </row>
        <row r="8019">
          <cell r="A8019" t="str">
            <v>7106/1</v>
          </cell>
          <cell r="B8019">
            <v>7106</v>
          </cell>
          <cell r="C8019">
            <v>45862</v>
          </cell>
          <cell r="D8019" t="str">
            <v>یونس صاحب</v>
          </cell>
          <cell r="E8019" t="str">
            <v>اقبال پلاسٹک کوٹ ادو</v>
          </cell>
        </row>
        <row r="8020">
          <cell r="A8020" t="str">
            <v>7107/1</v>
          </cell>
          <cell r="B8020">
            <v>7107</v>
          </cell>
          <cell r="C8020">
            <v>45862</v>
          </cell>
          <cell r="D8020" t="str">
            <v>یونس صاحب</v>
          </cell>
          <cell r="E8020" t="str">
            <v>حیدر عمر بہاولپور</v>
          </cell>
        </row>
        <row r="8021">
          <cell r="A8021" t="str">
            <v>7107/2</v>
          </cell>
          <cell r="B8021">
            <v>7107</v>
          </cell>
          <cell r="C8021">
            <v>45862</v>
          </cell>
          <cell r="D8021" t="str">
            <v>یونس صاحب</v>
          </cell>
          <cell r="E8021" t="str">
            <v>حیدر عمر بہاولپور</v>
          </cell>
        </row>
        <row r="8022">
          <cell r="A8022" t="str">
            <v>7107/3</v>
          </cell>
          <cell r="B8022">
            <v>7107</v>
          </cell>
          <cell r="C8022">
            <v>45862</v>
          </cell>
          <cell r="D8022" t="str">
            <v>یونس صاحب</v>
          </cell>
          <cell r="E8022" t="str">
            <v>حیدر عمر بہاولپور</v>
          </cell>
        </row>
        <row r="8023">
          <cell r="A8023" t="str">
            <v>7107/4</v>
          </cell>
          <cell r="B8023">
            <v>7107</v>
          </cell>
          <cell r="C8023">
            <v>45862</v>
          </cell>
          <cell r="D8023" t="str">
            <v>یونس صاحب</v>
          </cell>
          <cell r="E8023" t="str">
            <v>حیدر عمر بہاولپور</v>
          </cell>
        </row>
        <row r="8024">
          <cell r="A8024" t="str">
            <v>7107/5</v>
          </cell>
          <cell r="B8024">
            <v>7107</v>
          </cell>
          <cell r="C8024">
            <v>45862</v>
          </cell>
          <cell r="D8024" t="str">
            <v>یونس صاحب</v>
          </cell>
          <cell r="E8024" t="str">
            <v>حیدر عمر بہاولپور</v>
          </cell>
        </row>
        <row r="8025">
          <cell r="A8025" t="str">
            <v>7107/6</v>
          </cell>
          <cell r="B8025">
            <v>7107</v>
          </cell>
          <cell r="C8025">
            <v>45862</v>
          </cell>
          <cell r="D8025" t="str">
            <v>یونس صاحب</v>
          </cell>
          <cell r="E8025" t="str">
            <v>حیدر عمر بہاولپور</v>
          </cell>
        </row>
        <row r="8026">
          <cell r="A8026" t="str">
            <v>7107/7</v>
          </cell>
          <cell r="B8026">
            <v>7107</v>
          </cell>
          <cell r="C8026">
            <v>45862</v>
          </cell>
          <cell r="D8026" t="str">
            <v>یونس صاحب</v>
          </cell>
          <cell r="E8026" t="str">
            <v>حیدر عمر بہاولپور</v>
          </cell>
        </row>
        <row r="8027">
          <cell r="A8027" t="str">
            <v>7107/8</v>
          </cell>
          <cell r="B8027">
            <v>7107</v>
          </cell>
          <cell r="C8027">
            <v>45862</v>
          </cell>
          <cell r="D8027" t="str">
            <v>یونس صاحب</v>
          </cell>
          <cell r="E8027" t="str">
            <v>حیدر عمر بہاولپور</v>
          </cell>
        </row>
        <row r="8028">
          <cell r="A8028" t="str">
            <v>7107/9</v>
          </cell>
          <cell r="B8028">
            <v>7107</v>
          </cell>
          <cell r="C8028">
            <v>45862</v>
          </cell>
          <cell r="D8028" t="str">
            <v>یونس صاحب</v>
          </cell>
          <cell r="E8028" t="str">
            <v>حیدر عمر بہاولپور</v>
          </cell>
        </row>
        <row r="8029">
          <cell r="A8029" t="str">
            <v>7107/10</v>
          </cell>
          <cell r="B8029">
            <v>7107</v>
          </cell>
          <cell r="C8029">
            <v>45862</v>
          </cell>
          <cell r="D8029" t="str">
            <v>یونس صاحب</v>
          </cell>
          <cell r="E8029" t="str">
            <v>حیدر عمر بہاولپور</v>
          </cell>
        </row>
        <row r="8030">
          <cell r="A8030" t="str">
            <v>7107/11</v>
          </cell>
          <cell r="B8030">
            <v>7107</v>
          </cell>
          <cell r="C8030">
            <v>45862</v>
          </cell>
          <cell r="D8030" t="str">
            <v>یونس صاحب</v>
          </cell>
          <cell r="E8030" t="str">
            <v>حیدر عمر بہاولپور</v>
          </cell>
        </row>
        <row r="8031">
          <cell r="A8031" t="str">
            <v>7107/12</v>
          </cell>
          <cell r="B8031">
            <v>7107</v>
          </cell>
          <cell r="C8031">
            <v>45862</v>
          </cell>
          <cell r="D8031" t="str">
            <v>یونس صاحب</v>
          </cell>
          <cell r="E8031" t="str">
            <v>حیدر عمر بہاولپور</v>
          </cell>
        </row>
        <row r="8032">
          <cell r="A8032" t="str">
            <v>7107/13</v>
          </cell>
          <cell r="B8032">
            <v>7107</v>
          </cell>
          <cell r="C8032">
            <v>45862</v>
          </cell>
          <cell r="D8032" t="str">
            <v>یونس صاحب</v>
          </cell>
          <cell r="E8032" t="str">
            <v>حیدر عمر بہاولپور</v>
          </cell>
        </row>
        <row r="8033">
          <cell r="A8033" t="str">
            <v>7107/14</v>
          </cell>
          <cell r="B8033">
            <v>7107</v>
          </cell>
          <cell r="C8033">
            <v>45862</v>
          </cell>
          <cell r="D8033" t="str">
            <v>یونس صاحب</v>
          </cell>
          <cell r="E8033" t="str">
            <v>حیدر عمر بہاولپور</v>
          </cell>
        </row>
        <row r="8034">
          <cell r="A8034" t="str">
            <v>7107/15</v>
          </cell>
          <cell r="B8034">
            <v>7107</v>
          </cell>
          <cell r="C8034">
            <v>45862</v>
          </cell>
          <cell r="D8034" t="str">
            <v>یونس صاحب</v>
          </cell>
          <cell r="E8034" t="str">
            <v>حیدر عمر بہاولپور</v>
          </cell>
        </row>
        <row r="8035">
          <cell r="A8035" t="str">
            <v>7107/16</v>
          </cell>
          <cell r="B8035">
            <v>7107</v>
          </cell>
          <cell r="C8035">
            <v>45862</v>
          </cell>
          <cell r="D8035" t="str">
            <v>یونس صاحب</v>
          </cell>
          <cell r="E8035" t="str">
            <v>حیدر عمر بہاولپور</v>
          </cell>
        </row>
        <row r="8036">
          <cell r="A8036" t="str">
            <v>7107/17</v>
          </cell>
          <cell r="B8036">
            <v>7107</v>
          </cell>
          <cell r="C8036">
            <v>45862</v>
          </cell>
          <cell r="D8036" t="str">
            <v>یونس صاحب</v>
          </cell>
          <cell r="E8036" t="str">
            <v>حیدر عمر بہاولپور</v>
          </cell>
        </row>
        <row r="8037">
          <cell r="A8037" t="str">
            <v>7107/18</v>
          </cell>
          <cell r="B8037">
            <v>7107</v>
          </cell>
          <cell r="C8037">
            <v>45862</v>
          </cell>
          <cell r="D8037" t="str">
            <v>یونس صاحب</v>
          </cell>
          <cell r="E8037" t="str">
            <v>حیدر عمر بہاولپور</v>
          </cell>
        </row>
        <row r="8038">
          <cell r="A8038" t="str">
            <v>7107/19</v>
          </cell>
          <cell r="B8038">
            <v>7107</v>
          </cell>
          <cell r="C8038">
            <v>45862</v>
          </cell>
          <cell r="D8038" t="str">
            <v>یونس صاحب</v>
          </cell>
          <cell r="E8038" t="str">
            <v>حیدر عمر بہاولپور</v>
          </cell>
        </row>
        <row r="8039">
          <cell r="A8039" t="str">
            <v>7107/20</v>
          </cell>
          <cell r="B8039">
            <v>7107</v>
          </cell>
          <cell r="C8039">
            <v>45862</v>
          </cell>
          <cell r="D8039" t="str">
            <v>یونس صاحب</v>
          </cell>
          <cell r="E8039" t="str">
            <v>حیدر عمر بہاولپور</v>
          </cell>
        </row>
        <row r="8040">
          <cell r="A8040" t="str">
            <v>7107/21</v>
          </cell>
          <cell r="B8040">
            <v>7107</v>
          </cell>
          <cell r="C8040">
            <v>45862</v>
          </cell>
          <cell r="D8040" t="str">
            <v>یونس صاحب</v>
          </cell>
          <cell r="E8040" t="str">
            <v>حیدر عمر بہاولپور</v>
          </cell>
        </row>
        <row r="8041">
          <cell r="A8041" t="str">
            <v>7107/22</v>
          </cell>
          <cell r="B8041">
            <v>7107</v>
          </cell>
          <cell r="C8041">
            <v>45862</v>
          </cell>
          <cell r="D8041" t="str">
            <v>یونس صاحب</v>
          </cell>
          <cell r="E8041" t="str">
            <v>حیدر عمر بہاولپور</v>
          </cell>
        </row>
        <row r="8042">
          <cell r="A8042" t="str">
            <v>7107/23</v>
          </cell>
          <cell r="B8042">
            <v>7107</v>
          </cell>
          <cell r="C8042">
            <v>45862</v>
          </cell>
          <cell r="D8042" t="str">
            <v>یونس صاحب</v>
          </cell>
          <cell r="E8042" t="str">
            <v>حیدر عمر بہاولپور</v>
          </cell>
        </row>
        <row r="8043">
          <cell r="A8043" t="str">
            <v>7107/24</v>
          </cell>
          <cell r="B8043">
            <v>7107</v>
          </cell>
          <cell r="C8043">
            <v>45862</v>
          </cell>
          <cell r="D8043" t="str">
            <v>یونس صاحب</v>
          </cell>
          <cell r="E8043" t="str">
            <v>حیدر عمر بہاولپور</v>
          </cell>
        </row>
        <row r="8044">
          <cell r="A8044" t="str">
            <v>7108/1</v>
          </cell>
          <cell r="B8044">
            <v>7108</v>
          </cell>
          <cell r="C8044">
            <v>45862</v>
          </cell>
          <cell r="D8044" t="str">
            <v>یونس صاحب</v>
          </cell>
          <cell r="E8044" t="str">
            <v>ایم   دین پنڈی</v>
          </cell>
        </row>
        <row r="8045">
          <cell r="A8045" t="str">
            <v>7108/2</v>
          </cell>
          <cell r="B8045">
            <v>7108</v>
          </cell>
          <cell r="C8045">
            <v>45862</v>
          </cell>
          <cell r="D8045" t="str">
            <v>یونس صاحب</v>
          </cell>
          <cell r="E8045" t="str">
            <v>ایم   دین پنڈی</v>
          </cell>
        </row>
        <row r="8046">
          <cell r="A8046" t="str">
            <v>7109/1</v>
          </cell>
          <cell r="B8046">
            <v>7109</v>
          </cell>
          <cell r="C8046">
            <v>45862</v>
          </cell>
          <cell r="D8046" t="str">
            <v>یونس صاحب</v>
          </cell>
          <cell r="E8046" t="str">
            <v>ایم   دین پنڈی</v>
          </cell>
        </row>
        <row r="8047">
          <cell r="A8047" t="str">
            <v>7109/2</v>
          </cell>
          <cell r="B8047">
            <v>7109</v>
          </cell>
          <cell r="C8047">
            <v>45862</v>
          </cell>
          <cell r="D8047" t="str">
            <v>یونس صاحب</v>
          </cell>
          <cell r="E8047" t="str">
            <v>ایم   دین پنڈی</v>
          </cell>
        </row>
        <row r="8048">
          <cell r="A8048" t="str">
            <v>7109/3</v>
          </cell>
          <cell r="B8048">
            <v>7109</v>
          </cell>
          <cell r="C8048">
            <v>45862</v>
          </cell>
          <cell r="D8048" t="str">
            <v>یونس صاحب</v>
          </cell>
          <cell r="E8048" t="str">
            <v>ایم   دین پنڈی</v>
          </cell>
        </row>
        <row r="8049">
          <cell r="A8049" t="str">
            <v>7110/1</v>
          </cell>
          <cell r="B8049">
            <v>7110</v>
          </cell>
          <cell r="C8049">
            <v>45862</v>
          </cell>
          <cell r="D8049" t="str">
            <v>یونس صاحب</v>
          </cell>
          <cell r="E8049" t="str">
            <v>عاصم مدنی انارکلی</v>
          </cell>
        </row>
        <row r="8050">
          <cell r="A8050" t="str">
            <v>7110/2</v>
          </cell>
          <cell r="B8050">
            <v>7110</v>
          </cell>
          <cell r="C8050">
            <v>45862</v>
          </cell>
          <cell r="D8050" t="str">
            <v>یونس صاحب</v>
          </cell>
          <cell r="E8050" t="str">
            <v>عاصم مدنی انارکلی</v>
          </cell>
        </row>
        <row r="8051">
          <cell r="A8051" t="str">
            <v>7111/1</v>
          </cell>
          <cell r="B8051">
            <v>7111</v>
          </cell>
          <cell r="C8051">
            <v>45862</v>
          </cell>
          <cell r="D8051" t="str">
            <v>یونس صاحب</v>
          </cell>
          <cell r="E8051" t="str">
            <v>عاصم مدنی انارکلی</v>
          </cell>
        </row>
        <row r="8052">
          <cell r="A8052" t="str">
            <v>7111/2</v>
          </cell>
          <cell r="B8052">
            <v>7111</v>
          </cell>
          <cell r="C8052">
            <v>45862</v>
          </cell>
          <cell r="D8052" t="str">
            <v>یونس صاحب</v>
          </cell>
          <cell r="E8052" t="str">
            <v>عاصم مدنی انارکلی</v>
          </cell>
        </row>
        <row r="8053">
          <cell r="A8053" t="str">
            <v>7111/3</v>
          </cell>
          <cell r="B8053">
            <v>7111</v>
          </cell>
          <cell r="C8053">
            <v>45862</v>
          </cell>
          <cell r="D8053" t="str">
            <v>یونس صاحب</v>
          </cell>
          <cell r="E8053" t="str">
            <v>عاصم مدنی انارکلی</v>
          </cell>
        </row>
        <row r="8054">
          <cell r="A8054" t="str">
            <v>7111/4</v>
          </cell>
          <cell r="B8054">
            <v>7111</v>
          </cell>
          <cell r="C8054">
            <v>45862</v>
          </cell>
          <cell r="D8054" t="str">
            <v>یونس صاحب</v>
          </cell>
          <cell r="E8054" t="str">
            <v>عاصم مدنی انارکلی</v>
          </cell>
        </row>
        <row r="8055">
          <cell r="A8055" t="str">
            <v>7111/5</v>
          </cell>
          <cell r="B8055">
            <v>7111</v>
          </cell>
          <cell r="C8055">
            <v>45862</v>
          </cell>
          <cell r="D8055" t="str">
            <v>یونس صاحب</v>
          </cell>
          <cell r="E8055" t="str">
            <v>عاصم مدنی انارکلی</v>
          </cell>
        </row>
        <row r="8056">
          <cell r="A8056" t="str">
            <v>7111/6</v>
          </cell>
          <cell r="B8056">
            <v>7111</v>
          </cell>
          <cell r="C8056">
            <v>45862</v>
          </cell>
          <cell r="D8056" t="str">
            <v>یونس صاحب</v>
          </cell>
          <cell r="E8056" t="str">
            <v>عاصم مدنی انارکلی</v>
          </cell>
        </row>
        <row r="8057">
          <cell r="A8057" t="str">
            <v>7111/7</v>
          </cell>
          <cell r="B8057">
            <v>7111</v>
          </cell>
          <cell r="C8057">
            <v>45862</v>
          </cell>
          <cell r="D8057" t="str">
            <v>یونس صاحب</v>
          </cell>
          <cell r="E8057" t="str">
            <v>عاصم مدنی انارکلی</v>
          </cell>
        </row>
        <row r="8058">
          <cell r="A8058" t="str">
            <v>7111/8</v>
          </cell>
          <cell r="B8058">
            <v>7111</v>
          </cell>
          <cell r="C8058">
            <v>45862</v>
          </cell>
          <cell r="D8058" t="str">
            <v>یونس صاحب</v>
          </cell>
          <cell r="E8058" t="str">
            <v>عاصم مدنی انارکلی</v>
          </cell>
        </row>
        <row r="8059">
          <cell r="A8059" t="str">
            <v>7111/9</v>
          </cell>
          <cell r="B8059">
            <v>7111</v>
          </cell>
          <cell r="C8059">
            <v>45862</v>
          </cell>
          <cell r="D8059" t="str">
            <v>یونس صاحب</v>
          </cell>
          <cell r="E8059" t="str">
            <v>عاصم مدنی انارکلی</v>
          </cell>
        </row>
        <row r="8060">
          <cell r="A8060" t="str">
            <v>7111/10</v>
          </cell>
          <cell r="B8060">
            <v>7111</v>
          </cell>
          <cell r="C8060">
            <v>45862</v>
          </cell>
          <cell r="D8060" t="str">
            <v>یونس صاحب</v>
          </cell>
          <cell r="E8060" t="str">
            <v>عاصم مدنی انارکلی</v>
          </cell>
        </row>
        <row r="8061">
          <cell r="A8061" t="str">
            <v>7112/1</v>
          </cell>
          <cell r="B8061">
            <v>7112</v>
          </cell>
          <cell r="C8061">
            <v>45862</v>
          </cell>
          <cell r="D8061" t="str">
            <v>یونس صاحب</v>
          </cell>
          <cell r="E8061" t="str">
            <v>ایم   عمران    پاکستان مارکیٹ</v>
          </cell>
        </row>
        <row r="8062">
          <cell r="A8062" t="str">
            <v>7112/2</v>
          </cell>
          <cell r="B8062">
            <v>7112</v>
          </cell>
          <cell r="C8062">
            <v>45862</v>
          </cell>
          <cell r="D8062" t="str">
            <v>یونس صاحب</v>
          </cell>
          <cell r="E8062" t="str">
            <v>ایم   عمران    پاکستان مارکیٹ</v>
          </cell>
        </row>
        <row r="8063">
          <cell r="A8063" t="str">
            <v>7112/3</v>
          </cell>
          <cell r="B8063">
            <v>7112</v>
          </cell>
          <cell r="C8063">
            <v>45862</v>
          </cell>
          <cell r="D8063" t="str">
            <v>یونس صاحب</v>
          </cell>
          <cell r="E8063" t="str">
            <v>ایم   عمران    پاکستان مارکیٹ</v>
          </cell>
        </row>
        <row r="8064">
          <cell r="A8064" t="str">
            <v>7112/4</v>
          </cell>
          <cell r="B8064">
            <v>7112</v>
          </cell>
          <cell r="C8064">
            <v>45862</v>
          </cell>
          <cell r="D8064" t="str">
            <v>یونس صاحب</v>
          </cell>
          <cell r="E8064" t="str">
            <v>ایم   عمران    پاکستان مارکیٹ</v>
          </cell>
        </row>
        <row r="8065">
          <cell r="A8065" t="str">
            <v>7112/5</v>
          </cell>
          <cell r="B8065">
            <v>7112</v>
          </cell>
          <cell r="C8065">
            <v>45862</v>
          </cell>
          <cell r="D8065" t="str">
            <v>یونس صاحب</v>
          </cell>
          <cell r="E8065" t="str">
            <v>ایم   عمران    پاکستان مارکیٹ</v>
          </cell>
        </row>
        <row r="8066">
          <cell r="A8066" t="str">
            <v>7112/6</v>
          </cell>
          <cell r="B8066">
            <v>7112</v>
          </cell>
          <cell r="C8066">
            <v>45862</v>
          </cell>
          <cell r="D8066" t="str">
            <v>یونس صاحب</v>
          </cell>
          <cell r="E8066" t="str">
            <v>ایم   عمران    پاکستان مارکیٹ</v>
          </cell>
        </row>
        <row r="8067">
          <cell r="A8067" t="str">
            <v>7113/1</v>
          </cell>
          <cell r="B8067">
            <v>7113</v>
          </cell>
          <cell r="C8067">
            <v>45863</v>
          </cell>
          <cell r="D8067" t="str">
            <v>یونس صاحب</v>
          </cell>
          <cell r="E8067" t="str">
            <v>شیخ پلاسٹک سرگودھا</v>
          </cell>
        </row>
        <row r="8068">
          <cell r="A8068" t="str">
            <v>7113/2</v>
          </cell>
          <cell r="B8068">
            <v>7113</v>
          </cell>
          <cell r="C8068">
            <v>45863</v>
          </cell>
          <cell r="D8068" t="str">
            <v>یونس صاحب</v>
          </cell>
          <cell r="E8068" t="str">
            <v>شیخ پلاسٹک سرگودھا</v>
          </cell>
        </row>
        <row r="8069">
          <cell r="A8069" t="str">
            <v>7113/3</v>
          </cell>
          <cell r="B8069">
            <v>7113</v>
          </cell>
          <cell r="C8069">
            <v>45863</v>
          </cell>
          <cell r="D8069" t="str">
            <v>یونس صاحب</v>
          </cell>
          <cell r="E8069" t="str">
            <v>شیخ پلاسٹک سرگودھا</v>
          </cell>
        </row>
        <row r="8070">
          <cell r="A8070" t="str">
            <v>7113/4</v>
          </cell>
          <cell r="B8070">
            <v>7113</v>
          </cell>
          <cell r="C8070">
            <v>45863</v>
          </cell>
          <cell r="D8070" t="str">
            <v>یونس صاحب</v>
          </cell>
          <cell r="E8070" t="str">
            <v>شیخ پلاسٹک سرگودھا</v>
          </cell>
        </row>
        <row r="8071">
          <cell r="A8071" t="str">
            <v>7113/5</v>
          </cell>
          <cell r="B8071">
            <v>7113</v>
          </cell>
          <cell r="C8071">
            <v>45863</v>
          </cell>
          <cell r="D8071" t="str">
            <v>یونس صاحب</v>
          </cell>
          <cell r="E8071" t="str">
            <v>شیخ پلاسٹک سرگودھا</v>
          </cell>
        </row>
        <row r="8072">
          <cell r="A8072" t="str">
            <v>7113/6</v>
          </cell>
          <cell r="B8072">
            <v>7113</v>
          </cell>
          <cell r="C8072">
            <v>45863</v>
          </cell>
          <cell r="D8072" t="str">
            <v>یونس صاحب</v>
          </cell>
          <cell r="E8072" t="str">
            <v>شیخ پلاسٹک سرگودھا</v>
          </cell>
        </row>
        <row r="8073">
          <cell r="A8073" t="str">
            <v>7113/7</v>
          </cell>
          <cell r="B8073">
            <v>7113</v>
          </cell>
          <cell r="C8073">
            <v>45863</v>
          </cell>
          <cell r="D8073" t="str">
            <v>یونس صاحب</v>
          </cell>
          <cell r="E8073" t="str">
            <v>شیخ پلاسٹک سرگودھا</v>
          </cell>
        </row>
        <row r="8074">
          <cell r="A8074" t="str">
            <v>7114/1</v>
          </cell>
          <cell r="B8074">
            <v>7114</v>
          </cell>
          <cell r="C8074">
            <v>45863</v>
          </cell>
          <cell r="D8074" t="str">
            <v>یونس صاحب</v>
          </cell>
          <cell r="E8074" t="str">
            <v>وحید پلاسٹک گوجرانولہ</v>
          </cell>
        </row>
        <row r="8075">
          <cell r="A8075" t="str">
            <v>7114/2</v>
          </cell>
          <cell r="B8075">
            <v>7114</v>
          </cell>
          <cell r="C8075">
            <v>45863</v>
          </cell>
          <cell r="D8075" t="str">
            <v>یونس صاحب</v>
          </cell>
          <cell r="E8075" t="str">
            <v>وحید پلاسٹک گوجرانولہ</v>
          </cell>
        </row>
        <row r="8076">
          <cell r="A8076" t="str">
            <v>7114/3</v>
          </cell>
          <cell r="B8076">
            <v>7114</v>
          </cell>
          <cell r="C8076">
            <v>45863</v>
          </cell>
          <cell r="D8076" t="str">
            <v>یونس صاحب</v>
          </cell>
          <cell r="E8076" t="str">
            <v>وحید پلاسٹک گوجرانولہ</v>
          </cell>
        </row>
        <row r="8077">
          <cell r="A8077" t="str">
            <v>7114/4</v>
          </cell>
          <cell r="B8077">
            <v>7114</v>
          </cell>
          <cell r="C8077">
            <v>45863</v>
          </cell>
          <cell r="D8077" t="str">
            <v>یونس صاحب</v>
          </cell>
          <cell r="E8077" t="str">
            <v>وحید پلاسٹک گوجرانولہ</v>
          </cell>
        </row>
        <row r="8078">
          <cell r="A8078" t="str">
            <v>7114/5</v>
          </cell>
          <cell r="B8078">
            <v>7114</v>
          </cell>
          <cell r="C8078">
            <v>45863</v>
          </cell>
          <cell r="D8078" t="str">
            <v>یونس صاحب</v>
          </cell>
          <cell r="E8078" t="str">
            <v>وحید پلاسٹک گوجرانولہ</v>
          </cell>
        </row>
        <row r="8079">
          <cell r="A8079" t="str">
            <v>7114/6</v>
          </cell>
          <cell r="B8079">
            <v>7114</v>
          </cell>
          <cell r="C8079">
            <v>45863</v>
          </cell>
          <cell r="D8079" t="str">
            <v>یونس صاحب</v>
          </cell>
          <cell r="E8079" t="str">
            <v>وحید پلاسٹک گوجرانولہ</v>
          </cell>
        </row>
        <row r="8080">
          <cell r="A8080" t="str">
            <v>7114/7</v>
          </cell>
          <cell r="B8080">
            <v>7114</v>
          </cell>
          <cell r="C8080">
            <v>45863</v>
          </cell>
          <cell r="D8080" t="str">
            <v>یونس صاحب</v>
          </cell>
          <cell r="E8080" t="str">
            <v>وحید پلاسٹک گوجرانولہ</v>
          </cell>
        </row>
        <row r="8081">
          <cell r="A8081" t="str">
            <v>7114/8</v>
          </cell>
          <cell r="B8081">
            <v>7114</v>
          </cell>
          <cell r="C8081">
            <v>45863</v>
          </cell>
          <cell r="D8081" t="str">
            <v>یونس صاحب</v>
          </cell>
          <cell r="E8081" t="str">
            <v>وحید پلاسٹک گوجرانولہ</v>
          </cell>
        </row>
        <row r="8082">
          <cell r="A8082" t="str">
            <v>7114/9</v>
          </cell>
          <cell r="B8082">
            <v>7114</v>
          </cell>
          <cell r="C8082">
            <v>45863</v>
          </cell>
          <cell r="D8082" t="str">
            <v>یونس صاحب</v>
          </cell>
          <cell r="E8082" t="str">
            <v>وحید پلاسٹک گوجرانولہ</v>
          </cell>
        </row>
        <row r="8083">
          <cell r="A8083" t="str">
            <v>7114/10</v>
          </cell>
          <cell r="B8083">
            <v>7114</v>
          </cell>
          <cell r="C8083">
            <v>45863</v>
          </cell>
          <cell r="D8083" t="str">
            <v>یونس صاحب</v>
          </cell>
          <cell r="E8083" t="str">
            <v>وحید پلاسٹک گوجرانولہ</v>
          </cell>
        </row>
        <row r="8084">
          <cell r="A8084" t="str">
            <v>7114/11</v>
          </cell>
          <cell r="B8084">
            <v>7114</v>
          </cell>
          <cell r="C8084">
            <v>45863</v>
          </cell>
          <cell r="D8084" t="str">
            <v>یونس صاحب</v>
          </cell>
          <cell r="E8084" t="str">
            <v>وحید پلاسٹک گوجرانولہ</v>
          </cell>
        </row>
        <row r="8085">
          <cell r="A8085" t="str">
            <v>7114/12</v>
          </cell>
          <cell r="B8085">
            <v>7114</v>
          </cell>
          <cell r="C8085">
            <v>45863</v>
          </cell>
          <cell r="D8085" t="str">
            <v>یونس صاحب</v>
          </cell>
          <cell r="E8085" t="str">
            <v>وحید پلاسٹک گوجرانولہ</v>
          </cell>
        </row>
        <row r="8086">
          <cell r="A8086" t="str">
            <v>7114/13</v>
          </cell>
          <cell r="B8086">
            <v>7114</v>
          </cell>
          <cell r="C8086">
            <v>45863</v>
          </cell>
          <cell r="D8086" t="str">
            <v>یونس صاحب</v>
          </cell>
          <cell r="E8086" t="str">
            <v>وحید پلاسٹک گوجرانولہ</v>
          </cell>
        </row>
        <row r="8087">
          <cell r="A8087" t="str">
            <v>7114/14</v>
          </cell>
          <cell r="B8087">
            <v>7114</v>
          </cell>
          <cell r="C8087">
            <v>45863</v>
          </cell>
          <cell r="D8087" t="str">
            <v>یونس صاحب</v>
          </cell>
          <cell r="E8087" t="str">
            <v>وحید پلاسٹک گوجرانولہ</v>
          </cell>
        </row>
        <row r="8088">
          <cell r="A8088" t="str">
            <v>7115/1</v>
          </cell>
          <cell r="B8088">
            <v>7115</v>
          </cell>
          <cell r="C8088">
            <v>45863</v>
          </cell>
          <cell r="D8088" t="str">
            <v>یونس صاحب</v>
          </cell>
          <cell r="E8088" t="str">
            <v>قیصرپلاسٹک وزیر آباد</v>
          </cell>
        </row>
        <row r="8089">
          <cell r="A8089" t="str">
            <v>7116/1</v>
          </cell>
          <cell r="B8089">
            <v>7116</v>
          </cell>
          <cell r="C8089">
            <v>45863</v>
          </cell>
          <cell r="D8089" t="str">
            <v>یونس صاحب</v>
          </cell>
          <cell r="E8089" t="str">
            <v>وحید پلاسٹک گوجرانولہ</v>
          </cell>
        </row>
        <row r="8090">
          <cell r="A8090" t="str">
            <v>7116/2</v>
          </cell>
          <cell r="B8090">
            <v>7116</v>
          </cell>
          <cell r="C8090">
            <v>45863</v>
          </cell>
          <cell r="D8090" t="str">
            <v>یونس صاحب</v>
          </cell>
          <cell r="E8090" t="str">
            <v>وحید پلاسٹک گوجرانولہ</v>
          </cell>
        </row>
        <row r="8091">
          <cell r="A8091" t="str">
            <v>7116/3</v>
          </cell>
          <cell r="B8091">
            <v>7116</v>
          </cell>
          <cell r="C8091">
            <v>45863</v>
          </cell>
          <cell r="D8091" t="str">
            <v>یونس صاحب</v>
          </cell>
          <cell r="E8091" t="str">
            <v>وحید پلاسٹک گوجرانولہ</v>
          </cell>
        </row>
        <row r="8092">
          <cell r="A8092" t="str">
            <v>7116/4</v>
          </cell>
          <cell r="B8092">
            <v>7116</v>
          </cell>
          <cell r="C8092">
            <v>45863</v>
          </cell>
          <cell r="D8092" t="str">
            <v>یونس صاحب</v>
          </cell>
          <cell r="E8092" t="str">
            <v>وحید پلاسٹک گوجرانولہ</v>
          </cell>
        </row>
        <row r="8093">
          <cell r="A8093" t="str">
            <v>7116/5</v>
          </cell>
          <cell r="B8093">
            <v>7116</v>
          </cell>
          <cell r="C8093">
            <v>45863</v>
          </cell>
          <cell r="D8093" t="str">
            <v>یونس صاحب</v>
          </cell>
          <cell r="E8093" t="str">
            <v>وحید پلاسٹک گوجرانولہ</v>
          </cell>
        </row>
        <row r="8094">
          <cell r="A8094" t="str">
            <v>7116/6</v>
          </cell>
          <cell r="B8094">
            <v>7116</v>
          </cell>
          <cell r="C8094">
            <v>45863</v>
          </cell>
          <cell r="D8094" t="str">
            <v>یونس صاحب</v>
          </cell>
          <cell r="E8094" t="str">
            <v>وحید پلاسٹک گوجرانولہ</v>
          </cell>
        </row>
        <row r="8095">
          <cell r="A8095" t="str">
            <v>7116/7</v>
          </cell>
          <cell r="B8095">
            <v>7116</v>
          </cell>
          <cell r="C8095">
            <v>45863</v>
          </cell>
          <cell r="D8095" t="str">
            <v>یونس صاحب</v>
          </cell>
          <cell r="E8095" t="str">
            <v>وحید پلاسٹک گوجرانولہ</v>
          </cell>
        </row>
        <row r="8096">
          <cell r="A8096" t="str">
            <v>1880 F</v>
          </cell>
          <cell r="B8096"/>
          <cell r="C8096">
            <v>45862</v>
          </cell>
          <cell r="D8096" t="str">
            <v>Fina</v>
          </cell>
          <cell r="E8096" t="str">
            <v>Usman Amin</v>
          </cell>
        </row>
        <row r="8097">
          <cell r="A8097" t="str">
            <v>1881 F</v>
          </cell>
          <cell r="B8097"/>
          <cell r="C8097">
            <v>45862</v>
          </cell>
          <cell r="D8097" t="str">
            <v>Fina</v>
          </cell>
          <cell r="E8097" t="str">
            <v>Usman Amin</v>
          </cell>
        </row>
        <row r="8098">
          <cell r="A8098" t="str">
            <v>1882 F</v>
          </cell>
          <cell r="B8098"/>
          <cell r="C8098">
            <v>45862</v>
          </cell>
          <cell r="D8098" t="str">
            <v>Fina</v>
          </cell>
          <cell r="E8098" t="str">
            <v>Usman Amin</v>
          </cell>
        </row>
        <row r="8099">
          <cell r="A8099" t="str">
            <v>1883 F</v>
          </cell>
          <cell r="B8099"/>
          <cell r="C8099">
            <v>45862</v>
          </cell>
          <cell r="D8099" t="str">
            <v>Fina</v>
          </cell>
          <cell r="E8099" t="str">
            <v>Usman Amin</v>
          </cell>
        </row>
        <row r="8100">
          <cell r="A8100" t="str">
            <v>1884 F</v>
          </cell>
          <cell r="B8100"/>
          <cell r="C8100">
            <v>45862</v>
          </cell>
          <cell r="D8100" t="str">
            <v>Fina</v>
          </cell>
          <cell r="E8100" t="str">
            <v>Usman Amin</v>
          </cell>
        </row>
        <row r="8101">
          <cell r="A8101" t="str">
            <v>1885 F</v>
          </cell>
          <cell r="B8101"/>
          <cell r="C8101">
            <v>45862</v>
          </cell>
          <cell r="D8101" t="str">
            <v>Fina</v>
          </cell>
          <cell r="E8101" t="str">
            <v>Usman Amin</v>
          </cell>
        </row>
        <row r="8102">
          <cell r="A8102" t="str">
            <v>1886 F</v>
          </cell>
          <cell r="B8102"/>
          <cell r="C8102">
            <v>45862</v>
          </cell>
          <cell r="D8102" t="str">
            <v>Fina</v>
          </cell>
          <cell r="E8102" t="str">
            <v>Usman Amin</v>
          </cell>
        </row>
        <row r="8103">
          <cell r="A8103" t="str">
            <v>1887 F</v>
          </cell>
          <cell r="B8103"/>
          <cell r="C8103">
            <v>45862</v>
          </cell>
          <cell r="D8103" t="str">
            <v>Fina</v>
          </cell>
          <cell r="E8103" t="str">
            <v>Usman Amin</v>
          </cell>
        </row>
        <row r="8104">
          <cell r="A8104" t="str">
            <v>1888 F</v>
          </cell>
          <cell r="B8104"/>
          <cell r="C8104">
            <v>45862</v>
          </cell>
          <cell r="D8104" t="str">
            <v>Fina</v>
          </cell>
          <cell r="E8104" t="str">
            <v>Usman Amin</v>
          </cell>
        </row>
        <row r="8105">
          <cell r="A8105" t="str">
            <v>1889 F</v>
          </cell>
          <cell r="B8105"/>
          <cell r="C8105">
            <v>45862</v>
          </cell>
          <cell r="D8105" t="str">
            <v>Fina</v>
          </cell>
          <cell r="E8105" t="str">
            <v>Usman Amin</v>
          </cell>
        </row>
        <row r="8106">
          <cell r="A8106" t="str">
            <v>1890 F</v>
          </cell>
          <cell r="B8106"/>
          <cell r="C8106">
            <v>45862</v>
          </cell>
          <cell r="D8106" t="str">
            <v>Fina</v>
          </cell>
          <cell r="E8106" t="str">
            <v>Usman Amin</v>
          </cell>
        </row>
        <row r="8107">
          <cell r="A8107" t="str">
            <v>1891 F</v>
          </cell>
          <cell r="B8107"/>
          <cell r="C8107">
            <v>45862</v>
          </cell>
          <cell r="D8107" t="str">
            <v>Fina</v>
          </cell>
          <cell r="E8107" t="str">
            <v>Usman Amin</v>
          </cell>
        </row>
        <row r="8108">
          <cell r="A8108" t="str">
            <v>1892 F</v>
          </cell>
          <cell r="B8108"/>
          <cell r="C8108">
            <v>45862</v>
          </cell>
          <cell r="D8108" t="str">
            <v>Fina</v>
          </cell>
          <cell r="E8108" t="str">
            <v>Usman Amin</v>
          </cell>
        </row>
        <row r="8109">
          <cell r="A8109" t="str">
            <v>1893 F</v>
          </cell>
          <cell r="B8109"/>
          <cell r="C8109">
            <v>45863</v>
          </cell>
          <cell r="D8109" t="str">
            <v>Fina</v>
          </cell>
          <cell r="E8109" t="str">
            <v>Usman Amin</v>
          </cell>
        </row>
        <row r="8110">
          <cell r="A8110" t="str">
            <v>1894 F</v>
          </cell>
          <cell r="B8110"/>
          <cell r="C8110">
            <v>45863</v>
          </cell>
          <cell r="D8110" t="str">
            <v>Fina</v>
          </cell>
          <cell r="E8110" t="str">
            <v>Usman Amin</v>
          </cell>
        </row>
        <row r="8111">
          <cell r="A8111" t="str">
            <v>1895 F</v>
          </cell>
          <cell r="B8111"/>
          <cell r="C8111">
            <v>45863</v>
          </cell>
          <cell r="D8111" t="str">
            <v>Fina</v>
          </cell>
          <cell r="E8111" t="str">
            <v>Usman Amin</v>
          </cell>
        </row>
        <row r="8112">
          <cell r="A8112" t="str">
            <v>1896 F</v>
          </cell>
          <cell r="B8112"/>
          <cell r="C8112">
            <v>45863</v>
          </cell>
          <cell r="D8112" t="str">
            <v>Fina</v>
          </cell>
          <cell r="E8112" t="str">
            <v>Usman Amin</v>
          </cell>
        </row>
        <row r="8113">
          <cell r="A8113" t="str">
            <v>1897 F</v>
          </cell>
          <cell r="B8113"/>
          <cell r="C8113">
            <v>45863</v>
          </cell>
          <cell r="D8113" t="str">
            <v>Fina</v>
          </cell>
          <cell r="E8113" t="str">
            <v>Usman Amin</v>
          </cell>
        </row>
        <row r="8114">
          <cell r="A8114" t="str">
            <v>1898 F</v>
          </cell>
          <cell r="B8114"/>
          <cell r="C8114">
            <v>45864</v>
          </cell>
          <cell r="D8114" t="str">
            <v>Fina</v>
          </cell>
          <cell r="E8114" t="str">
            <v>Usman Amin</v>
          </cell>
        </row>
        <row r="8115">
          <cell r="A8115" t="str">
            <v>1899 F</v>
          </cell>
          <cell r="B8115"/>
          <cell r="C8115">
            <v>45866</v>
          </cell>
          <cell r="D8115" t="str">
            <v>Fina</v>
          </cell>
          <cell r="E8115" t="str">
            <v>Usman Amin</v>
          </cell>
        </row>
        <row r="8116">
          <cell r="A8116" t="str">
            <v>1900 F</v>
          </cell>
          <cell r="B8116"/>
          <cell r="C8116">
            <v>45866</v>
          </cell>
          <cell r="D8116" t="str">
            <v>Fina</v>
          </cell>
          <cell r="E8116" t="str">
            <v>Usman Amin</v>
          </cell>
        </row>
        <row r="8117">
          <cell r="A8117" t="str">
            <v>1901 F</v>
          </cell>
          <cell r="B8117"/>
          <cell r="C8117">
            <v>45866</v>
          </cell>
          <cell r="D8117" t="str">
            <v>Fina</v>
          </cell>
          <cell r="E8117" t="str">
            <v>Usman Amin</v>
          </cell>
        </row>
        <row r="8118">
          <cell r="A8118" t="str">
            <v>1902 F</v>
          </cell>
          <cell r="B8118"/>
          <cell r="C8118">
            <v>45866</v>
          </cell>
          <cell r="D8118" t="str">
            <v>Fina</v>
          </cell>
          <cell r="E8118" t="str">
            <v>Usman Amin</v>
          </cell>
        </row>
        <row r="8119">
          <cell r="A8119" t="str">
            <v>1903 F</v>
          </cell>
          <cell r="B8119"/>
          <cell r="C8119">
            <v>45866</v>
          </cell>
          <cell r="D8119" t="str">
            <v>Fina</v>
          </cell>
          <cell r="E8119" t="str">
            <v>Usman Amin</v>
          </cell>
        </row>
        <row r="8120">
          <cell r="A8120" t="str">
            <v>1904 F</v>
          </cell>
          <cell r="B8120"/>
          <cell r="C8120">
            <v>45866</v>
          </cell>
          <cell r="D8120" t="str">
            <v>Fina</v>
          </cell>
          <cell r="E8120" t="str">
            <v>Usman Amin</v>
          </cell>
        </row>
        <row r="8121">
          <cell r="A8121" t="str">
            <v>1905 F</v>
          </cell>
          <cell r="B8121"/>
          <cell r="C8121">
            <v>45866</v>
          </cell>
          <cell r="D8121" t="str">
            <v>Fina</v>
          </cell>
          <cell r="E8121" t="str">
            <v>Usman Amin</v>
          </cell>
        </row>
        <row r="8122">
          <cell r="A8122" t="str">
            <v>1906 F</v>
          </cell>
          <cell r="B8122"/>
          <cell r="C8122">
            <v>45866</v>
          </cell>
          <cell r="D8122" t="str">
            <v>Fina</v>
          </cell>
          <cell r="E8122" t="str">
            <v>Usman Amin</v>
          </cell>
        </row>
        <row r="8123">
          <cell r="A8123" t="str">
            <v>1907 F</v>
          </cell>
          <cell r="B8123"/>
          <cell r="C8123">
            <v>45866</v>
          </cell>
          <cell r="D8123" t="str">
            <v>Fina</v>
          </cell>
          <cell r="E8123" t="str">
            <v>Usman Amin</v>
          </cell>
        </row>
        <row r="8124">
          <cell r="A8124" t="str">
            <v>1908 F</v>
          </cell>
          <cell r="B8124"/>
          <cell r="C8124">
            <v>45866</v>
          </cell>
          <cell r="D8124" t="str">
            <v>Fina</v>
          </cell>
          <cell r="E8124" t="str">
            <v>Usman Amin</v>
          </cell>
        </row>
        <row r="8125">
          <cell r="A8125" t="str">
            <v>1909 F</v>
          </cell>
          <cell r="B8125"/>
          <cell r="C8125">
            <v>45866</v>
          </cell>
          <cell r="D8125" t="str">
            <v>Fina</v>
          </cell>
          <cell r="E8125" t="str">
            <v>Usman Amin</v>
          </cell>
        </row>
        <row r="8126">
          <cell r="A8126" t="str">
            <v>1910 F</v>
          </cell>
          <cell r="B8126"/>
          <cell r="C8126">
            <v>45866</v>
          </cell>
          <cell r="D8126" t="str">
            <v>Fina</v>
          </cell>
          <cell r="E8126" t="str">
            <v>Usman Amin</v>
          </cell>
        </row>
        <row r="8127">
          <cell r="A8127" t="str">
            <v>1911 F</v>
          </cell>
          <cell r="B8127"/>
          <cell r="C8127">
            <v>45867</v>
          </cell>
          <cell r="D8127" t="str">
            <v>Fina</v>
          </cell>
          <cell r="E8127" t="str">
            <v>Usman Amin</v>
          </cell>
        </row>
        <row r="8128">
          <cell r="A8128" t="str">
            <v>257 R</v>
          </cell>
          <cell r="B8128"/>
          <cell r="C8128">
            <v>45829</v>
          </cell>
          <cell r="D8128" t="str">
            <v>REFLECTPACK</v>
          </cell>
          <cell r="E8128" t="str">
            <v>الربیع انٹرنیشنل C/Oریفلیکٹ پیک</v>
          </cell>
        </row>
        <row r="8129">
          <cell r="A8129">
            <v>2771</v>
          </cell>
          <cell r="B8129">
            <v>2893</v>
          </cell>
          <cell r="C8129">
            <v>45864</v>
          </cell>
          <cell r="D8129" t="str">
            <v>JILANI</v>
          </cell>
          <cell r="E8129" t="str">
            <v>MATCO FOOD</v>
          </cell>
        </row>
        <row r="8130">
          <cell r="A8130">
            <v>2772</v>
          </cell>
          <cell r="B8130">
            <v>11404</v>
          </cell>
          <cell r="C8130">
            <v>45867</v>
          </cell>
          <cell r="D8130" t="str">
            <v>JILANI</v>
          </cell>
          <cell r="E8130" t="str">
            <v>MATCO FOOD</v>
          </cell>
        </row>
        <row r="8131">
          <cell r="A8131" t="str">
            <v>3455 J</v>
          </cell>
          <cell r="B8131">
            <v>12723</v>
          </cell>
          <cell r="C8131">
            <v>45867</v>
          </cell>
          <cell r="D8131" t="str">
            <v>JILANI</v>
          </cell>
          <cell r="E8131" t="str">
            <v xml:space="preserve">Auto Tech Lahore </v>
          </cell>
        </row>
        <row r="8132">
          <cell r="A8132" t="str">
            <v>3456 J</v>
          </cell>
          <cell r="B8132">
            <v>12724</v>
          </cell>
          <cell r="C8132">
            <v>45867</v>
          </cell>
          <cell r="D8132" t="str">
            <v>JILANI</v>
          </cell>
          <cell r="E8132" t="str">
            <v>Adnan Ayoub Azad Kashmir</v>
          </cell>
        </row>
        <row r="8133">
          <cell r="A8133" t="str">
            <v>3457 J</v>
          </cell>
          <cell r="B8133">
            <v>12724</v>
          </cell>
          <cell r="C8133">
            <v>45867</v>
          </cell>
          <cell r="D8133" t="str">
            <v>JILANI</v>
          </cell>
          <cell r="E8133" t="str">
            <v>Adnan Ayoub Azad Kashmir</v>
          </cell>
        </row>
        <row r="8134">
          <cell r="A8134" t="str">
            <v>3458 J</v>
          </cell>
          <cell r="B8134">
            <v>12725</v>
          </cell>
          <cell r="C8134">
            <v>45867</v>
          </cell>
          <cell r="D8134" t="str">
            <v>JILANI</v>
          </cell>
          <cell r="E8134" t="str">
            <v>Mubashar Iqbal Pakistan Cloth LHR</v>
          </cell>
        </row>
        <row r="8135">
          <cell r="A8135" t="str">
            <v>3459 J</v>
          </cell>
          <cell r="B8135">
            <v>12726</v>
          </cell>
          <cell r="C8135">
            <v>45867</v>
          </cell>
          <cell r="D8135" t="str">
            <v>JILANI</v>
          </cell>
          <cell r="E8135" t="str">
            <v>Ayoub Traders Mall Road LHR</v>
          </cell>
        </row>
        <row r="8136">
          <cell r="A8136" t="str">
            <v>3460 J</v>
          </cell>
          <cell r="B8136"/>
          <cell r="C8136">
            <v>45867</v>
          </cell>
          <cell r="D8136" t="str">
            <v>OTHER</v>
          </cell>
          <cell r="E8136" t="str">
            <v>Jilani plastic</v>
          </cell>
        </row>
        <row r="8137">
          <cell r="A8137" t="str">
            <v>3461 J</v>
          </cell>
          <cell r="B8137"/>
          <cell r="C8137">
            <v>45867</v>
          </cell>
          <cell r="D8137" t="str">
            <v>OTHER</v>
          </cell>
          <cell r="E8137" t="str">
            <v>Jilani plastic</v>
          </cell>
        </row>
        <row r="8138">
          <cell r="A8138" t="str">
            <v>3462 J</v>
          </cell>
          <cell r="B8138"/>
          <cell r="C8138">
            <v>45867</v>
          </cell>
          <cell r="D8138" t="str">
            <v>OTHER</v>
          </cell>
          <cell r="E8138" t="str">
            <v>جیلانی پلاسٹک</v>
          </cell>
        </row>
        <row r="8139">
          <cell r="A8139" t="str">
            <v>3463 J</v>
          </cell>
          <cell r="B8139"/>
          <cell r="C8139">
            <v>45868</v>
          </cell>
          <cell r="D8139" t="str">
            <v>OTHER</v>
          </cell>
          <cell r="E8139" t="str">
            <v>Jilani Plastic</v>
          </cell>
        </row>
        <row r="8140">
          <cell r="A8140" t="str">
            <v>3464 J</v>
          </cell>
          <cell r="B8140"/>
          <cell r="C8140">
            <v>45868</v>
          </cell>
          <cell r="D8140" t="str">
            <v>OTHER</v>
          </cell>
          <cell r="E8140" t="str">
            <v>Jilani Plastic</v>
          </cell>
        </row>
        <row r="8141">
          <cell r="A8141" t="str">
            <v>3465 J</v>
          </cell>
          <cell r="B8141"/>
          <cell r="C8141">
            <v>45868</v>
          </cell>
          <cell r="D8141" t="str">
            <v>OTHER</v>
          </cell>
          <cell r="E8141" t="str">
            <v>Jilani Plastic</v>
          </cell>
        </row>
        <row r="8142">
          <cell r="A8142" t="str">
            <v>3466 J</v>
          </cell>
          <cell r="B8142"/>
          <cell r="C8142">
            <v>45868</v>
          </cell>
          <cell r="D8142" t="str">
            <v>OTHER</v>
          </cell>
          <cell r="E8142" t="str">
            <v>Jilani Plastic</v>
          </cell>
        </row>
        <row r="8143">
          <cell r="A8143" t="str">
            <v>3467 J</v>
          </cell>
          <cell r="B8143">
            <v>12727</v>
          </cell>
          <cell r="C8143">
            <v>45868</v>
          </cell>
          <cell r="D8143" t="str">
            <v>JILANI</v>
          </cell>
          <cell r="E8143" t="str">
            <v>Ibraheem Filter Industry (SMC.PVT.LTD)</v>
          </cell>
        </row>
        <row r="8144">
          <cell r="A8144" t="str">
            <v>3468 J</v>
          </cell>
          <cell r="B8144">
            <v>12728</v>
          </cell>
          <cell r="C8144">
            <v>45868</v>
          </cell>
          <cell r="D8144" t="str">
            <v>JILANI</v>
          </cell>
          <cell r="E8144" t="str">
            <v>Noor Cloth House Mardan</v>
          </cell>
        </row>
        <row r="8145">
          <cell r="A8145" t="str">
            <v>3469 J</v>
          </cell>
          <cell r="B8145">
            <v>12729</v>
          </cell>
          <cell r="C8145">
            <v>45868</v>
          </cell>
          <cell r="D8145" t="str">
            <v>JILANI</v>
          </cell>
          <cell r="E8145" t="str">
            <v>Zam Zam Cap Lahore</v>
          </cell>
        </row>
        <row r="8146">
          <cell r="A8146" t="str">
            <v>3470 J</v>
          </cell>
          <cell r="B8146">
            <v>12730</v>
          </cell>
          <cell r="C8146">
            <v>45868</v>
          </cell>
          <cell r="D8146" t="str">
            <v>JILANI</v>
          </cell>
          <cell r="E8146" t="str">
            <v>Royal Brook Lahore</v>
          </cell>
        </row>
        <row r="8147">
          <cell r="A8147" t="str">
            <v>3471 J</v>
          </cell>
          <cell r="B8147">
            <v>12730</v>
          </cell>
          <cell r="C8147">
            <v>45868</v>
          </cell>
          <cell r="D8147" t="str">
            <v>JILANI</v>
          </cell>
          <cell r="E8147" t="str">
            <v>Royal Brook Lahore</v>
          </cell>
        </row>
        <row r="8148">
          <cell r="A8148" t="str">
            <v>3472 J</v>
          </cell>
          <cell r="B8148"/>
          <cell r="C8148">
            <v>45868</v>
          </cell>
          <cell r="D8148" t="str">
            <v>OTHER</v>
          </cell>
          <cell r="E8148" t="str">
            <v>POLY SACK</v>
          </cell>
        </row>
        <row r="8149">
          <cell r="A8149" t="str">
            <v>3473 J</v>
          </cell>
          <cell r="B8149"/>
          <cell r="C8149">
            <v>45868</v>
          </cell>
          <cell r="D8149" t="str">
            <v>OTHER</v>
          </cell>
          <cell r="E8149" t="str">
            <v>POLY SACK</v>
          </cell>
        </row>
        <row r="8150">
          <cell r="A8150" t="str">
            <v>3474 J</v>
          </cell>
          <cell r="B8150"/>
          <cell r="C8150">
            <v>45868</v>
          </cell>
          <cell r="D8150" t="str">
            <v>OTHER</v>
          </cell>
          <cell r="E8150" t="str">
            <v>POLY SACK</v>
          </cell>
        </row>
        <row r="8151">
          <cell r="A8151" t="str">
            <v>3475 J</v>
          </cell>
          <cell r="B8151"/>
          <cell r="C8151">
            <v>45867</v>
          </cell>
          <cell r="D8151" t="str">
            <v>OTHER</v>
          </cell>
          <cell r="E8151" t="str">
            <v>Jilani plastic</v>
          </cell>
        </row>
        <row r="8152">
          <cell r="A8152" t="str">
            <v>3476 J</v>
          </cell>
          <cell r="B8152"/>
          <cell r="C8152">
            <v>45867</v>
          </cell>
          <cell r="D8152" t="str">
            <v>OTHER</v>
          </cell>
          <cell r="E8152" t="str">
            <v>Jilani plastic</v>
          </cell>
        </row>
        <row r="8153">
          <cell r="A8153" t="str">
            <v>3477 J</v>
          </cell>
          <cell r="B8153">
            <v>12624</v>
          </cell>
          <cell r="C8153">
            <v>45855</v>
          </cell>
          <cell r="D8153" t="str">
            <v>JILANI</v>
          </cell>
          <cell r="E8153" t="str">
            <v>Rehan Butt Anarkali Lahore</v>
          </cell>
        </row>
        <row r="8154">
          <cell r="A8154" t="str">
            <v>1912 F</v>
          </cell>
          <cell r="B8154"/>
          <cell r="C8154">
            <v>45868</v>
          </cell>
          <cell r="D8154" t="str">
            <v>Fina</v>
          </cell>
          <cell r="E8154" t="str">
            <v>Usman Amin</v>
          </cell>
        </row>
        <row r="8155">
          <cell r="A8155" t="str">
            <v>1913 F</v>
          </cell>
          <cell r="B8155"/>
          <cell r="C8155">
            <v>45868</v>
          </cell>
          <cell r="D8155" t="str">
            <v>Fina</v>
          </cell>
          <cell r="E8155" t="str">
            <v>Usman Amin</v>
          </cell>
        </row>
        <row r="8156">
          <cell r="A8156" t="str">
            <v>1914 F</v>
          </cell>
          <cell r="B8156"/>
          <cell r="C8156">
            <v>45868</v>
          </cell>
          <cell r="D8156" t="str">
            <v>Fina</v>
          </cell>
          <cell r="E8156" t="str">
            <v>Usman Amin</v>
          </cell>
        </row>
        <row r="8157">
          <cell r="A8157" t="str">
            <v>1915 F</v>
          </cell>
          <cell r="B8157"/>
          <cell r="C8157">
            <v>45868</v>
          </cell>
          <cell r="D8157" t="str">
            <v>Fina</v>
          </cell>
          <cell r="E8157" t="str">
            <v>Usman Amin</v>
          </cell>
        </row>
        <row r="8158">
          <cell r="A8158" t="str">
            <v>1916 F</v>
          </cell>
          <cell r="B8158"/>
          <cell r="C8158">
            <v>45868</v>
          </cell>
          <cell r="D8158" t="str">
            <v>Fina</v>
          </cell>
          <cell r="E8158" t="str">
            <v>Usman Amin</v>
          </cell>
        </row>
        <row r="8159">
          <cell r="A8159" t="str">
            <v>1917 F</v>
          </cell>
          <cell r="B8159"/>
          <cell r="C8159">
            <v>45868</v>
          </cell>
          <cell r="D8159" t="str">
            <v>Fina</v>
          </cell>
          <cell r="E8159" t="str">
            <v>Usman Amin</v>
          </cell>
        </row>
        <row r="8160">
          <cell r="A8160" t="str">
            <v>1918 F</v>
          </cell>
          <cell r="B8160"/>
          <cell r="C8160">
            <v>45869</v>
          </cell>
          <cell r="D8160" t="str">
            <v>Fina</v>
          </cell>
          <cell r="E8160" t="str">
            <v>Usman Amin</v>
          </cell>
        </row>
        <row r="8161">
          <cell r="A8161" t="str">
            <v>1919 F</v>
          </cell>
          <cell r="B8161"/>
          <cell r="C8161">
            <v>45869</v>
          </cell>
          <cell r="D8161" t="str">
            <v>Fina</v>
          </cell>
          <cell r="E8161" t="str">
            <v>Usman Amin</v>
          </cell>
        </row>
        <row r="8162">
          <cell r="A8162" t="str">
            <v>1920 F</v>
          </cell>
          <cell r="B8162"/>
          <cell r="C8162">
            <v>45869</v>
          </cell>
          <cell r="D8162" t="str">
            <v>Fina</v>
          </cell>
          <cell r="E8162" t="str">
            <v>Usman Amin</v>
          </cell>
        </row>
        <row r="8163">
          <cell r="A8163" t="str">
            <v>1921 F</v>
          </cell>
          <cell r="B8163"/>
          <cell r="C8163">
            <v>45870</v>
          </cell>
          <cell r="D8163" t="str">
            <v>Fina</v>
          </cell>
          <cell r="E8163" t="str">
            <v>Usman Amin</v>
          </cell>
        </row>
        <row r="8164">
          <cell r="A8164" t="str">
            <v>1922 F</v>
          </cell>
          <cell r="B8164"/>
          <cell r="C8164">
            <v>45870</v>
          </cell>
          <cell r="D8164" t="str">
            <v>Fina</v>
          </cell>
          <cell r="E8164" t="str">
            <v>Usman Amin</v>
          </cell>
        </row>
        <row r="8165">
          <cell r="A8165" t="str">
            <v>1923 F</v>
          </cell>
          <cell r="B8165"/>
          <cell r="C8165">
            <v>45870</v>
          </cell>
          <cell r="D8165" t="str">
            <v>Fina</v>
          </cell>
          <cell r="E8165" t="str">
            <v>Usman Amin</v>
          </cell>
        </row>
        <row r="8166">
          <cell r="A8166" t="str">
            <v>1924 F</v>
          </cell>
          <cell r="B8166"/>
          <cell r="C8166">
            <v>45870</v>
          </cell>
          <cell r="D8166" t="str">
            <v>Fina</v>
          </cell>
          <cell r="E8166" t="str">
            <v>Usman Amin</v>
          </cell>
        </row>
        <row r="8167">
          <cell r="A8167" t="str">
            <v>1925 F</v>
          </cell>
          <cell r="B8167"/>
          <cell r="C8167">
            <v>45870</v>
          </cell>
          <cell r="D8167" t="str">
            <v>Fina</v>
          </cell>
          <cell r="E8167" t="str">
            <v>Usman Amin</v>
          </cell>
        </row>
        <row r="8168">
          <cell r="A8168" t="str">
            <v>1926 F</v>
          </cell>
          <cell r="B8168"/>
          <cell r="C8168">
            <v>45870</v>
          </cell>
          <cell r="D8168" t="str">
            <v>Fina</v>
          </cell>
          <cell r="E8168" t="str">
            <v>Usman Amin</v>
          </cell>
        </row>
        <row r="8169">
          <cell r="A8169" t="str">
            <v>1927 F</v>
          </cell>
          <cell r="B8169"/>
          <cell r="C8169">
            <v>45870</v>
          </cell>
          <cell r="D8169" t="str">
            <v>Fina</v>
          </cell>
          <cell r="E8169" t="str">
            <v>Usman Amin</v>
          </cell>
        </row>
        <row r="8170">
          <cell r="A8170" t="str">
            <v>3478 J</v>
          </cell>
          <cell r="B8170"/>
          <cell r="C8170">
            <v>45869</v>
          </cell>
          <cell r="D8170" t="str">
            <v>OTHER</v>
          </cell>
          <cell r="E8170" t="str">
            <v>Jilani plastic</v>
          </cell>
        </row>
        <row r="8171">
          <cell r="A8171" t="str">
            <v>3479 J</v>
          </cell>
          <cell r="B8171">
            <v>12731</v>
          </cell>
          <cell r="C8171">
            <v>45869</v>
          </cell>
          <cell r="D8171" t="str">
            <v>JILANI</v>
          </cell>
          <cell r="E8171" t="str">
            <v>Hafiz Tanver Zafarwal</v>
          </cell>
        </row>
        <row r="8172">
          <cell r="A8172" t="str">
            <v>3480 J</v>
          </cell>
          <cell r="B8172">
            <v>12731</v>
          </cell>
          <cell r="C8172">
            <v>45869</v>
          </cell>
          <cell r="D8172" t="str">
            <v>JILANI</v>
          </cell>
          <cell r="E8172" t="str">
            <v>Hafiz Tanver Zafarwal</v>
          </cell>
        </row>
        <row r="8173">
          <cell r="A8173" t="str">
            <v>3481 J</v>
          </cell>
          <cell r="B8173">
            <v>12732</v>
          </cell>
          <cell r="C8173">
            <v>45869</v>
          </cell>
          <cell r="D8173" t="str">
            <v>JILANI</v>
          </cell>
          <cell r="E8173" t="str">
            <v>Rehan Butt Anarkali Lahore</v>
          </cell>
        </row>
        <row r="8174">
          <cell r="A8174" t="str">
            <v>3482 J</v>
          </cell>
          <cell r="B8174">
            <v>12733</v>
          </cell>
          <cell r="C8174">
            <v>45869</v>
          </cell>
          <cell r="D8174" t="str">
            <v>JILANI</v>
          </cell>
          <cell r="E8174" t="str">
            <v>Tauseef Butt Gujjranwala</v>
          </cell>
        </row>
        <row r="8175">
          <cell r="A8175" t="str">
            <v>3483 J</v>
          </cell>
          <cell r="B8175">
            <v>12733</v>
          </cell>
          <cell r="C8175">
            <v>45869</v>
          </cell>
          <cell r="D8175" t="str">
            <v>JILANI</v>
          </cell>
          <cell r="E8175" t="str">
            <v>Tauseef Butt Gujjranwala</v>
          </cell>
        </row>
        <row r="8176">
          <cell r="A8176" t="str">
            <v>3484 J</v>
          </cell>
          <cell r="B8176">
            <v>12733</v>
          </cell>
          <cell r="C8176">
            <v>45869</v>
          </cell>
          <cell r="D8176" t="str">
            <v>JILANI</v>
          </cell>
          <cell r="E8176" t="str">
            <v>Tauseef Butt Gujjranwala</v>
          </cell>
        </row>
        <row r="8177">
          <cell r="A8177" t="str">
            <v>3485 J</v>
          </cell>
          <cell r="B8177">
            <v>12733</v>
          </cell>
          <cell r="C8177">
            <v>45869</v>
          </cell>
          <cell r="D8177" t="str">
            <v>JILANI</v>
          </cell>
          <cell r="E8177" t="str">
            <v>Tauseef Butt Gujjranwala</v>
          </cell>
        </row>
        <row r="8178">
          <cell r="A8178" t="str">
            <v>3486 J</v>
          </cell>
          <cell r="B8178">
            <v>12734</v>
          </cell>
          <cell r="C8178">
            <v>45869</v>
          </cell>
          <cell r="D8178" t="str">
            <v>JILANI</v>
          </cell>
          <cell r="E8178" t="str">
            <v>امارات پلاسٹک ٹھوکر نیاز بیگ</v>
          </cell>
        </row>
        <row r="8179">
          <cell r="A8179" t="str">
            <v>3487 J</v>
          </cell>
          <cell r="B8179">
            <v>12734</v>
          </cell>
          <cell r="C8179">
            <v>45869</v>
          </cell>
          <cell r="D8179" t="str">
            <v>JILANI</v>
          </cell>
          <cell r="E8179" t="str">
            <v>امارات پلاسٹک ٹھوکر نیاز بیگ</v>
          </cell>
        </row>
        <row r="8180">
          <cell r="A8180" t="str">
            <v>3488 J</v>
          </cell>
          <cell r="B8180">
            <v>12734</v>
          </cell>
          <cell r="C8180">
            <v>45869</v>
          </cell>
          <cell r="D8180" t="str">
            <v>JILANI</v>
          </cell>
          <cell r="E8180" t="str">
            <v>امارات پلاسٹک ٹھوکر نیاز بیگ</v>
          </cell>
        </row>
        <row r="8181">
          <cell r="A8181" t="str">
            <v>3489 J</v>
          </cell>
          <cell r="B8181">
            <v>12734</v>
          </cell>
          <cell r="C8181">
            <v>45869</v>
          </cell>
          <cell r="D8181" t="str">
            <v>JILANI</v>
          </cell>
          <cell r="E8181" t="str">
            <v>امارات پلاسٹک ٹھوکر نیاز بیگ</v>
          </cell>
        </row>
        <row r="8182">
          <cell r="A8182" t="str">
            <v>3490 J</v>
          </cell>
          <cell r="B8182">
            <v>12734</v>
          </cell>
          <cell r="C8182">
            <v>45869</v>
          </cell>
          <cell r="D8182" t="str">
            <v>JILANI</v>
          </cell>
          <cell r="E8182" t="str">
            <v>امارات پلاسٹک ٹھوکر نیاز بیگ</v>
          </cell>
        </row>
        <row r="8183">
          <cell r="A8183" t="str">
            <v>3491 J</v>
          </cell>
          <cell r="B8183">
            <v>12734</v>
          </cell>
          <cell r="C8183">
            <v>45869</v>
          </cell>
          <cell r="D8183" t="str">
            <v>JILANI</v>
          </cell>
          <cell r="E8183" t="str">
            <v>امارات پلاسٹک ٹھوکر نیاز بیگ</v>
          </cell>
        </row>
        <row r="8184">
          <cell r="A8184" t="str">
            <v>3492 J</v>
          </cell>
          <cell r="B8184">
            <v>12735</v>
          </cell>
          <cell r="C8184">
            <v>45869</v>
          </cell>
          <cell r="D8184" t="str">
            <v>JILANI</v>
          </cell>
          <cell r="E8184" t="str">
            <v>امارات پلاسٹک ٹھوکر نیاز بیگ</v>
          </cell>
        </row>
        <row r="8185">
          <cell r="A8185" t="str">
            <v>3493 J</v>
          </cell>
          <cell r="B8185">
            <v>12736</v>
          </cell>
          <cell r="C8185">
            <v>45869</v>
          </cell>
          <cell r="D8185" t="str">
            <v>JILANI</v>
          </cell>
          <cell r="E8185" t="str">
            <v>زاہد محمود شاہ عالم لاہور</v>
          </cell>
        </row>
        <row r="8186">
          <cell r="A8186" t="str">
            <v>3494 J</v>
          </cell>
          <cell r="B8186">
            <v>12737</v>
          </cell>
          <cell r="C8186">
            <v>45869</v>
          </cell>
          <cell r="D8186" t="str">
            <v>JILANI</v>
          </cell>
          <cell r="E8186" t="str">
            <v>فاروق ٹیکسٹائل لاہور</v>
          </cell>
        </row>
        <row r="8187">
          <cell r="A8187" t="str">
            <v>3495 J</v>
          </cell>
          <cell r="B8187">
            <v>12738</v>
          </cell>
          <cell r="C8187">
            <v>45869</v>
          </cell>
          <cell r="D8187" t="str">
            <v>JILANI</v>
          </cell>
          <cell r="E8187" t="str">
            <v>عالم پرنٹرز بٹ خیلہ</v>
          </cell>
        </row>
        <row r="8188">
          <cell r="A8188">
            <v>2773</v>
          </cell>
          <cell r="B8188" t="str">
            <v>-</v>
          </cell>
          <cell r="C8188">
            <v>45872</v>
          </cell>
          <cell r="D8188" t="str">
            <v>JILANI</v>
          </cell>
          <cell r="E8188" t="str">
            <v>OLYMPIA</v>
          </cell>
        </row>
        <row r="8189">
          <cell r="A8189" t="str">
            <v>3496 J</v>
          </cell>
          <cell r="B8189">
            <v>12738</v>
          </cell>
          <cell r="C8189">
            <v>45869</v>
          </cell>
          <cell r="D8189" t="str">
            <v>JILANI</v>
          </cell>
          <cell r="E8189" t="str">
            <v>عالم پرنٹرز بٹ خیلہ</v>
          </cell>
        </row>
        <row r="8190">
          <cell r="A8190" t="str">
            <v>3497 J</v>
          </cell>
          <cell r="B8190">
            <v>12739</v>
          </cell>
          <cell r="C8190">
            <v>45870</v>
          </cell>
          <cell r="D8190" t="str">
            <v>JILANI</v>
          </cell>
          <cell r="E8190" t="str">
            <v>Javed Enterprises Gujranwala</v>
          </cell>
        </row>
        <row r="8191">
          <cell r="A8191" t="str">
            <v>3498 J</v>
          </cell>
          <cell r="B8191">
            <v>12740</v>
          </cell>
          <cell r="C8191">
            <v>45870</v>
          </cell>
          <cell r="D8191" t="str">
            <v>JILANI</v>
          </cell>
          <cell r="E8191" t="str">
            <v>Javed Enterprises Gujranwala</v>
          </cell>
        </row>
        <row r="8192">
          <cell r="A8192" t="str">
            <v>3499 J</v>
          </cell>
          <cell r="B8192">
            <v>12741</v>
          </cell>
          <cell r="C8192">
            <v>45870</v>
          </cell>
          <cell r="D8192" t="str">
            <v>JILANI</v>
          </cell>
          <cell r="E8192" t="str">
            <v>Javed Enterprises Gujranwala</v>
          </cell>
        </row>
        <row r="8193">
          <cell r="A8193" t="str">
            <v>3500 J</v>
          </cell>
          <cell r="B8193">
            <v>12742</v>
          </cell>
          <cell r="C8193">
            <v>45870</v>
          </cell>
          <cell r="D8193" t="str">
            <v>JILANI</v>
          </cell>
          <cell r="E8193" t="str">
            <v>Javed Enterprises Gujranwala</v>
          </cell>
        </row>
        <row r="8194">
          <cell r="A8194" t="str">
            <v>3501 J</v>
          </cell>
          <cell r="B8194">
            <v>12743</v>
          </cell>
          <cell r="C8194">
            <v>45870</v>
          </cell>
          <cell r="D8194" t="str">
            <v>JILANI</v>
          </cell>
          <cell r="E8194" t="str">
            <v>Javed Enterprises Gujranwala</v>
          </cell>
        </row>
        <row r="8195">
          <cell r="A8195" t="str">
            <v>3502 J</v>
          </cell>
          <cell r="B8195">
            <v>12744</v>
          </cell>
          <cell r="C8195">
            <v>45870</v>
          </cell>
          <cell r="D8195" t="str">
            <v>JILANI</v>
          </cell>
          <cell r="E8195" t="str">
            <v>ASB Sweets And Bakers Jranwala</v>
          </cell>
        </row>
        <row r="8196">
          <cell r="A8196" t="str">
            <v>3503 J</v>
          </cell>
          <cell r="B8196">
            <v>12745</v>
          </cell>
          <cell r="C8196">
            <v>45870</v>
          </cell>
          <cell r="D8196" t="str">
            <v>JILANI</v>
          </cell>
          <cell r="E8196" t="str">
            <v>ASK Framers Lahore</v>
          </cell>
        </row>
        <row r="8197">
          <cell r="A8197" t="str">
            <v>3504 J</v>
          </cell>
          <cell r="B8197">
            <v>12745</v>
          </cell>
          <cell r="C8197">
            <v>45870</v>
          </cell>
          <cell r="D8197" t="str">
            <v>JILANI</v>
          </cell>
          <cell r="E8197" t="str">
            <v>ASK Framers Lahore</v>
          </cell>
        </row>
        <row r="8198">
          <cell r="A8198" t="str">
            <v>3505 J</v>
          </cell>
          <cell r="B8198">
            <v>12745</v>
          </cell>
          <cell r="C8198">
            <v>45870</v>
          </cell>
          <cell r="D8198" t="str">
            <v>JILANI</v>
          </cell>
          <cell r="E8198" t="str">
            <v>ASK Framers Lahore</v>
          </cell>
        </row>
        <row r="8199">
          <cell r="A8199" t="str">
            <v>3506 J</v>
          </cell>
          <cell r="B8199">
            <v>12745</v>
          </cell>
          <cell r="C8199">
            <v>45870</v>
          </cell>
          <cell r="D8199" t="str">
            <v>JILANI</v>
          </cell>
          <cell r="E8199" t="str">
            <v>ASK Framers Lahore</v>
          </cell>
        </row>
        <row r="8200">
          <cell r="A8200" t="str">
            <v>3507 J</v>
          </cell>
          <cell r="B8200">
            <v>12746</v>
          </cell>
          <cell r="C8200">
            <v>45870</v>
          </cell>
          <cell r="D8200" t="str">
            <v>JILANI</v>
          </cell>
          <cell r="E8200" t="str">
            <v>Shaker Communication Bannu</v>
          </cell>
        </row>
        <row r="8201">
          <cell r="A8201" t="str">
            <v>3508 J</v>
          </cell>
          <cell r="B8201">
            <v>12747</v>
          </cell>
          <cell r="C8201">
            <v>45870</v>
          </cell>
          <cell r="D8201" t="str">
            <v>JILANI</v>
          </cell>
          <cell r="E8201" t="str">
            <v>High Class Bakers Gujranwala</v>
          </cell>
        </row>
        <row r="8202">
          <cell r="A8202" t="str">
            <v>3509 J</v>
          </cell>
          <cell r="B8202">
            <v>12748</v>
          </cell>
          <cell r="C8202">
            <v>45870</v>
          </cell>
          <cell r="D8202" t="str">
            <v>JILANI</v>
          </cell>
          <cell r="E8202" t="str">
            <v>High Class Bakers Gujrat</v>
          </cell>
        </row>
        <row r="8203">
          <cell r="A8203" t="str">
            <v>3510 J</v>
          </cell>
          <cell r="B8203">
            <v>12749</v>
          </cell>
          <cell r="C8203">
            <v>45870</v>
          </cell>
          <cell r="D8203" t="str">
            <v>JILANI</v>
          </cell>
          <cell r="E8203" t="str">
            <v>Sabina Polymer (PVT) LTD</v>
          </cell>
        </row>
        <row r="8204">
          <cell r="A8204" t="str">
            <v>3511 J</v>
          </cell>
          <cell r="B8204">
            <v>12749</v>
          </cell>
          <cell r="C8204">
            <v>45870</v>
          </cell>
          <cell r="D8204" t="str">
            <v>JILANI</v>
          </cell>
          <cell r="E8204" t="str">
            <v>Sabina Polymer (PVT) LTD</v>
          </cell>
        </row>
        <row r="8205">
          <cell r="A8205" t="str">
            <v>3512 J</v>
          </cell>
          <cell r="B8205"/>
          <cell r="C8205">
            <v>45871</v>
          </cell>
          <cell r="D8205" t="str">
            <v>OTHER</v>
          </cell>
          <cell r="E8205" t="str">
            <v>Jilani Poly Stock</v>
          </cell>
        </row>
        <row r="8206">
          <cell r="A8206" t="str">
            <v>3513 J</v>
          </cell>
          <cell r="B8206"/>
          <cell r="C8206">
            <v>45840</v>
          </cell>
          <cell r="D8206" t="str">
            <v>OTHER</v>
          </cell>
          <cell r="E8206" t="str">
            <v>Usman Arif Butt Gujranwala</v>
          </cell>
        </row>
        <row r="8207">
          <cell r="A8207" t="str">
            <v>3514 J</v>
          </cell>
          <cell r="B8207"/>
          <cell r="C8207">
            <v>45840</v>
          </cell>
          <cell r="D8207" t="str">
            <v>OTHER</v>
          </cell>
          <cell r="E8207" t="str">
            <v>Usman Arif Butt Gujranwala</v>
          </cell>
        </row>
        <row r="8208">
          <cell r="A8208" t="str">
            <v>3515 J</v>
          </cell>
          <cell r="B8208"/>
          <cell r="C8208">
            <v>45840</v>
          </cell>
          <cell r="D8208" t="str">
            <v>OTHER</v>
          </cell>
          <cell r="E8208" t="str">
            <v>Usman Arif Butt Gujranwala</v>
          </cell>
        </row>
        <row r="8209">
          <cell r="A8209" t="str">
            <v>3516 J</v>
          </cell>
          <cell r="B8209"/>
          <cell r="C8209">
            <v>45840</v>
          </cell>
          <cell r="D8209" t="str">
            <v>OTHER</v>
          </cell>
          <cell r="E8209" t="str">
            <v>Usman Arif Butt Gujranwala</v>
          </cell>
        </row>
        <row r="8210">
          <cell r="A8210" t="str">
            <v>3517 J</v>
          </cell>
          <cell r="B8210"/>
          <cell r="C8210">
            <v>45873</v>
          </cell>
          <cell r="D8210" t="str">
            <v>OTHER</v>
          </cell>
          <cell r="E8210" t="str">
            <v>Jilani Poly Stock</v>
          </cell>
        </row>
        <row r="8211">
          <cell r="A8211" t="str">
            <v>3518 J</v>
          </cell>
          <cell r="B8211"/>
          <cell r="C8211">
            <v>45873</v>
          </cell>
          <cell r="D8211" t="str">
            <v>OTHER</v>
          </cell>
          <cell r="E8211" t="str">
            <v>Jilani Poly Stock</v>
          </cell>
        </row>
        <row r="8212">
          <cell r="A8212" t="str">
            <v>3519 J</v>
          </cell>
          <cell r="B8212"/>
          <cell r="C8212">
            <v>45873</v>
          </cell>
          <cell r="D8212" t="str">
            <v>OTHER</v>
          </cell>
          <cell r="E8212" t="str">
            <v>Jilani Poly Stock</v>
          </cell>
        </row>
        <row r="8213">
          <cell r="A8213" t="str">
            <v>3520 J</v>
          </cell>
          <cell r="B8213"/>
          <cell r="C8213">
            <v>45873</v>
          </cell>
          <cell r="D8213" t="str">
            <v>OTHER</v>
          </cell>
          <cell r="E8213" t="str">
            <v>Jilani Poly Stock</v>
          </cell>
        </row>
        <row r="8214">
          <cell r="A8214" t="str">
            <v>1921 F</v>
          </cell>
          <cell r="B8214"/>
          <cell r="C8214">
            <v>45870</v>
          </cell>
          <cell r="D8214" t="str">
            <v>Fina</v>
          </cell>
          <cell r="E8214" t="str">
            <v>Usman Amin</v>
          </cell>
        </row>
        <row r="8215">
          <cell r="A8215" t="str">
            <v>1922 F</v>
          </cell>
          <cell r="B8215"/>
          <cell r="C8215">
            <v>45870</v>
          </cell>
          <cell r="D8215" t="str">
            <v>Fina</v>
          </cell>
          <cell r="E8215" t="str">
            <v>Usman Amin</v>
          </cell>
        </row>
        <row r="8216">
          <cell r="A8216" t="str">
            <v>1923 F</v>
          </cell>
          <cell r="B8216"/>
          <cell r="C8216">
            <v>45870</v>
          </cell>
          <cell r="D8216" t="str">
            <v>Fina</v>
          </cell>
          <cell r="E8216" t="str">
            <v>Usman Amin</v>
          </cell>
        </row>
        <row r="8217">
          <cell r="A8217" t="str">
            <v>1924 F</v>
          </cell>
          <cell r="B8217"/>
          <cell r="C8217">
            <v>45870</v>
          </cell>
          <cell r="D8217" t="str">
            <v>Fina</v>
          </cell>
          <cell r="E8217" t="str">
            <v>Usman Amin</v>
          </cell>
        </row>
        <row r="8218">
          <cell r="A8218" t="str">
            <v>1925 F</v>
          </cell>
          <cell r="B8218"/>
          <cell r="C8218">
            <v>45870</v>
          </cell>
          <cell r="D8218" t="str">
            <v>Fina</v>
          </cell>
          <cell r="E8218" t="str">
            <v>Usman Amin</v>
          </cell>
        </row>
        <row r="8219">
          <cell r="A8219" t="str">
            <v>1926 F</v>
          </cell>
          <cell r="B8219"/>
          <cell r="C8219">
            <v>45870</v>
          </cell>
          <cell r="D8219" t="str">
            <v>Fina</v>
          </cell>
          <cell r="E8219" t="str">
            <v>Usman Amin</v>
          </cell>
        </row>
        <row r="8220">
          <cell r="A8220" t="str">
            <v>1927 F</v>
          </cell>
          <cell r="B8220"/>
          <cell r="C8220">
            <v>45870</v>
          </cell>
          <cell r="D8220" t="str">
            <v>Fina</v>
          </cell>
          <cell r="E8220" t="str">
            <v>Usman Amin</v>
          </cell>
        </row>
        <row r="8221">
          <cell r="A8221" t="str">
            <v>1928 F</v>
          </cell>
          <cell r="B8221"/>
          <cell r="C8221">
            <v>45871</v>
          </cell>
          <cell r="D8221" t="str">
            <v>Fina</v>
          </cell>
          <cell r="E8221" t="str">
            <v>Usman Amin</v>
          </cell>
        </row>
        <row r="8222">
          <cell r="A8222" t="str">
            <v>1929 F</v>
          </cell>
          <cell r="B8222"/>
          <cell r="C8222">
            <v>45871</v>
          </cell>
          <cell r="D8222" t="str">
            <v>Fina</v>
          </cell>
          <cell r="E8222" t="str">
            <v>Usman Amin</v>
          </cell>
        </row>
        <row r="8223">
          <cell r="A8223" t="str">
            <v>1930 F</v>
          </cell>
          <cell r="B8223"/>
          <cell r="C8223">
            <v>45871</v>
          </cell>
          <cell r="D8223" t="str">
            <v>Fina</v>
          </cell>
          <cell r="E8223" t="str">
            <v>Usman Amin</v>
          </cell>
        </row>
        <row r="8224">
          <cell r="A8224" t="str">
            <v>1931 F</v>
          </cell>
          <cell r="B8224"/>
          <cell r="C8224">
            <v>45871</v>
          </cell>
          <cell r="D8224" t="str">
            <v>Fina</v>
          </cell>
          <cell r="E8224" t="str">
            <v>Usman Amin</v>
          </cell>
        </row>
        <row r="8225">
          <cell r="A8225" t="str">
            <v>7118/1</v>
          </cell>
          <cell r="B8225">
            <v>7118</v>
          </cell>
          <cell r="C8225">
            <v>45867</v>
          </cell>
          <cell r="D8225" t="str">
            <v>یونس صاحب</v>
          </cell>
          <cell r="E8225" t="str">
            <v>شیخ انوار لیہ</v>
          </cell>
        </row>
        <row r="8226">
          <cell r="A8226" t="str">
            <v>7119/1</v>
          </cell>
          <cell r="B8226">
            <v>7119</v>
          </cell>
          <cell r="C8226">
            <v>45867</v>
          </cell>
          <cell r="D8226" t="str">
            <v>یونس صاحب</v>
          </cell>
          <cell r="E8226" t="str">
            <v>مقبول پرنٹر ہری پور</v>
          </cell>
        </row>
        <row r="8227">
          <cell r="A8227" t="str">
            <v>7119/2</v>
          </cell>
          <cell r="B8227">
            <v>7119</v>
          </cell>
          <cell r="C8227">
            <v>45867</v>
          </cell>
          <cell r="D8227" t="str">
            <v>یونس صاحب</v>
          </cell>
          <cell r="E8227" t="str">
            <v>مقبول پرنٹر ہری پور</v>
          </cell>
        </row>
        <row r="8228">
          <cell r="A8228" t="str">
            <v>7119/3</v>
          </cell>
          <cell r="B8228">
            <v>7119</v>
          </cell>
          <cell r="C8228">
            <v>45867</v>
          </cell>
          <cell r="D8228" t="str">
            <v>یونس صاحب</v>
          </cell>
          <cell r="E8228" t="str">
            <v>مقبول پرنٹر ہری پور</v>
          </cell>
        </row>
        <row r="8229">
          <cell r="A8229" t="str">
            <v>7121/1</v>
          </cell>
          <cell r="B8229">
            <v>7121</v>
          </cell>
          <cell r="C8229">
            <v>45867</v>
          </cell>
          <cell r="D8229" t="str">
            <v>یونس صاحب</v>
          </cell>
          <cell r="E8229" t="str">
            <v>گڈ لک انٹرپرایزز شاہ عالم</v>
          </cell>
        </row>
        <row r="8230">
          <cell r="A8230" t="str">
            <v>7122/1</v>
          </cell>
          <cell r="B8230">
            <v>7122</v>
          </cell>
          <cell r="C8230">
            <v>45867</v>
          </cell>
          <cell r="D8230" t="str">
            <v>یونس صاحب</v>
          </cell>
          <cell r="E8230" t="str">
            <v>ایم سلیمان پاکستان مارکیٹ</v>
          </cell>
        </row>
        <row r="8231">
          <cell r="A8231" t="str">
            <v>7123/1</v>
          </cell>
          <cell r="B8231">
            <v>7123</v>
          </cell>
          <cell r="C8231">
            <v>45874</v>
          </cell>
          <cell r="D8231" t="str">
            <v>یونس صاحب</v>
          </cell>
          <cell r="E8231" t="str">
            <v>العمر پلاسٹک گوجرانوالہ</v>
          </cell>
        </row>
        <row r="8232">
          <cell r="A8232" t="str">
            <v>7123/2</v>
          </cell>
          <cell r="B8232">
            <v>7123</v>
          </cell>
          <cell r="C8232">
            <v>45874</v>
          </cell>
          <cell r="D8232" t="str">
            <v>یونس صاحب</v>
          </cell>
          <cell r="E8232" t="str">
            <v>العمر پلاسٹک گوجرانوالہ</v>
          </cell>
        </row>
        <row r="8233">
          <cell r="A8233" t="str">
            <v>7124/1</v>
          </cell>
          <cell r="B8233">
            <v>7124</v>
          </cell>
          <cell r="C8233">
            <v>45874</v>
          </cell>
          <cell r="D8233" t="str">
            <v>یونس صاحب</v>
          </cell>
          <cell r="E8233" t="str">
            <v>عبدالرشید اسلام ٓاباد</v>
          </cell>
        </row>
        <row r="8234">
          <cell r="A8234" t="str">
            <v>7125/1</v>
          </cell>
          <cell r="B8234">
            <v>7125</v>
          </cell>
          <cell r="C8234">
            <v>45874</v>
          </cell>
          <cell r="D8234" t="str">
            <v>یونس صاحب</v>
          </cell>
          <cell r="E8234" t="str">
            <v>نزیرپلاسٹک ملتان</v>
          </cell>
        </row>
        <row r="8235">
          <cell r="A8235" t="str">
            <v>7125/2</v>
          </cell>
          <cell r="B8235">
            <v>7125</v>
          </cell>
          <cell r="C8235">
            <v>45874</v>
          </cell>
          <cell r="D8235" t="str">
            <v>یونس صاحب</v>
          </cell>
          <cell r="E8235" t="str">
            <v>نزیرپلاسٹک ملتان</v>
          </cell>
        </row>
        <row r="8236">
          <cell r="A8236" t="str">
            <v>7125/3</v>
          </cell>
          <cell r="B8236">
            <v>7125</v>
          </cell>
          <cell r="C8236">
            <v>45874</v>
          </cell>
          <cell r="D8236" t="str">
            <v>یونس صاحب</v>
          </cell>
          <cell r="E8236" t="str">
            <v>نزیرپلاسٹک ملتان</v>
          </cell>
        </row>
        <row r="8237">
          <cell r="A8237" t="str">
            <v>7126/1</v>
          </cell>
          <cell r="B8237">
            <v>7126</v>
          </cell>
          <cell r="C8237">
            <v>45874</v>
          </cell>
          <cell r="D8237" t="str">
            <v>یونس صاحب</v>
          </cell>
          <cell r="E8237" t="str">
            <v>خرم پلاسٹک لالہ موسہ</v>
          </cell>
        </row>
        <row r="8238">
          <cell r="A8238" t="str">
            <v>7126/2</v>
          </cell>
          <cell r="B8238">
            <v>7126</v>
          </cell>
          <cell r="C8238">
            <v>45874</v>
          </cell>
          <cell r="D8238" t="str">
            <v>یونس صاحب</v>
          </cell>
          <cell r="E8238" t="str">
            <v>خرم پلاسٹک لالہ موسہ</v>
          </cell>
        </row>
        <row r="8239">
          <cell r="A8239" t="str">
            <v>7126/3</v>
          </cell>
          <cell r="B8239">
            <v>7126</v>
          </cell>
          <cell r="C8239">
            <v>45874</v>
          </cell>
          <cell r="D8239" t="str">
            <v>یونس صاحب</v>
          </cell>
          <cell r="E8239" t="str">
            <v>خرم پلاسٹک لالہ موسہ</v>
          </cell>
        </row>
        <row r="8240">
          <cell r="A8240" t="str">
            <v>7126/4</v>
          </cell>
          <cell r="B8240">
            <v>7126</v>
          </cell>
          <cell r="C8240">
            <v>45874</v>
          </cell>
          <cell r="D8240" t="str">
            <v>یونس صاحب</v>
          </cell>
          <cell r="E8240" t="str">
            <v>خرم پلاسٹک لالہ موسہ</v>
          </cell>
        </row>
        <row r="8241">
          <cell r="A8241" t="str">
            <v>7127/1</v>
          </cell>
          <cell r="B8241">
            <v>7127</v>
          </cell>
          <cell r="C8241">
            <v>45874</v>
          </cell>
          <cell r="D8241" t="str">
            <v>یونس صاحب</v>
          </cell>
          <cell r="E8241" t="str">
            <v>طارق سوپ چکوال</v>
          </cell>
        </row>
        <row r="8242">
          <cell r="A8242" t="str">
            <v>7127/2</v>
          </cell>
          <cell r="B8242">
            <v>7127</v>
          </cell>
          <cell r="C8242">
            <v>45874</v>
          </cell>
          <cell r="D8242" t="str">
            <v>یونس صاحب</v>
          </cell>
          <cell r="E8242" t="str">
            <v>طارق سوپ چکوال</v>
          </cell>
        </row>
        <row r="8243">
          <cell r="A8243" t="str">
            <v>7128/1</v>
          </cell>
          <cell r="B8243">
            <v>7128</v>
          </cell>
          <cell r="C8243">
            <v>45874</v>
          </cell>
          <cell r="D8243" t="str">
            <v>یونس صاحب</v>
          </cell>
          <cell r="E8243" t="str">
            <v>اختر علی چیچہ وطنی</v>
          </cell>
        </row>
        <row r="8244">
          <cell r="A8244" t="str">
            <v>7128/2</v>
          </cell>
          <cell r="B8244">
            <v>7128</v>
          </cell>
          <cell r="C8244">
            <v>45874</v>
          </cell>
          <cell r="D8244" t="str">
            <v>یونس صاحب</v>
          </cell>
          <cell r="E8244" t="str">
            <v>اختر علی چیچہ وطنی</v>
          </cell>
        </row>
        <row r="8245">
          <cell r="A8245" t="str">
            <v>7128/3</v>
          </cell>
          <cell r="B8245">
            <v>7128</v>
          </cell>
          <cell r="C8245">
            <v>45874</v>
          </cell>
          <cell r="D8245" t="str">
            <v>یونس صاحب</v>
          </cell>
          <cell r="E8245" t="str">
            <v>اختر علی چیچہ وطنی</v>
          </cell>
        </row>
        <row r="8246">
          <cell r="A8246" t="str">
            <v>7128/4</v>
          </cell>
          <cell r="B8246">
            <v>7128</v>
          </cell>
          <cell r="C8246">
            <v>45874</v>
          </cell>
          <cell r="D8246" t="str">
            <v>یونس صاحب</v>
          </cell>
          <cell r="E8246" t="str">
            <v>اختر علی چیچہ وطنی</v>
          </cell>
        </row>
        <row r="8247">
          <cell r="A8247" t="str">
            <v>7128/5</v>
          </cell>
          <cell r="B8247">
            <v>7128</v>
          </cell>
          <cell r="C8247">
            <v>45874</v>
          </cell>
          <cell r="D8247" t="str">
            <v>یونس صاحب</v>
          </cell>
          <cell r="E8247" t="str">
            <v>اختر علی چیچہ وطنی</v>
          </cell>
        </row>
        <row r="8248">
          <cell r="A8248" t="str">
            <v>7128/6</v>
          </cell>
          <cell r="B8248">
            <v>7128</v>
          </cell>
          <cell r="C8248">
            <v>45874</v>
          </cell>
          <cell r="D8248" t="str">
            <v>یونس صاحب</v>
          </cell>
          <cell r="E8248" t="str">
            <v>اختر علی چیچہ وطنی</v>
          </cell>
        </row>
        <row r="8249">
          <cell r="A8249" t="str">
            <v>7128/7</v>
          </cell>
          <cell r="B8249">
            <v>7128</v>
          </cell>
          <cell r="C8249">
            <v>45874</v>
          </cell>
          <cell r="D8249" t="str">
            <v>یونس صاحب</v>
          </cell>
          <cell r="E8249" t="str">
            <v>اختر علی چیچہ وطنی</v>
          </cell>
        </row>
        <row r="8250">
          <cell r="A8250" t="str">
            <v>7129/1</v>
          </cell>
          <cell r="B8250">
            <v>7129</v>
          </cell>
          <cell r="C8250">
            <v>45874</v>
          </cell>
          <cell r="D8250" t="str">
            <v>یونس صاحب</v>
          </cell>
          <cell r="E8250" t="str">
            <v>چیچا وطنی</v>
          </cell>
        </row>
        <row r="8251">
          <cell r="A8251" t="str">
            <v>7129/2</v>
          </cell>
          <cell r="B8251">
            <v>7129</v>
          </cell>
          <cell r="C8251">
            <v>45874</v>
          </cell>
          <cell r="D8251" t="str">
            <v>یونس صاحب</v>
          </cell>
          <cell r="E8251" t="str">
            <v>چیچا وطنی</v>
          </cell>
        </row>
        <row r="8252">
          <cell r="A8252" t="str">
            <v>7129/3</v>
          </cell>
          <cell r="B8252">
            <v>7129</v>
          </cell>
          <cell r="C8252">
            <v>45874</v>
          </cell>
          <cell r="D8252" t="str">
            <v>یونس صاحب</v>
          </cell>
          <cell r="E8252" t="str">
            <v>چیچا وطنی</v>
          </cell>
        </row>
        <row r="8253">
          <cell r="A8253" t="str">
            <v>7129/4</v>
          </cell>
          <cell r="B8253">
            <v>7129</v>
          </cell>
          <cell r="C8253">
            <v>45874</v>
          </cell>
          <cell r="D8253" t="str">
            <v>یونس صاحب</v>
          </cell>
          <cell r="E8253" t="str">
            <v>چیچا وطنی</v>
          </cell>
        </row>
        <row r="8254">
          <cell r="A8254" t="str">
            <v>7130/1</v>
          </cell>
          <cell r="B8254">
            <v>7130</v>
          </cell>
          <cell r="C8254">
            <v>45874</v>
          </cell>
          <cell r="D8254" t="str">
            <v>یونس صاحب</v>
          </cell>
          <cell r="E8254" t="str">
            <v>وحید پلاسٹک گوجرانولہ</v>
          </cell>
        </row>
        <row r="8255">
          <cell r="A8255" t="str">
            <v>7130/2</v>
          </cell>
          <cell r="B8255">
            <v>7130</v>
          </cell>
          <cell r="C8255">
            <v>45874</v>
          </cell>
          <cell r="D8255" t="str">
            <v>یونس صاحب</v>
          </cell>
          <cell r="E8255" t="str">
            <v>وحید پلاسٹک گوجرانولہ</v>
          </cell>
        </row>
        <row r="8256">
          <cell r="A8256" t="str">
            <v>7131/1</v>
          </cell>
          <cell r="B8256">
            <v>7131</v>
          </cell>
          <cell r="C8256">
            <v>45874</v>
          </cell>
          <cell r="D8256" t="str">
            <v>یونس صاحب</v>
          </cell>
          <cell r="E8256" t="str">
            <v>اصف پلاسٹک بورے والا</v>
          </cell>
        </row>
        <row r="8257">
          <cell r="A8257" t="str">
            <v>7132/1</v>
          </cell>
          <cell r="B8257">
            <v>7132</v>
          </cell>
          <cell r="C8257">
            <v>45874</v>
          </cell>
          <cell r="D8257" t="str">
            <v>یونس صاحب</v>
          </cell>
          <cell r="E8257" t="str">
            <v>قدیر پلاسٹک فیصل اباد</v>
          </cell>
        </row>
        <row r="8258">
          <cell r="A8258" t="str">
            <v>7132/2</v>
          </cell>
          <cell r="B8258">
            <v>7132</v>
          </cell>
          <cell r="C8258">
            <v>45874</v>
          </cell>
          <cell r="D8258" t="str">
            <v>یونس صاحب</v>
          </cell>
          <cell r="E8258" t="str">
            <v>قدیر پلاسٹک فیصل اباد</v>
          </cell>
        </row>
        <row r="8259">
          <cell r="A8259" t="str">
            <v>7132/3</v>
          </cell>
          <cell r="B8259">
            <v>7132</v>
          </cell>
          <cell r="C8259">
            <v>45874</v>
          </cell>
          <cell r="D8259" t="str">
            <v>یونس صاحب</v>
          </cell>
          <cell r="E8259" t="str">
            <v>قدیر پلاسٹک فیصل اباد</v>
          </cell>
        </row>
        <row r="8260">
          <cell r="A8260" t="str">
            <v>7132/4</v>
          </cell>
          <cell r="B8260">
            <v>7132</v>
          </cell>
          <cell r="C8260">
            <v>45874</v>
          </cell>
          <cell r="D8260" t="str">
            <v>یونس صاحب</v>
          </cell>
          <cell r="E8260" t="str">
            <v>قدیر پلاسٹک فیصل اباد</v>
          </cell>
        </row>
        <row r="8261">
          <cell r="A8261" t="str">
            <v>7132/5</v>
          </cell>
          <cell r="B8261">
            <v>7132</v>
          </cell>
          <cell r="C8261">
            <v>45874</v>
          </cell>
          <cell r="D8261" t="str">
            <v>یونس صاحب</v>
          </cell>
          <cell r="E8261" t="str">
            <v>قدیر پلاسٹک فیصل اباد</v>
          </cell>
        </row>
        <row r="8262">
          <cell r="A8262" t="str">
            <v>7132/6</v>
          </cell>
          <cell r="B8262">
            <v>7132</v>
          </cell>
          <cell r="C8262">
            <v>45874</v>
          </cell>
          <cell r="D8262" t="str">
            <v>یونس صاحب</v>
          </cell>
          <cell r="E8262" t="str">
            <v>قدیر پلاسٹک فیصل اباد</v>
          </cell>
        </row>
        <row r="8263">
          <cell r="A8263" t="str">
            <v>7132/7</v>
          </cell>
          <cell r="B8263">
            <v>7132</v>
          </cell>
          <cell r="C8263">
            <v>45874</v>
          </cell>
          <cell r="D8263" t="str">
            <v>یونس صاحب</v>
          </cell>
          <cell r="E8263" t="str">
            <v>قدیر پلاسٹک فیصل اباد</v>
          </cell>
        </row>
        <row r="8264">
          <cell r="A8264" t="str">
            <v>7132/8</v>
          </cell>
          <cell r="B8264">
            <v>7132</v>
          </cell>
          <cell r="C8264">
            <v>45874</v>
          </cell>
          <cell r="D8264" t="str">
            <v>یونس صاحب</v>
          </cell>
          <cell r="E8264" t="str">
            <v>قدیر پلاسٹک فیصل اباد</v>
          </cell>
        </row>
        <row r="8265">
          <cell r="A8265" t="str">
            <v>7132/9</v>
          </cell>
          <cell r="B8265">
            <v>7132</v>
          </cell>
          <cell r="C8265">
            <v>45874</v>
          </cell>
          <cell r="D8265" t="str">
            <v>یونس صاحب</v>
          </cell>
          <cell r="E8265" t="str">
            <v>قدیر پلاسٹک فیصل اباد</v>
          </cell>
        </row>
        <row r="8266">
          <cell r="A8266" t="str">
            <v>7133/1</v>
          </cell>
          <cell r="B8266">
            <v>7133</v>
          </cell>
          <cell r="C8266">
            <v>45874</v>
          </cell>
          <cell r="D8266" t="str">
            <v>یونس صاحب</v>
          </cell>
          <cell r="E8266" t="str">
            <v>ہیڈ افس سٹاک لاہور</v>
          </cell>
        </row>
        <row r="8267">
          <cell r="A8267" t="str">
            <v>7134/1</v>
          </cell>
          <cell r="B8267">
            <v>7134</v>
          </cell>
          <cell r="C8267">
            <v>45874</v>
          </cell>
          <cell r="D8267" t="str">
            <v>یونس صاحب</v>
          </cell>
          <cell r="E8267" t="str">
            <v>ہیڈ افس سٹاک لاہور</v>
          </cell>
        </row>
        <row r="8268">
          <cell r="A8268" t="str">
            <v>7134/2</v>
          </cell>
          <cell r="B8268">
            <v>7134</v>
          </cell>
          <cell r="C8268">
            <v>45874</v>
          </cell>
          <cell r="D8268" t="str">
            <v>یونس صاحب</v>
          </cell>
          <cell r="E8268" t="str">
            <v>ہیڈ افس سٹاک لاہور</v>
          </cell>
        </row>
        <row r="8269">
          <cell r="A8269" t="str">
            <v>7134/3</v>
          </cell>
          <cell r="B8269">
            <v>7134</v>
          </cell>
          <cell r="C8269">
            <v>45874</v>
          </cell>
          <cell r="D8269" t="str">
            <v>یونس صاحب</v>
          </cell>
          <cell r="E8269" t="str">
            <v>ہیڈ افس سٹاک لاہور</v>
          </cell>
        </row>
        <row r="8270">
          <cell r="A8270" t="str">
            <v>7134/4</v>
          </cell>
          <cell r="B8270">
            <v>7134</v>
          </cell>
          <cell r="C8270">
            <v>45874</v>
          </cell>
          <cell r="D8270" t="str">
            <v>یونس صاحب</v>
          </cell>
          <cell r="E8270" t="str">
            <v>ہیڈ افس سٹاک لاہور</v>
          </cell>
        </row>
        <row r="8271">
          <cell r="A8271" t="str">
            <v>7134/5</v>
          </cell>
          <cell r="B8271">
            <v>7134</v>
          </cell>
          <cell r="C8271">
            <v>45874</v>
          </cell>
          <cell r="D8271" t="str">
            <v>یونس صاحب</v>
          </cell>
          <cell r="E8271" t="str">
            <v>ہیڈ افس سٹاک لاہور</v>
          </cell>
        </row>
        <row r="8272">
          <cell r="A8272" t="str">
            <v>7134/6</v>
          </cell>
          <cell r="B8272">
            <v>7134</v>
          </cell>
          <cell r="C8272">
            <v>45874</v>
          </cell>
          <cell r="D8272" t="str">
            <v>یونس صاحب</v>
          </cell>
          <cell r="E8272" t="str">
            <v>ہیڈ افس سٹاک لاہور</v>
          </cell>
        </row>
        <row r="8273">
          <cell r="A8273" t="str">
            <v>7134/7</v>
          </cell>
          <cell r="B8273">
            <v>7134</v>
          </cell>
          <cell r="C8273">
            <v>45874</v>
          </cell>
          <cell r="D8273" t="str">
            <v>یونس صاحب</v>
          </cell>
          <cell r="E8273" t="str">
            <v>ہیڈ افس سٹاک لاہور</v>
          </cell>
        </row>
        <row r="8274">
          <cell r="A8274" t="str">
            <v>7134/8</v>
          </cell>
          <cell r="B8274">
            <v>7134</v>
          </cell>
          <cell r="C8274">
            <v>45874</v>
          </cell>
          <cell r="D8274" t="str">
            <v>یونس صاحب</v>
          </cell>
          <cell r="E8274" t="str">
            <v>ہیڈ افس سٹاک لاہور</v>
          </cell>
        </row>
        <row r="8275">
          <cell r="A8275" t="str">
            <v>7134/9</v>
          </cell>
          <cell r="B8275">
            <v>7134</v>
          </cell>
          <cell r="C8275">
            <v>45874</v>
          </cell>
          <cell r="D8275" t="str">
            <v>یونس صاحب</v>
          </cell>
          <cell r="E8275" t="str">
            <v>ہیڈ افس سٹاک لاہور</v>
          </cell>
        </row>
        <row r="8276">
          <cell r="A8276" t="str">
            <v>7134/10</v>
          </cell>
          <cell r="B8276">
            <v>7134</v>
          </cell>
          <cell r="C8276">
            <v>45874</v>
          </cell>
          <cell r="D8276" t="str">
            <v>یونس صاحب</v>
          </cell>
          <cell r="E8276" t="str">
            <v>ہیڈ افس سٹاک لاہور</v>
          </cell>
        </row>
        <row r="8277">
          <cell r="A8277" t="str">
            <v>7134/11</v>
          </cell>
          <cell r="B8277">
            <v>7134</v>
          </cell>
          <cell r="C8277">
            <v>45874</v>
          </cell>
          <cell r="D8277" t="str">
            <v>یونس صاحب</v>
          </cell>
          <cell r="E8277" t="str">
            <v>ہیڈ افس سٹاک لاہور</v>
          </cell>
        </row>
        <row r="8278">
          <cell r="A8278" t="str">
            <v>7134/12</v>
          </cell>
          <cell r="B8278">
            <v>7134</v>
          </cell>
          <cell r="C8278">
            <v>45874</v>
          </cell>
          <cell r="D8278" t="str">
            <v>یونس صاحب</v>
          </cell>
          <cell r="E8278" t="str">
            <v>ہیڈ افس سٹاک لاہور</v>
          </cell>
        </row>
        <row r="8279">
          <cell r="A8279" t="str">
            <v>7134/13</v>
          </cell>
          <cell r="B8279">
            <v>7134</v>
          </cell>
          <cell r="C8279">
            <v>45874</v>
          </cell>
          <cell r="D8279" t="str">
            <v>یونس صاحب</v>
          </cell>
          <cell r="E8279" t="str">
            <v>ہیڈ افس سٹاک لاہور</v>
          </cell>
        </row>
        <row r="8280">
          <cell r="A8280" t="str">
            <v>7134/14</v>
          </cell>
          <cell r="B8280">
            <v>7134</v>
          </cell>
          <cell r="C8280">
            <v>45874</v>
          </cell>
          <cell r="D8280" t="str">
            <v>یونس صاحب</v>
          </cell>
          <cell r="E8280" t="str">
            <v>ہیڈ افس سٹاک لاہور</v>
          </cell>
        </row>
        <row r="8281">
          <cell r="A8281" t="str">
            <v>7134/15</v>
          </cell>
          <cell r="B8281">
            <v>7134</v>
          </cell>
          <cell r="C8281">
            <v>45874</v>
          </cell>
          <cell r="D8281" t="str">
            <v>یونس صاحب</v>
          </cell>
          <cell r="E8281" t="str">
            <v>ہیڈ افس سٹاک لاہور</v>
          </cell>
        </row>
        <row r="8282">
          <cell r="A8282" t="str">
            <v>7134/16</v>
          </cell>
          <cell r="B8282">
            <v>7134</v>
          </cell>
          <cell r="C8282">
            <v>45874</v>
          </cell>
          <cell r="D8282" t="str">
            <v>یونس صاحب</v>
          </cell>
          <cell r="E8282" t="str">
            <v>ہیڈ افس سٹاک لاہور</v>
          </cell>
        </row>
        <row r="8283">
          <cell r="A8283" t="str">
            <v>7134/17</v>
          </cell>
          <cell r="B8283">
            <v>7134</v>
          </cell>
          <cell r="C8283">
            <v>45874</v>
          </cell>
          <cell r="D8283" t="str">
            <v>یونس صاحب</v>
          </cell>
          <cell r="E8283" t="str">
            <v>ہیڈ افس سٹاک لاہور</v>
          </cell>
        </row>
        <row r="8284">
          <cell r="A8284" t="str">
            <v>7134/18</v>
          </cell>
          <cell r="B8284">
            <v>7134</v>
          </cell>
          <cell r="C8284">
            <v>45874</v>
          </cell>
          <cell r="D8284" t="str">
            <v>یونس صاحب</v>
          </cell>
          <cell r="E8284" t="str">
            <v>ہیڈ افس سٹاک لاہور</v>
          </cell>
        </row>
        <row r="8285">
          <cell r="A8285" t="str">
            <v>7134/19</v>
          </cell>
          <cell r="B8285">
            <v>7134</v>
          </cell>
          <cell r="C8285">
            <v>45874</v>
          </cell>
          <cell r="D8285" t="str">
            <v>یونس صاحب</v>
          </cell>
          <cell r="E8285" t="str">
            <v>ہیڈ افس سٹاک لاہور</v>
          </cell>
        </row>
        <row r="8286">
          <cell r="A8286" t="str">
            <v>7135/1</v>
          </cell>
          <cell r="B8286">
            <v>7135</v>
          </cell>
          <cell r="C8286">
            <v>45874</v>
          </cell>
          <cell r="D8286" t="str">
            <v>یونس صاحب</v>
          </cell>
          <cell r="E8286" t="str">
            <v>اقبال پلاسٹک کوٹ ادو</v>
          </cell>
        </row>
        <row r="8287">
          <cell r="A8287" t="str">
            <v>7135/2</v>
          </cell>
          <cell r="B8287">
            <v>7135</v>
          </cell>
          <cell r="C8287">
            <v>45874</v>
          </cell>
          <cell r="D8287" t="str">
            <v>یونس صاحب</v>
          </cell>
          <cell r="E8287" t="str">
            <v>اقبال پلاسٹک کوٹ ادو</v>
          </cell>
        </row>
        <row r="8288">
          <cell r="A8288" t="str">
            <v>7135/3</v>
          </cell>
          <cell r="B8288">
            <v>7135</v>
          </cell>
          <cell r="C8288">
            <v>45874</v>
          </cell>
          <cell r="D8288" t="str">
            <v>یونس صاحب</v>
          </cell>
          <cell r="E8288" t="str">
            <v>اقبال پلاسٹک کوٹ ادو</v>
          </cell>
        </row>
        <row r="8289">
          <cell r="A8289" t="str">
            <v>7135/4</v>
          </cell>
          <cell r="B8289">
            <v>7135</v>
          </cell>
          <cell r="C8289">
            <v>45874</v>
          </cell>
          <cell r="D8289" t="str">
            <v>یونس صاحب</v>
          </cell>
          <cell r="E8289" t="str">
            <v>اقبال پلاسٹک کوٹ ادو</v>
          </cell>
        </row>
        <row r="8290">
          <cell r="A8290" t="str">
            <v>7135/5</v>
          </cell>
          <cell r="B8290">
            <v>7135</v>
          </cell>
          <cell r="C8290">
            <v>45874</v>
          </cell>
          <cell r="D8290" t="str">
            <v>یونس صاحب</v>
          </cell>
          <cell r="E8290" t="str">
            <v>اقبال پلاسٹک کوٹ ادو</v>
          </cell>
        </row>
        <row r="8291">
          <cell r="A8291" t="str">
            <v>7135/6</v>
          </cell>
          <cell r="B8291">
            <v>7135</v>
          </cell>
          <cell r="C8291">
            <v>45874</v>
          </cell>
          <cell r="D8291" t="str">
            <v>یونس صاحب</v>
          </cell>
          <cell r="E8291" t="str">
            <v>اقبال پلاسٹک کوٹ ادو</v>
          </cell>
        </row>
        <row r="8292">
          <cell r="A8292" t="str">
            <v>7135/7</v>
          </cell>
          <cell r="B8292">
            <v>7135</v>
          </cell>
          <cell r="C8292">
            <v>45874</v>
          </cell>
          <cell r="D8292" t="str">
            <v>یونس صاحب</v>
          </cell>
          <cell r="E8292" t="str">
            <v>اقبال پلاسٹک کوٹ ادو</v>
          </cell>
        </row>
        <row r="8293">
          <cell r="A8293" t="str">
            <v>7135/8</v>
          </cell>
          <cell r="B8293">
            <v>7135</v>
          </cell>
          <cell r="C8293">
            <v>45874</v>
          </cell>
          <cell r="D8293" t="str">
            <v>یونس صاحب</v>
          </cell>
          <cell r="E8293" t="str">
            <v>اقبال پلاسٹک کوٹ ادو</v>
          </cell>
        </row>
        <row r="8294">
          <cell r="A8294" t="str">
            <v>7135/9</v>
          </cell>
          <cell r="B8294">
            <v>7135</v>
          </cell>
          <cell r="C8294">
            <v>45874</v>
          </cell>
          <cell r="D8294" t="str">
            <v>یونس صاحب</v>
          </cell>
          <cell r="E8294" t="str">
            <v>اقبال پلاسٹک کوٹ ادو</v>
          </cell>
        </row>
        <row r="8295">
          <cell r="A8295" t="str">
            <v>7135/10</v>
          </cell>
          <cell r="B8295">
            <v>7135</v>
          </cell>
          <cell r="C8295">
            <v>45874</v>
          </cell>
          <cell r="D8295" t="str">
            <v>یونس صاحب</v>
          </cell>
          <cell r="E8295" t="str">
            <v>اقبال پلاسٹک کوٹ ادو</v>
          </cell>
        </row>
        <row r="8296">
          <cell r="A8296" t="str">
            <v>7136/1</v>
          </cell>
          <cell r="B8296">
            <v>7136</v>
          </cell>
          <cell r="C8296">
            <v>45874</v>
          </cell>
          <cell r="D8296" t="str">
            <v>یونس صاحب</v>
          </cell>
          <cell r="E8296" t="str">
            <v>محبوب مقبول گوجرانوالہ</v>
          </cell>
        </row>
        <row r="8297">
          <cell r="A8297" t="str">
            <v>7136/2</v>
          </cell>
          <cell r="B8297">
            <v>7136</v>
          </cell>
          <cell r="C8297">
            <v>45874</v>
          </cell>
          <cell r="D8297" t="str">
            <v>یونس صاحب</v>
          </cell>
          <cell r="E8297" t="str">
            <v>محبوب مقبول گوجرانوالہ</v>
          </cell>
        </row>
        <row r="8298">
          <cell r="A8298" t="str">
            <v>7137/1</v>
          </cell>
          <cell r="B8298">
            <v>7137</v>
          </cell>
          <cell r="C8298">
            <v>45874</v>
          </cell>
          <cell r="D8298" t="str">
            <v>یونس صاحب</v>
          </cell>
          <cell r="E8298" t="str">
            <v>محبوب مقبول گوجرانوالہ</v>
          </cell>
        </row>
        <row r="8299">
          <cell r="A8299" t="str">
            <v>7138/1</v>
          </cell>
          <cell r="B8299">
            <v>7138</v>
          </cell>
          <cell r="C8299">
            <v>45874</v>
          </cell>
          <cell r="D8299" t="str">
            <v>یونس صاحب</v>
          </cell>
          <cell r="E8299" t="str">
            <v>محبوب مقبول گوجرانوالہ</v>
          </cell>
        </row>
        <row r="8300">
          <cell r="A8300" t="str">
            <v>7138/2</v>
          </cell>
          <cell r="B8300">
            <v>7138</v>
          </cell>
          <cell r="C8300">
            <v>45874</v>
          </cell>
          <cell r="D8300" t="str">
            <v>یونس صاحب</v>
          </cell>
          <cell r="E8300" t="str">
            <v>محبوب مقبول گوجرانوالہ</v>
          </cell>
        </row>
        <row r="8301">
          <cell r="A8301" t="str">
            <v>7138/3</v>
          </cell>
          <cell r="B8301">
            <v>7138</v>
          </cell>
          <cell r="C8301">
            <v>45874</v>
          </cell>
          <cell r="D8301" t="str">
            <v>یونس صاحب</v>
          </cell>
          <cell r="E8301" t="str">
            <v>محبوب مقبول گوجرانوالہ</v>
          </cell>
        </row>
        <row r="8302">
          <cell r="A8302" t="str">
            <v>7138/4</v>
          </cell>
          <cell r="B8302">
            <v>7138</v>
          </cell>
          <cell r="C8302">
            <v>45874</v>
          </cell>
          <cell r="D8302" t="str">
            <v>یونس صاحب</v>
          </cell>
          <cell r="E8302" t="str">
            <v>محبوب مقبول گوجرانوالہ</v>
          </cell>
        </row>
        <row r="8303">
          <cell r="A8303" t="str">
            <v>7138/5</v>
          </cell>
          <cell r="B8303">
            <v>7138</v>
          </cell>
          <cell r="C8303">
            <v>45874</v>
          </cell>
          <cell r="D8303" t="str">
            <v>یونس صاحب</v>
          </cell>
          <cell r="E8303" t="str">
            <v>محبوب مقبول گوجرانوالہ</v>
          </cell>
        </row>
        <row r="8304">
          <cell r="A8304" t="str">
            <v>7138/6</v>
          </cell>
          <cell r="B8304">
            <v>7138</v>
          </cell>
          <cell r="C8304">
            <v>45874</v>
          </cell>
          <cell r="D8304" t="str">
            <v>یونس صاحب</v>
          </cell>
          <cell r="E8304" t="str">
            <v>محبوب مقبول گوجرانوالہ</v>
          </cell>
        </row>
        <row r="8305">
          <cell r="A8305" t="str">
            <v>7138/7</v>
          </cell>
          <cell r="B8305">
            <v>7138</v>
          </cell>
          <cell r="C8305">
            <v>45874</v>
          </cell>
          <cell r="D8305" t="str">
            <v>یونس صاحب</v>
          </cell>
          <cell r="E8305" t="str">
            <v>محبوب مقبول گوجرانوالہ</v>
          </cell>
        </row>
        <row r="8306">
          <cell r="A8306" t="str">
            <v>7138/8</v>
          </cell>
          <cell r="B8306">
            <v>7138</v>
          </cell>
          <cell r="C8306">
            <v>45874</v>
          </cell>
          <cell r="D8306" t="str">
            <v>یونس صاحب</v>
          </cell>
          <cell r="E8306" t="str">
            <v>محبوب مقبول گوجرانوالہ</v>
          </cell>
        </row>
        <row r="8307">
          <cell r="A8307" t="str">
            <v>7138/9</v>
          </cell>
          <cell r="B8307">
            <v>7138</v>
          </cell>
          <cell r="C8307">
            <v>45874</v>
          </cell>
          <cell r="D8307" t="str">
            <v>یونس صاحب</v>
          </cell>
          <cell r="E8307" t="str">
            <v>محبوب مقبول گوجرانوالہ</v>
          </cell>
        </row>
        <row r="8308">
          <cell r="A8308" t="str">
            <v>7139/1</v>
          </cell>
          <cell r="B8308">
            <v>7139</v>
          </cell>
          <cell r="C8308">
            <v>45874</v>
          </cell>
          <cell r="D8308" t="str">
            <v>یونس صاحب</v>
          </cell>
          <cell r="E8308" t="str">
            <v>عمران مشتاق پتوکی</v>
          </cell>
        </row>
        <row r="8309">
          <cell r="A8309" t="str">
            <v>7139/2</v>
          </cell>
          <cell r="B8309">
            <v>7139</v>
          </cell>
          <cell r="C8309">
            <v>45874</v>
          </cell>
          <cell r="D8309" t="str">
            <v>یونس صاحب</v>
          </cell>
          <cell r="E8309" t="str">
            <v>عمران مشتاق پتوکی</v>
          </cell>
        </row>
        <row r="8310">
          <cell r="A8310" t="str">
            <v>7139/3</v>
          </cell>
          <cell r="B8310">
            <v>7139</v>
          </cell>
          <cell r="C8310">
            <v>45874</v>
          </cell>
          <cell r="D8310" t="str">
            <v>یونس صاحب</v>
          </cell>
          <cell r="E8310" t="str">
            <v>عمران مشتاق پتوکی</v>
          </cell>
        </row>
        <row r="8311">
          <cell r="A8311" t="str">
            <v>7139/4</v>
          </cell>
          <cell r="B8311">
            <v>7139</v>
          </cell>
          <cell r="C8311">
            <v>45874</v>
          </cell>
          <cell r="D8311" t="str">
            <v>یونس صاحب</v>
          </cell>
          <cell r="E8311" t="str">
            <v>عمران مشتاق پتوکی</v>
          </cell>
        </row>
        <row r="8312">
          <cell r="A8312" t="str">
            <v>7139/5</v>
          </cell>
          <cell r="B8312">
            <v>7139</v>
          </cell>
          <cell r="C8312">
            <v>45874</v>
          </cell>
          <cell r="D8312" t="str">
            <v>یونس صاحب</v>
          </cell>
          <cell r="E8312" t="str">
            <v>عمران مشتاق پتوکی</v>
          </cell>
        </row>
        <row r="8313">
          <cell r="A8313" t="str">
            <v>7139/6</v>
          </cell>
          <cell r="B8313">
            <v>7139</v>
          </cell>
          <cell r="C8313">
            <v>45874</v>
          </cell>
          <cell r="D8313" t="str">
            <v>یونس صاحب</v>
          </cell>
          <cell r="E8313" t="str">
            <v>عمران مشتاق پتوکی</v>
          </cell>
        </row>
        <row r="8314">
          <cell r="A8314" t="str">
            <v>7139/7</v>
          </cell>
          <cell r="B8314">
            <v>7139</v>
          </cell>
          <cell r="C8314">
            <v>45874</v>
          </cell>
          <cell r="D8314" t="str">
            <v>یونس صاحب</v>
          </cell>
          <cell r="E8314" t="str">
            <v>عمران مشتاق پتوکی</v>
          </cell>
        </row>
        <row r="8315">
          <cell r="A8315" t="str">
            <v>7140/1</v>
          </cell>
          <cell r="B8315">
            <v>7140</v>
          </cell>
          <cell r="C8315">
            <v>45874</v>
          </cell>
          <cell r="D8315" t="str">
            <v>یونس صاحب</v>
          </cell>
          <cell r="E8315" t="str">
            <v>نادر پلاسٹک سرگودھا</v>
          </cell>
        </row>
        <row r="8316">
          <cell r="A8316" t="str">
            <v>7140/2</v>
          </cell>
          <cell r="B8316">
            <v>7140</v>
          </cell>
          <cell r="C8316">
            <v>45874</v>
          </cell>
          <cell r="D8316" t="str">
            <v>یونس صاحب</v>
          </cell>
          <cell r="E8316" t="str">
            <v>نادر پلاسٹک سرگودھا</v>
          </cell>
        </row>
        <row r="8317">
          <cell r="A8317" t="str">
            <v>7140/3</v>
          </cell>
          <cell r="B8317">
            <v>7140</v>
          </cell>
          <cell r="C8317">
            <v>45874</v>
          </cell>
          <cell r="D8317" t="str">
            <v>یونس صاحب</v>
          </cell>
          <cell r="E8317" t="str">
            <v>نادر پلاسٹک سرگودھا</v>
          </cell>
        </row>
        <row r="8318">
          <cell r="A8318" t="str">
            <v>7140/4</v>
          </cell>
          <cell r="B8318">
            <v>7140</v>
          </cell>
          <cell r="C8318">
            <v>45874</v>
          </cell>
          <cell r="D8318" t="str">
            <v>یونس صاحب</v>
          </cell>
          <cell r="E8318" t="str">
            <v>نادر پلاسٹک سرگودھا</v>
          </cell>
        </row>
        <row r="8319">
          <cell r="A8319" t="str">
            <v>7140/5</v>
          </cell>
          <cell r="B8319">
            <v>7140</v>
          </cell>
          <cell r="C8319">
            <v>45874</v>
          </cell>
          <cell r="D8319" t="str">
            <v>یونس صاحب</v>
          </cell>
          <cell r="E8319" t="str">
            <v>نادر پلاسٹک سرگودھا</v>
          </cell>
        </row>
        <row r="8320">
          <cell r="A8320" t="str">
            <v>7140/6</v>
          </cell>
          <cell r="B8320">
            <v>7140</v>
          </cell>
          <cell r="C8320">
            <v>45874</v>
          </cell>
          <cell r="D8320" t="str">
            <v>یونس صاحب</v>
          </cell>
          <cell r="E8320" t="str">
            <v>نادر پلاسٹک سرگودھا</v>
          </cell>
        </row>
        <row r="8321">
          <cell r="A8321" t="str">
            <v>7140/7</v>
          </cell>
          <cell r="B8321">
            <v>7140</v>
          </cell>
          <cell r="C8321">
            <v>45874</v>
          </cell>
          <cell r="D8321" t="str">
            <v>یونس صاحب</v>
          </cell>
          <cell r="E8321" t="str">
            <v>نادر پلاسٹک سرگودھا</v>
          </cell>
        </row>
        <row r="8322">
          <cell r="A8322" t="str">
            <v>7140/8</v>
          </cell>
          <cell r="B8322">
            <v>7140</v>
          </cell>
          <cell r="C8322">
            <v>45874</v>
          </cell>
          <cell r="D8322" t="str">
            <v>یونس صاحب</v>
          </cell>
          <cell r="E8322" t="str">
            <v>نادر پلاسٹک سرگودھا</v>
          </cell>
        </row>
        <row r="8323">
          <cell r="A8323" t="str">
            <v>7140/9</v>
          </cell>
          <cell r="B8323">
            <v>7140</v>
          </cell>
          <cell r="C8323">
            <v>45874</v>
          </cell>
          <cell r="D8323" t="str">
            <v>یونس صاحب</v>
          </cell>
          <cell r="E8323" t="str">
            <v>نادر پلاسٹک سرگودھا</v>
          </cell>
        </row>
        <row r="8324">
          <cell r="A8324" t="str">
            <v>7140/10</v>
          </cell>
          <cell r="B8324">
            <v>7140</v>
          </cell>
          <cell r="C8324">
            <v>45874</v>
          </cell>
          <cell r="D8324" t="str">
            <v>یونس صاحب</v>
          </cell>
          <cell r="E8324" t="str">
            <v>نادر پلاسٹک سرگودھا</v>
          </cell>
        </row>
        <row r="8325">
          <cell r="A8325" t="str">
            <v>7140/11</v>
          </cell>
          <cell r="B8325">
            <v>7140</v>
          </cell>
          <cell r="C8325">
            <v>45874</v>
          </cell>
          <cell r="D8325" t="str">
            <v>یونس صاحب</v>
          </cell>
          <cell r="E8325" t="str">
            <v>نادر پلاسٹک سرگودھا</v>
          </cell>
        </row>
        <row r="8326">
          <cell r="A8326" t="str">
            <v>7141/1</v>
          </cell>
          <cell r="B8326">
            <v>7141</v>
          </cell>
          <cell r="C8326">
            <v>45874</v>
          </cell>
          <cell r="D8326" t="str">
            <v>یونس صاحب</v>
          </cell>
          <cell r="E8326" t="str">
            <v>ملک خالد سلیم فیصل آباد</v>
          </cell>
        </row>
        <row r="8327">
          <cell r="A8327" t="str">
            <v>7141/2</v>
          </cell>
          <cell r="B8327">
            <v>7141</v>
          </cell>
          <cell r="C8327">
            <v>45874</v>
          </cell>
          <cell r="D8327" t="str">
            <v>یونس صاحب</v>
          </cell>
          <cell r="E8327" t="str">
            <v>ملک خالد سلیم فیصل آباد</v>
          </cell>
        </row>
        <row r="8328">
          <cell r="A8328" t="str">
            <v>7141/3</v>
          </cell>
          <cell r="B8328">
            <v>7141</v>
          </cell>
          <cell r="C8328">
            <v>45874</v>
          </cell>
          <cell r="D8328" t="str">
            <v>یونس صاحب</v>
          </cell>
          <cell r="E8328" t="str">
            <v>ملک خالد سلیم فیصل آباد</v>
          </cell>
        </row>
        <row r="8329">
          <cell r="A8329" t="str">
            <v>7141/4</v>
          </cell>
          <cell r="B8329">
            <v>7141</v>
          </cell>
          <cell r="C8329">
            <v>45874</v>
          </cell>
          <cell r="D8329" t="str">
            <v>یونس صاحب</v>
          </cell>
          <cell r="E8329" t="str">
            <v>ملک خالد سلیم فیصل آباد</v>
          </cell>
        </row>
        <row r="8330">
          <cell r="A8330" t="str">
            <v>7141/5</v>
          </cell>
          <cell r="B8330">
            <v>7141</v>
          </cell>
          <cell r="C8330">
            <v>45874</v>
          </cell>
          <cell r="D8330" t="str">
            <v>یونس صاحب</v>
          </cell>
          <cell r="E8330" t="str">
            <v>ملک خالد سلیم فیصل آباد</v>
          </cell>
        </row>
        <row r="8331">
          <cell r="A8331" t="str">
            <v>7141/6</v>
          </cell>
          <cell r="B8331">
            <v>7141</v>
          </cell>
          <cell r="C8331">
            <v>45874</v>
          </cell>
          <cell r="D8331" t="str">
            <v>یونس صاحب</v>
          </cell>
          <cell r="E8331" t="str">
            <v>ملک خالد سلیم فیصل آباد</v>
          </cell>
        </row>
        <row r="8332">
          <cell r="A8332">
            <v>2774</v>
          </cell>
          <cell r="B8332">
            <v>1814</v>
          </cell>
          <cell r="C8332">
            <v>45873</v>
          </cell>
          <cell r="D8332" t="str">
            <v>JILANI</v>
          </cell>
          <cell r="E8332" t="str">
            <v>USMAN AMEEN LAHORE</v>
          </cell>
        </row>
        <row r="8333">
          <cell r="A8333" t="str">
            <v>3521 J</v>
          </cell>
          <cell r="B8333">
            <v>12750</v>
          </cell>
          <cell r="C8333">
            <v>45873</v>
          </cell>
          <cell r="D8333" t="str">
            <v>JILANI</v>
          </cell>
          <cell r="E8333" t="str">
            <v>Sheikh Iqbal Cloth and Botique Center LHR</v>
          </cell>
        </row>
        <row r="8334">
          <cell r="A8334" t="str">
            <v>3522 J</v>
          </cell>
          <cell r="B8334">
            <v>12751</v>
          </cell>
          <cell r="C8334">
            <v>45873</v>
          </cell>
          <cell r="D8334" t="str">
            <v>JILANI</v>
          </cell>
          <cell r="E8334" t="str">
            <v>Al Burak Deparmental Store Lahore</v>
          </cell>
        </row>
        <row r="8335">
          <cell r="A8335" t="str">
            <v>3523 J</v>
          </cell>
          <cell r="B8335">
            <v>12751</v>
          </cell>
          <cell r="C8335">
            <v>45873</v>
          </cell>
          <cell r="D8335" t="str">
            <v>JILANI</v>
          </cell>
          <cell r="E8335" t="str">
            <v>Al Burak Deparmental Store Lahore</v>
          </cell>
        </row>
        <row r="8336">
          <cell r="A8336" t="str">
            <v>3524 J</v>
          </cell>
          <cell r="B8336">
            <v>12752</v>
          </cell>
          <cell r="C8336">
            <v>45873</v>
          </cell>
          <cell r="D8336" t="str">
            <v>JILANI</v>
          </cell>
          <cell r="E8336" t="str">
            <v>Madni Printing Press Narang Mandi</v>
          </cell>
        </row>
        <row r="8337">
          <cell r="A8337" t="str">
            <v>3525 J</v>
          </cell>
          <cell r="B8337">
            <v>12753</v>
          </cell>
          <cell r="C8337">
            <v>45873</v>
          </cell>
          <cell r="D8337" t="str">
            <v>JILANI</v>
          </cell>
          <cell r="E8337" t="str">
            <v>Ibtsam Traders Sheikhupura</v>
          </cell>
        </row>
        <row r="8338">
          <cell r="A8338" t="str">
            <v>3526 J</v>
          </cell>
          <cell r="B8338">
            <v>12754</v>
          </cell>
          <cell r="C8338">
            <v>45873</v>
          </cell>
          <cell r="D8338" t="str">
            <v>JILANI</v>
          </cell>
          <cell r="E8338" t="str">
            <v>Abu Baker Butt Lahore</v>
          </cell>
        </row>
        <row r="8339">
          <cell r="A8339" t="str">
            <v>3527 J</v>
          </cell>
          <cell r="B8339">
            <v>12754</v>
          </cell>
          <cell r="C8339">
            <v>45873</v>
          </cell>
          <cell r="D8339" t="str">
            <v>JILANI</v>
          </cell>
          <cell r="E8339" t="str">
            <v>Abu Baker Butt Lahore</v>
          </cell>
        </row>
        <row r="8340">
          <cell r="A8340" t="str">
            <v>3528 J</v>
          </cell>
          <cell r="B8340">
            <v>12755</v>
          </cell>
          <cell r="C8340">
            <v>45873</v>
          </cell>
          <cell r="D8340" t="str">
            <v>JILANI</v>
          </cell>
          <cell r="E8340" t="str">
            <v>Alam Printers Butkhela</v>
          </cell>
        </row>
        <row r="8341">
          <cell r="A8341" t="str">
            <v>3529 J</v>
          </cell>
          <cell r="B8341">
            <v>12755</v>
          </cell>
          <cell r="C8341">
            <v>45873</v>
          </cell>
          <cell r="D8341" t="str">
            <v>JILANI</v>
          </cell>
          <cell r="E8341" t="str">
            <v>Alam Printers Butkhela</v>
          </cell>
        </row>
        <row r="8342">
          <cell r="A8342" t="str">
            <v>3530 J</v>
          </cell>
          <cell r="B8342">
            <v>12756</v>
          </cell>
          <cell r="C8342">
            <v>45873</v>
          </cell>
          <cell r="D8342" t="str">
            <v>JILANI</v>
          </cell>
          <cell r="E8342" t="str">
            <v>Book Coner Jehlam</v>
          </cell>
        </row>
        <row r="8343">
          <cell r="A8343" t="str">
            <v>3531 J</v>
          </cell>
          <cell r="B8343">
            <v>12756</v>
          </cell>
          <cell r="C8343">
            <v>45873</v>
          </cell>
          <cell r="D8343" t="str">
            <v>JILANI</v>
          </cell>
          <cell r="E8343" t="str">
            <v>Book Coner Jehlam</v>
          </cell>
        </row>
        <row r="8344">
          <cell r="A8344" t="str">
            <v>3532 J</v>
          </cell>
          <cell r="B8344">
            <v>12757</v>
          </cell>
          <cell r="C8344">
            <v>45873</v>
          </cell>
          <cell r="D8344" t="str">
            <v>JILANI</v>
          </cell>
          <cell r="E8344" t="str">
            <v>Alam Printers Butkhela</v>
          </cell>
        </row>
        <row r="8345">
          <cell r="A8345" t="str">
            <v>3533 J</v>
          </cell>
          <cell r="B8345">
            <v>12757</v>
          </cell>
          <cell r="C8345">
            <v>45873</v>
          </cell>
          <cell r="D8345" t="str">
            <v>JILANI</v>
          </cell>
          <cell r="E8345" t="str">
            <v>Alam Printers Butkhela</v>
          </cell>
        </row>
        <row r="8346">
          <cell r="A8346" t="str">
            <v>3534 J</v>
          </cell>
          <cell r="B8346">
            <v>12758</v>
          </cell>
          <cell r="C8346">
            <v>45873</v>
          </cell>
          <cell r="D8346" t="str">
            <v>JILANI</v>
          </cell>
          <cell r="E8346" t="str">
            <v>Bannu Wollen Mills Ltd</v>
          </cell>
        </row>
        <row r="8347">
          <cell r="A8347" t="str">
            <v>3535 J</v>
          </cell>
          <cell r="B8347">
            <v>12759</v>
          </cell>
          <cell r="C8347">
            <v>45873</v>
          </cell>
          <cell r="D8347" t="str">
            <v>JILANI</v>
          </cell>
          <cell r="E8347" t="str">
            <v>Bannu Wollen Mills Ltd</v>
          </cell>
        </row>
        <row r="8348">
          <cell r="A8348" t="str">
            <v>3536 J</v>
          </cell>
          <cell r="B8348">
            <v>12759</v>
          </cell>
          <cell r="C8348">
            <v>45873</v>
          </cell>
          <cell r="D8348" t="str">
            <v>JILANI</v>
          </cell>
          <cell r="E8348" t="str">
            <v>Bannu Wollen Mills Ltd</v>
          </cell>
        </row>
        <row r="8349">
          <cell r="A8349" t="str">
            <v>3537 J</v>
          </cell>
          <cell r="B8349">
            <v>12760</v>
          </cell>
          <cell r="C8349">
            <v>45873</v>
          </cell>
          <cell r="D8349" t="str">
            <v>JILANI</v>
          </cell>
          <cell r="E8349" t="str">
            <v>Asghar Butt Gujjranwala</v>
          </cell>
        </row>
        <row r="8350">
          <cell r="A8350" t="str">
            <v>3538 J</v>
          </cell>
          <cell r="B8350">
            <v>12760</v>
          </cell>
          <cell r="C8350">
            <v>45873</v>
          </cell>
          <cell r="D8350" t="str">
            <v>JILANI</v>
          </cell>
          <cell r="E8350" t="str">
            <v>Asghar Butt Gujjranwala</v>
          </cell>
        </row>
        <row r="8351">
          <cell r="A8351" t="str">
            <v>3539 J</v>
          </cell>
          <cell r="B8351">
            <v>12760</v>
          </cell>
          <cell r="C8351">
            <v>45873</v>
          </cell>
          <cell r="D8351" t="str">
            <v>JILANI</v>
          </cell>
          <cell r="E8351" t="str">
            <v>Asghar Butt Gujjranwala</v>
          </cell>
        </row>
        <row r="8352">
          <cell r="A8352" t="str">
            <v>3540 J</v>
          </cell>
          <cell r="B8352">
            <v>12761</v>
          </cell>
          <cell r="C8352">
            <v>45873</v>
          </cell>
          <cell r="D8352" t="str">
            <v>JILANI</v>
          </cell>
          <cell r="E8352" t="str">
            <v>Ahmed Sweets and Bakers Chishtian</v>
          </cell>
        </row>
        <row r="8353">
          <cell r="A8353" t="str">
            <v>3541 J</v>
          </cell>
          <cell r="B8353">
            <v>12762</v>
          </cell>
          <cell r="C8353">
            <v>45873</v>
          </cell>
          <cell r="D8353" t="str">
            <v>JILANI</v>
          </cell>
          <cell r="E8353" t="str">
            <v>Mozami Plastice Sahiwal</v>
          </cell>
        </row>
        <row r="8354">
          <cell r="A8354" t="str">
            <v>3542 J</v>
          </cell>
          <cell r="B8354">
            <v>12762</v>
          </cell>
          <cell r="C8354">
            <v>45873</v>
          </cell>
          <cell r="D8354" t="str">
            <v>JILANI</v>
          </cell>
          <cell r="E8354" t="str">
            <v>Mozami Plastice Sahiwal</v>
          </cell>
        </row>
        <row r="8355">
          <cell r="A8355" t="str">
            <v>3543 J</v>
          </cell>
          <cell r="B8355">
            <v>12763</v>
          </cell>
          <cell r="C8355">
            <v>45873</v>
          </cell>
          <cell r="D8355" t="str">
            <v>JILANI</v>
          </cell>
          <cell r="E8355" t="str">
            <v>Bandu Khan Lahore</v>
          </cell>
        </row>
        <row r="8356">
          <cell r="A8356" t="str">
            <v>3544 J</v>
          </cell>
          <cell r="B8356">
            <v>12764</v>
          </cell>
          <cell r="C8356">
            <v>45873</v>
          </cell>
          <cell r="D8356" t="str">
            <v>JILANI</v>
          </cell>
          <cell r="E8356" t="str">
            <v>Atlas Honda LTD</v>
          </cell>
        </row>
        <row r="8357">
          <cell r="A8357" t="str">
            <v>3545 J</v>
          </cell>
          <cell r="B8357"/>
          <cell r="C8357">
            <v>45873</v>
          </cell>
          <cell r="D8357" t="str">
            <v>JILANI</v>
          </cell>
          <cell r="E8357" t="str">
            <v>Usman Color C/O Arman Sb</v>
          </cell>
        </row>
        <row r="8358">
          <cell r="A8358" t="str">
            <v>3546 J</v>
          </cell>
          <cell r="B8358"/>
          <cell r="C8358">
            <v>45873</v>
          </cell>
          <cell r="D8358" t="str">
            <v>JILANI</v>
          </cell>
          <cell r="E8358" t="str">
            <v>Usman Color C/O Arman Sb</v>
          </cell>
        </row>
        <row r="8359">
          <cell r="A8359" t="str">
            <v>3547 J</v>
          </cell>
          <cell r="B8359"/>
          <cell r="C8359">
            <v>45873</v>
          </cell>
          <cell r="D8359" t="str">
            <v>JILANI</v>
          </cell>
          <cell r="E8359" t="str">
            <v>Usman Color C/O Arman Sb</v>
          </cell>
        </row>
        <row r="8360">
          <cell r="A8360" t="str">
            <v>1932 F</v>
          </cell>
          <cell r="B8360"/>
          <cell r="C8360">
            <v>45873</v>
          </cell>
          <cell r="D8360" t="str">
            <v>Fina</v>
          </cell>
          <cell r="E8360" t="str">
            <v>Usman Amin</v>
          </cell>
        </row>
        <row r="8361">
          <cell r="A8361" t="str">
            <v>1933 F</v>
          </cell>
          <cell r="B8361"/>
          <cell r="C8361">
            <v>45873</v>
          </cell>
          <cell r="D8361" t="str">
            <v>Fina</v>
          </cell>
          <cell r="E8361" t="str">
            <v>Usman Amin</v>
          </cell>
        </row>
        <row r="8362">
          <cell r="A8362" t="str">
            <v>1934 F</v>
          </cell>
          <cell r="B8362"/>
          <cell r="C8362">
            <v>45873</v>
          </cell>
          <cell r="D8362" t="str">
            <v>Fina</v>
          </cell>
          <cell r="E8362" t="str">
            <v>Usman Amin</v>
          </cell>
        </row>
        <row r="8363">
          <cell r="A8363" t="str">
            <v>1935 F</v>
          </cell>
          <cell r="B8363"/>
          <cell r="C8363">
            <v>45873</v>
          </cell>
          <cell r="D8363" t="str">
            <v>Fina</v>
          </cell>
          <cell r="E8363" t="str">
            <v>Usman Amin</v>
          </cell>
        </row>
        <row r="8364">
          <cell r="A8364" t="str">
            <v>1936 F</v>
          </cell>
          <cell r="B8364"/>
          <cell r="C8364">
            <v>45873</v>
          </cell>
          <cell r="D8364" t="str">
            <v>Fina</v>
          </cell>
          <cell r="E8364" t="str">
            <v>Usman Amin</v>
          </cell>
        </row>
        <row r="8365">
          <cell r="A8365" t="str">
            <v>1937 F</v>
          </cell>
          <cell r="B8365"/>
          <cell r="C8365">
            <v>45873</v>
          </cell>
          <cell r="D8365" t="str">
            <v>Fina</v>
          </cell>
          <cell r="E8365" t="str">
            <v>Usman Amin</v>
          </cell>
        </row>
        <row r="8366">
          <cell r="A8366">
            <v>2775</v>
          </cell>
          <cell r="B8366">
            <v>1411</v>
          </cell>
          <cell r="C8366">
            <v>45875</v>
          </cell>
          <cell r="D8366" t="str">
            <v>JILANI</v>
          </cell>
          <cell r="E8366" t="str">
            <v>MATCO FOOD</v>
          </cell>
        </row>
        <row r="8367">
          <cell r="A8367" t="str">
            <v>1938 F</v>
          </cell>
          <cell r="B8367"/>
          <cell r="C8367">
            <v>45874</v>
          </cell>
          <cell r="D8367" t="str">
            <v>Fina</v>
          </cell>
          <cell r="E8367" t="str">
            <v>Usman Amin</v>
          </cell>
        </row>
        <row r="8368">
          <cell r="A8368" t="str">
            <v>1939 F</v>
          </cell>
          <cell r="B8368"/>
          <cell r="C8368">
            <v>45874</v>
          </cell>
          <cell r="D8368" t="str">
            <v>Fina</v>
          </cell>
          <cell r="E8368" t="str">
            <v>Usman Amin</v>
          </cell>
        </row>
        <row r="8369">
          <cell r="A8369" t="str">
            <v>1940 F</v>
          </cell>
          <cell r="B8369"/>
          <cell r="C8369">
            <v>45874</v>
          </cell>
          <cell r="D8369" t="str">
            <v>Fina</v>
          </cell>
          <cell r="E8369" t="str">
            <v>Usman Amin</v>
          </cell>
        </row>
        <row r="8370">
          <cell r="A8370" t="str">
            <v>1941 F</v>
          </cell>
          <cell r="B8370"/>
          <cell r="C8370">
            <v>45874</v>
          </cell>
          <cell r="D8370" t="str">
            <v>Fina</v>
          </cell>
          <cell r="E8370" t="str">
            <v>Usman Amin</v>
          </cell>
        </row>
        <row r="8371">
          <cell r="A8371" t="str">
            <v>1942 F</v>
          </cell>
          <cell r="B8371"/>
          <cell r="C8371">
            <v>45874</v>
          </cell>
          <cell r="D8371" t="str">
            <v>Fina</v>
          </cell>
          <cell r="E8371" t="str">
            <v>Usman Amin</v>
          </cell>
        </row>
        <row r="8372">
          <cell r="A8372" t="str">
            <v>1943 F</v>
          </cell>
          <cell r="B8372"/>
          <cell r="C8372">
            <v>45874</v>
          </cell>
          <cell r="D8372" t="str">
            <v>Fina</v>
          </cell>
          <cell r="E8372" t="str">
            <v>Usman Amin</v>
          </cell>
        </row>
        <row r="8373">
          <cell r="A8373" t="str">
            <v>1944 F</v>
          </cell>
          <cell r="B8373"/>
          <cell r="C8373">
            <v>45874</v>
          </cell>
          <cell r="D8373" t="str">
            <v>Fina</v>
          </cell>
          <cell r="E8373" t="str">
            <v>Usman Amin</v>
          </cell>
        </row>
        <row r="8374">
          <cell r="A8374" t="str">
            <v>1945 F</v>
          </cell>
          <cell r="B8374"/>
          <cell r="C8374">
            <v>45874</v>
          </cell>
          <cell r="D8374" t="str">
            <v>Fina</v>
          </cell>
          <cell r="E8374" t="str">
            <v>Usman Amin</v>
          </cell>
        </row>
        <row r="8375">
          <cell r="A8375" t="str">
            <v>1946 F</v>
          </cell>
          <cell r="B8375"/>
          <cell r="C8375">
            <v>45874</v>
          </cell>
          <cell r="D8375" t="str">
            <v>Fina</v>
          </cell>
          <cell r="E8375" t="str">
            <v>Usman Amin</v>
          </cell>
        </row>
        <row r="8376">
          <cell r="A8376" t="str">
            <v>1947 F</v>
          </cell>
          <cell r="B8376"/>
          <cell r="C8376">
            <v>45874</v>
          </cell>
          <cell r="D8376" t="str">
            <v>Fina</v>
          </cell>
          <cell r="E8376" t="str">
            <v>Usman Amin</v>
          </cell>
        </row>
        <row r="8377">
          <cell r="A8377" t="str">
            <v>1948 F</v>
          </cell>
          <cell r="B8377"/>
          <cell r="C8377">
            <v>45874</v>
          </cell>
          <cell r="D8377" t="str">
            <v>Fina</v>
          </cell>
          <cell r="E8377" t="str">
            <v>Usman Amin</v>
          </cell>
        </row>
        <row r="8378">
          <cell r="A8378" t="str">
            <v>1949 F</v>
          </cell>
          <cell r="B8378"/>
          <cell r="C8378">
            <v>45874</v>
          </cell>
          <cell r="D8378" t="str">
            <v>Fina</v>
          </cell>
          <cell r="E8378" t="str">
            <v>Usman Amin</v>
          </cell>
        </row>
        <row r="8379">
          <cell r="A8379" t="str">
            <v>1950 F</v>
          </cell>
          <cell r="B8379"/>
          <cell r="C8379">
            <v>45875</v>
          </cell>
          <cell r="D8379" t="str">
            <v>Fina</v>
          </cell>
          <cell r="E8379" t="str">
            <v>Usman Amin</v>
          </cell>
        </row>
        <row r="8380">
          <cell r="A8380" t="str">
            <v>1951 F</v>
          </cell>
          <cell r="B8380"/>
          <cell r="C8380">
            <v>45875</v>
          </cell>
          <cell r="D8380" t="str">
            <v>Fina</v>
          </cell>
          <cell r="E8380" t="str">
            <v>Usman Amin</v>
          </cell>
        </row>
        <row r="8381">
          <cell r="A8381" t="str">
            <v>1952 F</v>
          </cell>
          <cell r="B8381"/>
          <cell r="C8381">
            <v>45875</v>
          </cell>
          <cell r="D8381" t="str">
            <v>Fina</v>
          </cell>
          <cell r="E8381" t="str">
            <v>Usman Amin</v>
          </cell>
        </row>
        <row r="8382">
          <cell r="A8382" t="str">
            <v>1953 F</v>
          </cell>
          <cell r="B8382"/>
          <cell r="C8382">
            <v>45875</v>
          </cell>
          <cell r="D8382" t="str">
            <v>Fina</v>
          </cell>
          <cell r="E8382" t="str">
            <v>Usman Amin</v>
          </cell>
        </row>
        <row r="8383">
          <cell r="A8383" t="str">
            <v>1954 F</v>
          </cell>
          <cell r="B8383"/>
          <cell r="C8383">
            <v>45875</v>
          </cell>
          <cell r="D8383" t="str">
            <v>Fina</v>
          </cell>
          <cell r="E8383" t="str">
            <v>Usman Amin</v>
          </cell>
        </row>
        <row r="8384">
          <cell r="A8384" t="str">
            <v>1955 F</v>
          </cell>
          <cell r="B8384"/>
          <cell r="C8384">
            <v>45875</v>
          </cell>
          <cell r="D8384" t="str">
            <v>Fina</v>
          </cell>
          <cell r="E8384" t="str">
            <v>Usman Amin</v>
          </cell>
        </row>
        <row r="8385">
          <cell r="A8385" t="str">
            <v>1956 F</v>
          </cell>
          <cell r="B8385"/>
          <cell r="C8385">
            <v>45875</v>
          </cell>
          <cell r="D8385" t="str">
            <v>Fina</v>
          </cell>
          <cell r="E8385" t="str">
            <v>Usman Amin</v>
          </cell>
        </row>
        <row r="8386">
          <cell r="A8386" t="str">
            <v>1957 F</v>
          </cell>
          <cell r="B8386"/>
          <cell r="C8386">
            <v>45875</v>
          </cell>
          <cell r="D8386" t="str">
            <v>Fina</v>
          </cell>
          <cell r="E8386" t="str">
            <v>Usman Amin</v>
          </cell>
        </row>
        <row r="8387">
          <cell r="A8387" t="str">
            <v>1958 F</v>
          </cell>
          <cell r="B8387"/>
          <cell r="C8387">
            <v>45875</v>
          </cell>
          <cell r="D8387" t="str">
            <v>Fina</v>
          </cell>
          <cell r="E8387" t="str">
            <v>Usman Amin</v>
          </cell>
        </row>
        <row r="8388">
          <cell r="A8388" t="str">
            <v>1959 F</v>
          </cell>
          <cell r="B8388"/>
          <cell r="C8388">
            <v>45875</v>
          </cell>
          <cell r="D8388" t="str">
            <v>Fina</v>
          </cell>
          <cell r="E8388" t="str">
            <v>Usman Amin</v>
          </cell>
        </row>
        <row r="8389">
          <cell r="A8389" t="str">
            <v>1960 F</v>
          </cell>
          <cell r="B8389"/>
          <cell r="C8389">
            <v>45875</v>
          </cell>
          <cell r="D8389" t="str">
            <v>Fina</v>
          </cell>
          <cell r="E8389" t="str">
            <v>Usman Amin</v>
          </cell>
        </row>
        <row r="8390">
          <cell r="A8390" t="str">
            <v>1961 F</v>
          </cell>
          <cell r="B8390"/>
          <cell r="C8390">
            <v>45875</v>
          </cell>
          <cell r="D8390" t="str">
            <v>Fina</v>
          </cell>
          <cell r="E8390" t="str">
            <v>Usman Amin</v>
          </cell>
        </row>
        <row r="8391">
          <cell r="A8391" t="str">
            <v>1962 F</v>
          </cell>
          <cell r="B8391"/>
          <cell r="C8391">
            <v>45875</v>
          </cell>
          <cell r="D8391" t="str">
            <v>Fina</v>
          </cell>
          <cell r="E8391" t="str">
            <v>Usman Amin</v>
          </cell>
        </row>
        <row r="8392">
          <cell r="A8392" t="str">
            <v>1963 F</v>
          </cell>
          <cell r="B8392"/>
          <cell r="C8392">
            <v>45875</v>
          </cell>
          <cell r="D8392" t="str">
            <v>Fina</v>
          </cell>
          <cell r="E8392" t="str">
            <v>Usman Amin</v>
          </cell>
        </row>
        <row r="8393">
          <cell r="A8393" t="str">
            <v>1964 F</v>
          </cell>
          <cell r="B8393"/>
          <cell r="C8393">
            <v>45875</v>
          </cell>
          <cell r="D8393" t="str">
            <v>Fina</v>
          </cell>
          <cell r="E8393" t="str">
            <v>Usman Amin</v>
          </cell>
        </row>
        <row r="8394">
          <cell r="A8394" t="str">
            <v>1965 F</v>
          </cell>
          <cell r="B8394"/>
          <cell r="C8394">
            <v>45875</v>
          </cell>
          <cell r="D8394" t="str">
            <v>Fina</v>
          </cell>
          <cell r="E8394" t="str">
            <v>Usman Amin</v>
          </cell>
        </row>
        <row r="8395">
          <cell r="A8395" t="str">
            <v>1966 F</v>
          </cell>
          <cell r="B8395"/>
          <cell r="C8395">
            <v>45875</v>
          </cell>
          <cell r="D8395" t="str">
            <v>Fina</v>
          </cell>
          <cell r="E8395" t="str">
            <v>Usman Amin</v>
          </cell>
        </row>
        <row r="8396">
          <cell r="A8396" t="str">
            <v>3548 J</v>
          </cell>
          <cell r="B8396">
            <v>12765</v>
          </cell>
          <cell r="C8396">
            <v>45874</v>
          </cell>
          <cell r="D8396" t="str">
            <v>JILANI</v>
          </cell>
          <cell r="E8396" t="str">
            <v>Nawab Jilani Plastic Layyah</v>
          </cell>
        </row>
        <row r="8397">
          <cell r="A8397" t="str">
            <v>3549 J</v>
          </cell>
          <cell r="B8397">
            <v>12765</v>
          </cell>
          <cell r="C8397">
            <v>45874</v>
          </cell>
          <cell r="D8397" t="str">
            <v>JILANI</v>
          </cell>
          <cell r="E8397" t="str">
            <v>Nawab Jilani Plastic Layyah</v>
          </cell>
        </row>
        <row r="8398">
          <cell r="A8398" t="str">
            <v>3550 J</v>
          </cell>
          <cell r="B8398">
            <v>12766</v>
          </cell>
          <cell r="C8398">
            <v>45874</v>
          </cell>
          <cell r="D8398" t="str">
            <v>JILANI</v>
          </cell>
          <cell r="E8398" t="str">
            <v>Punjab Printer Hafizabad</v>
          </cell>
        </row>
        <row r="8399">
          <cell r="A8399" t="str">
            <v>3551 J</v>
          </cell>
          <cell r="B8399">
            <v>12766</v>
          </cell>
          <cell r="C8399">
            <v>45874</v>
          </cell>
          <cell r="D8399" t="str">
            <v>JILANI</v>
          </cell>
          <cell r="E8399" t="str">
            <v>Punjab Printer Hafizabad</v>
          </cell>
        </row>
        <row r="8400">
          <cell r="A8400" t="str">
            <v>3552 J</v>
          </cell>
          <cell r="B8400">
            <v>12767</v>
          </cell>
          <cell r="C8400">
            <v>45874</v>
          </cell>
          <cell r="D8400" t="str">
            <v>JILANI</v>
          </cell>
          <cell r="E8400" t="str">
            <v>Wallyat Butt Lalamusa</v>
          </cell>
        </row>
        <row r="8401">
          <cell r="A8401" t="str">
            <v>3553 J</v>
          </cell>
          <cell r="B8401">
            <v>12767</v>
          </cell>
          <cell r="C8401">
            <v>45874</v>
          </cell>
          <cell r="D8401" t="str">
            <v>JILANI</v>
          </cell>
          <cell r="E8401" t="str">
            <v>Wallyat Butt Lalamusa</v>
          </cell>
        </row>
        <row r="8402">
          <cell r="A8402" t="str">
            <v>3554 J</v>
          </cell>
          <cell r="B8402">
            <v>12767</v>
          </cell>
          <cell r="C8402">
            <v>45874</v>
          </cell>
          <cell r="D8402" t="str">
            <v>JILANI</v>
          </cell>
          <cell r="E8402" t="str">
            <v>Wallyat Butt Lalamusa</v>
          </cell>
        </row>
        <row r="8403">
          <cell r="A8403" t="str">
            <v>3555 J</v>
          </cell>
          <cell r="B8403">
            <v>12768</v>
          </cell>
          <cell r="C8403">
            <v>45874</v>
          </cell>
          <cell r="D8403" t="str">
            <v>JILANI</v>
          </cell>
          <cell r="E8403" t="str">
            <v>Izaj Sher Sawab</v>
          </cell>
        </row>
        <row r="8404">
          <cell r="A8404" t="str">
            <v>3556 J</v>
          </cell>
          <cell r="B8404">
            <v>12769</v>
          </cell>
          <cell r="C8404">
            <v>45874</v>
          </cell>
          <cell r="D8404" t="str">
            <v>JILANI</v>
          </cell>
          <cell r="E8404" t="str">
            <v>Waseem Shoper House Lahore</v>
          </cell>
        </row>
        <row r="8405">
          <cell r="A8405" t="str">
            <v>3557 J</v>
          </cell>
          <cell r="B8405">
            <v>12770</v>
          </cell>
          <cell r="C8405">
            <v>45874</v>
          </cell>
          <cell r="D8405" t="str">
            <v>JILANI</v>
          </cell>
          <cell r="E8405" t="str">
            <v>Sahibzada Printers Saray Norang</v>
          </cell>
        </row>
        <row r="8406">
          <cell r="A8406" t="str">
            <v>3558 J</v>
          </cell>
          <cell r="B8406">
            <v>12771</v>
          </cell>
          <cell r="C8406">
            <v>45874</v>
          </cell>
          <cell r="D8406" t="str">
            <v>JILANI</v>
          </cell>
          <cell r="E8406" t="str">
            <v>Sahibzada Printers Saray Norang</v>
          </cell>
        </row>
        <row r="8407">
          <cell r="A8407" t="str">
            <v>3559 J</v>
          </cell>
          <cell r="B8407">
            <v>12772</v>
          </cell>
          <cell r="C8407">
            <v>45874</v>
          </cell>
          <cell r="D8407" t="str">
            <v>JILANI</v>
          </cell>
          <cell r="E8407" t="str">
            <v>Pakistan Sweet Mandi Bahouddin</v>
          </cell>
        </row>
        <row r="8408">
          <cell r="A8408" t="str">
            <v>3560 J</v>
          </cell>
          <cell r="B8408">
            <v>12772</v>
          </cell>
          <cell r="C8408">
            <v>45874</v>
          </cell>
          <cell r="D8408" t="str">
            <v>JILANI</v>
          </cell>
          <cell r="E8408" t="str">
            <v>Pakistan Sweet Mandi Bahouddin</v>
          </cell>
        </row>
        <row r="8409">
          <cell r="A8409" t="str">
            <v>3561 J</v>
          </cell>
          <cell r="B8409">
            <v>12772</v>
          </cell>
          <cell r="C8409">
            <v>45874</v>
          </cell>
          <cell r="D8409" t="str">
            <v>JILANI</v>
          </cell>
          <cell r="E8409" t="str">
            <v>Pakistan Sweet Mandi Bahouddin</v>
          </cell>
        </row>
        <row r="8410">
          <cell r="A8410" t="str">
            <v>3562 J</v>
          </cell>
          <cell r="B8410">
            <v>12773</v>
          </cell>
          <cell r="C8410">
            <v>45874</v>
          </cell>
          <cell r="D8410" t="str">
            <v>JILANI</v>
          </cell>
          <cell r="E8410" t="str">
            <v>Usman Arif Butt Gujranwala</v>
          </cell>
        </row>
        <row r="8411">
          <cell r="A8411" t="str">
            <v>3563 J</v>
          </cell>
          <cell r="B8411">
            <v>12773</v>
          </cell>
          <cell r="C8411">
            <v>45874</v>
          </cell>
          <cell r="D8411" t="str">
            <v>JILANI</v>
          </cell>
          <cell r="E8411" t="str">
            <v>Usman Arif Butt Gujranwala</v>
          </cell>
        </row>
        <row r="8412">
          <cell r="A8412" t="str">
            <v>3564 J</v>
          </cell>
          <cell r="B8412">
            <v>12773</v>
          </cell>
          <cell r="C8412">
            <v>45874</v>
          </cell>
          <cell r="D8412" t="str">
            <v>JILANI</v>
          </cell>
          <cell r="E8412" t="str">
            <v>Usman Arif Butt Gujranwala</v>
          </cell>
        </row>
        <row r="8413">
          <cell r="A8413" t="str">
            <v>3565 J</v>
          </cell>
          <cell r="B8413">
            <v>12773</v>
          </cell>
          <cell r="C8413">
            <v>45874</v>
          </cell>
          <cell r="D8413" t="str">
            <v>JILANI</v>
          </cell>
          <cell r="E8413" t="str">
            <v>Usman Arif Butt Gujranwala</v>
          </cell>
        </row>
        <row r="8414">
          <cell r="A8414" t="str">
            <v>3566 J</v>
          </cell>
          <cell r="B8414">
            <v>12774</v>
          </cell>
          <cell r="C8414">
            <v>45874</v>
          </cell>
          <cell r="D8414" t="str">
            <v>JILANI</v>
          </cell>
          <cell r="E8414" t="str">
            <v>Usman Arif Butt Gujranwala</v>
          </cell>
        </row>
        <row r="8415">
          <cell r="A8415" t="str">
            <v>3567 J</v>
          </cell>
          <cell r="B8415">
            <v>12775</v>
          </cell>
          <cell r="C8415">
            <v>45874</v>
          </cell>
          <cell r="D8415" t="str">
            <v>JILANI</v>
          </cell>
          <cell r="E8415" t="str">
            <v>Alam Printers Butkhela</v>
          </cell>
        </row>
        <row r="8416">
          <cell r="A8416" t="str">
            <v>3568 J</v>
          </cell>
          <cell r="B8416">
            <v>12776</v>
          </cell>
          <cell r="C8416">
            <v>45874</v>
          </cell>
          <cell r="D8416" t="str">
            <v>JILANI</v>
          </cell>
          <cell r="E8416" t="str">
            <v>Khalid Printer Lahore</v>
          </cell>
        </row>
        <row r="8417">
          <cell r="A8417" t="str">
            <v>3569 J</v>
          </cell>
          <cell r="B8417">
            <v>12777</v>
          </cell>
          <cell r="C8417">
            <v>45874</v>
          </cell>
          <cell r="D8417" t="str">
            <v>JILANI</v>
          </cell>
          <cell r="E8417" t="str">
            <v>Golden Green Vally Behria Town Lahore</v>
          </cell>
        </row>
        <row r="8418">
          <cell r="A8418" t="str">
            <v>3570 J</v>
          </cell>
          <cell r="B8418">
            <v>12777</v>
          </cell>
          <cell r="C8418">
            <v>45874</v>
          </cell>
          <cell r="D8418" t="str">
            <v>JILANI</v>
          </cell>
          <cell r="E8418" t="str">
            <v>Golden Green Vally Behria Town Lahore</v>
          </cell>
        </row>
        <row r="8419">
          <cell r="A8419" t="str">
            <v>3571 J</v>
          </cell>
          <cell r="B8419">
            <v>12778</v>
          </cell>
          <cell r="C8419">
            <v>45875</v>
          </cell>
          <cell r="D8419" t="str">
            <v>JILANI</v>
          </cell>
          <cell r="E8419" t="str">
            <v>Shoket Plus DHA Lahore Care Of Mubarik M/Gate (P1111)</v>
          </cell>
        </row>
        <row r="8420">
          <cell r="A8420" t="str">
            <v>3572 J</v>
          </cell>
          <cell r="B8420">
            <v>12779</v>
          </cell>
          <cell r="C8420">
            <v>45875</v>
          </cell>
          <cell r="D8420" t="str">
            <v>JILANI</v>
          </cell>
          <cell r="E8420" t="str">
            <v>Al Sadiq Garments Lahore</v>
          </cell>
        </row>
        <row r="8421">
          <cell r="A8421" t="str">
            <v>3573 J</v>
          </cell>
          <cell r="B8421">
            <v>12780</v>
          </cell>
          <cell r="C8421">
            <v>45875</v>
          </cell>
          <cell r="D8421" t="str">
            <v>JILANI</v>
          </cell>
          <cell r="E8421" t="str">
            <v>Khalid Printer Lahore</v>
          </cell>
        </row>
        <row r="8422">
          <cell r="A8422" t="str">
            <v>3574 J</v>
          </cell>
          <cell r="B8422">
            <v>12781</v>
          </cell>
          <cell r="C8422">
            <v>45875</v>
          </cell>
          <cell r="D8422" t="str">
            <v>JILANI</v>
          </cell>
          <cell r="E8422" t="str">
            <v>Waqas Wollan Mills Gujranwala</v>
          </cell>
        </row>
        <row r="8423">
          <cell r="A8423" t="str">
            <v>3575 J</v>
          </cell>
          <cell r="B8423">
            <v>12782</v>
          </cell>
          <cell r="C8423">
            <v>45875</v>
          </cell>
          <cell r="D8423" t="str">
            <v>JILANI</v>
          </cell>
          <cell r="E8423" t="str">
            <v>Waqas Wollan Mills Gujranwala</v>
          </cell>
        </row>
        <row r="8424">
          <cell r="A8424" t="str">
            <v>3576 J</v>
          </cell>
          <cell r="B8424">
            <v>12783</v>
          </cell>
          <cell r="C8424">
            <v>45875</v>
          </cell>
          <cell r="D8424" t="str">
            <v>JILANI</v>
          </cell>
          <cell r="E8424" t="str">
            <v>Waqas Wollan Mills Gujranwala</v>
          </cell>
        </row>
        <row r="8425">
          <cell r="A8425" t="str">
            <v>3577 J</v>
          </cell>
          <cell r="B8425">
            <v>12784</v>
          </cell>
          <cell r="C8425">
            <v>45875</v>
          </cell>
          <cell r="D8425" t="str">
            <v>JILANI</v>
          </cell>
          <cell r="E8425" t="str">
            <v>Waqas Wollan Mills Gujranwala</v>
          </cell>
        </row>
        <row r="8426">
          <cell r="A8426" t="str">
            <v>3578 J</v>
          </cell>
          <cell r="B8426">
            <v>12785</v>
          </cell>
          <cell r="C8426">
            <v>45875</v>
          </cell>
          <cell r="D8426" t="str">
            <v>JILANI</v>
          </cell>
          <cell r="E8426" t="str">
            <v>Service Industry Gujrat</v>
          </cell>
        </row>
        <row r="8427">
          <cell r="A8427" t="str">
            <v>3579 J</v>
          </cell>
          <cell r="B8427">
            <v>12786</v>
          </cell>
          <cell r="C8427">
            <v>45875</v>
          </cell>
          <cell r="D8427" t="str">
            <v>JILANI</v>
          </cell>
          <cell r="E8427" t="str">
            <v>Service Industry Gujrat</v>
          </cell>
        </row>
        <row r="8428">
          <cell r="A8428" t="str">
            <v>3580 J</v>
          </cell>
          <cell r="B8428">
            <v>12787</v>
          </cell>
          <cell r="C8428">
            <v>45875</v>
          </cell>
          <cell r="D8428" t="str">
            <v>JILANI</v>
          </cell>
          <cell r="E8428" t="str">
            <v>Service Industry Gujrat</v>
          </cell>
        </row>
        <row r="8429">
          <cell r="A8429" t="str">
            <v>3581 J</v>
          </cell>
          <cell r="B8429">
            <v>12788</v>
          </cell>
          <cell r="C8429">
            <v>45875</v>
          </cell>
          <cell r="D8429" t="str">
            <v>JILANI</v>
          </cell>
          <cell r="E8429" t="str">
            <v>Service Industry Gujrat</v>
          </cell>
        </row>
        <row r="8430">
          <cell r="A8430" t="str">
            <v>3582 J</v>
          </cell>
          <cell r="B8430">
            <v>12789</v>
          </cell>
          <cell r="C8430">
            <v>45875</v>
          </cell>
          <cell r="D8430" t="str">
            <v>JILANI</v>
          </cell>
          <cell r="E8430" t="str">
            <v>Service Industry Gujrat</v>
          </cell>
        </row>
        <row r="8431">
          <cell r="A8431" t="str">
            <v>3583 J</v>
          </cell>
          <cell r="B8431">
            <v>12790</v>
          </cell>
          <cell r="C8431">
            <v>45875</v>
          </cell>
          <cell r="D8431" t="str">
            <v>JILANI</v>
          </cell>
          <cell r="E8431" t="str">
            <v>Special Papari Nimko Kamoki</v>
          </cell>
        </row>
        <row r="8432">
          <cell r="A8432" t="str">
            <v>7142/1</v>
          </cell>
          <cell r="B8432">
            <v>7142</v>
          </cell>
          <cell r="C8432">
            <v>45876</v>
          </cell>
          <cell r="D8432" t="str">
            <v>یونس صاحب</v>
          </cell>
          <cell r="E8432" t="str">
            <v>محبوب مقبول گوجرانوالہ</v>
          </cell>
        </row>
        <row r="8433">
          <cell r="A8433" t="str">
            <v>7142/2</v>
          </cell>
          <cell r="B8433">
            <v>7142</v>
          </cell>
          <cell r="C8433">
            <v>45876</v>
          </cell>
          <cell r="D8433" t="str">
            <v>یونس صاحب</v>
          </cell>
          <cell r="E8433" t="str">
            <v>محبوب مقبول گوجرانوالہ</v>
          </cell>
        </row>
        <row r="8434">
          <cell r="A8434" t="str">
            <v>7142/3</v>
          </cell>
          <cell r="B8434">
            <v>7142</v>
          </cell>
          <cell r="C8434">
            <v>45876</v>
          </cell>
          <cell r="D8434" t="str">
            <v>یونس صاحب</v>
          </cell>
          <cell r="E8434" t="str">
            <v>محبوب مقبول گوجرانوالہ</v>
          </cell>
        </row>
        <row r="8435">
          <cell r="A8435" t="str">
            <v>7142/4</v>
          </cell>
          <cell r="B8435">
            <v>7142</v>
          </cell>
          <cell r="C8435">
            <v>45876</v>
          </cell>
          <cell r="D8435" t="str">
            <v>یونس صاحب</v>
          </cell>
          <cell r="E8435" t="str">
            <v>محبوب مقبول گوجرانوالہ</v>
          </cell>
        </row>
        <row r="8436">
          <cell r="A8436" t="str">
            <v>7142/5</v>
          </cell>
          <cell r="B8436">
            <v>7142</v>
          </cell>
          <cell r="C8436">
            <v>45876</v>
          </cell>
          <cell r="D8436" t="str">
            <v>یونس صاحب</v>
          </cell>
          <cell r="E8436" t="str">
            <v>محبوب مقبول گوجرانوالہ</v>
          </cell>
        </row>
        <row r="8437">
          <cell r="A8437" t="str">
            <v>7143/1</v>
          </cell>
          <cell r="B8437">
            <v>7143</v>
          </cell>
          <cell r="C8437">
            <v>45876</v>
          </cell>
          <cell r="D8437" t="str">
            <v>یونس صاحب</v>
          </cell>
          <cell r="E8437" t="str">
            <v>ایم دین پنڈی</v>
          </cell>
        </row>
        <row r="8438">
          <cell r="A8438" t="str">
            <v>7144/1</v>
          </cell>
          <cell r="B8438">
            <v>7144</v>
          </cell>
          <cell r="C8438">
            <v>45876</v>
          </cell>
          <cell r="D8438" t="str">
            <v>یونس صاحب</v>
          </cell>
          <cell r="E8438" t="str">
            <v>نور علی پلاسٹک لیہ</v>
          </cell>
        </row>
        <row r="8439">
          <cell r="A8439" t="str">
            <v>7144/2</v>
          </cell>
          <cell r="B8439">
            <v>7144</v>
          </cell>
          <cell r="C8439">
            <v>45876</v>
          </cell>
          <cell r="D8439" t="str">
            <v>یونس صاحب</v>
          </cell>
          <cell r="E8439" t="str">
            <v>نور علی پلاسٹک لیہ</v>
          </cell>
        </row>
        <row r="8440">
          <cell r="A8440" t="str">
            <v>7144/3</v>
          </cell>
          <cell r="B8440">
            <v>7144</v>
          </cell>
          <cell r="C8440">
            <v>45876</v>
          </cell>
          <cell r="D8440" t="str">
            <v>یونس صاحب</v>
          </cell>
          <cell r="E8440" t="str">
            <v>نور علی پلاسٹک لیہ</v>
          </cell>
        </row>
        <row r="8441">
          <cell r="A8441" t="str">
            <v>7144/4</v>
          </cell>
          <cell r="B8441">
            <v>7144</v>
          </cell>
          <cell r="C8441">
            <v>45876</v>
          </cell>
          <cell r="D8441" t="str">
            <v>یونس صاحب</v>
          </cell>
          <cell r="E8441" t="str">
            <v>نور علی پلاسٹک لیہ</v>
          </cell>
        </row>
        <row r="8442">
          <cell r="A8442" t="str">
            <v>7144/5</v>
          </cell>
          <cell r="B8442">
            <v>7144</v>
          </cell>
          <cell r="C8442">
            <v>45876</v>
          </cell>
          <cell r="D8442" t="str">
            <v>یونس صاحب</v>
          </cell>
          <cell r="E8442" t="str">
            <v>نور علی پلاسٹک لیہ</v>
          </cell>
        </row>
        <row r="8443">
          <cell r="A8443" t="str">
            <v>7144/6</v>
          </cell>
          <cell r="B8443">
            <v>7144</v>
          </cell>
          <cell r="C8443">
            <v>45876</v>
          </cell>
          <cell r="D8443" t="str">
            <v>یونس صاحب</v>
          </cell>
          <cell r="E8443" t="str">
            <v>نور علی پلاسٹک لیہ</v>
          </cell>
        </row>
        <row r="8444">
          <cell r="A8444" t="str">
            <v>7144/7</v>
          </cell>
          <cell r="B8444">
            <v>7144</v>
          </cell>
          <cell r="C8444">
            <v>45876</v>
          </cell>
          <cell r="D8444" t="str">
            <v>یونس صاحب</v>
          </cell>
          <cell r="E8444" t="str">
            <v>نور علی پلاسٹک لیہ</v>
          </cell>
        </row>
        <row r="8445">
          <cell r="A8445" t="str">
            <v>7144/8</v>
          </cell>
          <cell r="B8445">
            <v>7144</v>
          </cell>
          <cell r="C8445">
            <v>45876</v>
          </cell>
          <cell r="D8445" t="str">
            <v>یونس صاحب</v>
          </cell>
          <cell r="E8445" t="str">
            <v>نور علی پلاسٹک لیہ</v>
          </cell>
        </row>
        <row r="8446">
          <cell r="A8446" t="str">
            <v>7144/9</v>
          </cell>
          <cell r="B8446">
            <v>7144</v>
          </cell>
          <cell r="C8446">
            <v>45876</v>
          </cell>
          <cell r="D8446" t="str">
            <v>یونس صاحب</v>
          </cell>
          <cell r="E8446" t="str">
            <v>نور علی پلاسٹک لیہ</v>
          </cell>
        </row>
        <row r="8447">
          <cell r="A8447" t="str">
            <v>7144/10</v>
          </cell>
          <cell r="B8447">
            <v>7144</v>
          </cell>
          <cell r="C8447">
            <v>45876</v>
          </cell>
          <cell r="D8447" t="str">
            <v>یونس صاحب</v>
          </cell>
          <cell r="E8447" t="str">
            <v>نور علی پلاسٹک لیہ</v>
          </cell>
        </row>
        <row r="8448">
          <cell r="A8448" t="str">
            <v>7144/11</v>
          </cell>
          <cell r="B8448">
            <v>7144</v>
          </cell>
          <cell r="C8448">
            <v>45876</v>
          </cell>
          <cell r="D8448" t="str">
            <v>یونس صاحب</v>
          </cell>
          <cell r="E8448" t="str">
            <v>نور علی پلاسٹک لیہ</v>
          </cell>
        </row>
        <row r="8449">
          <cell r="A8449" t="str">
            <v>7147/1</v>
          </cell>
          <cell r="B8449">
            <v>7147</v>
          </cell>
          <cell r="C8449">
            <v>45876</v>
          </cell>
          <cell r="D8449" t="str">
            <v>یونس صاحب</v>
          </cell>
          <cell r="E8449" t="str">
            <v>العمر پلاسٹک گوجرانوالہ</v>
          </cell>
        </row>
        <row r="8450">
          <cell r="A8450" t="str">
            <v>7148/1</v>
          </cell>
          <cell r="B8450">
            <v>7148</v>
          </cell>
          <cell r="C8450">
            <v>45876</v>
          </cell>
          <cell r="D8450" t="str">
            <v>یونس صاحب</v>
          </cell>
          <cell r="E8450" t="str">
            <v>العمر پلاسٹک گوجرانوالہ</v>
          </cell>
        </row>
        <row r="8451">
          <cell r="A8451" t="str">
            <v>7148/2</v>
          </cell>
          <cell r="B8451">
            <v>7148</v>
          </cell>
          <cell r="C8451">
            <v>45876</v>
          </cell>
          <cell r="D8451" t="str">
            <v>یونس صاحب</v>
          </cell>
          <cell r="E8451" t="str">
            <v>العمر پلاسٹک گوجرانوالہ</v>
          </cell>
        </row>
        <row r="8452">
          <cell r="A8452" t="str">
            <v>7148/3</v>
          </cell>
          <cell r="B8452">
            <v>7148</v>
          </cell>
          <cell r="C8452">
            <v>45876</v>
          </cell>
          <cell r="D8452" t="str">
            <v>یونس صاحب</v>
          </cell>
          <cell r="E8452" t="str">
            <v>العمر پلاسٹک گوجرانوالہ</v>
          </cell>
        </row>
        <row r="8453">
          <cell r="A8453" t="str">
            <v>7148/4</v>
          </cell>
          <cell r="B8453">
            <v>7148</v>
          </cell>
          <cell r="C8453">
            <v>45876</v>
          </cell>
          <cell r="D8453" t="str">
            <v>یونس صاحب</v>
          </cell>
          <cell r="E8453" t="str">
            <v>العمر پلاسٹک گوجرانوالہ</v>
          </cell>
        </row>
        <row r="8454">
          <cell r="A8454" t="str">
            <v>7148/5</v>
          </cell>
          <cell r="B8454">
            <v>7148</v>
          </cell>
          <cell r="C8454">
            <v>45876</v>
          </cell>
          <cell r="D8454" t="str">
            <v>یونس صاحب</v>
          </cell>
          <cell r="E8454" t="str">
            <v>العمر پلاسٹک گوجرانوالہ</v>
          </cell>
        </row>
        <row r="8455">
          <cell r="A8455" t="str">
            <v>7148/6</v>
          </cell>
          <cell r="B8455">
            <v>7148</v>
          </cell>
          <cell r="C8455">
            <v>45876</v>
          </cell>
          <cell r="D8455" t="str">
            <v>یونس صاحب</v>
          </cell>
          <cell r="E8455" t="str">
            <v>العمر پلاسٹک گوجرانوالہ</v>
          </cell>
        </row>
        <row r="8456">
          <cell r="A8456" t="str">
            <v>7148/7</v>
          </cell>
          <cell r="B8456">
            <v>7148</v>
          </cell>
          <cell r="C8456">
            <v>45876</v>
          </cell>
          <cell r="D8456" t="str">
            <v>یونس صاحب</v>
          </cell>
          <cell r="E8456" t="str">
            <v>العمر پلاسٹک گوجرانوالہ</v>
          </cell>
        </row>
        <row r="8457">
          <cell r="A8457" t="str">
            <v>7149/1</v>
          </cell>
          <cell r="B8457">
            <v>7149</v>
          </cell>
          <cell r="C8457">
            <v>45876</v>
          </cell>
          <cell r="D8457" t="str">
            <v>یونس صاحب</v>
          </cell>
          <cell r="E8457" t="str">
            <v>العمر پلاسٹک گوجرانوالہ</v>
          </cell>
        </row>
        <row r="8458">
          <cell r="A8458" t="str">
            <v>7149/2</v>
          </cell>
          <cell r="B8458">
            <v>7149</v>
          </cell>
          <cell r="C8458">
            <v>45876</v>
          </cell>
          <cell r="D8458" t="str">
            <v>یونس صاحب</v>
          </cell>
          <cell r="E8458" t="str">
            <v>العمر پلاسٹک گوجرانوالہ</v>
          </cell>
        </row>
        <row r="8459">
          <cell r="A8459" t="str">
            <v>7149/3</v>
          </cell>
          <cell r="B8459">
            <v>7149</v>
          </cell>
          <cell r="C8459">
            <v>45876</v>
          </cell>
          <cell r="D8459" t="str">
            <v>یونس صاحب</v>
          </cell>
          <cell r="E8459" t="str">
            <v>العمر پلاسٹک گوجرانوالہ</v>
          </cell>
        </row>
        <row r="8460">
          <cell r="A8460" t="str">
            <v>7149/4</v>
          </cell>
          <cell r="B8460">
            <v>7149</v>
          </cell>
          <cell r="C8460">
            <v>45876</v>
          </cell>
          <cell r="D8460" t="str">
            <v>یونس صاحب</v>
          </cell>
          <cell r="E8460" t="str">
            <v>العمر پلاسٹک گوجرانوالہ</v>
          </cell>
        </row>
        <row r="8461">
          <cell r="A8461" t="str">
            <v>7149/5</v>
          </cell>
          <cell r="B8461">
            <v>7149</v>
          </cell>
          <cell r="C8461">
            <v>45876</v>
          </cell>
          <cell r="D8461" t="str">
            <v>یونس صاحب</v>
          </cell>
          <cell r="E8461" t="str">
            <v>العمر پلاسٹک گوجرانوالہ</v>
          </cell>
        </row>
        <row r="8462">
          <cell r="A8462" t="str">
            <v>7149/6</v>
          </cell>
          <cell r="B8462">
            <v>7149</v>
          </cell>
          <cell r="C8462">
            <v>45876</v>
          </cell>
          <cell r="D8462" t="str">
            <v>یونس صاحب</v>
          </cell>
          <cell r="E8462" t="str">
            <v>العمر پلاسٹک گوجرانوالہ</v>
          </cell>
        </row>
        <row r="8463">
          <cell r="A8463" t="str">
            <v>7149/7</v>
          </cell>
          <cell r="B8463">
            <v>7149</v>
          </cell>
          <cell r="C8463">
            <v>45876</v>
          </cell>
          <cell r="D8463" t="str">
            <v>یونس صاحب</v>
          </cell>
          <cell r="E8463" t="str">
            <v>العمر پلاسٹک گوجرانوالہ</v>
          </cell>
        </row>
        <row r="8464">
          <cell r="A8464" t="str">
            <v>7149/8</v>
          </cell>
          <cell r="B8464">
            <v>7149</v>
          </cell>
          <cell r="C8464">
            <v>45876</v>
          </cell>
          <cell r="D8464" t="str">
            <v>یونس صاحب</v>
          </cell>
          <cell r="E8464" t="str">
            <v>العمر پلاسٹک گوجرانوالہ</v>
          </cell>
        </row>
        <row r="8465">
          <cell r="A8465" t="str">
            <v>7149/9</v>
          </cell>
          <cell r="B8465">
            <v>7149</v>
          </cell>
          <cell r="C8465">
            <v>45876</v>
          </cell>
          <cell r="D8465" t="str">
            <v>یونس صاحب</v>
          </cell>
          <cell r="E8465" t="str">
            <v>العمر پلاسٹک گوجرانوالہ</v>
          </cell>
        </row>
        <row r="8466">
          <cell r="A8466" t="str">
            <v>7150/1</v>
          </cell>
          <cell r="B8466">
            <v>7150</v>
          </cell>
          <cell r="C8466">
            <v>45876</v>
          </cell>
          <cell r="D8466" t="str">
            <v>یونس صاحب</v>
          </cell>
          <cell r="E8466" t="str">
            <v>ریفلیکٹ پیک لاہور</v>
          </cell>
        </row>
        <row r="8467">
          <cell r="A8467" t="str">
            <v>7151/1</v>
          </cell>
          <cell r="B8467">
            <v>7151</v>
          </cell>
          <cell r="C8467">
            <v>45876</v>
          </cell>
          <cell r="D8467" t="str">
            <v>یونس صاحب</v>
          </cell>
          <cell r="E8467" t="str">
            <v>نادر پلاسٹک سرگودھا</v>
          </cell>
        </row>
        <row r="8468">
          <cell r="A8468" t="str">
            <v>7151/2</v>
          </cell>
          <cell r="B8468">
            <v>7151</v>
          </cell>
          <cell r="C8468">
            <v>45876</v>
          </cell>
          <cell r="D8468" t="str">
            <v>یونس صاحب</v>
          </cell>
          <cell r="E8468" t="str">
            <v>نادر پلاسٹک سرگودھا</v>
          </cell>
        </row>
        <row r="8469">
          <cell r="A8469" t="str">
            <v>7151/3</v>
          </cell>
          <cell r="B8469">
            <v>7151</v>
          </cell>
          <cell r="C8469">
            <v>45876</v>
          </cell>
          <cell r="D8469" t="str">
            <v>یونس صاحب</v>
          </cell>
          <cell r="E8469" t="str">
            <v>نادر پلاسٹک سرگودھا</v>
          </cell>
        </row>
        <row r="8470">
          <cell r="A8470" t="str">
            <v>7151/4</v>
          </cell>
          <cell r="B8470">
            <v>7151</v>
          </cell>
          <cell r="C8470">
            <v>45876</v>
          </cell>
          <cell r="D8470" t="str">
            <v>یونس صاحب</v>
          </cell>
          <cell r="E8470" t="str">
            <v>نادر پلاسٹک سرگودھا</v>
          </cell>
        </row>
        <row r="8471">
          <cell r="A8471" t="str">
            <v>7151/5</v>
          </cell>
          <cell r="B8471">
            <v>7151</v>
          </cell>
          <cell r="C8471">
            <v>45876</v>
          </cell>
          <cell r="D8471" t="str">
            <v>یونس صاحب</v>
          </cell>
          <cell r="E8471" t="str">
            <v>نادر پلاسٹک سرگودھا</v>
          </cell>
        </row>
        <row r="8472">
          <cell r="A8472" t="str">
            <v>7151/6</v>
          </cell>
          <cell r="B8472">
            <v>7151</v>
          </cell>
          <cell r="C8472">
            <v>45876</v>
          </cell>
          <cell r="D8472" t="str">
            <v>یونس صاحب</v>
          </cell>
          <cell r="E8472" t="str">
            <v>نادر پلاسٹک سرگودھا</v>
          </cell>
        </row>
        <row r="8473">
          <cell r="A8473" t="str">
            <v>7151/7</v>
          </cell>
          <cell r="B8473">
            <v>7151</v>
          </cell>
          <cell r="C8473">
            <v>45876</v>
          </cell>
          <cell r="D8473" t="str">
            <v>یونس صاحب</v>
          </cell>
          <cell r="E8473" t="str">
            <v>نادر پلاسٹک سرگودھا</v>
          </cell>
        </row>
        <row r="8474">
          <cell r="A8474" t="str">
            <v>7151/8</v>
          </cell>
          <cell r="B8474">
            <v>7151</v>
          </cell>
          <cell r="C8474">
            <v>45876</v>
          </cell>
          <cell r="D8474" t="str">
            <v>یونس صاحب</v>
          </cell>
          <cell r="E8474" t="str">
            <v>نادر پلاسٹک سرگودھا</v>
          </cell>
        </row>
        <row r="8475">
          <cell r="A8475" t="str">
            <v>7152/1</v>
          </cell>
          <cell r="B8475">
            <v>7152</v>
          </cell>
          <cell r="C8475">
            <v>45876</v>
          </cell>
          <cell r="D8475" t="str">
            <v>یونس صاحب</v>
          </cell>
          <cell r="E8475" t="str">
            <v>اقبال پلاسٹک سرگودھا</v>
          </cell>
        </row>
        <row r="8476">
          <cell r="A8476" t="str">
            <v>7153/1</v>
          </cell>
          <cell r="B8476">
            <v>7153</v>
          </cell>
          <cell r="C8476">
            <v>45876</v>
          </cell>
          <cell r="D8476" t="str">
            <v>یونس صاحب</v>
          </cell>
          <cell r="E8476" t="str">
            <v>اسد پلاسٹک سادق اباد</v>
          </cell>
        </row>
        <row r="8477">
          <cell r="A8477" t="str">
            <v>7153/2</v>
          </cell>
          <cell r="B8477">
            <v>7153</v>
          </cell>
          <cell r="C8477">
            <v>45876</v>
          </cell>
          <cell r="D8477" t="str">
            <v>یونس صاحب</v>
          </cell>
          <cell r="E8477" t="str">
            <v>اسد پلاسٹک سادق اباد</v>
          </cell>
        </row>
        <row r="8478">
          <cell r="A8478" t="str">
            <v>7153/3</v>
          </cell>
          <cell r="B8478">
            <v>7153</v>
          </cell>
          <cell r="C8478">
            <v>45876</v>
          </cell>
          <cell r="D8478" t="str">
            <v>یونس صاحب</v>
          </cell>
          <cell r="E8478" t="str">
            <v>اسد پلاسٹک سادق اباد</v>
          </cell>
        </row>
        <row r="8479">
          <cell r="A8479" t="str">
            <v>7153/4</v>
          </cell>
          <cell r="B8479">
            <v>7153</v>
          </cell>
          <cell r="C8479">
            <v>45876</v>
          </cell>
          <cell r="D8479" t="str">
            <v>یونس صاحب</v>
          </cell>
          <cell r="E8479" t="str">
            <v>اسد پلاسٹک سادق اباد</v>
          </cell>
        </row>
        <row r="8480">
          <cell r="A8480" t="str">
            <v>7153/5</v>
          </cell>
          <cell r="B8480">
            <v>7153</v>
          </cell>
          <cell r="C8480">
            <v>45876</v>
          </cell>
          <cell r="D8480" t="str">
            <v>یونس صاحب</v>
          </cell>
          <cell r="E8480" t="str">
            <v>اسد پلاسٹک سادق اباد</v>
          </cell>
        </row>
        <row r="8481">
          <cell r="A8481" t="str">
            <v>7153/6</v>
          </cell>
          <cell r="B8481">
            <v>7153</v>
          </cell>
          <cell r="C8481">
            <v>45876</v>
          </cell>
          <cell r="D8481" t="str">
            <v>یونس صاحب</v>
          </cell>
          <cell r="E8481" t="str">
            <v>اسد پلاسٹک سادق اباد</v>
          </cell>
        </row>
        <row r="8482">
          <cell r="A8482" t="str">
            <v>7153/7</v>
          </cell>
          <cell r="B8482">
            <v>7153</v>
          </cell>
          <cell r="C8482">
            <v>45876</v>
          </cell>
          <cell r="D8482" t="str">
            <v>یونس صاحب</v>
          </cell>
          <cell r="E8482" t="str">
            <v>اسد پلاسٹک سادق اباد</v>
          </cell>
        </row>
        <row r="8483">
          <cell r="A8483" t="str">
            <v>7154/1</v>
          </cell>
          <cell r="B8483">
            <v>7154</v>
          </cell>
          <cell r="C8483">
            <v>45876</v>
          </cell>
          <cell r="D8483" t="str">
            <v>یونس صاحب</v>
          </cell>
          <cell r="E8483" t="str">
            <v>اہم زبیر سرگودھا</v>
          </cell>
        </row>
        <row r="8484">
          <cell r="A8484" t="str">
            <v>7154/2</v>
          </cell>
          <cell r="B8484">
            <v>7154</v>
          </cell>
          <cell r="C8484">
            <v>45876</v>
          </cell>
          <cell r="D8484" t="str">
            <v>یونس صاحب</v>
          </cell>
          <cell r="E8484" t="str">
            <v>اہم زبیر سرگودھا</v>
          </cell>
        </row>
        <row r="8485">
          <cell r="A8485" t="str">
            <v>7154/3</v>
          </cell>
          <cell r="B8485">
            <v>7154</v>
          </cell>
          <cell r="C8485">
            <v>45876</v>
          </cell>
          <cell r="D8485" t="str">
            <v>یونس صاحب</v>
          </cell>
          <cell r="E8485" t="str">
            <v>اہم زبیر سرگودھا</v>
          </cell>
        </row>
        <row r="8486">
          <cell r="A8486" t="str">
            <v>3584 J</v>
          </cell>
          <cell r="B8486">
            <v>12791</v>
          </cell>
          <cell r="C8486">
            <v>45875</v>
          </cell>
          <cell r="D8486" t="str">
            <v>JILANI</v>
          </cell>
          <cell r="E8486" t="str">
            <v>Usman Arif Butt Gujranwala</v>
          </cell>
        </row>
        <row r="8487">
          <cell r="A8487" t="str">
            <v>3585 J</v>
          </cell>
          <cell r="B8487">
            <v>12792</v>
          </cell>
          <cell r="C8487">
            <v>45875</v>
          </cell>
          <cell r="D8487" t="str">
            <v>JILANI</v>
          </cell>
          <cell r="E8487" t="str">
            <v>Faizan Shopping Center Okara</v>
          </cell>
        </row>
        <row r="8488">
          <cell r="A8488" t="str">
            <v>3586 J</v>
          </cell>
          <cell r="B8488">
            <v>12793</v>
          </cell>
          <cell r="C8488">
            <v>45875</v>
          </cell>
          <cell r="D8488" t="str">
            <v>JILANI</v>
          </cell>
          <cell r="E8488" t="str">
            <v>Total Trader Mingora Swat</v>
          </cell>
        </row>
        <row r="8489">
          <cell r="A8489" t="str">
            <v>3587 J</v>
          </cell>
          <cell r="B8489">
            <v>12794</v>
          </cell>
          <cell r="C8489">
            <v>45875</v>
          </cell>
          <cell r="D8489" t="str">
            <v>JILANI</v>
          </cell>
          <cell r="E8489" t="str">
            <v>Mahboob Printer Gujranwala</v>
          </cell>
        </row>
        <row r="8490">
          <cell r="A8490" t="str">
            <v>3588 J</v>
          </cell>
          <cell r="B8490">
            <v>12794</v>
          </cell>
          <cell r="C8490">
            <v>45875</v>
          </cell>
          <cell r="D8490" t="str">
            <v>JILANI</v>
          </cell>
          <cell r="E8490" t="str">
            <v>Mahboob Printer Gujranwala</v>
          </cell>
        </row>
        <row r="8491">
          <cell r="A8491" t="str">
            <v>3589 J</v>
          </cell>
          <cell r="B8491">
            <v>12794</v>
          </cell>
          <cell r="C8491">
            <v>45875</v>
          </cell>
          <cell r="D8491" t="str">
            <v>JILANI</v>
          </cell>
          <cell r="E8491" t="str">
            <v>Mahboob Printer Gujranwala</v>
          </cell>
        </row>
        <row r="8492">
          <cell r="A8492" t="str">
            <v>3590 J</v>
          </cell>
          <cell r="B8492">
            <v>12795</v>
          </cell>
          <cell r="C8492">
            <v>45875</v>
          </cell>
          <cell r="D8492" t="str">
            <v>JILANI</v>
          </cell>
          <cell r="E8492" t="str">
            <v>-</v>
          </cell>
        </row>
        <row r="8493">
          <cell r="A8493" t="str">
            <v>3591 J</v>
          </cell>
          <cell r="B8493">
            <v>12796</v>
          </cell>
          <cell r="C8493">
            <v>45876</v>
          </cell>
          <cell r="D8493" t="str">
            <v>JILANI</v>
          </cell>
          <cell r="E8493" t="str">
            <v>Atlas Honda Karachi</v>
          </cell>
        </row>
        <row r="8494">
          <cell r="A8494" t="str">
            <v>3592 J</v>
          </cell>
          <cell r="B8494">
            <v>12797</v>
          </cell>
          <cell r="C8494">
            <v>45876</v>
          </cell>
          <cell r="D8494" t="str">
            <v>JILANI</v>
          </cell>
          <cell r="E8494" t="str">
            <v>Atlas Honda LTD (SKP)</v>
          </cell>
        </row>
        <row r="8495">
          <cell r="A8495" t="str">
            <v>3593 J</v>
          </cell>
          <cell r="B8495">
            <v>12798</v>
          </cell>
          <cell r="C8495">
            <v>45876</v>
          </cell>
          <cell r="D8495" t="str">
            <v>JILANI</v>
          </cell>
          <cell r="E8495" t="str">
            <v>Atlas Honda LTD (SKP)</v>
          </cell>
        </row>
        <row r="8496">
          <cell r="A8496" t="str">
            <v>3594 J</v>
          </cell>
          <cell r="B8496">
            <v>12799</v>
          </cell>
          <cell r="C8496">
            <v>45876</v>
          </cell>
          <cell r="D8496" t="str">
            <v>JILANI</v>
          </cell>
          <cell r="E8496" t="str">
            <v>Atlas Honda LTD (SKP)</v>
          </cell>
        </row>
        <row r="8497">
          <cell r="A8497" t="str">
            <v>3595 J</v>
          </cell>
          <cell r="B8497">
            <v>12800</v>
          </cell>
          <cell r="C8497">
            <v>45876</v>
          </cell>
          <cell r="D8497" t="str">
            <v>JILANI</v>
          </cell>
          <cell r="E8497" t="str">
            <v>Atlas Honda LTD (SKP)</v>
          </cell>
        </row>
        <row r="8498">
          <cell r="A8498" t="str">
            <v>3596 J</v>
          </cell>
          <cell r="B8498">
            <v>12801</v>
          </cell>
          <cell r="C8498">
            <v>45876</v>
          </cell>
          <cell r="D8498" t="str">
            <v>JILANI</v>
          </cell>
          <cell r="E8498" t="str">
            <v>Atlas Honda LTD (SKP)</v>
          </cell>
        </row>
        <row r="8499">
          <cell r="A8499" t="str">
            <v>3597 J</v>
          </cell>
          <cell r="B8499">
            <v>12802</v>
          </cell>
          <cell r="C8499">
            <v>45876</v>
          </cell>
          <cell r="D8499" t="str">
            <v>JILANI</v>
          </cell>
          <cell r="E8499" t="str">
            <v>International Industries (LTD)</v>
          </cell>
        </row>
        <row r="8500">
          <cell r="A8500" t="str">
            <v>3598 J</v>
          </cell>
          <cell r="B8500">
            <v>12803</v>
          </cell>
          <cell r="C8500">
            <v>45876</v>
          </cell>
          <cell r="D8500" t="str">
            <v>JILANI</v>
          </cell>
          <cell r="E8500" t="str">
            <v>Bilal Sweet And Bakers Sheikhupura</v>
          </cell>
        </row>
        <row r="8501">
          <cell r="A8501" t="str">
            <v>3599 J</v>
          </cell>
          <cell r="B8501">
            <v>12803</v>
          </cell>
          <cell r="C8501">
            <v>45876</v>
          </cell>
          <cell r="D8501" t="str">
            <v>JILANI</v>
          </cell>
          <cell r="E8501" t="str">
            <v>Bilal Sweet And Bakers Sheikhupura</v>
          </cell>
        </row>
        <row r="8502">
          <cell r="A8502" t="str">
            <v>3600 J</v>
          </cell>
          <cell r="B8502">
            <v>12804</v>
          </cell>
          <cell r="C8502">
            <v>45876</v>
          </cell>
          <cell r="D8502" t="str">
            <v>JILANI</v>
          </cell>
          <cell r="E8502" t="str">
            <v xml:space="preserve">Irfan Sab Azam Market Lahore </v>
          </cell>
        </row>
        <row r="8503">
          <cell r="A8503" t="str">
            <v>3601 J</v>
          </cell>
          <cell r="B8503">
            <v>12804</v>
          </cell>
          <cell r="C8503">
            <v>45876</v>
          </cell>
          <cell r="D8503" t="str">
            <v>JILANI</v>
          </cell>
          <cell r="E8503" t="str">
            <v xml:space="preserve">Irfan Sab Azam Market Lahore </v>
          </cell>
        </row>
        <row r="8504">
          <cell r="A8504" t="str">
            <v>3602 J</v>
          </cell>
          <cell r="B8504">
            <v>12805</v>
          </cell>
          <cell r="C8504">
            <v>45876</v>
          </cell>
          <cell r="D8504" t="str">
            <v>JILANI</v>
          </cell>
          <cell r="E8504" t="str">
            <v xml:space="preserve">Irfan Sab Azam Market Lahore </v>
          </cell>
        </row>
        <row r="8505">
          <cell r="A8505" t="str">
            <v>3603 J</v>
          </cell>
          <cell r="B8505">
            <v>12806</v>
          </cell>
          <cell r="C8505">
            <v>45876</v>
          </cell>
          <cell r="D8505" t="str">
            <v>JILANI</v>
          </cell>
          <cell r="E8505" t="str">
            <v>IHSAN Cotton Products Pvt. LTD</v>
          </cell>
        </row>
        <row r="8506">
          <cell r="A8506" t="str">
            <v>3604 J</v>
          </cell>
          <cell r="B8506">
            <v>12806</v>
          </cell>
          <cell r="C8506">
            <v>45876</v>
          </cell>
          <cell r="D8506" t="str">
            <v>JILANI</v>
          </cell>
          <cell r="E8506" t="str">
            <v>IHSAN Cotton Products Pvt. LTD</v>
          </cell>
        </row>
        <row r="8507">
          <cell r="A8507" t="str">
            <v>3605 J</v>
          </cell>
          <cell r="B8507">
            <v>12807</v>
          </cell>
          <cell r="C8507">
            <v>45876</v>
          </cell>
          <cell r="D8507" t="str">
            <v>JILANI</v>
          </cell>
          <cell r="E8507" t="str">
            <v>IHSAN Cotton Products Pvt. LTD</v>
          </cell>
        </row>
        <row r="8508">
          <cell r="A8508" t="str">
            <v>3606 J</v>
          </cell>
          <cell r="B8508">
            <v>12808</v>
          </cell>
          <cell r="C8508">
            <v>45876</v>
          </cell>
          <cell r="D8508" t="str">
            <v>JILANI</v>
          </cell>
          <cell r="E8508" t="str">
            <v>IHSAN Cotton Products Pvt. LTD</v>
          </cell>
        </row>
        <row r="8509">
          <cell r="A8509" t="str">
            <v>3607 J</v>
          </cell>
          <cell r="B8509">
            <v>12808</v>
          </cell>
          <cell r="C8509">
            <v>45876</v>
          </cell>
          <cell r="D8509" t="str">
            <v>JILANI</v>
          </cell>
          <cell r="E8509" t="str">
            <v>IHSAN Cotton Products Pvt. LTD</v>
          </cell>
        </row>
        <row r="8510">
          <cell r="A8510" t="str">
            <v>3608 J</v>
          </cell>
          <cell r="B8510">
            <v>12809</v>
          </cell>
          <cell r="C8510">
            <v>45876</v>
          </cell>
          <cell r="D8510" t="str">
            <v>JILANI</v>
          </cell>
          <cell r="E8510" t="str">
            <v>Liaqat Bhati Rang Mahal LHR</v>
          </cell>
        </row>
        <row r="8511">
          <cell r="A8511" t="str">
            <v>3609 J</v>
          </cell>
          <cell r="B8511">
            <v>12809</v>
          </cell>
          <cell r="C8511">
            <v>45876</v>
          </cell>
          <cell r="D8511" t="str">
            <v>JILANI</v>
          </cell>
          <cell r="E8511" t="str">
            <v>Liaqat Bhati Rang Mahal LHR</v>
          </cell>
        </row>
        <row r="8512">
          <cell r="A8512" t="str">
            <v>3610 J</v>
          </cell>
          <cell r="B8512">
            <v>12809</v>
          </cell>
          <cell r="C8512">
            <v>45876</v>
          </cell>
          <cell r="D8512" t="str">
            <v>JILANI</v>
          </cell>
          <cell r="E8512" t="str">
            <v>Liaqat Bhati Rang Mahal LHR</v>
          </cell>
        </row>
        <row r="8513">
          <cell r="A8513" t="str">
            <v>3611 J</v>
          </cell>
          <cell r="B8513">
            <v>12809</v>
          </cell>
          <cell r="C8513">
            <v>45876</v>
          </cell>
          <cell r="D8513" t="str">
            <v>JILANI</v>
          </cell>
          <cell r="E8513" t="str">
            <v>Liaqat Bhati Rang Mahal LHR</v>
          </cell>
        </row>
        <row r="8514">
          <cell r="A8514" t="str">
            <v>3612 J</v>
          </cell>
          <cell r="B8514">
            <v>12809</v>
          </cell>
          <cell r="C8514">
            <v>45876</v>
          </cell>
          <cell r="D8514" t="str">
            <v>JILANI</v>
          </cell>
          <cell r="E8514" t="str">
            <v>Liaqat Bhati Rang Mahal LHR</v>
          </cell>
        </row>
        <row r="8515">
          <cell r="A8515" t="str">
            <v>3613 J</v>
          </cell>
          <cell r="B8515">
            <v>12809</v>
          </cell>
          <cell r="C8515">
            <v>45876</v>
          </cell>
          <cell r="D8515" t="str">
            <v>JILANI</v>
          </cell>
          <cell r="E8515" t="str">
            <v>Liaqat Bhati Rang Mahal LHR</v>
          </cell>
        </row>
        <row r="8516">
          <cell r="A8516" t="str">
            <v>3614 J</v>
          </cell>
          <cell r="B8516"/>
          <cell r="C8516">
            <v>45877</v>
          </cell>
          <cell r="D8516" t="str">
            <v>JILANI</v>
          </cell>
          <cell r="E8516" t="str">
            <v>Jilani plastic</v>
          </cell>
        </row>
        <row r="8517">
          <cell r="A8517" t="str">
            <v>3615 J</v>
          </cell>
          <cell r="B8517"/>
          <cell r="C8517">
            <v>45877</v>
          </cell>
          <cell r="D8517" t="str">
            <v>JILANI</v>
          </cell>
          <cell r="E8517" t="str">
            <v>Jilani plastic</v>
          </cell>
        </row>
        <row r="8518">
          <cell r="A8518" t="str">
            <v>3616 J</v>
          </cell>
          <cell r="B8518"/>
          <cell r="C8518">
            <v>45877</v>
          </cell>
          <cell r="D8518" t="str">
            <v>JILANI</v>
          </cell>
          <cell r="E8518" t="str">
            <v>Jilani plastic</v>
          </cell>
        </row>
        <row r="8519">
          <cell r="A8519" t="str">
            <v>3617 J</v>
          </cell>
          <cell r="B8519"/>
          <cell r="C8519">
            <v>45877</v>
          </cell>
          <cell r="D8519" t="str">
            <v>JILANI</v>
          </cell>
          <cell r="E8519" t="str">
            <v>Jilani plastic</v>
          </cell>
        </row>
        <row r="8520">
          <cell r="A8520" t="str">
            <v>3618 J</v>
          </cell>
          <cell r="B8520"/>
          <cell r="C8520">
            <v>45877</v>
          </cell>
          <cell r="D8520" t="str">
            <v>JILANI</v>
          </cell>
          <cell r="E8520" t="str">
            <v>Jilani plastic</v>
          </cell>
        </row>
        <row r="8521">
          <cell r="A8521" t="str">
            <v>3619 J</v>
          </cell>
          <cell r="B8521"/>
          <cell r="C8521">
            <v>45877</v>
          </cell>
          <cell r="D8521" t="str">
            <v>JILANI</v>
          </cell>
          <cell r="E8521" t="str">
            <v>Jilani plastic</v>
          </cell>
        </row>
        <row r="8522">
          <cell r="A8522" t="str">
            <v>3620 J</v>
          </cell>
          <cell r="B8522"/>
          <cell r="C8522">
            <v>45877</v>
          </cell>
          <cell r="D8522" t="str">
            <v>JILANI</v>
          </cell>
          <cell r="E8522" t="str">
            <v>Jilani plastic</v>
          </cell>
        </row>
        <row r="8523">
          <cell r="A8523" t="str">
            <v>3621 J</v>
          </cell>
          <cell r="B8523"/>
          <cell r="C8523">
            <v>45877</v>
          </cell>
          <cell r="D8523" t="str">
            <v>JILANI</v>
          </cell>
          <cell r="E8523" t="str">
            <v>Jilani plastic</v>
          </cell>
        </row>
        <row r="8524">
          <cell r="A8524" t="str">
            <v>3622 J</v>
          </cell>
          <cell r="B8524">
            <v>12810</v>
          </cell>
          <cell r="C8524">
            <v>45877</v>
          </cell>
          <cell r="D8524" t="str">
            <v>JILANI</v>
          </cell>
          <cell r="E8524" t="str">
            <v>Usman Arif Butt Gujranwala</v>
          </cell>
        </row>
        <row r="8525">
          <cell r="A8525" t="str">
            <v>3623 J</v>
          </cell>
          <cell r="B8525">
            <v>12810</v>
          </cell>
          <cell r="C8525">
            <v>45877</v>
          </cell>
          <cell r="D8525" t="str">
            <v>JILANI</v>
          </cell>
          <cell r="E8525" t="str">
            <v>Usman Arif Butt Gujranwala</v>
          </cell>
        </row>
        <row r="8526">
          <cell r="A8526" t="str">
            <v>3624 J</v>
          </cell>
          <cell r="B8526">
            <v>12810</v>
          </cell>
          <cell r="C8526">
            <v>45877</v>
          </cell>
          <cell r="D8526" t="str">
            <v>JILANI</v>
          </cell>
          <cell r="E8526" t="str">
            <v>Usman Arif Butt Gujranwala</v>
          </cell>
        </row>
        <row r="8527">
          <cell r="A8527" t="str">
            <v>3625 J</v>
          </cell>
          <cell r="B8527">
            <v>12810</v>
          </cell>
          <cell r="C8527">
            <v>45877</v>
          </cell>
          <cell r="D8527" t="str">
            <v>JILANI</v>
          </cell>
          <cell r="E8527" t="str">
            <v>Usman Arif Butt Gujranwala</v>
          </cell>
        </row>
        <row r="8528">
          <cell r="A8528" t="str">
            <v>3626 J</v>
          </cell>
          <cell r="B8528">
            <v>12811</v>
          </cell>
          <cell r="C8528">
            <v>45877</v>
          </cell>
          <cell r="D8528" t="str">
            <v>JILANI</v>
          </cell>
          <cell r="E8528" t="str">
            <v>Khalid Printer Lahore</v>
          </cell>
        </row>
        <row r="8529">
          <cell r="A8529" t="str">
            <v>3627 J</v>
          </cell>
          <cell r="B8529">
            <v>12812</v>
          </cell>
          <cell r="C8529">
            <v>45877</v>
          </cell>
          <cell r="D8529" t="str">
            <v>JILANI</v>
          </cell>
          <cell r="E8529" t="str">
            <v>Khalid Printer Lahore</v>
          </cell>
        </row>
        <row r="8530">
          <cell r="A8530" t="str">
            <v>3628 J</v>
          </cell>
          <cell r="B8530">
            <v>12813</v>
          </cell>
          <cell r="C8530">
            <v>45877</v>
          </cell>
          <cell r="D8530" t="str">
            <v>JILANI</v>
          </cell>
          <cell r="E8530" t="str">
            <v>Zam Zam Shoping Mall Timbergra</v>
          </cell>
        </row>
        <row r="8531">
          <cell r="A8531" t="str">
            <v>3629 J</v>
          </cell>
          <cell r="B8531">
            <v>12814</v>
          </cell>
          <cell r="C8531">
            <v>45877</v>
          </cell>
          <cell r="D8531" t="str">
            <v>JILANI</v>
          </cell>
          <cell r="E8531" t="str">
            <v>Zam Zam Shoping Mall Timbergra</v>
          </cell>
        </row>
        <row r="8532">
          <cell r="A8532" t="str">
            <v>3630 J</v>
          </cell>
          <cell r="B8532">
            <v>12815</v>
          </cell>
          <cell r="C8532">
            <v>45877</v>
          </cell>
          <cell r="D8532" t="str">
            <v>JILANI</v>
          </cell>
          <cell r="E8532" t="str">
            <v>Milk Way Milk Lahore</v>
          </cell>
        </row>
        <row r="8533">
          <cell r="A8533" t="str">
            <v>3631 J</v>
          </cell>
          <cell r="B8533">
            <v>12816</v>
          </cell>
          <cell r="C8533">
            <v>45877</v>
          </cell>
          <cell r="D8533" t="str">
            <v>JILANI</v>
          </cell>
          <cell r="E8533" t="str">
            <v>Hanaan Plastic FSD</v>
          </cell>
        </row>
        <row r="8534">
          <cell r="A8534" t="str">
            <v>3632 J</v>
          </cell>
          <cell r="B8534">
            <v>12816</v>
          </cell>
          <cell r="C8534">
            <v>45877</v>
          </cell>
          <cell r="D8534" t="str">
            <v>JILANI</v>
          </cell>
          <cell r="E8534" t="str">
            <v>Hanaan Plastic FSD</v>
          </cell>
        </row>
        <row r="8535">
          <cell r="A8535" t="str">
            <v>3633 J</v>
          </cell>
          <cell r="B8535">
            <v>12817</v>
          </cell>
          <cell r="C8535">
            <v>45877</v>
          </cell>
          <cell r="D8535" t="str">
            <v>JILANI</v>
          </cell>
          <cell r="E8535" t="str">
            <v>Rasheed Garments Sawaat</v>
          </cell>
        </row>
        <row r="8536">
          <cell r="A8536" t="str">
            <v>3634 J</v>
          </cell>
          <cell r="B8536">
            <v>12817</v>
          </cell>
          <cell r="C8536">
            <v>45877</v>
          </cell>
          <cell r="D8536" t="str">
            <v>JILANI</v>
          </cell>
          <cell r="E8536" t="str">
            <v>Rasheed Garments Sawaat</v>
          </cell>
        </row>
        <row r="8537">
          <cell r="A8537" t="str">
            <v>3635 J</v>
          </cell>
          <cell r="B8537">
            <v>12818</v>
          </cell>
          <cell r="C8537">
            <v>45877</v>
          </cell>
          <cell r="D8537" t="str">
            <v>JILANI</v>
          </cell>
          <cell r="E8537" t="str">
            <v>Al Falah Bakers Chichawattani</v>
          </cell>
        </row>
        <row r="8538">
          <cell r="A8538" t="str">
            <v>3636 J</v>
          </cell>
          <cell r="B8538">
            <v>12818</v>
          </cell>
          <cell r="C8538">
            <v>45877</v>
          </cell>
          <cell r="D8538" t="str">
            <v>JILANI</v>
          </cell>
          <cell r="E8538" t="str">
            <v>Al Falah Bakers Chichawattani</v>
          </cell>
        </row>
        <row r="8539">
          <cell r="A8539" t="str">
            <v>3637 J</v>
          </cell>
          <cell r="B8539">
            <v>12819</v>
          </cell>
          <cell r="C8539">
            <v>45877</v>
          </cell>
          <cell r="D8539" t="str">
            <v>JILANI</v>
          </cell>
          <cell r="E8539" t="str">
            <v>Synt Chamical Lahore</v>
          </cell>
        </row>
        <row r="8540">
          <cell r="A8540" t="str">
            <v>3638 J</v>
          </cell>
          <cell r="B8540">
            <v>12820</v>
          </cell>
          <cell r="C8540">
            <v>45877</v>
          </cell>
          <cell r="D8540" t="str">
            <v>JILANI</v>
          </cell>
          <cell r="E8540" t="str">
            <v>Synt Chamical Lahore</v>
          </cell>
        </row>
        <row r="8541">
          <cell r="A8541" t="str">
            <v>3639 J</v>
          </cell>
          <cell r="B8541">
            <v>12821</v>
          </cell>
          <cell r="C8541">
            <v>45877</v>
          </cell>
          <cell r="D8541" t="str">
            <v>JILANI</v>
          </cell>
          <cell r="E8541" t="str">
            <v>Sheikh Iqbal Cloth and Botique Center Lhr</v>
          </cell>
        </row>
        <row r="8542">
          <cell r="A8542" t="str">
            <v>1967 F</v>
          </cell>
          <cell r="B8542"/>
          <cell r="C8542">
            <v>45877</v>
          </cell>
          <cell r="D8542" t="str">
            <v>Fina</v>
          </cell>
          <cell r="E8542" t="str">
            <v>Usman Amin</v>
          </cell>
        </row>
        <row r="8543">
          <cell r="A8543" t="str">
            <v>1968 F</v>
          </cell>
          <cell r="B8543"/>
          <cell r="C8543">
            <v>45877</v>
          </cell>
          <cell r="D8543" t="str">
            <v>Fina</v>
          </cell>
          <cell r="E8543" t="str">
            <v>Usman Amin</v>
          </cell>
        </row>
        <row r="8544">
          <cell r="A8544" t="str">
            <v>1969 F</v>
          </cell>
          <cell r="B8544"/>
          <cell r="C8544">
            <v>45877</v>
          </cell>
          <cell r="D8544" t="str">
            <v>Fina</v>
          </cell>
          <cell r="E8544" t="str">
            <v>Usman Amin</v>
          </cell>
        </row>
        <row r="8545">
          <cell r="A8545" t="str">
            <v>1970 F</v>
          </cell>
          <cell r="B8545"/>
          <cell r="C8545">
            <v>45877</v>
          </cell>
          <cell r="D8545" t="str">
            <v>Fina</v>
          </cell>
          <cell r="E8545" t="str">
            <v>Usman Amin</v>
          </cell>
        </row>
        <row r="8546">
          <cell r="A8546" t="str">
            <v>1971 F</v>
          </cell>
          <cell r="B8546"/>
          <cell r="C8546">
            <v>45877</v>
          </cell>
          <cell r="D8546" t="str">
            <v>Fina</v>
          </cell>
          <cell r="E8546" t="str">
            <v>Usman Amin</v>
          </cell>
        </row>
        <row r="8547">
          <cell r="A8547" t="str">
            <v>1972 F</v>
          </cell>
          <cell r="B8547"/>
          <cell r="C8547">
            <v>45877</v>
          </cell>
          <cell r="D8547" t="str">
            <v>Fina</v>
          </cell>
          <cell r="E8547" t="str">
            <v>Usman Amin</v>
          </cell>
        </row>
        <row r="8548">
          <cell r="A8548" t="str">
            <v>1973 F</v>
          </cell>
          <cell r="B8548"/>
          <cell r="C8548">
            <v>45877</v>
          </cell>
          <cell r="D8548" t="str">
            <v>Fina</v>
          </cell>
          <cell r="E8548" t="str">
            <v>Usman Amin</v>
          </cell>
        </row>
        <row r="8549">
          <cell r="A8549" t="str">
            <v>258 R</v>
          </cell>
          <cell r="B8549">
            <v>808</v>
          </cell>
          <cell r="C8549">
            <v>45864</v>
          </cell>
          <cell r="D8549" t="str">
            <v>REFLECTPACK</v>
          </cell>
          <cell r="E8549" t="str">
            <v>ریفلیکٹ پیک</v>
          </cell>
        </row>
        <row r="8550">
          <cell r="A8550" t="str">
            <v>259 R</v>
          </cell>
          <cell r="B8550">
            <v>808</v>
          </cell>
          <cell r="C8550">
            <v>45864</v>
          </cell>
          <cell r="D8550" t="str">
            <v>REFLECTPACK</v>
          </cell>
          <cell r="E8550" t="str">
            <v>ریفلیکٹ پیک</v>
          </cell>
        </row>
        <row r="8551">
          <cell r="A8551" t="str">
            <v>260 R</v>
          </cell>
          <cell r="B8551">
            <v>809</v>
          </cell>
          <cell r="C8551">
            <v>45864</v>
          </cell>
          <cell r="D8551" t="str">
            <v>REFLECTPACK</v>
          </cell>
          <cell r="E8551" t="str">
            <v>قاسم گوندل پرنٹنگ C/O ریفلیکٹ پیک</v>
          </cell>
        </row>
        <row r="8552">
          <cell r="A8552">
            <v>2776</v>
          </cell>
          <cell r="B8552" t="str">
            <v>-</v>
          </cell>
          <cell r="C8552">
            <v>45880</v>
          </cell>
          <cell r="D8552" t="str">
            <v>JILANI</v>
          </cell>
          <cell r="E8552" t="str">
            <v>PT-01</v>
          </cell>
        </row>
        <row r="8553">
          <cell r="A8553">
            <v>2777</v>
          </cell>
          <cell r="B8553" t="str">
            <v>-</v>
          </cell>
          <cell r="C8553">
            <v>45880</v>
          </cell>
          <cell r="D8553" t="str">
            <v>JILANI</v>
          </cell>
          <cell r="E8553" t="str">
            <v>PT-01</v>
          </cell>
        </row>
        <row r="8554">
          <cell r="A8554">
            <v>2778</v>
          </cell>
          <cell r="B8554" t="str">
            <v>-</v>
          </cell>
          <cell r="C8554">
            <v>45880</v>
          </cell>
          <cell r="D8554" t="str">
            <v>JILANI</v>
          </cell>
          <cell r="E8554" t="str">
            <v>PT-01</v>
          </cell>
        </row>
        <row r="8555">
          <cell r="A8555">
            <v>2779</v>
          </cell>
          <cell r="B8555" t="str">
            <v>-</v>
          </cell>
          <cell r="C8555">
            <v>45880</v>
          </cell>
          <cell r="D8555" t="str">
            <v>JILANI</v>
          </cell>
          <cell r="E8555" t="str">
            <v>PT-01</v>
          </cell>
        </row>
        <row r="8556">
          <cell r="A8556">
            <v>2780</v>
          </cell>
          <cell r="B8556" t="str">
            <v>-</v>
          </cell>
          <cell r="C8556">
            <v>45880</v>
          </cell>
          <cell r="D8556" t="str">
            <v>JILANI</v>
          </cell>
          <cell r="E8556" t="str">
            <v>PT-01</v>
          </cell>
        </row>
        <row r="8557">
          <cell r="A8557" t="str">
            <v>7155/1</v>
          </cell>
          <cell r="B8557">
            <v>7155</v>
          </cell>
          <cell r="C8557">
            <v>45881</v>
          </cell>
          <cell r="D8557" t="str">
            <v>یونس صاحب</v>
          </cell>
          <cell r="E8557" t="str">
            <v>شمایل پلاسٹک بھکر</v>
          </cell>
        </row>
        <row r="8558">
          <cell r="A8558" t="str">
            <v>7155/2</v>
          </cell>
          <cell r="B8558">
            <v>7155</v>
          </cell>
          <cell r="C8558">
            <v>45881</v>
          </cell>
          <cell r="D8558" t="str">
            <v>یونس صاحب</v>
          </cell>
          <cell r="E8558" t="str">
            <v>شمایل پلاسٹک بھکر</v>
          </cell>
        </row>
        <row r="8559">
          <cell r="A8559" t="str">
            <v>7156/1</v>
          </cell>
          <cell r="B8559">
            <v>7156</v>
          </cell>
          <cell r="C8559">
            <v>45881</v>
          </cell>
          <cell r="D8559" t="str">
            <v>یونس صاحب</v>
          </cell>
          <cell r="E8559" t="str">
            <v>خواجہ فرقان ٹمبر مارکیٹ</v>
          </cell>
        </row>
        <row r="8560">
          <cell r="A8560" t="str">
            <v>7157/1</v>
          </cell>
          <cell r="B8560">
            <v>7157</v>
          </cell>
          <cell r="C8560">
            <v>45881</v>
          </cell>
          <cell r="D8560" t="str">
            <v>یونس صاحب</v>
          </cell>
          <cell r="E8560" t="str">
            <v>سبحان زاہد اعظم مارکیٹ</v>
          </cell>
        </row>
        <row r="8561">
          <cell r="A8561" t="str">
            <v>7158/1</v>
          </cell>
          <cell r="B8561">
            <v>7158</v>
          </cell>
          <cell r="C8561">
            <v>45881</v>
          </cell>
          <cell r="D8561" t="str">
            <v>یونس صاحب</v>
          </cell>
          <cell r="E8561" t="str">
            <v>یونیورسل اعظم مارکیٹ</v>
          </cell>
        </row>
        <row r="8562">
          <cell r="A8562" t="str">
            <v>7159/1</v>
          </cell>
          <cell r="B8562">
            <v>7159</v>
          </cell>
          <cell r="C8562">
            <v>45881</v>
          </cell>
          <cell r="D8562" t="str">
            <v>یونس صاحب</v>
          </cell>
          <cell r="E8562" t="str">
            <v>ایم بلال اغظم مارکیٹ</v>
          </cell>
        </row>
        <row r="8563">
          <cell r="A8563" t="str">
            <v>7160/1</v>
          </cell>
          <cell r="B8563">
            <v>7160</v>
          </cell>
          <cell r="C8563">
            <v>45881</v>
          </cell>
          <cell r="D8563" t="str">
            <v>یونس صاحب</v>
          </cell>
          <cell r="E8563" t="str">
            <v>ایم دین پنڈی</v>
          </cell>
        </row>
        <row r="8564">
          <cell r="A8564" t="str">
            <v>7160/2</v>
          </cell>
          <cell r="B8564">
            <v>7160</v>
          </cell>
          <cell r="C8564">
            <v>45881</v>
          </cell>
          <cell r="D8564" t="str">
            <v>یونس صاحب</v>
          </cell>
          <cell r="E8564" t="str">
            <v>ایم دین پنڈی</v>
          </cell>
        </row>
        <row r="8565">
          <cell r="A8565" t="str">
            <v>7161/1</v>
          </cell>
          <cell r="B8565">
            <v>7161</v>
          </cell>
          <cell r="C8565">
            <v>45881</v>
          </cell>
          <cell r="D8565" t="str">
            <v>یونس صاحب</v>
          </cell>
          <cell r="E8565" t="str">
            <v>ملک اعجاز چنوٹ</v>
          </cell>
        </row>
        <row r="8566">
          <cell r="A8566" t="str">
            <v>7161/2</v>
          </cell>
          <cell r="B8566">
            <v>7161</v>
          </cell>
          <cell r="C8566">
            <v>45881</v>
          </cell>
          <cell r="D8566" t="str">
            <v>یونس صاحب</v>
          </cell>
          <cell r="E8566" t="str">
            <v>ملک اعجاز چنوٹ</v>
          </cell>
        </row>
        <row r="8567">
          <cell r="A8567" t="str">
            <v>7161/3</v>
          </cell>
          <cell r="B8567">
            <v>7161</v>
          </cell>
          <cell r="C8567">
            <v>45881</v>
          </cell>
          <cell r="D8567" t="str">
            <v>یونس صاحب</v>
          </cell>
          <cell r="E8567" t="str">
            <v>ملک اعجاز چنوٹ</v>
          </cell>
        </row>
        <row r="8568">
          <cell r="A8568" t="str">
            <v>7161/4</v>
          </cell>
          <cell r="B8568">
            <v>7161</v>
          </cell>
          <cell r="C8568">
            <v>45881</v>
          </cell>
          <cell r="D8568" t="str">
            <v>یونس صاحب</v>
          </cell>
          <cell r="E8568" t="str">
            <v>ملک اعجاز چنوٹ</v>
          </cell>
        </row>
        <row r="8569">
          <cell r="A8569" t="str">
            <v>7161/5</v>
          </cell>
          <cell r="B8569">
            <v>7161</v>
          </cell>
          <cell r="C8569">
            <v>45881</v>
          </cell>
          <cell r="D8569" t="str">
            <v>یونس صاحب</v>
          </cell>
          <cell r="E8569" t="str">
            <v>ملک اعجاز چنوٹ</v>
          </cell>
        </row>
        <row r="8570">
          <cell r="A8570" t="str">
            <v>7161/6</v>
          </cell>
          <cell r="B8570">
            <v>7161</v>
          </cell>
          <cell r="C8570">
            <v>45881</v>
          </cell>
          <cell r="D8570" t="str">
            <v>یونس صاحب</v>
          </cell>
          <cell r="E8570" t="str">
            <v>ملک اعجاز چنوٹ</v>
          </cell>
        </row>
        <row r="8571">
          <cell r="A8571" t="str">
            <v>7161/7</v>
          </cell>
          <cell r="B8571">
            <v>7161</v>
          </cell>
          <cell r="C8571">
            <v>45881</v>
          </cell>
          <cell r="D8571" t="str">
            <v>یونس صاحب</v>
          </cell>
          <cell r="E8571" t="str">
            <v>ملک اعجاز چنوٹ</v>
          </cell>
        </row>
        <row r="8572">
          <cell r="A8572" t="str">
            <v>7161/8</v>
          </cell>
          <cell r="B8572">
            <v>7161</v>
          </cell>
          <cell r="C8572">
            <v>45881</v>
          </cell>
          <cell r="D8572" t="str">
            <v>یونس صاحب</v>
          </cell>
          <cell r="E8572" t="str">
            <v>ملک اعجاز چنوٹ</v>
          </cell>
        </row>
        <row r="8573">
          <cell r="A8573" t="str">
            <v>7161/9</v>
          </cell>
          <cell r="B8573">
            <v>7161</v>
          </cell>
          <cell r="C8573">
            <v>45881</v>
          </cell>
          <cell r="D8573" t="str">
            <v>یونس صاحب</v>
          </cell>
          <cell r="E8573" t="str">
            <v>ملک اعجاز چنوٹ</v>
          </cell>
        </row>
        <row r="8574">
          <cell r="A8574" t="str">
            <v>7161/10</v>
          </cell>
          <cell r="B8574">
            <v>7161</v>
          </cell>
          <cell r="C8574">
            <v>45881</v>
          </cell>
          <cell r="D8574" t="str">
            <v>یونس صاحب</v>
          </cell>
          <cell r="E8574" t="str">
            <v>ملک اعجاز چنوٹ</v>
          </cell>
        </row>
        <row r="8575">
          <cell r="A8575" t="str">
            <v>7162/1</v>
          </cell>
          <cell r="B8575">
            <v>7162</v>
          </cell>
          <cell r="C8575">
            <v>45881</v>
          </cell>
          <cell r="D8575" t="str">
            <v>یونس صاحب</v>
          </cell>
          <cell r="E8575" t="str">
            <v>شہباز اعظم مارکیٹ</v>
          </cell>
        </row>
        <row r="8576">
          <cell r="A8576" t="str">
            <v>7163/1</v>
          </cell>
          <cell r="B8576">
            <v>7163</v>
          </cell>
          <cell r="C8576">
            <v>45881</v>
          </cell>
          <cell r="D8576" t="str">
            <v>یونس صاحب</v>
          </cell>
          <cell r="E8576" t="str">
            <v>ریفلیکٹ پیک لاہور</v>
          </cell>
        </row>
        <row r="8577">
          <cell r="A8577" t="str">
            <v>7164/1</v>
          </cell>
          <cell r="B8577">
            <v>7164</v>
          </cell>
          <cell r="C8577">
            <v>45881</v>
          </cell>
          <cell r="D8577" t="str">
            <v>یونس صاحب</v>
          </cell>
          <cell r="E8577" t="str">
            <v>نادر پلاسٹک سرگودھا</v>
          </cell>
        </row>
        <row r="8578">
          <cell r="A8578" t="str">
            <v>7164/2</v>
          </cell>
          <cell r="B8578">
            <v>7164</v>
          </cell>
          <cell r="C8578">
            <v>45881</v>
          </cell>
          <cell r="D8578" t="str">
            <v>یونس صاحب</v>
          </cell>
          <cell r="E8578" t="str">
            <v>نادر پلاسٹک سرگودھا</v>
          </cell>
        </row>
        <row r="8579">
          <cell r="A8579" t="str">
            <v>7164/3</v>
          </cell>
          <cell r="B8579">
            <v>7164</v>
          </cell>
          <cell r="C8579">
            <v>45881</v>
          </cell>
          <cell r="D8579" t="str">
            <v>یونس صاحب</v>
          </cell>
          <cell r="E8579" t="str">
            <v>نادر پلاسٹک سرگودھا</v>
          </cell>
        </row>
        <row r="8580">
          <cell r="A8580" t="str">
            <v>7164/4</v>
          </cell>
          <cell r="B8580">
            <v>7164</v>
          </cell>
          <cell r="C8580">
            <v>45881</v>
          </cell>
          <cell r="D8580" t="str">
            <v>یونس صاحب</v>
          </cell>
          <cell r="E8580" t="str">
            <v>نادر پلاسٹک سرگودھا</v>
          </cell>
        </row>
        <row r="8581">
          <cell r="A8581" t="str">
            <v>7164/5</v>
          </cell>
          <cell r="B8581">
            <v>7164</v>
          </cell>
          <cell r="C8581">
            <v>45881</v>
          </cell>
          <cell r="D8581" t="str">
            <v>یونس صاحب</v>
          </cell>
          <cell r="E8581" t="str">
            <v>نادر پلاسٹک سرگودھا</v>
          </cell>
        </row>
        <row r="8582">
          <cell r="A8582" t="str">
            <v>7165/1</v>
          </cell>
          <cell r="B8582">
            <v>7165</v>
          </cell>
          <cell r="C8582">
            <v>45881</v>
          </cell>
          <cell r="D8582" t="str">
            <v>یونس صاحب</v>
          </cell>
          <cell r="E8582" t="str">
            <v>العمر پلاسٹک گوجرانوالہ</v>
          </cell>
        </row>
        <row r="8583">
          <cell r="A8583" t="str">
            <v>7165/2</v>
          </cell>
          <cell r="B8583">
            <v>7165</v>
          </cell>
          <cell r="C8583">
            <v>45881</v>
          </cell>
          <cell r="D8583" t="str">
            <v>یونس صاحب</v>
          </cell>
          <cell r="E8583" t="str">
            <v>العمر پلاسٹک گوجرانوالہ</v>
          </cell>
        </row>
        <row r="8584">
          <cell r="A8584" t="str">
            <v>7165/3</v>
          </cell>
          <cell r="B8584">
            <v>7165</v>
          </cell>
          <cell r="C8584">
            <v>45881</v>
          </cell>
          <cell r="D8584" t="str">
            <v>یونس صاحب</v>
          </cell>
          <cell r="E8584" t="str">
            <v>العمر پلاسٹک گوجرانوالہ</v>
          </cell>
        </row>
        <row r="8585">
          <cell r="A8585" t="str">
            <v>7165/4</v>
          </cell>
          <cell r="B8585">
            <v>7165</v>
          </cell>
          <cell r="C8585">
            <v>45881</v>
          </cell>
          <cell r="D8585" t="str">
            <v>یونس صاحب</v>
          </cell>
          <cell r="E8585" t="str">
            <v>العمر پلاسٹک گوجرانوالہ</v>
          </cell>
        </row>
        <row r="8586">
          <cell r="A8586" t="str">
            <v>7165/5</v>
          </cell>
          <cell r="B8586">
            <v>7165</v>
          </cell>
          <cell r="C8586">
            <v>45881</v>
          </cell>
          <cell r="D8586" t="str">
            <v>یونس صاحب</v>
          </cell>
          <cell r="E8586" t="str">
            <v>العمر پلاسٹک گوجرانوالہ</v>
          </cell>
        </row>
        <row r="8587">
          <cell r="A8587" t="str">
            <v>7165/6</v>
          </cell>
          <cell r="B8587">
            <v>7165</v>
          </cell>
          <cell r="C8587">
            <v>45881</v>
          </cell>
          <cell r="D8587" t="str">
            <v>یونس صاحب</v>
          </cell>
          <cell r="E8587" t="str">
            <v>العمر پلاسٹک گوجرانوالہ</v>
          </cell>
        </row>
        <row r="8588">
          <cell r="A8588" t="str">
            <v>7165/7</v>
          </cell>
          <cell r="B8588">
            <v>7165</v>
          </cell>
          <cell r="C8588">
            <v>45881</v>
          </cell>
          <cell r="D8588" t="str">
            <v>یونس صاحب</v>
          </cell>
          <cell r="E8588" t="str">
            <v>العمر پلاسٹک گوجرانوالہ</v>
          </cell>
        </row>
        <row r="8589">
          <cell r="A8589" t="str">
            <v>7165/8</v>
          </cell>
          <cell r="B8589">
            <v>7165</v>
          </cell>
          <cell r="C8589">
            <v>45881</v>
          </cell>
          <cell r="D8589" t="str">
            <v>یونس صاحب</v>
          </cell>
          <cell r="E8589" t="str">
            <v>العمر پلاسٹک گوجرانوالہ</v>
          </cell>
        </row>
        <row r="8590">
          <cell r="A8590" t="str">
            <v>3640 J</v>
          </cell>
          <cell r="B8590"/>
          <cell r="C8590">
            <v>45880</v>
          </cell>
          <cell r="D8590" t="str">
            <v>OTHER</v>
          </cell>
          <cell r="E8590" t="str">
            <v>Jilani Plastic</v>
          </cell>
        </row>
        <row r="8591">
          <cell r="A8591" t="str">
            <v>3641 J</v>
          </cell>
          <cell r="B8591"/>
          <cell r="C8591">
            <v>45880</v>
          </cell>
          <cell r="D8591" t="str">
            <v>OTHER</v>
          </cell>
          <cell r="E8591" t="str">
            <v>Jilani Plastic</v>
          </cell>
        </row>
        <row r="8592">
          <cell r="A8592" t="str">
            <v>3642 J</v>
          </cell>
          <cell r="B8592"/>
          <cell r="C8592">
            <v>45880</v>
          </cell>
          <cell r="D8592" t="str">
            <v>OTHER</v>
          </cell>
          <cell r="E8592" t="str">
            <v>Jilani Plastic</v>
          </cell>
        </row>
        <row r="8593">
          <cell r="A8593" t="str">
            <v>3643 J</v>
          </cell>
          <cell r="B8593"/>
          <cell r="C8593">
            <v>45880</v>
          </cell>
          <cell r="D8593" t="str">
            <v>OTHER</v>
          </cell>
          <cell r="E8593" t="str">
            <v>Jilani Plastic</v>
          </cell>
        </row>
        <row r="8594">
          <cell r="A8594" t="str">
            <v>3644 J</v>
          </cell>
          <cell r="B8594"/>
          <cell r="C8594">
            <v>45870</v>
          </cell>
          <cell r="D8594" t="str">
            <v>OTHER</v>
          </cell>
          <cell r="E8594" t="str">
            <v>Jilani poly Stock</v>
          </cell>
        </row>
        <row r="8595">
          <cell r="A8595" t="str">
            <v>3645 J</v>
          </cell>
          <cell r="B8595">
            <v>12821</v>
          </cell>
          <cell r="C8595">
            <v>45878</v>
          </cell>
          <cell r="D8595" t="str">
            <v>JILANI</v>
          </cell>
          <cell r="E8595" t="str">
            <v>Sheikh Iqbal Cloth and Botique Center Lhr</v>
          </cell>
        </row>
        <row r="8596">
          <cell r="A8596" t="str">
            <v>3646 J</v>
          </cell>
          <cell r="B8596">
            <v>12822</v>
          </cell>
          <cell r="C8596">
            <v>45878</v>
          </cell>
          <cell r="D8596" t="str">
            <v>JILANI</v>
          </cell>
          <cell r="E8596" t="str">
            <v>Waseem Shoper House Lahore</v>
          </cell>
        </row>
        <row r="8597">
          <cell r="A8597" t="str">
            <v>3647 J</v>
          </cell>
          <cell r="B8597">
            <v>12822</v>
          </cell>
          <cell r="C8597">
            <v>45878</v>
          </cell>
          <cell r="D8597" t="str">
            <v>JILANI</v>
          </cell>
          <cell r="E8597" t="str">
            <v>Waseem Shoper House Lahore</v>
          </cell>
        </row>
        <row r="8598">
          <cell r="A8598" t="str">
            <v>3648 J</v>
          </cell>
          <cell r="B8598">
            <v>12823</v>
          </cell>
          <cell r="C8598">
            <v>45878</v>
          </cell>
          <cell r="D8598" t="str">
            <v>JILANI</v>
          </cell>
          <cell r="E8598" t="str">
            <v>Mughal Plastic Store Layyah</v>
          </cell>
        </row>
        <row r="8599">
          <cell r="A8599" t="str">
            <v>3649 J</v>
          </cell>
          <cell r="B8599">
            <v>12824</v>
          </cell>
          <cell r="C8599">
            <v>45878</v>
          </cell>
          <cell r="D8599" t="str">
            <v>JILANI</v>
          </cell>
          <cell r="E8599" t="str">
            <v>Mughal Plastic Store Layyah</v>
          </cell>
        </row>
        <row r="8600">
          <cell r="A8600" t="str">
            <v>3650 J</v>
          </cell>
          <cell r="B8600">
            <v>12825</v>
          </cell>
          <cell r="C8600">
            <v>45878</v>
          </cell>
          <cell r="D8600" t="str">
            <v>JILANI</v>
          </cell>
          <cell r="E8600" t="str">
            <v>Waqas Wollan Mills Gujranwala</v>
          </cell>
        </row>
        <row r="8601">
          <cell r="A8601" t="str">
            <v>3651 J</v>
          </cell>
          <cell r="B8601">
            <v>12825</v>
          </cell>
          <cell r="C8601">
            <v>45878</v>
          </cell>
          <cell r="D8601" t="str">
            <v>JILANI</v>
          </cell>
          <cell r="E8601" t="str">
            <v>Waqas Wollan Mills Gujranwala</v>
          </cell>
        </row>
        <row r="8602">
          <cell r="A8602" t="str">
            <v>3652 J</v>
          </cell>
          <cell r="B8602">
            <v>12826</v>
          </cell>
          <cell r="C8602">
            <v>45878</v>
          </cell>
          <cell r="D8602" t="str">
            <v>JILANI</v>
          </cell>
          <cell r="E8602" t="str">
            <v>Waqas Wollan Mills Gujranwala</v>
          </cell>
        </row>
        <row r="8603">
          <cell r="A8603" t="str">
            <v>3653 J</v>
          </cell>
          <cell r="B8603">
            <v>12826</v>
          </cell>
          <cell r="C8603">
            <v>45878</v>
          </cell>
          <cell r="D8603" t="str">
            <v>JILANI</v>
          </cell>
          <cell r="E8603" t="str">
            <v>Waqas Wollan Mills Gujranwala</v>
          </cell>
        </row>
        <row r="8604">
          <cell r="A8604" t="str">
            <v>3654 J</v>
          </cell>
          <cell r="B8604">
            <v>12826</v>
          </cell>
          <cell r="C8604">
            <v>45878</v>
          </cell>
          <cell r="D8604" t="str">
            <v>JILANI</v>
          </cell>
          <cell r="E8604" t="str">
            <v>Waqas Wollan Mills Gujranwala</v>
          </cell>
        </row>
        <row r="8605">
          <cell r="A8605" t="str">
            <v>3655 J</v>
          </cell>
          <cell r="B8605">
            <v>12827</v>
          </cell>
          <cell r="C8605">
            <v>45878</v>
          </cell>
          <cell r="D8605" t="str">
            <v>JILANI</v>
          </cell>
          <cell r="E8605" t="str">
            <v>Waqas Wollan Mills Gujranwala</v>
          </cell>
        </row>
        <row r="8606">
          <cell r="A8606" t="str">
            <v>3656 J</v>
          </cell>
          <cell r="B8606">
            <v>12827</v>
          </cell>
          <cell r="C8606">
            <v>45878</v>
          </cell>
          <cell r="D8606" t="str">
            <v>JILANI</v>
          </cell>
          <cell r="E8606" t="str">
            <v>Waqas Wollan Mills Gujranwala</v>
          </cell>
        </row>
        <row r="8607">
          <cell r="A8607" t="str">
            <v>3657 J</v>
          </cell>
          <cell r="B8607">
            <v>12828</v>
          </cell>
          <cell r="C8607">
            <v>45878</v>
          </cell>
          <cell r="D8607" t="str">
            <v>JILANI</v>
          </cell>
          <cell r="E8607" t="str">
            <v>Waqas Wollan Mills Gujranwala</v>
          </cell>
        </row>
        <row r="8608">
          <cell r="A8608" t="str">
            <v>3658 J</v>
          </cell>
          <cell r="B8608">
            <v>12828</v>
          </cell>
          <cell r="C8608">
            <v>45878</v>
          </cell>
          <cell r="D8608" t="str">
            <v>JILANI</v>
          </cell>
          <cell r="E8608" t="str">
            <v>Waqas Wollan Mills Gujranwala</v>
          </cell>
        </row>
        <row r="8609">
          <cell r="A8609" t="str">
            <v>3659 J</v>
          </cell>
          <cell r="B8609">
            <v>12829</v>
          </cell>
          <cell r="C8609">
            <v>45878</v>
          </cell>
          <cell r="D8609" t="str">
            <v>JILANI</v>
          </cell>
          <cell r="E8609" t="str">
            <v>Waqas Wollan Mills Gujranwala</v>
          </cell>
        </row>
        <row r="8610">
          <cell r="A8610" t="str">
            <v>3660 J</v>
          </cell>
          <cell r="B8610">
            <v>12829</v>
          </cell>
          <cell r="C8610">
            <v>45878</v>
          </cell>
          <cell r="D8610" t="str">
            <v>JILANI</v>
          </cell>
          <cell r="E8610" t="str">
            <v>Waqas Wollan Mills Gujranwala</v>
          </cell>
        </row>
        <row r="8611">
          <cell r="A8611" t="str">
            <v>3661 J</v>
          </cell>
          <cell r="B8611">
            <v>12830</v>
          </cell>
          <cell r="C8611">
            <v>45878</v>
          </cell>
          <cell r="D8611" t="str">
            <v>JILANI</v>
          </cell>
          <cell r="E8611" t="str">
            <v>Waqas Wollan Mills Gujranwala</v>
          </cell>
        </row>
        <row r="8612">
          <cell r="A8612" t="str">
            <v>3662 J</v>
          </cell>
          <cell r="B8612">
            <v>12831</v>
          </cell>
          <cell r="C8612">
            <v>45878</v>
          </cell>
          <cell r="D8612" t="str">
            <v>JILANI</v>
          </cell>
          <cell r="E8612" t="str">
            <v>Madni Printing Press Narang Mandi</v>
          </cell>
        </row>
        <row r="8613">
          <cell r="A8613" t="str">
            <v>3663 J</v>
          </cell>
          <cell r="B8613">
            <v>12831</v>
          </cell>
          <cell r="C8613">
            <v>45878</v>
          </cell>
          <cell r="D8613" t="str">
            <v>JILANI</v>
          </cell>
          <cell r="E8613" t="str">
            <v>Madni Printing Press Narang Mandi</v>
          </cell>
        </row>
        <row r="8614">
          <cell r="A8614" t="str">
            <v>3664 J</v>
          </cell>
          <cell r="B8614">
            <v>12832</v>
          </cell>
          <cell r="C8614">
            <v>45878</v>
          </cell>
          <cell r="D8614" t="str">
            <v>JILANI</v>
          </cell>
          <cell r="E8614" t="str">
            <v>Madni Printing Press Narang Mandi</v>
          </cell>
        </row>
        <row r="8615">
          <cell r="A8615" t="str">
            <v>3665 J</v>
          </cell>
          <cell r="B8615">
            <v>12832</v>
          </cell>
          <cell r="C8615">
            <v>45878</v>
          </cell>
          <cell r="D8615" t="str">
            <v>JILANI</v>
          </cell>
          <cell r="E8615" t="str">
            <v>Madni Printing Press Narang Mandi</v>
          </cell>
        </row>
        <row r="8616">
          <cell r="A8616" t="str">
            <v>3666 J</v>
          </cell>
          <cell r="B8616">
            <v>12833</v>
          </cell>
          <cell r="C8616">
            <v>45878</v>
          </cell>
          <cell r="D8616" t="str">
            <v>JILANI</v>
          </cell>
          <cell r="E8616" t="str">
            <v>Usman Arif Butt Gujranwala</v>
          </cell>
        </row>
        <row r="8617">
          <cell r="A8617" t="str">
            <v>3667 J</v>
          </cell>
          <cell r="B8617">
            <v>12834</v>
          </cell>
          <cell r="C8617">
            <v>45878</v>
          </cell>
          <cell r="D8617" t="str">
            <v>JILANI</v>
          </cell>
          <cell r="E8617" t="str">
            <v>Shah Jee Achar Mardan</v>
          </cell>
        </row>
        <row r="8618">
          <cell r="A8618" t="str">
            <v>3668 J</v>
          </cell>
          <cell r="B8618">
            <v>12835</v>
          </cell>
          <cell r="C8618">
            <v>45878</v>
          </cell>
          <cell r="D8618" t="str">
            <v>JILANI</v>
          </cell>
          <cell r="E8618" t="str">
            <v>Sanaz Fashion Lahore</v>
          </cell>
        </row>
        <row r="8619">
          <cell r="A8619" t="str">
            <v>3669 J</v>
          </cell>
          <cell r="B8619">
            <v>12836</v>
          </cell>
          <cell r="C8619">
            <v>45878</v>
          </cell>
          <cell r="D8619" t="str">
            <v>JILANI</v>
          </cell>
          <cell r="E8619" t="str">
            <v>Waseem Shoper House Lahore</v>
          </cell>
        </row>
        <row r="8620">
          <cell r="A8620" t="str">
            <v>3670 J</v>
          </cell>
          <cell r="B8620">
            <v>12837</v>
          </cell>
          <cell r="C8620">
            <v>45878</v>
          </cell>
          <cell r="D8620" t="str">
            <v>JILANI</v>
          </cell>
          <cell r="E8620" t="str">
            <v>Zahid Manzoor Lahore</v>
          </cell>
        </row>
        <row r="8621">
          <cell r="A8621" t="str">
            <v>3671 J</v>
          </cell>
          <cell r="B8621">
            <v>12837</v>
          </cell>
          <cell r="C8621">
            <v>45878</v>
          </cell>
          <cell r="D8621" t="str">
            <v>JILANI</v>
          </cell>
          <cell r="E8621" t="str">
            <v>Zahid Manzoor Lahore</v>
          </cell>
        </row>
        <row r="8622">
          <cell r="A8622" t="str">
            <v>3672 J</v>
          </cell>
          <cell r="B8622">
            <v>12837</v>
          </cell>
          <cell r="C8622">
            <v>45878</v>
          </cell>
          <cell r="D8622" t="str">
            <v>JILANI</v>
          </cell>
          <cell r="E8622" t="str">
            <v>Zahid Manzoor Lahore</v>
          </cell>
        </row>
        <row r="8623">
          <cell r="A8623" t="str">
            <v>3673 J</v>
          </cell>
          <cell r="B8623">
            <v>12838</v>
          </cell>
          <cell r="C8623">
            <v>45878</v>
          </cell>
          <cell r="D8623" t="str">
            <v>JILANI</v>
          </cell>
          <cell r="E8623" t="str">
            <v>AK And HBCO Lahore</v>
          </cell>
        </row>
        <row r="8624">
          <cell r="A8624" t="str">
            <v>3674 J</v>
          </cell>
          <cell r="B8624">
            <v>12839</v>
          </cell>
          <cell r="C8624">
            <v>45878</v>
          </cell>
          <cell r="D8624" t="str">
            <v>JILANI</v>
          </cell>
          <cell r="E8624" t="str">
            <v>Sabir Plastic Shahdara Co Nazar Qamar Plastic</v>
          </cell>
        </row>
        <row r="8625">
          <cell r="A8625" t="str">
            <v>3675 J</v>
          </cell>
          <cell r="B8625">
            <v>12839</v>
          </cell>
          <cell r="C8625">
            <v>45878</v>
          </cell>
          <cell r="D8625" t="str">
            <v>JILANI</v>
          </cell>
          <cell r="E8625" t="str">
            <v>Sabir Plastic Shahdara Co Nazar Qamar Plastic</v>
          </cell>
        </row>
        <row r="8626">
          <cell r="A8626" t="str">
            <v>3676 J</v>
          </cell>
          <cell r="B8626">
            <v>12839</v>
          </cell>
          <cell r="C8626">
            <v>45878</v>
          </cell>
          <cell r="D8626" t="str">
            <v>JILANI</v>
          </cell>
          <cell r="E8626" t="str">
            <v>Sabir Plastic Shahdara Co Nazar Qamar Plastic</v>
          </cell>
        </row>
        <row r="8627">
          <cell r="A8627" t="str">
            <v>3677 J</v>
          </cell>
          <cell r="B8627">
            <v>12839</v>
          </cell>
          <cell r="C8627">
            <v>45878</v>
          </cell>
          <cell r="D8627" t="str">
            <v>JILANI</v>
          </cell>
          <cell r="E8627" t="str">
            <v>Sabir Plastic Shahdara Co Nazar Qamar Plastic</v>
          </cell>
        </row>
        <row r="8628">
          <cell r="A8628" t="str">
            <v>3678 J</v>
          </cell>
          <cell r="B8628">
            <v>12840</v>
          </cell>
          <cell r="C8628">
            <v>45878</v>
          </cell>
          <cell r="D8628" t="str">
            <v>JILANI</v>
          </cell>
          <cell r="E8628" t="str">
            <v>Sufi Iqbal Cloth House Shakargrah</v>
          </cell>
        </row>
        <row r="8629">
          <cell r="A8629" t="str">
            <v>3679 J</v>
          </cell>
          <cell r="B8629"/>
          <cell r="C8629">
            <v>45878</v>
          </cell>
          <cell r="D8629" t="str">
            <v>OTHER</v>
          </cell>
          <cell r="E8629" t="str">
            <v>Hanaan Plastic FSD PP</v>
          </cell>
        </row>
        <row r="8630">
          <cell r="A8630" t="str">
            <v>3680 J</v>
          </cell>
          <cell r="B8630"/>
          <cell r="C8630">
            <v>45880</v>
          </cell>
          <cell r="D8630" t="str">
            <v>OTHER</v>
          </cell>
          <cell r="E8630" t="str">
            <v>Jilani plastic</v>
          </cell>
        </row>
        <row r="8631">
          <cell r="A8631" t="str">
            <v>3681 J</v>
          </cell>
          <cell r="B8631"/>
          <cell r="C8631">
            <v>45880</v>
          </cell>
          <cell r="D8631" t="str">
            <v>OTHER</v>
          </cell>
          <cell r="E8631" t="str">
            <v>Jilani plastic</v>
          </cell>
        </row>
        <row r="8632">
          <cell r="A8632" t="str">
            <v>3682 J</v>
          </cell>
          <cell r="B8632"/>
          <cell r="C8632">
            <v>45880</v>
          </cell>
          <cell r="D8632" t="str">
            <v>OTHER</v>
          </cell>
          <cell r="E8632" t="str">
            <v>Jilani plastic</v>
          </cell>
        </row>
        <row r="8633">
          <cell r="A8633" t="str">
            <v>3683 J</v>
          </cell>
          <cell r="B8633"/>
          <cell r="C8633">
            <v>45880</v>
          </cell>
          <cell r="D8633" t="str">
            <v>OTHER</v>
          </cell>
          <cell r="E8633" t="str">
            <v>Jilani plastic</v>
          </cell>
        </row>
        <row r="8634">
          <cell r="A8634" t="str">
            <v>3684 J</v>
          </cell>
          <cell r="B8634">
            <v>12841</v>
          </cell>
          <cell r="C8634">
            <v>45880</v>
          </cell>
          <cell r="D8634" t="str">
            <v>JILANI</v>
          </cell>
          <cell r="E8634" t="str">
            <v>Farooq Textile Lahore</v>
          </cell>
        </row>
        <row r="8635">
          <cell r="A8635" t="str">
            <v>1974 F</v>
          </cell>
          <cell r="B8635"/>
          <cell r="C8635">
            <v>45878</v>
          </cell>
          <cell r="D8635" t="str">
            <v>Fina</v>
          </cell>
          <cell r="E8635" t="str">
            <v>Usman Amin</v>
          </cell>
        </row>
        <row r="8636">
          <cell r="A8636" t="str">
            <v>1975 F</v>
          </cell>
          <cell r="B8636"/>
          <cell r="C8636">
            <v>45878</v>
          </cell>
          <cell r="D8636" t="str">
            <v>Fina</v>
          </cell>
          <cell r="E8636" t="str">
            <v>Usman Amin</v>
          </cell>
        </row>
        <row r="8637">
          <cell r="A8637" t="str">
            <v>1976 F</v>
          </cell>
          <cell r="B8637"/>
          <cell r="C8637">
            <v>45878</v>
          </cell>
          <cell r="D8637" t="str">
            <v>Fina</v>
          </cell>
          <cell r="E8637" t="str">
            <v>Usman Amin</v>
          </cell>
        </row>
        <row r="8638">
          <cell r="A8638" t="str">
            <v>1977 F</v>
          </cell>
          <cell r="B8638"/>
          <cell r="C8638">
            <v>45878</v>
          </cell>
          <cell r="D8638" t="str">
            <v>Fina</v>
          </cell>
          <cell r="E8638" t="str">
            <v>Usman Amin</v>
          </cell>
        </row>
        <row r="8639">
          <cell r="A8639" t="str">
            <v>1978 F</v>
          </cell>
          <cell r="B8639"/>
          <cell r="C8639">
            <v>45878</v>
          </cell>
          <cell r="D8639" t="str">
            <v>Fina</v>
          </cell>
          <cell r="E8639" t="str">
            <v>Usman Amin</v>
          </cell>
        </row>
        <row r="8640">
          <cell r="A8640" t="str">
            <v>1979 F</v>
          </cell>
          <cell r="B8640"/>
          <cell r="C8640">
            <v>45878</v>
          </cell>
          <cell r="D8640" t="str">
            <v>Fina</v>
          </cell>
          <cell r="E8640" t="str">
            <v>Usman Amin</v>
          </cell>
        </row>
        <row r="8641">
          <cell r="A8641" t="str">
            <v>1980 F</v>
          </cell>
          <cell r="B8641"/>
          <cell r="C8641">
            <v>45878</v>
          </cell>
          <cell r="D8641" t="str">
            <v>Fina</v>
          </cell>
          <cell r="E8641" t="str">
            <v>Usman Amin</v>
          </cell>
        </row>
        <row r="8642">
          <cell r="A8642" t="str">
            <v>1981 F</v>
          </cell>
          <cell r="B8642"/>
          <cell r="C8642">
            <v>45878</v>
          </cell>
          <cell r="D8642" t="str">
            <v>Fina</v>
          </cell>
          <cell r="E8642" t="str">
            <v>Usman Amin</v>
          </cell>
        </row>
        <row r="8643">
          <cell r="A8643" t="str">
            <v>1982 F</v>
          </cell>
          <cell r="B8643"/>
          <cell r="C8643">
            <v>45878</v>
          </cell>
          <cell r="D8643" t="str">
            <v>Fina</v>
          </cell>
          <cell r="E8643" t="str">
            <v>Usman Amin</v>
          </cell>
        </row>
        <row r="8644">
          <cell r="A8644" t="str">
            <v>1983 F</v>
          </cell>
          <cell r="B8644"/>
          <cell r="C8644">
            <v>45878</v>
          </cell>
          <cell r="D8644" t="str">
            <v>Fina</v>
          </cell>
          <cell r="E8644" t="str">
            <v>Usman Amin</v>
          </cell>
        </row>
        <row r="8645">
          <cell r="A8645" t="str">
            <v>1984 F</v>
          </cell>
          <cell r="B8645"/>
          <cell r="C8645">
            <v>45878</v>
          </cell>
          <cell r="D8645" t="str">
            <v>Fina</v>
          </cell>
          <cell r="E8645" t="str">
            <v>Usman Amin</v>
          </cell>
        </row>
        <row r="8646">
          <cell r="A8646" t="str">
            <v>1985 F</v>
          </cell>
          <cell r="B8646"/>
          <cell r="C8646">
            <v>45878</v>
          </cell>
          <cell r="D8646" t="str">
            <v>Fina</v>
          </cell>
          <cell r="E8646" t="str">
            <v>Usman Amin</v>
          </cell>
        </row>
        <row r="8647">
          <cell r="A8647" t="str">
            <v>1986 F</v>
          </cell>
          <cell r="B8647"/>
          <cell r="C8647">
            <v>45878</v>
          </cell>
          <cell r="D8647" t="str">
            <v>Fina</v>
          </cell>
          <cell r="E8647" t="str">
            <v>Usman Amin</v>
          </cell>
        </row>
        <row r="8648">
          <cell r="A8648" t="str">
            <v>1987 F</v>
          </cell>
          <cell r="B8648"/>
          <cell r="C8648">
            <v>45881</v>
          </cell>
          <cell r="D8648" t="str">
            <v>Fina</v>
          </cell>
          <cell r="E8648" t="str">
            <v>Usman Amin</v>
          </cell>
        </row>
        <row r="8649">
          <cell r="A8649" t="str">
            <v>1988 F</v>
          </cell>
          <cell r="B8649"/>
          <cell r="C8649">
            <v>45881</v>
          </cell>
          <cell r="D8649" t="str">
            <v>Fina</v>
          </cell>
          <cell r="E8649" t="str">
            <v>Usman Amin</v>
          </cell>
        </row>
        <row r="8650">
          <cell r="A8650" t="str">
            <v>1989 F</v>
          </cell>
          <cell r="B8650"/>
          <cell r="C8650">
            <v>45881</v>
          </cell>
          <cell r="D8650" t="str">
            <v>Fina</v>
          </cell>
          <cell r="E8650" t="str">
            <v>Usman Amin</v>
          </cell>
        </row>
        <row r="8651">
          <cell r="A8651" t="str">
            <v>1990 F</v>
          </cell>
          <cell r="B8651"/>
          <cell r="C8651">
            <v>45881</v>
          </cell>
          <cell r="D8651" t="str">
            <v>Fina</v>
          </cell>
          <cell r="E8651" t="str">
            <v>Usman Amin</v>
          </cell>
        </row>
        <row r="8652">
          <cell r="A8652" t="str">
            <v>1991 F</v>
          </cell>
          <cell r="B8652"/>
          <cell r="C8652">
            <v>45881</v>
          </cell>
          <cell r="D8652" t="str">
            <v>Fina</v>
          </cell>
          <cell r="E8652" t="str">
            <v>Usman Amin</v>
          </cell>
        </row>
        <row r="8653">
          <cell r="A8653" t="str">
            <v>1992 F</v>
          </cell>
          <cell r="B8653"/>
          <cell r="C8653">
            <v>45881</v>
          </cell>
          <cell r="D8653" t="str">
            <v>Fina</v>
          </cell>
          <cell r="E8653" t="str">
            <v>Usman Amin</v>
          </cell>
        </row>
        <row r="8654">
          <cell r="A8654" t="str">
            <v>1993 F</v>
          </cell>
          <cell r="B8654"/>
          <cell r="C8654">
            <v>45881</v>
          </cell>
          <cell r="D8654" t="str">
            <v>Fina</v>
          </cell>
          <cell r="E8654" t="str">
            <v>Usman Amin</v>
          </cell>
        </row>
        <row r="8655">
          <cell r="A8655" t="str">
            <v>1994 F</v>
          </cell>
          <cell r="B8655"/>
          <cell r="C8655">
            <v>45881</v>
          </cell>
          <cell r="D8655" t="str">
            <v>Fina</v>
          </cell>
          <cell r="E8655" t="str">
            <v>Usman Amin</v>
          </cell>
        </row>
        <row r="8656">
          <cell r="A8656" t="str">
            <v>1995 F</v>
          </cell>
          <cell r="B8656"/>
          <cell r="C8656">
            <v>45881</v>
          </cell>
          <cell r="D8656" t="str">
            <v>Fina</v>
          </cell>
          <cell r="E8656" t="str">
            <v>Usman Amin</v>
          </cell>
        </row>
        <row r="8657">
          <cell r="A8657" t="str">
            <v>1996 F</v>
          </cell>
          <cell r="B8657"/>
          <cell r="C8657">
            <v>45881</v>
          </cell>
          <cell r="D8657" t="str">
            <v>Fina</v>
          </cell>
          <cell r="E8657" t="str">
            <v>Usman Amin</v>
          </cell>
        </row>
        <row r="8658">
          <cell r="A8658" t="str">
            <v>1997 F</v>
          </cell>
          <cell r="B8658"/>
          <cell r="C8658">
            <v>45881</v>
          </cell>
          <cell r="D8658" t="str">
            <v>Fina</v>
          </cell>
          <cell r="E8658" t="str">
            <v>Usman Amin</v>
          </cell>
        </row>
        <row r="8659">
          <cell r="A8659" t="str">
            <v>1998 F</v>
          </cell>
          <cell r="B8659"/>
          <cell r="C8659">
            <v>45881</v>
          </cell>
          <cell r="D8659" t="str">
            <v>Fina</v>
          </cell>
          <cell r="E8659" t="str">
            <v>Usman Amin</v>
          </cell>
        </row>
        <row r="8660">
          <cell r="A8660" t="str">
            <v>1999 F</v>
          </cell>
          <cell r="B8660"/>
          <cell r="C8660">
            <v>45881</v>
          </cell>
          <cell r="D8660" t="str">
            <v>Fina</v>
          </cell>
          <cell r="E8660" t="str">
            <v>Usman Amin</v>
          </cell>
        </row>
        <row r="8661">
          <cell r="A8661" t="str">
            <v>2000 F</v>
          </cell>
          <cell r="B8661"/>
          <cell r="C8661">
            <v>45881</v>
          </cell>
          <cell r="D8661" t="str">
            <v>Fina</v>
          </cell>
          <cell r="E8661" t="str">
            <v>Usman Amin</v>
          </cell>
        </row>
        <row r="8662">
          <cell r="A8662" t="str">
            <v>2001 F</v>
          </cell>
          <cell r="B8662"/>
          <cell r="C8662">
            <v>45881</v>
          </cell>
          <cell r="D8662" t="str">
            <v>Fina</v>
          </cell>
          <cell r="E8662" t="str">
            <v>Usman Amin</v>
          </cell>
        </row>
        <row r="8663">
          <cell r="A8663" t="str">
            <v>2002 F</v>
          </cell>
          <cell r="B8663"/>
          <cell r="C8663">
            <v>45881</v>
          </cell>
          <cell r="D8663" t="str">
            <v>Fina</v>
          </cell>
          <cell r="E8663" t="str">
            <v>Usman Amin</v>
          </cell>
        </row>
        <row r="8664">
          <cell r="A8664">
            <v>2781</v>
          </cell>
          <cell r="B8664">
            <v>11429</v>
          </cell>
          <cell r="C8664">
            <v>45883</v>
          </cell>
          <cell r="D8664" t="str">
            <v>JILANI</v>
          </cell>
          <cell r="E8664" t="str">
            <v>MATCO FOOD</v>
          </cell>
        </row>
        <row r="8665">
          <cell r="A8665">
            <v>2782</v>
          </cell>
          <cell r="B8665">
            <v>11429</v>
          </cell>
          <cell r="C8665">
            <v>45883</v>
          </cell>
          <cell r="D8665" t="str">
            <v>JILANI</v>
          </cell>
          <cell r="E8665" t="str">
            <v>MATCO FOOD</v>
          </cell>
        </row>
        <row r="8666">
          <cell r="A8666" t="str">
            <v>3685 J</v>
          </cell>
          <cell r="B8666">
            <v>12842</v>
          </cell>
          <cell r="C8666">
            <v>45880</v>
          </cell>
          <cell r="D8666" t="str">
            <v>JILANI</v>
          </cell>
          <cell r="E8666" t="str">
            <v xml:space="preserve">Prime Aluminium Sundar </v>
          </cell>
        </row>
        <row r="8667">
          <cell r="A8667" t="str">
            <v>3686 J</v>
          </cell>
          <cell r="B8667">
            <v>12842</v>
          </cell>
          <cell r="C8667">
            <v>45880</v>
          </cell>
          <cell r="D8667" t="str">
            <v>JILANI</v>
          </cell>
          <cell r="E8667" t="str">
            <v xml:space="preserve">Prime Aluminium Sundar </v>
          </cell>
        </row>
        <row r="8668">
          <cell r="A8668" t="str">
            <v>3687 J</v>
          </cell>
          <cell r="B8668">
            <v>12842</v>
          </cell>
          <cell r="C8668">
            <v>45880</v>
          </cell>
          <cell r="D8668" t="str">
            <v>JILANI</v>
          </cell>
          <cell r="E8668" t="str">
            <v xml:space="preserve">Prime Aluminium Sundar </v>
          </cell>
        </row>
        <row r="8669">
          <cell r="A8669" t="str">
            <v>3688 J</v>
          </cell>
          <cell r="B8669">
            <v>12842</v>
          </cell>
          <cell r="C8669">
            <v>45880</v>
          </cell>
          <cell r="D8669" t="str">
            <v>JILANI</v>
          </cell>
          <cell r="E8669" t="str">
            <v xml:space="preserve">Prime Aluminium Sundar </v>
          </cell>
        </row>
        <row r="8670">
          <cell r="A8670" t="str">
            <v>3689 J</v>
          </cell>
          <cell r="B8670">
            <v>12842</v>
          </cell>
          <cell r="C8670">
            <v>45880</v>
          </cell>
          <cell r="D8670" t="str">
            <v>JILANI</v>
          </cell>
          <cell r="E8670" t="str">
            <v xml:space="preserve">Prime Aluminium Sundar </v>
          </cell>
        </row>
        <row r="8671">
          <cell r="A8671" t="str">
            <v>3690 J</v>
          </cell>
          <cell r="B8671">
            <v>12842</v>
          </cell>
          <cell r="C8671">
            <v>45880</v>
          </cell>
          <cell r="D8671" t="str">
            <v>JILANI</v>
          </cell>
          <cell r="E8671" t="str">
            <v xml:space="preserve">Prime Aluminium Sundar </v>
          </cell>
        </row>
        <row r="8672">
          <cell r="A8672" t="str">
            <v>3691 J</v>
          </cell>
          <cell r="B8672">
            <v>12843</v>
          </cell>
          <cell r="C8672">
            <v>45880</v>
          </cell>
          <cell r="D8672" t="str">
            <v>JILANI</v>
          </cell>
          <cell r="E8672" t="str">
            <v xml:space="preserve">Ahsan Fayaz Cloth House Talla Kang </v>
          </cell>
        </row>
        <row r="8673">
          <cell r="A8673" t="str">
            <v>3692 J</v>
          </cell>
          <cell r="B8673">
            <v>12844</v>
          </cell>
          <cell r="C8673">
            <v>45880</v>
          </cell>
          <cell r="D8673" t="str">
            <v>JILANI</v>
          </cell>
          <cell r="E8673" t="str">
            <v>IHSAN Cotton Products Pvt. LTD</v>
          </cell>
        </row>
        <row r="8674">
          <cell r="A8674" t="str">
            <v>3693 J</v>
          </cell>
          <cell r="B8674">
            <v>12845</v>
          </cell>
          <cell r="C8674">
            <v>45880</v>
          </cell>
          <cell r="D8674" t="str">
            <v>JILANI</v>
          </cell>
          <cell r="E8674" t="str">
            <v>Usman Arif Butt Gujranwala</v>
          </cell>
        </row>
        <row r="8675">
          <cell r="A8675" t="str">
            <v>3694 J</v>
          </cell>
          <cell r="B8675">
            <v>12845</v>
          </cell>
          <cell r="C8675">
            <v>45880</v>
          </cell>
          <cell r="D8675" t="str">
            <v>JILANI</v>
          </cell>
          <cell r="E8675" t="str">
            <v>Usman Arif Butt Gujranwala</v>
          </cell>
        </row>
        <row r="8676">
          <cell r="A8676" t="str">
            <v>3695 J</v>
          </cell>
          <cell r="B8676">
            <v>12846</v>
          </cell>
          <cell r="C8676">
            <v>45880</v>
          </cell>
          <cell r="D8676" t="str">
            <v>JILANI</v>
          </cell>
          <cell r="E8676" t="str">
            <v>Usman Arif Butt Gujranwala</v>
          </cell>
        </row>
        <row r="8677">
          <cell r="A8677" t="str">
            <v>3696 J</v>
          </cell>
          <cell r="B8677">
            <v>12847</v>
          </cell>
          <cell r="C8677">
            <v>45880</v>
          </cell>
          <cell r="D8677" t="str">
            <v>JILANI</v>
          </cell>
          <cell r="E8677" t="str">
            <v>Chaudhary Milk Sweets and Bakers Jhang</v>
          </cell>
        </row>
        <row r="8678">
          <cell r="A8678" t="str">
            <v>3697 J</v>
          </cell>
          <cell r="B8678">
            <v>12847</v>
          </cell>
          <cell r="C8678">
            <v>45880</v>
          </cell>
          <cell r="D8678" t="str">
            <v>JILANI</v>
          </cell>
          <cell r="E8678" t="str">
            <v>Chaudhary Milk Sweets and Bakers Jhang</v>
          </cell>
        </row>
        <row r="8679">
          <cell r="A8679" t="str">
            <v>3698 J</v>
          </cell>
          <cell r="B8679">
            <v>12847</v>
          </cell>
          <cell r="C8679">
            <v>45880</v>
          </cell>
          <cell r="D8679" t="str">
            <v>JILANI</v>
          </cell>
          <cell r="E8679" t="str">
            <v>Chaudhary Milk Sweets and Bakers Jhang</v>
          </cell>
        </row>
        <row r="8680">
          <cell r="A8680" t="str">
            <v>3699 J</v>
          </cell>
          <cell r="B8680">
            <v>12847</v>
          </cell>
          <cell r="C8680">
            <v>45880</v>
          </cell>
          <cell r="D8680" t="str">
            <v>JILANI</v>
          </cell>
          <cell r="E8680" t="str">
            <v>Chaudhary Milk Sweets and Bakers Jhang</v>
          </cell>
        </row>
        <row r="8681">
          <cell r="A8681" t="str">
            <v>3700 J</v>
          </cell>
          <cell r="B8681">
            <v>12848</v>
          </cell>
          <cell r="C8681">
            <v>45880</v>
          </cell>
          <cell r="D8681" t="str">
            <v>JILANI</v>
          </cell>
          <cell r="E8681" t="str">
            <v>Iqbal Dry Fruit Timbergra</v>
          </cell>
        </row>
        <row r="8682">
          <cell r="A8682" t="str">
            <v>3701 J</v>
          </cell>
          <cell r="B8682">
            <v>12849</v>
          </cell>
          <cell r="C8682">
            <v>45880</v>
          </cell>
          <cell r="D8682" t="str">
            <v>JILANI</v>
          </cell>
          <cell r="E8682" t="str">
            <v>Paradise Dry Cleaners Chakwal</v>
          </cell>
        </row>
        <row r="8683">
          <cell r="A8683" t="str">
            <v>3702 J</v>
          </cell>
          <cell r="B8683">
            <v>12850</v>
          </cell>
          <cell r="C8683">
            <v>45880</v>
          </cell>
          <cell r="D8683" t="str">
            <v>JILANI</v>
          </cell>
          <cell r="E8683" t="str">
            <v>Al Farid Bakery Sahiwal</v>
          </cell>
        </row>
        <row r="8684">
          <cell r="A8684" t="str">
            <v>3703 J</v>
          </cell>
          <cell r="B8684">
            <v>12851</v>
          </cell>
          <cell r="C8684">
            <v>45880</v>
          </cell>
          <cell r="D8684" t="str">
            <v>JILANI</v>
          </cell>
          <cell r="E8684" t="str">
            <v>Al Farid Bakery Sahiwal</v>
          </cell>
        </row>
        <row r="8685">
          <cell r="A8685" t="str">
            <v>3704 J</v>
          </cell>
          <cell r="B8685">
            <v>12852</v>
          </cell>
          <cell r="C8685">
            <v>45880</v>
          </cell>
          <cell r="D8685" t="str">
            <v>JILANI</v>
          </cell>
          <cell r="E8685" t="str">
            <v>Sheikh Iqbal Cloth and Botique Center Lhr</v>
          </cell>
        </row>
        <row r="8686">
          <cell r="A8686" t="str">
            <v>3705 J</v>
          </cell>
          <cell r="B8686">
            <v>12853</v>
          </cell>
          <cell r="C8686">
            <v>45880</v>
          </cell>
          <cell r="D8686" t="str">
            <v>JILANI</v>
          </cell>
          <cell r="E8686" t="str">
            <v>Usman Arif Butt Gujranwala</v>
          </cell>
        </row>
        <row r="8687">
          <cell r="A8687" t="str">
            <v>3706 J</v>
          </cell>
          <cell r="B8687">
            <v>12853</v>
          </cell>
          <cell r="C8687">
            <v>45880</v>
          </cell>
          <cell r="D8687" t="str">
            <v>JILANI</v>
          </cell>
          <cell r="E8687" t="str">
            <v>Usman Arif Butt Gujranwala</v>
          </cell>
        </row>
        <row r="8688">
          <cell r="A8688" t="str">
            <v>3707 J</v>
          </cell>
          <cell r="B8688">
            <v>12853</v>
          </cell>
          <cell r="C8688">
            <v>45880</v>
          </cell>
          <cell r="D8688" t="str">
            <v>JILANI</v>
          </cell>
          <cell r="E8688" t="str">
            <v>Usman Arif Butt Gujranwala</v>
          </cell>
        </row>
        <row r="8689">
          <cell r="A8689" t="str">
            <v>3708 J</v>
          </cell>
          <cell r="B8689">
            <v>12853</v>
          </cell>
          <cell r="C8689">
            <v>45880</v>
          </cell>
          <cell r="D8689" t="str">
            <v>JILANI</v>
          </cell>
          <cell r="E8689" t="str">
            <v>Usman Arif Butt Gujranwala</v>
          </cell>
        </row>
        <row r="8690">
          <cell r="A8690" t="str">
            <v>3709 j</v>
          </cell>
          <cell r="B8690"/>
          <cell r="C8690">
            <v>45861</v>
          </cell>
          <cell r="D8690" t="str">
            <v>OTHER</v>
          </cell>
          <cell r="E8690" t="str">
            <v>Jilani plastic</v>
          </cell>
        </row>
        <row r="8691">
          <cell r="A8691" t="str">
            <v>2P/1</v>
          </cell>
          <cell r="B8691" t="str">
            <v>2P</v>
          </cell>
          <cell r="C8691">
            <v>45887</v>
          </cell>
          <cell r="D8691" t="str">
            <v>STOCK</v>
          </cell>
          <cell r="E8691" t="str">
            <v>جیلانی پولی سٹاک</v>
          </cell>
        </row>
        <row r="8692">
          <cell r="A8692" t="str">
            <v>7166/1</v>
          </cell>
          <cell r="B8692">
            <v>7166</v>
          </cell>
          <cell r="C8692">
            <v>45887</v>
          </cell>
          <cell r="D8692" t="str">
            <v>یونس صاحب</v>
          </cell>
          <cell r="E8692" t="str">
            <v>ملک خالد سلیم فیصل آباد</v>
          </cell>
        </row>
        <row r="8693">
          <cell r="A8693" t="str">
            <v>7166/2</v>
          </cell>
          <cell r="B8693">
            <v>7166</v>
          </cell>
          <cell r="C8693">
            <v>45887</v>
          </cell>
          <cell r="D8693" t="str">
            <v>یونس صاحب</v>
          </cell>
          <cell r="E8693" t="str">
            <v>ملک خالد سلیم فیصل آباد</v>
          </cell>
        </row>
        <row r="8694">
          <cell r="A8694" t="str">
            <v>7166/3</v>
          </cell>
          <cell r="B8694">
            <v>7166</v>
          </cell>
          <cell r="C8694">
            <v>45887</v>
          </cell>
          <cell r="D8694" t="str">
            <v>یونس صاحب</v>
          </cell>
          <cell r="E8694" t="str">
            <v>ملک خالد سلیم فیصل آباد</v>
          </cell>
        </row>
        <row r="8695">
          <cell r="A8695" t="str">
            <v>7166/4</v>
          </cell>
          <cell r="B8695">
            <v>7166</v>
          </cell>
          <cell r="C8695">
            <v>45887</v>
          </cell>
          <cell r="D8695" t="str">
            <v>یونس صاحب</v>
          </cell>
          <cell r="E8695" t="str">
            <v>ملک خالد سلیم فیصل آباد</v>
          </cell>
        </row>
        <row r="8696">
          <cell r="A8696" t="str">
            <v>7166/5</v>
          </cell>
          <cell r="B8696">
            <v>7166</v>
          </cell>
          <cell r="C8696">
            <v>45887</v>
          </cell>
          <cell r="D8696" t="str">
            <v>یونس صاحب</v>
          </cell>
          <cell r="E8696" t="str">
            <v>ملک خالد سلیم فیصل آباد</v>
          </cell>
        </row>
        <row r="8697">
          <cell r="A8697" t="str">
            <v>7166/6</v>
          </cell>
          <cell r="B8697">
            <v>7166</v>
          </cell>
          <cell r="C8697">
            <v>45887</v>
          </cell>
          <cell r="D8697" t="str">
            <v>یونس صاحب</v>
          </cell>
          <cell r="E8697" t="str">
            <v>ملک خالد سلیم فیصل آباد</v>
          </cell>
        </row>
        <row r="8698">
          <cell r="A8698" t="str">
            <v>7167/1</v>
          </cell>
          <cell r="B8698">
            <v>7167</v>
          </cell>
          <cell r="C8698">
            <v>45887</v>
          </cell>
          <cell r="D8698" t="str">
            <v>یونس صاحب</v>
          </cell>
          <cell r="E8698" t="str">
            <v>ریفلیکٹ پیک لاہور</v>
          </cell>
        </row>
        <row r="8699">
          <cell r="A8699" t="str">
            <v>7168/1</v>
          </cell>
          <cell r="B8699">
            <v>7168</v>
          </cell>
          <cell r="C8699">
            <v>45887</v>
          </cell>
          <cell r="D8699" t="str">
            <v>یونس صاحب</v>
          </cell>
          <cell r="E8699" t="str">
            <v>ریفلیکٹ پیک لاہور</v>
          </cell>
        </row>
        <row r="8700">
          <cell r="A8700" t="str">
            <v>7169/1</v>
          </cell>
          <cell r="B8700">
            <v>7169</v>
          </cell>
          <cell r="C8700">
            <v>45887</v>
          </cell>
          <cell r="D8700" t="str">
            <v>یونس صاحب</v>
          </cell>
          <cell r="E8700" t="str">
            <v>محبوب مقبول گوجرانوالہ</v>
          </cell>
        </row>
        <row r="8701">
          <cell r="A8701" t="str">
            <v>7170/1</v>
          </cell>
          <cell r="B8701">
            <v>7170</v>
          </cell>
          <cell r="C8701">
            <v>45887</v>
          </cell>
          <cell r="D8701" t="str">
            <v>یونس صاحب</v>
          </cell>
          <cell r="E8701" t="str">
            <v>بلال ازعظم مال کینٹ</v>
          </cell>
        </row>
        <row r="8702">
          <cell r="A8702" t="str">
            <v>7171/1</v>
          </cell>
          <cell r="B8702">
            <v>7171</v>
          </cell>
          <cell r="C8702">
            <v>45887</v>
          </cell>
          <cell r="D8702" t="str">
            <v>یونس صاحب</v>
          </cell>
          <cell r="E8702" t="str">
            <v>شاہد رمضان اوکاڑہ</v>
          </cell>
        </row>
        <row r="8703">
          <cell r="A8703" t="str">
            <v>7171/2</v>
          </cell>
          <cell r="B8703">
            <v>7171</v>
          </cell>
          <cell r="C8703">
            <v>45887</v>
          </cell>
          <cell r="D8703" t="str">
            <v>یونس صاحب</v>
          </cell>
          <cell r="E8703" t="str">
            <v>شاہد رمضان اوکاڑہ</v>
          </cell>
        </row>
        <row r="8704">
          <cell r="A8704" t="str">
            <v>7171/3</v>
          </cell>
          <cell r="B8704">
            <v>7171</v>
          </cell>
          <cell r="C8704">
            <v>45887</v>
          </cell>
          <cell r="D8704" t="str">
            <v>یونس صاحب</v>
          </cell>
          <cell r="E8704" t="str">
            <v>شاہد رمضان اوکاڑہ</v>
          </cell>
        </row>
        <row r="8705">
          <cell r="A8705" t="str">
            <v>7171/4</v>
          </cell>
          <cell r="B8705">
            <v>7171</v>
          </cell>
          <cell r="C8705">
            <v>45887</v>
          </cell>
          <cell r="D8705" t="str">
            <v>یونس صاحب</v>
          </cell>
          <cell r="E8705" t="str">
            <v>شاہد رمضان اوکاڑہ</v>
          </cell>
        </row>
        <row r="8706">
          <cell r="A8706" t="str">
            <v>7171/5</v>
          </cell>
          <cell r="B8706">
            <v>7171</v>
          </cell>
          <cell r="C8706">
            <v>45887</v>
          </cell>
          <cell r="D8706" t="str">
            <v>یونس صاحب</v>
          </cell>
          <cell r="E8706" t="str">
            <v>شاہد رمضان اوکاڑہ</v>
          </cell>
        </row>
        <row r="8707">
          <cell r="A8707" t="str">
            <v>7171/6</v>
          </cell>
          <cell r="B8707">
            <v>7171</v>
          </cell>
          <cell r="C8707">
            <v>45887</v>
          </cell>
          <cell r="D8707" t="str">
            <v>یونس صاحب</v>
          </cell>
          <cell r="E8707" t="str">
            <v>شاہد رمضان اوکاڑہ</v>
          </cell>
        </row>
        <row r="8708">
          <cell r="A8708" t="str">
            <v>7171/7</v>
          </cell>
          <cell r="B8708">
            <v>7171</v>
          </cell>
          <cell r="C8708">
            <v>45887</v>
          </cell>
          <cell r="D8708" t="str">
            <v>یونس صاحب</v>
          </cell>
          <cell r="E8708" t="str">
            <v>شاہد رمضان اوکاڑہ</v>
          </cell>
        </row>
        <row r="8709">
          <cell r="A8709" t="str">
            <v>7171/8</v>
          </cell>
          <cell r="B8709">
            <v>7171</v>
          </cell>
          <cell r="C8709">
            <v>45887</v>
          </cell>
          <cell r="D8709" t="str">
            <v>یونس صاحب</v>
          </cell>
          <cell r="E8709" t="str">
            <v>شاہد رمضان اوکاڑہ</v>
          </cell>
        </row>
        <row r="8710">
          <cell r="A8710" t="str">
            <v>7171/9</v>
          </cell>
          <cell r="B8710">
            <v>7171</v>
          </cell>
          <cell r="C8710">
            <v>45887</v>
          </cell>
          <cell r="D8710" t="str">
            <v>یونس صاحب</v>
          </cell>
          <cell r="E8710" t="str">
            <v>شاہد رمضان اوکاڑہ</v>
          </cell>
        </row>
        <row r="8711">
          <cell r="A8711" t="str">
            <v>7171/10</v>
          </cell>
          <cell r="B8711">
            <v>7171</v>
          </cell>
          <cell r="C8711">
            <v>45887</v>
          </cell>
          <cell r="D8711" t="str">
            <v>یونس صاحب</v>
          </cell>
          <cell r="E8711" t="str">
            <v>شاہد رمضان اوکاڑہ</v>
          </cell>
        </row>
        <row r="8712">
          <cell r="A8712" t="str">
            <v>7171/11</v>
          </cell>
          <cell r="B8712">
            <v>7171</v>
          </cell>
          <cell r="C8712">
            <v>45887</v>
          </cell>
          <cell r="D8712" t="str">
            <v>یونس صاحب</v>
          </cell>
          <cell r="E8712" t="str">
            <v>شاہد رمضان اوکاڑہ</v>
          </cell>
        </row>
        <row r="8713">
          <cell r="A8713" t="str">
            <v>7171/12</v>
          </cell>
          <cell r="B8713">
            <v>7171</v>
          </cell>
          <cell r="C8713">
            <v>45887</v>
          </cell>
          <cell r="D8713" t="str">
            <v>یونس صاحب</v>
          </cell>
          <cell r="E8713" t="str">
            <v>شاہد رمضان اوکاڑہ</v>
          </cell>
        </row>
        <row r="8714">
          <cell r="A8714" t="str">
            <v>7171/13</v>
          </cell>
          <cell r="B8714">
            <v>7171</v>
          </cell>
          <cell r="C8714">
            <v>45887</v>
          </cell>
          <cell r="D8714" t="str">
            <v>یونس صاحب</v>
          </cell>
          <cell r="E8714" t="str">
            <v>شاہد رمضان اوکاڑہ</v>
          </cell>
        </row>
        <row r="8715">
          <cell r="A8715" t="str">
            <v>7171/14</v>
          </cell>
          <cell r="B8715">
            <v>7171</v>
          </cell>
          <cell r="C8715">
            <v>45887</v>
          </cell>
          <cell r="D8715" t="str">
            <v>یونس صاحب</v>
          </cell>
          <cell r="E8715" t="str">
            <v>شاہد رمضان اوکاڑہ</v>
          </cell>
        </row>
        <row r="8716">
          <cell r="A8716" t="str">
            <v>7172/1</v>
          </cell>
          <cell r="B8716">
            <v>7172</v>
          </cell>
          <cell r="C8716">
            <v>45887</v>
          </cell>
          <cell r="D8716" t="str">
            <v>یونس صاحب</v>
          </cell>
          <cell r="E8716" t="str">
            <v>الحبیب پلاسٹک اوکاڑہ</v>
          </cell>
        </row>
        <row r="8717">
          <cell r="A8717" t="str">
            <v>7172/2</v>
          </cell>
          <cell r="B8717">
            <v>7172</v>
          </cell>
          <cell r="C8717">
            <v>45887</v>
          </cell>
          <cell r="D8717" t="str">
            <v>یونس صاحب</v>
          </cell>
          <cell r="E8717" t="str">
            <v>الحبیب پلاسٹک اوکاڑہ</v>
          </cell>
        </row>
        <row r="8718">
          <cell r="A8718" t="str">
            <v>7172/3</v>
          </cell>
          <cell r="B8718">
            <v>7172</v>
          </cell>
          <cell r="C8718">
            <v>45887</v>
          </cell>
          <cell r="D8718" t="str">
            <v>یونس صاحب</v>
          </cell>
          <cell r="E8718" t="str">
            <v>الحبیب پلاسٹک اوکاڑہ</v>
          </cell>
        </row>
        <row r="8719">
          <cell r="A8719" t="str">
            <v>7172/4</v>
          </cell>
          <cell r="B8719">
            <v>7172</v>
          </cell>
          <cell r="C8719">
            <v>45887</v>
          </cell>
          <cell r="D8719" t="str">
            <v>یونس صاحب</v>
          </cell>
          <cell r="E8719" t="str">
            <v>الحبیب پلاسٹک اوکاڑہ</v>
          </cell>
        </row>
        <row r="8720">
          <cell r="A8720" t="str">
            <v>7172/5</v>
          </cell>
          <cell r="B8720">
            <v>7172</v>
          </cell>
          <cell r="C8720">
            <v>45887</v>
          </cell>
          <cell r="D8720" t="str">
            <v>یونس صاحب</v>
          </cell>
          <cell r="E8720" t="str">
            <v>الحبیب پلاسٹک اوکاڑہ</v>
          </cell>
        </row>
        <row r="8721">
          <cell r="A8721" t="str">
            <v>7173/1</v>
          </cell>
          <cell r="B8721">
            <v>7173</v>
          </cell>
          <cell r="C8721">
            <v>45887</v>
          </cell>
          <cell r="D8721" t="str">
            <v>یونس صاحب</v>
          </cell>
          <cell r="E8721" t="str">
            <v>الحبیب پلاسٹک اوکاڑہ</v>
          </cell>
        </row>
        <row r="8722">
          <cell r="A8722" t="str">
            <v>7173/2</v>
          </cell>
          <cell r="B8722">
            <v>7173</v>
          </cell>
          <cell r="C8722">
            <v>45887</v>
          </cell>
          <cell r="D8722" t="str">
            <v>یونس صاحب</v>
          </cell>
          <cell r="E8722" t="str">
            <v>الحبیب پلاسٹک اوکاڑہ</v>
          </cell>
        </row>
        <row r="8723">
          <cell r="A8723" t="str">
            <v>7173/3</v>
          </cell>
          <cell r="B8723">
            <v>7173</v>
          </cell>
          <cell r="C8723">
            <v>45887</v>
          </cell>
          <cell r="D8723" t="str">
            <v>یونس صاحب</v>
          </cell>
          <cell r="E8723" t="str">
            <v>الحبیب پلاسٹک اوکاڑہ</v>
          </cell>
        </row>
        <row r="8724">
          <cell r="A8724" t="str">
            <v>7173/4</v>
          </cell>
          <cell r="B8724">
            <v>7173</v>
          </cell>
          <cell r="C8724">
            <v>45887</v>
          </cell>
          <cell r="D8724" t="str">
            <v>یونس صاحب</v>
          </cell>
          <cell r="E8724" t="str">
            <v>الحبیب پلاسٹک اوکاڑہ</v>
          </cell>
        </row>
        <row r="8725">
          <cell r="A8725" t="str">
            <v>7173/5</v>
          </cell>
          <cell r="B8725">
            <v>7173</v>
          </cell>
          <cell r="C8725">
            <v>45887</v>
          </cell>
          <cell r="D8725" t="str">
            <v>یونس صاحب</v>
          </cell>
          <cell r="E8725" t="str">
            <v>الحبیب پلاسٹک اوکاڑہ</v>
          </cell>
        </row>
        <row r="8726">
          <cell r="A8726" t="str">
            <v>7173/6</v>
          </cell>
          <cell r="B8726">
            <v>7173</v>
          </cell>
          <cell r="C8726">
            <v>45887</v>
          </cell>
          <cell r="D8726" t="str">
            <v>یونس صاحب</v>
          </cell>
          <cell r="E8726" t="str">
            <v>الحبیب پلاسٹک اوکاڑہ</v>
          </cell>
        </row>
        <row r="8727">
          <cell r="A8727" t="str">
            <v>7173/7</v>
          </cell>
          <cell r="B8727">
            <v>7173</v>
          </cell>
          <cell r="C8727">
            <v>45887</v>
          </cell>
          <cell r="D8727" t="str">
            <v>یونس صاحب</v>
          </cell>
          <cell r="E8727" t="str">
            <v>الحبیب پلاسٹک اوکاڑہ</v>
          </cell>
        </row>
        <row r="8728">
          <cell r="A8728" t="str">
            <v>7173/8</v>
          </cell>
          <cell r="B8728">
            <v>7173</v>
          </cell>
          <cell r="C8728">
            <v>45887</v>
          </cell>
          <cell r="D8728" t="str">
            <v>یونس صاحب</v>
          </cell>
          <cell r="E8728" t="str">
            <v>الحبیب پلاسٹک اوکاڑہ</v>
          </cell>
        </row>
        <row r="8729">
          <cell r="A8729" t="str">
            <v>7174/1</v>
          </cell>
          <cell r="B8729">
            <v>7174</v>
          </cell>
          <cell r="C8729">
            <v>45887</v>
          </cell>
          <cell r="D8729" t="str">
            <v>یونس صاحب</v>
          </cell>
          <cell r="E8729" t="str">
            <v>786 لفافہ بورے والا</v>
          </cell>
        </row>
        <row r="8730">
          <cell r="A8730" t="str">
            <v>7174/2</v>
          </cell>
          <cell r="B8730">
            <v>7174</v>
          </cell>
          <cell r="C8730">
            <v>45887</v>
          </cell>
          <cell r="D8730" t="str">
            <v>یونس صاحب</v>
          </cell>
          <cell r="E8730" t="str">
            <v>786 لفافہ بورے والا</v>
          </cell>
        </row>
        <row r="8731">
          <cell r="A8731" t="str">
            <v>7174/3</v>
          </cell>
          <cell r="B8731">
            <v>7174</v>
          </cell>
          <cell r="C8731">
            <v>45887</v>
          </cell>
          <cell r="D8731" t="str">
            <v>یونس صاحب</v>
          </cell>
          <cell r="E8731" t="str">
            <v>786 لفافہ بورے والا</v>
          </cell>
        </row>
        <row r="8732">
          <cell r="A8732" t="str">
            <v>7174/4</v>
          </cell>
          <cell r="B8732">
            <v>7174</v>
          </cell>
          <cell r="C8732">
            <v>45887</v>
          </cell>
          <cell r="D8732" t="str">
            <v>یونس صاحب</v>
          </cell>
          <cell r="E8732" t="str">
            <v>786 لفافہ بورے والا</v>
          </cell>
        </row>
        <row r="8733">
          <cell r="A8733" t="str">
            <v>7174/5</v>
          </cell>
          <cell r="B8733">
            <v>7174</v>
          </cell>
          <cell r="C8733">
            <v>45887</v>
          </cell>
          <cell r="D8733" t="str">
            <v>یونس صاحب</v>
          </cell>
          <cell r="E8733" t="str">
            <v>786 لفافہ بورے والا</v>
          </cell>
        </row>
        <row r="8734">
          <cell r="A8734" t="str">
            <v>7174/6</v>
          </cell>
          <cell r="B8734">
            <v>7174</v>
          </cell>
          <cell r="C8734">
            <v>45887</v>
          </cell>
          <cell r="D8734" t="str">
            <v>یونس صاحب</v>
          </cell>
          <cell r="E8734" t="str">
            <v>786 لفافہ بورے والا</v>
          </cell>
        </row>
        <row r="8735">
          <cell r="A8735" t="str">
            <v>7174/7</v>
          </cell>
          <cell r="B8735">
            <v>7174</v>
          </cell>
          <cell r="C8735">
            <v>45887</v>
          </cell>
          <cell r="D8735" t="str">
            <v>یونس صاحب</v>
          </cell>
          <cell r="E8735" t="str">
            <v>786 لفافہ بورے والا</v>
          </cell>
        </row>
        <row r="8736">
          <cell r="A8736" t="str">
            <v>7174/8</v>
          </cell>
          <cell r="B8736">
            <v>7174</v>
          </cell>
          <cell r="C8736">
            <v>45887</v>
          </cell>
          <cell r="D8736" t="str">
            <v>یونس صاحب</v>
          </cell>
          <cell r="E8736" t="str">
            <v>786 لفافہ بورے والا</v>
          </cell>
        </row>
        <row r="8737">
          <cell r="A8737" t="str">
            <v>7174/9</v>
          </cell>
          <cell r="B8737">
            <v>7174</v>
          </cell>
          <cell r="C8737">
            <v>45887</v>
          </cell>
          <cell r="D8737" t="str">
            <v>یونس صاحب</v>
          </cell>
          <cell r="E8737" t="str">
            <v>786 لفافہ بورے والا</v>
          </cell>
        </row>
        <row r="8738">
          <cell r="A8738" t="str">
            <v>7174/10</v>
          </cell>
          <cell r="B8738">
            <v>7174</v>
          </cell>
          <cell r="C8738">
            <v>45887</v>
          </cell>
          <cell r="D8738" t="str">
            <v>یونس صاحب</v>
          </cell>
          <cell r="E8738" t="str">
            <v>786 لفافہ بورے والا</v>
          </cell>
        </row>
        <row r="8739">
          <cell r="A8739" t="str">
            <v>7174/11</v>
          </cell>
          <cell r="B8739">
            <v>7174</v>
          </cell>
          <cell r="C8739">
            <v>45887</v>
          </cell>
          <cell r="D8739" t="str">
            <v>یونس صاحب</v>
          </cell>
          <cell r="E8739" t="str">
            <v>786 لفافہ بورے والا</v>
          </cell>
        </row>
        <row r="8740">
          <cell r="A8740" t="str">
            <v>7175/1</v>
          </cell>
          <cell r="B8740">
            <v>7175</v>
          </cell>
          <cell r="C8740">
            <v>45887</v>
          </cell>
          <cell r="D8740" t="str">
            <v>یونس صاحب</v>
          </cell>
          <cell r="E8740" t="str">
            <v>عبدالباری وہاڑی</v>
          </cell>
        </row>
        <row r="8741">
          <cell r="A8741" t="str">
            <v>7176/1</v>
          </cell>
          <cell r="B8741">
            <v>7176</v>
          </cell>
          <cell r="C8741">
            <v>45887</v>
          </cell>
          <cell r="D8741" t="str">
            <v>یونس صاحب</v>
          </cell>
          <cell r="E8741" t="str">
            <v>حاجی اسلماعیل وہاڑی</v>
          </cell>
        </row>
        <row r="8742">
          <cell r="A8742" t="str">
            <v>7176/2</v>
          </cell>
          <cell r="B8742">
            <v>7176</v>
          </cell>
          <cell r="C8742">
            <v>45887</v>
          </cell>
          <cell r="D8742" t="str">
            <v>یونس صاحب</v>
          </cell>
          <cell r="E8742" t="str">
            <v>حاجی اسلماعیل وہاڑی</v>
          </cell>
        </row>
        <row r="8743">
          <cell r="A8743" t="str">
            <v>7176/3</v>
          </cell>
          <cell r="B8743">
            <v>7176</v>
          </cell>
          <cell r="C8743">
            <v>45887</v>
          </cell>
          <cell r="D8743" t="str">
            <v>یونس صاحب</v>
          </cell>
          <cell r="E8743" t="str">
            <v>حاجی اسلماعیل وہاڑی</v>
          </cell>
        </row>
        <row r="8744">
          <cell r="A8744" t="str">
            <v>7176/4</v>
          </cell>
          <cell r="B8744">
            <v>7176</v>
          </cell>
          <cell r="C8744">
            <v>45887</v>
          </cell>
          <cell r="D8744" t="str">
            <v>یونس صاحب</v>
          </cell>
          <cell r="E8744" t="str">
            <v>حاجی اسلماعیل وہاڑی</v>
          </cell>
        </row>
        <row r="8745">
          <cell r="A8745" t="str">
            <v>7176/5</v>
          </cell>
          <cell r="B8745">
            <v>7176</v>
          </cell>
          <cell r="C8745">
            <v>45887</v>
          </cell>
          <cell r="D8745" t="str">
            <v>یونس صاحب</v>
          </cell>
          <cell r="E8745" t="str">
            <v>حاجی اسلماعیل وہاڑی</v>
          </cell>
        </row>
        <row r="8746">
          <cell r="A8746" t="str">
            <v>7176/6</v>
          </cell>
          <cell r="B8746">
            <v>7176</v>
          </cell>
          <cell r="C8746">
            <v>45887</v>
          </cell>
          <cell r="D8746" t="str">
            <v>یونس صاحب</v>
          </cell>
          <cell r="E8746" t="str">
            <v>حاجی اسلماعیل وہاڑی</v>
          </cell>
        </row>
        <row r="8747">
          <cell r="A8747" t="str">
            <v>7176/7</v>
          </cell>
          <cell r="B8747">
            <v>7176</v>
          </cell>
          <cell r="C8747">
            <v>45887</v>
          </cell>
          <cell r="D8747" t="str">
            <v>یونس صاحب</v>
          </cell>
          <cell r="E8747" t="str">
            <v>حاجی اسلماعیل وہاڑی</v>
          </cell>
        </row>
        <row r="8748">
          <cell r="A8748" t="str">
            <v>7176/8</v>
          </cell>
          <cell r="B8748">
            <v>7176</v>
          </cell>
          <cell r="C8748">
            <v>45887</v>
          </cell>
          <cell r="D8748" t="str">
            <v>یونس صاحب</v>
          </cell>
          <cell r="E8748" t="str">
            <v>حاجی اسلماعیل وہاڑی</v>
          </cell>
        </row>
        <row r="8749">
          <cell r="A8749" t="str">
            <v>7176/9</v>
          </cell>
          <cell r="B8749">
            <v>7176</v>
          </cell>
          <cell r="C8749">
            <v>45887</v>
          </cell>
          <cell r="D8749" t="str">
            <v>یونس صاحب</v>
          </cell>
          <cell r="E8749" t="str">
            <v>حاجی اسلماعیل وہاڑی</v>
          </cell>
        </row>
        <row r="8750">
          <cell r="A8750" t="str">
            <v>7176/10</v>
          </cell>
          <cell r="B8750">
            <v>7176</v>
          </cell>
          <cell r="C8750">
            <v>45887</v>
          </cell>
          <cell r="D8750" t="str">
            <v>یونس صاحب</v>
          </cell>
          <cell r="E8750" t="str">
            <v>حاجی اسلماعیل وہاڑی</v>
          </cell>
        </row>
        <row r="8751">
          <cell r="A8751" t="str">
            <v>7176/11</v>
          </cell>
          <cell r="B8751">
            <v>7176</v>
          </cell>
          <cell r="C8751">
            <v>45887</v>
          </cell>
          <cell r="D8751" t="str">
            <v>یونس صاحب</v>
          </cell>
          <cell r="E8751" t="str">
            <v>حاجی اسلماعیل وہاڑی</v>
          </cell>
        </row>
        <row r="8752">
          <cell r="A8752" t="str">
            <v>7176/12</v>
          </cell>
          <cell r="B8752">
            <v>7176</v>
          </cell>
          <cell r="C8752">
            <v>45887</v>
          </cell>
          <cell r="D8752" t="str">
            <v>یونس صاحب</v>
          </cell>
          <cell r="E8752" t="str">
            <v>حاجی اسلماعیل وہاڑی</v>
          </cell>
        </row>
        <row r="8753">
          <cell r="A8753" t="str">
            <v>7176/13</v>
          </cell>
          <cell r="B8753">
            <v>7176</v>
          </cell>
          <cell r="C8753">
            <v>45887</v>
          </cell>
          <cell r="D8753" t="str">
            <v>یونس صاحب</v>
          </cell>
          <cell r="E8753" t="str">
            <v>حاجی اسلماعیل وہاڑی</v>
          </cell>
        </row>
        <row r="8754">
          <cell r="A8754" t="str">
            <v>7176/14</v>
          </cell>
          <cell r="B8754">
            <v>7176</v>
          </cell>
          <cell r="C8754">
            <v>45887</v>
          </cell>
          <cell r="D8754" t="str">
            <v>یونس صاحب</v>
          </cell>
          <cell r="E8754" t="str">
            <v>حاجی اسلماعیل وہاڑی</v>
          </cell>
        </row>
        <row r="8755">
          <cell r="A8755" t="str">
            <v>7176/15</v>
          </cell>
          <cell r="B8755">
            <v>7176</v>
          </cell>
          <cell r="C8755">
            <v>45887</v>
          </cell>
          <cell r="D8755" t="str">
            <v>یونس صاحب</v>
          </cell>
          <cell r="E8755" t="str">
            <v>حاجی اسلماعیل وہاڑی</v>
          </cell>
        </row>
        <row r="8756">
          <cell r="A8756" t="str">
            <v>7177/1</v>
          </cell>
          <cell r="B8756">
            <v>7177</v>
          </cell>
          <cell r="C8756">
            <v>45887</v>
          </cell>
          <cell r="D8756" t="str">
            <v>یونس صاحب</v>
          </cell>
          <cell r="E8756" t="str">
            <v>خرم پلاسٹک ساہیوال</v>
          </cell>
        </row>
        <row r="8757">
          <cell r="A8757" t="str">
            <v>7177/2</v>
          </cell>
          <cell r="B8757">
            <v>7177</v>
          </cell>
          <cell r="C8757">
            <v>45887</v>
          </cell>
          <cell r="D8757" t="str">
            <v>یونس صاحب</v>
          </cell>
          <cell r="E8757" t="str">
            <v>خرم پلاسٹک ساہیوال</v>
          </cell>
        </row>
        <row r="8758">
          <cell r="A8758" t="str">
            <v>7177/3</v>
          </cell>
          <cell r="B8758">
            <v>7177</v>
          </cell>
          <cell r="C8758">
            <v>45887</v>
          </cell>
          <cell r="D8758" t="str">
            <v>یونس صاحب</v>
          </cell>
          <cell r="E8758" t="str">
            <v>خرم پلاسٹک ساہیوال</v>
          </cell>
        </row>
        <row r="8759">
          <cell r="A8759" t="str">
            <v>7177/4</v>
          </cell>
          <cell r="B8759">
            <v>7177</v>
          </cell>
          <cell r="C8759">
            <v>45887</v>
          </cell>
          <cell r="D8759" t="str">
            <v>یونس صاحب</v>
          </cell>
          <cell r="E8759" t="str">
            <v>خرم پلاسٹک ساہیوال</v>
          </cell>
        </row>
        <row r="8760">
          <cell r="A8760" t="str">
            <v>7177/5</v>
          </cell>
          <cell r="B8760">
            <v>7177</v>
          </cell>
          <cell r="C8760">
            <v>45887</v>
          </cell>
          <cell r="D8760" t="str">
            <v>یونس صاحب</v>
          </cell>
          <cell r="E8760" t="str">
            <v>خرم پلاسٹک ساہیوال</v>
          </cell>
        </row>
        <row r="8761">
          <cell r="A8761" t="str">
            <v>7177/6</v>
          </cell>
          <cell r="B8761">
            <v>7177</v>
          </cell>
          <cell r="C8761">
            <v>45887</v>
          </cell>
          <cell r="D8761" t="str">
            <v>یونس صاحب</v>
          </cell>
          <cell r="E8761" t="str">
            <v>خرم پلاسٹک ساہیوال</v>
          </cell>
        </row>
        <row r="8762">
          <cell r="A8762" t="str">
            <v>7177/7</v>
          </cell>
          <cell r="B8762">
            <v>7177</v>
          </cell>
          <cell r="C8762">
            <v>45887</v>
          </cell>
          <cell r="D8762" t="str">
            <v>یونس صاحب</v>
          </cell>
          <cell r="E8762" t="str">
            <v>خرم پلاسٹک ساہیوال</v>
          </cell>
        </row>
        <row r="8763">
          <cell r="A8763" t="str">
            <v>7178/1</v>
          </cell>
          <cell r="B8763">
            <v>7178</v>
          </cell>
          <cell r="C8763">
            <v>45887</v>
          </cell>
          <cell r="D8763" t="str">
            <v>یونس صاحب</v>
          </cell>
          <cell r="E8763" t="str">
            <v>عامر شہزاد ساہیوال</v>
          </cell>
        </row>
        <row r="8764">
          <cell r="A8764" t="str">
            <v>7178/2</v>
          </cell>
          <cell r="B8764">
            <v>7178</v>
          </cell>
          <cell r="C8764">
            <v>45887</v>
          </cell>
          <cell r="D8764" t="str">
            <v>یونس صاحب</v>
          </cell>
          <cell r="E8764" t="str">
            <v>عامر شہزاد ساہیوال</v>
          </cell>
        </row>
        <row r="8765">
          <cell r="A8765" t="str">
            <v>7178/3</v>
          </cell>
          <cell r="B8765">
            <v>7178</v>
          </cell>
          <cell r="C8765">
            <v>45887</v>
          </cell>
          <cell r="D8765" t="str">
            <v>یونس صاحب</v>
          </cell>
          <cell r="E8765" t="str">
            <v>عامر شہزاد ساہیوال</v>
          </cell>
        </row>
        <row r="8766">
          <cell r="A8766" t="str">
            <v>7178/4</v>
          </cell>
          <cell r="B8766">
            <v>7178</v>
          </cell>
          <cell r="C8766">
            <v>45887</v>
          </cell>
          <cell r="D8766" t="str">
            <v>یونس صاحب</v>
          </cell>
          <cell r="E8766" t="str">
            <v>عامر شہزاد ساہیوال</v>
          </cell>
        </row>
        <row r="8767">
          <cell r="A8767" t="str">
            <v>7178/5</v>
          </cell>
          <cell r="B8767">
            <v>7178</v>
          </cell>
          <cell r="C8767">
            <v>45887</v>
          </cell>
          <cell r="D8767" t="str">
            <v>یونس صاحب</v>
          </cell>
          <cell r="E8767" t="str">
            <v>عامر شہزاد ساہیوال</v>
          </cell>
        </row>
        <row r="8768">
          <cell r="A8768" t="str">
            <v>7178/6</v>
          </cell>
          <cell r="B8768">
            <v>7178</v>
          </cell>
          <cell r="C8768">
            <v>45887</v>
          </cell>
          <cell r="D8768" t="str">
            <v>یونس صاحب</v>
          </cell>
          <cell r="E8768" t="str">
            <v>عامر شہزاد ساہیوال</v>
          </cell>
        </row>
        <row r="8769">
          <cell r="A8769" t="str">
            <v>7178/7</v>
          </cell>
          <cell r="B8769">
            <v>7178</v>
          </cell>
          <cell r="C8769">
            <v>45887</v>
          </cell>
          <cell r="D8769" t="str">
            <v>یونس صاحب</v>
          </cell>
          <cell r="E8769" t="str">
            <v>عامر شہزاد ساہیوال</v>
          </cell>
        </row>
        <row r="8770">
          <cell r="A8770" t="str">
            <v>7179/1</v>
          </cell>
          <cell r="B8770">
            <v>7179</v>
          </cell>
          <cell r="C8770">
            <v>45887</v>
          </cell>
          <cell r="D8770" t="str">
            <v>یونس صاحب</v>
          </cell>
          <cell r="E8770" t="str">
            <v>عبدالکریم وہاڑی</v>
          </cell>
        </row>
        <row r="8771">
          <cell r="A8771" t="str">
            <v>7179/2</v>
          </cell>
          <cell r="B8771">
            <v>7179</v>
          </cell>
          <cell r="C8771">
            <v>45887</v>
          </cell>
          <cell r="D8771" t="str">
            <v>یونس صاحب</v>
          </cell>
          <cell r="E8771" t="str">
            <v>عبدالکریم وہاڑی</v>
          </cell>
        </row>
        <row r="8772">
          <cell r="A8772" t="str">
            <v>7180/1</v>
          </cell>
          <cell r="B8772">
            <v>7180</v>
          </cell>
          <cell r="C8772">
            <v>45887</v>
          </cell>
          <cell r="D8772" t="str">
            <v>یونس صاحب</v>
          </cell>
          <cell r="E8772" t="str">
            <v>نادر پلاسٹک سرگودھا</v>
          </cell>
        </row>
        <row r="8773">
          <cell r="A8773" t="str">
            <v>7180/2</v>
          </cell>
          <cell r="B8773">
            <v>7180</v>
          </cell>
          <cell r="C8773">
            <v>45887</v>
          </cell>
          <cell r="D8773" t="str">
            <v>یونس صاحب</v>
          </cell>
          <cell r="E8773" t="str">
            <v>نادر پلاسٹک سرگودھا</v>
          </cell>
        </row>
        <row r="8774">
          <cell r="A8774" t="str">
            <v>7180/3</v>
          </cell>
          <cell r="B8774">
            <v>7180</v>
          </cell>
          <cell r="C8774">
            <v>45887</v>
          </cell>
          <cell r="D8774" t="str">
            <v>یونس صاحب</v>
          </cell>
          <cell r="E8774" t="str">
            <v>نادر پلاسٹک سرگودھا</v>
          </cell>
        </row>
        <row r="8775">
          <cell r="A8775" t="str">
            <v>7180/4</v>
          </cell>
          <cell r="B8775">
            <v>7180</v>
          </cell>
          <cell r="C8775">
            <v>45887</v>
          </cell>
          <cell r="D8775" t="str">
            <v>یونس صاحب</v>
          </cell>
          <cell r="E8775" t="str">
            <v>نادر پلاسٹک سرگودھا</v>
          </cell>
        </row>
        <row r="8776">
          <cell r="A8776" t="str">
            <v>7180/5</v>
          </cell>
          <cell r="B8776">
            <v>7180</v>
          </cell>
          <cell r="C8776">
            <v>45887</v>
          </cell>
          <cell r="D8776" t="str">
            <v>یونس صاحب</v>
          </cell>
          <cell r="E8776" t="str">
            <v>نادر پلاسٹک سرگودھا</v>
          </cell>
        </row>
        <row r="8777">
          <cell r="A8777" t="str">
            <v>7180/6</v>
          </cell>
          <cell r="B8777">
            <v>7180</v>
          </cell>
          <cell r="C8777">
            <v>45887</v>
          </cell>
          <cell r="D8777" t="str">
            <v>یونس صاحب</v>
          </cell>
          <cell r="E8777" t="str">
            <v>نادر پلاسٹک سرگودھا</v>
          </cell>
        </row>
        <row r="8778">
          <cell r="A8778" t="str">
            <v>7180/7</v>
          </cell>
          <cell r="B8778">
            <v>7180</v>
          </cell>
          <cell r="C8778">
            <v>45887</v>
          </cell>
          <cell r="D8778" t="str">
            <v>یونس صاحب</v>
          </cell>
          <cell r="E8778" t="str">
            <v>نادر پلاسٹک سرگودھا</v>
          </cell>
        </row>
        <row r="8779">
          <cell r="A8779" t="str">
            <v>7180/8</v>
          </cell>
          <cell r="B8779">
            <v>7180</v>
          </cell>
          <cell r="C8779">
            <v>45887</v>
          </cell>
          <cell r="D8779" t="str">
            <v>یونس صاحب</v>
          </cell>
          <cell r="E8779" t="str">
            <v>نادر پلاسٹک سرگودھا</v>
          </cell>
        </row>
        <row r="8780">
          <cell r="A8780" t="str">
            <v>7180/9</v>
          </cell>
          <cell r="B8780">
            <v>7180</v>
          </cell>
          <cell r="C8780">
            <v>45887</v>
          </cell>
          <cell r="D8780" t="str">
            <v>یونس صاحب</v>
          </cell>
          <cell r="E8780" t="str">
            <v>نادر پلاسٹک سرگودھا</v>
          </cell>
        </row>
        <row r="8781">
          <cell r="A8781" t="str">
            <v>7181/1</v>
          </cell>
          <cell r="B8781">
            <v>7181</v>
          </cell>
          <cell r="C8781">
            <v>45887</v>
          </cell>
          <cell r="D8781" t="str">
            <v>یونس صاحب</v>
          </cell>
          <cell r="E8781" t="str">
            <v>محبوب مقبول گوجرانوالہ</v>
          </cell>
        </row>
        <row r="8782">
          <cell r="A8782" t="str">
            <v>7181/2</v>
          </cell>
          <cell r="B8782">
            <v>7181</v>
          </cell>
          <cell r="C8782">
            <v>45887</v>
          </cell>
          <cell r="D8782" t="str">
            <v>یونس صاحب</v>
          </cell>
          <cell r="E8782" t="str">
            <v>محبوب مقبول گوجرانوالہ</v>
          </cell>
        </row>
        <row r="8783">
          <cell r="A8783" t="str">
            <v>7181/3</v>
          </cell>
          <cell r="B8783">
            <v>7181</v>
          </cell>
          <cell r="C8783">
            <v>45887</v>
          </cell>
          <cell r="D8783" t="str">
            <v>یونس صاحب</v>
          </cell>
          <cell r="E8783" t="str">
            <v>محبوب مقبول گوجرانوالہ</v>
          </cell>
        </row>
        <row r="8784">
          <cell r="A8784" t="str">
            <v>7181/4</v>
          </cell>
          <cell r="B8784">
            <v>7181</v>
          </cell>
          <cell r="C8784">
            <v>45887</v>
          </cell>
          <cell r="D8784" t="str">
            <v>یونس صاحب</v>
          </cell>
          <cell r="E8784" t="str">
            <v>محبوب مقبول گوجرانوالہ</v>
          </cell>
        </row>
        <row r="8785">
          <cell r="A8785" t="str">
            <v>7181/5</v>
          </cell>
          <cell r="B8785">
            <v>7181</v>
          </cell>
          <cell r="C8785">
            <v>45887</v>
          </cell>
          <cell r="D8785" t="str">
            <v>یونس صاحب</v>
          </cell>
          <cell r="E8785" t="str">
            <v>محبوب مقبول گوجرانوالہ</v>
          </cell>
        </row>
        <row r="8786">
          <cell r="A8786" t="str">
            <v>7182/1</v>
          </cell>
          <cell r="B8786">
            <v>7182</v>
          </cell>
          <cell r="C8786">
            <v>45887</v>
          </cell>
          <cell r="D8786" t="str">
            <v>یونس صاحب</v>
          </cell>
          <cell r="E8786" t="str">
            <v>عامر شہزاد ساہیوال</v>
          </cell>
        </row>
        <row r="8787">
          <cell r="A8787" t="str">
            <v>7183/1</v>
          </cell>
          <cell r="B8787">
            <v>7183</v>
          </cell>
          <cell r="C8787">
            <v>45887</v>
          </cell>
          <cell r="D8787" t="str">
            <v>یونس صاحب</v>
          </cell>
          <cell r="E8787" t="str">
            <v>ریفلیکٹ پیک لاہور</v>
          </cell>
        </row>
        <row r="8788">
          <cell r="A8788" t="str">
            <v>7184/1</v>
          </cell>
          <cell r="B8788">
            <v>7184</v>
          </cell>
          <cell r="C8788">
            <v>45887</v>
          </cell>
          <cell r="D8788" t="str">
            <v>یونس صاحب</v>
          </cell>
          <cell r="E8788" t="str">
            <v>ریفلیکٹ پیک لاہور</v>
          </cell>
        </row>
        <row r="8789">
          <cell r="A8789" t="str">
            <v>7185/1</v>
          </cell>
          <cell r="B8789">
            <v>7185</v>
          </cell>
          <cell r="C8789">
            <v>45887</v>
          </cell>
          <cell r="D8789" t="str">
            <v>یونس صاحب</v>
          </cell>
          <cell r="E8789" t="str">
            <v>خذیفہ پلاسٹک اعظم مارکیٹ</v>
          </cell>
        </row>
        <row r="8790">
          <cell r="A8790" t="str">
            <v>7186/1</v>
          </cell>
          <cell r="B8790">
            <v>7186</v>
          </cell>
          <cell r="C8790">
            <v>45887</v>
          </cell>
          <cell r="D8790" t="str">
            <v>یونس صاحب</v>
          </cell>
          <cell r="E8790" t="str">
            <v>اقبال پلاسٹک کوٹ ادو</v>
          </cell>
        </row>
        <row r="8791">
          <cell r="A8791" t="str">
            <v>7187/1</v>
          </cell>
          <cell r="B8791">
            <v>7187</v>
          </cell>
          <cell r="C8791">
            <v>45887</v>
          </cell>
          <cell r="D8791" t="str">
            <v>یونس صاحب</v>
          </cell>
          <cell r="E8791" t="str">
            <v>پڑا لکھا خانپور</v>
          </cell>
        </row>
        <row r="8792">
          <cell r="A8792" t="str">
            <v>7187/2</v>
          </cell>
          <cell r="B8792">
            <v>7187</v>
          </cell>
          <cell r="C8792">
            <v>45887</v>
          </cell>
          <cell r="D8792" t="str">
            <v>یونس صاحب</v>
          </cell>
          <cell r="E8792" t="str">
            <v>پڑا لکھا خانپور</v>
          </cell>
        </row>
        <row r="8793">
          <cell r="A8793" t="str">
            <v>7187/3</v>
          </cell>
          <cell r="B8793">
            <v>7187</v>
          </cell>
          <cell r="C8793">
            <v>45887</v>
          </cell>
          <cell r="D8793" t="str">
            <v>یونس صاحب</v>
          </cell>
          <cell r="E8793" t="str">
            <v>پڑا لکھا خانپور</v>
          </cell>
        </row>
        <row r="8794">
          <cell r="A8794" t="str">
            <v>7187/4</v>
          </cell>
          <cell r="B8794">
            <v>7187</v>
          </cell>
          <cell r="C8794">
            <v>45887</v>
          </cell>
          <cell r="D8794" t="str">
            <v>یونس صاحب</v>
          </cell>
          <cell r="E8794" t="str">
            <v>پڑا لکھا خانپور</v>
          </cell>
        </row>
        <row r="8795">
          <cell r="A8795" t="str">
            <v>7188/1</v>
          </cell>
          <cell r="B8795">
            <v>7188</v>
          </cell>
          <cell r="C8795">
            <v>45887</v>
          </cell>
          <cell r="D8795" t="str">
            <v>یونس صاحب</v>
          </cell>
          <cell r="E8795" t="str">
            <v>ارشد افضل حاصلپور</v>
          </cell>
        </row>
        <row r="8796">
          <cell r="A8796" t="str">
            <v>7188/2</v>
          </cell>
          <cell r="B8796">
            <v>7188</v>
          </cell>
          <cell r="C8796">
            <v>45887</v>
          </cell>
          <cell r="D8796" t="str">
            <v>یونس صاحب</v>
          </cell>
          <cell r="E8796" t="str">
            <v>ارشد افضل حاصلپور</v>
          </cell>
        </row>
        <row r="8797">
          <cell r="A8797" t="str">
            <v>7188/3</v>
          </cell>
          <cell r="B8797">
            <v>7188</v>
          </cell>
          <cell r="C8797">
            <v>45887</v>
          </cell>
          <cell r="D8797" t="str">
            <v>یونس صاحب</v>
          </cell>
          <cell r="E8797" t="str">
            <v>ارشد افضل حاصلپور</v>
          </cell>
        </row>
        <row r="8798">
          <cell r="A8798" t="str">
            <v>7188/4</v>
          </cell>
          <cell r="B8798">
            <v>7188</v>
          </cell>
          <cell r="C8798">
            <v>45887</v>
          </cell>
          <cell r="D8798" t="str">
            <v>یونس صاحب</v>
          </cell>
          <cell r="E8798" t="str">
            <v>ارشد افضل حاصلپور</v>
          </cell>
        </row>
        <row r="8799">
          <cell r="A8799" t="str">
            <v>7188/5</v>
          </cell>
          <cell r="B8799">
            <v>7188</v>
          </cell>
          <cell r="C8799">
            <v>45887</v>
          </cell>
          <cell r="D8799" t="str">
            <v>یونس صاحب</v>
          </cell>
          <cell r="E8799" t="str">
            <v>ارشد افضل حاصلپور</v>
          </cell>
        </row>
        <row r="8800">
          <cell r="A8800" t="str">
            <v>7188/6</v>
          </cell>
          <cell r="B8800">
            <v>7188</v>
          </cell>
          <cell r="C8800">
            <v>45887</v>
          </cell>
          <cell r="D8800" t="str">
            <v>یونس صاحب</v>
          </cell>
          <cell r="E8800" t="str">
            <v>ارشد افضل حاصلپور</v>
          </cell>
        </row>
        <row r="8801">
          <cell r="A8801" t="str">
            <v>7189/1</v>
          </cell>
          <cell r="B8801">
            <v>7189</v>
          </cell>
          <cell r="C8801">
            <v>45887</v>
          </cell>
          <cell r="D8801" t="str">
            <v>یونس صاحب</v>
          </cell>
          <cell r="E8801" t="str">
            <v>محبوب مقبول گوجرانوالہ</v>
          </cell>
        </row>
        <row r="8802">
          <cell r="A8802" t="str">
            <v>7189/2</v>
          </cell>
          <cell r="B8802">
            <v>7189</v>
          </cell>
          <cell r="C8802">
            <v>45887</v>
          </cell>
          <cell r="D8802" t="str">
            <v>یونس صاحب</v>
          </cell>
          <cell r="E8802" t="str">
            <v>محبوب مقبول گوجرانوالہ</v>
          </cell>
        </row>
        <row r="8803">
          <cell r="A8803" t="str">
            <v>7189/3</v>
          </cell>
          <cell r="B8803">
            <v>7189</v>
          </cell>
          <cell r="C8803">
            <v>45887</v>
          </cell>
          <cell r="D8803" t="str">
            <v>یونس صاحب</v>
          </cell>
          <cell r="E8803" t="str">
            <v>محبوب مقبول گوجرانوالہ</v>
          </cell>
        </row>
        <row r="8804">
          <cell r="A8804" t="str">
            <v>7189/4</v>
          </cell>
          <cell r="B8804">
            <v>7189</v>
          </cell>
          <cell r="C8804">
            <v>45887</v>
          </cell>
          <cell r="D8804" t="str">
            <v>یونس صاحب</v>
          </cell>
          <cell r="E8804" t="str">
            <v>محبوب مقبول گوجرانوالہ</v>
          </cell>
        </row>
        <row r="8805">
          <cell r="A8805" t="str">
            <v>7189/5</v>
          </cell>
          <cell r="B8805">
            <v>7189</v>
          </cell>
          <cell r="C8805">
            <v>45887</v>
          </cell>
          <cell r="D8805" t="str">
            <v>یونس صاحب</v>
          </cell>
          <cell r="E8805" t="str">
            <v>محبوب مقبول گوجرانوالہ</v>
          </cell>
        </row>
        <row r="8806">
          <cell r="A8806" t="str">
            <v>2783/1</v>
          </cell>
          <cell r="B8806">
            <v>2783</v>
          </cell>
          <cell r="C8806">
            <v>45887</v>
          </cell>
          <cell r="D8806" t="str">
            <v>JILANI</v>
          </cell>
          <cell r="E8806" t="str">
            <v>PT-01</v>
          </cell>
        </row>
        <row r="8807">
          <cell r="A8807" t="str">
            <v>2783/2</v>
          </cell>
          <cell r="B8807">
            <v>2783</v>
          </cell>
          <cell r="C8807">
            <v>45887</v>
          </cell>
          <cell r="D8807" t="str">
            <v>JILANI</v>
          </cell>
          <cell r="E8807" t="str">
            <v>PT-01</v>
          </cell>
        </row>
        <row r="8808">
          <cell r="A8808" t="str">
            <v>2783/3</v>
          </cell>
          <cell r="B8808">
            <v>2783</v>
          </cell>
          <cell r="C8808">
            <v>45887</v>
          </cell>
          <cell r="D8808" t="str">
            <v>JILANI</v>
          </cell>
          <cell r="E8808" t="str">
            <v>PT-01</v>
          </cell>
        </row>
        <row r="8809">
          <cell r="A8809" t="str">
            <v>3710 J</v>
          </cell>
          <cell r="B8809"/>
          <cell r="C8809">
            <v>45880</v>
          </cell>
          <cell r="D8809" t="str">
            <v>OTHER</v>
          </cell>
          <cell r="E8809" t="str">
            <v>Polly Sacks</v>
          </cell>
        </row>
        <row r="8810">
          <cell r="A8810" t="str">
            <v>3711 J</v>
          </cell>
          <cell r="B8810"/>
          <cell r="C8810">
            <v>45885</v>
          </cell>
          <cell r="D8810" t="str">
            <v>OTHER</v>
          </cell>
          <cell r="E8810" t="str">
            <v>Jilani plastic</v>
          </cell>
        </row>
        <row r="8811">
          <cell r="A8811" t="str">
            <v>3712 J</v>
          </cell>
          <cell r="B8811"/>
          <cell r="C8811">
            <v>45885</v>
          </cell>
          <cell r="D8811" t="str">
            <v>OTHER</v>
          </cell>
          <cell r="E8811" t="str">
            <v>Jilani plastic</v>
          </cell>
        </row>
        <row r="8812">
          <cell r="A8812" t="str">
            <v>3713 J</v>
          </cell>
          <cell r="B8812"/>
          <cell r="C8812">
            <v>45885</v>
          </cell>
          <cell r="D8812" t="str">
            <v>OTHER</v>
          </cell>
          <cell r="E8812" t="str">
            <v>Jilani plastic</v>
          </cell>
        </row>
        <row r="8813">
          <cell r="A8813" t="str">
            <v>3714 J</v>
          </cell>
          <cell r="B8813"/>
          <cell r="C8813">
            <v>45885</v>
          </cell>
          <cell r="D8813" t="str">
            <v>OTHER</v>
          </cell>
          <cell r="E8813" t="str">
            <v>Jilani plastic</v>
          </cell>
        </row>
        <row r="8814">
          <cell r="A8814" t="str">
            <v>3715 J</v>
          </cell>
          <cell r="B8814"/>
          <cell r="C8814">
            <v>45885</v>
          </cell>
          <cell r="D8814" t="str">
            <v>OTHER</v>
          </cell>
          <cell r="E8814" t="str">
            <v>Jilani plastic</v>
          </cell>
        </row>
        <row r="8815">
          <cell r="A8815" t="str">
            <v>3716 J</v>
          </cell>
          <cell r="B8815"/>
          <cell r="C8815">
            <v>45885</v>
          </cell>
          <cell r="D8815" t="str">
            <v>OTHER</v>
          </cell>
          <cell r="E8815" t="str">
            <v>Jilani plastic</v>
          </cell>
        </row>
        <row r="8816">
          <cell r="A8816" t="str">
            <v>3717 J</v>
          </cell>
          <cell r="B8816"/>
          <cell r="C8816">
            <v>45885</v>
          </cell>
          <cell r="D8816" t="str">
            <v>OTHER</v>
          </cell>
          <cell r="E8816" t="str">
            <v>Jilani plastic</v>
          </cell>
        </row>
        <row r="8817">
          <cell r="A8817" t="str">
            <v>3718 J</v>
          </cell>
          <cell r="B8817"/>
          <cell r="C8817">
            <v>45885</v>
          </cell>
          <cell r="D8817" t="str">
            <v>OTHER</v>
          </cell>
          <cell r="E8817" t="str">
            <v>Jilani plastic</v>
          </cell>
        </row>
        <row r="8818">
          <cell r="A8818" t="str">
            <v>3719 J</v>
          </cell>
          <cell r="B8818"/>
          <cell r="C8818">
            <v>45885</v>
          </cell>
          <cell r="D8818" t="str">
            <v>OTHER</v>
          </cell>
          <cell r="E8818" t="str">
            <v>Jilani plastic</v>
          </cell>
        </row>
        <row r="8819">
          <cell r="A8819" t="str">
            <v>3720 J</v>
          </cell>
          <cell r="B8819"/>
          <cell r="C8819">
            <v>45885</v>
          </cell>
          <cell r="D8819" t="str">
            <v>OTHER</v>
          </cell>
          <cell r="E8819" t="str">
            <v>Jilani plastic</v>
          </cell>
        </row>
        <row r="8820">
          <cell r="A8820" t="str">
            <v>3721 J</v>
          </cell>
          <cell r="B8820">
            <v>12854</v>
          </cell>
          <cell r="C8820">
            <v>45881</v>
          </cell>
          <cell r="D8820" t="str">
            <v>JILANI</v>
          </cell>
          <cell r="E8820" t="str">
            <v>Rasheed Optical and Vision Center Lahore</v>
          </cell>
        </row>
        <row r="8821">
          <cell r="A8821" t="str">
            <v>3722 J</v>
          </cell>
          <cell r="B8821">
            <v>12855</v>
          </cell>
          <cell r="C8821">
            <v>45881</v>
          </cell>
          <cell r="D8821" t="str">
            <v>JILANI</v>
          </cell>
          <cell r="E8821" t="str">
            <v>Raazi Ameer Zaman Suiting Lahore</v>
          </cell>
        </row>
        <row r="8822">
          <cell r="A8822" t="str">
            <v>3723 J</v>
          </cell>
          <cell r="B8822">
            <v>12855</v>
          </cell>
          <cell r="C8822">
            <v>45881</v>
          </cell>
          <cell r="D8822" t="str">
            <v>JILANI</v>
          </cell>
          <cell r="E8822" t="str">
            <v>Raazi Ameer Zaman Suiting Lahore</v>
          </cell>
        </row>
        <row r="8823">
          <cell r="A8823" t="str">
            <v>3724 J</v>
          </cell>
          <cell r="B8823">
            <v>12856</v>
          </cell>
          <cell r="C8823">
            <v>45881</v>
          </cell>
          <cell r="D8823" t="str">
            <v>JILANI</v>
          </cell>
          <cell r="E8823" t="str">
            <v>Ali Sweets And Bakers Raheem Yar Khan</v>
          </cell>
        </row>
        <row r="8824">
          <cell r="A8824" t="str">
            <v>3725 J</v>
          </cell>
          <cell r="B8824">
            <v>12857</v>
          </cell>
          <cell r="C8824">
            <v>45881</v>
          </cell>
          <cell r="D8824" t="str">
            <v>JILANI</v>
          </cell>
          <cell r="E8824" t="str">
            <v>Raza Graments Lahore</v>
          </cell>
        </row>
        <row r="8825">
          <cell r="A8825" t="str">
            <v>3726 J</v>
          </cell>
          <cell r="B8825">
            <v>12858</v>
          </cell>
          <cell r="C8825">
            <v>45881</v>
          </cell>
          <cell r="D8825" t="str">
            <v>JILANI</v>
          </cell>
          <cell r="E8825" t="str">
            <v>IHSAN Cotton Products Pvt. LTD</v>
          </cell>
        </row>
        <row r="8826">
          <cell r="A8826" t="str">
            <v>3727 J</v>
          </cell>
          <cell r="B8826">
            <v>12858</v>
          </cell>
          <cell r="C8826">
            <v>45881</v>
          </cell>
          <cell r="D8826" t="str">
            <v>JILANI</v>
          </cell>
          <cell r="E8826" t="str">
            <v>IHSAN Cotton Products Pvt. LTD</v>
          </cell>
        </row>
        <row r="8827">
          <cell r="A8827" t="str">
            <v>3728 J</v>
          </cell>
          <cell r="B8827">
            <v>12859</v>
          </cell>
          <cell r="C8827">
            <v>45881</v>
          </cell>
          <cell r="D8827" t="str">
            <v>JILANI</v>
          </cell>
          <cell r="E8827" t="str">
            <v>Khalid Printer Lahore</v>
          </cell>
        </row>
        <row r="8828">
          <cell r="A8828" t="str">
            <v>3729 J</v>
          </cell>
          <cell r="B8828">
            <v>12860</v>
          </cell>
          <cell r="C8828">
            <v>45881</v>
          </cell>
          <cell r="D8828" t="str">
            <v>JILANI</v>
          </cell>
          <cell r="E8828" t="str">
            <v>Salam Dupata Center Quita</v>
          </cell>
        </row>
        <row r="8829">
          <cell r="A8829" t="str">
            <v>3730 J</v>
          </cell>
          <cell r="B8829">
            <v>12860</v>
          </cell>
          <cell r="C8829">
            <v>45881</v>
          </cell>
          <cell r="D8829" t="str">
            <v>JILANI</v>
          </cell>
          <cell r="E8829" t="str">
            <v>Salam Dupata Center Quita</v>
          </cell>
        </row>
        <row r="8830">
          <cell r="A8830" t="str">
            <v>3731 J</v>
          </cell>
          <cell r="B8830">
            <v>12861</v>
          </cell>
          <cell r="C8830">
            <v>45881</v>
          </cell>
          <cell r="D8830" t="str">
            <v>JILANI</v>
          </cell>
          <cell r="E8830" t="str">
            <v>Eleven Pharmacy Lahore</v>
          </cell>
        </row>
        <row r="8831">
          <cell r="A8831" t="str">
            <v>3732 J</v>
          </cell>
          <cell r="B8831">
            <v>12862</v>
          </cell>
          <cell r="C8831">
            <v>45881</v>
          </cell>
          <cell r="D8831" t="str">
            <v>JILANI</v>
          </cell>
          <cell r="E8831" t="str">
            <v>Alam Bakers HafizAbad</v>
          </cell>
        </row>
        <row r="8832">
          <cell r="A8832" t="str">
            <v>3733 J</v>
          </cell>
          <cell r="B8832">
            <v>12863</v>
          </cell>
          <cell r="C8832">
            <v>45882</v>
          </cell>
          <cell r="D8832" t="str">
            <v>JILANI</v>
          </cell>
          <cell r="E8832" t="str">
            <v>Hamayon Butt Gujjranwala</v>
          </cell>
        </row>
        <row r="8833">
          <cell r="A8833" t="str">
            <v>3734 J</v>
          </cell>
          <cell r="B8833">
            <v>12863</v>
          </cell>
          <cell r="C8833">
            <v>45882</v>
          </cell>
          <cell r="D8833" t="str">
            <v>JILANI</v>
          </cell>
          <cell r="E8833" t="str">
            <v>Hamayon Butt Gujjranwala</v>
          </cell>
        </row>
        <row r="8834">
          <cell r="A8834" t="str">
            <v>3735 J</v>
          </cell>
          <cell r="B8834">
            <v>12863</v>
          </cell>
          <cell r="C8834">
            <v>45882</v>
          </cell>
          <cell r="D8834" t="str">
            <v>JILANI</v>
          </cell>
          <cell r="E8834" t="str">
            <v>Hamayon Butt Gujjranwala</v>
          </cell>
        </row>
        <row r="8835">
          <cell r="A8835" t="str">
            <v>3736 J</v>
          </cell>
          <cell r="B8835">
            <v>12864</v>
          </cell>
          <cell r="C8835">
            <v>45882</v>
          </cell>
          <cell r="D8835" t="str">
            <v>JILANI</v>
          </cell>
          <cell r="E8835" t="str">
            <v>Mian G Fabrics Shadbagh Lahore</v>
          </cell>
        </row>
        <row r="8836">
          <cell r="A8836" t="str">
            <v>3737 J</v>
          </cell>
          <cell r="B8836">
            <v>12865</v>
          </cell>
          <cell r="C8836">
            <v>45882</v>
          </cell>
          <cell r="D8836" t="str">
            <v>JILANI</v>
          </cell>
          <cell r="E8836" t="str">
            <v>Bright Chemical Narowal</v>
          </cell>
        </row>
        <row r="8837">
          <cell r="A8837" t="str">
            <v>3738 J</v>
          </cell>
          <cell r="B8837">
            <v>12866</v>
          </cell>
          <cell r="C8837">
            <v>45882</v>
          </cell>
          <cell r="D8837" t="str">
            <v>JILANI</v>
          </cell>
          <cell r="E8837" t="str">
            <v>Alam Printers Butkhela</v>
          </cell>
        </row>
        <row r="8838">
          <cell r="A8838" t="str">
            <v>3739 J</v>
          </cell>
          <cell r="B8838">
            <v>12867</v>
          </cell>
          <cell r="C8838">
            <v>45882</v>
          </cell>
          <cell r="D8838" t="str">
            <v>JILANI</v>
          </cell>
          <cell r="E8838" t="str">
            <v>Super Shangai Dry Cleaners Nankana</v>
          </cell>
        </row>
        <row r="8839">
          <cell r="A8839" t="str">
            <v>3740 J</v>
          </cell>
          <cell r="B8839">
            <v>12868</v>
          </cell>
          <cell r="C8839">
            <v>45882</v>
          </cell>
          <cell r="D8839" t="str">
            <v>JILANI</v>
          </cell>
          <cell r="E8839" t="str">
            <v>Hafize Cloth Town Ship Lahore</v>
          </cell>
        </row>
        <row r="8840">
          <cell r="A8840" t="str">
            <v>3741 J</v>
          </cell>
          <cell r="B8840">
            <v>12869</v>
          </cell>
          <cell r="C8840">
            <v>45882</v>
          </cell>
          <cell r="D8840" t="str">
            <v>JILANI</v>
          </cell>
          <cell r="E8840" t="str">
            <v>Mushtaq Ghani GM Lahore</v>
          </cell>
        </row>
        <row r="8841">
          <cell r="A8841" t="str">
            <v>3742 J</v>
          </cell>
          <cell r="B8841">
            <v>12873</v>
          </cell>
          <cell r="C8841">
            <v>45886</v>
          </cell>
          <cell r="D8841" t="str">
            <v>JILANI</v>
          </cell>
          <cell r="E8841" t="str">
            <v>Bandu Khan Lahore</v>
          </cell>
        </row>
        <row r="8842">
          <cell r="A8842" t="str">
            <v>3743 J</v>
          </cell>
          <cell r="B8842">
            <v>12873</v>
          </cell>
          <cell r="C8842">
            <v>45886</v>
          </cell>
          <cell r="D8842" t="str">
            <v>JILANI</v>
          </cell>
          <cell r="E8842" t="str">
            <v>Bandu Khan Lahore</v>
          </cell>
        </row>
        <row r="8843">
          <cell r="A8843" t="str">
            <v>3744 J</v>
          </cell>
          <cell r="B8843">
            <v>12874</v>
          </cell>
          <cell r="C8843">
            <v>45886</v>
          </cell>
          <cell r="D8843" t="str">
            <v>JILANI</v>
          </cell>
          <cell r="E8843" t="str">
            <v>Bandu Khan Lahore</v>
          </cell>
        </row>
        <row r="8844">
          <cell r="A8844" t="str">
            <v>3745 J</v>
          </cell>
          <cell r="B8844">
            <v>12874</v>
          </cell>
          <cell r="C8844">
            <v>45886</v>
          </cell>
          <cell r="D8844" t="str">
            <v>JILANI</v>
          </cell>
          <cell r="E8844" t="str">
            <v>Bandu Khan Lahore</v>
          </cell>
        </row>
        <row r="8845">
          <cell r="A8845" t="str">
            <v>3746 J</v>
          </cell>
          <cell r="B8845">
            <v>12874</v>
          </cell>
          <cell r="C8845">
            <v>45886</v>
          </cell>
          <cell r="D8845" t="str">
            <v>JILANI</v>
          </cell>
          <cell r="E8845" t="str">
            <v>Bandu Khan Lahore</v>
          </cell>
        </row>
        <row r="8846">
          <cell r="A8846" t="str">
            <v>3747 J</v>
          </cell>
          <cell r="B8846">
            <v>12878</v>
          </cell>
          <cell r="C8846">
            <v>45886</v>
          </cell>
          <cell r="D8846" t="str">
            <v>JILANI</v>
          </cell>
          <cell r="E8846" t="str">
            <v>Bandu Khan Lahore</v>
          </cell>
        </row>
        <row r="8847">
          <cell r="A8847" t="str">
            <v>3748 J</v>
          </cell>
          <cell r="B8847">
            <v>12870</v>
          </cell>
          <cell r="C8847">
            <v>45886</v>
          </cell>
          <cell r="D8847" t="str">
            <v>JILANI</v>
          </cell>
          <cell r="E8847" t="str">
            <v>Cakes and Bakes Lahore</v>
          </cell>
        </row>
        <row r="8848">
          <cell r="A8848" t="str">
            <v>3749 J</v>
          </cell>
          <cell r="B8848">
            <v>12871</v>
          </cell>
          <cell r="C8848">
            <v>45887</v>
          </cell>
          <cell r="D8848" t="str">
            <v>JILANI</v>
          </cell>
          <cell r="E8848" t="str">
            <v>M K B Peshawar</v>
          </cell>
        </row>
        <row r="8849">
          <cell r="A8849" t="str">
            <v>3750 J</v>
          </cell>
          <cell r="B8849">
            <v>12872</v>
          </cell>
          <cell r="C8849">
            <v>45887</v>
          </cell>
          <cell r="D8849" t="str">
            <v>JILANI</v>
          </cell>
          <cell r="E8849" t="str">
            <v>M.K.B Peshawar</v>
          </cell>
        </row>
        <row r="8850">
          <cell r="A8850" t="str">
            <v>3751 J</v>
          </cell>
          <cell r="B8850">
            <v>12875</v>
          </cell>
          <cell r="C8850">
            <v>45887</v>
          </cell>
          <cell r="D8850" t="str">
            <v>JILANI</v>
          </cell>
          <cell r="E8850" t="str">
            <v>Alam Printers Butkhela</v>
          </cell>
        </row>
        <row r="8851">
          <cell r="A8851" t="str">
            <v>3752 J</v>
          </cell>
          <cell r="B8851">
            <v>12876</v>
          </cell>
          <cell r="C8851">
            <v>45887</v>
          </cell>
          <cell r="D8851" t="str">
            <v>JILANI</v>
          </cell>
          <cell r="E8851" t="str">
            <v>Medi Pak Lahore</v>
          </cell>
        </row>
        <row r="8852">
          <cell r="A8852" t="str">
            <v>3753 J</v>
          </cell>
          <cell r="B8852">
            <v>12877</v>
          </cell>
          <cell r="C8852">
            <v>45887</v>
          </cell>
          <cell r="D8852" t="str">
            <v>JILANI</v>
          </cell>
          <cell r="E8852" t="str">
            <v>Tauseef Butt Gujjranwala</v>
          </cell>
        </row>
        <row r="8853">
          <cell r="A8853" t="str">
            <v>3754 J</v>
          </cell>
          <cell r="B8853">
            <v>12877</v>
          </cell>
          <cell r="C8853">
            <v>45887</v>
          </cell>
          <cell r="D8853" t="str">
            <v>JILANI</v>
          </cell>
          <cell r="E8853" t="str">
            <v>Tauseef Butt Gujjranwala</v>
          </cell>
        </row>
        <row r="8854">
          <cell r="A8854" t="str">
            <v>3755 J</v>
          </cell>
          <cell r="B8854">
            <v>12877</v>
          </cell>
          <cell r="C8854">
            <v>45887</v>
          </cell>
          <cell r="D8854" t="str">
            <v>JILANI</v>
          </cell>
          <cell r="E8854" t="str">
            <v>Tauseef Butt Gujjranwala</v>
          </cell>
        </row>
        <row r="8855">
          <cell r="A8855" t="str">
            <v>3756 J</v>
          </cell>
          <cell r="B8855">
            <v>12879</v>
          </cell>
          <cell r="C8855">
            <v>45887</v>
          </cell>
          <cell r="D8855" t="str">
            <v>JILANI</v>
          </cell>
          <cell r="E8855" t="str">
            <v>Sehrish Febrics Azam Market Lahore</v>
          </cell>
        </row>
        <row r="8856">
          <cell r="A8856" t="str">
            <v>3757 J</v>
          </cell>
          <cell r="B8856">
            <v>12880</v>
          </cell>
          <cell r="C8856">
            <v>45887</v>
          </cell>
          <cell r="D8856" t="str">
            <v>JILANI</v>
          </cell>
          <cell r="E8856" t="str">
            <v xml:space="preserve">Irfan Sab Azam Market Lahore </v>
          </cell>
        </row>
        <row r="8857">
          <cell r="A8857" t="str">
            <v>3758 J</v>
          </cell>
          <cell r="B8857">
            <v>12880</v>
          </cell>
          <cell r="C8857">
            <v>45887</v>
          </cell>
          <cell r="D8857" t="str">
            <v>JILANI</v>
          </cell>
          <cell r="E8857" t="str">
            <v xml:space="preserve">Irfan Sab Azam Market Lahore </v>
          </cell>
        </row>
        <row r="8858">
          <cell r="A8858" t="str">
            <v>3759 J</v>
          </cell>
          <cell r="B8858">
            <v>12881</v>
          </cell>
          <cell r="C8858">
            <v>45887</v>
          </cell>
          <cell r="D8858" t="str">
            <v>JILANI</v>
          </cell>
          <cell r="E8858" t="str">
            <v xml:space="preserve">Moazmi Plastic Sahiwal </v>
          </cell>
        </row>
        <row r="8859">
          <cell r="A8859" t="str">
            <v>3760 J</v>
          </cell>
          <cell r="B8859">
            <v>12881</v>
          </cell>
          <cell r="C8859">
            <v>45887</v>
          </cell>
          <cell r="D8859" t="str">
            <v>JILANI</v>
          </cell>
          <cell r="E8859" t="str">
            <v xml:space="preserve">Moazmi Plastic Sahiwal </v>
          </cell>
        </row>
        <row r="8860">
          <cell r="A8860" t="str">
            <v>3761 J</v>
          </cell>
          <cell r="B8860">
            <v>12882</v>
          </cell>
          <cell r="C8860">
            <v>45887</v>
          </cell>
          <cell r="D8860" t="str">
            <v>JILANI</v>
          </cell>
          <cell r="E8860" t="str">
            <v>Alam Printers Butkhela</v>
          </cell>
        </row>
        <row r="8861">
          <cell r="A8861" t="str">
            <v>3762 J</v>
          </cell>
          <cell r="B8861">
            <v>12882</v>
          </cell>
          <cell r="C8861">
            <v>45887</v>
          </cell>
          <cell r="D8861" t="str">
            <v>JILANI</v>
          </cell>
          <cell r="E8861" t="str">
            <v>Alam Printers Butkhela</v>
          </cell>
        </row>
        <row r="8862">
          <cell r="A8862" t="str">
            <v>3763 J</v>
          </cell>
          <cell r="B8862">
            <v>12883</v>
          </cell>
          <cell r="C8862">
            <v>45887</v>
          </cell>
          <cell r="D8862" t="str">
            <v>JILANI</v>
          </cell>
          <cell r="E8862" t="str">
            <v>Waseem Shoper House Lahore</v>
          </cell>
        </row>
        <row r="8863">
          <cell r="A8863" t="str">
            <v>3764 J</v>
          </cell>
          <cell r="B8863">
            <v>12883</v>
          </cell>
          <cell r="C8863">
            <v>45887</v>
          </cell>
          <cell r="D8863" t="str">
            <v>JILANI</v>
          </cell>
          <cell r="E8863" t="str">
            <v>Waseem Shoper House Lahore</v>
          </cell>
        </row>
        <row r="8864">
          <cell r="A8864" t="str">
            <v>3765 J</v>
          </cell>
          <cell r="B8864">
            <v>12884</v>
          </cell>
          <cell r="C8864">
            <v>45887</v>
          </cell>
          <cell r="D8864" t="str">
            <v>JILANI</v>
          </cell>
          <cell r="E8864" t="str">
            <v>Alam Printers Butkhela</v>
          </cell>
        </row>
        <row r="8865">
          <cell r="A8865" t="str">
            <v>3766 J</v>
          </cell>
          <cell r="B8865">
            <v>12885</v>
          </cell>
          <cell r="C8865">
            <v>45887</v>
          </cell>
          <cell r="D8865" t="str">
            <v>JILANI</v>
          </cell>
          <cell r="E8865" t="str">
            <v>Zaiqa Bryani Lahore</v>
          </cell>
        </row>
        <row r="8866">
          <cell r="A8866" t="str">
            <v>3767 J</v>
          </cell>
          <cell r="B8866">
            <v>12886</v>
          </cell>
          <cell r="C8866">
            <v>45888</v>
          </cell>
          <cell r="D8866" t="str">
            <v>JILANI</v>
          </cell>
          <cell r="E8866" t="str">
            <v>Polo Hosiery Gujranwala</v>
          </cell>
        </row>
        <row r="8867">
          <cell r="A8867" t="str">
            <v>3768 J</v>
          </cell>
          <cell r="B8867">
            <v>12886</v>
          </cell>
          <cell r="C8867">
            <v>45888</v>
          </cell>
          <cell r="D8867" t="str">
            <v>JILANI</v>
          </cell>
          <cell r="E8867" t="str">
            <v>Polo Hosiery Gujranwala</v>
          </cell>
        </row>
        <row r="8868">
          <cell r="A8868" t="str">
            <v>3769 J</v>
          </cell>
          <cell r="B8868">
            <v>12887</v>
          </cell>
          <cell r="C8868">
            <v>45888</v>
          </cell>
          <cell r="D8868" t="str">
            <v>JILANI</v>
          </cell>
          <cell r="E8868" t="str">
            <v>Wazir Suitting Center Lahore</v>
          </cell>
        </row>
        <row r="8869">
          <cell r="A8869" t="str">
            <v>3770 J</v>
          </cell>
          <cell r="B8869">
            <v>12888</v>
          </cell>
          <cell r="C8869">
            <v>45888</v>
          </cell>
          <cell r="D8869" t="str">
            <v>JILANI</v>
          </cell>
          <cell r="E8869" t="str">
            <v>Wazir Suitting Center Lahore</v>
          </cell>
        </row>
        <row r="8870">
          <cell r="A8870" t="str">
            <v>3771 J</v>
          </cell>
          <cell r="B8870">
            <v>12889</v>
          </cell>
          <cell r="C8870">
            <v>45888</v>
          </cell>
          <cell r="D8870" t="str">
            <v>JILANI</v>
          </cell>
          <cell r="E8870" t="str">
            <v>Afford Super Market Layyah</v>
          </cell>
        </row>
        <row r="8871">
          <cell r="A8871" t="str">
            <v>3772 J</v>
          </cell>
          <cell r="B8871">
            <v>12889</v>
          </cell>
          <cell r="C8871">
            <v>45888</v>
          </cell>
          <cell r="D8871" t="str">
            <v>JILANI</v>
          </cell>
          <cell r="E8871" t="str">
            <v>Afford Super Market Layyah</v>
          </cell>
        </row>
        <row r="8872">
          <cell r="A8872" t="str">
            <v>3773 J</v>
          </cell>
          <cell r="B8872">
            <v>12889</v>
          </cell>
          <cell r="C8872">
            <v>45888</v>
          </cell>
          <cell r="D8872" t="str">
            <v>JILANI</v>
          </cell>
          <cell r="E8872" t="str">
            <v>Afford Super Market Layyah</v>
          </cell>
        </row>
        <row r="8873">
          <cell r="A8873" t="str">
            <v>3774 J</v>
          </cell>
          <cell r="B8873">
            <v>12889</v>
          </cell>
          <cell r="C8873">
            <v>45888</v>
          </cell>
          <cell r="D8873" t="str">
            <v>JILANI</v>
          </cell>
          <cell r="E8873" t="str">
            <v>Afford Super Market Layyah</v>
          </cell>
        </row>
        <row r="8874">
          <cell r="A8874" t="str">
            <v>3775 J</v>
          </cell>
          <cell r="B8874">
            <v>12890</v>
          </cell>
          <cell r="C8874">
            <v>45888</v>
          </cell>
          <cell r="D8874" t="str">
            <v>JILANI</v>
          </cell>
          <cell r="E8874" t="str">
            <v>Nimir Chemicoats Limited Kharian Wala</v>
          </cell>
        </row>
        <row r="8875">
          <cell r="A8875" t="str">
            <v>2002 F</v>
          </cell>
          <cell r="B8875"/>
          <cell r="C8875">
            <v>45881</v>
          </cell>
          <cell r="D8875" t="str">
            <v>Fina</v>
          </cell>
          <cell r="E8875" t="str">
            <v>Usman Amin</v>
          </cell>
        </row>
        <row r="8876">
          <cell r="A8876" t="str">
            <v>2003 F</v>
          </cell>
          <cell r="B8876"/>
          <cell r="C8876">
            <v>45884</v>
          </cell>
          <cell r="D8876" t="str">
            <v>Fina</v>
          </cell>
          <cell r="E8876" t="str">
            <v>Usman Amin</v>
          </cell>
        </row>
        <row r="8877">
          <cell r="A8877" t="str">
            <v>2004 F</v>
          </cell>
          <cell r="B8877"/>
          <cell r="C8877">
            <v>45884</v>
          </cell>
          <cell r="D8877" t="str">
            <v>Fina</v>
          </cell>
          <cell r="E8877" t="str">
            <v>Usman Amin</v>
          </cell>
        </row>
        <row r="8878">
          <cell r="A8878" t="str">
            <v>2005 F</v>
          </cell>
          <cell r="B8878"/>
          <cell r="C8878">
            <v>45884</v>
          </cell>
          <cell r="D8878" t="str">
            <v>Fina</v>
          </cell>
          <cell r="E8878" t="str">
            <v>Usman Amin</v>
          </cell>
        </row>
        <row r="8879">
          <cell r="A8879" t="str">
            <v>2006 F</v>
          </cell>
          <cell r="B8879"/>
          <cell r="C8879">
            <v>45885</v>
          </cell>
          <cell r="D8879" t="str">
            <v>Fina</v>
          </cell>
          <cell r="E8879" t="str">
            <v>Usman Amin</v>
          </cell>
        </row>
        <row r="8880">
          <cell r="A8880" t="str">
            <v>2007 F</v>
          </cell>
          <cell r="B8880"/>
          <cell r="C8880">
            <v>45885</v>
          </cell>
          <cell r="D8880" t="str">
            <v>Fina</v>
          </cell>
          <cell r="E8880" t="str">
            <v>Usman Amin</v>
          </cell>
        </row>
        <row r="8881">
          <cell r="A8881" t="str">
            <v>2008 F</v>
          </cell>
          <cell r="B8881"/>
          <cell r="C8881">
            <v>45887</v>
          </cell>
          <cell r="D8881" t="str">
            <v>Fina</v>
          </cell>
          <cell r="E8881" t="str">
            <v>Usman Amin</v>
          </cell>
        </row>
        <row r="8882">
          <cell r="A8882" t="str">
            <v>2009 F</v>
          </cell>
          <cell r="B8882"/>
          <cell r="C8882">
            <v>45887</v>
          </cell>
          <cell r="D8882" t="str">
            <v>Fina</v>
          </cell>
          <cell r="E8882" t="str">
            <v>Usman Amin</v>
          </cell>
        </row>
        <row r="8883">
          <cell r="A8883" t="str">
            <v>2010 F</v>
          </cell>
          <cell r="B8883"/>
          <cell r="C8883">
            <v>45887</v>
          </cell>
          <cell r="D8883" t="str">
            <v>Fina</v>
          </cell>
          <cell r="E8883" t="str">
            <v>Usman Amin</v>
          </cell>
        </row>
        <row r="8884">
          <cell r="A8884" t="str">
            <v>2011 F</v>
          </cell>
          <cell r="B8884"/>
          <cell r="C8884">
            <v>45887</v>
          </cell>
          <cell r="D8884" t="str">
            <v>Fina</v>
          </cell>
          <cell r="E8884" t="str">
            <v>Usman Amin</v>
          </cell>
        </row>
        <row r="8885">
          <cell r="A8885" t="str">
            <v>2012 f</v>
          </cell>
          <cell r="B8885"/>
          <cell r="C8885">
            <v>45887</v>
          </cell>
          <cell r="D8885" t="str">
            <v>Fina</v>
          </cell>
          <cell r="E8885" t="str">
            <v>Usman Amin</v>
          </cell>
        </row>
        <row r="8886">
          <cell r="A8886" t="str">
            <v>2013 f</v>
          </cell>
          <cell r="B8886"/>
          <cell r="C8886">
            <v>45887</v>
          </cell>
          <cell r="D8886" t="str">
            <v>Fina</v>
          </cell>
          <cell r="E8886" t="str">
            <v>Usman Amin</v>
          </cell>
        </row>
        <row r="8887">
          <cell r="A8887" t="str">
            <v>7190/1</v>
          </cell>
          <cell r="B8887">
            <v>7190</v>
          </cell>
          <cell r="C8887">
            <v>45888</v>
          </cell>
          <cell r="D8887" t="str">
            <v>یونس صاحب</v>
          </cell>
          <cell r="E8887" t="str">
            <v>فوڈ سٹار ٹریڈرز</v>
          </cell>
        </row>
        <row r="8888">
          <cell r="A8888" t="str">
            <v>7191/1</v>
          </cell>
          <cell r="B8888">
            <v>7191</v>
          </cell>
          <cell r="C8888">
            <v>45888</v>
          </cell>
          <cell r="D8888" t="str">
            <v>یونس صاحب</v>
          </cell>
          <cell r="E8888" t="str">
            <v>العمر پلاسٹک گوجرانوالہ</v>
          </cell>
        </row>
        <row r="8889">
          <cell r="A8889" t="str">
            <v>7191/2</v>
          </cell>
          <cell r="B8889">
            <v>7191</v>
          </cell>
          <cell r="C8889">
            <v>45888</v>
          </cell>
          <cell r="D8889" t="str">
            <v>یونس صاحب</v>
          </cell>
          <cell r="E8889" t="str">
            <v>العمر پلاسٹک گوجرانوالہ</v>
          </cell>
        </row>
        <row r="8890">
          <cell r="A8890" t="str">
            <v>7191/3</v>
          </cell>
          <cell r="B8890">
            <v>7191</v>
          </cell>
          <cell r="C8890">
            <v>45888</v>
          </cell>
          <cell r="D8890" t="str">
            <v>یونس صاحب</v>
          </cell>
          <cell r="E8890" t="str">
            <v>العمر پلاسٹک گوجرانوالہ</v>
          </cell>
        </row>
        <row r="8891">
          <cell r="A8891" t="str">
            <v>7191/4</v>
          </cell>
          <cell r="B8891">
            <v>7191</v>
          </cell>
          <cell r="C8891">
            <v>45888</v>
          </cell>
          <cell r="D8891" t="str">
            <v>یونس صاحب</v>
          </cell>
          <cell r="E8891" t="str">
            <v>العمر پلاسٹک گوجرانوالہ</v>
          </cell>
        </row>
        <row r="8892">
          <cell r="A8892" t="str">
            <v>7191/5</v>
          </cell>
          <cell r="B8892">
            <v>7191</v>
          </cell>
          <cell r="C8892">
            <v>45888</v>
          </cell>
          <cell r="D8892" t="str">
            <v>یونس صاحب</v>
          </cell>
          <cell r="E8892" t="str">
            <v>العمر پلاسٹک گوجرانوالہ</v>
          </cell>
        </row>
        <row r="8893">
          <cell r="A8893" t="str">
            <v>7192/1</v>
          </cell>
          <cell r="B8893">
            <v>7192</v>
          </cell>
          <cell r="C8893">
            <v>45888</v>
          </cell>
          <cell r="D8893" t="str">
            <v>یونس صاحب</v>
          </cell>
          <cell r="E8893" t="str">
            <v>ریفلیکٹ پیک لاہور</v>
          </cell>
        </row>
        <row r="8894">
          <cell r="A8894" t="str">
            <v>7193/1</v>
          </cell>
          <cell r="B8894">
            <v>7193</v>
          </cell>
          <cell r="C8894">
            <v>45888</v>
          </cell>
          <cell r="D8894" t="str">
            <v>یونس صاحب</v>
          </cell>
          <cell r="E8894" t="str">
            <v>محبوب مقبول گوجرانوالہ</v>
          </cell>
        </row>
        <row r="8895">
          <cell r="A8895" t="str">
            <v>7194/1</v>
          </cell>
          <cell r="B8895">
            <v>7194</v>
          </cell>
          <cell r="C8895">
            <v>45888</v>
          </cell>
          <cell r="D8895" t="str">
            <v>یونس صاحب</v>
          </cell>
          <cell r="E8895" t="str">
            <v>ایم عمران پاکستان مارکیٹ</v>
          </cell>
        </row>
        <row r="8896">
          <cell r="A8896" t="str">
            <v>7194/2</v>
          </cell>
          <cell r="B8896">
            <v>7194</v>
          </cell>
          <cell r="C8896">
            <v>45888</v>
          </cell>
          <cell r="D8896" t="str">
            <v>یونس صاحب</v>
          </cell>
          <cell r="E8896" t="str">
            <v>ایم عمران پاکستان مارکیٹ</v>
          </cell>
        </row>
        <row r="8897">
          <cell r="A8897" t="str">
            <v>7194/3</v>
          </cell>
          <cell r="B8897">
            <v>7194</v>
          </cell>
          <cell r="C8897">
            <v>45888</v>
          </cell>
          <cell r="D8897" t="str">
            <v>یونس صاحب</v>
          </cell>
          <cell r="E8897" t="str">
            <v>ایم عمران پاکستان مارکیٹ</v>
          </cell>
        </row>
        <row r="8898">
          <cell r="A8898" t="str">
            <v>7194/4</v>
          </cell>
          <cell r="B8898">
            <v>7194</v>
          </cell>
          <cell r="C8898">
            <v>45888</v>
          </cell>
          <cell r="D8898" t="str">
            <v>یونس صاحب</v>
          </cell>
          <cell r="E8898" t="str">
            <v>ایم عمران پاکستان مارکیٹ</v>
          </cell>
        </row>
        <row r="8899">
          <cell r="A8899" t="str">
            <v>7194/5</v>
          </cell>
          <cell r="B8899">
            <v>7194</v>
          </cell>
          <cell r="C8899">
            <v>45888</v>
          </cell>
          <cell r="D8899" t="str">
            <v>یونس صاحب</v>
          </cell>
          <cell r="E8899" t="str">
            <v>ایم عمران پاکستان مارکیٹ</v>
          </cell>
        </row>
        <row r="8900">
          <cell r="A8900" t="str">
            <v>7194/6</v>
          </cell>
          <cell r="B8900">
            <v>7194</v>
          </cell>
          <cell r="C8900">
            <v>45888</v>
          </cell>
          <cell r="D8900" t="str">
            <v>یونس صاحب</v>
          </cell>
          <cell r="E8900" t="str">
            <v>ایم عمران پاکستان مارکیٹ</v>
          </cell>
        </row>
        <row r="8901">
          <cell r="A8901" t="str">
            <v>7194/7</v>
          </cell>
          <cell r="B8901">
            <v>7194</v>
          </cell>
          <cell r="C8901">
            <v>45888</v>
          </cell>
          <cell r="D8901" t="str">
            <v>یونس صاحب</v>
          </cell>
          <cell r="E8901" t="str">
            <v>ایم عمران پاکستان مارکیٹ</v>
          </cell>
        </row>
        <row r="8902">
          <cell r="A8902" t="str">
            <v>7194/8</v>
          </cell>
          <cell r="B8902">
            <v>7194</v>
          </cell>
          <cell r="C8902">
            <v>45888</v>
          </cell>
          <cell r="D8902" t="str">
            <v>یونس صاحب</v>
          </cell>
          <cell r="E8902" t="str">
            <v>ایم عمران پاکستان مارکیٹ</v>
          </cell>
        </row>
        <row r="8903">
          <cell r="A8903" t="str">
            <v>7194/9</v>
          </cell>
          <cell r="B8903">
            <v>7194</v>
          </cell>
          <cell r="C8903">
            <v>45888</v>
          </cell>
          <cell r="D8903" t="str">
            <v>یونس صاحب</v>
          </cell>
          <cell r="E8903" t="str">
            <v>ایم عمران پاکستان مارکیٹ</v>
          </cell>
        </row>
        <row r="8904">
          <cell r="A8904" t="str">
            <v>7194/10</v>
          </cell>
          <cell r="B8904">
            <v>7194</v>
          </cell>
          <cell r="C8904">
            <v>45888</v>
          </cell>
          <cell r="D8904" t="str">
            <v>یونس صاحب</v>
          </cell>
          <cell r="E8904" t="str">
            <v>ایم عمران پاکستان مارکیٹ</v>
          </cell>
        </row>
        <row r="8905">
          <cell r="A8905" t="str">
            <v>7195/1</v>
          </cell>
          <cell r="B8905">
            <v>7195</v>
          </cell>
          <cell r="C8905">
            <v>45889</v>
          </cell>
          <cell r="D8905" t="str">
            <v>یونس صاحب</v>
          </cell>
          <cell r="E8905" t="str">
            <v>اصف پلاسٹک سرگودھا</v>
          </cell>
        </row>
        <row r="8906">
          <cell r="A8906" t="str">
            <v>7195/2</v>
          </cell>
          <cell r="B8906">
            <v>7195</v>
          </cell>
          <cell r="C8906">
            <v>45889</v>
          </cell>
          <cell r="D8906" t="str">
            <v>یونس صاحب</v>
          </cell>
          <cell r="E8906" t="str">
            <v>اصف پلاسٹک سرگودھا</v>
          </cell>
        </row>
        <row r="8907">
          <cell r="A8907" t="str">
            <v>7195/3</v>
          </cell>
          <cell r="B8907">
            <v>7195</v>
          </cell>
          <cell r="C8907">
            <v>45889</v>
          </cell>
          <cell r="D8907" t="str">
            <v>یونس صاحب</v>
          </cell>
          <cell r="E8907" t="str">
            <v>اصف پلاسٹک سرگودھا</v>
          </cell>
        </row>
        <row r="8908">
          <cell r="A8908" t="str">
            <v>7196/1</v>
          </cell>
          <cell r="B8908">
            <v>7196</v>
          </cell>
          <cell r="C8908">
            <v>45889</v>
          </cell>
          <cell r="D8908" t="str">
            <v>یونس صاحب</v>
          </cell>
          <cell r="E8908" t="str">
            <v>عظیم ٹوائز لاہور</v>
          </cell>
        </row>
        <row r="8909">
          <cell r="A8909" t="str">
            <v>7196/2</v>
          </cell>
          <cell r="B8909">
            <v>7196</v>
          </cell>
          <cell r="C8909">
            <v>45889</v>
          </cell>
          <cell r="D8909" t="str">
            <v>یونس صاحب</v>
          </cell>
          <cell r="E8909" t="str">
            <v>عظیم ٹوائز لاہور</v>
          </cell>
        </row>
        <row r="8910">
          <cell r="A8910" t="str">
            <v>7197/1</v>
          </cell>
          <cell r="B8910">
            <v>7197</v>
          </cell>
          <cell r="C8910">
            <v>45889</v>
          </cell>
          <cell r="D8910" t="str">
            <v>یونس صاحب</v>
          </cell>
          <cell r="E8910" t="str">
            <v>نادر پلاسٹک سرگودھا</v>
          </cell>
        </row>
        <row r="8911">
          <cell r="A8911" t="str">
            <v>7197/2</v>
          </cell>
          <cell r="B8911">
            <v>7197</v>
          </cell>
          <cell r="C8911">
            <v>45889</v>
          </cell>
          <cell r="D8911" t="str">
            <v>یونس صاحب</v>
          </cell>
          <cell r="E8911" t="str">
            <v>نادر پلاسٹک سرگودھا</v>
          </cell>
        </row>
        <row r="8912">
          <cell r="A8912" t="str">
            <v>7197/3</v>
          </cell>
          <cell r="B8912">
            <v>7197</v>
          </cell>
          <cell r="C8912">
            <v>45889</v>
          </cell>
          <cell r="D8912" t="str">
            <v>یونس صاحب</v>
          </cell>
          <cell r="E8912" t="str">
            <v>نادر پلاسٹک سرگودھا</v>
          </cell>
        </row>
        <row r="8913">
          <cell r="A8913" t="str">
            <v>7197/4</v>
          </cell>
          <cell r="B8913">
            <v>7197</v>
          </cell>
          <cell r="C8913">
            <v>45889</v>
          </cell>
          <cell r="D8913" t="str">
            <v>یونس صاحب</v>
          </cell>
          <cell r="E8913" t="str">
            <v>نادر پلاسٹک سرگودھا</v>
          </cell>
        </row>
        <row r="8914">
          <cell r="A8914" t="str">
            <v>7197/5</v>
          </cell>
          <cell r="B8914">
            <v>7197</v>
          </cell>
          <cell r="C8914">
            <v>45889</v>
          </cell>
          <cell r="D8914" t="str">
            <v>یونس صاحب</v>
          </cell>
          <cell r="E8914" t="str">
            <v>نادر پلاسٹک سرگودھا</v>
          </cell>
        </row>
        <row r="8915">
          <cell r="A8915" t="str">
            <v>7197/6</v>
          </cell>
          <cell r="B8915">
            <v>7197</v>
          </cell>
          <cell r="C8915">
            <v>45889</v>
          </cell>
          <cell r="D8915" t="str">
            <v>یونس صاحب</v>
          </cell>
          <cell r="E8915" t="str">
            <v>نادر پلاسٹک سرگودھا</v>
          </cell>
        </row>
        <row r="8916">
          <cell r="A8916" t="str">
            <v>7197/7</v>
          </cell>
          <cell r="B8916">
            <v>7197</v>
          </cell>
          <cell r="C8916">
            <v>45889</v>
          </cell>
          <cell r="D8916" t="str">
            <v>یونس صاحب</v>
          </cell>
          <cell r="E8916" t="str">
            <v>نادر پلاسٹک سرگودھا</v>
          </cell>
        </row>
        <row r="8917">
          <cell r="A8917" t="str">
            <v>7197/8</v>
          </cell>
          <cell r="B8917">
            <v>7197</v>
          </cell>
          <cell r="C8917">
            <v>45889</v>
          </cell>
          <cell r="D8917" t="str">
            <v>یونس صاحب</v>
          </cell>
          <cell r="E8917" t="str">
            <v>نادر پلاسٹک سرگودھا</v>
          </cell>
        </row>
        <row r="8918">
          <cell r="A8918" t="str">
            <v>7197/9</v>
          </cell>
          <cell r="B8918">
            <v>7197</v>
          </cell>
          <cell r="C8918">
            <v>45889</v>
          </cell>
          <cell r="D8918" t="str">
            <v>یونس صاحب</v>
          </cell>
          <cell r="E8918" t="str">
            <v>نادر پلاسٹک سرگودھا</v>
          </cell>
        </row>
        <row r="8919">
          <cell r="A8919" t="str">
            <v>7197/10</v>
          </cell>
          <cell r="B8919">
            <v>7197</v>
          </cell>
          <cell r="C8919">
            <v>45889</v>
          </cell>
          <cell r="D8919" t="str">
            <v>یونس صاحب</v>
          </cell>
          <cell r="E8919" t="str">
            <v>نادر پلاسٹک سرگودھا</v>
          </cell>
        </row>
        <row r="8920">
          <cell r="A8920" t="str">
            <v>7197/11</v>
          </cell>
          <cell r="B8920">
            <v>7197</v>
          </cell>
          <cell r="C8920">
            <v>45889</v>
          </cell>
          <cell r="D8920" t="str">
            <v>یونس صاحب</v>
          </cell>
          <cell r="E8920" t="str">
            <v>نادر پلاسٹک سرگودھا</v>
          </cell>
        </row>
        <row r="8921">
          <cell r="A8921" t="str">
            <v>7198/1</v>
          </cell>
          <cell r="B8921">
            <v>7198</v>
          </cell>
          <cell r="C8921">
            <v>45889</v>
          </cell>
          <cell r="D8921" t="str">
            <v>یونس صاحب</v>
          </cell>
          <cell r="E8921" t="str">
            <v xml:space="preserve">احمد ناروعی جہلم </v>
          </cell>
        </row>
        <row r="8922">
          <cell r="A8922" t="str">
            <v>7198/2</v>
          </cell>
          <cell r="B8922">
            <v>7198</v>
          </cell>
          <cell r="C8922">
            <v>45889</v>
          </cell>
          <cell r="D8922" t="str">
            <v>یونس صاحب</v>
          </cell>
          <cell r="E8922" t="str">
            <v xml:space="preserve">احمد ناروعی جہلم </v>
          </cell>
        </row>
        <row r="8923">
          <cell r="A8923" t="str">
            <v>7199/1</v>
          </cell>
          <cell r="B8923">
            <v>7199</v>
          </cell>
          <cell r="C8923">
            <v>45889</v>
          </cell>
          <cell r="D8923" t="str">
            <v>یونس صاحب</v>
          </cell>
          <cell r="E8923" t="str">
            <v>العمر پلاسٹک گوجرانوالہ</v>
          </cell>
        </row>
        <row r="8924">
          <cell r="A8924" t="str">
            <v>7199/2</v>
          </cell>
          <cell r="B8924">
            <v>7199</v>
          </cell>
          <cell r="C8924">
            <v>45889</v>
          </cell>
          <cell r="D8924" t="str">
            <v>یونس صاحب</v>
          </cell>
          <cell r="E8924" t="str">
            <v>العمر پلاسٹک گوجرانوالہ</v>
          </cell>
        </row>
        <row r="8925">
          <cell r="A8925" t="str">
            <v>7200/1</v>
          </cell>
          <cell r="B8925">
            <v>7200</v>
          </cell>
          <cell r="C8925">
            <v>45889</v>
          </cell>
          <cell r="D8925" t="str">
            <v>یونس صاحب</v>
          </cell>
          <cell r="E8925" t="str">
            <v>ایم دین پنڈی</v>
          </cell>
        </row>
        <row r="8926">
          <cell r="A8926" t="str">
            <v>7201/1</v>
          </cell>
          <cell r="B8926">
            <v>7201</v>
          </cell>
          <cell r="C8926">
            <v>45889</v>
          </cell>
          <cell r="D8926" t="str">
            <v>یونس صاحب</v>
          </cell>
          <cell r="E8926" t="str">
            <v>گوڈ  لک شوز  سگیا پل</v>
          </cell>
        </row>
        <row r="8927">
          <cell r="A8927" t="str">
            <v>7202/1</v>
          </cell>
          <cell r="B8927">
            <v>7202</v>
          </cell>
          <cell r="C8927">
            <v>45889</v>
          </cell>
          <cell r="D8927" t="str">
            <v>یونس صاحب</v>
          </cell>
          <cell r="E8927" t="str">
            <v>ہیڈ افس سٹاک لاہور</v>
          </cell>
        </row>
        <row r="8928">
          <cell r="A8928" t="str">
            <v>7202/2</v>
          </cell>
          <cell r="B8928">
            <v>7202</v>
          </cell>
          <cell r="C8928">
            <v>45889</v>
          </cell>
          <cell r="D8928" t="str">
            <v>یونس صاحب</v>
          </cell>
          <cell r="E8928" t="str">
            <v>ہیڈ افس سٹاک لاہور</v>
          </cell>
        </row>
        <row r="8929">
          <cell r="A8929" t="str">
            <v>7202/3</v>
          </cell>
          <cell r="B8929">
            <v>7202</v>
          </cell>
          <cell r="C8929">
            <v>45889</v>
          </cell>
          <cell r="D8929" t="str">
            <v>یونس صاحب</v>
          </cell>
          <cell r="E8929" t="str">
            <v>ہیڈ افس سٹاک لاہور</v>
          </cell>
        </row>
        <row r="8930">
          <cell r="A8930" t="str">
            <v>7202/4</v>
          </cell>
          <cell r="B8930">
            <v>7202</v>
          </cell>
          <cell r="C8930">
            <v>45889</v>
          </cell>
          <cell r="D8930" t="str">
            <v>یونس صاحب</v>
          </cell>
          <cell r="E8930" t="str">
            <v>ہیڈ افس سٹاک لاہور</v>
          </cell>
        </row>
        <row r="8931">
          <cell r="A8931" t="str">
            <v>7202/5</v>
          </cell>
          <cell r="B8931">
            <v>7202</v>
          </cell>
          <cell r="C8931">
            <v>45889</v>
          </cell>
          <cell r="D8931" t="str">
            <v>یونس صاحب</v>
          </cell>
          <cell r="E8931" t="str">
            <v>ہیڈ افس سٹاک لاہور</v>
          </cell>
        </row>
        <row r="8932">
          <cell r="A8932" t="str">
            <v>7202/6</v>
          </cell>
          <cell r="B8932">
            <v>7202</v>
          </cell>
          <cell r="C8932">
            <v>45889</v>
          </cell>
          <cell r="D8932" t="str">
            <v>یونس صاحب</v>
          </cell>
          <cell r="E8932" t="str">
            <v>ہیڈ افس سٹاک لاہور</v>
          </cell>
        </row>
        <row r="8933">
          <cell r="A8933" t="str">
            <v>7202/7</v>
          </cell>
          <cell r="B8933">
            <v>7202</v>
          </cell>
          <cell r="C8933">
            <v>45889</v>
          </cell>
          <cell r="D8933" t="str">
            <v>یونس صاحب</v>
          </cell>
          <cell r="E8933" t="str">
            <v>ہیڈ افس سٹاک لاہور</v>
          </cell>
        </row>
        <row r="8934">
          <cell r="A8934" t="str">
            <v>7202/8</v>
          </cell>
          <cell r="B8934">
            <v>7202</v>
          </cell>
          <cell r="C8934">
            <v>45889</v>
          </cell>
          <cell r="D8934" t="str">
            <v>یونس صاحب</v>
          </cell>
          <cell r="E8934" t="str">
            <v>ہیڈ افس سٹاک لاہور</v>
          </cell>
        </row>
        <row r="8935">
          <cell r="A8935" t="str">
            <v>7202/9</v>
          </cell>
          <cell r="B8935">
            <v>7202</v>
          </cell>
          <cell r="C8935">
            <v>45889</v>
          </cell>
          <cell r="D8935" t="str">
            <v>یونس صاحب</v>
          </cell>
          <cell r="E8935" t="str">
            <v>ہیڈ افس سٹاک لاہور</v>
          </cell>
        </row>
        <row r="8936">
          <cell r="A8936" t="str">
            <v>7202/10</v>
          </cell>
          <cell r="B8936">
            <v>7202</v>
          </cell>
          <cell r="C8936">
            <v>45889</v>
          </cell>
          <cell r="D8936" t="str">
            <v>یونس صاحب</v>
          </cell>
          <cell r="E8936" t="str">
            <v>ہیڈ افس سٹاک لاہور</v>
          </cell>
        </row>
        <row r="8937">
          <cell r="A8937" t="str">
            <v>7202/11</v>
          </cell>
          <cell r="B8937">
            <v>7202</v>
          </cell>
          <cell r="C8937">
            <v>45889</v>
          </cell>
          <cell r="D8937" t="str">
            <v>یونس صاحب</v>
          </cell>
          <cell r="E8937" t="str">
            <v>ہیڈ افس سٹاک لاہور</v>
          </cell>
        </row>
        <row r="8938">
          <cell r="A8938" t="str">
            <v>7202/12</v>
          </cell>
          <cell r="B8938">
            <v>7202</v>
          </cell>
          <cell r="C8938">
            <v>45889</v>
          </cell>
          <cell r="D8938" t="str">
            <v>یونس صاحب</v>
          </cell>
          <cell r="E8938" t="str">
            <v>ہیڈ افس سٹاک لاہور</v>
          </cell>
        </row>
        <row r="8939">
          <cell r="A8939" t="str">
            <v>7203/1</v>
          </cell>
          <cell r="B8939">
            <v>7203</v>
          </cell>
          <cell r="C8939">
            <v>45889</v>
          </cell>
          <cell r="D8939" t="str">
            <v>یونس صاحب</v>
          </cell>
          <cell r="E8939" t="str">
            <v>فضل سعید صادق اباد</v>
          </cell>
        </row>
        <row r="8940">
          <cell r="A8940" t="str">
            <v>7203/2</v>
          </cell>
          <cell r="B8940">
            <v>7203</v>
          </cell>
          <cell r="C8940">
            <v>45889</v>
          </cell>
          <cell r="D8940" t="str">
            <v>یونس صاحب</v>
          </cell>
          <cell r="E8940" t="str">
            <v>فضل سعید صادق اباد</v>
          </cell>
        </row>
        <row r="8941">
          <cell r="A8941" t="str">
            <v>7203/3</v>
          </cell>
          <cell r="B8941">
            <v>7203</v>
          </cell>
          <cell r="C8941">
            <v>45889</v>
          </cell>
          <cell r="D8941" t="str">
            <v>یونس صاحب</v>
          </cell>
          <cell r="E8941" t="str">
            <v>فضل سعید صادق اباد</v>
          </cell>
        </row>
        <row r="8942">
          <cell r="A8942" t="str">
            <v>7203/4</v>
          </cell>
          <cell r="B8942">
            <v>7203</v>
          </cell>
          <cell r="C8942">
            <v>45889</v>
          </cell>
          <cell r="D8942" t="str">
            <v>یونس صاحب</v>
          </cell>
          <cell r="E8942" t="str">
            <v>فضل سعید صادق اباد</v>
          </cell>
        </row>
        <row r="8943">
          <cell r="A8943" t="str">
            <v>7203/5</v>
          </cell>
          <cell r="B8943">
            <v>7203</v>
          </cell>
          <cell r="C8943">
            <v>45889</v>
          </cell>
          <cell r="D8943" t="str">
            <v>یونس صاحب</v>
          </cell>
          <cell r="E8943" t="str">
            <v>فضل سعید صادق اباد</v>
          </cell>
        </row>
        <row r="8944">
          <cell r="A8944" t="str">
            <v>7203/6</v>
          </cell>
          <cell r="B8944">
            <v>7203</v>
          </cell>
          <cell r="C8944">
            <v>45889</v>
          </cell>
          <cell r="D8944" t="str">
            <v>یونس صاحب</v>
          </cell>
          <cell r="E8944" t="str">
            <v>فضل سعید صادق اباد</v>
          </cell>
        </row>
        <row r="8945">
          <cell r="A8945" t="str">
            <v>7203/7</v>
          </cell>
          <cell r="B8945">
            <v>7203</v>
          </cell>
          <cell r="C8945">
            <v>45889</v>
          </cell>
          <cell r="D8945" t="str">
            <v>یونس صاحب</v>
          </cell>
          <cell r="E8945" t="str">
            <v>فضل سعید صادق اباد</v>
          </cell>
        </row>
        <row r="8946">
          <cell r="A8946" t="str">
            <v>7203/8</v>
          </cell>
          <cell r="B8946">
            <v>7203</v>
          </cell>
          <cell r="C8946">
            <v>45889</v>
          </cell>
          <cell r="D8946" t="str">
            <v>یونس صاحب</v>
          </cell>
          <cell r="E8946" t="str">
            <v>فضل سعید صادق اباد</v>
          </cell>
        </row>
        <row r="8947">
          <cell r="A8947" t="str">
            <v>7203/9</v>
          </cell>
          <cell r="B8947">
            <v>7203</v>
          </cell>
          <cell r="C8947">
            <v>45889</v>
          </cell>
          <cell r="D8947" t="str">
            <v>یونس صاحب</v>
          </cell>
          <cell r="E8947" t="str">
            <v>فضل سعید صادق اباد</v>
          </cell>
        </row>
        <row r="8948">
          <cell r="A8948" t="str">
            <v>7203/10</v>
          </cell>
          <cell r="B8948">
            <v>7203</v>
          </cell>
          <cell r="C8948">
            <v>45889</v>
          </cell>
          <cell r="D8948" t="str">
            <v>یونس صاحب</v>
          </cell>
          <cell r="E8948" t="str">
            <v>فضل سعید صادق اباد</v>
          </cell>
        </row>
        <row r="8949">
          <cell r="A8949" t="str">
            <v>7203/11</v>
          </cell>
          <cell r="B8949">
            <v>7203</v>
          </cell>
          <cell r="C8949">
            <v>45889</v>
          </cell>
          <cell r="D8949" t="str">
            <v>یونس صاحب</v>
          </cell>
          <cell r="E8949" t="str">
            <v>فضل سعید صادق اباد</v>
          </cell>
        </row>
        <row r="8950">
          <cell r="A8950" t="str">
            <v>7203/12</v>
          </cell>
          <cell r="B8950">
            <v>7203</v>
          </cell>
          <cell r="C8950">
            <v>45889</v>
          </cell>
          <cell r="D8950" t="str">
            <v>یونس صاحب</v>
          </cell>
          <cell r="E8950" t="str">
            <v>فضل سعید صادق اباد</v>
          </cell>
        </row>
        <row r="8951">
          <cell r="A8951" t="str">
            <v>7203/13</v>
          </cell>
          <cell r="B8951">
            <v>7203</v>
          </cell>
          <cell r="C8951">
            <v>45889</v>
          </cell>
          <cell r="D8951" t="str">
            <v>یونس صاحب</v>
          </cell>
          <cell r="E8951" t="str">
            <v>فضل سعید صادق اباد</v>
          </cell>
        </row>
        <row r="8952">
          <cell r="A8952" t="str">
            <v>7203/14</v>
          </cell>
          <cell r="B8952">
            <v>7203</v>
          </cell>
          <cell r="C8952">
            <v>45889</v>
          </cell>
          <cell r="D8952" t="str">
            <v>یونس صاحب</v>
          </cell>
          <cell r="E8952" t="str">
            <v>فضل سعید صادق اباد</v>
          </cell>
        </row>
        <row r="8953">
          <cell r="A8953" t="str">
            <v>7203/15</v>
          </cell>
          <cell r="B8953">
            <v>7203</v>
          </cell>
          <cell r="C8953">
            <v>45889</v>
          </cell>
          <cell r="D8953" t="str">
            <v>یونس صاحب</v>
          </cell>
          <cell r="E8953" t="str">
            <v>فضل سعید صادق اباد</v>
          </cell>
        </row>
        <row r="8954">
          <cell r="A8954" t="str">
            <v>7203/16</v>
          </cell>
          <cell r="B8954">
            <v>7203</v>
          </cell>
          <cell r="C8954">
            <v>45889</v>
          </cell>
          <cell r="D8954" t="str">
            <v>یونس صاحب</v>
          </cell>
          <cell r="E8954" t="str">
            <v>فضل سعید صادق اباد</v>
          </cell>
        </row>
        <row r="8955">
          <cell r="A8955" t="str">
            <v>7203/17</v>
          </cell>
          <cell r="B8955">
            <v>7203</v>
          </cell>
          <cell r="C8955">
            <v>45889</v>
          </cell>
          <cell r="D8955" t="str">
            <v>یونس صاحب</v>
          </cell>
          <cell r="E8955" t="str">
            <v>فضل سعید صادق اباد</v>
          </cell>
        </row>
        <row r="8956">
          <cell r="A8956" t="str">
            <v>7203/18</v>
          </cell>
          <cell r="B8956">
            <v>7203</v>
          </cell>
          <cell r="C8956">
            <v>45889</v>
          </cell>
          <cell r="D8956" t="str">
            <v>یونس صاحب</v>
          </cell>
          <cell r="E8956" t="str">
            <v>فضل سعید صادق اباد</v>
          </cell>
        </row>
        <row r="8957">
          <cell r="A8957" t="str">
            <v>2014 f</v>
          </cell>
          <cell r="B8957"/>
          <cell r="C8957">
            <v>45888</v>
          </cell>
          <cell r="D8957" t="str">
            <v>Fina</v>
          </cell>
          <cell r="E8957" t="str">
            <v>Usman Amin</v>
          </cell>
        </row>
        <row r="8958">
          <cell r="A8958" t="str">
            <v>2015 f</v>
          </cell>
          <cell r="B8958"/>
          <cell r="C8958">
            <v>45888</v>
          </cell>
          <cell r="D8958" t="str">
            <v>Fina</v>
          </cell>
          <cell r="E8958" t="str">
            <v>Usman Amin</v>
          </cell>
        </row>
        <row r="8959">
          <cell r="A8959" t="str">
            <v>2016 f</v>
          </cell>
          <cell r="B8959"/>
          <cell r="C8959">
            <v>45888</v>
          </cell>
          <cell r="D8959" t="str">
            <v>Fina</v>
          </cell>
          <cell r="E8959" t="str">
            <v>Usman Amin</v>
          </cell>
        </row>
        <row r="8960">
          <cell r="A8960" t="str">
            <v>2017 F</v>
          </cell>
          <cell r="B8960"/>
          <cell r="C8960">
            <v>45888</v>
          </cell>
          <cell r="D8960" t="str">
            <v>Fina</v>
          </cell>
          <cell r="E8960" t="str">
            <v>Usman Amin</v>
          </cell>
        </row>
        <row r="8961">
          <cell r="A8961" t="str">
            <v>2018 F</v>
          </cell>
          <cell r="B8961"/>
          <cell r="C8961">
            <v>45889</v>
          </cell>
          <cell r="D8961" t="str">
            <v>Fina</v>
          </cell>
          <cell r="E8961" t="str">
            <v>Usman Amin</v>
          </cell>
        </row>
        <row r="8962">
          <cell r="A8962" t="str">
            <v>2019 F</v>
          </cell>
          <cell r="B8962"/>
          <cell r="C8962">
            <v>45889</v>
          </cell>
          <cell r="D8962" t="str">
            <v>Fina</v>
          </cell>
          <cell r="E8962" t="str">
            <v>Usman Amin</v>
          </cell>
        </row>
        <row r="8963">
          <cell r="A8963" t="str">
            <v>2020 F</v>
          </cell>
          <cell r="B8963"/>
          <cell r="C8963">
            <v>45889</v>
          </cell>
          <cell r="D8963" t="str">
            <v>Fina</v>
          </cell>
          <cell r="E8963" t="str">
            <v>Usman Amin</v>
          </cell>
        </row>
        <row r="8964">
          <cell r="A8964" t="str">
            <v>2021 F</v>
          </cell>
          <cell r="B8964"/>
          <cell r="C8964">
            <v>45889</v>
          </cell>
          <cell r="D8964" t="str">
            <v>Fina</v>
          </cell>
          <cell r="E8964" t="str">
            <v>Usman Amin</v>
          </cell>
        </row>
        <row r="8965">
          <cell r="A8965" t="str">
            <v>2022 F</v>
          </cell>
          <cell r="B8965"/>
          <cell r="C8965">
            <v>45889</v>
          </cell>
          <cell r="D8965" t="str">
            <v>Fina</v>
          </cell>
          <cell r="E8965" t="str">
            <v>Usman Amin</v>
          </cell>
        </row>
        <row r="8966">
          <cell r="A8966" t="str">
            <v>2023 F</v>
          </cell>
          <cell r="B8966"/>
          <cell r="C8966">
            <v>45889</v>
          </cell>
          <cell r="D8966" t="str">
            <v>Fina</v>
          </cell>
          <cell r="E8966" t="str">
            <v>Usman Amin</v>
          </cell>
        </row>
        <row r="8967">
          <cell r="A8967" t="str">
            <v>3775 J</v>
          </cell>
          <cell r="B8967">
            <v>12890</v>
          </cell>
          <cell r="C8967">
            <v>45888</v>
          </cell>
          <cell r="D8967" t="str">
            <v>JILANI</v>
          </cell>
          <cell r="E8967" t="str">
            <v>Nimir Chemicoats Limited Kharian Wala</v>
          </cell>
        </row>
        <row r="8968">
          <cell r="A8968" t="str">
            <v>3776 J</v>
          </cell>
          <cell r="B8968">
            <v>12877</v>
          </cell>
          <cell r="C8968">
            <v>45887</v>
          </cell>
          <cell r="D8968" t="str">
            <v>JILANI</v>
          </cell>
          <cell r="E8968" t="str">
            <v>Tauseef Butt Gujjranwala</v>
          </cell>
        </row>
        <row r="8969">
          <cell r="A8969" t="str">
            <v>3777 J</v>
          </cell>
          <cell r="B8969"/>
          <cell r="C8969">
            <v>45887</v>
          </cell>
          <cell r="D8969" t="str">
            <v>OTHER</v>
          </cell>
          <cell r="E8969" t="str">
            <v>Jilani Poly Stock</v>
          </cell>
        </row>
        <row r="8970">
          <cell r="A8970" t="str">
            <v>3778 J</v>
          </cell>
          <cell r="B8970"/>
          <cell r="C8970">
            <v>45887</v>
          </cell>
          <cell r="D8970" t="str">
            <v>OTHER</v>
          </cell>
          <cell r="E8970" t="str">
            <v>Jilani Poly Stock</v>
          </cell>
        </row>
        <row r="8971">
          <cell r="A8971" t="str">
            <v>3779 J</v>
          </cell>
          <cell r="B8971"/>
          <cell r="C8971">
            <v>45887</v>
          </cell>
          <cell r="D8971" t="str">
            <v>OTHER</v>
          </cell>
          <cell r="E8971" t="str">
            <v>Jilani Poly Stock</v>
          </cell>
        </row>
        <row r="8972">
          <cell r="A8972" t="str">
            <v>3780 J</v>
          </cell>
          <cell r="B8972">
            <v>12891</v>
          </cell>
          <cell r="C8972">
            <v>45888</v>
          </cell>
          <cell r="D8972" t="str">
            <v>JILANI</v>
          </cell>
          <cell r="E8972" t="str">
            <v>Service Industry Gujrat</v>
          </cell>
        </row>
        <row r="8973">
          <cell r="A8973" t="str">
            <v>3781 J</v>
          </cell>
          <cell r="B8973">
            <v>12892</v>
          </cell>
          <cell r="C8973">
            <v>45888</v>
          </cell>
          <cell r="D8973" t="str">
            <v>JILANI</v>
          </cell>
          <cell r="E8973" t="str">
            <v>Al Razzaq Printer Lahore</v>
          </cell>
        </row>
        <row r="8974">
          <cell r="A8974" t="str">
            <v>3782 J</v>
          </cell>
          <cell r="B8974">
            <v>12893</v>
          </cell>
          <cell r="C8974">
            <v>45888</v>
          </cell>
          <cell r="D8974" t="str">
            <v>JILANI</v>
          </cell>
          <cell r="E8974" t="str">
            <v>Sulamani Dua Khana Urdu Bazar LHR</v>
          </cell>
        </row>
        <row r="8975">
          <cell r="A8975" t="str">
            <v>3783 J</v>
          </cell>
          <cell r="B8975">
            <v>12893</v>
          </cell>
          <cell r="C8975">
            <v>45888</v>
          </cell>
          <cell r="D8975" t="str">
            <v>JILANI</v>
          </cell>
          <cell r="E8975" t="str">
            <v>Sulamani Dua Khana Urdu Bazar LHR</v>
          </cell>
        </row>
        <row r="8976">
          <cell r="A8976" t="str">
            <v>3784 J</v>
          </cell>
          <cell r="B8976">
            <v>12894</v>
          </cell>
          <cell r="C8976">
            <v>45888</v>
          </cell>
          <cell r="D8976" t="str">
            <v>JILANI</v>
          </cell>
          <cell r="E8976" t="str">
            <v>Fancy Garmants Kamoki</v>
          </cell>
        </row>
        <row r="8977">
          <cell r="A8977" t="str">
            <v>3785 J</v>
          </cell>
          <cell r="B8977">
            <v>12894</v>
          </cell>
          <cell r="C8977">
            <v>45888</v>
          </cell>
          <cell r="D8977" t="str">
            <v>JILANI</v>
          </cell>
          <cell r="E8977" t="str">
            <v>Fancy Garmants Kamoki</v>
          </cell>
        </row>
        <row r="8978">
          <cell r="A8978" t="str">
            <v>3786 J</v>
          </cell>
          <cell r="B8978">
            <v>12895</v>
          </cell>
          <cell r="C8978">
            <v>45888</v>
          </cell>
          <cell r="D8978" t="str">
            <v>JILANI</v>
          </cell>
          <cell r="E8978" t="str">
            <v>Manpasand Sweets And Bakers Nankana</v>
          </cell>
        </row>
        <row r="8979">
          <cell r="A8979" t="str">
            <v>3787 J</v>
          </cell>
          <cell r="B8979">
            <v>12895</v>
          </cell>
          <cell r="C8979">
            <v>45888</v>
          </cell>
          <cell r="D8979" t="str">
            <v>JILANI</v>
          </cell>
          <cell r="E8979" t="str">
            <v>Manpasand Sweets And Bakers Nankana</v>
          </cell>
        </row>
        <row r="8980">
          <cell r="A8980" t="str">
            <v>3788 J</v>
          </cell>
          <cell r="B8980">
            <v>12895</v>
          </cell>
          <cell r="C8980">
            <v>45888</v>
          </cell>
          <cell r="D8980" t="str">
            <v>JILANI</v>
          </cell>
          <cell r="E8980" t="str">
            <v>Manpasand Sweets And Bakers Nankana</v>
          </cell>
        </row>
        <row r="8981">
          <cell r="A8981" t="str">
            <v>3789 J</v>
          </cell>
          <cell r="B8981">
            <v>12896</v>
          </cell>
          <cell r="C8981">
            <v>45888</v>
          </cell>
          <cell r="D8981" t="str">
            <v>JILANI</v>
          </cell>
          <cell r="E8981" t="str">
            <v>A.R Chicken Sale Center LHR</v>
          </cell>
        </row>
        <row r="8982">
          <cell r="A8982" t="str">
            <v>3790 J</v>
          </cell>
          <cell r="B8982">
            <v>12897</v>
          </cell>
          <cell r="C8982">
            <v>45888</v>
          </cell>
          <cell r="D8982" t="str">
            <v>JILANI</v>
          </cell>
          <cell r="E8982" t="str">
            <v>Alam Bakers Sheikupura</v>
          </cell>
        </row>
        <row r="8983">
          <cell r="A8983" t="str">
            <v>3791 J</v>
          </cell>
          <cell r="B8983">
            <v>12897</v>
          </cell>
          <cell r="C8983">
            <v>45888</v>
          </cell>
          <cell r="D8983" t="str">
            <v>JILANI</v>
          </cell>
          <cell r="E8983" t="str">
            <v>Alam Bakers Sheikupura</v>
          </cell>
        </row>
        <row r="8984">
          <cell r="A8984" t="str">
            <v>3792 J</v>
          </cell>
          <cell r="B8984">
            <v>12897</v>
          </cell>
          <cell r="C8984">
            <v>45888</v>
          </cell>
          <cell r="D8984" t="str">
            <v>JILANI</v>
          </cell>
          <cell r="E8984" t="str">
            <v>Alam Bakers Sheikupura</v>
          </cell>
        </row>
        <row r="8985">
          <cell r="A8985" t="str">
            <v>3793 J</v>
          </cell>
          <cell r="B8985">
            <v>12898</v>
          </cell>
          <cell r="C8985">
            <v>45888</v>
          </cell>
          <cell r="D8985" t="str">
            <v>JILANI</v>
          </cell>
          <cell r="E8985" t="str">
            <v>Adeel SB Multan</v>
          </cell>
        </row>
        <row r="8986">
          <cell r="A8986" t="str">
            <v>3794 J</v>
          </cell>
          <cell r="B8986">
            <v>12899</v>
          </cell>
          <cell r="C8986">
            <v>45888</v>
          </cell>
          <cell r="D8986" t="str">
            <v>JILANI</v>
          </cell>
          <cell r="E8986" t="str">
            <v>Sapna Shoes Haripur</v>
          </cell>
        </row>
        <row r="8987">
          <cell r="A8987" t="str">
            <v>3795 J</v>
          </cell>
          <cell r="B8987">
            <v>12900</v>
          </cell>
          <cell r="C8987">
            <v>45888</v>
          </cell>
          <cell r="D8987" t="str">
            <v>JILANI</v>
          </cell>
          <cell r="E8987" t="str">
            <v>H A Industry Peshawar</v>
          </cell>
        </row>
        <row r="8988">
          <cell r="A8988" t="str">
            <v>3796 J</v>
          </cell>
          <cell r="B8988">
            <v>12901</v>
          </cell>
          <cell r="C8988">
            <v>45888</v>
          </cell>
          <cell r="D8988" t="str">
            <v>JILANI</v>
          </cell>
          <cell r="E8988" t="str">
            <v>Usman Arif Butt Gujranwala</v>
          </cell>
        </row>
        <row r="8989">
          <cell r="A8989" t="str">
            <v>3797 J</v>
          </cell>
          <cell r="B8989">
            <v>12901</v>
          </cell>
          <cell r="C8989">
            <v>45888</v>
          </cell>
          <cell r="D8989" t="str">
            <v>JILANI</v>
          </cell>
          <cell r="E8989" t="str">
            <v>Usman Arif Butt Gujranwala</v>
          </cell>
        </row>
        <row r="8990">
          <cell r="A8990" t="str">
            <v>3798 J</v>
          </cell>
          <cell r="B8990">
            <v>12901</v>
          </cell>
          <cell r="C8990">
            <v>45888</v>
          </cell>
          <cell r="D8990" t="str">
            <v>JILANI</v>
          </cell>
          <cell r="E8990" t="str">
            <v>Usman Arif Butt Gujranwala</v>
          </cell>
        </row>
        <row r="8991">
          <cell r="A8991" t="str">
            <v>3799 J</v>
          </cell>
          <cell r="B8991">
            <v>12901</v>
          </cell>
          <cell r="C8991">
            <v>45888</v>
          </cell>
          <cell r="D8991" t="str">
            <v>JILANI</v>
          </cell>
          <cell r="E8991" t="str">
            <v>Usman Arif Butt Gujranwala</v>
          </cell>
        </row>
        <row r="8992">
          <cell r="A8992" t="str">
            <v>3800 J</v>
          </cell>
          <cell r="B8992">
            <v>12902</v>
          </cell>
          <cell r="C8992">
            <v>45888</v>
          </cell>
          <cell r="D8992" t="str">
            <v>JILANI</v>
          </cell>
          <cell r="E8992" t="str">
            <v>Usman Arif Butt Gujranwala</v>
          </cell>
        </row>
        <row r="8993">
          <cell r="A8993" t="str">
            <v>3801 J</v>
          </cell>
          <cell r="B8993">
            <v>12902</v>
          </cell>
          <cell r="C8993">
            <v>45888</v>
          </cell>
          <cell r="D8993" t="str">
            <v>JILANI</v>
          </cell>
          <cell r="E8993" t="str">
            <v>Usman Arif Butt Gujranwala</v>
          </cell>
        </row>
        <row r="8994">
          <cell r="A8994" t="str">
            <v>3802 J</v>
          </cell>
          <cell r="B8994">
            <v>12902</v>
          </cell>
          <cell r="C8994">
            <v>45888</v>
          </cell>
          <cell r="D8994" t="str">
            <v>JILANI</v>
          </cell>
          <cell r="E8994" t="str">
            <v>Usman Arif Butt Gujranwala</v>
          </cell>
        </row>
        <row r="8995">
          <cell r="A8995" t="str">
            <v>3803 J</v>
          </cell>
          <cell r="B8995">
            <v>12902</v>
          </cell>
          <cell r="C8995">
            <v>45888</v>
          </cell>
          <cell r="D8995" t="str">
            <v>JILANI</v>
          </cell>
          <cell r="E8995" t="str">
            <v>Usman Arif Butt Gujranwala</v>
          </cell>
        </row>
        <row r="8996">
          <cell r="A8996" t="str">
            <v>3804 J</v>
          </cell>
          <cell r="B8996">
            <v>12903</v>
          </cell>
          <cell r="C8996">
            <v>45888</v>
          </cell>
          <cell r="D8996" t="str">
            <v>JILANI</v>
          </cell>
          <cell r="E8996" t="str">
            <v>Usman Arif Butt Gujranwala</v>
          </cell>
        </row>
        <row r="8997">
          <cell r="A8997" t="str">
            <v>3805 J</v>
          </cell>
          <cell r="B8997">
            <v>12903</v>
          </cell>
          <cell r="C8997">
            <v>45888</v>
          </cell>
          <cell r="D8997" t="str">
            <v>JILANI</v>
          </cell>
          <cell r="E8997" t="str">
            <v>Usman Arif Butt Gujranwala</v>
          </cell>
        </row>
        <row r="8998">
          <cell r="A8998" t="str">
            <v>3806 J</v>
          </cell>
          <cell r="B8998">
            <v>12903</v>
          </cell>
          <cell r="C8998">
            <v>45888</v>
          </cell>
          <cell r="D8998" t="str">
            <v>JILANI</v>
          </cell>
          <cell r="E8998" t="str">
            <v>Usman Arif Butt Gujranwala</v>
          </cell>
        </row>
        <row r="8999">
          <cell r="A8999" t="str">
            <v>3807 J</v>
          </cell>
          <cell r="B8999">
            <v>12904</v>
          </cell>
          <cell r="C8999">
            <v>45888</v>
          </cell>
          <cell r="D8999" t="str">
            <v>JILANI</v>
          </cell>
          <cell r="E8999" t="str">
            <v>A One Plastic Cercular Road Lahore</v>
          </cell>
        </row>
        <row r="9000">
          <cell r="A9000" t="str">
            <v>3808 J</v>
          </cell>
          <cell r="B9000"/>
          <cell r="C9000">
            <v>45889</v>
          </cell>
          <cell r="D9000" t="str">
            <v>OTHER</v>
          </cell>
          <cell r="E9000" t="str">
            <v>NASEER SAB C/O WAQAR AKRAM MUGHAL CHINIOT</v>
          </cell>
        </row>
        <row r="9001">
          <cell r="A9001" t="str">
            <v>3809 J</v>
          </cell>
          <cell r="B9001"/>
          <cell r="C9001">
            <v>45889</v>
          </cell>
          <cell r="D9001" t="str">
            <v>OTHER</v>
          </cell>
          <cell r="E9001" t="str">
            <v>NASEER SAB C/O WAQAR AKRAM MUGHAL CHINIOT</v>
          </cell>
        </row>
        <row r="9002">
          <cell r="A9002" t="str">
            <v>3810 J</v>
          </cell>
          <cell r="B9002">
            <v>12820</v>
          </cell>
          <cell r="C9002">
            <v>45877</v>
          </cell>
          <cell r="D9002" t="str">
            <v>JILANI</v>
          </cell>
          <cell r="E9002" t="str">
            <v>Synt Chamical Lahore</v>
          </cell>
        </row>
        <row r="9003">
          <cell r="A9003" t="str">
            <v>3811 J</v>
          </cell>
          <cell r="B9003">
            <v>12905</v>
          </cell>
          <cell r="C9003">
            <v>45889</v>
          </cell>
          <cell r="D9003" t="str">
            <v>JILANI</v>
          </cell>
          <cell r="E9003" t="str">
            <v>Khan Resturant Lahore</v>
          </cell>
        </row>
        <row r="9004">
          <cell r="A9004" t="str">
            <v>3812 J</v>
          </cell>
          <cell r="B9004">
            <v>12905</v>
          </cell>
          <cell r="C9004">
            <v>45889</v>
          </cell>
          <cell r="D9004" t="str">
            <v>JILANI</v>
          </cell>
          <cell r="E9004" t="str">
            <v>Khan Resturant Lahore</v>
          </cell>
        </row>
        <row r="9005">
          <cell r="A9005" t="str">
            <v>3813 J</v>
          </cell>
          <cell r="B9005">
            <v>12905</v>
          </cell>
          <cell r="C9005">
            <v>45889</v>
          </cell>
          <cell r="D9005" t="str">
            <v>JILANI</v>
          </cell>
          <cell r="E9005" t="str">
            <v>Khan Resturant Lahore</v>
          </cell>
        </row>
        <row r="9006">
          <cell r="A9006" t="str">
            <v>3814 J</v>
          </cell>
          <cell r="B9006">
            <v>12906</v>
          </cell>
          <cell r="C9006">
            <v>45889</v>
          </cell>
          <cell r="D9006" t="str">
            <v>JILANI</v>
          </cell>
          <cell r="E9006" t="str">
            <v>Pizza Bank And Fast Food Kamoki</v>
          </cell>
        </row>
        <row r="9007">
          <cell r="A9007" t="str">
            <v>3815 J</v>
          </cell>
          <cell r="B9007">
            <v>12906</v>
          </cell>
          <cell r="C9007">
            <v>45889</v>
          </cell>
          <cell r="D9007" t="str">
            <v>JILANI</v>
          </cell>
          <cell r="E9007" t="str">
            <v>Pizza Bank And Fast Food Kamoki</v>
          </cell>
        </row>
        <row r="9008">
          <cell r="A9008" t="str">
            <v>3816 J</v>
          </cell>
          <cell r="B9008">
            <v>12906</v>
          </cell>
          <cell r="C9008">
            <v>45889</v>
          </cell>
          <cell r="D9008" t="str">
            <v>JILANI</v>
          </cell>
          <cell r="E9008" t="str">
            <v>Pizza Bank And Fast Food Kamoki</v>
          </cell>
        </row>
        <row r="9009">
          <cell r="A9009" t="str">
            <v>3817 J</v>
          </cell>
          <cell r="B9009">
            <v>12907</v>
          </cell>
          <cell r="C9009">
            <v>45889</v>
          </cell>
          <cell r="D9009" t="str">
            <v>JILANI</v>
          </cell>
          <cell r="E9009" t="str">
            <v>Waqas Wollan Mills Gujranwala</v>
          </cell>
        </row>
        <row r="9010">
          <cell r="A9010" t="str">
            <v>3818 J</v>
          </cell>
          <cell r="B9010">
            <v>12908</v>
          </cell>
          <cell r="C9010">
            <v>45889</v>
          </cell>
          <cell r="D9010" t="str">
            <v>JILANI</v>
          </cell>
          <cell r="E9010" t="str">
            <v>Amir Brothers DGK</v>
          </cell>
        </row>
        <row r="9011">
          <cell r="A9011" t="str">
            <v>3819 J</v>
          </cell>
          <cell r="B9011">
            <v>12908</v>
          </cell>
          <cell r="C9011">
            <v>45889</v>
          </cell>
          <cell r="D9011" t="str">
            <v>JILANI</v>
          </cell>
          <cell r="E9011" t="str">
            <v>Amir Brothers DGK</v>
          </cell>
        </row>
        <row r="9012">
          <cell r="A9012" t="str">
            <v>3820 J</v>
          </cell>
          <cell r="B9012">
            <v>12909</v>
          </cell>
          <cell r="C9012">
            <v>45889</v>
          </cell>
          <cell r="D9012" t="str">
            <v>JILANI</v>
          </cell>
          <cell r="E9012" t="str">
            <v>Al Raza Garments Shah Alam LHR</v>
          </cell>
        </row>
        <row r="9013">
          <cell r="A9013" t="str">
            <v>3821 J</v>
          </cell>
          <cell r="B9013">
            <v>12910</v>
          </cell>
          <cell r="C9013">
            <v>45889</v>
          </cell>
          <cell r="D9013" t="str">
            <v>JILANI</v>
          </cell>
          <cell r="E9013" t="str">
            <v>A.B Garments Bhalwal</v>
          </cell>
        </row>
        <row r="9014">
          <cell r="A9014" t="str">
            <v>3822 J</v>
          </cell>
          <cell r="B9014">
            <v>12911</v>
          </cell>
          <cell r="C9014">
            <v>45889</v>
          </cell>
          <cell r="D9014" t="str">
            <v>JILANI</v>
          </cell>
          <cell r="E9014" t="str">
            <v>A.B Garments Bhalwal</v>
          </cell>
        </row>
        <row r="9015">
          <cell r="A9015" t="str">
            <v>3823 J</v>
          </cell>
          <cell r="B9015">
            <v>12912</v>
          </cell>
          <cell r="C9015">
            <v>45889</v>
          </cell>
          <cell r="D9015" t="str">
            <v>JILANI</v>
          </cell>
          <cell r="E9015" t="str">
            <v>Jhangir Hussain Gudam Leager HD</v>
          </cell>
        </row>
        <row r="9016">
          <cell r="A9016" t="str">
            <v>3824 J</v>
          </cell>
          <cell r="B9016">
            <v>12912</v>
          </cell>
          <cell r="C9016">
            <v>45889</v>
          </cell>
          <cell r="D9016" t="str">
            <v>JILANI</v>
          </cell>
          <cell r="E9016" t="str">
            <v>Jhangir Hussain Gudam Leager HD</v>
          </cell>
        </row>
        <row r="9017">
          <cell r="A9017" t="str">
            <v>3825 J</v>
          </cell>
          <cell r="B9017">
            <v>12912</v>
          </cell>
          <cell r="C9017">
            <v>45889</v>
          </cell>
          <cell r="D9017" t="str">
            <v>JILANI</v>
          </cell>
          <cell r="E9017" t="str">
            <v>Jhangir Hussain Gudam Leager HD</v>
          </cell>
        </row>
        <row r="9018">
          <cell r="A9018" t="str">
            <v>3826 J</v>
          </cell>
          <cell r="B9018">
            <v>12912</v>
          </cell>
          <cell r="C9018">
            <v>45889</v>
          </cell>
          <cell r="D9018" t="str">
            <v>JILANI</v>
          </cell>
          <cell r="E9018" t="str">
            <v>Jhangir Hussain Gudam Leager HD</v>
          </cell>
        </row>
        <row r="9019">
          <cell r="A9019">
            <v>2781</v>
          </cell>
          <cell r="B9019">
            <v>11429</v>
          </cell>
          <cell r="C9019">
            <v>45883</v>
          </cell>
          <cell r="D9019" t="str">
            <v>JILANI</v>
          </cell>
          <cell r="E9019" t="str">
            <v>MATCO FOOD</v>
          </cell>
        </row>
        <row r="9020">
          <cell r="A9020" t="str">
            <v>7204/1</v>
          </cell>
          <cell r="B9020">
            <v>7204</v>
          </cell>
          <cell r="C9020">
            <v>45891</v>
          </cell>
          <cell r="D9020" t="str">
            <v>یونس صاحب</v>
          </cell>
          <cell r="E9020" t="str">
            <v>اسلم پلاسٹک ملتان</v>
          </cell>
        </row>
        <row r="9021">
          <cell r="A9021" t="str">
            <v>7204/2</v>
          </cell>
          <cell r="B9021">
            <v>7204</v>
          </cell>
          <cell r="C9021">
            <v>45891</v>
          </cell>
          <cell r="D9021" t="str">
            <v>یونس صاحب</v>
          </cell>
          <cell r="E9021" t="str">
            <v>اسلم پلاسٹک ملتان</v>
          </cell>
        </row>
        <row r="9022">
          <cell r="A9022" t="str">
            <v>7204/3</v>
          </cell>
          <cell r="B9022">
            <v>7204</v>
          </cell>
          <cell r="C9022">
            <v>45891</v>
          </cell>
          <cell r="D9022" t="str">
            <v>یونس صاحب</v>
          </cell>
          <cell r="E9022" t="str">
            <v>اسلم پلاسٹک ملتان</v>
          </cell>
        </row>
        <row r="9023">
          <cell r="A9023" t="str">
            <v>7205/1</v>
          </cell>
          <cell r="B9023">
            <v>7205</v>
          </cell>
          <cell r="C9023">
            <v>45891</v>
          </cell>
          <cell r="D9023" t="str">
            <v>یونس صاحب</v>
          </cell>
          <cell r="E9023" t="str">
            <v>محبوب مقبول گوجرانوالہ</v>
          </cell>
        </row>
        <row r="9024">
          <cell r="A9024" t="str">
            <v>7205/2</v>
          </cell>
          <cell r="B9024">
            <v>7205</v>
          </cell>
          <cell r="C9024">
            <v>45891</v>
          </cell>
          <cell r="D9024" t="str">
            <v>یونس صاحب</v>
          </cell>
          <cell r="E9024" t="str">
            <v>محبوب مقبول گوجرانوالہ</v>
          </cell>
        </row>
        <row r="9025">
          <cell r="A9025" t="str">
            <v>7205/3</v>
          </cell>
          <cell r="B9025">
            <v>7205</v>
          </cell>
          <cell r="C9025">
            <v>45891</v>
          </cell>
          <cell r="D9025" t="str">
            <v>یونس صاحب</v>
          </cell>
          <cell r="E9025" t="str">
            <v>محبوب مقبول گوجرانوالہ</v>
          </cell>
        </row>
        <row r="9026">
          <cell r="A9026" t="str">
            <v>7205/4</v>
          </cell>
          <cell r="B9026">
            <v>7205</v>
          </cell>
          <cell r="C9026">
            <v>45891</v>
          </cell>
          <cell r="D9026" t="str">
            <v>یونس صاحب</v>
          </cell>
          <cell r="E9026" t="str">
            <v>محبوب مقبول گوجرانوالہ</v>
          </cell>
        </row>
        <row r="9027">
          <cell r="A9027" t="str">
            <v>7205/5</v>
          </cell>
          <cell r="B9027">
            <v>7205</v>
          </cell>
          <cell r="C9027">
            <v>45891</v>
          </cell>
          <cell r="D9027" t="str">
            <v>یونس صاحب</v>
          </cell>
          <cell r="E9027" t="str">
            <v>محبوب مقبول گوجرانوالہ</v>
          </cell>
        </row>
        <row r="9028">
          <cell r="A9028" t="str">
            <v>7206/1</v>
          </cell>
          <cell r="B9028">
            <v>7206</v>
          </cell>
          <cell r="C9028">
            <v>45891</v>
          </cell>
          <cell r="D9028" t="str">
            <v>یونس صاحب</v>
          </cell>
          <cell r="E9028" t="str">
            <v>عمیر شاپنگ بیگ وہاڑی</v>
          </cell>
        </row>
        <row r="9029">
          <cell r="A9029" t="str">
            <v>7206/2</v>
          </cell>
          <cell r="B9029">
            <v>7206</v>
          </cell>
          <cell r="C9029">
            <v>45891</v>
          </cell>
          <cell r="D9029" t="str">
            <v>یونس صاحب</v>
          </cell>
          <cell r="E9029" t="str">
            <v>عمیر شاپنگ بیگ وہاڑی</v>
          </cell>
        </row>
        <row r="9030">
          <cell r="A9030" t="str">
            <v>7207/1</v>
          </cell>
          <cell r="B9030">
            <v>7207</v>
          </cell>
          <cell r="C9030">
            <v>45891</v>
          </cell>
          <cell r="D9030" t="str">
            <v>یونس صاحب</v>
          </cell>
          <cell r="E9030" t="str">
            <v>اصف پلاسٹک بورے والا</v>
          </cell>
        </row>
        <row r="9031">
          <cell r="A9031" t="str">
            <v>7207/2</v>
          </cell>
          <cell r="B9031">
            <v>7207</v>
          </cell>
          <cell r="C9031">
            <v>45891</v>
          </cell>
          <cell r="D9031" t="str">
            <v>یونس صاحب</v>
          </cell>
          <cell r="E9031" t="str">
            <v>اصف پلاسٹک بورے والا</v>
          </cell>
        </row>
        <row r="9032">
          <cell r="A9032" t="str">
            <v>7208/1</v>
          </cell>
          <cell r="B9032">
            <v>7208</v>
          </cell>
          <cell r="C9032">
            <v>45891</v>
          </cell>
          <cell r="D9032" t="str">
            <v>یونس صاحب</v>
          </cell>
          <cell r="E9032" t="str">
            <v>عاصم  عطا دل اعظم مارکیٹ</v>
          </cell>
        </row>
        <row r="9033">
          <cell r="A9033" t="str">
            <v>2784/1</v>
          </cell>
          <cell r="B9033">
            <v>2784</v>
          </cell>
          <cell r="C9033">
            <v>45891</v>
          </cell>
          <cell r="D9033" t="str">
            <v>JILANI</v>
          </cell>
          <cell r="E9033" t="str">
            <v>SITARA CHEMICAL IND (PVT) LTD</v>
          </cell>
        </row>
        <row r="9034">
          <cell r="A9034" t="str">
            <v>2024 F</v>
          </cell>
          <cell r="B9034"/>
          <cell r="C9034">
            <v>45890</v>
          </cell>
          <cell r="D9034" t="str">
            <v>Fina</v>
          </cell>
          <cell r="E9034" t="str">
            <v>Usman Amin</v>
          </cell>
        </row>
        <row r="9035">
          <cell r="A9035" t="str">
            <v>2025 F</v>
          </cell>
          <cell r="B9035"/>
          <cell r="C9035">
            <v>45890</v>
          </cell>
          <cell r="D9035" t="str">
            <v>Fina</v>
          </cell>
          <cell r="E9035" t="str">
            <v>Usman Amin</v>
          </cell>
        </row>
        <row r="9036">
          <cell r="A9036" t="str">
            <v>2026 F</v>
          </cell>
          <cell r="B9036"/>
          <cell r="C9036">
            <v>45890</v>
          </cell>
          <cell r="D9036" t="str">
            <v>Fina</v>
          </cell>
          <cell r="E9036" t="str">
            <v>Usman Amin</v>
          </cell>
        </row>
        <row r="9037">
          <cell r="A9037" t="str">
            <v>3827 J</v>
          </cell>
          <cell r="B9037">
            <v>12918</v>
          </cell>
          <cell r="C9037">
            <v>45862</v>
          </cell>
          <cell r="D9037" t="str">
            <v>JILANI</v>
          </cell>
          <cell r="E9037" t="str">
            <v>Atlas Honda LTD (SKP)</v>
          </cell>
        </row>
        <row r="9038">
          <cell r="A9038" t="str">
            <v>3828 J</v>
          </cell>
          <cell r="B9038">
            <v>12913</v>
          </cell>
          <cell r="C9038">
            <v>45890</v>
          </cell>
          <cell r="D9038" t="str">
            <v>JILANI</v>
          </cell>
          <cell r="E9038" t="str">
            <v>M.Boota Azam Market LHR</v>
          </cell>
        </row>
        <row r="9039">
          <cell r="A9039" t="str">
            <v>3829 J</v>
          </cell>
          <cell r="B9039">
            <v>12914</v>
          </cell>
          <cell r="C9039">
            <v>45890</v>
          </cell>
          <cell r="D9039" t="str">
            <v>JILANI</v>
          </cell>
          <cell r="E9039" t="str">
            <v>Zahid Mehmood Shah Alam LHR</v>
          </cell>
        </row>
        <row r="9040">
          <cell r="A9040" t="str">
            <v>3830 J</v>
          </cell>
          <cell r="B9040">
            <v>12915</v>
          </cell>
          <cell r="C9040">
            <v>45890</v>
          </cell>
          <cell r="D9040" t="str">
            <v>JILANI</v>
          </cell>
          <cell r="E9040" t="str">
            <v>Ali Hajwairy Azam Market LHR</v>
          </cell>
        </row>
        <row r="9041">
          <cell r="A9041" t="str">
            <v>3831 J</v>
          </cell>
          <cell r="B9041">
            <v>12916</v>
          </cell>
          <cell r="C9041">
            <v>45890</v>
          </cell>
          <cell r="D9041" t="str">
            <v>JILANI</v>
          </cell>
          <cell r="E9041" t="str">
            <v>Sayyam Bedding Razai Lahore</v>
          </cell>
        </row>
        <row r="9042">
          <cell r="A9042" t="str">
            <v>3832 J</v>
          </cell>
          <cell r="B9042">
            <v>12917</v>
          </cell>
          <cell r="C9042">
            <v>45890</v>
          </cell>
          <cell r="D9042" t="str">
            <v>JILANI</v>
          </cell>
          <cell r="E9042" t="str">
            <v>M.G.S Sheikhupura</v>
          </cell>
        </row>
        <row r="9043">
          <cell r="A9043" t="str">
            <v>3833 J</v>
          </cell>
          <cell r="B9043">
            <v>12917</v>
          </cell>
          <cell r="C9043">
            <v>45890</v>
          </cell>
          <cell r="D9043" t="str">
            <v>JILANI</v>
          </cell>
          <cell r="E9043" t="str">
            <v>M.G.S Sheikhupura</v>
          </cell>
        </row>
        <row r="9044">
          <cell r="A9044" t="str">
            <v>3834 J</v>
          </cell>
          <cell r="B9044">
            <v>12918</v>
          </cell>
          <cell r="C9044">
            <v>45890</v>
          </cell>
          <cell r="D9044" t="str">
            <v>JILANI</v>
          </cell>
          <cell r="E9044" t="str">
            <v>Atlas Honda LTD (SKP)</v>
          </cell>
        </row>
        <row r="9045">
          <cell r="A9045" t="str">
            <v>3835 J</v>
          </cell>
          <cell r="B9045">
            <v>12919</v>
          </cell>
          <cell r="C9045">
            <v>45890</v>
          </cell>
          <cell r="D9045" t="str">
            <v>JILANI</v>
          </cell>
          <cell r="E9045" t="str">
            <v>Burger saucy Shahadra Lahore</v>
          </cell>
        </row>
        <row r="9046">
          <cell r="A9046" t="str">
            <v>3836 J</v>
          </cell>
          <cell r="B9046">
            <v>12919</v>
          </cell>
          <cell r="C9046">
            <v>45890</v>
          </cell>
          <cell r="D9046" t="str">
            <v>JILANI</v>
          </cell>
          <cell r="E9046" t="str">
            <v>Burger saucy Shahadra Lahore</v>
          </cell>
        </row>
        <row r="9047">
          <cell r="A9047" t="str">
            <v>3837 J</v>
          </cell>
          <cell r="B9047">
            <v>12919</v>
          </cell>
          <cell r="C9047">
            <v>45890</v>
          </cell>
          <cell r="D9047" t="str">
            <v>JILANI</v>
          </cell>
          <cell r="E9047" t="str">
            <v>Burger saucy Shahadra Lahore</v>
          </cell>
        </row>
        <row r="9048">
          <cell r="A9048" t="str">
            <v>3838 J</v>
          </cell>
          <cell r="B9048">
            <v>12920</v>
          </cell>
          <cell r="C9048">
            <v>45890</v>
          </cell>
          <cell r="D9048" t="str">
            <v>JILANI</v>
          </cell>
          <cell r="E9048" t="str">
            <v>Acefit Timber Market LHR</v>
          </cell>
        </row>
        <row r="9049">
          <cell r="A9049" t="str">
            <v>3839 J</v>
          </cell>
          <cell r="B9049">
            <v>12921</v>
          </cell>
          <cell r="C9049">
            <v>45890</v>
          </cell>
          <cell r="D9049" t="str">
            <v>JILANI</v>
          </cell>
          <cell r="E9049" t="str">
            <v>Alam Printer Butkhela</v>
          </cell>
        </row>
        <row r="9050">
          <cell r="A9050" t="str">
            <v>3840 J</v>
          </cell>
          <cell r="B9050">
            <v>12922</v>
          </cell>
          <cell r="C9050">
            <v>45890</v>
          </cell>
          <cell r="D9050" t="str">
            <v>JILANI</v>
          </cell>
          <cell r="E9050" t="str">
            <v>Alam Printers Butkhela</v>
          </cell>
        </row>
        <row r="9051">
          <cell r="A9051" t="str">
            <v>3841 J</v>
          </cell>
          <cell r="B9051">
            <v>12922</v>
          </cell>
          <cell r="C9051">
            <v>45890</v>
          </cell>
          <cell r="D9051" t="str">
            <v>JILANI</v>
          </cell>
          <cell r="E9051" t="str">
            <v>Alam Printers Butkhela</v>
          </cell>
        </row>
        <row r="9052">
          <cell r="A9052" t="str">
            <v>3842 J</v>
          </cell>
          <cell r="B9052">
            <v>12923</v>
          </cell>
          <cell r="C9052">
            <v>45890</v>
          </cell>
          <cell r="D9052" t="str">
            <v>JILANI</v>
          </cell>
          <cell r="E9052" t="str">
            <v>Emarat Plastic Thokar Niaz Baig LHR</v>
          </cell>
        </row>
        <row r="9053">
          <cell r="A9053" t="str">
            <v>3843 J</v>
          </cell>
          <cell r="B9053">
            <v>12923</v>
          </cell>
          <cell r="C9053">
            <v>45890</v>
          </cell>
          <cell r="D9053" t="str">
            <v>JILANI</v>
          </cell>
          <cell r="E9053" t="str">
            <v>Emarat Plastic Thokar Niaz Baig LHR</v>
          </cell>
        </row>
        <row r="9054">
          <cell r="A9054" t="str">
            <v>3844 J</v>
          </cell>
          <cell r="B9054">
            <v>12924</v>
          </cell>
          <cell r="C9054">
            <v>45890</v>
          </cell>
          <cell r="D9054" t="str">
            <v>JILANI</v>
          </cell>
          <cell r="E9054" t="str">
            <v>Alam Printers Butkhela</v>
          </cell>
        </row>
        <row r="9055">
          <cell r="A9055" t="str">
            <v>3845 J</v>
          </cell>
          <cell r="B9055">
            <v>12925</v>
          </cell>
          <cell r="C9055">
            <v>45890</v>
          </cell>
          <cell r="D9055" t="str">
            <v>JILANI</v>
          </cell>
          <cell r="E9055" t="str">
            <v>Emarat Plastic Thokar Niaz Baig LHR</v>
          </cell>
        </row>
        <row r="9056">
          <cell r="A9056" t="str">
            <v>3846 J</v>
          </cell>
          <cell r="B9056">
            <v>12926</v>
          </cell>
          <cell r="C9056">
            <v>45890</v>
          </cell>
          <cell r="D9056" t="str">
            <v>JILANI</v>
          </cell>
          <cell r="E9056" t="str">
            <v xml:space="preserve">Irfan Sab Azam Market Lahore </v>
          </cell>
        </row>
        <row r="9057">
          <cell r="A9057" t="str">
            <v>3847 J</v>
          </cell>
          <cell r="B9057">
            <v>12926</v>
          </cell>
          <cell r="C9057">
            <v>45890</v>
          </cell>
          <cell r="D9057" t="str">
            <v>JILANI</v>
          </cell>
          <cell r="E9057" t="str">
            <v xml:space="preserve">Irfan Sab Azam Market Lahore </v>
          </cell>
        </row>
        <row r="9058">
          <cell r="A9058" t="str">
            <v>3848 J</v>
          </cell>
          <cell r="B9058"/>
          <cell r="C9058">
            <v>45890</v>
          </cell>
          <cell r="D9058" t="str">
            <v>JILANI</v>
          </cell>
          <cell r="E9058" t="str">
            <v>Usman Color C/O Arman Sb</v>
          </cell>
        </row>
        <row r="9059">
          <cell r="A9059" t="str">
            <v>3849 J</v>
          </cell>
          <cell r="B9059"/>
          <cell r="C9059">
            <v>45890</v>
          </cell>
          <cell r="D9059" t="str">
            <v>JILANI</v>
          </cell>
          <cell r="E9059" t="str">
            <v>Usman Color C/O Arman Sb</v>
          </cell>
        </row>
        <row r="9060">
          <cell r="A9060" t="str">
            <v>3850 J</v>
          </cell>
          <cell r="B9060">
            <v>12927</v>
          </cell>
          <cell r="C9060">
            <v>45890</v>
          </cell>
          <cell r="D9060" t="str">
            <v>JILANI</v>
          </cell>
          <cell r="E9060" t="str">
            <v>Chiragh Din Sweets And Bakers LHR</v>
          </cell>
        </row>
        <row r="9061">
          <cell r="A9061" t="str">
            <v>3851 J</v>
          </cell>
          <cell r="B9061">
            <v>12928</v>
          </cell>
          <cell r="C9061">
            <v>45890</v>
          </cell>
          <cell r="D9061" t="str">
            <v>JILANI</v>
          </cell>
          <cell r="E9061" t="str">
            <v>H.M.D Troders ISD</v>
          </cell>
        </row>
        <row r="9062">
          <cell r="A9062" t="str">
            <v>3852 J</v>
          </cell>
          <cell r="B9062">
            <v>12928</v>
          </cell>
          <cell r="C9062">
            <v>45890</v>
          </cell>
          <cell r="D9062" t="str">
            <v>JILANI</v>
          </cell>
          <cell r="E9062" t="str">
            <v>H.M.D Troders ISD</v>
          </cell>
        </row>
        <row r="9063">
          <cell r="A9063" t="str">
            <v>3853 J</v>
          </cell>
          <cell r="B9063">
            <v>12929</v>
          </cell>
          <cell r="C9063">
            <v>45890</v>
          </cell>
          <cell r="D9063" t="str">
            <v>JILANI</v>
          </cell>
          <cell r="E9063" t="str">
            <v>Khalid Printers LHR</v>
          </cell>
        </row>
        <row r="9064">
          <cell r="A9064" t="str">
            <v>3854 J</v>
          </cell>
          <cell r="B9064">
            <v>12930</v>
          </cell>
          <cell r="C9064">
            <v>45890</v>
          </cell>
          <cell r="D9064" t="str">
            <v>JILANI</v>
          </cell>
          <cell r="E9064" t="str">
            <v>H.M.D Troders ISD</v>
          </cell>
        </row>
        <row r="9065">
          <cell r="A9065" t="str">
            <v>3855 J</v>
          </cell>
          <cell r="B9065"/>
          <cell r="C9065">
            <v>45838</v>
          </cell>
          <cell r="D9065" t="str">
            <v>OTHER</v>
          </cell>
          <cell r="E9065" t="str">
            <v>Jilani Poly Stock</v>
          </cell>
        </row>
        <row r="9066">
          <cell r="A9066" t="str">
            <v>6P/1</v>
          </cell>
          <cell r="B9066" t="str">
            <v>6P</v>
          </cell>
          <cell r="C9066">
            <v>45892</v>
          </cell>
          <cell r="D9066" t="e">
            <v>#N/A</v>
          </cell>
          <cell r="E9066"/>
        </row>
        <row r="9067">
          <cell r="A9067" t="str">
            <v>3856 J</v>
          </cell>
          <cell r="B9067">
            <v>12931</v>
          </cell>
          <cell r="C9067">
            <v>45891</v>
          </cell>
          <cell r="D9067" t="str">
            <v>JILANI</v>
          </cell>
          <cell r="E9067" t="str">
            <v>Waseem Shoper House LHR</v>
          </cell>
        </row>
        <row r="9068">
          <cell r="A9068" t="str">
            <v>3857 J</v>
          </cell>
          <cell r="B9068">
            <v>12932</v>
          </cell>
          <cell r="C9068">
            <v>45891</v>
          </cell>
          <cell r="D9068" t="str">
            <v>JILANI</v>
          </cell>
          <cell r="E9068" t="str">
            <v>Berger Paint Lahore</v>
          </cell>
        </row>
        <row r="9069">
          <cell r="A9069" t="str">
            <v>3858 J</v>
          </cell>
          <cell r="B9069">
            <v>12933</v>
          </cell>
          <cell r="C9069">
            <v>45891</v>
          </cell>
          <cell r="D9069" t="str">
            <v>JILANI</v>
          </cell>
          <cell r="E9069" t="str">
            <v>Berger Paint Lahore</v>
          </cell>
        </row>
        <row r="9070">
          <cell r="A9070" t="str">
            <v>3859 J</v>
          </cell>
          <cell r="B9070">
            <v>12934</v>
          </cell>
          <cell r="C9070">
            <v>45891</v>
          </cell>
          <cell r="D9070" t="str">
            <v>JILANI</v>
          </cell>
          <cell r="E9070" t="str">
            <v>Arif Karahi Lahore</v>
          </cell>
        </row>
        <row r="9071">
          <cell r="A9071" t="str">
            <v>3860 J</v>
          </cell>
          <cell r="B9071">
            <v>12935</v>
          </cell>
          <cell r="C9071">
            <v>45891</v>
          </cell>
          <cell r="D9071" t="str">
            <v>JILANI</v>
          </cell>
          <cell r="E9071" t="str">
            <v>Jhangir Hussain Gudam Leager HD</v>
          </cell>
        </row>
        <row r="9072">
          <cell r="A9072" t="str">
            <v>3861 J</v>
          </cell>
          <cell r="B9072">
            <v>12935</v>
          </cell>
          <cell r="C9072">
            <v>45891</v>
          </cell>
          <cell r="D9072" t="str">
            <v>JILANI</v>
          </cell>
          <cell r="E9072" t="str">
            <v>Jhangir Hussain Gudam Leager HD</v>
          </cell>
        </row>
        <row r="9073">
          <cell r="A9073" t="str">
            <v>3862 J</v>
          </cell>
          <cell r="B9073">
            <v>12935</v>
          </cell>
          <cell r="C9073">
            <v>45891</v>
          </cell>
          <cell r="D9073" t="str">
            <v>JILANI</v>
          </cell>
          <cell r="E9073" t="str">
            <v>Jhangir Hussain Gudam Leager HD</v>
          </cell>
        </row>
        <row r="9074">
          <cell r="A9074" t="str">
            <v>3863 J</v>
          </cell>
          <cell r="B9074">
            <v>12936</v>
          </cell>
          <cell r="C9074">
            <v>45891</v>
          </cell>
          <cell r="D9074" t="str">
            <v>JILANI</v>
          </cell>
          <cell r="E9074" t="str">
            <v>Hammad Plastic Gujranwala</v>
          </cell>
        </row>
        <row r="9075">
          <cell r="A9075" t="str">
            <v>3864 J</v>
          </cell>
          <cell r="B9075">
            <v>12936</v>
          </cell>
          <cell r="C9075">
            <v>45891</v>
          </cell>
          <cell r="D9075" t="str">
            <v>JILANI</v>
          </cell>
          <cell r="E9075" t="str">
            <v>Hammad Plastic Gujranwala</v>
          </cell>
        </row>
        <row r="9076">
          <cell r="A9076" t="str">
            <v>3865 J</v>
          </cell>
          <cell r="B9076">
            <v>12937</v>
          </cell>
          <cell r="C9076">
            <v>45891</v>
          </cell>
          <cell r="D9076" t="str">
            <v>JILANI</v>
          </cell>
          <cell r="E9076" t="str">
            <v>Rafique Hanif Gujranwala</v>
          </cell>
        </row>
        <row r="9077">
          <cell r="A9077" t="str">
            <v>3866 J</v>
          </cell>
          <cell r="B9077">
            <v>12937</v>
          </cell>
          <cell r="C9077">
            <v>45891</v>
          </cell>
          <cell r="D9077" t="str">
            <v>JILANI</v>
          </cell>
          <cell r="E9077" t="str">
            <v>Rafique Hanif Gujranwala</v>
          </cell>
        </row>
        <row r="9078">
          <cell r="A9078" t="str">
            <v>3867 J</v>
          </cell>
          <cell r="B9078">
            <v>12937</v>
          </cell>
          <cell r="C9078">
            <v>45891</v>
          </cell>
          <cell r="D9078" t="str">
            <v>JILANI</v>
          </cell>
          <cell r="E9078" t="str">
            <v>Rafique Hanif Gujranwala</v>
          </cell>
        </row>
        <row r="9079">
          <cell r="A9079" t="str">
            <v>3868 J</v>
          </cell>
          <cell r="B9079">
            <v>12938</v>
          </cell>
          <cell r="C9079">
            <v>45891</v>
          </cell>
          <cell r="D9079" t="str">
            <v>JILANI</v>
          </cell>
          <cell r="E9079" t="str">
            <v>Subhan Cloth House Nankana</v>
          </cell>
        </row>
        <row r="9080">
          <cell r="A9080" t="str">
            <v>3869 J</v>
          </cell>
          <cell r="B9080">
            <v>12938</v>
          </cell>
          <cell r="C9080">
            <v>45891</v>
          </cell>
          <cell r="D9080" t="str">
            <v>JILANI</v>
          </cell>
          <cell r="E9080" t="str">
            <v>Subhan Cloth House Nankana</v>
          </cell>
        </row>
        <row r="9081">
          <cell r="A9081" t="str">
            <v>3870 J</v>
          </cell>
          <cell r="B9081"/>
          <cell r="C9081">
            <v>45891</v>
          </cell>
          <cell r="D9081" t="str">
            <v>OTHER</v>
          </cell>
          <cell r="E9081" t="str">
            <v>Jilani Poly Stock</v>
          </cell>
        </row>
        <row r="9082">
          <cell r="A9082" t="str">
            <v>3871 J</v>
          </cell>
          <cell r="B9082">
            <v>12342</v>
          </cell>
          <cell r="C9082">
            <v>45821</v>
          </cell>
          <cell r="D9082" t="str">
            <v>OTHER</v>
          </cell>
          <cell r="E9082" t="str">
            <v>جیلانی پولی سٹاک</v>
          </cell>
        </row>
        <row r="9083">
          <cell r="A9083" t="str">
            <v>2027 F</v>
          </cell>
          <cell r="B9083"/>
          <cell r="C9083">
            <v>45891</v>
          </cell>
          <cell r="D9083" t="str">
            <v>Fina</v>
          </cell>
          <cell r="E9083" t="str">
            <v>Usman Amin</v>
          </cell>
        </row>
        <row r="9084">
          <cell r="A9084" t="str">
            <v>2028 F</v>
          </cell>
          <cell r="B9084"/>
          <cell r="C9084">
            <v>45891</v>
          </cell>
          <cell r="D9084" t="str">
            <v>Fina</v>
          </cell>
          <cell r="E9084" t="str">
            <v>Usman Amin</v>
          </cell>
        </row>
        <row r="9085">
          <cell r="A9085" t="str">
            <v>2029 F</v>
          </cell>
          <cell r="B9085"/>
          <cell r="C9085">
            <v>45891</v>
          </cell>
          <cell r="D9085" t="str">
            <v>Fina</v>
          </cell>
          <cell r="E9085" t="str">
            <v>Usman Amin</v>
          </cell>
        </row>
        <row r="9086">
          <cell r="A9086" t="str">
            <v>2030 F</v>
          </cell>
          <cell r="B9086"/>
          <cell r="C9086">
            <v>45891</v>
          </cell>
          <cell r="D9086" t="str">
            <v>Fina</v>
          </cell>
          <cell r="E9086" t="str">
            <v>Usman Amin</v>
          </cell>
        </row>
        <row r="9087">
          <cell r="A9087" t="str">
            <v>2031 F</v>
          </cell>
          <cell r="B9087"/>
          <cell r="C9087">
            <v>45891</v>
          </cell>
          <cell r="D9087" t="str">
            <v>Fina</v>
          </cell>
          <cell r="E9087" t="str">
            <v>Usman Amin</v>
          </cell>
        </row>
        <row r="9088">
          <cell r="A9088" t="str">
            <v>2032 F</v>
          </cell>
          <cell r="B9088"/>
          <cell r="C9088">
            <v>45891</v>
          </cell>
          <cell r="D9088" t="str">
            <v>Fina</v>
          </cell>
          <cell r="E9088" t="str">
            <v>Usman Amin</v>
          </cell>
        </row>
        <row r="9089">
          <cell r="A9089" t="str">
            <v>2033 F</v>
          </cell>
          <cell r="B9089"/>
          <cell r="C9089">
            <v>45892</v>
          </cell>
          <cell r="D9089" t="str">
            <v>Fina</v>
          </cell>
          <cell r="E9089" t="str">
            <v>Usman Amin</v>
          </cell>
        </row>
        <row r="9090">
          <cell r="A9090" t="str">
            <v>2034 F</v>
          </cell>
          <cell r="B9090"/>
          <cell r="C9090">
            <v>45892</v>
          </cell>
          <cell r="D9090" t="str">
            <v>Fina</v>
          </cell>
          <cell r="E9090" t="str">
            <v>Usman Amin</v>
          </cell>
        </row>
        <row r="9091">
          <cell r="A9091" t="str">
            <v>2035 F</v>
          </cell>
          <cell r="B9091"/>
          <cell r="C9091">
            <v>45892</v>
          </cell>
          <cell r="D9091" t="str">
            <v>Fina</v>
          </cell>
          <cell r="E9091" t="str">
            <v>Usman Amin</v>
          </cell>
        </row>
        <row r="9092">
          <cell r="A9092" t="str">
            <v>2036 F</v>
          </cell>
          <cell r="B9092"/>
          <cell r="C9092">
            <v>45892</v>
          </cell>
          <cell r="D9092" t="str">
            <v>Fina</v>
          </cell>
          <cell r="E9092" t="str">
            <v>Usman Amin</v>
          </cell>
        </row>
        <row r="9093">
          <cell r="A9093" t="str">
            <v>2037 F</v>
          </cell>
          <cell r="B9093"/>
          <cell r="C9093">
            <v>45892</v>
          </cell>
          <cell r="D9093" t="str">
            <v>Fina</v>
          </cell>
          <cell r="E9093" t="str">
            <v>Usman Amin</v>
          </cell>
        </row>
        <row r="9094">
          <cell r="A9094" t="str">
            <v>2038 F</v>
          </cell>
          <cell r="B9094"/>
          <cell r="C9094">
            <v>45892</v>
          </cell>
          <cell r="D9094" t="str">
            <v>Fina</v>
          </cell>
          <cell r="E9094" t="str">
            <v>Usman Amin</v>
          </cell>
        </row>
        <row r="9095">
          <cell r="A9095" t="str">
            <v>2039 F</v>
          </cell>
          <cell r="B9095"/>
          <cell r="C9095">
            <v>45892</v>
          </cell>
          <cell r="D9095" t="str">
            <v>Fina</v>
          </cell>
          <cell r="E9095" t="str">
            <v>Usman Amin</v>
          </cell>
        </row>
        <row r="9096">
          <cell r="A9096" t="str">
            <v>2040 F</v>
          </cell>
          <cell r="B9096"/>
          <cell r="C9096">
            <v>45892</v>
          </cell>
          <cell r="D9096" t="str">
            <v>Fina</v>
          </cell>
          <cell r="E9096" t="str">
            <v>Usman Amin</v>
          </cell>
        </row>
        <row r="9097">
          <cell r="A9097" t="str">
            <v>2041 F</v>
          </cell>
          <cell r="B9097"/>
          <cell r="C9097">
            <v>45892</v>
          </cell>
          <cell r="D9097" t="str">
            <v>Fina</v>
          </cell>
          <cell r="E9097" t="str">
            <v>Usman Amin</v>
          </cell>
        </row>
        <row r="9098">
          <cell r="A9098" t="str">
            <v>2042 F</v>
          </cell>
          <cell r="B9098"/>
          <cell r="C9098">
            <v>45892</v>
          </cell>
          <cell r="D9098" t="str">
            <v>Fina</v>
          </cell>
          <cell r="E9098" t="str">
            <v>Usman Amin</v>
          </cell>
        </row>
        <row r="9099">
          <cell r="A9099" t="str">
            <v>2043 F</v>
          </cell>
          <cell r="B9099"/>
          <cell r="C9099">
            <v>45892</v>
          </cell>
          <cell r="D9099" t="str">
            <v>Fina</v>
          </cell>
          <cell r="E9099" t="str">
            <v>Usman Amin</v>
          </cell>
        </row>
        <row r="9100">
          <cell r="A9100" t="str">
            <v>2044 F</v>
          </cell>
          <cell r="B9100"/>
          <cell r="C9100">
            <v>45892</v>
          </cell>
          <cell r="D9100" t="str">
            <v>Fina</v>
          </cell>
          <cell r="E9100" t="str">
            <v>Usman Amin</v>
          </cell>
        </row>
        <row r="9101">
          <cell r="A9101" t="str">
            <v>19P/1</v>
          </cell>
          <cell r="B9101" t="str">
            <v>19P</v>
          </cell>
          <cell r="C9101">
            <v>45894</v>
          </cell>
          <cell r="D9101" t="e">
            <v>#N/A</v>
          </cell>
          <cell r="E9101"/>
        </row>
        <row r="9102">
          <cell r="A9102" t="str">
            <v>2785/1</v>
          </cell>
          <cell r="B9102">
            <v>1826</v>
          </cell>
          <cell r="C9102">
            <v>45894</v>
          </cell>
          <cell r="D9102" t="str">
            <v>JILANI</v>
          </cell>
          <cell r="E9102" t="str">
            <v>USMAN AMEEN LAHORE</v>
          </cell>
        </row>
        <row r="9103">
          <cell r="A9103" t="str">
            <v>7209/1</v>
          </cell>
          <cell r="B9103">
            <v>7209</v>
          </cell>
          <cell r="C9103">
            <v>45894</v>
          </cell>
          <cell r="D9103" t="str">
            <v>یونس صاحب</v>
          </cell>
          <cell r="E9103" t="str">
            <v>MTM شاہ عالم</v>
          </cell>
        </row>
        <row r="9104">
          <cell r="A9104" t="str">
            <v>7210/1</v>
          </cell>
          <cell r="B9104">
            <v>7210</v>
          </cell>
          <cell r="C9104">
            <v>45894</v>
          </cell>
          <cell r="D9104" t="str">
            <v>یونس صاحب</v>
          </cell>
          <cell r="E9104" t="str">
            <v>جہانگیر حسین گودام گوجراوالا</v>
          </cell>
        </row>
        <row r="9105">
          <cell r="A9105" t="str">
            <v>7210/2</v>
          </cell>
          <cell r="B9105">
            <v>7210</v>
          </cell>
          <cell r="C9105">
            <v>45894</v>
          </cell>
          <cell r="D9105" t="str">
            <v>یونس صاحب</v>
          </cell>
          <cell r="E9105" t="str">
            <v>جہانگیر حسین گودام گوجراوالا</v>
          </cell>
        </row>
        <row r="9106">
          <cell r="A9106" t="str">
            <v>7211/1</v>
          </cell>
          <cell r="B9106">
            <v>7211</v>
          </cell>
          <cell r="C9106">
            <v>45894</v>
          </cell>
          <cell r="D9106" t="str">
            <v>یونس صاحب</v>
          </cell>
          <cell r="E9106" t="str">
            <v>اکرم بلو کریانہ خانیور</v>
          </cell>
        </row>
        <row r="9107">
          <cell r="A9107" t="str">
            <v>7211/2</v>
          </cell>
          <cell r="B9107">
            <v>7211</v>
          </cell>
          <cell r="C9107">
            <v>45894</v>
          </cell>
          <cell r="D9107" t="str">
            <v>یونس صاحب</v>
          </cell>
          <cell r="E9107" t="str">
            <v>اکرم بلو کریانہ خانیور</v>
          </cell>
        </row>
        <row r="9108">
          <cell r="A9108" t="str">
            <v>7211/3</v>
          </cell>
          <cell r="B9108">
            <v>7211</v>
          </cell>
          <cell r="C9108">
            <v>45894</v>
          </cell>
          <cell r="D9108" t="str">
            <v>یونس صاحب</v>
          </cell>
          <cell r="E9108" t="str">
            <v>اکرم بلو کریانہ خانیور</v>
          </cell>
        </row>
        <row r="9109">
          <cell r="A9109" t="str">
            <v>7211/4</v>
          </cell>
          <cell r="B9109">
            <v>7211</v>
          </cell>
          <cell r="C9109">
            <v>45894</v>
          </cell>
          <cell r="D9109" t="str">
            <v>یونس صاحب</v>
          </cell>
          <cell r="E9109" t="str">
            <v>اکرم بلو کریانہ خانیور</v>
          </cell>
        </row>
        <row r="9110">
          <cell r="A9110" t="str">
            <v>7211/5</v>
          </cell>
          <cell r="B9110">
            <v>7211</v>
          </cell>
          <cell r="C9110">
            <v>45894</v>
          </cell>
          <cell r="D9110" t="str">
            <v>یونس صاحب</v>
          </cell>
          <cell r="E9110" t="str">
            <v>اکرم بلو کریانہ خانیور</v>
          </cell>
        </row>
        <row r="9111">
          <cell r="A9111" t="str">
            <v>7212/1</v>
          </cell>
          <cell r="B9111">
            <v>7212</v>
          </cell>
          <cell r="C9111">
            <v>45894</v>
          </cell>
          <cell r="D9111" t="str">
            <v>یونس صاحب</v>
          </cell>
          <cell r="E9111" t="str">
            <v>بلال ازعظم مال کینٹ</v>
          </cell>
        </row>
        <row r="9112">
          <cell r="A9112" t="str">
            <v>7213/1</v>
          </cell>
          <cell r="B9112">
            <v>7213</v>
          </cell>
          <cell r="C9112">
            <v>45894</v>
          </cell>
          <cell r="D9112" t="str">
            <v>یونس صاحب</v>
          </cell>
          <cell r="E9112" t="str">
            <v>بلال جاوید فیصل اباد</v>
          </cell>
        </row>
        <row r="9113">
          <cell r="A9113" t="str">
            <v>7213/2</v>
          </cell>
          <cell r="B9113">
            <v>7213</v>
          </cell>
          <cell r="C9113">
            <v>45894</v>
          </cell>
          <cell r="D9113" t="str">
            <v>یونس صاحب</v>
          </cell>
          <cell r="E9113" t="str">
            <v>بلال جاوید فیصل اباد</v>
          </cell>
        </row>
        <row r="9114">
          <cell r="A9114" t="str">
            <v>7213/3</v>
          </cell>
          <cell r="B9114">
            <v>7213</v>
          </cell>
          <cell r="C9114">
            <v>45894</v>
          </cell>
          <cell r="D9114" t="str">
            <v>یونس صاحب</v>
          </cell>
          <cell r="E9114" t="str">
            <v>بلال جاوید فیصل اباد</v>
          </cell>
        </row>
        <row r="9115">
          <cell r="A9115" t="str">
            <v>7213/4</v>
          </cell>
          <cell r="B9115">
            <v>7213</v>
          </cell>
          <cell r="C9115">
            <v>45894</v>
          </cell>
          <cell r="D9115" t="str">
            <v>یونس صاحب</v>
          </cell>
          <cell r="E9115" t="str">
            <v>بلال جاوید فیصل اباد</v>
          </cell>
        </row>
        <row r="9116">
          <cell r="A9116" t="str">
            <v>7213/5</v>
          </cell>
          <cell r="B9116">
            <v>7213</v>
          </cell>
          <cell r="C9116">
            <v>45894</v>
          </cell>
          <cell r="D9116" t="str">
            <v>یونس صاحب</v>
          </cell>
          <cell r="E9116" t="str">
            <v>بلال جاوید فیصل اباد</v>
          </cell>
        </row>
        <row r="9117">
          <cell r="A9117" t="str">
            <v>7213/6</v>
          </cell>
          <cell r="B9117">
            <v>7213</v>
          </cell>
          <cell r="C9117">
            <v>45894</v>
          </cell>
          <cell r="D9117" t="str">
            <v>یونس صاحب</v>
          </cell>
          <cell r="E9117" t="str">
            <v>بلال جاوید فیصل اباد</v>
          </cell>
        </row>
        <row r="9118">
          <cell r="A9118" t="str">
            <v>7213/7</v>
          </cell>
          <cell r="B9118">
            <v>7213</v>
          </cell>
          <cell r="C9118">
            <v>45894</v>
          </cell>
          <cell r="D9118" t="str">
            <v>یونس صاحب</v>
          </cell>
          <cell r="E9118" t="str">
            <v>بلال جاوید فیصل اباد</v>
          </cell>
        </row>
        <row r="9119">
          <cell r="A9119" t="str">
            <v>7214/1</v>
          </cell>
          <cell r="B9119">
            <v>7214</v>
          </cell>
          <cell r="C9119">
            <v>45894</v>
          </cell>
          <cell r="D9119" t="str">
            <v>یونس صاحب</v>
          </cell>
          <cell r="E9119" t="str">
            <v>طاہٰ پلاسٹک پنڈی</v>
          </cell>
        </row>
        <row r="9120">
          <cell r="A9120" t="str">
            <v>116P/1</v>
          </cell>
          <cell r="B9120" t="str">
            <v>116P</v>
          </cell>
          <cell r="C9120">
            <v>45895</v>
          </cell>
          <cell r="D9120" t="e">
            <v>#N/A</v>
          </cell>
          <cell r="E9120"/>
        </row>
        <row r="9121">
          <cell r="A9121" t="str">
            <v>2045 F</v>
          </cell>
          <cell r="B9121"/>
          <cell r="C9121">
            <v>45894</v>
          </cell>
          <cell r="D9121" t="str">
            <v>Fina</v>
          </cell>
          <cell r="E9121" t="str">
            <v>Usman Amin</v>
          </cell>
        </row>
        <row r="9122">
          <cell r="A9122" t="str">
            <v>2046 F</v>
          </cell>
          <cell r="B9122"/>
          <cell r="C9122">
            <v>45894</v>
          </cell>
          <cell r="D9122" t="str">
            <v>Fina</v>
          </cell>
          <cell r="E9122" t="str">
            <v>Usman Amin</v>
          </cell>
        </row>
        <row r="9123">
          <cell r="A9123" t="str">
            <v>2047 F</v>
          </cell>
          <cell r="B9123"/>
          <cell r="C9123">
            <v>45894</v>
          </cell>
          <cell r="D9123" t="str">
            <v>Fina</v>
          </cell>
          <cell r="E9123" t="str">
            <v>Usman Amin</v>
          </cell>
        </row>
        <row r="9124">
          <cell r="A9124" t="str">
            <v>2048 F</v>
          </cell>
          <cell r="B9124"/>
          <cell r="C9124">
            <v>45894</v>
          </cell>
          <cell r="D9124" t="str">
            <v>Fina</v>
          </cell>
          <cell r="E9124" t="str">
            <v>Usman Amin</v>
          </cell>
        </row>
        <row r="9125">
          <cell r="A9125" t="str">
            <v>2049 F</v>
          </cell>
          <cell r="B9125"/>
          <cell r="C9125">
            <v>45894</v>
          </cell>
          <cell r="D9125" t="str">
            <v>Fina</v>
          </cell>
          <cell r="E9125" t="str">
            <v>Usman Amin</v>
          </cell>
        </row>
        <row r="9126">
          <cell r="A9126" t="str">
            <v>2050 F</v>
          </cell>
          <cell r="B9126"/>
          <cell r="C9126">
            <v>45894</v>
          </cell>
          <cell r="D9126" t="str">
            <v>Fina</v>
          </cell>
          <cell r="E9126" t="str">
            <v>Usman Amin</v>
          </cell>
        </row>
        <row r="9127">
          <cell r="A9127" t="str">
            <v>2051 F</v>
          </cell>
          <cell r="B9127"/>
          <cell r="C9127">
            <v>45894</v>
          </cell>
          <cell r="D9127" t="str">
            <v>Fina</v>
          </cell>
          <cell r="E9127" t="str">
            <v>Usman Amin</v>
          </cell>
        </row>
        <row r="9128">
          <cell r="A9128" t="str">
            <v>2052 F</v>
          </cell>
          <cell r="B9128"/>
          <cell r="C9128">
            <v>45894</v>
          </cell>
          <cell r="D9128" t="str">
            <v>Fina</v>
          </cell>
          <cell r="E9128" t="str">
            <v>Usman Amin</v>
          </cell>
        </row>
        <row r="9129">
          <cell r="A9129" t="str">
            <v>3872 J</v>
          </cell>
          <cell r="B9129"/>
          <cell r="C9129">
            <v>45891</v>
          </cell>
          <cell r="D9129" t="str">
            <v>OTHER</v>
          </cell>
          <cell r="E9129" t="str">
            <v>Jilani plastic</v>
          </cell>
        </row>
        <row r="9130">
          <cell r="A9130" t="str">
            <v>3873 J</v>
          </cell>
          <cell r="B9130">
            <v>12939</v>
          </cell>
          <cell r="C9130">
            <v>45892</v>
          </cell>
          <cell r="D9130" t="str">
            <v>JILANI</v>
          </cell>
          <cell r="E9130" t="str">
            <v>Mughal Plastic Store Layyah</v>
          </cell>
        </row>
        <row r="9131">
          <cell r="A9131" t="str">
            <v>3874 J</v>
          </cell>
          <cell r="B9131">
            <v>12940</v>
          </cell>
          <cell r="C9131">
            <v>45892</v>
          </cell>
          <cell r="D9131" t="str">
            <v>JILANI</v>
          </cell>
          <cell r="E9131" t="str">
            <v>Umair PP Adda Crown C/O Majest Plastic LHR</v>
          </cell>
        </row>
        <row r="9132">
          <cell r="A9132" t="str">
            <v>3875 J</v>
          </cell>
          <cell r="B9132">
            <v>12940</v>
          </cell>
          <cell r="C9132">
            <v>45892</v>
          </cell>
          <cell r="D9132" t="str">
            <v>JILANI</v>
          </cell>
          <cell r="E9132" t="str">
            <v>Umair PP Adda Crown C/O Majest Plastic LHR</v>
          </cell>
        </row>
        <row r="9133">
          <cell r="A9133" t="str">
            <v>3876 J</v>
          </cell>
          <cell r="B9133">
            <v>12941</v>
          </cell>
          <cell r="C9133">
            <v>45892</v>
          </cell>
          <cell r="D9133" t="str">
            <v>JILANI</v>
          </cell>
          <cell r="E9133" t="str">
            <v>Umair PP Adda Crown C/O Majest Plastic LHR</v>
          </cell>
        </row>
        <row r="9134">
          <cell r="A9134" t="str">
            <v>3877 J</v>
          </cell>
          <cell r="B9134">
            <v>12941</v>
          </cell>
          <cell r="C9134">
            <v>45892</v>
          </cell>
          <cell r="D9134" t="str">
            <v>JILANI</v>
          </cell>
          <cell r="E9134" t="str">
            <v>Umair PP Adda Crown C/O Majest Plastic LHR</v>
          </cell>
        </row>
        <row r="9135">
          <cell r="A9135" t="str">
            <v>3878 J</v>
          </cell>
          <cell r="B9135">
            <v>12941</v>
          </cell>
          <cell r="C9135">
            <v>45892</v>
          </cell>
          <cell r="D9135" t="str">
            <v>JILANI</v>
          </cell>
          <cell r="E9135" t="str">
            <v>Umair PP Adda Crown C/O Majest Plastic LHR</v>
          </cell>
        </row>
        <row r="9136">
          <cell r="A9136" t="str">
            <v>3879 J</v>
          </cell>
          <cell r="B9136">
            <v>12942</v>
          </cell>
          <cell r="C9136">
            <v>45892</v>
          </cell>
          <cell r="D9136" t="str">
            <v>JILANI</v>
          </cell>
          <cell r="E9136" t="str">
            <v>Bundu Khan Lahore</v>
          </cell>
        </row>
        <row r="9137">
          <cell r="A9137" t="str">
            <v>3880 J</v>
          </cell>
          <cell r="B9137">
            <v>12942</v>
          </cell>
          <cell r="C9137">
            <v>45892</v>
          </cell>
          <cell r="D9137" t="str">
            <v>JILANI</v>
          </cell>
          <cell r="E9137" t="str">
            <v>Bundu Khan Lahore</v>
          </cell>
        </row>
        <row r="9138">
          <cell r="A9138" t="str">
            <v>3881 J</v>
          </cell>
          <cell r="B9138">
            <v>12942</v>
          </cell>
          <cell r="C9138">
            <v>45892</v>
          </cell>
          <cell r="D9138" t="str">
            <v>JILANI</v>
          </cell>
          <cell r="E9138" t="str">
            <v>Bundu Khan Lahore</v>
          </cell>
        </row>
        <row r="9139">
          <cell r="A9139" t="str">
            <v>3882 J</v>
          </cell>
          <cell r="B9139">
            <v>12943</v>
          </cell>
          <cell r="C9139">
            <v>45892</v>
          </cell>
          <cell r="D9139" t="str">
            <v>JILANI</v>
          </cell>
          <cell r="E9139" t="str">
            <v>Zahid Mehmood Shah Alam LHR</v>
          </cell>
        </row>
        <row r="9140">
          <cell r="A9140" t="str">
            <v>3883 J</v>
          </cell>
          <cell r="B9140">
            <v>12944</v>
          </cell>
          <cell r="C9140">
            <v>45892</v>
          </cell>
          <cell r="D9140" t="str">
            <v>JILANI</v>
          </cell>
          <cell r="E9140" t="str">
            <v>Bundu Khan Lahore</v>
          </cell>
        </row>
        <row r="9141">
          <cell r="A9141" t="str">
            <v>3884 J</v>
          </cell>
          <cell r="B9141">
            <v>12944</v>
          </cell>
          <cell r="C9141">
            <v>45892</v>
          </cell>
          <cell r="D9141" t="str">
            <v>JILANI</v>
          </cell>
          <cell r="E9141" t="str">
            <v>Bundu Khan Lahore</v>
          </cell>
        </row>
        <row r="9142">
          <cell r="A9142" t="str">
            <v>3885 J</v>
          </cell>
          <cell r="B9142">
            <v>12944</v>
          </cell>
          <cell r="C9142">
            <v>45892</v>
          </cell>
          <cell r="D9142" t="str">
            <v>JILANI</v>
          </cell>
          <cell r="E9142" t="str">
            <v>Bundu Khan Lahore</v>
          </cell>
        </row>
        <row r="9143">
          <cell r="A9143" t="str">
            <v>3886 J</v>
          </cell>
          <cell r="B9143">
            <v>12944</v>
          </cell>
          <cell r="C9143">
            <v>45892</v>
          </cell>
          <cell r="D9143" t="str">
            <v>JILANI</v>
          </cell>
          <cell r="E9143" t="str">
            <v>Bundu Khan Lahore</v>
          </cell>
        </row>
        <row r="9144">
          <cell r="A9144" t="str">
            <v>3887 J</v>
          </cell>
          <cell r="B9144">
            <v>12945</v>
          </cell>
          <cell r="C9144">
            <v>45892</v>
          </cell>
          <cell r="D9144" t="str">
            <v>JILANI</v>
          </cell>
          <cell r="E9144" t="str">
            <v>Bundu Khan Lahore</v>
          </cell>
        </row>
        <row r="9145">
          <cell r="A9145" t="str">
            <v>3888 J</v>
          </cell>
          <cell r="B9145">
            <v>12946</v>
          </cell>
          <cell r="C9145">
            <v>45894</v>
          </cell>
          <cell r="D9145" t="str">
            <v>JILANI</v>
          </cell>
          <cell r="E9145" t="str">
            <v>Cakes and Bakes Lahore</v>
          </cell>
        </row>
        <row r="9146">
          <cell r="A9146" t="str">
            <v>3889 J</v>
          </cell>
          <cell r="B9146">
            <v>12946</v>
          </cell>
          <cell r="C9146">
            <v>45894</v>
          </cell>
          <cell r="D9146" t="str">
            <v>JILANI</v>
          </cell>
          <cell r="E9146" t="str">
            <v>Cakes and Bakes Lahore</v>
          </cell>
        </row>
        <row r="9147">
          <cell r="A9147" t="str">
            <v>3890 J</v>
          </cell>
          <cell r="B9147">
            <v>12947</v>
          </cell>
          <cell r="C9147">
            <v>45894</v>
          </cell>
          <cell r="D9147" t="str">
            <v>JILANI</v>
          </cell>
          <cell r="E9147" t="str">
            <v>Wazirstan Tex Azam Market LHR</v>
          </cell>
        </row>
        <row r="9148">
          <cell r="A9148" t="str">
            <v>3891 J</v>
          </cell>
          <cell r="B9148">
            <v>12947</v>
          </cell>
          <cell r="C9148">
            <v>45894</v>
          </cell>
          <cell r="D9148" t="str">
            <v>JILANI</v>
          </cell>
          <cell r="E9148" t="str">
            <v>Wazirstan Tex Azam Market LHR</v>
          </cell>
        </row>
        <row r="9149">
          <cell r="A9149" t="str">
            <v>3892 J</v>
          </cell>
          <cell r="B9149">
            <v>12948</v>
          </cell>
          <cell r="C9149">
            <v>45894</v>
          </cell>
          <cell r="D9149" t="str">
            <v>JILANI</v>
          </cell>
          <cell r="E9149" t="str">
            <v>Alam Bukers Shahdrah</v>
          </cell>
        </row>
        <row r="9150">
          <cell r="A9150" t="str">
            <v>3893 J</v>
          </cell>
          <cell r="B9150">
            <v>12948</v>
          </cell>
          <cell r="C9150">
            <v>45894</v>
          </cell>
          <cell r="D9150" t="str">
            <v>JILANI</v>
          </cell>
          <cell r="E9150" t="str">
            <v>Alam Bukers Shahdrah</v>
          </cell>
        </row>
        <row r="9151">
          <cell r="A9151" t="str">
            <v>3894 J</v>
          </cell>
          <cell r="B9151">
            <v>12948</v>
          </cell>
          <cell r="C9151">
            <v>45894</v>
          </cell>
          <cell r="D9151" t="str">
            <v>JILANI</v>
          </cell>
          <cell r="E9151" t="str">
            <v>Alam Bukers Shahdrah</v>
          </cell>
        </row>
        <row r="9152">
          <cell r="A9152" t="str">
            <v>3895 J</v>
          </cell>
          <cell r="B9152">
            <v>12949</v>
          </cell>
          <cell r="C9152">
            <v>45894</v>
          </cell>
          <cell r="D9152" t="str">
            <v>JILANI</v>
          </cell>
          <cell r="E9152" t="str">
            <v>Head Office Lahore</v>
          </cell>
        </row>
        <row r="9153">
          <cell r="A9153" t="str">
            <v>3896 J</v>
          </cell>
          <cell r="B9153">
            <v>12949</v>
          </cell>
          <cell r="C9153">
            <v>45894</v>
          </cell>
          <cell r="D9153" t="str">
            <v>JILANI</v>
          </cell>
          <cell r="E9153" t="str">
            <v>Head Office Lahore</v>
          </cell>
        </row>
        <row r="9154">
          <cell r="A9154" t="str">
            <v>3897 J</v>
          </cell>
          <cell r="B9154">
            <v>12950</v>
          </cell>
          <cell r="C9154">
            <v>45894</v>
          </cell>
          <cell r="D9154" t="str">
            <v>JILANI</v>
          </cell>
          <cell r="E9154" t="str">
            <v>Waseem Shoper House Lahore</v>
          </cell>
        </row>
        <row r="9155">
          <cell r="A9155" t="str">
            <v>3898 J</v>
          </cell>
          <cell r="B9155">
            <v>12951</v>
          </cell>
          <cell r="C9155">
            <v>45894</v>
          </cell>
          <cell r="D9155" t="str">
            <v>JILANI</v>
          </cell>
          <cell r="E9155" t="str">
            <v>Alam Printers Butkhela</v>
          </cell>
        </row>
        <row r="9156">
          <cell r="A9156" t="str">
            <v>3899 J</v>
          </cell>
          <cell r="B9156">
            <v>12952</v>
          </cell>
          <cell r="C9156">
            <v>45894</v>
          </cell>
          <cell r="D9156" t="str">
            <v>JILANI</v>
          </cell>
          <cell r="E9156" t="str">
            <v>Abdullah Traders Lahore</v>
          </cell>
        </row>
        <row r="9157">
          <cell r="A9157" t="str">
            <v>3900 J</v>
          </cell>
          <cell r="B9157">
            <v>12953</v>
          </cell>
          <cell r="C9157">
            <v>45894</v>
          </cell>
          <cell r="D9157" t="str">
            <v>JILANI</v>
          </cell>
          <cell r="E9157" t="str">
            <v>Alam Printers Butkhela</v>
          </cell>
        </row>
        <row r="9158">
          <cell r="A9158" t="str">
            <v>3901 J</v>
          </cell>
          <cell r="B9158">
            <v>12954</v>
          </cell>
          <cell r="C9158">
            <v>45894</v>
          </cell>
          <cell r="D9158" t="str">
            <v>JILANI</v>
          </cell>
          <cell r="E9158" t="str">
            <v>Alam Printers Butkhela</v>
          </cell>
        </row>
        <row r="9159">
          <cell r="A9159" t="str">
            <v>3902 J</v>
          </cell>
          <cell r="B9159">
            <v>12955</v>
          </cell>
          <cell r="C9159">
            <v>45894</v>
          </cell>
          <cell r="D9159" t="str">
            <v>JILANI</v>
          </cell>
          <cell r="E9159" t="str">
            <v>Alam Printers Butkhela</v>
          </cell>
        </row>
        <row r="9160">
          <cell r="A9160" t="str">
            <v>3903 J</v>
          </cell>
          <cell r="B9160">
            <v>12956</v>
          </cell>
          <cell r="C9160">
            <v>45894</v>
          </cell>
          <cell r="D9160" t="str">
            <v>JILANI</v>
          </cell>
          <cell r="E9160" t="str">
            <v>Irfan SB Azam Market LHR</v>
          </cell>
        </row>
        <row r="9161">
          <cell r="A9161" t="str">
            <v>3904 J</v>
          </cell>
          <cell r="B9161">
            <v>12957</v>
          </cell>
          <cell r="C9161">
            <v>45894</v>
          </cell>
          <cell r="D9161" t="str">
            <v>JILANI</v>
          </cell>
          <cell r="E9161" t="str">
            <v>Ahmed Sweet And Bakers Chishtian</v>
          </cell>
        </row>
        <row r="9162">
          <cell r="A9162" t="str">
            <v>3905 J</v>
          </cell>
          <cell r="B9162">
            <v>12957</v>
          </cell>
          <cell r="C9162">
            <v>45894</v>
          </cell>
          <cell r="D9162" t="str">
            <v>JILANI</v>
          </cell>
          <cell r="E9162" t="str">
            <v>Ahmed Sweet And Bakers Chishtian</v>
          </cell>
        </row>
        <row r="9163">
          <cell r="A9163" t="str">
            <v>3906 J</v>
          </cell>
          <cell r="B9163">
            <v>12958</v>
          </cell>
          <cell r="C9163">
            <v>45894</v>
          </cell>
          <cell r="D9163" t="str">
            <v>JILANI</v>
          </cell>
          <cell r="E9163" t="str">
            <v>Fancy Garments Kamoki</v>
          </cell>
        </row>
        <row r="9164">
          <cell r="A9164" t="str">
            <v>3907 J</v>
          </cell>
          <cell r="B9164">
            <v>12958</v>
          </cell>
          <cell r="C9164">
            <v>45894</v>
          </cell>
          <cell r="D9164" t="str">
            <v>JILANI</v>
          </cell>
          <cell r="E9164" t="str">
            <v>Fancy Garments Kamoki</v>
          </cell>
        </row>
        <row r="9165">
          <cell r="A9165" t="str">
            <v>3908 J</v>
          </cell>
          <cell r="B9165">
            <v>12959</v>
          </cell>
          <cell r="C9165">
            <v>45894</v>
          </cell>
          <cell r="D9165" t="str">
            <v>JILANI</v>
          </cell>
          <cell r="E9165" t="str">
            <v>Fancy Garments Kamoki</v>
          </cell>
        </row>
        <row r="9166">
          <cell r="A9166" t="str">
            <v>3909 J</v>
          </cell>
          <cell r="B9166">
            <v>12959</v>
          </cell>
          <cell r="C9166">
            <v>45894</v>
          </cell>
          <cell r="D9166" t="str">
            <v>JILANI</v>
          </cell>
          <cell r="E9166" t="str">
            <v>Fancy Garments Kamoki</v>
          </cell>
        </row>
        <row r="9167">
          <cell r="A9167" t="str">
            <v>3910 J</v>
          </cell>
          <cell r="B9167">
            <v>12960</v>
          </cell>
          <cell r="C9167">
            <v>45894</v>
          </cell>
          <cell r="D9167" t="str">
            <v>JILANI</v>
          </cell>
          <cell r="E9167" t="str">
            <v>Fancy Garments Kamoki</v>
          </cell>
        </row>
        <row r="9168">
          <cell r="A9168" t="str">
            <v>3911 J</v>
          </cell>
          <cell r="B9168">
            <v>12961</v>
          </cell>
          <cell r="C9168">
            <v>45894</v>
          </cell>
          <cell r="D9168" t="str">
            <v>JILANI</v>
          </cell>
          <cell r="E9168" t="str">
            <v>Fancy Garments Kamoki</v>
          </cell>
        </row>
        <row r="9169">
          <cell r="A9169" t="str">
            <v>3912 J</v>
          </cell>
          <cell r="B9169">
            <v>12962</v>
          </cell>
          <cell r="C9169">
            <v>45894</v>
          </cell>
          <cell r="D9169" t="str">
            <v>JILANI</v>
          </cell>
          <cell r="E9169" t="str">
            <v>Malik Rashid D.G.K</v>
          </cell>
        </row>
        <row r="9170">
          <cell r="A9170" t="str">
            <v>3913 J</v>
          </cell>
          <cell r="B9170">
            <v>12962</v>
          </cell>
          <cell r="C9170">
            <v>45894</v>
          </cell>
          <cell r="D9170" t="str">
            <v>JILANI</v>
          </cell>
          <cell r="E9170" t="str">
            <v>Malik Rashid D.G.K</v>
          </cell>
        </row>
        <row r="9171">
          <cell r="A9171" t="str">
            <v>3914 J</v>
          </cell>
          <cell r="B9171">
            <v>12962</v>
          </cell>
          <cell r="C9171">
            <v>45894</v>
          </cell>
          <cell r="D9171" t="str">
            <v>JILANI</v>
          </cell>
          <cell r="E9171" t="str">
            <v>Malik Rashid D.G.K</v>
          </cell>
        </row>
        <row r="9172">
          <cell r="A9172" t="str">
            <v>3915 J</v>
          </cell>
          <cell r="B9172">
            <v>12963</v>
          </cell>
          <cell r="C9172">
            <v>45894</v>
          </cell>
          <cell r="D9172" t="str">
            <v>JILANI</v>
          </cell>
          <cell r="E9172" t="str">
            <v>Cakes and Bakes Lahore</v>
          </cell>
        </row>
        <row r="9173">
          <cell r="A9173" t="str">
            <v>3916 J</v>
          </cell>
          <cell r="B9173">
            <v>12963</v>
          </cell>
          <cell r="C9173">
            <v>45894</v>
          </cell>
          <cell r="D9173" t="str">
            <v>JILANI</v>
          </cell>
          <cell r="E9173" t="str">
            <v>Cakes and Bakes Lahore</v>
          </cell>
        </row>
        <row r="9174">
          <cell r="A9174" t="str">
            <v>3917 J</v>
          </cell>
          <cell r="B9174">
            <v>12964</v>
          </cell>
          <cell r="C9174">
            <v>45894</v>
          </cell>
          <cell r="D9174" t="str">
            <v>JILANI</v>
          </cell>
          <cell r="E9174" t="str">
            <v>Cakes and Bakes Lahore</v>
          </cell>
        </row>
        <row r="9175">
          <cell r="A9175" t="str">
            <v>3918 J</v>
          </cell>
          <cell r="B9175">
            <v>12964</v>
          </cell>
          <cell r="C9175">
            <v>45894</v>
          </cell>
          <cell r="D9175" t="str">
            <v>JILANI</v>
          </cell>
          <cell r="E9175" t="str">
            <v>Cakes and Bakes Lahore</v>
          </cell>
        </row>
        <row r="9176">
          <cell r="A9176" t="str">
            <v>38P/1</v>
          </cell>
          <cell r="B9176" t="str">
            <v>38P</v>
          </cell>
          <cell r="C9176">
            <v>45896</v>
          </cell>
          <cell r="D9176" t="e">
            <v>#N/A</v>
          </cell>
          <cell r="E9176"/>
        </row>
        <row r="9177">
          <cell r="A9177" t="str">
            <v>40P/1</v>
          </cell>
          <cell r="B9177" t="str">
            <v>40P</v>
          </cell>
          <cell r="C9177">
            <v>45896</v>
          </cell>
          <cell r="D9177" t="e">
            <v>#N/A</v>
          </cell>
          <cell r="E9177"/>
        </row>
        <row r="9178">
          <cell r="A9178" t="str">
            <v>42P/1</v>
          </cell>
          <cell r="B9178" t="str">
            <v>42P</v>
          </cell>
          <cell r="C9178">
            <v>45896</v>
          </cell>
          <cell r="D9178" t="e">
            <v>#N/A</v>
          </cell>
          <cell r="E9178"/>
        </row>
        <row r="9179">
          <cell r="A9179" t="str">
            <v>46P/1</v>
          </cell>
          <cell r="B9179" t="str">
            <v>46P</v>
          </cell>
          <cell r="C9179">
            <v>45896</v>
          </cell>
          <cell r="D9179" t="e">
            <v>#N/A</v>
          </cell>
          <cell r="E9179"/>
        </row>
        <row r="9180">
          <cell r="A9180" t="str">
            <v>11P/1</v>
          </cell>
          <cell r="B9180" t="str">
            <v>11P</v>
          </cell>
          <cell r="C9180">
            <v>45891</v>
          </cell>
          <cell r="D9180" t="e">
            <v>#N/A</v>
          </cell>
          <cell r="E9180"/>
        </row>
        <row r="9181">
          <cell r="A9181" t="str">
            <v>12P/1</v>
          </cell>
          <cell r="B9181" t="str">
            <v>12P</v>
          </cell>
          <cell r="C9181">
            <v>45891</v>
          </cell>
          <cell r="D9181" t="e">
            <v>#N/A</v>
          </cell>
          <cell r="E9181"/>
        </row>
        <row r="9182">
          <cell r="A9182" t="str">
            <v>2.53/1</v>
          </cell>
          <cell r="B9182">
            <v>2.5299999999999998</v>
          </cell>
          <cell r="C9182">
            <v>45896</v>
          </cell>
          <cell r="D9182" t="str">
            <v>STOCK</v>
          </cell>
          <cell r="E9182" t="str">
            <v>سٹاک</v>
          </cell>
        </row>
        <row r="9183">
          <cell r="A9183" t="str">
            <v>714/1</v>
          </cell>
          <cell r="B9183">
            <v>714</v>
          </cell>
          <cell r="C9183">
            <v>45896</v>
          </cell>
          <cell r="D9183" t="str">
            <v>STOCK</v>
          </cell>
          <cell r="E9183" t="str">
            <v>سٹاک</v>
          </cell>
        </row>
        <row r="9184">
          <cell r="A9184" t="str">
            <v>812/1</v>
          </cell>
          <cell r="B9184">
            <v>812</v>
          </cell>
          <cell r="C9184">
            <v>45896</v>
          </cell>
          <cell r="D9184" t="str">
            <v>STOCK</v>
          </cell>
          <cell r="E9184" t="str">
            <v>سٹاک</v>
          </cell>
        </row>
        <row r="9185">
          <cell r="A9185" t="str">
            <v>914/1</v>
          </cell>
          <cell r="B9185">
            <v>914</v>
          </cell>
          <cell r="C9185">
            <v>45896</v>
          </cell>
          <cell r="D9185" t="str">
            <v>STOCK</v>
          </cell>
          <cell r="E9185" t="str">
            <v>سٹاک</v>
          </cell>
        </row>
        <row r="9186">
          <cell r="A9186" t="str">
            <v>1016/1</v>
          </cell>
          <cell r="B9186">
            <v>1016</v>
          </cell>
          <cell r="C9186">
            <v>45896</v>
          </cell>
          <cell r="D9186" t="str">
            <v>STOCK</v>
          </cell>
          <cell r="E9186" t="str">
            <v>سٹاک</v>
          </cell>
        </row>
        <row r="9187">
          <cell r="A9187" t="str">
            <v>1216/1</v>
          </cell>
          <cell r="B9187">
            <v>1216</v>
          </cell>
          <cell r="C9187">
            <v>45896</v>
          </cell>
          <cell r="D9187" t="str">
            <v>STOCK</v>
          </cell>
          <cell r="E9187" t="str">
            <v>سٹاک</v>
          </cell>
        </row>
        <row r="9188">
          <cell r="A9188" t="str">
            <v>1418/1</v>
          </cell>
          <cell r="B9188" t="str">
            <v>1418</v>
          </cell>
          <cell r="C9188">
            <v>45896</v>
          </cell>
          <cell r="D9188" t="str">
            <v>STOCK</v>
          </cell>
          <cell r="E9188" t="str">
            <v>سٹاک</v>
          </cell>
        </row>
        <row r="9189">
          <cell r="A9189" t="str">
            <v>1420/1</v>
          </cell>
          <cell r="B9189" t="str">
            <v>1420</v>
          </cell>
          <cell r="C9189">
            <v>45896</v>
          </cell>
          <cell r="D9189" t="str">
            <v>STOCK</v>
          </cell>
          <cell r="E9189" t="str">
            <v>سٹاک</v>
          </cell>
        </row>
        <row r="9190">
          <cell r="A9190" t="str">
            <v>23/1</v>
          </cell>
          <cell r="B9190" t="str">
            <v>23</v>
          </cell>
          <cell r="C9190">
            <v>45896</v>
          </cell>
          <cell r="D9190" t="str">
            <v>STOCK</v>
          </cell>
          <cell r="E9190" t="str">
            <v>سٹاک</v>
          </cell>
        </row>
        <row r="9191">
          <cell r="A9191" t="str">
            <v>59/1</v>
          </cell>
          <cell r="B9191" t="str">
            <v>59</v>
          </cell>
          <cell r="C9191">
            <v>45896</v>
          </cell>
          <cell r="D9191" t="str">
            <v>STOCK</v>
          </cell>
          <cell r="E9191" t="str">
            <v>سٹاک</v>
          </cell>
        </row>
        <row r="9192">
          <cell r="A9192" t="str">
            <v>512/1</v>
          </cell>
          <cell r="B9192" t="str">
            <v>512</v>
          </cell>
          <cell r="C9192">
            <v>45896</v>
          </cell>
          <cell r="D9192" t="str">
            <v>STOCK</v>
          </cell>
          <cell r="E9192" t="str">
            <v>سٹاک</v>
          </cell>
        </row>
        <row r="9193">
          <cell r="A9193" t="str">
            <v>514/1</v>
          </cell>
          <cell r="B9193" t="str">
            <v>514</v>
          </cell>
          <cell r="C9193">
            <v>45896</v>
          </cell>
          <cell r="D9193" t="str">
            <v>STOCK</v>
          </cell>
          <cell r="E9193" t="str">
            <v>سٹاک</v>
          </cell>
        </row>
        <row r="9194">
          <cell r="A9194" t="str">
            <v>68/1</v>
          </cell>
          <cell r="B9194" t="str">
            <v>68</v>
          </cell>
          <cell r="C9194">
            <v>45896</v>
          </cell>
          <cell r="D9194" t="str">
            <v>STOCK</v>
          </cell>
          <cell r="E9194" t="str">
            <v>سٹاک</v>
          </cell>
        </row>
        <row r="9195">
          <cell r="A9195" t="str">
            <v>69/1</v>
          </cell>
          <cell r="B9195" t="str">
            <v>69</v>
          </cell>
          <cell r="C9195">
            <v>45896</v>
          </cell>
          <cell r="D9195" t="str">
            <v>STOCK</v>
          </cell>
          <cell r="E9195" t="str">
            <v>سٹاک</v>
          </cell>
        </row>
        <row r="9196">
          <cell r="A9196" t="str">
            <v>711/1</v>
          </cell>
          <cell r="B9196" t="str">
            <v>711</v>
          </cell>
          <cell r="C9196">
            <v>45896</v>
          </cell>
          <cell r="D9196" t="str">
            <v>STOCK</v>
          </cell>
          <cell r="E9196" t="str">
            <v>سٹاک</v>
          </cell>
        </row>
        <row r="9197">
          <cell r="A9197" t="str">
            <v>810/1</v>
          </cell>
          <cell r="B9197" t="str">
            <v>810</v>
          </cell>
          <cell r="C9197">
            <v>45896</v>
          </cell>
          <cell r="D9197" t="str">
            <v>STOCK</v>
          </cell>
          <cell r="E9197" t="str">
            <v>سٹاک</v>
          </cell>
        </row>
        <row r="9198">
          <cell r="A9198" t="str">
            <v>1114/1</v>
          </cell>
          <cell r="B9198" t="str">
            <v>1114</v>
          </cell>
          <cell r="C9198">
            <v>45896</v>
          </cell>
          <cell r="D9198" t="str">
            <v>STOCK</v>
          </cell>
          <cell r="E9198" t="str">
            <v>سٹاک</v>
          </cell>
        </row>
        <row r="9199">
          <cell r="A9199" t="str">
            <v>1322/1</v>
          </cell>
          <cell r="B9199" t="str">
            <v>1322</v>
          </cell>
          <cell r="C9199">
            <v>45896</v>
          </cell>
          <cell r="D9199" t="str">
            <v>STOCK</v>
          </cell>
          <cell r="E9199" t="str">
            <v>سٹاک</v>
          </cell>
        </row>
        <row r="9200">
          <cell r="A9200" t="str">
            <v>913/1</v>
          </cell>
          <cell r="B9200" t="str">
            <v>913</v>
          </cell>
          <cell r="C9200">
            <v>45896</v>
          </cell>
          <cell r="D9200" t="str">
            <v>STOCK</v>
          </cell>
          <cell r="E9200" t="str">
            <v>سٹاک</v>
          </cell>
        </row>
        <row r="9201">
          <cell r="A9201" t="str">
            <v>1014/1</v>
          </cell>
          <cell r="B9201" t="str">
            <v>1014</v>
          </cell>
          <cell r="C9201">
            <v>45896</v>
          </cell>
          <cell r="D9201" t="str">
            <v>STOCK</v>
          </cell>
          <cell r="E9201" t="str">
            <v>سٹاک</v>
          </cell>
        </row>
        <row r="9202">
          <cell r="A9202" t="str">
            <v>1218/1</v>
          </cell>
          <cell r="B9202" t="str">
            <v>1218</v>
          </cell>
          <cell r="C9202">
            <v>45896</v>
          </cell>
          <cell r="D9202" t="str">
            <v>STOCK</v>
          </cell>
          <cell r="E9202" t="str">
            <v>سٹاک</v>
          </cell>
        </row>
        <row r="9203">
          <cell r="A9203" t="str">
            <v>814/1</v>
          </cell>
          <cell r="B9203" t="str">
            <v>814</v>
          </cell>
          <cell r="C9203">
            <v>45896</v>
          </cell>
          <cell r="D9203" t="str">
            <v>STOCK</v>
          </cell>
          <cell r="E9203" t="str">
            <v>سٹاک</v>
          </cell>
        </row>
        <row r="9204">
          <cell r="A9204" t="str">
            <v>5/1</v>
          </cell>
          <cell r="B9204" t="str">
            <v>5</v>
          </cell>
          <cell r="C9204">
            <v>45896</v>
          </cell>
          <cell r="D9204" t="str">
            <v>STOCK</v>
          </cell>
          <cell r="E9204" t="str">
            <v>سٹاک</v>
          </cell>
        </row>
        <row r="9205">
          <cell r="A9205" t="str">
            <v>7/1</v>
          </cell>
          <cell r="B9205" t="str">
            <v>7</v>
          </cell>
          <cell r="C9205">
            <v>45896</v>
          </cell>
          <cell r="D9205" t="str">
            <v>STOCK</v>
          </cell>
          <cell r="E9205" t="str">
            <v>سٹاک</v>
          </cell>
        </row>
        <row r="9206">
          <cell r="A9206" t="str">
            <v>8/1</v>
          </cell>
          <cell r="B9206" t="str">
            <v>8</v>
          </cell>
          <cell r="C9206">
            <v>45896</v>
          </cell>
          <cell r="D9206" t="str">
            <v>STOCK</v>
          </cell>
          <cell r="E9206" t="str">
            <v>سٹاک</v>
          </cell>
        </row>
        <row r="9207">
          <cell r="A9207" t="str">
            <v>9/1</v>
          </cell>
          <cell r="B9207" t="str">
            <v>9</v>
          </cell>
          <cell r="C9207">
            <v>45896</v>
          </cell>
          <cell r="D9207" t="str">
            <v>STOCK</v>
          </cell>
          <cell r="E9207" t="str">
            <v>سٹاک</v>
          </cell>
        </row>
        <row r="9208">
          <cell r="A9208" t="str">
            <v>10/1</v>
          </cell>
          <cell r="B9208" t="str">
            <v>10</v>
          </cell>
          <cell r="C9208">
            <v>45896</v>
          </cell>
          <cell r="D9208" t="str">
            <v>STOCK</v>
          </cell>
          <cell r="E9208" t="str">
            <v>سٹاک</v>
          </cell>
        </row>
        <row r="9209">
          <cell r="A9209" t="str">
            <v>11/1</v>
          </cell>
          <cell r="B9209" t="str">
            <v>11</v>
          </cell>
          <cell r="C9209">
            <v>45896</v>
          </cell>
          <cell r="D9209" t="str">
            <v>STOCK</v>
          </cell>
          <cell r="E9209" t="str">
            <v>سٹاک</v>
          </cell>
        </row>
        <row r="9210">
          <cell r="A9210" t="str">
            <v>12/1</v>
          </cell>
          <cell r="B9210" t="str">
            <v>12</v>
          </cell>
          <cell r="C9210">
            <v>45896</v>
          </cell>
          <cell r="D9210" t="str">
            <v>STOCK</v>
          </cell>
          <cell r="E9210" t="str">
            <v>سٹاک</v>
          </cell>
        </row>
        <row r="9211">
          <cell r="A9211" t="str">
            <v>2053 F</v>
          </cell>
          <cell r="B9211"/>
          <cell r="C9211">
            <v>45895</v>
          </cell>
          <cell r="D9211" t="str">
            <v>Fina</v>
          </cell>
          <cell r="E9211" t="str">
            <v>Usman Amin</v>
          </cell>
        </row>
        <row r="9212">
          <cell r="A9212" t="str">
            <v>2054 F</v>
          </cell>
          <cell r="B9212"/>
          <cell r="C9212">
            <v>45895</v>
          </cell>
          <cell r="D9212" t="str">
            <v>Fina</v>
          </cell>
          <cell r="E9212" t="str">
            <v>Usman Amin</v>
          </cell>
        </row>
        <row r="9213">
          <cell r="A9213" t="str">
            <v>2055 F</v>
          </cell>
          <cell r="B9213"/>
          <cell r="C9213">
            <v>45895</v>
          </cell>
          <cell r="D9213" t="str">
            <v>Fina</v>
          </cell>
          <cell r="E9213" t="str">
            <v>Usman Amin</v>
          </cell>
        </row>
        <row r="9214">
          <cell r="A9214" t="str">
            <v>2056 F</v>
          </cell>
          <cell r="B9214"/>
          <cell r="C9214">
            <v>45896</v>
          </cell>
          <cell r="D9214" t="str">
            <v>Fina</v>
          </cell>
          <cell r="E9214" t="str">
            <v>Usman Amin</v>
          </cell>
        </row>
        <row r="9215">
          <cell r="A9215" t="str">
            <v>2057 F</v>
          </cell>
          <cell r="B9215"/>
          <cell r="C9215">
            <v>45896</v>
          </cell>
          <cell r="D9215" t="str">
            <v>Fina</v>
          </cell>
          <cell r="E9215" t="str">
            <v>Usman Amin</v>
          </cell>
        </row>
        <row r="9216">
          <cell r="A9216" t="str">
            <v>2058 F</v>
          </cell>
          <cell r="B9216"/>
          <cell r="C9216">
            <v>45896</v>
          </cell>
          <cell r="D9216" t="str">
            <v>Fina</v>
          </cell>
          <cell r="E9216" t="str">
            <v>Usman Amin</v>
          </cell>
        </row>
        <row r="9217">
          <cell r="A9217" t="str">
            <v>2059 F</v>
          </cell>
          <cell r="B9217"/>
          <cell r="C9217">
            <v>45896</v>
          </cell>
          <cell r="D9217" t="str">
            <v>Fina</v>
          </cell>
          <cell r="E9217" t="str">
            <v>Usman Amin</v>
          </cell>
        </row>
        <row r="9218">
          <cell r="A9218" t="str">
            <v>2060 F</v>
          </cell>
          <cell r="B9218"/>
          <cell r="C9218">
            <v>45896</v>
          </cell>
          <cell r="D9218" t="str">
            <v>Fina</v>
          </cell>
          <cell r="E9218" t="str">
            <v>Usman Amin</v>
          </cell>
        </row>
        <row r="9219">
          <cell r="A9219" t="str">
            <v>2061 F</v>
          </cell>
          <cell r="B9219"/>
          <cell r="C9219">
            <v>45896</v>
          </cell>
          <cell r="D9219" t="str">
            <v>Fina</v>
          </cell>
          <cell r="E9219" t="str">
            <v>Usman Amin</v>
          </cell>
        </row>
        <row r="9220">
          <cell r="A9220" t="str">
            <v>2062 F</v>
          </cell>
          <cell r="B9220"/>
          <cell r="C9220">
            <v>45896</v>
          </cell>
          <cell r="D9220" t="str">
            <v>Fina</v>
          </cell>
          <cell r="E9220" t="str">
            <v>Usman Amin</v>
          </cell>
        </row>
        <row r="9221">
          <cell r="A9221" t="str">
            <v>2063 F</v>
          </cell>
          <cell r="B9221"/>
          <cell r="C9221">
            <v>45896</v>
          </cell>
          <cell r="D9221" t="str">
            <v>Fina</v>
          </cell>
          <cell r="E9221" t="str">
            <v>Usman Amin</v>
          </cell>
        </row>
        <row r="9222">
          <cell r="A9222" t="str">
            <v>2064 F</v>
          </cell>
          <cell r="B9222"/>
          <cell r="C9222">
            <v>45896</v>
          </cell>
          <cell r="D9222" t="str">
            <v>Fina</v>
          </cell>
          <cell r="E9222" t="str">
            <v>Usman Amin</v>
          </cell>
        </row>
        <row r="9223">
          <cell r="A9223" t="str">
            <v>2065 F</v>
          </cell>
          <cell r="B9223"/>
          <cell r="C9223">
            <v>45896</v>
          </cell>
          <cell r="D9223" t="str">
            <v>Fina</v>
          </cell>
          <cell r="E9223" t="str">
            <v>Usman Amin</v>
          </cell>
        </row>
        <row r="9224">
          <cell r="A9224" t="str">
            <v>2066 F</v>
          </cell>
          <cell r="B9224"/>
          <cell r="C9224">
            <v>45896</v>
          </cell>
          <cell r="D9224" t="str">
            <v>Fina</v>
          </cell>
          <cell r="E9224" t="str">
            <v>Usman Amin</v>
          </cell>
        </row>
        <row r="9225">
          <cell r="A9225" t="str">
            <v>2067 F</v>
          </cell>
          <cell r="B9225"/>
          <cell r="C9225">
            <v>45896</v>
          </cell>
          <cell r="D9225" t="str">
            <v>Fina</v>
          </cell>
          <cell r="E9225" t="str">
            <v>Usman Amin</v>
          </cell>
        </row>
        <row r="9226">
          <cell r="A9226" t="str">
            <v>3919 J</v>
          </cell>
          <cell r="B9226"/>
          <cell r="C9226">
            <v>45894</v>
          </cell>
          <cell r="D9226" t="str">
            <v>OTHER</v>
          </cell>
          <cell r="E9226" t="str">
            <v>Jilani plastic</v>
          </cell>
        </row>
        <row r="9227">
          <cell r="A9227" t="str">
            <v>3920 J</v>
          </cell>
          <cell r="B9227">
            <v>12965</v>
          </cell>
          <cell r="C9227">
            <v>45895</v>
          </cell>
          <cell r="D9227" t="str">
            <v>JILANI</v>
          </cell>
          <cell r="E9227" t="str">
            <v>Cakes and Bakes Lahore</v>
          </cell>
        </row>
        <row r="9228">
          <cell r="A9228" t="str">
            <v>3921 J</v>
          </cell>
          <cell r="B9228">
            <v>12965</v>
          </cell>
          <cell r="C9228">
            <v>45895</v>
          </cell>
          <cell r="D9228" t="str">
            <v>JILANI</v>
          </cell>
          <cell r="E9228" t="str">
            <v>Cakes and Bakes Lahore</v>
          </cell>
        </row>
        <row r="9229">
          <cell r="A9229" t="str">
            <v>3922 J</v>
          </cell>
          <cell r="B9229">
            <v>12966</v>
          </cell>
          <cell r="C9229">
            <v>45895</v>
          </cell>
          <cell r="D9229" t="str">
            <v>JILANI</v>
          </cell>
          <cell r="E9229" t="str">
            <v>Ramada Multan</v>
          </cell>
        </row>
        <row r="9230">
          <cell r="A9230" t="str">
            <v>3923 J</v>
          </cell>
          <cell r="B9230">
            <v>12967</v>
          </cell>
          <cell r="C9230">
            <v>45895</v>
          </cell>
          <cell r="D9230" t="str">
            <v>JILANI</v>
          </cell>
          <cell r="E9230" t="str">
            <v>Fixit Tile Band Lahore</v>
          </cell>
        </row>
        <row r="9231">
          <cell r="A9231" t="str">
            <v>3924 J</v>
          </cell>
          <cell r="B9231">
            <v>12968</v>
          </cell>
          <cell r="C9231">
            <v>45895</v>
          </cell>
          <cell r="D9231" t="str">
            <v>JILANI</v>
          </cell>
          <cell r="E9231" t="str">
            <v>Zam Zam Walvat Azam Market LHR</v>
          </cell>
        </row>
        <row r="9232">
          <cell r="A9232" t="str">
            <v>3925 J</v>
          </cell>
          <cell r="B9232">
            <v>12968</v>
          </cell>
          <cell r="C9232">
            <v>45895</v>
          </cell>
          <cell r="D9232" t="str">
            <v>JILANI</v>
          </cell>
          <cell r="E9232" t="str">
            <v>Zam Zam Walvat Azam Market LHR</v>
          </cell>
        </row>
        <row r="9233">
          <cell r="A9233" t="str">
            <v>3926 J</v>
          </cell>
          <cell r="B9233">
            <v>12968</v>
          </cell>
          <cell r="C9233">
            <v>45895</v>
          </cell>
          <cell r="D9233" t="str">
            <v>JILANI</v>
          </cell>
          <cell r="E9233" t="str">
            <v>Zam Zam Walvat Azam Market LHR</v>
          </cell>
        </row>
        <row r="9234">
          <cell r="A9234" t="str">
            <v>3927 J</v>
          </cell>
          <cell r="B9234">
            <v>12969</v>
          </cell>
          <cell r="C9234">
            <v>45895</v>
          </cell>
          <cell r="D9234" t="str">
            <v>JILANI</v>
          </cell>
          <cell r="E9234" t="str">
            <v xml:space="preserve">Allied Impex Sialkot </v>
          </cell>
        </row>
        <row r="9235">
          <cell r="A9235" t="str">
            <v>3928 J</v>
          </cell>
          <cell r="B9235">
            <v>12970</v>
          </cell>
          <cell r="C9235">
            <v>45895</v>
          </cell>
          <cell r="D9235" t="str">
            <v>JILANI</v>
          </cell>
          <cell r="E9235" t="str">
            <v xml:space="preserve">Allied Impex Sialkot </v>
          </cell>
        </row>
        <row r="9236">
          <cell r="A9236" t="str">
            <v>3929 J</v>
          </cell>
          <cell r="B9236">
            <v>12970</v>
          </cell>
          <cell r="C9236">
            <v>45895</v>
          </cell>
          <cell r="D9236" t="str">
            <v>JILANI</v>
          </cell>
          <cell r="E9236" t="str">
            <v xml:space="preserve">Allied Impex Sialkot </v>
          </cell>
        </row>
        <row r="9237">
          <cell r="A9237" t="str">
            <v>3930 J</v>
          </cell>
          <cell r="B9237">
            <v>12971</v>
          </cell>
          <cell r="C9237">
            <v>45895</v>
          </cell>
          <cell r="D9237" t="str">
            <v>JILANI</v>
          </cell>
          <cell r="E9237" t="str">
            <v>Imran Plas Jranwala</v>
          </cell>
        </row>
        <row r="9238">
          <cell r="A9238" t="str">
            <v>3931 J</v>
          </cell>
          <cell r="B9238">
            <v>12971</v>
          </cell>
          <cell r="C9238">
            <v>45895</v>
          </cell>
          <cell r="D9238" t="str">
            <v>JILANI</v>
          </cell>
          <cell r="E9238" t="str">
            <v>Imran Plas Jranwala</v>
          </cell>
        </row>
        <row r="9239">
          <cell r="A9239" t="str">
            <v>3932 J</v>
          </cell>
          <cell r="B9239">
            <v>12971</v>
          </cell>
          <cell r="C9239">
            <v>45895</v>
          </cell>
          <cell r="D9239" t="str">
            <v>JILANI</v>
          </cell>
          <cell r="E9239" t="str">
            <v>Imran Plas Jranwala</v>
          </cell>
        </row>
        <row r="9240">
          <cell r="A9240" t="str">
            <v>3933 J</v>
          </cell>
          <cell r="B9240">
            <v>12972</v>
          </cell>
          <cell r="C9240">
            <v>45895</v>
          </cell>
          <cell r="D9240" t="str">
            <v>JILANI</v>
          </cell>
          <cell r="E9240" t="str">
            <v>Imran Plas Jranwala</v>
          </cell>
        </row>
        <row r="9241">
          <cell r="A9241" t="str">
            <v>3934 J</v>
          </cell>
          <cell r="B9241">
            <v>12973</v>
          </cell>
          <cell r="C9241">
            <v>45895</v>
          </cell>
          <cell r="D9241" t="str">
            <v>JILANI</v>
          </cell>
          <cell r="E9241" t="str">
            <v>New Royal Sweet And Bakers Kohat</v>
          </cell>
        </row>
        <row r="9242">
          <cell r="A9242" t="str">
            <v>3935 J</v>
          </cell>
          <cell r="B9242">
            <v>12974</v>
          </cell>
          <cell r="C9242">
            <v>45895</v>
          </cell>
          <cell r="D9242" t="str">
            <v>JILANI</v>
          </cell>
          <cell r="E9242" t="str">
            <v>New Royal Sweet And Bakers Kohat</v>
          </cell>
        </row>
        <row r="9243">
          <cell r="A9243" t="str">
            <v>3936 J</v>
          </cell>
          <cell r="B9243">
            <v>12974</v>
          </cell>
          <cell r="C9243">
            <v>45895</v>
          </cell>
          <cell r="D9243" t="str">
            <v>JILANI</v>
          </cell>
          <cell r="E9243" t="str">
            <v>New Royal Sweet And Bakers Kohat</v>
          </cell>
        </row>
        <row r="9244">
          <cell r="A9244" t="str">
            <v>3937 J</v>
          </cell>
          <cell r="B9244">
            <v>12974</v>
          </cell>
          <cell r="C9244">
            <v>45895</v>
          </cell>
          <cell r="D9244" t="str">
            <v>JILANI</v>
          </cell>
          <cell r="E9244" t="str">
            <v>New Royal Sweet And Bakers Kohat</v>
          </cell>
        </row>
        <row r="9245">
          <cell r="A9245" t="str">
            <v>3938 J</v>
          </cell>
          <cell r="B9245">
            <v>12975</v>
          </cell>
          <cell r="C9245">
            <v>45895</v>
          </cell>
          <cell r="D9245" t="str">
            <v>JILANI</v>
          </cell>
          <cell r="E9245" t="str">
            <v>Perfect Food Industry LHR</v>
          </cell>
        </row>
        <row r="9246">
          <cell r="A9246" t="str">
            <v>3939 J</v>
          </cell>
          <cell r="B9246">
            <v>12975</v>
          </cell>
          <cell r="C9246">
            <v>45895</v>
          </cell>
          <cell r="D9246" t="str">
            <v>JILANI</v>
          </cell>
          <cell r="E9246" t="str">
            <v>Perfect Food Industry LHR</v>
          </cell>
        </row>
        <row r="9247">
          <cell r="A9247" t="str">
            <v>3940 J</v>
          </cell>
          <cell r="B9247">
            <v>12975</v>
          </cell>
          <cell r="C9247">
            <v>45895</v>
          </cell>
          <cell r="D9247" t="str">
            <v>JILANI</v>
          </cell>
          <cell r="E9247" t="str">
            <v>Perfect Food Industry LHR</v>
          </cell>
        </row>
        <row r="9248">
          <cell r="A9248" t="str">
            <v>3941 J</v>
          </cell>
          <cell r="B9248">
            <v>12976</v>
          </cell>
          <cell r="C9248">
            <v>45895</v>
          </cell>
          <cell r="D9248" t="str">
            <v>JILANI</v>
          </cell>
          <cell r="E9248" t="str">
            <v>Cakes and Bakes Lahore</v>
          </cell>
        </row>
        <row r="9249">
          <cell r="A9249" t="str">
            <v>3942 J</v>
          </cell>
          <cell r="B9249">
            <v>12977</v>
          </cell>
          <cell r="C9249">
            <v>45896</v>
          </cell>
          <cell r="D9249" t="str">
            <v>JILANI</v>
          </cell>
          <cell r="E9249" t="str">
            <v>Maqsood Plastic Badami Bag LHR</v>
          </cell>
        </row>
        <row r="9250">
          <cell r="A9250" t="str">
            <v>3943 J</v>
          </cell>
          <cell r="B9250">
            <v>12977</v>
          </cell>
          <cell r="C9250">
            <v>45896</v>
          </cell>
          <cell r="D9250" t="str">
            <v>JILANI</v>
          </cell>
          <cell r="E9250" t="str">
            <v>Maqsood Plastic Badami Bag LHR</v>
          </cell>
        </row>
        <row r="9251">
          <cell r="A9251" t="str">
            <v>3944 J</v>
          </cell>
          <cell r="B9251">
            <v>12977</v>
          </cell>
          <cell r="C9251">
            <v>45896</v>
          </cell>
          <cell r="D9251" t="str">
            <v>JILANI</v>
          </cell>
          <cell r="E9251" t="str">
            <v>Maqsood Plastic Badami Bag LHR</v>
          </cell>
        </row>
        <row r="9252">
          <cell r="A9252" t="str">
            <v>3945 J</v>
          </cell>
          <cell r="B9252">
            <v>12977</v>
          </cell>
          <cell r="C9252">
            <v>45896</v>
          </cell>
          <cell r="D9252" t="str">
            <v>JILANI</v>
          </cell>
          <cell r="E9252" t="str">
            <v>Maqsood Plastic Badami Bag LHR</v>
          </cell>
        </row>
        <row r="9253">
          <cell r="A9253" t="str">
            <v>3946 J</v>
          </cell>
          <cell r="B9253">
            <v>12978</v>
          </cell>
          <cell r="C9253">
            <v>45896</v>
          </cell>
          <cell r="D9253" t="str">
            <v>JILANI</v>
          </cell>
          <cell r="E9253" t="str">
            <v>Atlas Honda LTD Krachi</v>
          </cell>
        </row>
        <row r="9254">
          <cell r="A9254" t="str">
            <v>3947 J</v>
          </cell>
          <cell r="B9254">
            <v>12979</v>
          </cell>
          <cell r="C9254">
            <v>45896</v>
          </cell>
          <cell r="D9254" t="str">
            <v>JILANI</v>
          </cell>
          <cell r="E9254" t="str">
            <v>Atlas Honda LTD (SKP)</v>
          </cell>
        </row>
        <row r="9255">
          <cell r="A9255" t="str">
            <v>3948 J</v>
          </cell>
          <cell r="B9255">
            <v>12980</v>
          </cell>
          <cell r="C9255">
            <v>45896</v>
          </cell>
          <cell r="D9255" t="str">
            <v>JILANI</v>
          </cell>
          <cell r="E9255" t="str">
            <v>Atlas Honda LTD (SKP)</v>
          </cell>
        </row>
        <row r="9256">
          <cell r="A9256" t="str">
            <v>3949 J</v>
          </cell>
          <cell r="B9256">
            <v>12981</v>
          </cell>
          <cell r="C9256">
            <v>45896</v>
          </cell>
          <cell r="D9256" t="str">
            <v>JILANI</v>
          </cell>
          <cell r="E9256" t="str">
            <v>Atlas Honda LTD (SKP)</v>
          </cell>
        </row>
        <row r="9257">
          <cell r="A9257" t="str">
            <v>3950 J</v>
          </cell>
          <cell r="B9257">
            <v>12982</v>
          </cell>
          <cell r="C9257">
            <v>45896</v>
          </cell>
          <cell r="D9257" t="str">
            <v>JILANI</v>
          </cell>
          <cell r="E9257" t="str">
            <v>Atlas Honda LTD (SKP)</v>
          </cell>
        </row>
        <row r="9258">
          <cell r="A9258" t="str">
            <v>3951 J</v>
          </cell>
          <cell r="B9258">
            <v>12983</v>
          </cell>
          <cell r="C9258">
            <v>45896</v>
          </cell>
          <cell r="D9258" t="str">
            <v>JILANI</v>
          </cell>
          <cell r="E9258" t="str">
            <v>Atlas Honda LTD (SKP)</v>
          </cell>
        </row>
        <row r="9259">
          <cell r="A9259" t="str">
            <v>3952 J</v>
          </cell>
          <cell r="B9259">
            <v>12984</v>
          </cell>
          <cell r="C9259">
            <v>45896</v>
          </cell>
          <cell r="D9259" t="str">
            <v>JILANI</v>
          </cell>
          <cell r="E9259" t="str">
            <v>Atlas Honda LTD (SKP)</v>
          </cell>
        </row>
        <row r="9260">
          <cell r="A9260" t="str">
            <v>3953 J</v>
          </cell>
          <cell r="B9260">
            <v>12985</v>
          </cell>
          <cell r="C9260">
            <v>45896</v>
          </cell>
          <cell r="D9260" t="str">
            <v>JILANI</v>
          </cell>
          <cell r="E9260" t="str">
            <v>Atlas Honda LTD (SKP)</v>
          </cell>
        </row>
        <row r="9261">
          <cell r="A9261" t="str">
            <v>3954 J</v>
          </cell>
          <cell r="B9261">
            <v>12986</v>
          </cell>
          <cell r="C9261">
            <v>45896</v>
          </cell>
          <cell r="D9261" t="str">
            <v>JILANI</v>
          </cell>
          <cell r="E9261" t="str">
            <v>Atlas Honda LTD (SKP)</v>
          </cell>
        </row>
        <row r="9262">
          <cell r="A9262" t="str">
            <v>3955 J</v>
          </cell>
          <cell r="B9262">
            <v>12987</v>
          </cell>
          <cell r="C9262">
            <v>45896</v>
          </cell>
          <cell r="D9262" t="str">
            <v>JILANI</v>
          </cell>
          <cell r="E9262" t="str">
            <v>Atlas Honda LTD (SKP)</v>
          </cell>
        </row>
        <row r="9263">
          <cell r="A9263" t="str">
            <v>3956 J</v>
          </cell>
          <cell r="B9263">
            <v>12988</v>
          </cell>
          <cell r="C9263">
            <v>45896</v>
          </cell>
          <cell r="D9263" t="str">
            <v>JILANI</v>
          </cell>
          <cell r="E9263" t="str">
            <v>Atlas Honda LTD (SKP)</v>
          </cell>
        </row>
        <row r="9264">
          <cell r="A9264" t="str">
            <v>3957 J</v>
          </cell>
          <cell r="B9264">
            <v>12989</v>
          </cell>
          <cell r="C9264">
            <v>45896</v>
          </cell>
          <cell r="D9264" t="str">
            <v>JILANI</v>
          </cell>
          <cell r="E9264" t="str">
            <v>Atlas Honda LTD (SKP)</v>
          </cell>
        </row>
        <row r="9265">
          <cell r="A9265" t="str">
            <v>3958 J</v>
          </cell>
          <cell r="B9265">
            <v>12990</v>
          </cell>
          <cell r="C9265">
            <v>45896</v>
          </cell>
          <cell r="D9265" t="str">
            <v>JILANI</v>
          </cell>
          <cell r="E9265" t="str">
            <v>Atlas Honda LTD (SKP)</v>
          </cell>
        </row>
        <row r="9266">
          <cell r="A9266" t="str">
            <v>3959 J</v>
          </cell>
          <cell r="B9266">
            <v>12991</v>
          </cell>
          <cell r="C9266">
            <v>45896</v>
          </cell>
          <cell r="D9266" t="str">
            <v>JILANI</v>
          </cell>
          <cell r="E9266" t="str">
            <v>Ali Hajwairy Azam Market LHR</v>
          </cell>
        </row>
        <row r="9267">
          <cell r="A9267" t="str">
            <v>3960 J</v>
          </cell>
          <cell r="B9267">
            <v>12992</v>
          </cell>
          <cell r="C9267">
            <v>45896</v>
          </cell>
          <cell r="D9267" t="str">
            <v>JILANI</v>
          </cell>
          <cell r="E9267" t="str">
            <v xml:space="preserve">Pak Sweets Khan Ghah Dogran </v>
          </cell>
        </row>
        <row r="9268">
          <cell r="A9268" t="str">
            <v>3961 J</v>
          </cell>
          <cell r="B9268">
            <v>12992</v>
          </cell>
          <cell r="C9268">
            <v>45896</v>
          </cell>
          <cell r="D9268" t="str">
            <v>JILANI</v>
          </cell>
          <cell r="E9268" t="str">
            <v xml:space="preserve">Pak Sweets Khan Ghah Dogran </v>
          </cell>
        </row>
        <row r="9269">
          <cell r="A9269" t="str">
            <v>3962 J</v>
          </cell>
          <cell r="B9269">
            <v>12993</v>
          </cell>
          <cell r="C9269">
            <v>45896</v>
          </cell>
          <cell r="D9269" t="str">
            <v>JILANI</v>
          </cell>
          <cell r="E9269" t="str">
            <v>Al Habib Plastic Okara</v>
          </cell>
        </row>
        <row r="9270">
          <cell r="A9270" t="str">
            <v>3963 J</v>
          </cell>
          <cell r="B9270">
            <v>12994</v>
          </cell>
          <cell r="C9270">
            <v>45896</v>
          </cell>
          <cell r="D9270" t="str">
            <v>JILANI</v>
          </cell>
          <cell r="E9270" t="str">
            <v>Al Habib Plastic Okara</v>
          </cell>
        </row>
        <row r="9271">
          <cell r="A9271" t="str">
            <v>3964 J</v>
          </cell>
          <cell r="B9271">
            <v>12994</v>
          </cell>
          <cell r="C9271">
            <v>45896</v>
          </cell>
          <cell r="D9271" t="str">
            <v>JILANI</v>
          </cell>
          <cell r="E9271" t="str">
            <v>Al Habib Plastic Okara</v>
          </cell>
        </row>
        <row r="9272">
          <cell r="A9272" t="str">
            <v>3965 J</v>
          </cell>
          <cell r="B9272">
            <v>12995</v>
          </cell>
          <cell r="C9272">
            <v>45896</v>
          </cell>
          <cell r="D9272" t="str">
            <v>JILANI</v>
          </cell>
          <cell r="E9272" t="str">
            <v>Asim Printing Azam Market LHR</v>
          </cell>
        </row>
        <row r="9273">
          <cell r="A9273" t="str">
            <v>3966 J</v>
          </cell>
          <cell r="B9273">
            <v>12996</v>
          </cell>
          <cell r="C9273">
            <v>45896</v>
          </cell>
          <cell r="D9273" t="str">
            <v>JILANI</v>
          </cell>
          <cell r="E9273" t="str">
            <v>Usman Arif Butt Gujranwala</v>
          </cell>
        </row>
        <row r="9274">
          <cell r="A9274" t="str">
            <v>3967 J</v>
          </cell>
          <cell r="B9274">
            <v>12996</v>
          </cell>
          <cell r="C9274">
            <v>45896</v>
          </cell>
          <cell r="D9274" t="str">
            <v>JILANI</v>
          </cell>
          <cell r="E9274" t="str">
            <v>Usman Arif Butt Gujranwala</v>
          </cell>
        </row>
        <row r="9275">
          <cell r="A9275" t="str">
            <v>3968 J</v>
          </cell>
          <cell r="B9275">
            <v>12996</v>
          </cell>
          <cell r="C9275">
            <v>45896</v>
          </cell>
          <cell r="D9275" t="str">
            <v>JILANI</v>
          </cell>
          <cell r="E9275" t="str">
            <v>Usman Arif Butt Gujranwala</v>
          </cell>
        </row>
        <row r="9276">
          <cell r="A9276" t="str">
            <v>3969 J</v>
          </cell>
          <cell r="B9276">
            <v>12997</v>
          </cell>
          <cell r="C9276">
            <v>45896</v>
          </cell>
          <cell r="D9276" t="str">
            <v>JILANI</v>
          </cell>
          <cell r="E9276" t="str">
            <v>Waqas Wollan Mills Gujranwala</v>
          </cell>
        </row>
        <row r="9277">
          <cell r="A9277" t="str">
            <v>3970 J</v>
          </cell>
          <cell r="B9277">
            <v>12997</v>
          </cell>
          <cell r="C9277">
            <v>45896</v>
          </cell>
          <cell r="D9277" t="str">
            <v>JILANI</v>
          </cell>
          <cell r="E9277" t="str">
            <v>Waqas Wollan Mills Gujranwala</v>
          </cell>
        </row>
        <row r="9278">
          <cell r="A9278" t="str">
            <v>3971 J</v>
          </cell>
          <cell r="B9278">
            <v>12998</v>
          </cell>
          <cell r="C9278">
            <v>45896</v>
          </cell>
          <cell r="D9278" t="str">
            <v>JILANI</v>
          </cell>
          <cell r="E9278" t="str">
            <v>Waqas Wollan Mills Gujranwala</v>
          </cell>
        </row>
        <row r="9279">
          <cell r="A9279" t="str">
            <v>3972 J</v>
          </cell>
          <cell r="B9279">
            <v>12998</v>
          </cell>
          <cell r="C9279">
            <v>45896</v>
          </cell>
          <cell r="D9279" t="str">
            <v>JILANI</v>
          </cell>
          <cell r="E9279" t="str">
            <v>Waqas Wollan Mills Gujranwala</v>
          </cell>
        </row>
        <row r="9280">
          <cell r="A9280" t="str">
            <v>3973 J</v>
          </cell>
          <cell r="B9280">
            <v>12998</v>
          </cell>
          <cell r="C9280">
            <v>45896</v>
          </cell>
          <cell r="D9280" t="str">
            <v>JILANI</v>
          </cell>
          <cell r="E9280" t="str">
            <v>Waqas Wollan Mills Gujranwala</v>
          </cell>
        </row>
        <row r="9281">
          <cell r="A9281" t="str">
            <v>3974 J</v>
          </cell>
          <cell r="B9281">
            <v>12999</v>
          </cell>
          <cell r="C9281">
            <v>45896</v>
          </cell>
          <cell r="D9281" t="str">
            <v>JILANI</v>
          </cell>
          <cell r="E9281" t="str">
            <v>Waqas Wollan Mills Gujranwala</v>
          </cell>
        </row>
        <row r="9282">
          <cell r="A9282" t="str">
            <v>3975 J</v>
          </cell>
          <cell r="B9282">
            <v>13000</v>
          </cell>
          <cell r="C9282">
            <v>45896</v>
          </cell>
          <cell r="D9282" t="str">
            <v>JILANI</v>
          </cell>
          <cell r="E9282" t="str">
            <v>Waqas Wollan Mills Gujranwala</v>
          </cell>
        </row>
        <row r="9283">
          <cell r="A9283" t="str">
            <v>3976 J</v>
          </cell>
          <cell r="B9283">
            <v>13000</v>
          </cell>
          <cell r="C9283">
            <v>45896</v>
          </cell>
          <cell r="D9283" t="str">
            <v>JILANI</v>
          </cell>
          <cell r="E9283" t="str">
            <v>Waqas Wollan Mills Gujranwala</v>
          </cell>
        </row>
        <row r="9284">
          <cell r="A9284" t="str">
            <v>3977 J</v>
          </cell>
          <cell r="B9284">
            <v>13001</v>
          </cell>
          <cell r="C9284">
            <v>45896</v>
          </cell>
          <cell r="D9284" t="str">
            <v>JILANI</v>
          </cell>
          <cell r="E9284" t="str">
            <v>Waqas Wollan Mills Gujranwala</v>
          </cell>
        </row>
        <row r="9285">
          <cell r="A9285" t="str">
            <v>3978 J</v>
          </cell>
          <cell r="B9285">
            <v>13002</v>
          </cell>
          <cell r="C9285">
            <v>45896</v>
          </cell>
          <cell r="D9285" t="str">
            <v>JILANI</v>
          </cell>
          <cell r="E9285" t="str">
            <v>Waqas Wollan Mills Gujranwala</v>
          </cell>
        </row>
        <row r="9286">
          <cell r="A9286" t="str">
            <v>3979 J</v>
          </cell>
          <cell r="B9286">
            <v>13002</v>
          </cell>
          <cell r="C9286">
            <v>45896</v>
          </cell>
          <cell r="D9286" t="str">
            <v>JILANI</v>
          </cell>
          <cell r="E9286" t="str">
            <v>Waqas Wollan Mills Gujranwala</v>
          </cell>
        </row>
        <row r="9287">
          <cell r="A9287" t="str">
            <v>3980 J</v>
          </cell>
          <cell r="B9287">
            <v>13002</v>
          </cell>
          <cell r="C9287">
            <v>45896</v>
          </cell>
          <cell r="D9287" t="str">
            <v>JILANI</v>
          </cell>
          <cell r="E9287" t="str">
            <v>Waqas Wollan Mills Gujranwala</v>
          </cell>
        </row>
        <row r="9288">
          <cell r="A9288" t="str">
            <v>3981 J</v>
          </cell>
          <cell r="B9288">
            <v>13002</v>
          </cell>
          <cell r="C9288">
            <v>45896</v>
          </cell>
          <cell r="D9288" t="str">
            <v>JILANI</v>
          </cell>
          <cell r="E9288" t="str">
            <v>Waqas Wollan Mills Gujranwala</v>
          </cell>
        </row>
        <row r="9289">
          <cell r="A9289" t="str">
            <v>3982 J</v>
          </cell>
          <cell r="B9289">
            <v>13002</v>
          </cell>
          <cell r="C9289">
            <v>45896</v>
          </cell>
          <cell r="D9289" t="str">
            <v>JILANI</v>
          </cell>
          <cell r="E9289" t="str">
            <v>Waqas Wollan Mills Gujranwala</v>
          </cell>
        </row>
        <row r="9290">
          <cell r="A9290" t="str">
            <v>3983 J</v>
          </cell>
          <cell r="B9290">
            <v>13003</v>
          </cell>
          <cell r="C9290">
            <v>45896</v>
          </cell>
          <cell r="D9290" t="str">
            <v>JILANI</v>
          </cell>
          <cell r="E9290" t="str">
            <v>Waqas Wollan Mills Gujranwala</v>
          </cell>
        </row>
        <row r="9291">
          <cell r="A9291" t="str">
            <v>3984 J</v>
          </cell>
          <cell r="B9291">
            <v>13003</v>
          </cell>
          <cell r="C9291">
            <v>45896</v>
          </cell>
          <cell r="D9291" t="str">
            <v>JILANI</v>
          </cell>
          <cell r="E9291" t="str">
            <v>Waqas Wollan Mills Gujranwala</v>
          </cell>
        </row>
        <row r="9292">
          <cell r="A9292" t="str">
            <v>3985 J</v>
          </cell>
          <cell r="B9292">
            <v>13003</v>
          </cell>
          <cell r="C9292">
            <v>45896</v>
          </cell>
          <cell r="D9292" t="str">
            <v>JILANI</v>
          </cell>
          <cell r="E9292" t="str">
            <v>Waqas Wollan Mills Gujranwala</v>
          </cell>
        </row>
        <row r="9293">
          <cell r="A9293" t="str">
            <v>3986 J</v>
          </cell>
          <cell r="B9293">
            <v>13004</v>
          </cell>
          <cell r="C9293">
            <v>45896</v>
          </cell>
          <cell r="D9293" t="str">
            <v>JILANI</v>
          </cell>
          <cell r="E9293" t="str">
            <v>Waqas Wollan Mills Gujranwala</v>
          </cell>
        </row>
        <row r="9294">
          <cell r="A9294" t="str">
            <v>3987 J</v>
          </cell>
          <cell r="B9294">
            <v>13004</v>
          </cell>
          <cell r="C9294">
            <v>45896</v>
          </cell>
          <cell r="D9294" t="str">
            <v>JILANI</v>
          </cell>
          <cell r="E9294" t="str">
            <v>Waqas Wollan Mills Gujranwala</v>
          </cell>
        </row>
        <row r="9295">
          <cell r="A9295" t="str">
            <v>3988 J</v>
          </cell>
          <cell r="B9295"/>
          <cell r="C9295">
            <v>45897</v>
          </cell>
          <cell r="D9295" t="str">
            <v>OTHER</v>
          </cell>
          <cell r="E9295" t="str">
            <v>Jilani plastic</v>
          </cell>
        </row>
        <row r="9296">
          <cell r="A9296" t="str">
            <v>7215/1</v>
          </cell>
          <cell r="B9296">
            <v>7215</v>
          </cell>
          <cell r="C9296">
            <v>45895</v>
          </cell>
          <cell r="D9296" t="str">
            <v>یونس صاحب</v>
          </cell>
          <cell r="E9296" t="str">
            <v>فہیم پلاسٹک ملتان</v>
          </cell>
        </row>
        <row r="9297">
          <cell r="A9297" t="str">
            <v>7215/2</v>
          </cell>
          <cell r="B9297">
            <v>7215</v>
          </cell>
          <cell r="C9297">
            <v>45895</v>
          </cell>
          <cell r="D9297" t="str">
            <v>یونس صاحب</v>
          </cell>
          <cell r="E9297" t="str">
            <v>فہیم پلاسٹک ملتان</v>
          </cell>
        </row>
        <row r="9298">
          <cell r="A9298" t="str">
            <v>7215/3</v>
          </cell>
          <cell r="B9298">
            <v>7215</v>
          </cell>
          <cell r="C9298">
            <v>45895</v>
          </cell>
          <cell r="D9298" t="str">
            <v>یونس صاحب</v>
          </cell>
          <cell r="E9298" t="str">
            <v>فہیم پلاسٹک ملتان</v>
          </cell>
        </row>
        <row r="9299">
          <cell r="A9299" t="str">
            <v>7215/4</v>
          </cell>
          <cell r="B9299">
            <v>7215</v>
          </cell>
          <cell r="C9299">
            <v>45895</v>
          </cell>
          <cell r="D9299" t="str">
            <v>یونس صاحب</v>
          </cell>
          <cell r="E9299" t="str">
            <v>فہیم پلاسٹک ملتان</v>
          </cell>
        </row>
        <row r="9300">
          <cell r="A9300" t="str">
            <v>7215/5</v>
          </cell>
          <cell r="B9300">
            <v>7215</v>
          </cell>
          <cell r="C9300">
            <v>45895</v>
          </cell>
          <cell r="D9300" t="str">
            <v>یونس صاحب</v>
          </cell>
          <cell r="E9300" t="str">
            <v>فہیم پلاسٹک ملتان</v>
          </cell>
        </row>
        <row r="9301">
          <cell r="A9301" t="str">
            <v>7215/6</v>
          </cell>
          <cell r="B9301">
            <v>7215</v>
          </cell>
          <cell r="C9301">
            <v>45895</v>
          </cell>
          <cell r="D9301" t="str">
            <v>یونس صاحب</v>
          </cell>
          <cell r="E9301" t="str">
            <v>فہیم پلاسٹک ملتان</v>
          </cell>
        </row>
        <row r="9302">
          <cell r="A9302" t="str">
            <v>7215/7</v>
          </cell>
          <cell r="B9302">
            <v>7215</v>
          </cell>
          <cell r="C9302">
            <v>45895</v>
          </cell>
          <cell r="D9302" t="str">
            <v>یونس صاحب</v>
          </cell>
          <cell r="E9302" t="str">
            <v>فہیم پلاسٹک ملتان</v>
          </cell>
        </row>
        <row r="9303">
          <cell r="A9303" t="str">
            <v>7215/8</v>
          </cell>
          <cell r="B9303">
            <v>7215</v>
          </cell>
          <cell r="C9303">
            <v>45895</v>
          </cell>
          <cell r="D9303" t="str">
            <v>یونس صاحب</v>
          </cell>
          <cell r="E9303" t="str">
            <v>فہیم پلاسٹک ملتان</v>
          </cell>
        </row>
        <row r="9304">
          <cell r="A9304" t="str">
            <v>7216/1</v>
          </cell>
          <cell r="B9304">
            <v>7216</v>
          </cell>
          <cell r="C9304">
            <v>45895</v>
          </cell>
          <cell r="D9304" t="str">
            <v>یونس صاحب</v>
          </cell>
          <cell r="E9304" t="str">
            <v>رانا  طارق بھکر</v>
          </cell>
        </row>
        <row r="9305">
          <cell r="A9305" t="str">
            <v>7216/2</v>
          </cell>
          <cell r="B9305">
            <v>7216</v>
          </cell>
          <cell r="C9305">
            <v>45895</v>
          </cell>
          <cell r="D9305" t="str">
            <v>یونس صاحب</v>
          </cell>
          <cell r="E9305" t="str">
            <v>رانا  طارق بھکر</v>
          </cell>
        </row>
        <row r="9306">
          <cell r="A9306" t="str">
            <v>7216/3</v>
          </cell>
          <cell r="B9306">
            <v>7216</v>
          </cell>
          <cell r="C9306">
            <v>45895</v>
          </cell>
          <cell r="D9306" t="str">
            <v>یونس صاحب</v>
          </cell>
          <cell r="E9306" t="str">
            <v>رانا  طارق بھکر</v>
          </cell>
        </row>
        <row r="9307">
          <cell r="A9307" t="str">
            <v>7216/4</v>
          </cell>
          <cell r="B9307">
            <v>7216</v>
          </cell>
          <cell r="C9307">
            <v>45895</v>
          </cell>
          <cell r="D9307" t="str">
            <v>یونس صاحب</v>
          </cell>
          <cell r="E9307" t="str">
            <v>رانا  طارق بھکر</v>
          </cell>
        </row>
        <row r="9308">
          <cell r="A9308" t="str">
            <v>7216/5</v>
          </cell>
          <cell r="B9308">
            <v>7216</v>
          </cell>
          <cell r="C9308">
            <v>45895</v>
          </cell>
          <cell r="D9308" t="str">
            <v>یونس صاحب</v>
          </cell>
          <cell r="E9308" t="str">
            <v>رانا  طارق بھکر</v>
          </cell>
        </row>
        <row r="9309">
          <cell r="A9309" t="str">
            <v>7217/1</v>
          </cell>
          <cell r="B9309">
            <v>7217</v>
          </cell>
          <cell r="C9309">
            <v>45895</v>
          </cell>
          <cell r="D9309" t="str">
            <v>یونس صاحب</v>
          </cell>
          <cell r="E9309" t="str">
            <v>نادر پلاسٹک سرگودھا</v>
          </cell>
        </row>
        <row r="9310">
          <cell r="A9310" t="str">
            <v>7217/2</v>
          </cell>
          <cell r="B9310">
            <v>7217</v>
          </cell>
          <cell r="C9310">
            <v>45895</v>
          </cell>
          <cell r="D9310" t="str">
            <v>یونس صاحب</v>
          </cell>
          <cell r="E9310" t="str">
            <v>نادر پلاسٹک سرگودھا</v>
          </cell>
        </row>
        <row r="9311">
          <cell r="A9311" t="str">
            <v>7217/3</v>
          </cell>
          <cell r="B9311">
            <v>7217</v>
          </cell>
          <cell r="C9311">
            <v>45895</v>
          </cell>
          <cell r="D9311" t="str">
            <v>یونس صاحب</v>
          </cell>
          <cell r="E9311" t="str">
            <v>نادر پلاسٹک سرگودھا</v>
          </cell>
        </row>
        <row r="9312">
          <cell r="A9312" t="str">
            <v>7217/4</v>
          </cell>
          <cell r="B9312">
            <v>7217</v>
          </cell>
          <cell r="C9312">
            <v>45895</v>
          </cell>
          <cell r="D9312" t="str">
            <v>یونس صاحب</v>
          </cell>
          <cell r="E9312" t="str">
            <v>نادر پلاسٹک سرگودھا</v>
          </cell>
        </row>
        <row r="9313">
          <cell r="A9313" t="str">
            <v>7217/5</v>
          </cell>
          <cell r="B9313">
            <v>7217</v>
          </cell>
          <cell r="C9313">
            <v>45895</v>
          </cell>
          <cell r="D9313" t="str">
            <v>یونس صاحب</v>
          </cell>
          <cell r="E9313" t="str">
            <v>نادر پلاسٹک سرگودھا</v>
          </cell>
        </row>
        <row r="9314">
          <cell r="A9314" t="str">
            <v>7217/6</v>
          </cell>
          <cell r="B9314">
            <v>7217</v>
          </cell>
          <cell r="C9314">
            <v>45895</v>
          </cell>
          <cell r="D9314" t="str">
            <v>یونس صاحب</v>
          </cell>
          <cell r="E9314" t="str">
            <v>نادر پلاسٹک سرگودھا</v>
          </cell>
        </row>
        <row r="9315">
          <cell r="A9315" t="str">
            <v>7217/7</v>
          </cell>
          <cell r="B9315">
            <v>7217</v>
          </cell>
          <cell r="C9315">
            <v>45895</v>
          </cell>
          <cell r="D9315" t="str">
            <v>یونس صاحب</v>
          </cell>
          <cell r="E9315" t="str">
            <v>نادر پلاسٹک سرگودھا</v>
          </cell>
        </row>
        <row r="9316">
          <cell r="A9316" t="str">
            <v>7217/8</v>
          </cell>
          <cell r="B9316">
            <v>7217</v>
          </cell>
          <cell r="C9316">
            <v>45895</v>
          </cell>
          <cell r="D9316" t="str">
            <v>یونس صاحب</v>
          </cell>
          <cell r="E9316" t="str">
            <v>نادر پلاسٹک سرگودھا</v>
          </cell>
        </row>
        <row r="9317">
          <cell r="A9317" t="str">
            <v>16/1</v>
          </cell>
          <cell r="B9317" t="str">
            <v>16</v>
          </cell>
          <cell r="C9317">
            <v>45898</v>
          </cell>
          <cell r="D9317" t="str">
            <v>STOCK</v>
          </cell>
          <cell r="E9317" t="str">
            <v>سٹاک</v>
          </cell>
        </row>
        <row r="9318">
          <cell r="A9318" t="str">
            <v>512/2</v>
          </cell>
          <cell r="B9318" t="str">
            <v>512</v>
          </cell>
          <cell r="C9318">
            <v>45899</v>
          </cell>
          <cell r="D9318" t="str">
            <v>STOCK</v>
          </cell>
          <cell r="E9318" t="str">
            <v>سٹاک</v>
          </cell>
        </row>
        <row r="9319">
          <cell r="A9319" t="str">
            <v>2068 F</v>
          </cell>
          <cell r="B9319"/>
          <cell r="C9319">
            <v>45897</v>
          </cell>
          <cell r="D9319" t="str">
            <v>Fina</v>
          </cell>
          <cell r="E9319" t="str">
            <v>Usman Amin</v>
          </cell>
        </row>
        <row r="9320">
          <cell r="A9320" t="str">
            <v>2069 F</v>
          </cell>
          <cell r="B9320"/>
          <cell r="C9320">
            <v>45897</v>
          </cell>
          <cell r="D9320" t="str">
            <v>Fina</v>
          </cell>
          <cell r="E9320" t="str">
            <v>Usman Amin</v>
          </cell>
        </row>
        <row r="9321">
          <cell r="A9321" t="str">
            <v>2070 F</v>
          </cell>
          <cell r="B9321"/>
          <cell r="C9321">
            <v>45897</v>
          </cell>
          <cell r="D9321" t="str">
            <v>Fina</v>
          </cell>
          <cell r="E9321" t="str">
            <v>Usman Amin</v>
          </cell>
        </row>
        <row r="9322">
          <cell r="A9322" t="str">
            <v>2071 F</v>
          </cell>
          <cell r="B9322"/>
          <cell r="C9322">
            <v>45899</v>
          </cell>
          <cell r="D9322" t="str">
            <v>Fina</v>
          </cell>
          <cell r="E9322" t="str">
            <v>Usman Amin</v>
          </cell>
        </row>
        <row r="9323">
          <cell r="A9323" t="str">
            <v>2072 F</v>
          </cell>
          <cell r="B9323"/>
          <cell r="C9323">
            <v>45899</v>
          </cell>
          <cell r="D9323" t="str">
            <v>Fina</v>
          </cell>
          <cell r="E9323" t="str">
            <v>Usman Amin</v>
          </cell>
        </row>
        <row r="9324">
          <cell r="A9324" t="str">
            <v>2073 F</v>
          </cell>
          <cell r="B9324"/>
          <cell r="C9324">
            <v>45899</v>
          </cell>
          <cell r="D9324" t="str">
            <v>Fina</v>
          </cell>
          <cell r="E9324" t="str">
            <v>Usman Amin</v>
          </cell>
        </row>
        <row r="9325">
          <cell r="A9325" t="str">
            <v>3989 J</v>
          </cell>
          <cell r="B9325">
            <v>12895</v>
          </cell>
          <cell r="C9325">
            <v>45888</v>
          </cell>
          <cell r="D9325" t="str">
            <v>JILANI</v>
          </cell>
          <cell r="E9325" t="str">
            <v>Jilani Poly Stock</v>
          </cell>
        </row>
        <row r="9326">
          <cell r="A9326" t="str">
            <v>3990 J</v>
          </cell>
          <cell r="B9326">
            <v>12895</v>
          </cell>
          <cell r="C9326">
            <v>45888</v>
          </cell>
          <cell r="D9326" t="str">
            <v>JILANI</v>
          </cell>
          <cell r="E9326" t="str">
            <v>Jilani Poly Stock</v>
          </cell>
        </row>
        <row r="9327">
          <cell r="A9327" t="str">
            <v>3991 J</v>
          </cell>
          <cell r="B9327">
            <v>13005</v>
          </cell>
          <cell r="C9327">
            <v>45897</v>
          </cell>
          <cell r="D9327" t="str">
            <v>JILANI</v>
          </cell>
          <cell r="E9327" t="str">
            <v>Service Industry Gujrat</v>
          </cell>
        </row>
        <row r="9328">
          <cell r="A9328" t="str">
            <v>3992 J</v>
          </cell>
          <cell r="B9328">
            <v>13006</v>
          </cell>
          <cell r="C9328">
            <v>45897</v>
          </cell>
          <cell r="D9328" t="str">
            <v>JILANI</v>
          </cell>
          <cell r="E9328" t="str">
            <v>Ibraheem Filter Industry (SMC.PVT.LTD)</v>
          </cell>
        </row>
        <row r="9329">
          <cell r="A9329" t="str">
            <v>3993 J</v>
          </cell>
          <cell r="B9329">
            <v>13007</v>
          </cell>
          <cell r="C9329">
            <v>45897</v>
          </cell>
          <cell r="D9329" t="str">
            <v>JILANI</v>
          </cell>
          <cell r="E9329" t="str">
            <v>Ibtsam Traders Sheikhupura</v>
          </cell>
        </row>
        <row r="9330">
          <cell r="A9330" t="str">
            <v>3994 J</v>
          </cell>
          <cell r="B9330">
            <v>13008</v>
          </cell>
          <cell r="C9330">
            <v>45897</v>
          </cell>
          <cell r="D9330" t="str">
            <v>JILANI</v>
          </cell>
          <cell r="E9330" t="str">
            <v>G.G Snacks Lahore</v>
          </cell>
        </row>
        <row r="9331">
          <cell r="A9331" t="str">
            <v>3995 J</v>
          </cell>
          <cell r="B9331">
            <v>13009</v>
          </cell>
          <cell r="C9331">
            <v>45897</v>
          </cell>
          <cell r="D9331" t="str">
            <v>JILANI</v>
          </cell>
          <cell r="E9331" t="str">
            <v xml:space="preserve">Bin Yousaf Chaburji </v>
          </cell>
        </row>
        <row r="9332">
          <cell r="A9332" t="str">
            <v>3996 J</v>
          </cell>
          <cell r="B9332">
            <v>13009</v>
          </cell>
          <cell r="C9332">
            <v>45897</v>
          </cell>
          <cell r="D9332" t="str">
            <v>JILANI</v>
          </cell>
          <cell r="E9332" t="str">
            <v xml:space="preserve">Bin Yousaf Chaburji </v>
          </cell>
        </row>
        <row r="9333">
          <cell r="A9333" t="str">
            <v>3997 J</v>
          </cell>
          <cell r="B9333">
            <v>13010</v>
          </cell>
          <cell r="C9333">
            <v>45897</v>
          </cell>
          <cell r="D9333" t="str">
            <v>JILANI</v>
          </cell>
          <cell r="E9333" t="str">
            <v>Pizza Bank And Fast Food Kamoki</v>
          </cell>
        </row>
        <row r="9334">
          <cell r="A9334" t="str">
            <v>3998 J</v>
          </cell>
          <cell r="B9334">
            <v>13010</v>
          </cell>
          <cell r="C9334">
            <v>45897</v>
          </cell>
          <cell r="D9334" t="str">
            <v>JILANI</v>
          </cell>
          <cell r="E9334" t="str">
            <v>Pizza Bank And Fast Food Kamoki</v>
          </cell>
        </row>
        <row r="9335">
          <cell r="A9335" t="str">
            <v>3999 J</v>
          </cell>
          <cell r="B9335">
            <v>13010</v>
          </cell>
          <cell r="C9335">
            <v>45897</v>
          </cell>
          <cell r="D9335" t="str">
            <v>JILANI</v>
          </cell>
          <cell r="E9335" t="str">
            <v>Pizza Bank And Fast Food Kamoki</v>
          </cell>
        </row>
        <row r="9336">
          <cell r="A9336" t="str">
            <v>4000 J</v>
          </cell>
          <cell r="B9336">
            <v>13010</v>
          </cell>
          <cell r="C9336">
            <v>45897</v>
          </cell>
          <cell r="D9336" t="str">
            <v>JILANI</v>
          </cell>
          <cell r="E9336" t="str">
            <v>Pizza Bank And Fast Food Kamoki</v>
          </cell>
        </row>
        <row r="9337">
          <cell r="A9337" t="str">
            <v>4001 J</v>
          </cell>
          <cell r="B9337">
            <v>13011</v>
          </cell>
          <cell r="C9337">
            <v>45897</v>
          </cell>
          <cell r="D9337" t="str">
            <v>JILANI</v>
          </cell>
          <cell r="E9337" t="str">
            <v>PP Fabrics Muridke</v>
          </cell>
        </row>
        <row r="9338">
          <cell r="A9338" t="str">
            <v>4002 J</v>
          </cell>
          <cell r="B9338">
            <v>13012</v>
          </cell>
          <cell r="C9338">
            <v>45897</v>
          </cell>
          <cell r="D9338" t="str">
            <v>JILANI</v>
          </cell>
          <cell r="E9338" t="str">
            <v>Alam Printers Butkhela</v>
          </cell>
        </row>
        <row r="9339">
          <cell r="A9339" t="str">
            <v>4003 J</v>
          </cell>
          <cell r="B9339">
            <v>13013</v>
          </cell>
          <cell r="C9339">
            <v>45897</v>
          </cell>
          <cell r="D9339" t="str">
            <v>JILANI</v>
          </cell>
          <cell r="E9339" t="str">
            <v>Alam Printers Butkhela</v>
          </cell>
        </row>
        <row r="9340">
          <cell r="A9340" t="str">
            <v>4004 J</v>
          </cell>
          <cell r="B9340">
            <v>13013</v>
          </cell>
          <cell r="C9340">
            <v>45897</v>
          </cell>
          <cell r="D9340" t="str">
            <v>JILANI</v>
          </cell>
          <cell r="E9340" t="str">
            <v>Alam Printers Butkhela</v>
          </cell>
        </row>
        <row r="9341">
          <cell r="A9341" t="str">
            <v>4005 J</v>
          </cell>
          <cell r="B9341">
            <v>13014</v>
          </cell>
          <cell r="C9341">
            <v>45897</v>
          </cell>
          <cell r="D9341" t="str">
            <v>JILANI</v>
          </cell>
          <cell r="E9341" t="str">
            <v>Khurshid Hmaidi Foam Afghanstan</v>
          </cell>
        </row>
        <row r="9342">
          <cell r="A9342" t="str">
            <v>4006 J</v>
          </cell>
          <cell r="B9342">
            <v>13015</v>
          </cell>
          <cell r="C9342">
            <v>45898</v>
          </cell>
          <cell r="D9342" t="str">
            <v>JILANI</v>
          </cell>
          <cell r="E9342" t="str">
            <v>Imtiaz Super Market LHR (Gujranwala)</v>
          </cell>
        </row>
        <row r="9343">
          <cell r="A9343" t="str">
            <v>4007 J</v>
          </cell>
          <cell r="B9343">
            <v>13015</v>
          </cell>
          <cell r="C9343">
            <v>45898</v>
          </cell>
          <cell r="D9343" t="str">
            <v>JILANI</v>
          </cell>
          <cell r="E9343" t="str">
            <v>Imtiaz Super Market LHR (Gujranwala)</v>
          </cell>
        </row>
        <row r="9344">
          <cell r="A9344" t="str">
            <v>4008 J</v>
          </cell>
          <cell r="B9344">
            <v>13016</v>
          </cell>
          <cell r="C9344">
            <v>45898</v>
          </cell>
          <cell r="D9344" t="str">
            <v>JILANI</v>
          </cell>
          <cell r="E9344" t="str">
            <v>Shafique Khan SB Sheikhupura</v>
          </cell>
        </row>
        <row r="9345">
          <cell r="A9345" t="str">
            <v>4009 J</v>
          </cell>
          <cell r="B9345">
            <v>13016</v>
          </cell>
          <cell r="C9345">
            <v>45898</v>
          </cell>
          <cell r="D9345" t="str">
            <v>JILANI</v>
          </cell>
          <cell r="E9345" t="str">
            <v>Shafique Khan SB Sheikhupura</v>
          </cell>
        </row>
        <row r="9346">
          <cell r="A9346" t="str">
            <v>4010 J</v>
          </cell>
          <cell r="B9346">
            <v>13017</v>
          </cell>
          <cell r="C9346">
            <v>45898</v>
          </cell>
          <cell r="D9346" t="str">
            <v>JILANI</v>
          </cell>
          <cell r="E9346" t="str">
            <v>Zam Zam Shopping Mall Timbergra</v>
          </cell>
        </row>
        <row r="9347">
          <cell r="A9347" t="str">
            <v>4011 J</v>
          </cell>
          <cell r="B9347">
            <v>13017</v>
          </cell>
          <cell r="C9347">
            <v>45898</v>
          </cell>
          <cell r="D9347" t="str">
            <v>JILANI</v>
          </cell>
          <cell r="E9347" t="str">
            <v>Zam Zam Shopping Mall Timbergra</v>
          </cell>
        </row>
        <row r="9348">
          <cell r="A9348" t="str">
            <v>4012 J</v>
          </cell>
          <cell r="B9348">
            <v>13017</v>
          </cell>
          <cell r="C9348">
            <v>45898</v>
          </cell>
          <cell r="D9348" t="str">
            <v>JILANI</v>
          </cell>
          <cell r="E9348" t="str">
            <v>Zam Zam Shopping Mall Timbergra</v>
          </cell>
        </row>
        <row r="9349">
          <cell r="A9349" t="str">
            <v>4013 J</v>
          </cell>
          <cell r="B9349">
            <v>13017</v>
          </cell>
          <cell r="C9349">
            <v>45898</v>
          </cell>
          <cell r="D9349" t="str">
            <v>JILANI</v>
          </cell>
          <cell r="E9349" t="str">
            <v>Zam Zam Shopping Mall Timbergra</v>
          </cell>
        </row>
        <row r="9350">
          <cell r="A9350" t="str">
            <v>4014 J</v>
          </cell>
          <cell r="B9350"/>
          <cell r="C9350">
            <v>45898</v>
          </cell>
          <cell r="D9350" t="str">
            <v>OTHER</v>
          </cell>
          <cell r="E9350" t="str">
            <v>Jilani Poly Stock</v>
          </cell>
        </row>
        <row r="9351">
          <cell r="A9351" t="str">
            <v>4015 J</v>
          </cell>
          <cell r="B9351"/>
          <cell r="C9351">
            <v>45898</v>
          </cell>
          <cell r="D9351" t="str">
            <v>OTHER</v>
          </cell>
          <cell r="E9351" t="str">
            <v>Jilani Poly Stock</v>
          </cell>
        </row>
        <row r="9352">
          <cell r="A9352" t="str">
            <v>4016 J</v>
          </cell>
          <cell r="B9352"/>
          <cell r="C9352">
            <v>45899</v>
          </cell>
          <cell r="D9352" t="str">
            <v>OTHER</v>
          </cell>
          <cell r="E9352" t="str">
            <v>Jilani Plastic</v>
          </cell>
        </row>
        <row r="9353">
          <cell r="A9353" t="str">
            <v>4017 J</v>
          </cell>
          <cell r="B9353"/>
          <cell r="C9353">
            <v>45899</v>
          </cell>
          <cell r="D9353" t="str">
            <v>OTHER</v>
          </cell>
          <cell r="E9353" t="str">
            <v>Jilani Plastic</v>
          </cell>
        </row>
        <row r="9354">
          <cell r="A9354" t="str">
            <v>4018 J</v>
          </cell>
          <cell r="B9354"/>
          <cell r="C9354">
            <v>45899</v>
          </cell>
          <cell r="D9354" t="str">
            <v>OTHER</v>
          </cell>
          <cell r="E9354" t="str">
            <v>Jilani Plastic</v>
          </cell>
        </row>
        <row r="9355">
          <cell r="A9355" t="str">
            <v>4019 J</v>
          </cell>
          <cell r="B9355"/>
          <cell r="C9355">
            <v>45899</v>
          </cell>
          <cell r="D9355" t="str">
            <v>OTHER</v>
          </cell>
          <cell r="E9355" t="str">
            <v>Jilani plastic</v>
          </cell>
        </row>
        <row r="9356">
          <cell r="A9356" t="str">
            <v>4020 J</v>
          </cell>
          <cell r="B9356"/>
          <cell r="C9356">
            <v>45899</v>
          </cell>
          <cell r="D9356" t="str">
            <v>OTHER</v>
          </cell>
          <cell r="E9356" t="str">
            <v>Jilani plastic</v>
          </cell>
        </row>
        <row r="9357">
          <cell r="A9357" t="str">
            <v>4021 J</v>
          </cell>
          <cell r="B9357"/>
          <cell r="C9357">
            <v>45899</v>
          </cell>
          <cell r="D9357" t="str">
            <v>OTHER</v>
          </cell>
          <cell r="E9357" t="str">
            <v>Jilani plastic</v>
          </cell>
        </row>
        <row r="9358">
          <cell r="A9358" t="str">
            <v>4022 J</v>
          </cell>
          <cell r="B9358"/>
          <cell r="C9358">
            <v>45899</v>
          </cell>
          <cell r="D9358" t="str">
            <v>OTHER</v>
          </cell>
          <cell r="E9358" t="str">
            <v>Jilani plastic</v>
          </cell>
        </row>
        <row r="9359">
          <cell r="A9359" t="str">
            <v>4023 J</v>
          </cell>
          <cell r="B9359"/>
          <cell r="C9359">
            <v>45899</v>
          </cell>
          <cell r="D9359" t="str">
            <v>OTHER</v>
          </cell>
          <cell r="E9359" t="str">
            <v>Jilani plastic</v>
          </cell>
        </row>
        <row r="9360">
          <cell r="A9360" t="str">
            <v>4024 J</v>
          </cell>
          <cell r="B9360"/>
          <cell r="C9360">
            <v>45899</v>
          </cell>
          <cell r="D9360" t="str">
            <v>OTHER</v>
          </cell>
          <cell r="E9360" t="str">
            <v>Jilani plastic</v>
          </cell>
        </row>
        <row r="9361">
          <cell r="A9361" t="str">
            <v>4025 J</v>
          </cell>
          <cell r="B9361"/>
          <cell r="C9361">
            <v>45899</v>
          </cell>
          <cell r="D9361" t="str">
            <v>OTHER</v>
          </cell>
          <cell r="E9361" t="str">
            <v>Jilani plastic</v>
          </cell>
        </row>
        <row r="9362">
          <cell r="A9362" t="str">
            <v>4026 J</v>
          </cell>
          <cell r="B9362"/>
          <cell r="C9362">
            <v>45899</v>
          </cell>
          <cell r="D9362" t="str">
            <v>OTHER</v>
          </cell>
          <cell r="E9362" t="str">
            <v>Jilani plastic</v>
          </cell>
        </row>
        <row r="9363">
          <cell r="A9363" t="str">
            <v>4027 J</v>
          </cell>
          <cell r="B9363"/>
          <cell r="C9363">
            <v>45899</v>
          </cell>
          <cell r="D9363" t="str">
            <v>OTHER</v>
          </cell>
          <cell r="E9363" t="str">
            <v>Jilani plastic</v>
          </cell>
        </row>
        <row r="9364">
          <cell r="A9364" t="str">
            <v>4028 J</v>
          </cell>
          <cell r="B9364"/>
          <cell r="C9364">
            <v>45899</v>
          </cell>
          <cell r="D9364" t="str">
            <v>OTHER</v>
          </cell>
          <cell r="E9364" t="str">
            <v>Jilani plastic</v>
          </cell>
        </row>
        <row r="9365">
          <cell r="A9365" t="str">
            <v>4029 J</v>
          </cell>
          <cell r="B9365">
            <v>13026</v>
          </cell>
          <cell r="C9365">
            <v>45899</v>
          </cell>
          <cell r="D9365" t="str">
            <v>JILANI</v>
          </cell>
          <cell r="E9365" t="str">
            <v>Mahboob Printer Gujranwala</v>
          </cell>
        </row>
        <row r="9366">
          <cell r="A9366" t="str">
            <v>7218/1</v>
          </cell>
          <cell r="B9366">
            <v>7218</v>
          </cell>
          <cell r="C9366">
            <v>45901</v>
          </cell>
          <cell r="D9366" t="str">
            <v>یونس صاحب</v>
          </cell>
          <cell r="E9366" t="str">
            <v>اسد پلاسٹک ملتان</v>
          </cell>
        </row>
        <row r="9367">
          <cell r="A9367" t="str">
            <v>7219/1</v>
          </cell>
          <cell r="B9367">
            <v>7219</v>
          </cell>
          <cell r="C9367">
            <v>45901</v>
          </cell>
          <cell r="D9367" t="str">
            <v>یونس صاحب</v>
          </cell>
          <cell r="E9367" t="str">
            <v>کوہ نور ٹریڈرز ملتان</v>
          </cell>
        </row>
        <row r="9368">
          <cell r="A9368" t="str">
            <v>7219/2</v>
          </cell>
          <cell r="B9368">
            <v>7219</v>
          </cell>
          <cell r="C9368">
            <v>45901</v>
          </cell>
          <cell r="D9368" t="str">
            <v>یونس صاحب</v>
          </cell>
          <cell r="E9368" t="str">
            <v>کوہ نور ٹریڈرز ملتان</v>
          </cell>
        </row>
        <row r="9369">
          <cell r="A9369" t="str">
            <v>7219/3</v>
          </cell>
          <cell r="B9369">
            <v>7219</v>
          </cell>
          <cell r="C9369">
            <v>45901</v>
          </cell>
          <cell r="D9369" t="str">
            <v>یونس صاحب</v>
          </cell>
          <cell r="E9369" t="str">
            <v>کوہ نور ٹریڈرز ملتان</v>
          </cell>
        </row>
        <row r="9370">
          <cell r="A9370" t="str">
            <v>7219/4</v>
          </cell>
          <cell r="B9370">
            <v>7219</v>
          </cell>
          <cell r="C9370">
            <v>45901</v>
          </cell>
          <cell r="D9370" t="str">
            <v>یونس صاحب</v>
          </cell>
          <cell r="E9370" t="str">
            <v>کوہ نور ٹریڈرز ملتان</v>
          </cell>
        </row>
        <row r="9371">
          <cell r="A9371" t="str">
            <v>7219/5</v>
          </cell>
          <cell r="B9371">
            <v>7219</v>
          </cell>
          <cell r="C9371">
            <v>45901</v>
          </cell>
          <cell r="D9371" t="str">
            <v>یونس صاحب</v>
          </cell>
          <cell r="E9371" t="str">
            <v>کوہ نور ٹریڈرز ملتان</v>
          </cell>
        </row>
        <row r="9372">
          <cell r="A9372" t="str">
            <v>7219/6</v>
          </cell>
          <cell r="B9372">
            <v>7219</v>
          </cell>
          <cell r="C9372">
            <v>45901</v>
          </cell>
          <cell r="D9372" t="str">
            <v>یونس صاحب</v>
          </cell>
          <cell r="E9372" t="str">
            <v>کوہ نور ٹریڈرز ملتان</v>
          </cell>
        </row>
        <row r="9373">
          <cell r="A9373" t="str">
            <v>7219/7</v>
          </cell>
          <cell r="B9373">
            <v>7219</v>
          </cell>
          <cell r="C9373">
            <v>45901</v>
          </cell>
          <cell r="D9373" t="str">
            <v>یونس صاحب</v>
          </cell>
          <cell r="E9373" t="str">
            <v>کوہ نور ٹریڈرز ملتان</v>
          </cell>
        </row>
        <row r="9374">
          <cell r="A9374" t="str">
            <v>7219/8</v>
          </cell>
          <cell r="B9374">
            <v>7219</v>
          </cell>
          <cell r="C9374">
            <v>45901</v>
          </cell>
          <cell r="D9374" t="str">
            <v>یونس صاحب</v>
          </cell>
          <cell r="E9374" t="str">
            <v>کوہ نور ٹریڈرز ملتان</v>
          </cell>
        </row>
        <row r="9375">
          <cell r="A9375" t="str">
            <v>7219/9</v>
          </cell>
          <cell r="B9375">
            <v>7219</v>
          </cell>
          <cell r="C9375">
            <v>45901</v>
          </cell>
          <cell r="D9375" t="str">
            <v>یونس صاحب</v>
          </cell>
          <cell r="E9375" t="str">
            <v>کوہ نور ٹریڈرز ملتان</v>
          </cell>
        </row>
        <row r="9376">
          <cell r="A9376" t="str">
            <v>7220/1</v>
          </cell>
          <cell r="B9376">
            <v>7220</v>
          </cell>
          <cell r="C9376">
            <v>45901</v>
          </cell>
          <cell r="D9376" t="str">
            <v>یونس صاحب</v>
          </cell>
          <cell r="E9376" t="str">
            <v>فہیم پلاسٹک ملتان</v>
          </cell>
        </row>
        <row r="9377">
          <cell r="A9377" t="str">
            <v>7220/2</v>
          </cell>
          <cell r="B9377">
            <v>7220</v>
          </cell>
          <cell r="C9377">
            <v>45901</v>
          </cell>
          <cell r="D9377" t="str">
            <v>یونس صاحب</v>
          </cell>
          <cell r="E9377" t="str">
            <v>فہیم پلاسٹک ملتان</v>
          </cell>
        </row>
        <row r="9378">
          <cell r="A9378" t="str">
            <v>7221/1</v>
          </cell>
          <cell r="B9378">
            <v>7221</v>
          </cell>
          <cell r="C9378">
            <v>45901</v>
          </cell>
          <cell r="D9378" t="str">
            <v>یونس صاحب</v>
          </cell>
          <cell r="E9378" t="str">
            <v>عثمان امین لاہور</v>
          </cell>
        </row>
        <row r="9379">
          <cell r="A9379" t="str">
            <v>7222/1</v>
          </cell>
          <cell r="B9379">
            <v>7222</v>
          </cell>
          <cell r="C9379">
            <v>45901</v>
          </cell>
          <cell r="D9379" t="str">
            <v>یونس صاحب</v>
          </cell>
          <cell r="E9379" t="str">
            <v>اصف پلاسٹک سرگودھا</v>
          </cell>
        </row>
        <row r="9380">
          <cell r="A9380" t="str">
            <v>7222/2</v>
          </cell>
          <cell r="B9380">
            <v>7222</v>
          </cell>
          <cell r="C9380">
            <v>45901</v>
          </cell>
          <cell r="D9380" t="str">
            <v>یونس صاحب</v>
          </cell>
          <cell r="E9380" t="str">
            <v>اصف پلاسٹک سرگودھا</v>
          </cell>
        </row>
        <row r="9381">
          <cell r="A9381" t="str">
            <v>7222/3</v>
          </cell>
          <cell r="B9381">
            <v>7222</v>
          </cell>
          <cell r="C9381">
            <v>45901</v>
          </cell>
          <cell r="D9381" t="str">
            <v>یونس صاحب</v>
          </cell>
          <cell r="E9381" t="str">
            <v>اصف پلاسٹک سرگودھا</v>
          </cell>
        </row>
        <row r="9382">
          <cell r="A9382" t="str">
            <v>7222/4</v>
          </cell>
          <cell r="B9382">
            <v>7222</v>
          </cell>
          <cell r="C9382">
            <v>45901</v>
          </cell>
          <cell r="D9382" t="str">
            <v>یونس صاحب</v>
          </cell>
          <cell r="E9382" t="str">
            <v>اصف پلاسٹک سرگودھا</v>
          </cell>
        </row>
        <row r="9383">
          <cell r="A9383" t="str">
            <v>7222/5</v>
          </cell>
          <cell r="B9383">
            <v>7222</v>
          </cell>
          <cell r="C9383">
            <v>45901</v>
          </cell>
          <cell r="D9383" t="str">
            <v>یونس صاحب</v>
          </cell>
          <cell r="E9383" t="str">
            <v>اصف پلاسٹک سرگودھا</v>
          </cell>
        </row>
        <row r="9384">
          <cell r="A9384" t="str">
            <v>7222/6</v>
          </cell>
          <cell r="B9384">
            <v>7222</v>
          </cell>
          <cell r="C9384">
            <v>45901</v>
          </cell>
          <cell r="D9384" t="str">
            <v>یونس صاحب</v>
          </cell>
          <cell r="E9384" t="str">
            <v>اصف پلاسٹک سرگودھا</v>
          </cell>
        </row>
        <row r="9385">
          <cell r="A9385" t="str">
            <v>7222/7</v>
          </cell>
          <cell r="B9385">
            <v>7222</v>
          </cell>
          <cell r="C9385">
            <v>45901</v>
          </cell>
          <cell r="D9385" t="str">
            <v>یونس صاحب</v>
          </cell>
          <cell r="E9385" t="str">
            <v>اصف پلاسٹک سرگودھا</v>
          </cell>
        </row>
        <row r="9386">
          <cell r="A9386" t="str">
            <v>7223/1</v>
          </cell>
          <cell r="B9386">
            <v>7223</v>
          </cell>
          <cell r="C9386">
            <v>45901</v>
          </cell>
          <cell r="D9386" t="str">
            <v>یونس صاحب</v>
          </cell>
          <cell r="E9386" t="str">
            <v>ریفلیکٹ پیک لاہور</v>
          </cell>
        </row>
        <row r="9387">
          <cell r="A9387" t="str">
            <v>7224/1</v>
          </cell>
          <cell r="B9387">
            <v>7224</v>
          </cell>
          <cell r="C9387">
            <v>45901</v>
          </cell>
          <cell r="D9387" t="str">
            <v>یونس صاحب</v>
          </cell>
          <cell r="E9387" t="str">
            <v>خذیفہ پلاسٹک اعظم مارکیٹ</v>
          </cell>
        </row>
        <row r="9388">
          <cell r="A9388" t="str">
            <v>7225/1</v>
          </cell>
          <cell r="B9388">
            <v>7225</v>
          </cell>
          <cell r="C9388">
            <v>45901</v>
          </cell>
          <cell r="D9388" t="str">
            <v>یونس صاحب</v>
          </cell>
          <cell r="E9388" t="str">
            <v>محبوب مقبول گوجرانوالہ</v>
          </cell>
        </row>
        <row r="9389">
          <cell r="A9389" t="str">
            <v>7225/2</v>
          </cell>
          <cell r="B9389">
            <v>7225</v>
          </cell>
          <cell r="C9389">
            <v>45901</v>
          </cell>
          <cell r="D9389" t="str">
            <v>یونس صاحب</v>
          </cell>
          <cell r="E9389" t="str">
            <v>محبوب مقبول گوجرانوالہ</v>
          </cell>
        </row>
        <row r="9390">
          <cell r="A9390" t="str">
            <v>7225/3</v>
          </cell>
          <cell r="B9390">
            <v>7225</v>
          </cell>
          <cell r="C9390">
            <v>45901</v>
          </cell>
          <cell r="D9390" t="str">
            <v>یونس صاحب</v>
          </cell>
          <cell r="E9390" t="str">
            <v>محبوب مقبول گوجرانوالہ</v>
          </cell>
        </row>
        <row r="9391">
          <cell r="A9391" t="str">
            <v>7225/4</v>
          </cell>
          <cell r="B9391">
            <v>7225</v>
          </cell>
          <cell r="C9391">
            <v>45901</v>
          </cell>
          <cell r="D9391" t="str">
            <v>یونس صاحب</v>
          </cell>
          <cell r="E9391" t="str">
            <v>محبوب مقبول گوجرانوالہ</v>
          </cell>
        </row>
        <row r="9392">
          <cell r="A9392" t="str">
            <v>7225/5</v>
          </cell>
          <cell r="B9392">
            <v>7225</v>
          </cell>
          <cell r="C9392">
            <v>45901</v>
          </cell>
          <cell r="D9392" t="str">
            <v>یونس صاحب</v>
          </cell>
          <cell r="E9392" t="str">
            <v>محبوب مقبول گوجرانوالہ</v>
          </cell>
        </row>
        <row r="9393">
          <cell r="A9393" t="str">
            <v>7225/6</v>
          </cell>
          <cell r="B9393">
            <v>7225</v>
          </cell>
          <cell r="C9393">
            <v>45901</v>
          </cell>
          <cell r="D9393" t="str">
            <v>یونس صاحب</v>
          </cell>
          <cell r="E9393" t="str">
            <v>محبوب مقبول گوجرانوالہ</v>
          </cell>
        </row>
        <row r="9394">
          <cell r="A9394" t="str">
            <v>7225/7</v>
          </cell>
          <cell r="B9394">
            <v>7225</v>
          </cell>
          <cell r="C9394">
            <v>45901</v>
          </cell>
          <cell r="D9394" t="str">
            <v>یونس صاحب</v>
          </cell>
          <cell r="E9394" t="str">
            <v>محبوب مقبول گوجرانوالہ</v>
          </cell>
        </row>
        <row r="9395">
          <cell r="A9395" t="str">
            <v>7225/8</v>
          </cell>
          <cell r="B9395">
            <v>7225</v>
          </cell>
          <cell r="C9395">
            <v>45901</v>
          </cell>
          <cell r="D9395" t="str">
            <v>یونس صاحب</v>
          </cell>
          <cell r="E9395" t="str">
            <v>محبوب مقبول گوجرانوالہ</v>
          </cell>
        </row>
        <row r="9396">
          <cell r="A9396" t="str">
            <v>7225/9</v>
          </cell>
          <cell r="B9396">
            <v>7225</v>
          </cell>
          <cell r="C9396">
            <v>45901</v>
          </cell>
          <cell r="D9396" t="str">
            <v>یونس صاحب</v>
          </cell>
          <cell r="E9396" t="str">
            <v>محبوب مقبول گوجرانوالہ</v>
          </cell>
        </row>
        <row r="9397">
          <cell r="A9397" t="str">
            <v>7225/10</v>
          </cell>
          <cell r="B9397">
            <v>7225</v>
          </cell>
          <cell r="C9397">
            <v>45901</v>
          </cell>
          <cell r="D9397" t="str">
            <v>یونس صاحب</v>
          </cell>
          <cell r="E9397" t="str">
            <v>محبوب مقبول گوجرانوالہ</v>
          </cell>
        </row>
        <row r="9398">
          <cell r="A9398" t="str">
            <v>7225/11</v>
          </cell>
          <cell r="B9398">
            <v>7225</v>
          </cell>
          <cell r="C9398">
            <v>45901</v>
          </cell>
          <cell r="D9398" t="str">
            <v>یونس صاحب</v>
          </cell>
          <cell r="E9398" t="str">
            <v>محبوب مقبول گوجرانوالہ</v>
          </cell>
        </row>
        <row r="9399">
          <cell r="A9399" t="str">
            <v>7225/12</v>
          </cell>
          <cell r="B9399">
            <v>7225</v>
          </cell>
          <cell r="C9399">
            <v>45901</v>
          </cell>
          <cell r="D9399" t="str">
            <v>یونس صاحب</v>
          </cell>
          <cell r="E9399" t="str">
            <v>محبوب مقبول گوجرانوالہ</v>
          </cell>
        </row>
        <row r="9400">
          <cell r="A9400" t="str">
            <v>7225/13</v>
          </cell>
          <cell r="B9400">
            <v>7225</v>
          </cell>
          <cell r="C9400">
            <v>45901</v>
          </cell>
          <cell r="D9400" t="str">
            <v>یونس صاحب</v>
          </cell>
          <cell r="E9400" t="str">
            <v>محبوب مقبول گوجرانوالہ</v>
          </cell>
        </row>
        <row r="9401">
          <cell r="A9401" t="str">
            <v>7225/14</v>
          </cell>
          <cell r="B9401">
            <v>7225</v>
          </cell>
          <cell r="C9401">
            <v>45901</v>
          </cell>
          <cell r="D9401" t="str">
            <v>یونس صاحب</v>
          </cell>
          <cell r="E9401" t="str">
            <v>محبوب مقبول گوجرانوالہ</v>
          </cell>
        </row>
        <row r="9402">
          <cell r="A9402" t="str">
            <v>7225/15</v>
          </cell>
          <cell r="B9402">
            <v>7225</v>
          </cell>
          <cell r="C9402">
            <v>45901</v>
          </cell>
          <cell r="D9402" t="str">
            <v>یونس صاحب</v>
          </cell>
          <cell r="E9402" t="str">
            <v>محبوب مقبول گوجرانوالہ</v>
          </cell>
        </row>
        <row r="9403">
          <cell r="A9403" t="str">
            <v>7226/1</v>
          </cell>
          <cell r="B9403">
            <v>7226</v>
          </cell>
          <cell r="C9403">
            <v>45901</v>
          </cell>
          <cell r="D9403" t="str">
            <v>یونس صاحب</v>
          </cell>
          <cell r="E9403" t="str">
            <v>CANCEL</v>
          </cell>
        </row>
        <row r="9404">
          <cell r="A9404" t="str">
            <v>7227/1</v>
          </cell>
          <cell r="B9404">
            <v>7227</v>
          </cell>
          <cell r="C9404">
            <v>45901</v>
          </cell>
          <cell r="D9404" t="str">
            <v>یونس صاحب</v>
          </cell>
          <cell r="E9404" t="str">
            <v>زوہیب پلاسٹک عارف والا</v>
          </cell>
        </row>
        <row r="9405">
          <cell r="A9405" t="str">
            <v>7227/2</v>
          </cell>
          <cell r="B9405">
            <v>7227</v>
          </cell>
          <cell r="C9405">
            <v>45901</v>
          </cell>
          <cell r="D9405" t="str">
            <v>یونس صاحب</v>
          </cell>
          <cell r="E9405" t="str">
            <v>زوہیب پلاسٹک عارف والا</v>
          </cell>
        </row>
        <row r="9406">
          <cell r="A9406" t="str">
            <v>7227/3</v>
          </cell>
          <cell r="B9406">
            <v>7227</v>
          </cell>
          <cell r="C9406">
            <v>45901</v>
          </cell>
          <cell r="D9406" t="str">
            <v>یونس صاحب</v>
          </cell>
          <cell r="E9406" t="str">
            <v>زوہیب پلاسٹک عارف والا</v>
          </cell>
        </row>
        <row r="9407">
          <cell r="A9407" t="str">
            <v>7227/4</v>
          </cell>
          <cell r="B9407">
            <v>7227</v>
          </cell>
          <cell r="C9407">
            <v>45901</v>
          </cell>
          <cell r="D9407" t="str">
            <v>یونس صاحب</v>
          </cell>
          <cell r="E9407" t="str">
            <v>زوہیب پلاسٹک عارف والا</v>
          </cell>
        </row>
        <row r="9408">
          <cell r="A9408" t="str">
            <v>7228/1</v>
          </cell>
          <cell r="B9408">
            <v>7228</v>
          </cell>
          <cell r="C9408">
            <v>45901</v>
          </cell>
          <cell r="D9408" t="str">
            <v>یونس صاحب</v>
          </cell>
          <cell r="E9408" t="str">
            <v>بلال سویاں سرگودھا</v>
          </cell>
        </row>
        <row r="9409">
          <cell r="A9409" t="str">
            <v>7228/2</v>
          </cell>
          <cell r="B9409">
            <v>7228</v>
          </cell>
          <cell r="C9409">
            <v>45901</v>
          </cell>
          <cell r="D9409" t="str">
            <v>یونس صاحب</v>
          </cell>
          <cell r="E9409" t="str">
            <v>بلال سویاں سرگودھا</v>
          </cell>
        </row>
        <row r="9410">
          <cell r="A9410" t="str">
            <v>7229/1</v>
          </cell>
          <cell r="B9410">
            <v>7229</v>
          </cell>
          <cell r="C9410">
            <v>45901</v>
          </cell>
          <cell r="D9410" t="str">
            <v>یونس صاحب</v>
          </cell>
          <cell r="E9410" t="str">
            <v>عمران علی بہاولپور</v>
          </cell>
        </row>
        <row r="9411">
          <cell r="A9411" t="str">
            <v>7229/2</v>
          </cell>
          <cell r="B9411">
            <v>7229</v>
          </cell>
          <cell r="C9411">
            <v>45901</v>
          </cell>
          <cell r="D9411" t="str">
            <v>یونس صاحب</v>
          </cell>
          <cell r="E9411" t="str">
            <v>عمران علی بہاولپور</v>
          </cell>
        </row>
        <row r="9412">
          <cell r="A9412" t="str">
            <v>7229/3</v>
          </cell>
          <cell r="B9412">
            <v>7229</v>
          </cell>
          <cell r="C9412">
            <v>45901</v>
          </cell>
          <cell r="D9412" t="str">
            <v>یونس صاحب</v>
          </cell>
          <cell r="E9412" t="str">
            <v>عمران علی بہاولپور</v>
          </cell>
        </row>
        <row r="9413">
          <cell r="A9413" t="str">
            <v>7230/1</v>
          </cell>
          <cell r="B9413">
            <v>7230</v>
          </cell>
          <cell r="C9413">
            <v>45901</v>
          </cell>
          <cell r="D9413" t="str">
            <v>یونس صاحب</v>
          </cell>
          <cell r="E9413" t="str">
            <v>اسد پلاسٹک صادق ٓاباد</v>
          </cell>
        </row>
        <row r="9414">
          <cell r="A9414" t="str">
            <v>7231/1</v>
          </cell>
          <cell r="B9414">
            <v>7231</v>
          </cell>
          <cell r="C9414">
            <v>45901</v>
          </cell>
          <cell r="D9414" t="str">
            <v>یونس صاحب</v>
          </cell>
          <cell r="E9414" t="str">
            <v>حیدر عمر بہاولپور</v>
          </cell>
        </row>
        <row r="9415">
          <cell r="A9415" t="str">
            <v>7231/2</v>
          </cell>
          <cell r="B9415">
            <v>7231</v>
          </cell>
          <cell r="C9415">
            <v>45901</v>
          </cell>
          <cell r="D9415" t="str">
            <v>یونس صاحب</v>
          </cell>
          <cell r="E9415" t="str">
            <v>حیدر عمر بہاولپور</v>
          </cell>
        </row>
        <row r="9416">
          <cell r="A9416" t="str">
            <v>7231/3</v>
          </cell>
          <cell r="B9416">
            <v>7231</v>
          </cell>
          <cell r="C9416">
            <v>45901</v>
          </cell>
          <cell r="D9416" t="str">
            <v>یونس صاحب</v>
          </cell>
          <cell r="E9416" t="str">
            <v>حیدر عمر بہاولپور</v>
          </cell>
        </row>
        <row r="9417">
          <cell r="A9417" t="str">
            <v>7231/4</v>
          </cell>
          <cell r="B9417">
            <v>7231</v>
          </cell>
          <cell r="C9417">
            <v>45901</v>
          </cell>
          <cell r="D9417" t="str">
            <v>یونس صاحب</v>
          </cell>
          <cell r="E9417" t="str">
            <v>حیدر عمر بہاولپور</v>
          </cell>
        </row>
        <row r="9418">
          <cell r="A9418" t="str">
            <v>7232/1</v>
          </cell>
          <cell r="B9418">
            <v>7232</v>
          </cell>
          <cell r="C9418">
            <v>45901</v>
          </cell>
          <cell r="D9418" t="str">
            <v>یونس صاحب</v>
          </cell>
          <cell r="E9418" t="str">
            <v>اسد بلال بہاورلپور</v>
          </cell>
        </row>
        <row r="9419">
          <cell r="A9419" t="str">
            <v>7232/2</v>
          </cell>
          <cell r="B9419">
            <v>7232</v>
          </cell>
          <cell r="C9419">
            <v>45901</v>
          </cell>
          <cell r="D9419" t="str">
            <v>یونس صاحب</v>
          </cell>
          <cell r="E9419" t="str">
            <v>اسد بلال بہاورلپور</v>
          </cell>
        </row>
        <row r="9420">
          <cell r="A9420" t="str">
            <v>7233/1</v>
          </cell>
          <cell r="B9420">
            <v>7233</v>
          </cell>
          <cell r="C9420">
            <v>45901</v>
          </cell>
          <cell r="D9420" t="str">
            <v>یونس صاحب</v>
          </cell>
          <cell r="E9420" t="str">
            <v>اسد بلال بہاورلپور</v>
          </cell>
        </row>
        <row r="9421">
          <cell r="A9421" t="str">
            <v>7233/2</v>
          </cell>
          <cell r="B9421">
            <v>7233</v>
          </cell>
          <cell r="C9421">
            <v>45901</v>
          </cell>
          <cell r="D9421" t="str">
            <v>یونس صاحب</v>
          </cell>
          <cell r="E9421" t="str">
            <v>اسد بلال بہاورلپور</v>
          </cell>
        </row>
        <row r="9422">
          <cell r="A9422" t="str">
            <v>7233/3</v>
          </cell>
          <cell r="B9422">
            <v>7233</v>
          </cell>
          <cell r="C9422">
            <v>45901</v>
          </cell>
          <cell r="D9422" t="str">
            <v>یونس صاحب</v>
          </cell>
          <cell r="E9422" t="str">
            <v>اسد بلال بہاورلپور</v>
          </cell>
        </row>
        <row r="9423">
          <cell r="A9423" t="str">
            <v>7233/4</v>
          </cell>
          <cell r="B9423">
            <v>7233</v>
          </cell>
          <cell r="C9423">
            <v>45901</v>
          </cell>
          <cell r="D9423" t="str">
            <v>یونس صاحب</v>
          </cell>
          <cell r="E9423" t="str">
            <v>اسد بلال بہاورلپور</v>
          </cell>
        </row>
        <row r="9424">
          <cell r="A9424" t="str">
            <v>7233/5</v>
          </cell>
          <cell r="B9424">
            <v>7233</v>
          </cell>
          <cell r="C9424">
            <v>45901</v>
          </cell>
          <cell r="D9424" t="str">
            <v>یونس صاحب</v>
          </cell>
          <cell r="E9424" t="str">
            <v>اسد بلال بہاورلپور</v>
          </cell>
        </row>
        <row r="9425">
          <cell r="A9425" t="str">
            <v>7233/6</v>
          </cell>
          <cell r="B9425">
            <v>7233</v>
          </cell>
          <cell r="C9425">
            <v>45901</v>
          </cell>
          <cell r="D9425" t="str">
            <v>یونس صاحب</v>
          </cell>
          <cell r="E9425" t="str">
            <v>اسد بلال بہاورلپور</v>
          </cell>
        </row>
        <row r="9426">
          <cell r="A9426" t="str">
            <v>7233/7</v>
          </cell>
          <cell r="B9426">
            <v>7233</v>
          </cell>
          <cell r="C9426">
            <v>45901</v>
          </cell>
          <cell r="D9426" t="str">
            <v>یونس صاحب</v>
          </cell>
          <cell r="E9426" t="str">
            <v>اسد بلال بہاورلپور</v>
          </cell>
        </row>
        <row r="9427">
          <cell r="A9427" t="str">
            <v>7233/8</v>
          </cell>
          <cell r="B9427">
            <v>7233</v>
          </cell>
          <cell r="C9427">
            <v>45901</v>
          </cell>
          <cell r="D9427" t="str">
            <v>یونس صاحب</v>
          </cell>
          <cell r="E9427" t="str">
            <v>اسد بلال بہاورلپور</v>
          </cell>
        </row>
        <row r="9428">
          <cell r="A9428" t="str">
            <v>7233/9</v>
          </cell>
          <cell r="B9428">
            <v>7233</v>
          </cell>
          <cell r="C9428">
            <v>45901</v>
          </cell>
          <cell r="D9428" t="str">
            <v>یونس صاحب</v>
          </cell>
          <cell r="E9428" t="str">
            <v>اسد بلال بہاورلپور</v>
          </cell>
        </row>
        <row r="9429">
          <cell r="A9429" t="str">
            <v>7233/10</v>
          </cell>
          <cell r="B9429">
            <v>7233</v>
          </cell>
          <cell r="C9429">
            <v>45901</v>
          </cell>
          <cell r="D9429" t="str">
            <v>یونس صاحب</v>
          </cell>
          <cell r="E9429" t="str">
            <v>اسد بلال بہاورلپور</v>
          </cell>
        </row>
        <row r="9430">
          <cell r="A9430" t="str">
            <v>7233/11</v>
          </cell>
          <cell r="B9430">
            <v>7233</v>
          </cell>
          <cell r="C9430">
            <v>45901</v>
          </cell>
          <cell r="D9430" t="str">
            <v>یونس صاحب</v>
          </cell>
          <cell r="E9430" t="str">
            <v>اسد بلال بہاورلپور</v>
          </cell>
        </row>
        <row r="9431">
          <cell r="A9431" t="str">
            <v>7233/12</v>
          </cell>
          <cell r="B9431">
            <v>7233</v>
          </cell>
          <cell r="C9431">
            <v>45901</v>
          </cell>
          <cell r="D9431" t="str">
            <v>یونس صاحب</v>
          </cell>
          <cell r="E9431" t="str">
            <v>اسد بلال بہاورلپور</v>
          </cell>
        </row>
        <row r="9432">
          <cell r="A9432" t="str">
            <v>7233/13</v>
          </cell>
          <cell r="B9432">
            <v>7233</v>
          </cell>
          <cell r="C9432">
            <v>45901</v>
          </cell>
          <cell r="D9432" t="str">
            <v>یونس صاحب</v>
          </cell>
          <cell r="E9432" t="str">
            <v>اسد بلال بہاورلپور</v>
          </cell>
        </row>
        <row r="9433">
          <cell r="A9433" t="str">
            <v>7233/14</v>
          </cell>
          <cell r="B9433">
            <v>7233</v>
          </cell>
          <cell r="C9433">
            <v>45901</v>
          </cell>
          <cell r="D9433" t="str">
            <v>یونس صاحب</v>
          </cell>
          <cell r="E9433" t="str">
            <v>اسد بلال بہاورلپور</v>
          </cell>
        </row>
        <row r="9434">
          <cell r="A9434" t="str">
            <v>7233/15</v>
          </cell>
          <cell r="B9434">
            <v>7233</v>
          </cell>
          <cell r="C9434">
            <v>45901</v>
          </cell>
          <cell r="D9434" t="str">
            <v>یونس صاحب</v>
          </cell>
          <cell r="E9434" t="str">
            <v>اسد بلال بہاورلپور</v>
          </cell>
        </row>
        <row r="9435">
          <cell r="A9435" t="str">
            <v>7233/16</v>
          </cell>
          <cell r="B9435">
            <v>7233</v>
          </cell>
          <cell r="C9435">
            <v>45901</v>
          </cell>
          <cell r="D9435" t="str">
            <v>یونس صاحب</v>
          </cell>
          <cell r="E9435" t="str">
            <v>اسد بلال بہاورلپور</v>
          </cell>
        </row>
        <row r="9436">
          <cell r="A9436" t="str">
            <v>7233/17</v>
          </cell>
          <cell r="B9436">
            <v>7233</v>
          </cell>
          <cell r="C9436">
            <v>45901</v>
          </cell>
          <cell r="D9436" t="str">
            <v>یونس صاحب</v>
          </cell>
          <cell r="E9436" t="str">
            <v>اسد بلال بہاورلپور</v>
          </cell>
        </row>
        <row r="9437">
          <cell r="A9437" t="str">
            <v>7233/18</v>
          </cell>
          <cell r="B9437">
            <v>7233</v>
          </cell>
          <cell r="C9437">
            <v>45901</v>
          </cell>
          <cell r="D9437" t="str">
            <v>یونس صاحب</v>
          </cell>
          <cell r="E9437" t="str">
            <v>اسد بلال بہاورلپور</v>
          </cell>
        </row>
        <row r="9438">
          <cell r="A9438" t="str">
            <v>7233/19</v>
          </cell>
          <cell r="B9438">
            <v>7233</v>
          </cell>
          <cell r="C9438">
            <v>45901</v>
          </cell>
          <cell r="D9438" t="str">
            <v>یونس صاحب</v>
          </cell>
          <cell r="E9438" t="str">
            <v>اسد بلال بہاورلپور</v>
          </cell>
        </row>
        <row r="9439">
          <cell r="A9439" t="str">
            <v>7234/1</v>
          </cell>
          <cell r="B9439">
            <v>7234</v>
          </cell>
          <cell r="C9439">
            <v>45901</v>
          </cell>
          <cell r="D9439" t="str">
            <v>یونس صاحب</v>
          </cell>
          <cell r="E9439" t="str">
            <v>حسین پلاسٹک بہاولپور</v>
          </cell>
        </row>
        <row r="9440">
          <cell r="A9440" t="str">
            <v>7234/2</v>
          </cell>
          <cell r="B9440">
            <v>7234</v>
          </cell>
          <cell r="C9440">
            <v>45901</v>
          </cell>
          <cell r="D9440" t="str">
            <v>یونس صاحب</v>
          </cell>
          <cell r="E9440" t="str">
            <v>حسین پلاسٹک بہاولپور</v>
          </cell>
        </row>
        <row r="9441">
          <cell r="A9441" t="str">
            <v>7234/3</v>
          </cell>
          <cell r="B9441">
            <v>7234</v>
          </cell>
          <cell r="C9441">
            <v>45901</v>
          </cell>
          <cell r="D9441" t="str">
            <v>یونس صاحب</v>
          </cell>
          <cell r="E9441" t="str">
            <v>حسین پلاسٹک بہاولپور</v>
          </cell>
        </row>
        <row r="9442">
          <cell r="A9442" t="str">
            <v>7234/4</v>
          </cell>
          <cell r="B9442">
            <v>7234</v>
          </cell>
          <cell r="C9442">
            <v>45901</v>
          </cell>
          <cell r="D9442" t="str">
            <v>یونس صاحب</v>
          </cell>
          <cell r="E9442" t="str">
            <v>حسین پلاسٹک بہاولپور</v>
          </cell>
        </row>
        <row r="9443">
          <cell r="A9443" t="str">
            <v>7234/5</v>
          </cell>
          <cell r="B9443">
            <v>7234</v>
          </cell>
          <cell r="C9443">
            <v>45901</v>
          </cell>
          <cell r="D9443" t="str">
            <v>یونس صاحب</v>
          </cell>
          <cell r="E9443" t="str">
            <v>حسین پلاسٹک بہاولپور</v>
          </cell>
        </row>
        <row r="9444">
          <cell r="A9444" t="str">
            <v>7234/6</v>
          </cell>
          <cell r="B9444">
            <v>7234</v>
          </cell>
          <cell r="C9444">
            <v>45901</v>
          </cell>
          <cell r="D9444" t="str">
            <v>یونس صاحب</v>
          </cell>
          <cell r="E9444" t="str">
            <v>حسین پلاسٹک بہاولپور</v>
          </cell>
        </row>
        <row r="9445">
          <cell r="A9445" t="str">
            <v>7234/7</v>
          </cell>
          <cell r="B9445">
            <v>7234</v>
          </cell>
          <cell r="C9445">
            <v>45901</v>
          </cell>
          <cell r="D9445" t="str">
            <v>یونس صاحب</v>
          </cell>
          <cell r="E9445" t="str">
            <v>حسین پلاسٹک بہاولپور</v>
          </cell>
        </row>
        <row r="9446">
          <cell r="A9446" t="str">
            <v>7234/8</v>
          </cell>
          <cell r="B9446">
            <v>7234</v>
          </cell>
          <cell r="C9446">
            <v>45901</v>
          </cell>
          <cell r="D9446" t="str">
            <v>یونس صاحب</v>
          </cell>
          <cell r="E9446" t="str">
            <v>حسین پلاسٹک بہاولپور</v>
          </cell>
        </row>
        <row r="9447">
          <cell r="A9447" t="str">
            <v>7234/9</v>
          </cell>
          <cell r="B9447">
            <v>7234</v>
          </cell>
          <cell r="C9447">
            <v>45901</v>
          </cell>
          <cell r="D9447" t="str">
            <v>یونس صاحب</v>
          </cell>
          <cell r="E9447" t="str">
            <v>حسین پلاسٹک بہاولپور</v>
          </cell>
        </row>
        <row r="9448">
          <cell r="A9448" t="str">
            <v>7234/10</v>
          </cell>
          <cell r="B9448">
            <v>7234</v>
          </cell>
          <cell r="C9448">
            <v>45901</v>
          </cell>
          <cell r="D9448" t="str">
            <v>یونس صاحب</v>
          </cell>
          <cell r="E9448" t="str">
            <v>حسین پلاسٹک بہاولپور</v>
          </cell>
        </row>
        <row r="9449">
          <cell r="A9449" t="str">
            <v>1118/1</v>
          </cell>
          <cell r="B9449" t="str">
            <v>1118</v>
          </cell>
          <cell r="C9449">
            <v>45902</v>
          </cell>
          <cell r="D9449" t="str">
            <v>STOCK</v>
          </cell>
          <cell r="E9449" t="str">
            <v>سٹاک</v>
          </cell>
        </row>
        <row r="9450">
          <cell r="A9450" t="str">
            <v>1116/1</v>
          </cell>
          <cell r="B9450" t="str">
            <v>1116</v>
          </cell>
          <cell r="C9450">
            <v>45902</v>
          </cell>
          <cell r="D9450" t="str">
            <v>STOCK</v>
          </cell>
          <cell r="E9450" t="str">
            <v>سٹاک</v>
          </cell>
        </row>
        <row r="9451">
          <cell r="A9451" t="str">
            <v>1018/1</v>
          </cell>
          <cell r="B9451" t="str">
            <v>1018</v>
          </cell>
          <cell r="C9451">
            <v>45902</v>
          </cell>
          <cell r="D9451" t="str">
            <v>STOCK</v>
          </cell>
          <cell r="E9451" t="str">
            <v>سٹاک</v>
          </cell>
        </row>
        <row r="9452">
          <cell r="A9452" t="str">
            <v>812/2</v>
          </cell>
          <cell r="B9452" t="str">
            <v>812</v>
          </cell>
          <cell r="C9452">
            <v>45902</v>
          </cell>
          <cell r="D9452" t="str">
            <v>STOCK</v>
          </cell>
          <cell r="E9452" t="str">
            <v>سٹاک</v>
          </cell>
        </row>
        <row r="9453">
          <cell r="A9453" t="str">
            <v>12/2</v>
          </cell>
          <cell r="B9453" t="str">
            <v>12</v>
          </cell>
          <cell r="C9453">
            <v>45902</v>
          </cell>
          <cell r="D9453" t="str">
            <v>STOCK</v>
          </cell>
          <cell r="E9453" t="str">
            <v>سٹاک</v>
          </cell>
        </row>
        <row r="9454">
          <cell r="A9454" t="str">
            <v>8/2</v>
          </cell>
          <cell r="B9454" t="str">
            <v>8</v>
          </cell>
          <cell r="C9454">
            <v>45902</v>
          </cell>
          <cell r="D9454" t="str">
            <v>STOCK</v>
          </cell>
          <cell r="E9454" t="str">
            <v>سٹاک</v>
          </cell>
        </row>
        <row r="9455">
          <cell r="A9455" t="str">
            <v>10/2</v>
          </cell>
          <cell r="B9455" t="str">
            <v>10</v>
          </cell>
          <cell r="C9455">
            <v>45902</v>
          </cell>
          <cell r="D9455" t="str">
            <v>STOCK</v>
          </cell>
          <cell r="E9455" t="str">
            <v>سٹاک</v>
          </cell>
        </row>
        <row r="9456">
          <cell r="A9456" t="str">
            <v>7/2</v>
          </cell>
          <cell r="B9456" t="str">
            <v>7</v>
          </cell>
          <cell r="C9456">
            <v>45902</v>
          </cell>
          <cell r="D9456" t="str">
            <v>STOCK</v>
          </cell>
          <cell r="E9456" t="str">
            <v>سٹاک</v>
          </cell>
        </row>
        <row r="9457">
          <cell r="A9457" t="str">
            <v>11/2</v>
          </cell>
          <cell r="B9457" t="str">
            <v>11</v>
          </cell>
          <cell r="C9457">
            <v>45902</v>
          </cell>
          <cell r="D9457" t="str">
            <v>STOCK</v>
          </cell>
          <cell r="E9457" t="str">
            <v>سٹاک</v>
          </cell>
        </row>
        <row r="9458">
          <cell r="A9458" t="str">
            <v>14/1</v>
          </cell>
          <cell r="B9458" t="str">
            <v>14</v>
          </cell>
          <cell r="C9458">
            <v>45902</v>
          </cell>
          <cell r="D9458" t="str">
            <v>STOCK</v>
          </cell>
          <cell r="E9458" t="str">
            <v>سٹاک</v>
          </cell>
        </row>
        <row r="9459">
          <cell r="A9459" t="str">
            <v>6/1</v>
          </cell>
          <cell r="B9459" t="str">
            <v>6</v>
          </cell>
          <cell r="C9459">
            <v>45902</v>
          </cell>
          <cell r="D9459" t="str">
            <v>STOCK</v>
          </cell>
          <cell r="E9459" t="str">
            <v>سٹاک</v>
          </cell>
        </row>
        <row r="9460">
          <cell r="A9460" t="str">
            <v>16P/1</v>
          </cell>
          <cell r="B9460" t="str">
            <v>16P</v>
          </cell>
          <cell r="C9460">
            <v>45902</v>
          </cell>
          <cell r="D9460" t="str">
            <v>STOCK</v>
          </cell>
          <cell r="E9460" t="str">
            <v>جیلانی پولی سٹاک</v>
          </cell>
        </row>
        <row r="9461">
          <cell r="A9461" t="str">
            <v>7235/1</v>
          </cell>
          <cell r="B9461">
            <v>7235</v>
          </cell>
          <cell r="C9461">
            <v>45902</v>
          </cell>
          <cell r="D9461" t="str">
            <v>یونس صاحب</v>
          </cell>
          <cell r="E9461" t="str">
            <v>رفیق پلاسٹک اوکازہ</v>
          </cell>
        </row>
        <row r="9462">
          <cell r="A9462" t="str">
            <v>7235/2</v>
          </cell>
          <cell r="B9462">
            <v>7235</v>
          </cell>
          <cell r="C9462">
            <v>45902</v>
          </cell>
          <cell r="D9462" t="str">
            <v>یونس صاحب</v>
          </cell>
          <cell r="E9462" t="str">
            <v>رفیق پلاسٹک اوکازہ</v>
          </cell>
        </row>
        <row r="9463">
          <cell r="A9463" t="str">
            <v>7235/3</v>
          </cell>
          <cell r="B9463">
            <v>7235</v>
          </cell>
          <cell r="C9463">
            <v>45902</v>
          </cell>
          <cell r="D9463" t="str">
            <v>یونس صاحب</v>
          </cell>
          <cell r="E9463" t="str">
            <v>رفیق پلاسٹک اوکازہ</v>
          </cell>
        </row>
        <row r="9464">
          <cell r="A9464" t="str">
            <v>7235/4</v>
          </cell>
          <cell r="B9464">
            <v>7235</v>
          </cell>
          <cell r="C9464">
            <v>45902</v>
          </cell>
          <cell r="D9464" t="str">
            <v>یونس صاحب</v>
          </cell>
          <cell r="E9464" t="str">
            <v>رفیق پلاسٹک اوکازہ</v>
          </cell>
        </row>
        <row r="9465">
          <cell r="A9465" t="str">
            <v>7235/5</v>
          </cell>
          <cell r="B9465">
            <v>7235</v>
          </cell>
          <cell r="C9465">
            <v>45902</v>
          </cell>
          <cell r="D9465" t="str">
            <v>یونس صاحب</v>
          </cell>
          <cell r="E9465" t="str">
            <v>رفیق پلاسٹک اوکازہ</v>
          </cell>
        </row>
        <row r="9466">
          <cell r="A9466" t="str">
            <v>7236/1</v>
          </cell>
          <cell r="B9466">
            <v>7236</v>
          </cell>
          <cell r="C9466">
            <v>45902</v>
          </cell>
          <cell r="D9466" t="str">
            <v>یونس صاحب</v>
          </cell>
          <cell r="E9466" t="str">
            <v>احمد فاروق جہلم</v>
          </cell>
        </row>
        <row r="9467">
          <cell r="A9467" t="str">
            <v>7236/2</v>
          </cell>
          <cell r="B9467">
            <v>7236</v>
          </cell>
          <cell r="C9467">
            <v>45902</v>
          </cell>
          <cell r="D9467" t="str">
            <v>یونس صاحب</v>
          </cell>
          <cell r="E9467" t="str">
            <v>احمد فاروق جہلم</v>
          </cell>
        </row>
        <row r="9468">
          <cell r="A9468" t="str">
            <v>7236/3</v>
          </cell>
          <cell r="B9468">
            <v>7236</v>
          </cell>
          <cell r="C9468">
            <v>45902</v>
          </cell>
          <cell r="D9468" t="str">
            <v>یونس صاحب</v>
          </cell>
          <cell r="E9468" t="str">
            <v>احمد فاروق جہلم</v>
          </cell>
        </row>
        <row r="9469">
          <cell r="A9469" t="str">
            <v>7237/1</v>
          </cell>
          <cell r="B9469">
            <v>7237</v>
          </cell>
          <cell r="C9469">
            <v>45902</v>
          </cell>
          <cell r="D9469" t="str">
            <v>یونس صاحب</v>
          </cell>
          <cell r="E9469" t="str">
            <v>ایم زبیر پلاسٹک سرگودھا</v>
          </cell>
        </row>
        <row r="9470">
          <cell r="A9470" t="str">
            <v>7237/2</v>
          </cell>
          <cell r="B9470">
            <v>7237</v>
          </cell>
          <cell r="C9470">
            <v>45902</v>
          </cell>
          <cell r="D9470" t="str">
            <v>یونس صاحب</v>
          </cell>
          <cell r="E9470" t="str">
            <v>ایم زبیر پلاسٹک سرگودھا</v>
          </cell>
        </row>
        <row r="9471">
          <cell r="A9471" t="str">
            <v>7237/3</v>
          </cell>
          <cell r="B9471">
            <v>7237</v>
          </cell>
          <cell r="C9471">
            <v>45902</v>
          </cell>
          <cell r="D9471" t="str">
            <v>یونس صاحب</v>
          </cell>
          <cell r="E9471" t="str">
            <v>ایم زبیر پلاسٹک سرگودھا</v>
          </cell>
        </row>
        <row r="9472">
          <cell r="A9472" t="str">
            <v>7237/4</v>
          </cell>
          <cell r="B9472">
            <v>7237</v>
          </cell>
          <cell r="C9472">
            <v>45902</v>
          </cell>
          <cell r="D9472" t="str">
            <v>یونس صاحب</v>
          </cell>
          <cell r="E9472" t="str">
            <v>ایم زبیر پلاسٹک سرگودھا</v>
          </cell>
        </row>
        <row r="9473">
          <cell r="A9473" t="str">
            <v>7237/5</v>
          </cell>
          <cell r="B9473">
            <v>7237</v>
          </cell>
          <cell r="C9473">
            <v>45902</v>
          </cell>
          <cell r="D9473" t="str">
            <v>یونس صاحب</v>
          </cell>
          <cell r="E9473" t="str">
            <v>ایم زبیر پلاسٹک سرگودھا</v>
          </cell>
        </row>
        <row r="9474">
          <cell r="A9474" t="str">
            <v>7238/1</v>
          </cell>
          <cell r="B9474">
            <v>7238</v>
          </cell>
          <cell r="C9474">
            <v>45902</v>
          </cell>
          <cell r="D9474" t="str">
            <v>یونس صاحب</v>
          </cell>
          <cell r="E9474" t="str">
            <v>CANCEL</v>
          </cell>
        </row>
        <row r="9475">
          <cell r="A9475" t="str">
            <v>7239/1</v>
          </cell>
          <cell r="B9475">
            <v>7239</v>
          </cell>
          <cell r="C9475">
            <v>45902</v>
          </cell>
          <cell r="D9475" t="str">
            <v>یونس صاحب</v>
          </cell>
          <cell r="E9475" t="str">
            <v>محبوب مقبول گوجرانوالہ</v>
          </cell>
        </row>
        <row r="9476">
          <cell r="A9476" t="str">
            <v>7239/2</v>
          </cell>
          <cell r="B9476">
            <v>7239</v>
          </cell>
          <cell r="C9476">
            <v>45902</v>
          </cell>
          <cell r="D9476" t="str">
            <v>یونس صاحب</v>
          </cell>
          <cell r="E9476" t="str">
            <v>محبوب مقبول گوجرانوالہ</v>
          </cell>
        </row>
        <row r="9477">
          <cell r="A9477" t="str">
            <v>7240/1</v>
          </cell>
          <cell r="B9477">
            <v>7240</v>
          </cell>
          <cell r="C9477">
            <v>45902</v>
          </cell>
          <cell r="D9477" t="str">
            <v>یونس صاحب</v>
          </cell>
          <cell r="E9477" t="str">
            <v>ارشد افضل حاصلپور</v>
          </cell>
        </row>
        <row r="9478">
          <cell r="A9478" t="str">
            <v>7240/2</v>
          </cell>
          <cell r="B9478">
            <v>7240</v>
          </cell>
          <cell r="C9478">
            <v>45902</v>
          </cell>
          <cell r="D9478" t="str">
            <v>یونس صاحب</v>
          </cell>
          <cell r="E9478" t="str">
            <v>ارشد افضل حاصلپور</v>
          </cell>
        </row>
        <row r="9479">
          <cell r="A9479" t="str">
            <v>7240/3</v>
          </cell>
          <cell r="B9479">
            <v>7240</v>
          </cell>
          <cell r="C9479">
            <v>45902</v>
          </cell>
          <cell r="D9479" t="str">
            <v>یونس صاحب</v>
          </cell>
          <cell r="E9479" t="str">
            <v>ارشد افضل حاصلپور</v>
          </cell>
        </row>
        <row r="9480">
          <cell r="A9480" t="str">
            <v>7241/1</v>
          </cell>
          <cell r="B9480">
            <v>7241</v>
          </cell>
          <cell r="C9480">
            <v>45902</v>
          </cell>
          <cell r="D9480" t="str">
            <v>یونس صاحب</v>
          </cell>
          <cell r="E9480" t="str">
            <v>رفیق پلاسٹک اوکازہ</v>
          </cell>
        </row>
        <row r="9481">
          <cell r="A9481" t="str">
            <v>7242/1</v>
          </cell>
          <cell r="B9481">
            <v>7242</v>
          </cell>
          <cell r="C9481">
            <v>45902</v>
          </cell>
          <cell r="D9481" t="str">
            <v>یونس صاحب</v>
          </cell>
          <cell r="E9481" t="str">
            <v>فرحان پلاسٹک اوکاڑہ</v>
          </cell>
        </row>
        <row r="9482">
          <cell r="A9482" t="str">
            <v>7242/2</v>
          </cell>
          <cell r="B9482">
            <v>7242</v>
          </cell>
          <cell r="C9482">
            <v>45902</v>
          </cell>
          <cell r="D9482" t="str">
            <v>یونس صاحب</v>
          </cell>
          <cell r="E9482" t="str">
            <v>فرحان پلاسٹک اوکاڑہ</v>
          </cell>
        </row>
        <row r="9483">
          <cell r="A9483" t="str">
            <v>7242/3</v>
          </cell>
          <cell r="B9483">
            <v>7242</v>
          </cell>
          <cell r="C9483">
            <v>45902</v>
          </cell>
          <cell r="D9483" t="str">
            <v>یونس صاحب</v>
          </cell>
          <cell r="E9483" t="str">
            <v>فرحان پلاسٹک اوکاڑہ</v>
          </cell>
        </row>
        <row r="9484">
          <cell r="A9484" t="str">
            <v>7242/4</v>
          </cell>
          <cell r="B9484">
            <v>7242</v>
          </cell>
          <cell r="C9484">
            <v>45902</v>
          </cell>
          <cell r="D9484" t="str">
            <v>یونس صاحب</v>
          </cell>
          <cell r="E9484" t="str">
            <v>فرحان پلاسٹک اوکاڑہ</v>
          </cell>
        </row>
        <row r="9485">
          <cell r="A9485" t="str">
            <v>7242/5</v>
          </cell>
          <cell r="B9485">
            <v>7242</v>
          </cell>
          <cell r="C9485">
            <v>45902</v>
          </cell>
          <cell r="D9485" t="str">
            <v>یونس صاحب</v>
          </cell>
          <cell r="E9485" t="str">
            <v>فرحان پلاسٹک اوکاڑہ</v>
          </cell>
        </row>
        <row r="9486">
          <cell r="A9486" t="str">
            <v>7242/6</v>
          </cell>
          <cell r="B9486">
            <v>7242</v>
          </cell>
          <cell r="C9486">
            <v>45902</v>
          </cell>
          <cell r="D9486" t="str">
            <v>یونس صاحب</v>
          </cell>
          <cell r="E9486" t="str">
            <v>فرحان پلاسٹک اوکاڑہ</v>
          </cell>
        </row>
        <row r="9487">
          <cell r="A9487" t="str">
            <v>7242/7</v>
          </cell>
          <cell r="B9487">
            <v>7242</v>
          </cell>
          <cell r="C9487">
            <v>45902</v>
          </cell>
          <cell r="D9487" t="str">
            <v>یونس صاحب</v>
          </cell>
          <cell r="E9487" t="str">
            <v>فرحان پلاسٹک اوکاڑہ</v>
          </cell>
        </row>
        <row r="9488">
          <cell r="A9488" t="str">
            <v>7242/8</v>
          </cell>
          <cell r="B9488">
            <v>7242</v>
          </cell>
          <cell r="C9488">
            <v>45902</v>
          </cell>
          <cell r="D9488" t="str">
            <v>یونس صاحب</v>
          </cell>
          <cell r="E9488" t="str">
            <v>فرحان پلاسٹک اوکاڑہ</v>
          </cell>
        </row>
        <row r="9489">
          <cell r="A9489" t="str">
            <v>7242/9</v>
          </cell>
          <cell r="B9489">
            <v>7242</v>
          </cell>
          <cell r="C9489">
            <v>45902</v>
          </cell>
          <cell r="D9489" t="str">
            <v>یونس صاحب</v>
          </cell>
          <cell r="E9489" t="str">
            <v>فرحان پلاسٹک اوکاڑہ</v>
          </cell>
        </row>
        <row r="9490">
          <cell r="A9490" t="str">
            <v>7242/10</v>
          </cell>
          <cell r="B9490">
            <v>7242</v>
          </cell>
          <cell r="C9490">
            <v>45902</v>
          </cell>
          <cell r="D9490" t="str">
            <v>یونس صاحب</v>
          </cell>
          <cell r="E9490" t="str">
            <v>فرحان پلاسٹک اوکاڑہ</v>
          </cell>
        </row>
        <row r="9491">
          <cell r="A9491" t="str">
            <v>7242/11</v>
          </cell>
          <cell r="B9491">
            <v>7242</v>
          </cell>
          <cell r="C9491">
            <v>45902</v>
          </cell>
          <cell r="D9491" t="str">
            <v>یونس صاحب</v>
          </cell>
          <cell r="E9491" t="str">
            <v>فرحان پلاسٹک اوکاڑہ</v>
          </cell>
        </row>
        <row r="9492">
          <cell r="A9492" t="str">
            <v>7242/12</v>
          </cell>
          <cell r="B9492">
            <v>7242</v>
          </cell>
          <cell r="C9492">
            <v>45902</v>
          </cell>
          <cell r="D9492" t="str">
            <v>یونس صاحب</v>
          </cell>
          <cell r="E9492" t="str">
            <v>فرحان پلاسٹک اوکاڑہ</v>
          </cell>
        </row>
        <row r="9493">
          <cell r="A9493" t="str">
            <v>7242/13</v>
          </cell>
          <cell r="B9493">
            <v>7242</v>
          </cell>
          <cell r="C9493">
            <v>45902</v>
          </cell>
          <cell r="D9493" t="str">
            <v>یونس صاحب</v>
          </cell>
          <cell r="E9493" t="str">
            <v>فرحان پلاسٹک اوکاڑہ</v>
          </cell>
        </row>
        <row r="9494">
          <cell r="A9494" t="str">
            <v>7242/14</v>
          </cell>
          <cell r="B9494">
            <v>7242</v>
          </cell>
          <cell r="C9494">
            <v>45902</v>
          </cell>
          <cell r="D9494" t="str">
            <v>یونس صاحب</v>
          </cell>
          <cell r="E9494" t="str">
            <v>فرحان پلاسٹک اوکاڑہ</v>
          </cell>
        </row>
        <row r="9495">
          <cell r="A9495" t="str">
            <v>7242/15</v>
          </cell>
          <cell r="B9495">
            <v>7242</v>
          </cell>
          <cell r="C9495">
            <v>45902</v>
          </cell>
          <cell r="D9495" t="str">
            <v>یونس صاحب</v>
          </cell>
          <cell r="E9495" t="str">
            <v>فرحان پلاسٹک اوکاڑہ</v>
          </cell>
        </row>
        <row r="9496">
          <cell r="A9496" t="str">
            <v>7242/16</v>
          </cell>
          <cell r="B9496">
            <v>7242</v>
          </cell>
          <cell r="C9496">
            <v>45902</v>
          </cell>
          <cell r="D9496" t="str">
            <v>یونس صاحب</v>
          </cell>
          <cell r="E9496" t="str">
            <v>فرحان پلاسٹک اوکاڑہ</v>
          </cell>
        </row>
        <row r="9497">
          <cell r="A9497" t="str">
            <v>7242/17</v>
          </cell>
          <cell r="B9497">
            <v>7242</v>
          </cell>
          <cell r="C9497">
            <v>45902</v>
          </cell>
          <cell r="D9497" t="str">
            <v>یونس صاحب</v>
          </cell>
          <cell r="E9497" t="str">
            <v>فرحان پلاسٹک اوکاڑہ</v>
          </cell>
        </row>
        <row r="9498">
          <cell r="A9498" t="str">
            <v>7242/18</v>
          </cell>
          <cell r="B9498">
            <v>7242</v>
          </cell>
          <cell r="C9498">
            <v>45902</v>
          </cell>
          <cell r="D9498" t="str">
            <v>یونس صاحب</v>
          </cell>
          <cell r="E9498" t="str">
            <v>فرحان پلاسٹک اوکاڑہ</v>
          </cell>
        </row>
        <row r="9499">
          <cell r="A9499" t="str">
            <v>7242/19</v>
          </cell>
          <cell r="B9499">
            <v>7242</v>
          </cell>
          <cell r="C9499">
            <v>45902</v>
          </cell>
          <cell r="D9499" t="str">
            <v>یونس صاحب</v>
          </cell>
          <cell r="E9499" t="str">
            <v>فرحان پلاسٹک اوکاڑہ</v>
          </cell>
        </row>
        <row r="9500">
          <cell r="A9500" t="str">
            <v>7242/20</v>
          </cell>
          <cell r="B9500">
            <v>7242</v>
          </cell>
          <cell r="C9500">
            <v>45902</v>
          </cell>
          <cell r="D9500" t="str">
            <v>یونس صاحب</v>
          </cell>
          <cell r="E9500" t="str">
            <v>فرحان پلاسٹک اوکاڑہ</v>
          </cell>
        </row>
        <row r="9501">
          <cell r="A9501" t="str">
            <v>7242/21</v>
          </cell>
          <cell r="B9501">
            <v>7242</v>
          </cell>
          <cell r="C9501">
            <v>45902</v>
          </cell>
          <cell r="D9501" t="str">
            <v>یونس صاحب</v>
          </cell>
          <cell r="E9501" t="str">
            <v>فرحان پلاسٹک اوکاڑہ</v>
          </cell>
        </row>
        <row r="9502">
          <cell r="A9502" t="str">
            <v>7242/22</v>
          </cell>
          <cell r="B9502">
            <v>7242</v>
          </cell>
          <cell r="C9502">
            <v>45902</v>
          </cell>
          <cell r="D9502" t="str">
            <v>یونس صاحب</v>
          </cell>
          <cell r="E9502" t="str">
            <v>فرحان پلاسٹک اوکاڑہ</v>
          </cell>
        </row>
        <row r="9503">
          <cell r="A9503" t="str">
            <v>7242/23</v>
          </cell>
          <cell r="B9503">
            <v>7242</v>
          </cell>
          <cell r="C9503">
            <v>45902</v>
          </cell>
          <cell r="D9503" t="str">
            <v>یونس صاحب</v>
          </cell>
          <cell r="E9503" t="str">
            <v>فرحان پلاسٹک اوکاڑہ</v>
          </cell>
        </row>
        <row r="9504">
          <cell r="A9504" t="str">
            <v>7242/24</v>
          </cell>
          <cell r="B9504">
            <v>7242</v>
          </cell>
          <cell r="C9504">
            <v>45902</v>
          </cell>
          <cell r="D9504" t="str">
            <v>یونس صاحب</v>
          </cell>
          <cell r="E9504" t="str">
            <v>فرحان پلاسٹک اوکاڑہ</v>
          </cell>
        </row>
        <row r="9505">
          <cell r="A9505" t="str">
            <v>7242/25</v>
          </cell>
          <cell r="B9505">
            <v>7242</v>
          </cell>
          <cell r="C9505">
            <v>45902</v>
          </cell>
          <cell r="D9505" t="str">
            <v>یونس صاحب</v>
          </cell>
          <cell r="E9505" t="str">
            <v>فرحان پلاسٹک اوکاڑہ</v>
          </cell>
        </row>
        <row r="9506">
          <cell r="A9506" t="str">
            <v>7242/26</v>
          </cell>
          <cell r="B9506">
            <v>7242</v>
          </cell>
          <cell r="C9506">
            <v>45902</v>
          </cell>
          <cell r="D9506" t="str">
            <v>یونس صاحب</v>
          </cell>
          <cell r="E9506" t="str">
            <v>فرحان پلاسٹک اوکاڑہ</v>
          </cell>
        </row>
        <row r="9507">
          <cell r="A9507" t="str">
            <v>7242/27</v>
          </cell>
          <cell r="B9507">
            <v>7242</v>
          </cell>
          <cell r="C9507">
            <v>45902</v>
          </cell>
          <cell r="D9507" t="str">
            <v>یونس صاحب</v>
          </cell>
          <cell r="E9507" t="str">
            <v>فرحان پلاسٹک اوکاڑہ</v>
          </cell>
        </row>
        <row r="9508">
          <cell r="A9508" t="str">
            <v>7242/28</v>
          </cell>
          <cell r="B9508">
            <v>7242</v>
          </cell>
          <cell r="C9508">
            <v>45902</v>
          </cell>
          <cell r="D9508" t="str">
            <v>یونس صاحب</v>
          </cell>
          <cell r="E9508" t="str">
            <v>فرحان پلاسٹک اوکاڑہ</v>
          </cell>
        </row>
        <row r="9509">
          <cell r="A9509" t="str">
            <v>7242/29</v>
          </cell>
          <cell r="B9509">
            <v>7242</v>
          </cell>
          <cell r="C9509">
            <v>45902</v>
          </cell>
          <cell r="D9509" t="str">
            <v>یونس صاحب</v>
          </cell>
          <cell r="E9509" t="str">
            <v>فرحان پلاسٹک اوکاڑہ</v>
          </cell>
        </row>
        <row r="9510">
          <cell r="A9510" t="str">
            <v>7242/30</v>
          </cell>
          <cell r="B9510">
            <v>7242</v>
          </cell>
          <cell r="C9510">
            <v>45902</v>
          </cell>
          <cell r="D9510" t="str">
            <v>یونس صاحب</v>
          </cell>
          <cell r="E9510" t="str">
            <v>فرحان پلاسٹک اوکاڑہ</v>
          </cell>
        </row>
        <row r="9511">
          <cell r="A9511" t="str">
            <v>7242/31</v>
          </cell>
          <cell r="B9511">
            <v>7242</v>
          </cell>
          <cell r="C9511">
            <v>45902</v>
          </cell>
          <cell r="D9511" t="str">
            <v>یونس صاحب</v>
          </cell>
          <cell r="E9511" t="str">
            <v>فرحان پلاسٹک اوکاڑہ</v>
          </cell>
        </row>
        <row r="9512">
          <cell r="A9512" t="str">
            <v>7242/32</v>
          </cell>
          <cell r="B9512">
            <v>7242</v>
          </cell>
          <cell r="C9512">
            <v>45902</v>
          </cell>
          <cell r="D9512" t="str">
            <v>یونس صاحب</v>
          </cell>
          <cell r="E9512" t="str">
            <v>فرحان پلاسٹک اوکاڑہ</v>
          </cell>
        </row>
        <row r="9513">
          <cell r="A9513" t="str">
            <v>7242/33</v>
          </cell>
          <cell r="B9513">
            <v>7242</v>
          </cell>
          <cell r="C9513">
            <v>45902</v>
          </cell>
          <cell r="D9513" t="str">
            <v>یونس صاحب</v>
          </cell>
          <cell r="E9513" t="str">
            <v>فرحان پلاسٹک اوکاڑہ</v>
          </cell>
        </row>
        <row r="9514">
          <cell r="A9514" t="str">
            <v>7242/34</v>
          </cell>
          <cell r="B9514">
            <v>7242</v>
          </cell>
          <cell r="C9514">
            <v>45902</v>
          </cell>
          <cell r="D9514" t="str">
            <v>یونس صاحب</v>
          </cell>
          <cell r="E9514" t="str">
            <v>فرحان پلاسٹک اوکاڑہ</v>
          </cell>
        </row>
        <row r="9515">
          <cell r="A9515" t="str">
            <v>7242/35</v>
          </cell>
          <cell r="B9515">
            <v>7242</v>
          </cell>
          <cell r="C9515">
            <v>45902</v>
          </cell>
          <cell r="D9515" t="str">
            <v>یونس صاحب</v>
          </cell>
          <cell r="E9515" t="str">
            <v>فرحان پلاسٹک اوکاڑہ</v>
          </cell>
        </row>
        <row r="9516">
          <cell r="A9516" t="str">
            <v>7242/36</v>
          </cell>
          <cell r="B9516">
            <v>7242</v>
          </cell>
          <cell r="C9516">
            <v>45902</v>
          </cell>
          <cell r="D9516" t="str">
            <v>یونس صاحب</v>
          </cell>
          <cell r="E9516" t="str">
            <v>فرحان پلاسٹک اوکاڑہ</v>
          </cell>
        </row>
        <row r="9517">
          <cell r="A9517" t="str">
            <v>7242/37</v>
          </cell>
          <cell r="B9517">
            <v>7242</v>
          </cell>
          <cell r="C9517">
            <v>45902</v>
          </cell>
          <cell r="D9517" t="str">
            <v>یونس صاحب</v>
          </cell>
          <cell r="E9517" t="str">
            <v>فرحان پلاسٹک اوکاڑہ</v>
          </cell>
        </row>
        <row r="9518">
          <cell r="A9518" t="str">
            <v>7243/1</v>
          </cell>
          <cell r="B9518">
            <v>7243</v>
          </cell>
          <cell r="C9518">
            <v>45902</v>
          </cell>
          <cell r="D9518" t="str">
            <v>یونس صاحب</v>
          </cell>
          <cell r="E9518" t="str">
            <v>محبوب مقبول گوجرانوالہ</v>
          </cell>
        </row>
        <row r="9519">
          <cell r="A9519" t="str">
            <v>7244/1</v>
          </cell>
          <cell r="B9519">
            <v>7244</v>
          </cell>
          <cell r="C9519">
            <v>45902</v>
          </cell>
          <cell r="D9519" t="str">
            <v>یونس صاحب</v>
          </cell>
          <cell r="E9519" t="str">
            <v>لیاقت -لنڈا بازار</v>
          </cell>
        </row>
        <row r="9520">
          <cell r="A9520" t="str">
            <v>7244/2</v>
          </cell>
          <cell r="B9520">
            <v>7244</v>
          </cell>
          <cell r="C9520">
            <v>45902</v>
          </cell>
          <cell r="D9520" t="str">
            <v>یونس صاحب</v>
          </cell>
          <cell r="E9520" t="str">
            <v>لیاقت -لنڈا بازار</v>
          </cell>
        </row>
        <row r="9521">
          <cell r="A9521" t="str">
            <v>7244/3</v>
          </cell>
          <cell r="B9521">
            <v>7244</v>
          </cell>
          <cell r="C9521">
            <v>45902</v>
          </cell>
          <cell r="D9521" t="str">
            <v>یونس صاحب</v>
          </cell>
          <cell r="E9521" t="str">
            <v>لیاقت -لنڈا بازار</v>
          </cell>
        </row>
        <row r="9522">
          <cell r="A9522" t="str">
            <v>7245/1</v>
          </cell>
          <cell r="B9522">
            <v>7245</v>
          </cell>
          <cell r="C9522">
            <v>45902</v>
          </cell>
          <cell r="D9522" t="str">
            <v>یونس صاحب</v>
          </cell>
          <cell r="E9522" t="str">
            <v>اصف سرگودھا</v>
          </cell>
        </row>
        <row r="9523">
          <cell r="A9523" t="str">
            <v>7245/2</v>
          </cell>
          <cell r="B9523">
            <v>7245</v>
          </cell>
          <cell r="C9523">
            <v>45902</v>
          </cell>
          <cell r="D9523" t="str">
            <v>یونس صاحب</v>
          </cell>
          <cell r="E9523" t="str">
            <v>اصف سرگودھا</v>
          </cell>
        </row>
        <row r="9524">
          <cell r="A9524" t="str">
            <v>7245/3</v>
          </cell>
          <cell r="B9524">
            <v>7245</v>
          </cell>
          <cell r="C9524">
            <v>45902</v>
          </cell>
          <cell r="D9524" t="str">
            <v>یونس صاحب</v>
          </cell>
          <cell r="E9524" t="str">
            <v>اصف سرگودھا</v>
          </cell>
        </row>
        <row r="9525">
          <cell r="A9525" t="str">
            <v>7245/4</v>
          </cell>
          <cell r="B9525">
            <v>7245</v>
          </cell>
          <cell r="C9525">
            <v>45902</v>
          </cell>
          <cell r="D9525" t="str">
            <v>یونس صاحب</v>
          </cell>
          <cell r="E9525" t="str">
            <v>اصف سرگودھا</v>
          </cell>
        </row>
        <row r="9526">
          <cell r="A9526" t="str">
            <v>7245/5</v>
          </cell>
          <cell r="B9526">
            <v>7245</v>
          </cell>
          <cell r="C9526">
            <v>45902</v>
          </cell>
          <cell r="D9526" t="str">
            <v>یونس صاحب</v>
          </cell>
          <cell r="E9526" t="str">
            <v>اصف سرگودھا</v>
          </cell>
        </row>
        <row r="9527">
          <cell r="A9527" t="str">
            <v>7245/6</v>
          </cell>
          <cell r="B9527">
            <v>7245</v>
          </cell>
          <cell r="C9527">
            <v>45902</v>
          </cell>
          <cell r="D9527" t="str">
            <v>یونس صاحب</v>
          </cell>
          <cell r="E9527" t="str">
            <v>اصف سرگودھا</v>
          </cell>
        </row>
        <row r="9528">
          <cell r="A9528" t="str">
            <v>7245/7</v>
          </cell>
          <cell r="B9528">
            <v>7245</v>
          </cell>
          <cell r="C9528">
            <v>45902</v>
          </cell>
          <cell r="D9528" t="str">
            <v>یونس صاحب</v>
          </cell>
          <cell r="E9528" t="str">
            <v>اصف سرگودھا</v>
          </cell>
        </row>
        <row r="9529">
          <cell r="A9529" t="str">
            <v>7245/8</v>
          </cell>
          <cell r="B9529">
            <v>7245</v>
          </cell>
          <cell r="C9529">
            <v>45902</v>
          </cell>
          <cell r="D9529" t="str">
            <v>یونس صاحب</v>
          </cell>
          <cell r="E9529" t="str">
            <v>اصف سرگودھا</v>
          </cell>
        </row>
        <row r="9530">
          <cell r="A9530" t="str">
            <v>7245/9</v>
          </cell>
          <cell r="B9530">
            <v>7245</v>
          </cell>
          <cell r="C9530">
            <v>45902</v>
          </cell>
          <cell r="D9530" t="str">
            <v>یونس صاحب</v>
          </cell>
          <cell r="E9530" t="str">
            <v>اصف سرگودھا</v>
          </cell>
        </row>
        <row r="9531">
          <cell r="A9531" t="str">
            <v>7245/10</v>
          </cell>
          <cell r="B9531">
            <v>7245</v>
          </cell>
          <cell r="C9531">
            <v>45902</v>
          </cell>
          <cell r="D9531" t="str">
            <v>یونس صاحب</v>
          </cell>
          <cell r="E9531" t="str">
            <v>اصف سرگودھا</v>
          </cell>
        </row>
        <row r="9532">
          <cell r="A9532" t="str">
            <v>7246/1</v>
          </cell>
          <cell r="B9532">
            <v>7246</v>
          </cell>
          <cell r="C9532">
            <v>45902</v>
          </cell>
          <cell r="D9532" t="str">
            <v>یونس صاحب</v>
          </cell>
          <cell r="E9532" t="str">
            <v>اصف سرگودھا</v>
          </cell>
        </row>
        <row r="9533">
          <cell r="A9533" t="str">
            <v>7246/2</v>
          </cell>
          <cell r="B9533">
            <v>7246</v>
          </cell>
          <cell r="C9533">
            <v>45902</v>
          </cell>
          <cell r="D9533" t="str">
            <v>یونس صاحب</v>
          </cell>
          <cell r="E9533" t="str">
            <v>اصف سرگودھا</v>
          </cell>
        </row>
        <row r="9534">
          <cell r="A9534" t="str">
            <v>7246/3</v>
          </cell>
          <cell r="B9534">
            <v>7246</v>
          </cell>
          <cell r="C9534">
            <v>45902</v>
          </cell>
          <cell r="D9534" t="str">
            <v>یونس صاحب</v>
          </cell>
          <cell r="E9534" t="str">
            <v>اصف سرگودھا</v>
          </cell>
        </row>
        <row r="9535">
          <cell r="A9535" t="str">
            <v>7246/4</v>
          </cell>
          <cell r="B9535">
            <v>7246</v>
          </cell>
          <cell r="C9535">
            <v>45902</v>
          </cell>
          <cell r="D9535" t="str">
            <v>یونس صاحب</v>
          </cell>
          <cell r="E9535" t="str">
            <v>اصف سرگودھا</v>
          </cell>
        </row>
        <row r="9536">
          <cell r="A9536" t="str">
            <v>7246/5</v>
          </cell>
          <cell r="B9536">
            <v>7246</v>
          </cell>
          <cell r="C9536">
            <v>45902</v>
          </cell>
          <cell r="D9536" t="str">
            <v>یونس صاحب</v>
          </cell>
          <cell r="E9536" t="str">
            <v>اصف سرگودھا</v>
          </cell>
        </row>
        <row r="9537">
          <cell r="A9537" t="str">
            <v>7246/6</v>
          </cell>
          <cell r="B9537">
            <v>7246</v>
          </cell>
          <cell r="C9537">
            <v>45902</v>
          </cell>
          <cell r="D9537" t="str">
            <v>یونس صاحب</v>
          </cell>
          <cell r="E9537" t="str">
            <v>اصف سرگودھا</v>
          </cell>
        </row>
        <row r="9538">
          <cell r="A9538" t="str">
            <v>7246/7</v>
          </cell>
          <cell r="B9538">
            <v>7246</v>
          </cell>
          <cell r="C9538">
            <v>45902</v>
          </cell>
          <cell r="D9538" t="str">
            <v>یونس صاحب</v>
          </cell>
          <cell r="E9538" t="str">
            <v>اصف سرگودھا</v>
          </cell>
        </row>
        <row r="9539">
          <cell r="A9539" t="str">
            <v>7246/8</v>
          </cell>
          <cell r="B9539">
            <v>7246</v>
          </cell>
          <cell r="C9539">
            <v>45902</v>
          </cell>
          <cell r="D9539" t="str">
            <v>یونس صاحب</v>
          </cell>
          <cell r="E9539" t="str">
            <v>اصف سرگودھا</v>
          </cell>
        </row>
        <row r="9540">
          <cell r="A9540" t="str">
            <v>7246/9</v>
          </cell>
          <cell r="B9540">
            <v>7246</v>
          </cell>
          <cell r="C9540">
            <v>45902</v>
          </cell>
          <cell r="D9540" t="str">
            <v>یونس صاحب</v>
          </cell>
          <cell r="E9540" t="str">
            <v>اصف سرگودھا</v>
          </cell>
        </row>
        <row r="9541">
          <cell r="A9541" t="str">
            <v>7246/10</v>
          </cell>
          <cell r="B9541">
            <v>7246</v>
          </cell>
          <cell r="C9541">
            <v>45902</v>
          </cell>
          <cell r="D9541" t="str">
            <v>یونس صاحب</v>
          </cell>
          <cell r="E9541" t="str">
            <v>اصف سرگودھا</v>
          </cell>
        </row>
        <row r="9542">
          <cell r="A9542" t="str">
            <v>7246/11</v>
          </cell>
          <cell r="B9542">
            <v>7246</v>
          </cell>
          <cell r="C9542">
            <v>45902</v>
          </cell>
          <cell r="D9542" t="str">
            <v>یونس صاحب</v>
          </cell>
          <cell r="E9542" t="str">
            <v>اصف سرگودھا</v>
          </cell>
        </row>
        <row r="9543">
          <cell r="A9543" t="str">
            <v>7246/12</v>
          </cell>
          <cell r="B9543">
            <v>7246</v>
          </cell>
          <cell r="C9543">
            <v>45902</v>
          </cell>
          <cell r="D9543" t="str">
            <v>یونس صاحب</v>
          </cell>
          <cell r="E9543" t="str">
            <v>اصف سرگودھا</v>
          </cell>
        </row>
        <row r="9544">
          <cell r="A9544" t="str">
            <v>7246/13</v>
          </cell>
          <cell r="B9544">
            <v>7246</v>
          </cell>
          <cell r="C9544">
            <v>45902</v>
          </cell>
          <cell r="D9544" t="str">
            <v>یونس صاحب</v>
          </cell>
          <cell r="E9544" t="str">
            <v>اصف سرگودھا</v>
          </cell>
        </row>
        <row r="9545">
          <cell r="A9545" t="str">
            <v>7246/14</v>
          </cell>
          <cell r="B9545">
            <v>7246</v>
          </cell>
          <cell r="C9545">
            <v>45902</v>
          </cell>
          <cell r="D9545" t="str">
            <v>یونس صاحب</v>
          </cell>
          <cell r="E9545" t="str">
            <v>اصف سرگودھا</v>
          </cell>
        </row>
        <row r="9546">
          <cell r="A9546" t="str">
            <v>7246/15</v>
          </cell>
          <cell r="B9546">
            <v>7246</v>
          </cell>
          <cell r="C9546">
            <v>45902</v>
          </cell>
          <cell r="D9546" t="str">
            <v>یونس صاحب</v>
          </cell>
          <cell r="E9546" t="str">
            <v>اصف سرگودھا</v>
          </cell>
        </row>
        <row r="9547">
          <cell r="A9547" t="str">
            <v>7246/16</v>
          </cell>
          <cell r="B9547">
            <v>7246</v>
          </cell>
          <cell r="C9547">
            <v>45902</v>
          </cell>
          <cell r="D9547" t="str">
            <v>یونس صاحب</v>
          </cell>
          <cell r="E9547" t="str">
            <v>اصف سرگودھا</v>
          </cell>
        </row>
        <row r="9548">
          <cell r="A9548" t="str">
            <v>7246/17</v>
          </cell>
          <cell r="B9548">
            <v>7246</v>
          </cell>
          <cell r="C9548">
            <v>45902</v>
          </cell>
          <cell r="D9548" t="str">
            <v>یونس صاحب</v>
          </cell>
          <cell r="E9548" t="str">
            <v>اصف سرگودھا</v>
          </cell>
        </row>
        <row r="9549">
          <cell r="A9549" t="str">
            <v>7246/18</v>
          </cell>
          <cell r="B9549">
            <v>7246</v>
          </cell>
          <cell r="C9549">
            <v>45902</v>
          </cell>
          <cell r="D9549" t="str">
            <v>یونس صاحب</v>
          </cell>
          <cell r="E9549" t="str">
            <v>اصف سرگودھا</v>
          </cell>
        </row>
        <row r="9550">
          <cell r="A9550" t="str">
            <v>7246/19</v>
          </cell>
          <cell r="B9550">
            <v>7246</v>
          </cell>
          <cell r="C9550">
            <v>45902</v>
          </cell>
          <cell r="D9550" t="str">
            <v>یونس صاحب</v>
          </cell>
          <cell r="E9550" t="str">
            <v>اصف سرگودھا</v>
          </cell>
        </row>
        <row r="9551">
          <cell r="A9551" t="str">
            <v>7246/20</v>
          </cell>
          <cell r="B9551">
            <v>7246</v>
          </cell>
          <cell r="C9551">
            <v>45902</v>
          </cell>
          <cell r="D9551" t="str">
            <v>یونس صاحب</v>
          </cell>
          <cell r="E9551" t="str">
            <v>اصف سرگودھا</v>
          </cell>
        </row>
        <row r="9552">
          <cell r="A9552" t="str">
            <v>7246/21</v>
          </cell>
          <cell r="B9552">
            <v>7246</v>
          </cell>
          <cell r="C9552">
            <v>45902</v>
          </cell>
          <cell r="D9552" t="str">
            <v>یونس صاحب</v>
          </cell>
          <cell r="E9552" t="str">
            <v>اصف سرگودھا</v>
          </cell>
        </row>
        <row r="9553">
          <cell r="A9553" t="str">
            <v>7246/22</v>
          </cell>
          <cell r="B9553">
            <v>7246</v>
          </cell>
          <cell r="C9553">
            <v>45902</v>
          </cell>
          <cell r="D9553" t="str">
            <v>یونس صاحب</v>
          </cell>
          <cell r="E9553" t="str">
            <v>اصف سرگودھا</v>
          </cell>
        </row>
        <row r="9554">
          <cell r="A9554" t="str">
            <v>7246/23</v>
          </cell>
          <cell r="B9554">
            <v>7246</v>
          </cell>
          <cell r="C9554">
            <v>45902</v>
          </cell>
          <cell r="D9554" t="str">
            <v>یونس صاحب</v>
          </cell>
          <cell r="E9554" t="str">
            <v>اصف سرگودھا</v>
          </cell>
        </row>
        <row r="9555">
          <cell r="A9555" t="str">
            <v>7246/24</v>
          </cell>
          <cell r="B9555">
            <v>7246</v>
          </cell>
          <cell r="C9555">
            <v>45902</v>
          </cell>
          <cell r="D9555" t="str">
            <v>یونس صاحب</v>
          </cell>
          <cell r="E9555" t="str">
            <v>اصف سرگودھا</v>
          </cell>
        </row>
        <row r="9556">
          <cell r="A9556" t="str">
            <v>7246/25</v>
          </cell>
          <cell r="B9556">
            <v>7246</v>
          </cell>
          <cell r="C9556">
            <v>45902</v>
          </cell>
          <cell r="D9556" t="str">
            <v>یونس صاحب</v>
          </cell>
          <cell r="E9556" t="str">
            <v>اصف سرگودھا</v>
          </cell>
        </row>
        <row r="9557">
          <cell r="A9557" t="str">
            <v>7246/26</v>
          </cell>
          <cell r="B9557">
            <v>7246</v>
          </cell>
          <cell r="C9557">
            <v>45902</v>
          </cell>
          <cell r="D9557" t="str">
            <v>یونس صاحب</v>
          </cell>
          <cell r="E9557" t="str">
            <v>اصف سرگودھا</v>
          </cell>
        </row>
        <row r="9558">
          <cell r="A9558" t="str">
            <v>7246/27</v>
          </cell>
          <cell r="B9558">
            <v>7246</v>
          </cell>
          <cell r="C9558">
            <v>45902</v>
          </cell>
          <cell r="D9558" t="str">
            <v>یونس صاحب</v>
          </cell>
          <cell r="E9558" t="str">
            <v>اصف سرگودھا</v>
          </cell>
        </row>
        <row r="9559">
          <cell r="A9559" t="str">
            <v>7246/28</v>
          </cell>
          <cell r="B9559">
            <v>7246</v>
          </cell>
          <cell r="C9559">
            <v>45902</v>
          </cell>
          <cell r="D9559" t="str">
            <v>یونس صاحب</v>
          </cell>
          <cell r="E9559" t="str">
            <v>اصف سرگودھا</v>
          </cell>
        </row>
        <row r="9560">
          <cell r="A9560" t="str">
            <v>7247/1</v>
          </cell>
          <cell r="B9560">
            <v>7247</v>
          </cell>
          <cell r="C9560">
            <v>45902</v>
          </cell>
          <cell r="D9560" t="str">
            <v>یونس صاحب</v>
          </cell>
          <cell r="E9560" t="str">
            <v>ایم عمران پاکستان مارکیٹ</v>
          </cell>
        </row>
        <row r="9561">
          <cell r="A9561" t="str">
            <v>7248/1</v>
          </cell>
          <cell r="B9561">
            <v>7248</v>
          </cell>
          <cell r="C9561">
            <v>45902</v>
          </cell>
          <cell r="D9561" t="str">
            <v>یونس صاحب</v>
          </cell>
          <cell r="E9561" t="str">
            <v>محبوب مقبول گوجرانوالہ</v>
          </cell>
        </row>
        <row r="9562">
          <cell r="A9562" t="str">
            <v>7248/2</v>
          </cell>
          <cell r="B9562">
            <v>7248</v>
          </cell>
          <cell r="C9562">
            <v>45902</v>
          </cell>
          <cell r="D9562" t="str">
            <v>یونس صاحب</v>
          </cell>
          <cell r="E9562" t="str">
            <v>محبوب مقبول گوجرانوالہ</v>
          </cell>
        </row>
        <row r="9563">
          <cell r="A9563" t="str">
            <v>7248/3</v>
          </cell>
          <cell r="B9563">
            <v>7248</v>
          </cell>
          <cell r="C9563">
            <v>45902</v>
          </cell>
          <cell r="D9563" t="str">
            <v>یونس صاحب</v>
          </cell>
          <cell r="E9563" t="str">
            <v>محبوب مقبول گوجرانوالہ</v>
          </cell>
        </row>
        <row r="9564">
          <cell r="A9564" t="str">
            <v>7248/4</v>
          </cell>
          <cell r="B9564">
            <v>7248</v>
          </cell>
          <cell r="C9564">
            <v>45902</v>
          </cell>
          <cell r="D9564" t="str">
            <v>یونس صاحب</v>
          </cell>
          <cell r="E9564" t="str">
            <v>محبوب مقبول گوجرانوالہ</v>
          </cell>
        </row>
        <row r="9565">
          <cell r="A9565" t="str">
            <v>7248/5</v>
          </cell>
          <cell r="B9565">
            <v>7248</v>
          </cell>
          <cell r="C9565">
            <v>45902</v>
          </cell>
          <cell r="D9565" t="str">
            <v>یونس صاحب</v>
          </cell>
          <cell r="E9565" t="str">
            <v>محبوب مقبول گوجرانوالہ</v>
          </cell>
        </row>
        <row r="9566">
          <cell r="A9566" t="str">
            <v>7248/6</v>
          </cell>
          <cell r="B9566">
            <v>7248</v>
          </cell>
          <cell r="C9566">
            <v>45902</v>
          </cell>
          <cell r="D9566" t="str">
            <v>یونس صاحب</v>
          </cell>
          <cell r="E9566" t="str">
            <v>محبوب مقبول گوجرانوالہ</v>
          </cell>
        </row>
        <row r="9567">
          <cell r="A9567" t="str">
            <v>7248/7</v>
          </cell>
          <cell r="B9567">
            <v>7248</v>
          </cell>
          <cell r="C9567">
            <v>45902</v>
          </cell>
          <cell r="D9567" t="str">
            <v>یونس صاحب</v>
          </cell>
          <cell r="E9567" t="str">
            <v>محبوب مقبول گوجرانوالہ</v>
          </cell>
        </row>
        <row r="9568">
          <cell r="A9568" t="str">
            <v>7248/8</v>
          </cell>
          <cell r="B9568">
            <v>7248</v>
          </cell>
          <cell r="C9568">
            <v>45902</v>
          </cell>
          <cell r="D9568" t="str">
            <v>یونس صاحب</v>
          </cell>
          <cell r="E9568" t="str">
            <v>محبوب مقبول گوجرانوالہ</v>
          </cell>
        </row>
        <row r="9569">
          <cell r="A9569" t="str">
            <v>7248/9</v>
          </cell>
          <cell r="B9569">
            <v>7248</v>
          </cell>
          <cell r="C9569">
            <v>45902</v>
          </cell>
          <cell r="D9569" t="str">
            <v>یونس صاحب</v>
          </cell>
          <cell r="E9569" t="str">
            <v>محبوب مقبول گوجرانوالہ</v>
          </cell>
        </row>
        <row r="9570">
          <cell r="A9570" t="str">
            <v>7249/1</v>
          </cell>
          <cell r="B9570">
            <v>7249</v>
          </cell>
          <cell r="C9570">
            <v>45902</v>
          </cell>
          <cell r="D9570" t="str">
            <v>یونس صاحب</v>
          </cell>
          <cell r="E9570" t="str">
            <v>العمر پلاسٹک گوجرانوالہ</v>
          </cell>
        </row>
        <row r="9571">
          <cell r="A9571" t="str">
            <v>7249/2</v>
          </cell>
          <cell r="B9571">
            <v>7249</v>
          </cell>
          <cell r="C9571">
            <v>45902</v>
          </cell>
          <cell r="D9571" t="str">
            <v>یونس صاحب</v>
          </cell>
          <cell r="E9571" t="str">
            <v>العمر پلاسٹک گوجرانوالہ</v>
          </cell>
        </row>
        <row r="9572">
          <cell r="A9572" t="str">
            <v>7249/3</v>
          </cell>
          <cell r="B9572">
            <v>7249</v>
          </cell>
          <cell r="C9572">
            <v>45902</v>
          </cell>
          <cell r="D9572" t="str">
            <v>یونس صاحب</v>
          </cell>
          <cell r="E9572" t="str">
            <v>العمر پلاسٹک گوجرانوالہ</v>
          </cell>
        </row>
        <row r="9573">
          <cell r="A9573" t="str">
            <v>7249/4</v>
          </cell>
          <cell r="B9573">
            <v>7249</v>
          </cell>
          <cell r="C9573">
            <v>45902</v>
          </cell>
          <cell r="D9573" t="str">
            <v>یونس صاحب</v>
          </cell>
          <cell r="E9573" t="str">
            <v>العمر پلاسٹک گوجرانوالہ</v>
          </cell>
        </row>
        <row r="9574">
          <cell r="A9574" t="str">
            <v>7249/5</v>
          </cell>
          <cell r="B9574">
            <v>7249</v>
          </cell>
          <cell r="C9574">
            <v>45902</v>
          </cell>
          <cell r="D9574" t="str">
            <v>یونس صاحب</v>
          </cell>
          <cell r="E9574" t="str">
            <v>العمر پلاسٹک گوجرانوالہ</v>
          </cell>
        </row>
        <row r="9575">
          <cell r="A9575" t="str">
            <v>7250/1</v>
          </cell>
          <cell r="B9575">
            <v>7250</v>
          </cell>
          <cell r="C9575">
            <v>45902</v>
          </cell>
          <cell r="D9575" t="str">
            <v>یونس صاحب</v>
          </cell>
          <cell r="E9575" t="str">
            <v>العمر پلاسٹک گوجرانوالہ</v>
          </cell>
        </row>
        <row r="9576">
          <cell r="A9576" t="str">
            <v>7251/1</v>
          </cell>
          <cell r="B9576">
            <v>7251</v>
          </cell>
          <cell r="C9576">
            <v>45902</v>
          </cell>
          <cell r="D9576" t="str">
            <v>یونس صاحب</v>
          </cell>
          <cell r="E9576" t="str">
            <v>ریفلیکٹ پیک لاہور</v>
          </cell>
        </row>
        <row r="9577">
          <cell r="A9577" t="str">
            <v>7252/1</v>
          </cell>
          <cell r="B9577">
            <v>7252</v>
          </cell>
          <cell r="C9577">
            <v>45902</v>
          </cell>
          <cell r="D9577" t="str">
            <v>یونس صاحب</v>
          </cell>
          <cell r="E9577" t="str">
            <v>العمر پلاسٹک گوجرانوالہ</v>
          </cell>
        </row>
        <row r="9578">
          <cell r="A9578" t="str">
            <v>7252/2</v>
          </cell>
          <cell r="B9578">
            <v>7252</v>
          </cell>
          <cell r="C9578">
            <v>45902</v>
          </cell>
          <cell r="D9578" t="str">
            <v>یونس صاحب</v>
          </cell>
          <cell r="E9578" t="str">
            <v>العمر پلاسٹک گوجرانوالہ</v>
          </cell>
        </row>
        <row r="9579">
          <cell r="A9579" t="str">
            <v>7252/3</v>
          </cell>
          <cell r="B9579">
            <v>7252</v>
          </cell>
          <cell r="C9579">
            <v>45902</v>
          </cell>
          <cell r="D9579" t="str">
            <v>یونس صاحب</v>
          </cell>
          <cell r="E9579" t="str">
            <v>العمر پلاسٹک گوجرانوالہ</v>
          </cell>
        </row>
        <row r="9580">
          <cell r="A9580" t="str">
            <v>7252/4</v>
          </cell>
          <cell r="B9580">
            <v>7252</v>
          </cell>
          <cell r="C9580">
            <v>45902</v>
          </cell>
          <cell r="D9580" t="str">
            <v>یونس صاحب</v>
          </cell>
          <cell r="E9580" t="str">
            <v>العمر پلاسٹک گوجرانوالہ</v>
          </cell>
        </row>
        <row r="9581">
          <cell r="A9581" t="str">
            <v>2074 F</v>
          </cell>
          <cell r="B9581"/>
          <cell r="C9581">
            <v>45901</v>
          </cell>
          <cell r="D9581" t="str">
            <v>Fina</v>
          </cell>
          <cell r="E9581" t="str">
            <v>Usman Amin</v>
          </cell>
        </row>
        <row r="9582">
          <cell r="A9582" t="str">
            <v>2075 F</v>
          </cell>
          <cell r="B9582"/>
          <cell r="C9582">
            <v>45901</v>
          </cell>
          <cell r="D9582" t="str">
            <v>Fina</v>
          </cell>
          <cell r="E9582" t="str">
            <v>Usman Amin</v>
          </cell>
        </row>
        <row r="9583">
          <cell r="A9583" t="str">
            <v>2076 F</v>
          </cell>
          <cell r="B9583"/>
          <cell r="C9583">
            <v>45901</v>
          </cell>
          <cell r="D9583" t="str">
            <v>Fina</v>
          </cell>
          <cell r="E9583" t="str">
            <v>Usman Amin</v>
          </cell>
        </row>
        <row r="9584">
          <cell r="A9584" t="str">
            <v>2077 F</v>
          </cell>
          <cell r="B9584"/>
          <cell r="C9584">
            <v>45901</v>
          </cell>
          <cell r="D9584" t="str">
            <v>Fina</v>
          </cell>
          <cell r="E9584" t="str">
            <v>Usman Amin</v>
          </cell>
        </row>
        <row r="9585">
          <cell r="A9585" t="str">
            <v>2078 F</v>
          </cell>
          <cell r="B9585"/>
          <cell r="C9585">
            <v>45901</v>
          </cell>
          <cell r="D9585" t="str">
            <v>Fina</v>
          </cell>
          <cell r="E9585" t="str">
            <v>Usman Amin</v>
          </cell>
        </row>
        <row r="9586">
          <cell r="A9586" t="str">
            <v>2079 F</v>
          </cell>
          <cell r="B9586"/>
          <cell r="C9586">
            <v>45901</v>
          </cell>
          <cell r="D9586" t="str">
            <v>Fina</v>
          </cell>
          <cell r="E9586" t="str">
            <v>Usman Amin</v>
          </cell>
        </row>
        <row r="9587">
          <cell r="A9587" t="str">
            <v>2080 F</v>
          </cell>
          <cell r="B9587"/>
          <cell r="C9587">
            <v>45901</v>
          </cell>
          <cell r="D9587" t="str">
            <v>Fina</v>
          </cell>
          <cell r="E9587" t="str">
            <v>Usman Amin</v>
          </cell>
        </row>
        <row r="9588">
          <cell r="A9588" t="str">
            <v>2081 F</v>
          </cell>
          <cell r="B9588"/>
          <cell r="C9588">
            <v>45901</v>
          </cell>
          <cell r="D9588" t="str">
            <v>Fina</v>
          </cell>
          <cell r="E9588" t="str">
            <v>Usman Amin</v>
          </cell>
        </row>
        <row r="9589">
          <cell r="A9589" t="str">
            <v>2082 F</v>
          </cell>
          <cell r="B9589"/>
          <cell r="C9589">
            <v>45901</v>
          </cell>
          <cell r="D9589" t="str">
            <v>Fina</v>
          </cell>
          <cell r="E9589" t="str">
            <v>Usman Amin</v>
          </cell>
        </row>
        <row r="9590">
          <cell r="A9590" t="str">
            <v>2083 F</v>
          </cell>
          <cell r="B9590"/>
          <cell r="C9590">
            <v>45901</v>
          </cell>
          <cell r="D9590" t="str">
            <v>Fina</v>
          </cell>
          <cell r="E9590" t="str">
            <v>Usman Amin</v>
          </cell>
        </row>
        <row r="9591">
          <cell r="A9591" t="str">
            <v>2084 F</v>
          </cell>
          <cell r="B9591"/>
          <cell r="C9591">
            <v>45901</v>
          </cell>
          <cell r="D9591" t="str">
            <v>Fina</v>
          </cell>
          <cell r="E9591" t="str">
            <v>Usman Amin</v>
          </cell>
        </row>
        <row r="9592">
          <cell r="A9592" t="str">
            <v>2085 F</v>
          </cell>
          <cell r="B9592"/>
          <cell r="C9592">
            <v>45901</v>
          </cell>
          <cell r="D9592" t="str">
            <v>Fina</v>
          </cell>
          <cell r="E9592" t="str">
            <v>Usman Amin</v>
          </cell>
        </row>
        <row r="9593">
          <cell r="A9593" t="str">
            <v>2086 F</v>
          </cell>
          <cell r="B9593"/>
          <cell r="C9593">
            <v>45901</v>
          </cell>
          <cell r="D9593" t="str">
            <v>Fina</v>
          </cell>
          <cell r="E9593" t="str">
            <v>Usman Amin</v>
          </cell>
        </row>
        <row r="9594">
          <cell r="A9594" t="str">
            <v>2087 F</v>
          </cell>
          <cell r="B9594"/>
          <cell r="C9594">
            <v>45901</v>
          </cell>
          <cell r="D9594" t="str">
            <v>Fina</v>
          </cell>
          <cell r="E9594" t="str">
            <v>Usman Amin</v>
          </cell>
        </row>
        <row r="9595">
          <cell r="A9595" t="str">
            <v>2088 F</v>
          </cell>
          <cell r="B9595"/>
          <cell r="C9595">
            <v>45901</v>
          </cell>
          <cell r="D9595" t="str">
            <v>Fina</v>
          </cell>
          <cell r="E9595" t="str">
            <v>Usman Amin</v>
          </cell>
        </row>
        <row r="9596">
          <cell r="A9596" t="str">
            <v>2089 F</v>
          </cell>
          <cell r="B9596"/>
          <cell r="C9596">
            <v>45901</v>
          </cell>
          <cell r="D9596" t="str">
            <v>Fina</v>
          </cell>
          <cell r="E9596" t="str">
            <v>Usman Amin</v>
          </cell>
        </row>
        <row r="9597">
          <cell r="A9597" t="str">
            <v>2090 F</v>
          </cell>
          <cell r="B9597"/>
          <cell r="C9597">
            <v>45901</v>
          </cell>
          <cell r="D9597" t="str">
            <v>Fina</v>
          </cell>
          <cell r="E9597" t="str">
            <v>Usman Amin</v>
          </cell>
        </row>
        <row r="9598">
          <cell r="A9598" t="str">
            <v>2091 F</v>
          </cell>
          <cell r="B9598"/>
          <cell r="C9598">
            <v>45902</v>
          </cell>
          <cell r="D9598" t="str">
            <v>Fina</v>
          </cell>
          <cell r="E9598" t="str">
            <v>Usman Amin</v>
          </cell>
        </row>
        <row r="9599">
          <cell r="A9599" t="str">
            <v>2092 F</v>
          </cell>
          <cell r="B9599"/>
          <cell r="C9599">
            <v>45902</v>
          </cell>
          <cell r="D9599" t="str">
            <v>Fina</v>
          </cell>
          <cell r="E9599" t="str">
            <v>Usman Amin</v>
          </cell>
        </row>
        <row r="9600">
          <cell r="A9600" t="str">
            <v>2093 F</v>
          </cell>
          <cell r="B9600"/>
          <cell r="C9600">
            <v>45902</v>
          </cell>
          <cell r="D9600" t="str">
            <v>Fina</v>
          </cell>
          <cell r="E9600" t="str">
            <v>Usman Amin</v>
          </cell>
        </row>
        <row r="9601">
          <cell r="A9601" t="str">
            <v>2094 F</v>
          </cell>
          <cell r="B9601"/>
          <cell r="C9601">
            <v>45902</v>
          </cell>
          <cell r="D9601" t="str">
            <v>Fina</v>
          </cell>
          <cell r="E9601" t="str">
            <v>Usman Amin</v>
          </cell>
        </row>
        <row r="9602">
          <cell r="A9602" t="str">
            <v>2095 F</v>
          </cell>
          <cell r="B9602"/>
          <cell r="C9602">
            <v>45902</v>
          </cell>
          <cell r="D9602" t="str">
            <v>Fina</v>
          </cell>
          <cell r="E9602" t="str">
            <v>Usman Amin</v>
          </cell>
        </row>
        <row r="9603">
          <cell r="A9603" t="str">
            <v>2096 F</v>
          </cell>
          <cell r="B9603"/>
          <cell r="C9603">
            <v>45902</v>
          </cell>
          <cell r="D9603" t="str">
            <v>Fina</v>
          </cell>
          <cell r="E9603" t="str">
            <v>Usman Amin</v>
          </cell>
        </row>
        <row r="9604">
          <cell r="A9604" t="str">
            <v>2097 F</v>
          </cell>
          <cell r="B9604"/>
          <cell r="C9604">
            <v>45902</v>
          </cell>
          <cell r="D9604" t="str">
            <v>Fina</v>
          </cell>
          <cell r="E9604" t="str">
            <v>Usman Amin</v>
          </cell>
        </row>
        <row r="9605">
          <cell r="A9605" t="str">
            <v>4029 J</v>
          </cell>
          <cell r="B9605">
            <v>13026</v>
          </cell>
          <cell r="C9605">
            <v>45899</v>
          </cell>
          <cell r="D9605" t="str">
            <v>JILANI</v>
          </cell>
          <cell r="E9605" t="str">
            <v>Mahboob Printer Gujranwala</v>
          </cell>
        </row>
        <row r="9606">
          <cell r="A9606" t="str">
            <v>4030 J</v>
          </cell>
          <cell r="B9606">
            <v>13018</v>
          </cell>
          <cell r="C9606">
            <v>45899</v>
          </cell>
          <cell r="D9606" t="str">
            <v>JILANI</v>
          </cell>
          <cell r="E9606" t="str">
            <v>Mian G Fabrics Shadbagh Lahore</v>
          </cell>
        </row>
        <row r="9607">
          <cell r="A9607" t="str">
            <v>4031 J</v>
          </cell>
          <cell r="B9607">
            <v>13019</v>
          </cell>
          <cell r="C9607">
            <v>45899</v>
          </cell>
          <cell r="D9607" t="str">
            <v>JILANI</v>
          </cell>
          <cell r="E9607" t="str">
            <v>Sheikh Iqbal Cloth and Botique Center Lhr</v>
          </cell>
        </row>
        <row r="9608">
          <cell r="A9608" t="str">
            <v>4032 J</v>
          </cell>
          <cell r="B9608">
            <v>13020</v>
          </cell>
          <cell r="C9608">
            <v>45899</v>
          </cell>
          <cell r="D9608" t="str">
            <v>JILANI</v>
          </cell>
          <cell r="E9608" t="str">
            <v>Ibtsam Traders Sheikhupura</v>
          </cell>
        </row>
        <row r="9609">
          <cell r="A9609" t="str">
            <v>4033 J</v>
          </cell>
          <cell r="B9609">
            <v>13021</v>
          </cell>
          <cell r="C9609">
            <v>45899</v>
          </cell>
          <cell r="D9609" t="str">
            <v>JILANI</v>
          </cell>
          <cell r="E9609" t="str">
            <v>Chezo Cheez Lahore</v>
          </cell>
        </row>
        <row r="9610">
          <cell r="A9610" t="str">
            <v>4034 J</v>
          </cell>
          <cell r="B9610">
            <v>13022</v>
          </cell>
          <cell r="C9610">
            <v>45899</v>
          </cell>
          <cell r="D9610" t="str">
            <v>JILANI</v>
          </cell>
          <cell r="E9610" t="str">
            <v>Irfan SB Azam Market LHR</v>
          </cell>
        </row>
        <row r="9611">
          <cell r="A9611" t="str">
            <v>4035 J</v>
          </cell>
          <cell r="B9611">
            <v>13023</v>
          </cell>
          <cell r="C9611">
            <v>45899</v>
          </cell>
          <cell r="D9611" t="str">
            <v>JILANI</v>
          </cell>
          <cell r="E9611" t="str">
            <v>Armani Dry Cleaner Mandi Bahuldin</v>
          </cell>
        </row>
        <row r="9612">
          <cell r="A9612" t="str">
            <v>4036 J</v>
          </cell>
          <cell r="B9612">
            <v>13023</v>
          </cell>
          <cell r="C9612">
            <v>45899</v>
          </cell>
          <cell r="D9612" t="str">
            <v>JILANI</v>
          </cell>
          <cell r="E9612" t="str">
            <v>Armani Dry Cleaner Mandi Bahuldin</v>
          </cell>
        </row>
        <row r="9613">
          <cell r="A9613" t="str">
            <v>4037 J</v>
          </cell>
          <cell r="B9613">
            <v>13024</v>
          </cell>
          <cell r="C9613">
            <v>45899</v>
          </cell>
          <cell r="D9613" t="str">
            <v>OTHER</v>
          </cell>
          <cell r="E9613" t="str">
            <v>Head Office Lahore</v>
          </cell>
        </row>
        <row r="9614">
          <cell r="A9614" t="str">
            <v>4038 J</v>
          </cell>
          <cell r="B9614">
            <v>13024</v>
          </cell>
          <cell r="C9614">
            <v>45899</v>
          </cell>
          <cell r="D9614" t="str">
            <v>OTHER</v>
          </cell>
          <cell r="E9614" t="str">
            <v>Head Office Lahore</v>
          </cell>
        </row>
        <row r="9615">
          <cell r="A9615" t="str">
            <v>4039 J</v>
          </cell>
          <cell r="B9615">
            <v>13024</v>
          </cell>
          <cell r="C9615">
            <v>45899</v>
          </cell>
          <cell r="D9615" t="str">
            <v>OTHER</v>
          </cell>
          <cell r="E9615" t="str">
            <v>Head Office Lahore</v>
          </cell>
        </row>
        <row r="9616">
          <cell r="A9616" t="str">
            <v>4040 J</v>
          </cell>
          <cell r="B9616">
            <v>13024</v>
          </cell>
          <cell r="C9616">
            <v>45899</v>
          </cell>
          <cell r="D9616" t="str">
            <v>OTHER</v>
          </cell>
          <cell r="E9616" t="str">
            <v>Head Office Lahore</v>
          </cell>
        </row>
        <row r="9617">
          <cell r="A9617" t="str">
            <v>4041 J</v>
          </cell>
          <cell r="B9617">
            <v>13025</v>
          </cell>
          <cell r="C9617">
            <v>45899</v>
          </cell>
          <cell r="D9617" t="str">
            <v>OTHER</v>
          </cell>
          <cell r="E9617" t="str">
            <v>Head Office Lahore</v>
          </cell>
        </row>
        <row r="9618">
          <cell r="A9618" t="str">
            <v>4042 J</v>
          </cell>
          <cell r="B9618">
            <v>13025</v>
          </cell>
          <cell r="C9618">
            <v>45899</v>
          </cell>
          <cell r="D9618" t="str">
            <v>OTHER</v>
          </cell>
          <cell r="E9618" t="str">
            <v>Head Office Lahore</v>
          </cell>
        </row>
        <row r="9619">
          <cell r="A9619" t="str">
            <v>4043 J</v>
          </cell>
          <cell r="B9619"/>
          <cell r="C9619">
            <v>45899</v>
          </cell>
          <cell r="D9619" t="str">
            <v>JILANI</v>
          </cell>
          <cell r="E9619" t="str">
            <v>-</v>
          </cell>
        </row>
        <row r="9620">
          <cell r="A9620" t="str">
            <v>4044 J</v>
          </cell>
          <cell r="B9620"/>
          <cell r="C9620">
            <v>45899</v>
          </cell>
          <cell r="D9620" t="str">
            <v>OTHER</v>
          </cell>
          <cell r="E9620" t="str">
            <v>Jilani plastic</v>
          </cell>
        </row>
        <row r="9621">
          <cell r="A9621" t="str">
            <v>4045 J</v>
          </cell>
          <cell r="B9621"/>
          <cell r="C9621">
            <v>45899</v>
          </cell>
          <cell r="D9621" t="str">
            <v>OTHER</v>
          </cell>
          <cell r="E9621" t="str">
            <v>Jilani plastic</v>
          </cell>
        </row>
        <row r="9622">
          <cell r="A9622" t="str">
            <v>4046 J</v>
          </cell>
          <cell r="B9622"/>
          <cell r="C9622">
            <v>45899</v>
          </cell>
          <cell r="D9622" t="str">
            <v>OTHER</v>
          </cell>
          <cell r="E9622" t="str">
            <v>Jilani plastic</v>
          </cell>
        </row>
        <row r="9623">
          <cell r="A9623" t="str">
            <v>4047 J</v>
          </cell>
          <cell r="B9623"/>
          <cell r="C9623">
            <v>45899</v>
          </cell>
          <cell r="D9623" t="str">
            <v>OTHER</v>
          </cell>
          <cell r="E9623" t="str">
            <v>Jilani plastic</v>
          </cell>
        </row>
        <row r="9624">
          <cell r="A9624" t="str">
            <v>4048 J</v>
          </cell>
          <cell r="B9624">
            <v>12953</v>
          </cell>
          <cell r="C9624">
            <v>45894</v>
          </cell>
          <cell r="D9624" t="str">
            <v>JILANI</v>
          </cell>
          <cell r="E9624" t="str">
            <v>Jilani Poly Stock</v>
          </cell>
        </row>
        <row r="9625">
          <cell r="A9625" t="str">
            <v>4049 J</v>
          </cell>
          <cell r="B9625"/>
          <cell r="C9625">
            <v>45901</v>
          </cell>
          <cell r="D9625" t="str">
            <v>OTHER</v>
          </cell>
          <cell r="E9625" t="str">
            <v>Jilani plastic</v>
          </cell>
        </row>
        <row r="9626">
          <cell r="A9626" t="str">
            <v>4049 J/1</v>
          </cell>
          <cell r="B9626"/>
          <cell r="C9626">
            <v>45901</v>
          </cell>
          <cell r="D9626" t="str">
            <v>OTHER</v>
          </cell>
          <cell r="E9626" t="str">
            <v>Jilani Plastic</v>
          </cell>
        </row>
        <row r="9627">
          <cell r="A9627" t="str">
            <v>2786/1</v>
          </cell>
          <cell r="B9627">
            <v>20137</v>
          </cell>
          <cell r="C9627">
            <v>45902</v>
          </cell>
          <cell r="D9627" t="str">
            <v>JILANI</v>
          </cell>
          <cell r="E9627" t="str">
            <v>GOGA PLASTIC GJW</v>
          </cell>
        </row>
        <row r="9628">
          <cell r="A9628" t="str">
            <v>2787/1</v>
          </cell>
          <cell r="B9628" t="str">
            <v>014895-1</v>
          </cell>
          <cell r="C9628">
            <v>45903</v>
          </cell>
          <cell r="D9628" t="str">
            <v>JILANI</v>
          </cell>
          <cell r="E9628" t="str">
            <v>MATCO FOOD</v>
          </cell>
        </row>
        <row r="9629">
          <cell r="A9629" t="str">
            <v>2788/1</v>
          </cell>
          <cell r="B9629">
            <v>8296</v>
          </cell>
          <cell r="C9629">
            <v>45903</v>
          </cell>
          <cell r="D9629" t="str">
            <v>JILANI</v>
          </cell>
          <cell r="E9629" t="str">
            <v>HONDA ATLAS (CARS) LTD</v>
          </cell>
        </row>
        <row r="9630">
          <cell r="A9630" t="str">
            <v>4050 J</v>
          </cell>
          <cell r="B9630"/>
          <cell r="C9630">
            <v>45901</v>
          </cell>
          <cell r="D9630" t="str">
            <v>OTHER</v>
          </cell>
          <cell r="E9630" t="str">
            <v>Jilani Plastic</v>
          </cell>
        </row>
        <row r="9631">
          <cell r="A9631" t="str">
            <v>4051 J</v>
          </cell>
          <cell r="B9631">
            <v>13027</v>
          </cell>
          <cell r="C9631">
            <v>45901</v>
          </cell>
          <cell r="D9631" t="str">
            <v>JILANI</v>
          </cell>
          <cell r="E9631" t="str">
            <v>Nawab Sweets and Bakers Patoki</v>
          </cell>
        </row>
        <row r="9632">
          <cell r="A9632" t="str">
            <v>4052 J</v>
          </cell>
          <cell r="B9632">
            <v>13027</v>
          </cell>
          <cell r="C9632">
            <v>45901</v>
          </cell>
          <cell r="D9632" t="str">
            <v>JILANI</v>
          </cell>
          <cell r="E9632" t="str">
            <v>Nawab Sweets and Bakers Patoki</v>
          </cell>
        </row>
        <row r="9633">
          <cell r="A9633" t="str">
            <v>4053 J</v>
          </cell>
          <cell r="B9633">
            <v>13027</v>
          </cell>
          <cell r="C9633">
            <v>45901</v>
          </cell>
          <cell r="D9633" t="str">
            <v>JILANI</v>
          </cell>
          <cell r="E9633" t="str">
            <v>Nawab Sweets and Bakers Patoki</v>
          </cell>
        </row>
        <row r="9634">
          <cell r="A9634" t="str">
            <v>4054 J</v>
          </cell>
          <cell r="B9634">
            <v>13028</v>
          </cell>
          <cell r="C9634">
            <v>45901</v>
          </cell>
          <cell r="D9634" t="str">
            <v>JILANI</v>
          </cell>
          <cell r="E9634" t="str">
            <v>Shafi Foam Lahore</v>
          </cell>
        </row>
        <row r="9635">
          <cell r="A9635" t="str">
            <v>4055 J</v>
          </cell>
          <cell r="B9635">
            <v>13029</v>
          </cell>
          <cell r="C9635">
            <v>45901</v>
          </cell>
          <cell r="D9635" t="str">
            <v>JILANI</v>
          </cell>
          <cell r="E9635" t="str">
            <v xml:space="preserve">Moazmi Plastic Sahiwal </v>
          </cell>
        </row>
        <row r="9636">
          <cell r="A9636" t="str">
            <v>4056 J</v>
          </cell>
          <cell r="B9636">
            <v>13029</v>
          </cell>
          <cell r="C9636">
            <v>45901</v>
          </cell>
          <cell r="D9636" t="str">
            <v>JILANI</v>
          </cell>
          <cell r="E9636" t="str">
            <v xml:space="preserve">Moazmi Plastic Sahiwal </v>
          </cell>
        </row>
        <row r="9637">
          <cell r="A9637" t="str">
            <v>4057 J</v>
          </cell>
          <cell r="B9637">
            <v>13030</v>
          </cell>
          <cell r="C9637">
            <v>45901</v>
          </cell>
          <cell r="D9637" t="str">
            <v>JILANI</v>
          </cell>
          <cell r="E9637" t="str">
            <v>Cakes and Bakes Lahore</v>
          </cell>
        </row>
        <row r="9638">
          <cell r="A9638" t="str">
            <v>4058 J</v>
          </cell>
          <cell r="B9638">
            <v>13030</v>
          </cell>
          <cell r="C9638">
            <v>45901</v>
          </cell>
          <cell r="D9638" t="str">
            <v>JILANI</v>
          </cell>
          <cell r="E9638" t="str">
            <v>Cakes and Bakes Lahore</v>
          </cell>
        </row>
        <row r="9639">
          <cell r="A9639" t="str">
            <v>4059 J</v>
          </cell>
          <cell r="B9639">
            <v>13031</v>
          </cell>
          <cell r="C9639">
            <v>45901</v>
          </cell>
          <cell r="D9639" t="str">
            <v>JILANI</v>
          </cell>
          <cell r="E9639" t="str">
            <v>Waqas Wollan Mills Gujranwala</v>
          </cell>
        </row>
        <row r="9640">
          <cell r="A9640" t="str">
            <v>4060 J</v>
          </cell>
          <cell r="B9640">
            <v>13032</v>
          </cell>
          <cell r="C9640">
            <v>45901</v>
          </cell>
          <cell r="D9640" t="str">
            <v>JILANI</v>
          </cell>
          <cell r="E9640" t="str">
            <v>Waqas Wollan Mills Gujranwala</v>
          </cell>
        </row>
        <row r="9641">
          <cell r="A9641" t="str">
            <v>4061 J</v>
          </cell>
          <cell r="B9641">
            <v>13032</v>
          </cell>
          <cell r="C9641">
            <v>45901</v>
          </cell>
          <cell r="D9641" t="str">
            <v>JILANI</v>
          </cell>
          <cell r="E9641" t="str">
            <v>Waqas Wollan Mills Gujranwala</v>
          </cell>
        </row>
        <row r="9642">
          <cell r="A9642" t="str">
            <v>4062 J</v>
          </cell>
          <cell r="B9642">
            <v>13032</v>
          </cell>
          <cell r="C9642">
            <v>45901</v>
          </cell>
          <cell r="D9642" t="str">
            <v>JILANI</v>
          </cell>
          <cell r="E9642" t="str">
            <v>Waqas Wollan Mills Gujranwala</v>
          </cell>
        </row>
        <row r="9643">
          <cell r="A9643" t="str">
            <v>4063 J</v>
          </cell>
          <cell r="B9643">
            <v>13032</v>
          </cell>
          <cell r="C9643">
            <v>45901</v>
          </cell>
          <cell r="D9643" t="str">
            <v>JILANI</v>
          </cell>
          <cell r="E9643" t="str">
            <v>Waqas Wollan Mills Gujranwala</v>
          </cell>
        </row>
        <row r="9644">
          <cell r="A9644" t="str">
            <v>4064 J</v>
          </cell>
          <cell r="B9644">
            <v>13032</v>
          </cell>
          <cell r="C9644">
            <v>45901</v>
          </cell>
          <cell r="D9644" t="str">
            <v>JILANI</v>
          </cell>
          <cell r="E9644" t="str">
            <v>Waqas Wollan Mills Gujranwala</v>
          </cell>
        </row>
        <row r="9645">
          <cell r="A9645" t="str">
            <v>4065 J</v>
          </cell>
          <cell r="B9645">
            <v>13033</v>
          </cell>
          <cell r="C9645">
            <v>45902</v>
          </cell>
          <cell r="D9645" t="str">
            <v>JILANI</v>
          </cell>
          <cell r="E9645" t="str">
            <v>Cakes and Bakes Lahore Dairy Unit</v>
          </cell>
        </row>
        <row r="9646">
          <cell r="A9646" t="str">
            <v>4066 J</v>
          </cell>
          <cell r="B9646">
            <v>13034</v>
          </cell>
          <cell r="C9646">
            <v>45902</v>
          </cell>
          <cell r="D9646" t="str">
            <v>JILANI</v>
          </cell>
          <cell r="E9646" t="str">
            <v>Amar Pak Dry Cleaners Lahore</v>
          </cell>
        </row>
        <row r="9647">
          <cell r="A9647" t="str">
            <v>4067 J</v>
          </cell>
          <cell r="B9647">
            <v>13035</v>
          </cell>
          <cell r="C9647">
            <v>45902</v>
          </cell>
          <cell r="D9647" t="str">
            <v>JILANI</v>
          </cell>
          <cell r="E9647" t="str">
            <v>M. Imran Pakistan Market Lahore</v>
          </cell>
        </row>
        <row r="9648">
          <cell r="A9648" t="str">
            <v>4068 J</v>
          </cell>
          <cell r="B9648">
            <v>13036</v>
          </cell>
          <cell r="C9648">
            <v>45902</v>
          </cell>
          <cell r="D9648" t="str">
            <v>JILANI</v>
          </cell>
          <cell r="E9648" t="str">
            <v>Hammad Plastic Gujranwala</v>
          </cell>
        </row>
        <row r="9649">
          <cell r="A9649" t="str">
            <v>4069 J</v>
          </cell>
          <cell r="B9649">
            <v>13037</v>
          </cell>
          <cell r="C9649">
            <v>45902</v>
          </cell>
          <cell r="D9649" t="str">
            <v>JILANI</v>
          </cell>
          <cell r="E9649" t="str">
            <v>Waseem Shoper House Lahore</v>
          </cell>
        </row>
        <row r="9650">
          <cell r="A9650" t="str">
            <v>4070 J</v>
          </cell>
          <cell r="B9650">
            <v>13038</v>
          </cell>
          <cell r="C9650">
            <v>45902</v>
          </cell>
          <cell r="D9650" t="str">
            <v>JILANI</v>
          </cell>
          <cell r="E9650" t="str">
            <v>Shafi Foam Lahore</v>
          </cell>
        </row>
        <row r="9651">
          <cell r="A9651" t="str">
            <v>4071 J</v>
          </cell>
          <cell r="B9651">
            <v>13039</v>
          </cell>
          <cell r="C9651">
            <v>45902</v>
          </cell>
          <cell r="D9651" t="str">
            <v>JILANI</v>
          </cell>
          <cell r="E9651" t="str">
            <v>M.K.B PESAHAR</v>
          </cell>
        </row>
        <row r="9652">
          <cell r="A9652" t="str">
            <v>4072 J</v>
          </cell>
          <cell r="B9652">
            <v>13040</v>
          </cell>
          <cell r="C9652">
            <v>45902</v>
          </cell>
          <cell r="D9652" t="str">
            <v>JILANI</v>
          </cell>
          <cell r="E9652" t="str">
            <v>M.K.B PESAHAR</v>
          </cell>
        </row>
        <row r="9653">
          <cell r="A9653" t="str">
            <v>4073 J</v>
          </cell>
          <cell r="B9653">
            <v>13041</v>
          </cell>
          <cell r="C9653">
            <v>45902</v>
          </cell>
          <cell r="D9653" t="str">
            <v>JILANI</v>
          </cell>
          <cell r="E9653" t="str">
            <v>Khan Chapli Kabab and Fish Corner Lahore</v>
          </cell>
        </row>
        <row r="9654">
          <cell r="A9654" t="str">
            <v>4074 J</v>
          </cell>
          <cell r="B9654">
            <v>13042</v>
          </cell>
          <cell r="C9654">
            <v>45902</v>
          </cell>
          <cell r="D9654" t="str">
            <v>JILANI</v>
          </cell>
          <cell r="E9654" t="str">
            <v>The Kids Mall Lahore</v>
          </cell>
        </row>
        <row r="9655">
          <cell r="A9655" t="str">
            <v>4075 J</v>
          </cell>
          <cell r="B9655">
            <v>13042</v>
          </cell>
          <cell r="C9655">
            <v>45902</v>
          </cell>
          <cell r="D9655" t="str">
            <v>JILANI</v>
          </cell>
          <cell r="E9655" t="str">
            <v>The Kids Mall Lahore</v>
          </cell>
        </row>
        <row r="9656">
          <cell r="A9656" t="str">
            <v>4076 J</v>
          </cell>
          <cell r="B9656">
            <v>13042</v>
          </cell>
          <cell r="C9656">
            <v>45902</v>
          </cell>
          <cell r="D9656" t="str">
            <v>JILANI</v>
          </cell>
          <cell r="E9656" t="str">
            <v>The Kids Mall Lahore</v>
          </cell>
        </row>
        <row r="9657">
          <cell r="A9657" t="str">
            <v>4077 J</v>
          </cell>
          <cell r="B9657">
            <v>13043</v>
          </cell>
          <cell r="C9657">
            <v>45902</v>
          </cell>
          <cell r="D9657" t="str">
            <v>JILANI</v>
          </cell>
          <cell r="E9657" t="str">
            <v>The Kids Mall Lahore</v>
          </cell>
        </row>
        <row r="9658">
          <cell r="A9658" t="str">
            <v>4078 J</v>
          </cell>
          <cell r="B9658">
            <v>13043</v>
          </cell>
          <cell r="C9658">
            <v>45902</v>
          </cell>
          <cell r="D9658" t="str">
            <v>JILANI</v>
          </cell>
          <cell r="E9658" t="str">
            <v>The Kids Mall Lahore</v>
          </cell>
        </row>
        <row r="9659">
          <cell r="A9659" t="str">
            <v>4079 J</v>
          </cell>
          <cell r="B9659">
            <v>13043</v>
          </cell>
          <cell r="C9659">
            <v>45902</v>
          </cell>
          <cell r="D9659" t="str">
            <v>JILANI</v>
          </cell>
          <cell r="E9659" t="str">
            <v>The Kids Mall Lahore</v>
          </cell>
        </row>
        <row r="9660">
          <cell r="A9660" t="str">
            <v>4080 J</v>
          </cell>
          <cell r="B9660">
            <v>13044</v>
          </cell>
          <cell r="C9660">
            <v>45902</v>
          </cell>
          <cell r="D9660" t="str">
            <v>JILANI</v>
          </cell>
          <cell r="E9660" t="str">
            <v>AK And HBCO Lahore</v>
          </cell>
        </row>
        <row r="9661">
          <cell r="A9661" t="str">
            <v>4081 J</v>
          </cell>
          <cell r="B9661">
            <v>13045</v>
          </cell>
          <cell r="C9661">
            <v>45902</v>
          </cell>
          <cell r="D9661" t="str">
            <v>JILANI</v>
          </cell>
          <cell r="E9661" t="str">
            <v>AK And HBCO Lahore</v>
          </cell>
        </row>
        <row r="9662">
          <cell r="A9662" t="str">
            <v>4082 J</v>
          </cell>
          <cell r="B9662">
            <v>13046</v>
          </cell>
          <cell r="C9662">
            <v>45902</v>
          </cell>
          <cell r="D9662" t="str">
            <v>JILANI</v>
          </cell>
          <cell r="E9662" t="str">
            <v>Usman Ouder Shop Sialkot</v>
          </cell>
        </row>
        <row r="9663">
          <cell r="A9663" t="str">
            <v>4083 J</v>
          </cell>
          <cell r="B9663">
            <v>13047</v>
          </cell>
          <cell r="C9663">
            <v>45902</v>
          </cell>
          <cell r="D9663" t="str">
            <v>JILANI</v>
          </cell>
          <cell r="E9663" t="str">
            <v>Fashion Side Lahore</v>
          </cell>
        </row>
        <row r="9664">
          <cell r="A9664" t="str">
            <v>4084 J</v>
          </cell>
          <cell r="B9664">
            <v>13047</v>
          </cell>
          <cell r="C9664">
            <v>45902</v>
          </cell>
          <cell r="D9664" t="str">
            <v>JILANI</v>
          </cell>
          <cell r="E9664" t="str">
            <v>Fashion Side Lahore</v>
          </cell>
        </row>
        <row r="9665">
          <cell r="A9665" t="str">
            <v>4085 J</v>
          </cell>
          <cell r="B9665">
            <v>13048</v>
          </cell>
          <cell r="C9665">
            <v>45902</v>
          </cell>
          <cell r="D9665" t="str">
            <v>JILANI</v>
          </cell>
          <cell r="E9665" t="str">
            <v>Zahid Manzoor Lahore</v>
          </cell>
        </row>
        <row r="9666">
          <cell r="A9666" t="str">
            <v>4086 J</v>
          </cell>
          <cell r="B9666">
            <v>13048</v>
          </cell>
          <cell r="C9666">
            <v>45902</v>
          </cell>
          <cell r="D9666" t="str">
            <v>JILANI</v>
          </cell>
          <cell r="E9666" t="str">
            <v>Zahid Manzoor Lahore</v>
          </cell>
        </row>
        <row r="9667">
          <cell r="A9667" t="str">
            <v>4087 J</v>
          </cell>
          <cell r="B9667">
            <v>13048</v>
          </cell>
          <cell r="C9667">
            <v>45902</v>
          </cell>
          <cell r="D9667" t="str">
            <v>JILANI</v>
          </cell>
          <cell r="E9667" t="str">
            <v>Zahid Manzoor Lahore</v>
          </cell>
        </row>
        <row r="9668">
          <cell r="A9668" t="str">
            <v>4088 J</v>
          </cell>
          <cell r="B9668">
            <v>13049</v>
          </cell>
          <cell r="C9668">
            <v>45902</v>
          </cell>
          <cell r="D9668" t="str">
            <v>JILANI</v>
          </cell>
          <cell r="E9668" t="str">
            <v>DW Organic Dairy Farms Kasur</v>
          </cell>
        </row>
        <row r="9669">
          <cell r="A9669" t="str">
            <v>4089 J</v>
          </cell>
          <cell r="B9669">
            <v>13050</v>
          </cell>
          <cell r="C9669">
            <v>45902</v>
          </cell>
          <cell r="D9669" t="str">
            <v>JILANI</v>
          </cell>
          <cell r="E9669" t="str">
            <v>Usman Arif Butt Gujranwala</v>
          </cell>
        </row>
        <row r="9670">
          <cell r="A9670" t="str">
            <v>4090 J</v>
          </cell>
          <cell r="B9670">
            <v>13050</v>
          </cell>
          <cell r="C9670">
            <v>45902</v>
          </cell>
          <cell r="D9670" t="str">
            <v>JILANI</v>
          </cell>
          <cell r="E9670" t="str">
            <v>Usman Arif Butt Gujranwala</v>
          </cell>
        </row>
        <row r="9671">
          <cell r="A9671" t="str">
            <v>4091 J</v>
          </cell>
          <cell r="B9671">
            <v>13050</v>
          </cell>
          <cell r="C9671">
            <v>45902</v>
          </cell>
          <cell r="D9671" t="str">
            <v>JILANI</v>
          </cell>
          <cell r="E9671" t="str">
            <v>Usman Arif Butt Gujranwala</v>
          </cell>
        </row>
        <row r="9672">
          <cell r="A9672" t="str">
            <v>4092 J</v>
          </cell>
          <cell r="B9672"/>
          <cell r="C9672">
            <v>45902</v>
          </cell>
          <cell r="D9672" t="str">
            <v>OTHER</v>
          </cell>
          <cell r="E9672" t="str">
            <v>Jilani plastic</v>
          </cell>
        </row>
        <row r="9673">
          <cell r="A9673" t="str">
            <v>4093 J</v>
          </cell>
          <cell r="B9673"/>
          <cell r="C9673">
            <v>45902</v>
          </cell>
          <cell r="D9673" t="str">
            <v>OTHER</v>
          </cell>
          <cell r="E9673" t="str">
            <v>Jilani Plastic</v>
          </cell>
        </row>
        <row r="9674">
          <cell r="A9674" t="str">
            <v>4094 J</v>
          </cell>
          <cell r="B9674"/>
          <cell r="C9674">
            <v>45902</v>
          </cell>
          <cell r="D9674" t="str">
            <v>OTHER</v>
          </cell>
          <cell r="E9674" t="str">
            <v>Jilani plastic</v>
          </cell>
        </row>
        <row r="9675">
          <cell r="A9675" t="str">
            <v>4095 J</v>
          </cell>
          <cell r="B9675"/>
          <cell r="C9675">
            <v>45902</v>
          </cell>
          <cell r="D9675" t="str">
            <v>OTHER</v>
          </cell>
          <cell r="E9675" t="str">
            <v>Jilani plastic</v>
          </cell>
        </row>
        <row r="9676">
          <cell r="A9676" t="str">
            <v>4096 J</v>
          </cell>
          <cell r="B9676"/>
          <cell r="C9676">
            <v>45885</v>
          </cell>
          <cell r="D9676" t="str">
            <v>OTHER</v>
          </cell>
          <cell r="E9676" t="str">
            <v>Jilani plastic</v>
          </cell>
        </row>
        <row r="9677">
          <cell r="A9677" t="str">
            <v>2098 F</v>
          </cell>
          <cell r="B9677"/>
          <cell r="C9677">
            <v>45902</v>
          </cell>
          <cell r="D9677" t="str">
            <v>Fina</v>
          </cell>
          <cell r="E9677" t="str">
            <v>Usman Amin</v>
          </cell>
        </row>
        <row r="9678">
          <cell r="A9678" t="str">
            <v>2099 F</v>
          </cell>
          <cell r="B9678"/>
          <cell r="C9678">
            <v>45902</v>
          </cell>
          <cell r="D9678" t="str">
            <v>Fina</v>
          </cell>
          <cell r="E9678" t="str">
            <v>Usman Amin</v>
          </cell>
        </row>
        <row r="9679">
          <cell r="A9679" t="str">
            <v>2100 F</v>
          </cell>
          <cell r="B9679"/>
          <cell r="C9679">
            <v>45902</v>
          </cell>
          <cell r="D9679" t="str">
            <v>Fina</v>
          </cell>
          <cell r="E9679" t="str">
            <v>Usman Amin</v>
          </cell>
        </row>
        <row r="9680">
          <cell r="A9680" t="str">
            <v>2101 F</v>
          </cell>
          <cell r="B9680"/>
          <cell r="C9680">
            <v>45902</v>
          </cell>
          <cell r="D9680" t="str">
            <v>Fina</v>
          </cell>
          <cell r="E9680" t="str">
            <v>Usman Amin</v>
          </cell>
        </row>
        <row r="9681">
          <cell r="A9681" t="str">
            <v>4/1</v>
          </cell>
          <cell r="B9681" t="str">
            <v>4</v>
          </cell>
          <cell r="C9681">
            <v>45902</v>
          </cell>
          <cell r="D9681" t="str">
            <v>STOCK</v>
          </cell>
          <cell r="E9681" t="str">
            <v>سٹاک</v>
          </cell>
        </row>
        <row r="9682">
          <cell r="A9682" t="str">
            <v>2436/1</v>
          </cell>
          <cell r="B9682" t="str">
            <v>2436</v>
          </cell>
          <cell r="C9682">
            <v>45902</v>
          </cell>
          <cell r="D9682" t="str">
            <v>STOCK</v>
          </cell>
          <cell r="E9682" t="str">
            <v>سٹاک</v>
          </cell>
        </row>
        <row r="9683">
          <cell r="A9683" t="str">
            <v>16/2</v>
          </cell>
          <cell r="B9683">
            <v>16</v>
          </cell>
          <cell r="C9683">
            <v>45902</v>
          </cell>
          <cell r="D9683" t="str">
            <v>STOCK</v>
          </cell>
          <cell r="E9683" t="str">
            <v>سٹاک</v>
          </cell>
        </row>
        <row r="9684">
          <cell r="A9684" t="str">
            <v>2102 F</v>
          </cell>
          <cell r="B9684"/>
          <cell r="C9684">
            <v>45904</v>
          </cell>
          <cell r="D9684" t="str">
            <v>Fina</v>
          </cell>
          <cell r="E9684" t="str">
            <v>Usman Amin</v>
          </cell>
        </row>
        <row r="9685">
          <cell r="A9685" t="str">
            <v>2103 F</v>
          </cell>
          <cell r="B9685"/>
          <cell r="C9685">
            <v>45904</v>
          </cell>
          <cell r="D9685" t="str">
            <v>Fina</v>
          </cell>
          <cell r="E9685" t="str">
            <v>Usman Amin</v>
          </cell>
        </row>
        <row r="9686">
          <cell r="A9686" t="str">
            <v>2104 F</v>
          </cell>
          <cell r="B9686"/>
          <cell r="C9686">
            <v>45904</v>
          </cell>
          <cell r="D9686" t="str">
            <v>Fina</v>
          </cell>
          <cell r="E9686" t="str">
            <v>Usman Amin</v>
          </cell>
        </row>
        <row r="9687">
          <cell r="A9687" t="str">
            <v>2105 F</v>
          </cell>
          <cell r="B9687"/>
          <cell r="C9687">
            <v>45904</v>
          </cell>
          <cell r="D9687" t="str">
            <v>Fina</v>
          </cell>
          <cell r="E9687" t="str">
            <v>Usman Amin</v>
          </cell>
        </row>
        <row r="9688">
          <cell r="A9688" t="str">
            <v>2106 F</v>
          </cell>
          <cell r="B9688"/>
          <cell r="C9688">
            <v>45904</v>
          </cell>
          <cell r="D9688" t="str">
            <v>Fina</v>
          </cell>
          <cell r="E9688" t="str">
            <v>Usman Amin</v>
          </cell>
        </row>
        <row r="9689">
          <cell r="A9689" t="str">
            <v>2107 F</v>
          </cell>
          <cell r="B9689"/>
          <cell r="C9689">
            <v>45904</v>
          </cell>
          <cell r="D9689" t="str">
            <v>Fina</v>
          </cell>
          <cell r="E9689" t="str">
            <v>Usman Amin</v>
          </cell>
        </row>
        <row r="9690">
          <cell r="A9690" t="str">
            <v>2108 F</v>
          </cell>
          <cell r="B9690"/>
          <cell r="C9690">
            <v>45904</v>
          </cell>
          <cell r="D9690" t="str">
            <v>Fina</v>
          </cell>
          <cell r="E9690" t="str">
            <v>Usman Amin</v>
          </cell>
        </row>
        <row r="9691">
          <cell r="A9691" t="str">
            <v>2109 F</v>
          </cell>
          <cell r="B9691"/>
          <cell r="C9691">
            <v>45904</v>
          </cell>
          <cell r="D9691" t="str">
            <v>Fina</v>
          </cell>
          <cell r="E9691" t="str">
            <v>Usman Amin</v>
          </cell>
        </row>
        <row r="9692">
          <cell r="A9692" t="str">
            <v>2110 F</v>
          </cell>
          <cell r="B9692"/>
          <cell r="C9692">
            <v>45904</v>
          </cell>
          <cell r="D9692" t="str">
            <v>Fina</v>
          </cell>
          <cell r="E9692" t="str">
            <v>Usman Amin</v>
          </cell>
        </row>
        <row r="9693">
          <cell r="A9693" t="str">
            <v>2111 F</v>
          </cell>
          <cell r="B9693"/>
          <cell r="C9693">
            <v>45904</v>
          </cell>
          <cell r="D9693" t="str">
            <v>Fina</v>
          </cell>
          <cell r="E9693" t="str">
            <v>Usman Amin</v>
          </cell>
        </row>
        <row r="9694">
          <cell r="A9694" t="str">
            <v>2112 F</v>
          </cell>
          <cell r="B9694"/>
          <cell r="C9694">
            <v>45904</v>
          </cell>
          <cell r="D9694" t="str">
            <v>Fina</v>
          </cell>
          <cell r="E9694" t="str">
            <v>Usman Amin</v>
          </cell>
        </row>
        <row r="9695">
          <cell r="A9695" t="str">
            <v>2113 F</v>
          </cell>
          <cell r="B9695"/>
          <cell r="C9695">
            <v>45904</v>
          </cell>
          <cell r="D9695" t="str">
            <v>Fina</v>
          </cell>
          <cell r="E9695" t="str">
            <v>Usman Amin</v>
          </cell>
        </row>
        <row r="9696">
          <cell r="A9696" t="str">
            <v>2114 F</v>
          </cell>
          <cell r="B9696"/>
          <cell r="C9696">
            <v>45905</v>
          </cell>
          <cell r="D9696" t="str">
            <v>Fina</v>
          </cell>
          <cell r="E9696" t="str">
            <v>Usman Amin</v>
          </cell>
        </row>
        <row r="9697">
          <cell r="A9697" t="str">
            <v>2115 F</v>
          </cell>
          <cell r="B9697"/>
          <cell r="C9697">
            <v>45905</v>
          </cell>
          <cell r="D9697" t="str">
            <v>Fina</v>
          </cell>
          <cell r="E9697" t="str">
            <v>Usman Amin</v>
          </cell>
        </row>
        <row r="9698">
          <cell r="A9698" t="str">
            <v>2116 F</v>
          </cell>
          <cell r="B9698"/>
          <cell r="C9698">
            <v>45905</v>
          </cell>
          <cell r="D9698" t="str">
            <v>Fina</v>
          </cell>
          <cell r="E9698" t="str">
            <v>Usman Amin</v>
          </cell>
        </row>
        <row r="9699">
          <cell r="A9699" t="str">
            <v>2117 F</v>
          </cell>
          <cell r="B9699"/>
          <cell r="C9699">
            <v>45905</v>
          </cell>
          <cell r="D9699" t="str">
            <v>Fina</v>
          </cell>
          <cell r="E9699" t="str">
            <v>Usman Amin</v>
          </cell>
        </row>
        <row r="9700">
          <cell r="A9700" t="str">
            <v>2118 F</v>
          </cell>
          <cell r="B9700"/>
          <cell r="C9700">
            <v>45905</v>
          </cell>
          <cell r="D9700" t="str">
            <v>Fina</v>
          </cell>
          <cell r="E9700" t="str">
            <v>Usman Amin</v>
          </cell>
        </row>
        <row r="9701">
          <cell r="A9701" t="str">
            <v>2119 F</v>
          </cell>
          <cell r="B9701"/>
          <cell r="C9701">
            <v>45905</v>
          </cell>
          <cell r="D9701" t="str">
            <v>Fina</v>
          </cell>
          <cell r="E9701" t="str">
            <v>Usman Amin</v>
          </cell>
        </row>
        <row r="9702">
          <cell r="A9702" t="str">
            <v>2120 F</v>
          </cell>
          <cell r="B9702"/>
          <cell r="C9702">
            <v>45905</v>
          </cell>
          <cell r="D9702" t="str">
            <v>Fina</v>
          </cell>
          <cell r="E9702" t="str">
            <v>Usman Amin</v>
          </cell>
        </row>
        <row r="9703">
          <cell r="A9703" t="str">
            <v>2121 F</v>
          </cell>
          <cell r="B9703"/>
          <cell r="C9703">
            <v>45905</v>
          </cell>
          <cell r="D9703" t="str">
            <v>Fina</v>
          </cell>
          <cell r="E9703" t="str">
            <v>Usman Amin</v>
          </cell>
        </row>
        <row r="9704">
          <cell r="A9704" t="str">
            <v>2122 F</v>
          </cell>
          <cell r="B9704"/>
          <cell r="C9704">
            <v>45905</v>
          </cell>
          <cell r="D9704" t="str">
            <v>Fina</v>
          </cell>
          <cell r="E9704" t="str">
            <v>Usman Amin</v>
          </cell>
        </row>
        <row r="9705">
          <cell r="A9705" t="str">
            <v>2123 F</v>
          </cell>
          <cell r="B9705"/>
          <cell r="C9705">
            <v>45905</v>
          </cell>
          <cell r="D9705" t="str">
            <v>Fina</v>
          </cell>
          <cell r="E9705" t="str">
            <v>Usman Amin</v>
          </cell>
        </row>
        <row r="9706">
          <cell r="A9706" t="str">
            <v>2124 F</v>
          </cell>
          <cell r="B9706"/>
          <cell r="C9706">
            <v>45905</v>
          </cell>
          <cell r="D9706" t="str">
            <v>Fina</v>
          </cell>
          <cell r="E9706" t="str">
            <v>Usman Amin</v>
          </cell>
        </row>
        <row r="9707">
          <cell r="A9707" t="str">
            <v>2125 F</v>
          </cell>
          <cell r="B9707"/>
          <cell r="C9707">
            <v>45905</v>
          </cell>
          <cell r="D9707" t="str">
            <v>Fina</v>
          </cell>
          <cell r="E9707" t="str">
            <v>Usman Amin</v>
          </cell>
        </row>
        <row r="9708">
          <cell r="A9708" t="str">
            <v>2126 F</v>
          </cell>
          <cell r="B9708"/>
          <cell r="C9708">
            <v>45905</v>
          </cell>
          <cell r="D9708" t="str">
            <v>Fina</v>
          </cell>
          <cell r="E9708" t="str">
            <v>Usman Amin</v>
          </cell>
        </row>
        <row r="9709">
          <cell r="A9709" t="str">
            <v>4097 J</v>
          </cell>
          <cell r="B9709"/>
          <cell r="C9709">
            <v>45903</v>
          </cell>
          <cell r="D9709" t="str">
            <v>OTHER</v>
          </cell>
          <cell r="E9709" t="str">
            <v>Jilani plastic</v>
          </cell>
        </row>
        <row r="9710">
          <cell r="A9710" t="str">
            <v>4098 J</v>
          </cell>
          <cell r="B9710"/>
          <cell r="C9710">
            <v>45903</v>
          </cell>
          <cell r="D9710" t="str">
            <v>OTHER</v>
          </cell>
          <cell r="E9710" t="str">
            <v>Jilani plastic</v>
          </cell>
        </row>
        <row r="9711">
          <cell r="A9711" t="str">
            <v>4099 J</v>
          </cell>
          <cell r="B9711"/>
          <cell r="C9711">
            <v>45903</v>
          </cell>
          <cell r="D9711" t="str">
            <v>OTHER</v>
          </cell>
          <cell r="E9711" t="str">
            <v>Jilani plastic</v>
          </cell>
        </row>
        <row r="9712">
          <cell r="A9712" t="str">
            <v>4100 J</v>
          </cell>
          <cell r="B9712">
            <v>13051</v>
          </cell>
          <cell r="C9712">
            <v>45903</v>
          </cell>
          <cell r="D9712" t="str">
            <v>JILANI</v>
          </cell>
          <cell r="E9712" t="str">
            <v>Service Industry Gujrat</v>
          </cell>
        </row>
        <row r="9713">
          <cell r="A9713" t="str">
            <v>4101 J</v>
          </cell>
          <cell r="B9713">
            <v>13052</v>
          </cell>
          <cell r="C9713">
            <v>45903</v>
          </cell>
          <cell r="D9713" t="str">
            <v>JILANI</v>
          </cell>
          <cell r="E9713" t="str">
            <v xml:space="preserve">Bata and Service c/o Rashid Minhas </v>
          </cell>
        </row>
        <row r="9714">
          <cell r="A9714" t="str">
            <v>4102 J</v>
          </cell>
          <cell r="B9714">
            <v>13052</v>
          </cell>
          <cell r="C9714">
            <v>45903</v>
          </cell>
          <cell r="D9714" t="str">
            <v>JILANI</v>
          </cell>
          <cell r="E9714" t="str">
            <v xml:space="preserve">Bata and Service c/o Rashid Minhas </v>
          </cell>
        </row>
        <row r="9715">
          <cell r="A9715" t="str">
            <v>4103 J</v>
          </cell>
          <cell r="B9715">
            <v>13053</v>
          </cell>
          <cell r="C9715">
            <v>45903</v>
          </cell>
          <cell r="D9715" t="str">
            <v>JILANI</v>
          </cell>
          <cell r="E9715" t="str">
            <v>Super Diamond Food Kamoki</v>
          </cell>
        </row>
        <row r="9716">
          <cell r="A9716" t="str">
            <v>4104 J</v>
          </cell>
          <cell r="B9716">
            <v>13054</v>
          </cell>
          <cell r="C9716">
            <v>45903</v>
          </cell>
          <cell r="D9716" t="str">
            <v>JILANI</v>
          </cell>
          <cell r="E9716" t="str">
            <v>Khwaja Watch Center Lahore</v>
          </cell>
        </row>
        <row r="9717">
          <cell r="A9717" t="str">
            <v>4105 J</v>
          </cell>
          <cell r="B9717">
            <v>13055</v>
          </cell>
          <cell r="C9717">
            <v>45903</v>
          </cell>
          <cell r="D9717" t="str">
            <v>JILANI</v>
          </cell>
          <cell r="E9717" t="str">
            <v>Ramada Gulbarg Lahore</v>
          </cell>
        </row>
        <row r="9718">
          <cell r="A9718" t="str">
            <v>4106 J</v>
          </cell>
          <cell r="B9718">
            <v>13056</v>
          </cell>
          <cell r="C9718">
            <v>45903</v>
          </cell>
          <cell r="D9718" t="str">
            <v>JILANI</v>
          </cell>
          <cell r="E9718" t="str">
            <v>Ramada Gulbarg Lahore</v>
          </cell>
        </row>
        <row r="9719">
          <cell r="A9719" t="str">
            <v>4107 J</v>
          </cell>
          <cell r="B9719">
            <v>13057</v>
          </cell>
          <cell r="C9719">
            <v>45903</v>
          </cell>
          <cell r="D9719" t="str">
            <v>JILANI</v>
          </cell>
          <cell r="E9719" t="str">
            <v>Ramada Gulbarg Lahore</v>
          </cell>
        </row>
        <row r="9720">
          <cell r="A9720" t="str">
            <v>4108 J</v>
          </cell>
          <cell r="B9720">
            <v>13058</v>
          </cell>
          <cell r="C9720">
            <v>45903</v>
          </cell>
          <cell r="D9720" t="str">
            <v>JILANI</v>
          </cell>
          <cell r="E9720" t="str">
            <v>Cakes and Bakes Lahore</v>
          </cell>
        </row>
        <row r="9721">
          <cell r="A9721" t="str">
            <v>4109 J</v>
          </cell>
          <cell r="B9721">
            <v>13059</v>
          </cell>
          <cell r="C9721">
            <v>45903</v>
          </cell>
          <cell r="D9721" t="str">
            <v>JILANI</v>
          </cell>
          <cell r="E9721" t="str">
            <v>R S Sweet And Bakers Nankana</v>
          </cell>
        </row>
        <row r="9722">
          <cell r="A9722" t="str">
            <v>4110 J</v>
          </cell>
          <cell r="B9722">
            <v>13059</v>
          </cell>
          <cell r="C9722">
            <v>45903</v>
          </cell>
          <cell r="D9722" t="str">
            <v>JILANI</v>
          </cell>
          <cell r="E9722" t="str">
            <v>R S Sweet And Bakers Nankana</v>
          </cell>
        </row>
        <row r="9723">
          <cell r="A9723" t="str">
            <v>4111 J</v>
          </cell>
          <cell r="B9723">
            <v>13060</v>
          </cell>
          <cell r="C9723">
            <v>45903</v>
          </cell>
          <cell r="D9723" t="str">
            <v>JILANI</v>
          </cell>
          <cell r="E9723" t="str">
            <v>Nehar Kiara Harbanspura Lahore</v>
          </cell>
        </row>
        <row r="9724">
          <cell r="A9724" t="str">
            <v>4112 J</v>
          </cell>
          <cell r="B9724">
            <v>13061</v>
          </cell>
          <cell r="C9724">
            <v>45903</v>
          </cell>
          <cell r="D9724" t="str">
            <v>JILANI</v>
          </cell>
          <cell r="E9724" t="str">
            <v>Out Class Woman And Kids Mall Lahore</v>
          </cell>
        </row>
        <row r="9725">
          <cell r="A9725" t="str">
            <v>4113 J</v>
          </cell>
          <cell r="B9725">
            <v>13062</v>
          </cell>
          <cell r="C9725">
            <v>45903</v>
          </cell>
          <cell r="D9725" t="str">
            <v>JILANI</v>
          </cell>
          <cell r="E9725" t="str">
            <v>Jahargir Hussain Gudam Leager HD</v>
          </cell>
        </row>
        <row r="9726">
          <cell r="A9726" t="str">
            <v>4114 J</v>
          </cell>
          <cell r="B9726">
            <v>13063</v>
          </cell>
          <cell r="C9726">
            <v>45903</v>
          </cell>
          <cell r="D9726" t="str">
            <v>JILANI</v>
          </cell>
          <cell r="E9726" t="str">
            <v>Shoaib Auto RWP</v>
          </cell>
        </row>
        <row r="9727">
          <cell r="A9727" t="str">
            <v>4115 J</v>
          </cell>
          <cell r="B9727">
            <v>13064</v>
          </cell>
          <cell r="C9727">
            <v>45903</v>
          </cell>
          <cell r="D9727" t="str">
            <v>JILANI</v>
          </cell>
          <cell r="E9727" t="str">
            <v>Sehrish Febrics Azam Market Lahore</v>
          </cell>
        </row>
        <row r="9728">
          <cell r="A9728" t="str">
            <v>4116 J</v>
          </cell>
          <cell r="B9728">
            <v>13064</v>
          </cell>
          <cell r="C9728">
            <v>45903</v>
          </cell>
          <cell r="D9728" t="str">
            <v>JILANI</v>
          </cell>
          <cell r="E9728" t="str">
            <v>Sehrish Febrics Azam Market Lahore</v>
          </cell>
        </row>
        <row r="9729">
          <cell r="A9729" t="str">
            <v>4117 J</v>
          </cell>
          <cell r="B9729">
            <v>13064</v>
          </cell>
          <cell r="C9729">
            <v>45903</v>
          </cell>
          <cell r="D9729" t="str">
            <v>JILANI</v>
          </cell>
          <cell r="E9729" t="str">
            <v>Sehrish Febrics Azam Market Lahore</v>
          </cell>
        </row>
        <row r="9730">
          <cell r="A9730" t="str">
            <v>4118 J</v>
          </cell>
          <cell r="B9730">
            <v>13064</v>
          </cell>
          <cell r="C9730">
            <v>45903</v>
          </cell>
          <cell r="D9730" t="str">
            <v>JILANI</v>
          </cell>
          <cell r="E9730" t="str">
            <v>Sehrish Febrics Azam Market Lahore</v>
          </cell>
        </row>
        <row r="9731">
          <cell r="A9731" t="str">
            <v>4119 J</v>
          </cell>
          <cell r="B9731">
            <v>13065</v>
          </cell>
          <cell r="C9731">
            <v>45903</v>
          </cell>
          <cell r="D9731" t="str">
            <v>JILANI</v>
          </cell>
          <cell r="E9731" t="str">
            <v>Al Farid Sweet and Bakers Sahiwal</v>
          </cell>
        </row>
        <row r="9732">
          <cell r="A9732" t="str">
            <v>4120 J</v>
          </cell>
          <cell r="B9732">
            <v>13066</v>
          </cell>
          <cell r="C9732">
            <v>45904</v>
          </cell>
          <cell r="D9732" t="str">
            <v>JILANI</v>
          </cell>
          <cell r="E9732" t="str">
            <v>Bawa Towels Lahore</v>
          </cell>
        </row>
        <row r="9733">
          <cell r="A9733" t="str">
            <v>4121 J</v>
          </cell>
          <cell r="B9733">
            <v>13067</v>
          </cell>
          <cell r="C9733">
            <v>45904</v>
          </cell>
          <cell r="D9733" t="str">
            <v>JILANI</v>
          </cell>
          <cell r="E9733" t="str">
            <v>Bawa Towels Lahore</v>
          </cell>
        </row>
        <row r="9734">
          <cell r="A9734" t="str">
            <v>4122 J</v>
          </cell>
          <cell r="B9734">
            <v>13068</v>
          </cell>
          <cell r="C9734">
            <v>45904</v>
          </cell>
          <cell r="D9734" t="str">
            <v>JILANI</v>
          </cell>
          <cell r="E9734" t="str">
            <v>Ghousia Collection Lahore</v>
          </cell>
        </row>
        <row r="9735">
          <cell r="A9735" t="str">
            <v>4123 J</v>
          </cell>
          <cell r="B9735">
            <v>13069</v>
          </cell>
          <cell r="C9735">
            <v>45904</v>
          </cell>
          <cell r="D9735" t="str">
            <v>JILANI</v>
          </cell>
          <cell r="E9735" t="str">
            <v>Alam Printers Butkhela</v>
          </cell>
        </row>
        <row r="9736">
          <cell r="A9736" t="str">
            <v>4124 J</v>
          </cell>
          <cell r="B9736">
            <v>13070</v>
          </cell>
          <cell r="C9736">
            <v>45904</v>
          </cell>
          <cell r="D9736" t="str">
            <v>JILANI</v>
          </cell>
          <cell r="E9736" t="str">
            <v>K.D Auto Parts LHR</v>
          </cell>
        </row>
        <row r="9737">
          <cell r="A9737" t="str">
            <v>4125 J</v>
          </cell>
          <cell r="B9737">
            <v>13070</v>
          </cell>
          <cell r="C9737">
            <v>45904</v>
          </cell>
          <cell r="D9737" t="str">
            <v>JILANI</v>
          </cell>
          <cell r="E9737" t="str">
            <v>K.D Auto Parts LHR</v>
          </cell>
        </row>
        <row r="9738">
          <cell r="A9738" t="str">
            <v>4126 J</v>
          </cell>
          <cell r="B9738">
            <v>13071</v>
          </cell>
          <cell r="C9738">
            <v>45904</v>
          </cell>
          <cell r="D9738" t="str">
            <v>JILANI</v>
          </cell>
          <cell r="E9738" t="str">
            <v>Alam Bakers HafizAbad</v>
          </cell>
        </row>
        <row r="9739">
          <cell r="A9739" t="str">
            <v>4127 J</v>
          </cell>
          <cell r="B9739">
            <v>13071</v>
          </cell>
          <cell r="C9739">
            <v>45904</v>
          </cell>
          <cell r="D9739" t="str">
            <v>JILANI</v>
          </cell>
          <cell r="E9739" t="str">
            <v>Alam Bakers HafizAbad</v>
          </cell>
        </row>
        <row r="9740">
          <cell r="A9740" t="str">
            <v>4128 J</v>
          </cell>
          <cell r="B9740">
            <v>13072</v>
          </cell>
          <cell r="C9740">
            <v>45904</v>
          </cell>
          <cell r="D9740" t="str">
            <v>JILANI</v>
          </cell>
          <cell r="E9740" t="str">
            <v>Alam Bakers HafizAbad</v>
          </cell>
        </row>
        <row r="9741">
          <cell r="A9741" t="str">
            <v>4129 J</v>
          </cell>
          <cell r="B9741">
            <v>13073</v>
          </cell>
          <cell r="C9741">
            <v>45904</v>
          </cell>
          <cell r="D9741" t="str">
            <v>JILANI</v>
          </cell>
          <cell r="E9741" t="str">
            <v>Alam Baker Hafizabad</v>
          </cell>
        </row>
        <row r="9742">
          <cell r="A9742" t="str">
            <v>4130 J</v>
          </cell>
          <cell r="B9742">
            <v>13074</v>
          </cell>
          <cell r="C9742">
            <v>45904</v>
          </cell>
          <cell r="D9742" t="str">
            <v>JILANI</v>
          </cell>
          <cell r="E9742" t="str">
            <v>Meezan Foom (PVT) LTD</v>
          </cell>
        </row>
        <row r="9743">
          <cell r="A9743" t="str">
            <v>4131 J</v>
          </cell>
          <cell r="B9743">
            <v>13075</v>
          </cell>
          <cell r="C9743">
            <v>45904</v>
          </cell>
          <cell r="D9743" t="str">
            <v>JILANI</v>
          </cell>
          <cell r="E9743" t="str">
            <v>Sabir Plastic Shahdara Co Nazar Qamar Plastic</v>
          </cell>
        </row>
        <row r="9744">
          <cell r="A9744" t="str">
            <v>4132 J</v>
          </cell>
          <cell r="B9744">
            <v>13075</v>
          </cell>
          <cell r="C9744">
            <v>45904</v>
          </cell>
          <cell r="D9744" t="str">
            <v>JILANI</v>
          </cell>
          <cell r="E9744" t="str">
            <v>Sabir Plastic Shahdara Co Nazar Qamar Plastic</v>
          </cell>
        </row>
        <row r="9745">
          <cell r="A9745" t="str">
            <v>4133 J</v>
          </cell>
          <cell r="B9745">
            <v>13075</v>
          </cell>
          <cell r="C9745">
            <v>45904</v>
          </cell>
          <cell r="D9745" t="str">
            <v>JILANI</v>
          </cell>
          <cell r="E9745" t="str">
            <v>Sabir Plastic Shahdara Co Nazar Qamar Plastic</v>
          </cell>
        </row>
        <row r="9746">
          <cell r="A9746" t="str">
            <v>4134 J</v>
          </cell>
          <cell r="B9746">
            <v>13076</v>
          </cell>
          <cell r="C9746">
            <v>45904</v>
          </cell>
          <cell r="D9746" t="str">
            <v>JILANI</v>
          </cell>
          <cell r="E9746" t="str">
            <v>Sabir Plastic Shahdara Co Nazar Qamar Plastic</v>
          </cell>
        </row>
        <row r="9747">
          <cell r="A9747" t="str">
            <v>4135 J</v>
          </cell>
          <cell r="B9747">
            <v>13076</v>
          </cell>
          <cell r="C9747">
            <v>45904</v>
          </cell>
          <cell r="D9747" t="str">
            <v>JILANI</v>
          </cell>
          <cell r="E9747" t="str">
            <v>Sabir Plastic Shahdara Co Nazar Qamar Plastic</v>
          </cell>
        </row>
        <row r="9748">
          <cell r="A9748" t="str">
            <v>4136 J</v>
          </cell>
          <cell r="B9748">
            <v>13076</v>
          </cell>
          <cell r="C9748">
            <v>45904</v>
          </cell>
          <cell r="D9748" t="str">
            <v>JILANI</v>
          </cell>
          <cell r="E9748" t="str">
            <v>Sabir Plastic Shahdara Co Nazar Qamar Plastic</v>
          </cell>
        </row>
        <row r="9749">
          <cell r="A9749" t="str">
            <v>4137 J</v>
          </cell>
          <cell r="B9749">
            <v>13076</v>
          </cell>
          <cell r="C9749">
            <v>45904</v>
          </cell>
          <cell r="D9749" t="str">
            <v>JILANI</v>
          </cell>
          <cell r="E9749" t="str">
            <v>Sabir Plastic Shahdara Co Nazar Qamar Plastic</v>
          </cell>
        </row>
        <row r="9750">
          <cell r="A9750" t="str">
            <v>4138 J</v>
          </cell>
          <cell r="B9750">
            <v>13077</v>
          </cell>
          <cell r="C9750">
            <v>45904</v>
          </cell>
          <cell r="D9750" t="str">
            <v>JILANI</v>
          </cell>
          <cell r="E9750" t="str">
            <v>Atlas Honda LTD (SKP)</v>
          </cell>
        </row>
        <row r="9751">
          <cell r="A9751" t="str">
            <v>4139 J</v>
          </cell>
          <cell r="B9751">
            <v>13078</v>
          </cell>
          <cell r="C9751">
            <v>45904</v>
          </cell>
          <cell r="D9751" t="str">
            <v>JILANI</v>
          </cell>
          <cell r="E9751" t="str">
            <v>Atlas Honda LTD (SKP)</v>
          </cell>
        </row>
        <row r="9752">
          <cell r="A9752" t="str">
            <v>4140 J</v>
          </cell>
          <cell r="B9752">
            <v>13079</v>
          </cell>
          <cell r="C9752">
            <v>45904</v>
          </cell>
          <cell r="D9752" t="str">
            <v>JILANI</v>
          </cell>
          <cell r="E9752" t="str">
            <v>Atlas Honda LTD (SKP)</v>
          </cell>
        </row>
        <row r="9753">
          <cell r="A9753" t="str">
            <v>4141 J</v>
          </cell>
          <cell r="B9753">
            <v>13080</v>
          </cell>
          <cell r="C9753">
            <v>45904</v>
          </cell>
          <cell r="D9753" t="str">
            <v>JILANI</v>
          </cell>
          <cell r="E9753" t="str">
            <v>Atlas Honda LTD (SKP)</v>
          </cell>
        </row>
        <row r="9754">
          <cell r="A9754" t="str">
            <v>4142 J</v>
          </cell>
          <cell r="B9754">
            <v>13081</v>
          </cell>
          <cell r="C9754">
            <v>45904</v>
          </cell>
          <cell r="D9754" t="str">
            <v>JILANI</v>
          </cell>
          <cell r="E9754" t="str">
            <v>Atlas Honda LTD (SKP)</v>
          </cell>
        </row>
        <row r="9755">
          <cell r="A9755" t="str">
            <v>4143 J</v>
          </cell>
          <cell r="B9755">
            <v>13082</v>
          </cell>
          <cell r="C9755">
            <v>45904</v>
          </cell>
          <cell r="D9755" t="str">
            <v>JILANI</v>
          </cell>
          <cell r="E9755" t="str">
            <v>Atlas Honda LTD (SKP)</v>
          </cell>
        </row>
        <row r="9756">
          <cell r="A9756" t="str">
            <v>4144 J</v>
          </cell>
          <cell r="B9756">
            <v>13083</v>
          </cell>
          <cell r="C9756">
            <v>45904</v>
          </cell>
          <cell r="D9756" t="str">
            <v>JILANI</v>
          </cell>
          <cell r="E9756" t="str">
            <v>Atlas Honda LTD (SKP)</v>
          </cell>
        </row>
        <row r="9757">
          <cell r="A9757" t="str">
            <v>4145 J</v>
          </cell>
          <cell r="B9757">
            <v>13084</v>
          </cell>
          <cell r="C9757">
            <v>45904</v>
          </cell>
          <cell r="D9757" t="str">
            <v>JILANI</v>
          </cell>
          <cell r="E9757" t="str">
            <v>Atlas Honda LTD (SKP)</v>
          </cell>
        </row>
        <row r="9758">
          <cell r="A9758" t="str">
            <v>4146 J</v>
          </cell>
          <cell r="B9758">
            <v>13085</v>
          </cell>
          <cell r="C9758">
            <v>45904</v>
          </cell>
          <cell r="D9758" t="str">
            <v>JILANI</v>
          </cell>
          <cell r="E9758" t="str">
            <v>Atlas Honda LTD (SKP)</v>
          </cell>
        </row>
        <row r="9759">
          <cell r="A9759" t="str">
            <v>4147 J</v>
          </cell>
          <cell r="B9759">
            <v>13086</v>
          </cell>
          <cell r="C9759">
            <v>45904</v>
          </cell>
          <cell r="D9759" t="str">
            <v>JILANI</v>
          </cell>
          <cell r="E9759" t="str">
            <v>Atlas Honda LTD (SKP)</v>
          </cell>
        </row>
        <row r="9760">
          <cell r="A9760" t="str">
            <v>4148 J</v>
          </cell>
          <cell r="B9760">
            <v>13087</v>
          </cell>
          <cell r="C9760">
            <v>45904</v>
          </cell>
          <cell r="D9760" t="str">
            <v>JILANI</v>
          </cell>
          <cell r="E9760" t="str">
            <v>Atlas Honda LTD (SKP)</v>
          </cell>
        </row>
        <row r="9761">
          <cell r="A9761" t="str">
            <v>4149 J</v>
          </cell>
          <cell r="B9761">
            <v>13088</v>
          </cell>
          <cell r="C9761">
            <v>45904</v>
          </cell>
          <cell r="D9761" t="str">
            <v>JILANI</v>
          </cell>
          <cell r="E9761" t="str">
            <v>Atlas Honda LTD (SKP)</v>
          </cell>
        </row>
        <row r="9762">
          <cell r="A9762" t="str">
            <v>4150 J</v>
          </cell>
          <cell r="B9762"/>
          <cell r="C9762">
            <v>45904</v>
          </cell>
          <cell r="D9762" t="str">
            <v>OTHER</v>
          </cell>
          <cell r="E9762" t="str">
            <v>Jilani plastic</v>
          </cell>
        </row>
        <row r="9763">
          <cell r="A9763" t="str">
            <v>4151 J</v>
          </cell>
          <cell r="B9763"/>
          <cell r="C9763">
            <v>45904</v>
          </cell>
          <cell r="D9763" t="str">
            <v>OTHER</v>
          </cell>
          <cell r="E9763" t="str">
            <v>Jilani plastic</v>
          </cell>
        </row>
        <row r="9764">
          <cell r="A9764" t="str">
            <v>4152 J</v>
          </cell>
          <cell r="B9764"/>
          <cell r="C9764">
            <v>45904</v>
          </cell>
          <cell r="D9764" t="str">
            <v>OTHER</v>
          </cell>
          <cell r="E9764" t="str">
            <v>Jilani plastic</v>
          </cell>
        </row>
        <row r="9765">
          <cell r="A9765" t="str">
            <v>4153 J</v>
          </cell>
          <cell r="B9765"/>
          <cell r="C9765">
            <v>45904</v>
          </cell>
          <cell r="D9765" t="str">
            <v>OTHER</v>
          </cell>
          <cell r="E9765" t="str">
            <v>Jilani plastic</v>
          </cell>
        </row>
        <row r="9766">
          <cell r="A9766" t="str">
            <v>4154 J</v>
          </cell>
          <cell r="B9766"/>
          <cell r="C9766">
            <v>45904</v>
          </cell>
          <cell r="D9766" t="str">
            <v>OTHER</v>
          </cell>
          <cell r="E9766" t="str">
            <v>Jilani plastic</v>
          </cell>
        </row>
        <row r="9767">
          <cell r="A9767" t="str">
            <v>4155 J</v>
          </cell>
          <cell r="B9767"/>
          <cell r="C9767">
            <v>45904</v>
          </cell>
          <cell r="D9767" t="str">
            <v>OTHER</v>
          </cell>
          <cell r="E9767" t="str">
            <v>Jilani plastic</v>
          </cell>
        </row>
        <row r="9768">
          <cell r="A9768" t="str">
            <v>7235/6</v>
          </cell>
          <cell r="B9768">
            <v>7235</v>
          </cell>
          <cell r="C9768">
            <v>45902</v>
          </cell>
          <cell r="D9768" t="str">
            <v>یونس صاحب</v>
          </cell>
          <cell r="E9768" t="str">
            <v>رفیق پلاسٹک اوکازہ</v>
          </cell>
        </row>
        <row r="9769">
          <cell r="A9769" t="str">
            <v>7235/7</v>
          </cell>
          <cell r="B9769">
            <v>7235</v>
          </cell>
          <cell r="C9769">
            <v>45902</v>
          </cell>
          <cell r="D9769" t="str">
            <v>یونس صاحب</v>
          </cell>
          <cell r="E9769" t="str">
            <v>رفیق پلاسٹک اوکازہ</v>
          </cell>
        </row>
        <row r="9770">
          <cell r="A9770" t="str">
            <v>7235/8</v>
          </cell>
          <cell r="B9770">
            <v>7235</v>
          </cell>
          <cell r="C9770">
            <v>45902</v>
          </cell>
          <cell r="D9770" t="str">
            <v>یونس صاحب</v>
          </cell>
          <cell r="E9770" t="str">
            <v>رفیق پلاسٹک اوکازہ</v>
          </cell>
        </row>
        <row r="9771">
          <cell r="A9771" t="str">
            <v>7235/9</v>
          </cell>
          <cell r="B9771">
            <v>7235</v>
          </cell>
          <cell r="C9771">
            <v>45902</v>
          </cell>
          <cell r="D9771" t="str">
            <v>یونس صاحب</v>
          </cell>
          <cell r="E9771" t="str">
            <v>رفیق پلاسٹک اوکازہ</v>
          </cell>
        </row>
        <row r="9772">
          <cell r="A9772" t="str">
            <v>7235/10</v>
          </cell>
          <cell r="B9772">
            <v>7235</v>
          </cell>
          <cell r="C9772">
            <v>45902</v>
          </cell>
          <cell r="D9772" t="str">
            <v>یونس صاحب</v>
          </cell>
          <cell r="E9772" t="str">
            <v>رفیق پلاسٹک اوکازہ</v>
          </cell>
        </row>
        <row r="9773">
          <cell r="A9773" t="str">
            <v>7236/4</v>
          </cell>
          <cell r="B9773">
            <v>7236</v>
          </cell>
          <cell r="C9773">
            <v>45902</v>
          </cell>
          <cell r="D9773" t="str">
            <v>یونس صاحب</v>
          </cell>
          <cell r="E9773" t="str">
            <v>احمد فاروق جہلم</v>
          </cell>
        </row>
        <row r="9774">
          <cell r="A9774" t="str">
            <v>7236/5</v>
          </cell>
          <cell r="B9774">
            <v>7236</v>
          </cell>
          <cell r="C9774">
            <v>45902</v>
          </cell>
          <cell r="D9774" t="str">
            <v>یونس صاحب</v>
          </cell>
          <cell r="E9774" t="str">
            <v>احمد فاروق جہلم</v>
          </cell>
        </row>
        <row r="9775">
          <cell r="A9775" t="str">
            <v>7236/6</v>
          </cell>
          <cell r="B9775">
            <v>7236</v>
          </cell>
          <cell r="C9775">
            <v>45902</v>
          </cell>
          <cell r="D9775" t="str">
            <v>یونس صاحب</v>
          </cell>
          <cell r="E9775" t="str">
            <v>احمد فاروق جہلم</v>
          </cell>
        </row>
        <row r="9776">
          <cell r="A9776" t="str">
            <v>7237/6</v>
          </cell>
          <cell r="B9776">
            <v>7237</v>
          </cell>
          <cell r="C9776">
            <v>45902</v>
          </cell>
          <cell r="D9776" t="str">
            <v>یونس صاحب</v>
          </cell>
          <cell r="E9776" t="str">
            <v>ایم زبیر پلاسٹک سرگودھا</v>
          </cell>
        </row>
        <row r="9777">
          <cell r="A9777" t="str">
            <v>7237/7</v>
          </cell>
          <cell r="B9777">
            <v>7237</v>
          </cell>
          <cell r="C9777">
            <v>45902</v>
          </cell>
          <cell r="D9777" t="str">
            <v>یونس صاحب</v>
          </cell>
          <cell r="E9777" t="str">
            <v>ایم زبیر پلاسٹک سرگودھا</v>
          </cell>
        </row>
        <row r="9778">
          <cell r="A9778" t="str">
            <v>7237/8</v>
          </cell>
          <cell r="B9778">
            <v>7237</v>
          </cell>
          <cell r="C9778">
            <v>45902</v>
          </cell>
          <cell r="D9778" t="str">
            <v>یونس صاحب</v>
          </cell>
          <cell r="E9778" t="str">
            <v>ایم زبیر پلاسٹک سرگودھا</v>
          </cell>
        </row>
        <row r="9779">
          <cell r="A9779" t="str">
            <v>7237/9</v>
          </cell>
          <cell r="B9779">
            <v>7237</v>
          </cell>
          <cell r="C9779">
            <v>45902</v>
          </cell>
          <cell r="D9779" t="str">
            <v>یونس صاحب</v>
          </cell>
          <cell r="E9779" t="str">
            <v>ایم زبیر پلاسٹک سرگودھا</v>
          </cell>
        </row>
        <row r="9780">
          <cell r="A9780" t="str">
            <v>7237/10</v>
          </cell>
          <cell r="B9780">
            <v>7237</v>
          </cell>
          <cell r="C9780">
            <v>45902</v>
          </cell>
          <cell r="D9780" t="str">
            <v>یونس صاحب</v>
          </cell>
          <cell r="E9780" t="str">
            <v>ایم زبیر پلاسٹک سرگودھا</v>
          </cell>
        </row>
        <row r="9781">
          <cell r="A9781" t="str">
            <v>7238/2</v>
          </cell>
          <cell r="B9781">
            <v>7238</v>
          </cell>
          <cell r="C9781">
            <v>45902</v>
          </cell>
          <cell r="D9781" t="str">
            <v>یونس صاحب</v>
          </cell>
          <cell r="E9781" t="str">
            <v>CANCEL</v>
          </cell>
        </row>
        <row r="9782">
          <cell r="A9782" t="str">
            <v>7239/3</v>
          </cell>
          <cell r="B9782">
            <v>7239</v>
          </cell>
          <cell r="C9782">
            <v>45902</v>
          </cell>
          <cell r="D9782" t="str">
            <v>یونس صاحب</v>
          </cell>
          <cell r="E9782" t="str">
            <v>محبوب مقبول گوجرانوالہ</v>
          </cell>
        </row>
        <row r="9783">
          <cell r="A9783" t="str">
            <v>7239/4</v>
          </cell>
          <cell r="B9783">
            <v>7239</v>
          </cell>
          <cell r="C9783">
            <v>45902</v>
          </cell>
          <cell r="D9783" t="str">
            <v>یونس صاحب</v>
          </cell>
          <cell r="E9783" t="str">
            <v>محبوب مقبول گوجرانوالہ</v>
          </cell>
        </row>
        <row r="9784">
          <cell r="A9784" t="str">
            <v>7240/4</v>
          </cell>
          <cell r="B9784">
            <v>7240</v>
          </cell>
          <cell r="C9784">
            <v>45902</v>
          </cell>
          <cell r="D9784" t="str">
            <v>یونس صاحب</v>
          </cell>
          <cell r="E9784" t="str">
            <v>ارشد افضل حاصلپور</v>
          </cell>
        </row>
        <row r="9785">
          <cell r="A9785" t="str">
            <v>7240/5</v>
          </cell>
          <cell r="B9785">
            <v>7240</v>
          </cell>
          <cell r="C9785">
            <v>45902</v>
          </cell>
          <cell r="D9785" t="str">
            <v>یونس صاحب</v>
          </cell>
          <cell r="E9785" t="str">
            <v>ارشد افضل حاصلپور</v>
          </cell>
        </row>
        <row r="9786">
          <cell r="A9786" t="str">
            <v>7240/6</v>
          </cell>
          <cell r="B9786">
            <v>7240</v>
          </cell>
          <cell r="C9786">
            <v>45902</v>
          </cell>
          <cell r="D9786" t="str">
            <v>یونس صاحب</v>
          </cell>
          <cell r="E9786" t="str">
            <v>ارشد افضل حاصلپور</v>
          </cell>
        </row>
        <row r="9787">
          <cell r="A9787" t="str">
            <v>7241/2</v>
          </cell>
          <cell r="B9787">
            <v>7241</v>
          </cell>
          <cell r="C9787">
            <v>45902</v>
          </cell>
          <cell r="D9787" t="str">
            <v>یونس صاحب</v>
          </cell>
          <cell r="E9787" t="str">
            <v>رفیق پلاسٹک اوکازہ</v>
          </cell>
        </row>
        <row r="9788">
          <cell r="A9788" t="str">
            <v>7242/38</v>
          </cell>
          <cell r="B9788">
            <v>7242</v>
          </cell>
          <cell r="C9788">
            <v>45902</v>
          </cell>
          <cell r="D9788" t="str">
            <v>یونس صاحب</v>
          </cell>
          <cell r="E9788" t="str">
            <v>فرحان پلاسٹک اوکاڑہ</v>
          </cell>
        </row>
        <row r="9789">
          <cell r="A9789" t="str">
            <v>7242/39</v>
          </cell>
          <cell r="B9789">
            <v>7242</v>
          </cell>
          <cell r="C9789">
            <v>45902</v>
          </cell>
          <cell r="D9789" t="str">
            <v>یونس صاحب</v>
          </cell>
          <cell r="E9789" t="str">
            <v>فرحان پلاسٹک اوکاڑہ</v>
          </cell>
        </row>
        <row r="9790">
          <cell r="A9790" t="str">
            <v>7242/40</v>
          </cell>
          <cell r="B9790">
            <v>7242</v>
          </cell>
          <cell r="C9790">
            <v>45902</v>
          </cell>
          <cell r="D9790" t="str">
            <v>یونس صاحب</v>
          </cell>
          <cell r="E9790" t="str">
            <v>فرحان پلاسٹک اوکاڑہ</v>
          </cell>
        </row>
        <row r="9791">
          <cell r="A9791" t="str">
            <v>7242/41</v>
          </cell>
          <cell r="B9791">
            <v>7242</v>
          </cell>
          <cell r="C9791">
            <v>45902</v>
          </cell>
          <cell r="D9791" t="str">
            <v>یونس صاحب</v>
          </cell>
          <cell r="E9791" t="str">
            <v>فرحان پلاسٹک اوکاڑہ</v>
          </cell>
        </row>
        <row r="9792">
          <cell r="A9792" t="str">
            <v>7242/42</v>
          </cell>
          <cell r="B9792">
            <v>7242</v>
          </cell>
          <cell r="C9792">
            <v>45902</v>
          </cell>
          <cell r="D9792" t="str">
            <v>یونس صاحب</v>
          </cell>
          <cell r="E9792" t="str">
            <v>فرحان پلاسٹک اوکاڑہ</v>
          </cell>
        </row>
        <row r="9793">
          <cell r="A9793" t="str">
            <v>7242/43</v>
          </cell>
          <cell r="B9793">
            <v>7242</v>
          </cell>
          <cell r="C9793">
            <v>45902</v>
          </cell>
          <cell r="D9793" t="str">
            <v>یونس صاحب</v>
          </cell>
          <cell r="E9793" t="str">
            <v>فرحان پلاسٹک اوکاڑہ</v>
          </cell>
        </row>
        <row r="9794">
          <cell r="A9794" t="str">
            <v>7242/44</v>
          </cell>
          <cell r="B9794">
            <v>7242</v>
          </cell>
          <cell r="C9794">
            <v>45902</v>
          </cell>
          <cell r="D9794" t="str">
            <v>یونس صاحب</v>
          </cell>
          <cell r="E9794" t="str">
            <v>فرحان پلاسٹک اوکاڑہ</v>
          </cell>
        </row>
        <row r="9795">
          <cell r="A9795" t="str">
            <v>7242/45</v>
          </cell>
          <cell r="B9795">
            <v>7242</v>
          </cell>
          <cell r="C9795">
            <v>45902</v>
          </cell>
          <cell r="D9795" t="str">
            <v>یونس صاحب</v>
          </cell>
          <cell r="E9795" t="str">
            <v>فرحان پلاسٹک اوکاڑہ</v>
          </cell>
        </row>
        <row r="9796">
          <cell r="A9796" t="str">
            <v>7242/46</v>
          </cell>
          <cell r="B9796">
            <v>7242</v>
          </cell>
          <cell r="C9796">
            <v>45902</v>
          </cell>
          <cell r="D9796" t="str">
            <v>یونس صاحب</v>
          </cell>
          <cell r="E9796" t="str">
            <v>فرحان پلاسٹک اوکاڑہ</v>
          </cell>
        </row>
        <row r="9797">
          <cell r="A9797" t="str">
            <v>7242/47</v>
          </cell>
          <cell r="B9797">
            <v>7242</v>
          </cell>
          <cell r="C9797">
            <v>45902</v>
          </cell>
          <cell r="D9797" t="str">
            <v>یونس صاحب</v>
          </cell>
          <cell r="E9797" t="str">
            <v>فرحان پلاسٹک اوکاڑہ</v>
          </cell>
        </row>
        <row r="9798">
          <cell r="A9798" t="str">
            <v>7242/48</v>
          </cell>
          <cell r="B9798">
            <v>7242</v>
          </cell>
          <cell r="C9798">
            <v>45902</v>
          </cell>
          <cell r="D9798" t="str">
            <v>یونس صاحب</v>
          </cell>
          <cell r="E9798" t="str">
            <v>فرحان پلاسٹک اوکاڑہ</v>
          </cell>
        </row>
        <row r="9799">
          <cell r="A9799" t="str">
            <v>7242/49</v>
          </cell>
          <cell r="B9799">
            <v>7242</v>
          </cell>
          <cell r="C9799">
            <v>45902</v>
          </cell>
          <cell r="D9799" t="str">
            <v>یونس صاحب</v>
          </cell>
          <cell r="E9799" t="str">
            <v>فرحان پلاسٹک اوکاڑہ</v>
          </cell>
        </row>
        <row r="9800">
          <cell r="A9800" t="str">
            <v>7242/50</v>
          </cell>
          <cell r="B9800">
            <v>7242</v>
          </cell>
          <cell r="C9800">
            <v>45902</v>
          </cell>
          <cell r="D9800" t="str">
            <v>یونس صاحب</v>
          </cell>
          <cell r="E9800" t="str">
            <v>فرحان پلاسٹک اوکاڑہ</v>
          </cell>
        </row>
        <row r="9801">
          <cell r="A9801" t="str">
            <v>7242/51</v>
          </cell>
          <cell r="B9801">
            <v>7242</v>
          </cell>
          <cell r="C9801">
            <v>45902</v>
          </cell>
          <cell r="D9801" t="str">
            <v>یونس صاحب</v>
          </cell>
          <cell r="E9801" t="str">
            <v>فرحان پلاسٹک اوکاڑہ</v>
          </cell>
        </row>
        <row r="9802">
          <cell r="A9802" t="str">
            <v>7242/52</v>
          </cell>
          <cell r="B9802">
            <v>7242</v>
          </cell>
          <cell r="C9802">
            <v>45902</v>
          </cell>
          <cell r="D9802" t="str">
            <v>یونس صاحب</v>
          </cell>
          <cell r="E9802" t="str">
            <v>فرحان پلاسٹک اوکاڑہ</v>
          </cell>
        </row>
        <row r="9803">
          <cell r="A9803" t="str">
            <v>7242/53</v>
          </cell>
          <cell r="B9803">
            <v>7242</v>
          </cell>
          <cell r="C9803">
            <v>45902</v>
          </cell>
          <cell r="D9803" t="str">
            <v>یونس صاحب</v>
          </cell>
          <cell r="E9803" t="str">
            <v>فرحان پلاسٹک اوکاڑہ</v>
          </cell>
        </row>
        <row r="9804">
          <cell r="A9804" t="str">
            <v>7242/54</v>
          </cell>
          <cell r="B9804">
            <v>7242</v>
          </cell>
          <cell r="C9804">
            <v>45902</v>
          </cell>
          <cell r="D9804" t="str">
            <v>یونس صاحب</v>
          </cell>
          <cell r="E9804" t="str">
            <v>فرحان پلاسٹک اوکاڑہ</v>
          </cell>
        </row>
        <row r="9805">
          <cell r="A9805" t="str">
            <v>7242/55</v>
          </cell>
          <cell r="B9805">
            <v>7242</v>
          </cell>
          <cell r="C9805">
            <v>45902</v>
          </cell>
          <cell r="D9805" t="str">
            <v>یونس صاحب</v>
          </cell>
          <cell r="E9805" t="str">
            <v>فرحان پلاسٹک اوکاڑہ</v>
          </cell>
        </row>
        <row r="9806">
          <cell r="A9806" t="str">
            <v>7242/56</v>
          </cell>
          <cell r="B9806">
            <v>7242</v>
          </cell>
          <cell r="C9806">
            <v>45902</v>
          </cell>
          <cell r="D9806" t="str">
            <v>یونس صاحب</v>
          </cell>
          <cell r="E9806" t="str">
            <v>فرحان پلاسٹک اوکاڑہ</v>
          </cell>
        </row>
        <row r="9807">
          <cell r="A9807" t="str">
            <v>7242/57</v>
          </cell>
          <cell r="B9807">
            <v>7242</v>
          </cell>
          <cell r="C9807">
            <v>45902</v>
          </cell>
          <cell r="D9807" t="str">
            <v>یونس صاحب</v>
          </cell>
          <cell r="E9807" t="str">
            <v>فرحان پلاسٹک اوکاڑہ</v>
          </cell>
        </row>
        <row r="9808">
          <cell r="A9808" t="str">
            <v>7242/58</v>
          </cell>
          <cell r="B9808">
            <v>7242</v>
          </cell>
          <cell r="C9808">
            <v>45902</v>
          </cell>
          <cell r="D9808" t="str">
            <v>یونس صاحب</v>
          </cell>
          <cell r="E9808" t="str">
            <v>فرحان پلاسٹک اوکاڑہ</v>
          </cell>
        </row>
        <row r="9809">
          <cell r="A9809" t="str">
            <v>7242/59</v>
          </cell>
          <cell r="B9809">
            <v>7242</v>
          </cell>
          <cell r="C9809">
            <v>45902</v>
          </cell>
          <cell r="D9809" t="str">
            <v>یونس صاحب</v>
          </cell>
          <cell r="E9809" t="str">
            <v>فرحان پلاسٹک اوکاڑہ</v>
          </cell>
        </row>
        <row r="9810">
          <cell r="A9810" t="str">
            <v>7242/60</v>
          </cell>
          <cell r="B9810">
            <v>7242</v>
          </cell>
          <cell r="C9810">
            <v>45902</v>
          </cell>
          <cell r="D9810" t="str">
            <v>یونس صاحب</v>
          </cell>
          <cell r="E9810" t="str">
            <v>فرحان پلاسٹک اوکاڑہ</v>
          </cell>
        </row>
        <row r="9811">
          <cell r="A9811" t="str">
            <v>7242/61</v>
          </cell>
          <cell r="B9811">
            <v>7242</v>
          </cell>
          <cell r="C9811">
            <v>45902</v>
          </cell>
          <cell r="D9811" t="str">
            <v>یونس صاحب</v>
          </cell>
          <cell r="E9811" t="str">
            <v>فرحان پلاسٹک اوکاڑہ</v>
          </cell>
        </row>
        <row r="9812">
          <cell r="A9812" t="str">
            <v>7242/62</v>
          </cell>
          <cell r="B9812">
            <v>7242</v>
          </cell>
          <cell r="C9812">
            <v>45902</v>
          </cell>
          <cell r="D9812" t="str">
            <v>یونس صاحب</v>
          </cell>
          <cell r="E9812" t="str">
            <v>فرحان پلاسٹک اوکاڑہ</v>
          </cell>
        </row>
        <row r="9813">
          <cell r="A9813" t="str">
            <v>7242/63</v>
          </cell>
          <cell r="B9813">
            <v>7242</v>
          </cell>
          <cell r="C9813">
            <v>45902</v>
          </cell>
          <cell r="D9813" t="str">
            <v>یونس صاحب</v>
          </cell>
          <cell r="E9813" t="str">
            <v>فرحان پلاسٹک اوکاڑہ</v>
          </cell>
        </row>
        <row r="9814">
          <cell r="A9814" t="str">
            <v>7242/64</v>
          </cell>
          <cell r="B9814">
            <v>7242</v>
          </cell>
          <cell r="C9814">
            <v>45902</v>
          </cell>
          <cell r="D9814" t="str">
            <v>یونس صاحب</v>
          </cell>
          <cell r="E9814" t="str">
            <v>فرحان پلاسٹک اوکاڑہ</v>
          </cell>
        </row>
        <row r="9815">
          <cell r="A9815" t="str">
            <v>7242/65</v>
          </cell>
          <cell r="B9815">
            <v>7242</v>
          </cell>
          <cell r="C9815">
            <v>45902</v>
          </cell>
          <cell r="D9815" t="str">
            <v>یونس صاحب</v>
          </cell>
          <cell r="E9815" t="str">
            <v>فرحان پلاسٹک اوکاڑہ</v>
          </cell>
        </row>
        <row r="9816">
          <cell r="A9816" t="str">
            <v>7242/66</v>
          </cell>
          <cell r="B9816">
            <v>7242</v>
          </cell>
          <cell r="C9816">
            <v>45902</v>
          </cell>
          <cell r="D9816" t="str">
            <v>یونس صاحب</v>
          </cell>
          <cell r="E9816" t="str">
            <v>فرحان پلاسٹک اوکاڑہ</v>
          </cell>
        </row>
        <row r="9817">
          <cell r="A9817" t="str">
            <v>7242/67</v>
          </cell>
          <cell r="B9817">
            <v>7242</v>
          </cell>
          <cell r="C9817">
            <v>45902</v>
          </cell>
          <cell r="D9817" t="str">
            <v>یونس صاحب</v>
          </cell>
          <cell r="E9817" t="str">
            <v>فرحان پلاسٹک اوکاڑہ</v>
          </cell>
        </row>
        <row r="9818">
          <cell r="A9818" t="str">
            <v>7242/68</v>
          </cell>
          <cell r="B9818">
            <v>7242</v>
          </cell>
          <cell r="C9818">
            <v>45902</v>
          </cell>
          <cell r="D9818" t="str">
            <v>یونس صاحب</v>
          </cell>
          <cell r="E9818" t="str">
            <v>فرحان پلاسٹک اوکاڑہ</v>
          </cell>
        </row>
        <row r="9819">
          <cell r="A9819" t="str">
            <v>7242/69</v>
          </cell>
          <cell r="B9819">
            <v>7242</v>
          </cell>
          <cell r="C9819">
            <v>45902</v>
          </cell>
          <cell r="D9819" t="str">
            <v>یونس صاحب</v>
          </cell>
          <cell r="E9819" t="str">
            <v>فرحان پلاسٹک اوکاڑہ</v>
          </cell>
        </row>
        <row r="9820">
          <cell r="A9820" t="str">
            <v>7242/70</v>
          </cell>
          <cell r="B9820">
            <v>7242</v>
          </cell>
          <cell r="C9820">
            <v>45902</v>
          </cell>
          <cell r="D9820" t="str">
            <v>یونس صاحب</v>
          </cell>
          <cell r="E9820" t="str">
            <v>فرحان پلاسٹک اوکاڑہ</v>
          </cell>
        </row>
        <row r="9821">
          <cell r="A9821" t="str">
            <v>7242/71</v>
          </cell>
          <cell r="B9821">
            <v>7242</v>
          </cell>
          <cell r="C9821">
            <v>45902</v>
          </cell>
          <cell r="D9821" t="str">
            <v>یونس صاحب</v>
          </cell>
          <cell r="E9821" t="str">
            <v>فرحان پلاسٹک اوکاڑہ</v>
          </cell>
        </row>
        <row r="9822">
          <cell r="A9822" t="str">
            <v>7242/72</v>
          </cell>
          <cell r="B9822">
            <v>7242</v>
          </cell>
          <cell r="C9822">
            <v>45902</v>
          </cell>
          <cell r="D9822" t="str">
            <v>یونس صاحب</v>
          </cell>
          <cell r="E9822" t="str">
            <v>فرحان پلاسٹک اوکاڑہ</v>
          </cell>
        </row>
        <row r="9823">
          <cell r="A9823" t="str">
            <v>7242/73</v>
          </cell>
          <cell r="B9823">
            <v>7242</v>
          </cell>
          <cell r="C9823">
            <v>45902</v>
          </cell>
          <cell r="D9823" t="str">
            <v>یونس صاحب</v>
          </cell>
          <cell r="E9823" t="str">
            <v>فرحان پلاسٹک اوکاڑہ</v>
          </cell>
        </row>
        <row r="9824">
          <cell r="A9824" t="str">
            <v>7242/74</v>
          </cell>
          <cell r="B9824">
            <v>7242</v>
          </cell>
          <cell r="C9824">
            <v>45902</v>
          </cell>
          <cell r="D9824" t="str">
            <v>یونس صاحب</v>
          </cell>
          <cell r="E9824" t="str">
            <v>فرحان پلاسٹک اوکاڑہ</v>
          </cell>
        </row>
        <row r="9825">
          <cell r="A9825" t="str">
            <v>7243/2</v>
          </cell>
          <cell r="B9825">
            <v>7243</v>
          </cell>
          <cell r="C9825">
            <v>45902</v>
          </cell>
          <cell r="D9825" t="str">
            <v>یونس صاحب</v>
          </cell>
          <cell r="E9825" t="str">
            <v>محبوب مقبول گوجرانوالہ</v>
          </cell>
        </row>
        <row r="9826">
          <cell r="A9826" t="str">
            <v>7244/4</v>
          </cell>
          <cell r="B9826">
            <v>7244</v>
          </cell>
          <cell r="C9826">
            <v>45902</v>
          </cell>
          <cell r="D9826" t="str">
            <v>یونس صاحب</v>
          </cell>
          <cell r="E9826" t="str">
            <v>لیاقت -لنڈا بازار</v>
          </cell>
        </row>
        <row r="9827">
          <cell r="A9827" t="str">
            <v>7244/5</v>
          </cell>
          <cell r="B9827">
            <v>7244</v>
          </cell>
          <cell r="C9827">
            <v>45902</v>
          </cell>
          <cell r="D9827" t="str">
            <v>یونس صاحب</v>
          </cell>
          <cell r="E9827" t="str">
            <v>لیاقت -لنڈا بازار</v>
          </cell>
        </row>
        <row r="9828">
          <cell r="A9828" t="str">
            <v>7244/6</v>
          </cell>
          <cell r="B9828">
            <v>7244</v>
          </cell>
          <cell r="C9828">
            <v>45902</v>
          </cell>
          <cell r="D9828" t="str">
            <v>یونس صاحب</v>
          </cell>
          <cell r="E9828" t="str">
            <v>لیاقت -لنڈا بازار</v>
          </cell>
        </row>
        <row r="9829">
          <cell r="A9829" t="str">
            <v>7245/11</v>
          </cell>
          <cell r="B9829">
            <v>7245</v>
          </cell>
          <cell r="C9829">
            <v>45902</v>
          </cell>
          <cell r="D9829" t="str">
            <v>یونس صاحب</v>
          </cell>
          <cell r="E9829" t="str">
            <v>آصف پلاسٹک سرگودھا(فیکٹری سٹاک)</v>
          </cell>
        </row>
        <row r="9830">
          <cell r="A9830" t="str">
            <v>7245/12</v>
          </cell>
          <cell r="B9830">
            <v>7245</v>
          </cell>
          <cell r="C9830">
            <v>45902</v>
          </cell>
          <cell r="D9830" t="str">
            <v>یونس صاحب</v>
          </cell>
          <cell r="E9830" t="str">
            <v>آصف پلاسٹک سرگودھا(فیکٹری سٹاک)</v>
          </cell>
        </row>
        <row r="9831">
          <cell r="A9831" t="str">
            <v>7245/13</v>
          </cell>
          <cell r="B9831">
            <v>7245</v>
          </cell>
          <cell r="C9831">
            <v>45902</v>
          </cell>
          <cell r="D9831" t="str">
            <v>یونس صاحب</v>
          </cell>
          <cell r="E9831" t="str">
            <v>آصف پلاسٹک سرگودھا(فیکٹری سٹاک)</v>
          </cell>
        </row>
        <row r="9832">
          <cell r="A9832" t="str">
            <v>7245/14</v>
          </cell>
          <cell r="B9832">
            <v>7245</v>
          </cell>
          <cell r="C9832">
            <v>45902</v>
          </cell>
          <cell r="D9832" t="str">
            <v>یونس صاحب</v>
          </cell>
          <cell r="E9832" t="str">
            <v>آصف پلاسٹک سرگودھا(فیکٹری سٹاک)</v>
          </cell>
        </row>
        <row r="9833">
          <cell r="A9833" t="str">
            <v>7245/15</v>
          </cell>
          <cell r="B9833">
            <v>7245</v>
          </cell>
          <cell r="C9833">
            <v>45902</v>
          </cell>
          <cell r="D9833" t="str">
            <v>یونس صاحب</v>
          </cell>
          <cell r="E9833" t="str">
            <v>آصف پلاسٹک سرگودھا(فیکٹری سٹاک)</v>
          </cell>
        </row>
        <row r="9834">
          <cell r="A9834" t="str">
            <v>7245/16</v>
          </cell>
          <cell r="B9834">
            <v>7245</v>
          </cell>
          <cell r="C9834">
            <v>45902</v>
          </cell>
          <cell r="D9834" t="str">
            <v>یونس صاحب</v>
          </cell>
          <cell r="E9834" t="str">
            <v>آصف پلاسٹک سرگودھا(فیکٹری سٹاک)</v>
          </cell>
        </row>
        <row r="9835">
          <cell r="A9835" t="str">
            <v>7245/17</v>
          </cell>
          <cell r="B9835">
            <v>7245</v>
          </cell>
          <cell r="C9835">
            <v>45902</v>
          </cell>
          <cell r="D9835" t="str">
            <v>یونس صاحب</v>
          </cell>
          <cell r="E9835" t="str">
            <v>آصف پلاسٹک سرگودھا(فیکٹری سٹاک)</v>
          </cell>
        </row>
        <row r="9836">
          <cell r="A9836" t="str">
            <v>7245/18</v>
          </cell>
          <cell r="B9836">
            <v>7245</v>
          </cell>
          <cell r="C9836">
            <v>45902</v>
          </cell>
          <cell r="D9836" t="str">
            <v>یونس صاحب</v>
          </cell>
          <cell r="E9836" t="str">
            <v>آصف پلاسٹک سرگودھا(فیکٹری سٹاک)</v>
          </cell>
        </row>
        <row r="9837">
          <cell r="A9837" t="str">
            <v>7245/19</v>
          </cell>
          <cell r="B9837">
            <v>7245</v>
          </cell>
          <cell r="C9837">
            <v>45902</v>
          </cell>
          <cell r="D9837" t="str">
            <v>یونس صاحب</v>
          </cell>
          <cell r="E9837" t="str">
            <v>آصف پلاسٹک سرگودھا(فیکٹری سٹاک)</v>
          </cell>
        </row>
        <row r="9838">
          <cell r="A9838" t="str">
            <v>7245/20</v>
          </cell>
          <cell r="B9838">
            <v>7245</v>
          </cell>
          <cell r="C9838">
            <v>45902</v>
          </cell>
          <cell r="D9838" t="str">
            <v>یونس صاحب</v>
          </cell>
          <cell r="E9838" t="str">
            <v>آصف پلاسٹک سرگودھا(فیکٹری سٹاک)</v>
          </cell>
        </row>
        <row r="9839">
          <cell r="A9839" t="str">
            <v>7246/29</v>
          </cell>
          <cell r="B9839">
            <v>7246</v>
          </cell>
          <cell r="C9839">
            <v>45902</v>
          </cell>
          <cell r="D9839" t="str">
            <v>یونس صاحب</v>
          </cell>
          <cell r="E9839" t="str">
            <v>آصف پلاسٹک سرگودھا(فیکٹری سٹاک)</v>
          </cell>
        </row>
        <row r="9840">
          <cell r="A9840" t="str">
            <v>7246/30</v>
          </cell>
          <cell r="B9840">
            <v>7246</v>
          </cell>
          <cell r="C9840">
            <v>45902</v>
          </cell>
          <cell r="D9840" t="str">
            <v>یونس صاحب</v>
          </cell>
          <cell r="E9840" t="str">
            <v>آصف پلاسٹک سرگودھا(فیکٹری سٹاک)</v>
          </cell>
        </row>
        <row r="9841">
          <cell r="A9841" t="str">
            <v>7246/31</v>
          </cell>
          <cell r="B9841">
            <v>7246</v>
          </cell>
          <cell r="C9841">
            <v>45902</v>
          </cell>
          <cell r="D9841" t="str">
            <v>یونس صاحب</v>
          </cell>
          <cell r="E9841" t="str">
            <v>آصف پلاسٹک سرگودھا(فیکٹری سٹاک)</v>
          </cell>
        </row>
        <row r="9842">
          <cell r="A9842" t="str">
            <v>7246/32</v>
          </cell>
          <cell r="B9842">
            <v>7246</v>
          </cell>
          <cell r="C9842">
            <v>45902</v>
          </cell>
          <cell r="D9842" t="str">
            <v>یونس صاحب</v>
          </cell>
          <cell r="E9842" t="str">
            <v>آصف پلاسٹک سرگودھا(فیکٹری سٹاک)</v>
          </cell>
        </row>
        <row r="9843">
          <cell r="A9843" t="str">
            <v>7246/33</v>
          </cell>
          <cell r="B9843">
            <v>7246</v>
          </cell>
          <cell r="C9843">
            <v>45902</v>
          </cell>
          <cell r="D9843" t="str">
            <v>یونس صاحب</v>
          </cell>
          <cell r="E9843" t="str">
            <v>آصف پلاسٹک سرگودھا(فیکٹری سٹاک)</v>
          </cell>
        </row>
        <row r="9844">
          <cell r="A9844" t="str">
            <v>7246/34</v>
          </cell>
          <cell r="B9844">
            <v>7246</v>
          </cell>
          <cell r="C9844">
            <v>45902</v>
          </cell>
          <cell r="D9844" t="str">
            <v>یونس صاحب</v>
          </cell>
          <cell r="E9844" t="str">
            <v>آصف پلاسٹک سرگودھا(فیکٹری سٹاک)</v>
          </cell>
        </row>
        <row r="9845">
          <cell r="A9845" t="str">
            <v>7246/35</v>
          </cell>
          <cell r="B9845">
            <v>7246</v>
          </cell>
          <cell r="C9845">
            <v>45902</v>
          </cell>
          <cell r="D9845" t="str">
            <v>یونس صاحب</v>
          </cell>
          <cell r="E9845" t="str">
            <v>آصف پلاسٹک سرگودھا(فیکٹری سٹاک)</v>
          </cell>
        </row>
        <row r="9846">
          <cell r="A9846" t="str">
            <v>7246/36</v>
          </cell>
          <cell r="B9846">
            <v>7246</v>
          </cell>
          <cell r="C9846">
            <v>45902</v>
          </cell>
          <cell r="D9846" t="str">
            <v>یونس صاحب</v>
          </cell>
          <cell r="E9846" t="str">
            <v>آصف پلاسٹک سرگودھا(فیکٹری سٹاک)</v>
          </cell>
        </row>
        <row r="9847">
          <cell r="A9847" t="str">
            <v>7246/37</v>
          </cell>
          <cell r="B9847">
            <v>7246</v>
          </cell>
          <cell r="C9847">
            <v>45902</v>
          </cell>
          <cell r="D9847" t="str">
            <v>یونس صاحب</v>
          </cell>
          <cell r="E9847" t="str">
            <v>آصف پلاسٹک سرگودھا(فیکٹری سٹاک)</v>
          </cell>
        </row>
        <row r="9848">
          <cell r="A9848" t="str">
            <v>7246/38</v>
          </cell>
          <cell r="B9848">
            <v>7246</v>
          </cell>
          <cell r="C9848">
            <v>45902</v>
          </cell>
          <cell r="D9848" t="str">
            <v>یونس صاحب</v>
          </cell>
          <cell r="E9848" t="str">
            <v>آصف پلاسٹک سرگودھا(فیکٹری سٹاک)</v>
          </cell>
        </row>
        <row r="9849">
          <cell r="A9849" t="str">
            <v>7246/39</v>
          </cell>
          <cell r="B9849">
            <v>7246</v>
          </cell>
          <cell r="C9849">
            <v>45902</v>
          </cell>
          <cell r="D9849" t="str">
            <v>یونس صاحب</v>
          </cell>
          <cell r="E9849" t="str">
            <v>آصف پلاسٹک سرگودھا(فیکٹری سٹاک)</v>
          </cell>
        </row>
        <row r="9850">
          <cell r="A9850" t="str">
            <v>7246/40</v>
          </cell>
          <cell r="B9850">
            <v>7246</v>
          </cell>
          <cell r="C9850">
            <v>45902</v>
          </cell>
          <cell r="D9850" t="str">
            <v>یونس صاحب</v>
          </cell>
          <cell r="E9850" t="str">
            <v>آصف پلاسٹک سرگودھا(فیکٹری سٹاک)</v>
          </cell>
        </row>
        <row r="9851">
          <cell r="A9851" t="str">
            <v>7246/41</v>
          </cell>
          <cell r="B9851">
            <v>7246</v>
          </cell>
          <cell r="C9851">
            <v>45902</v>
          </cell>
          <cell r="D9851" t="str">
            <v>یونس صاحب</v>
          </cell>
          <cell r="E9851" t="str">
            <v>آصف پلاسٹک سرگودھا(فیکٹری سٹاک)</v>
          </cell>
        </row>
        <row r="9852">
          <cell r="A9852" t="str">
            <v>7246/42</v>
          </cell>
          <cell r="B9852">
            <v>7246</v>
          </cell>
          <cell r="C9852">
            <v>45902</v>
          </cell>
          <cell r="D9852" t="str">
            <v>یونس صاحب</v>
          </cell>
          <cell r="E9852" t="str">
            <v>آصف پلاسٹک سرگودھا(فیکٹری سٹاک)</v>
          </cell>
        </row>
        <row r="9853">
          <cell r="A9853" t="str">
            <v>7246/43</v>
          </cell>
          <cell r="B9853">
            <v>7246</v>
          </cell>
          <cell r="C9853">
            <v>45902</v>
          </cell>
          <cell r="D9853" t="str">
            <v>یونس صاحب</v>
          </cell>
          <cell r="E9853" t="str">
            <v>آصف پلاسٹک سرگودھا(فیکٹری سٹاک)</v>
          </cell>
        </row>
        <row r="9854">
          <cell r="A9854" t="str">
            <v>7246/44</v>
          </cell>
          <cell r="B9854">
            <v>7246</v>
          </cell>
          <cell r="C9854">
            <v>45902</v>
          </cell>
          <cell r="D9854" t="str">
            <v>یونس صاحب</v>
          </cell>
          <cell r="E9854" t="str">
            <v>آصف پلاسٹک سرگودھا(فیکٹری سٹاک)</v>
          </cell>
        </row>
        <row r="9855">
          <cell r="A9855" t="str">
            <v>7246/45</v>
          </cell>
          <cell r="B9855">
            <v>7246</v>
          </cell>
          <cell r="C9855">
            <v>45902</v>
          </cell>
          <cell r="D9855" t="str">
            <v>یونس صاحب</v>
          </cell>
          <cell r="E9855" t="str">
            <v>آصف پلاسٹک سرگودھا(فیکٹری سٹاک)</v>
          </cell>
        </row>
        <row r="9856">
          <cell r="A9856" t="str">
            <v>7246/46</v>
          </cell>
          <cell r="B9856">
            <v>7246</v>
          </cell>
          <cell r="C9856">
            <v>45902</v>
          </cell>
          <cell r="D9856" t="str">
            <v>یونس صاحب</v>
          </cell>
          <cell r="E9856" t="str">
            <v>آصف پلاسٹک سرگودھا(فیکٹری سٹاک)</v>
          </cell>
        </row>
        <row r="9857">
          <cell r="A9857" t="str">
            <v>7246/47</v>
          </cell>
          <cell r="B9857">
            <v>7246</v>
          </cell>
          <cell r="C9857">
            <v>45902</v>
          </cell>
          <cell r="D9857" t="str">
            <v>یونس صاحب</v>
          </cell>
          <cell r="E9857" t="str">
            <v>آصف پلاسٹک سرگودھا(فیکٹری سٹاک)</v>
          </cell>
        </row>
        <row r="9858">
          <cell r="A9858" t="str">
            <v>7246/48</v>
          </cell>
          <cell r="B9858">
            <v>7246</v>
          </cell>
          <cell r="C9858">
            <v>45902</v>
          </cell>
          <cell r="D9858" t="str">
            <v>یونس صاحب</v>
          </cell>
          <cell r="E9858" t="str">
            <v>آصف پلاسٹک سرگودھا(فیکٹری سٹاک)</v>
          </cell>
        </row>
        <row r="9859">
          <cell r="A9859" t="str">
            <v>7246/49</v>
          </cell>
          <cell r="B9859">
            <v>7246</v>
          </cell>
          <cell r="C9859">
            <v>45902</v>
          </cell>
          <cell r="D9859" t="str">
            <v>یونس صاحب</v>
          </cell>
          <cell r="E9859" t="str">
            <v>آصف پلاسٹک سرگودھا(فیکٹری سٹاک)</v>
          </cell>
        </row>
        <row r="9860">
          <cell r="A9860" t="str">
            <v>7246/50</v>
          </cell>
          <cell r="B9860">
            <v>7246</v>
          </cell>
          <cell r="C9860">
            <v>45902</v>
          </cell>
          <cell r="D9860" t="str">
            <v>یونس صاحب</v>
          </cell>
          <cell r="E9860" t="str">
            <v>آصف پلاسٹک سرگودھا(فیکٹری سٹاک)</v>
          </cell>
        </row>
        <row r="9861">
          <cell r="A9861" t="str">
            <v>7246/51</v>
          </cell>
          <cell r="B9861">
            <v>7246</v>
          </cell>
          <cell r="C9861">
            <v>45902</v>
          </cell>
          <cell r="D9861" t="str">
            <v>یونس صاحب</v>
          </cell>
          <cell r="E9861" t="str">
            <v>آصف پلاسٹک سرگودھا(فیکٹری سٹاک)</v>
          </cell>
        </row>
        <row r="9862">
          <cell r="A9862" t="str">
            <v>7246/52</v>
          </cell>
          <cell r="B9862">
            <v>7246</v>
          </cell>
          <cell r="C9862">
            <v>45902</v>
          </cell>
          <cell r="D9862" t="str">
            <v>یونس صاحب</v>
          </cell>
          <cell r="E9862" t="str">
            <v>آصف پلاسٹک سرگودھا(فیکٹری سٹاک)</v>
          </cell>
        </row>
        <row r="9863">
          <cell r="A9863" t="str">
            <v>7246/53</v>
          </cell>
          <cell r="B9863">
            <v>7246</v>
          </cell>
          <cell r="C9863">
            <v>45902</v>
          </cell>
          <cell r="D9863" t="str">
            <v>یونس صاحب</v>
          </cell>
          <cell r="E9863" t="str">
            <v>آصف پلاسٹک سرگودھا(فیکٹری سٹاک)</v>
          </cell>
        </row>
        <row r="9864">
          <cell r="A9864" t="str">
            <v>7246/54</v>
          </cell>
          <cell r="B9864">
            <v>7246</v>
          </cell>
          <cell r="C9864">
            <v>45902</v>
          </cell>
          <cell r="D9864" t="str">
            <v>یونس صاحب</v>
          </cell>
          <cell r="E9864" t="str">
            <v>آصف پلاسٹک سرگودھا(فیکٹری سٹاک)</v>
          </cell>
        </row>
        <row r="9865">
          <cell r="A9865" t="str">
            <v>7246/55</v>
          </cell>
          <cell r="B9865">
            <v>7246</v>
          </cell>
          <cell r="C9865">
            <v>45902</v>
          </cell>
          <cell r="D9865" t="str">
            <v>یونس صاحب</v>
          </cell>
          <cell r="E9865" t="str">
            <v>آصف پلاسٹک سرگودھا(فیکٹری سٹاک)</v>
          </cell>
        </row>
        <row r="9866">
          <cell r="A9866" t="str">
            <v>7246/56</v>
          </cell>
          <cell r="B9866">
            <v>7246</v>
          </cell>
          <cell r="C9866">
            <v>45902</v>
          </cell>
          <cell r="D9866" t="str">
            <v>یونس صاحب</v>
          </cell>
          <cell r="E9866" t="str">
            <v>آصف پلاسٹک سرگودھا(فیکٹری سٹاک)</v>
          </cell>
        </row>
        <row r="9867">
          <cell r="A9867" t="str">
            <v>7247/2</v>
          </cell>
          <cell r="B9867">
            <v>7247</v>
          </cell>
          <cell r="C9867">
            <v>45902</v>
          </cell>
          <cell r="D9867" t="str">
            <v>یونس صاحب</v>
          </cell>
          <cell r="E9867" t="str">
            <v>ایم عمران پاکستان مارکیٹ</v>
          </cell>
        </row>
        <row r="9868">
          <cell r="A9868" t="str">
            <v>7248/10</v>
          </cell>
          <cell r="B9868">
            <v>7248</v>
          </cell>
          <cell r="C9868">
            <v>45902</v>
          </cell>
          <cell r="D9868" t="str">
            <v>یونس صاحب</v>
          </cell>
          <cell r="E9868" t="str">
            <v>محبوب مقبول گوجرانوالہ</v>
          </cell>
        </row>
        <row r="9869">
          <cell r="A9869" t="str">
            <v>7248/11</v>
          </cell>
          <cell r="B9869">
            <v>7248</v>
          </cell>
          <cell r="C9869">
            <v>45902</v>
          </cell>
          <cell r="D9869" t="str">
            <v>یونس صاحب</v>
          </cell>
          <cell r="E9869" t="str">
            <v>محبوب مقبول گوجرانوالہ</v>
          </cell>
        </row>
        <row r="9870">
          <cell r="A9870" t="str">
            <v>7248/12</v>
          </cell>
          <cell r="B9870">
            <v>7248</v>
          </cell>
          <cell r="C9870">
            <v>45902</v>
          </cell>
          <cell r="D9870" t="str">
            <v>یونس صاحب</v>
          </cell>
          <cell r="E9870" t="str">
            <v>محبوب مقبول گوجرانوالہ</v>
          </cell>
        </row>
        <row r="9871">
          <cell r="A9871" t="str">
            <v>7248/13</v>
          </cell>
          <cell r="B9871">
            <v>7248</v>
          </cell>
          <cell r="C9871">
            <v>45902</v>
          </cell>
          <cell r="D9871" t="str">
            <v>یونس صاحب</v>
          </cell>
          <cell r="E9871" t="str">
            <v>محبوب مقبول گوجرانوالہ</v>
          </cell>
        </row>
        <row r="9872">
          <cell r="A9872" t="str">
            <v>7248/14</v>
          </cell>
          <cell r="B9872">
            <v>7248</v>
          </cell>
          <cell r="C9872">
            <v>45902</v>
          </cell>
          <cell r="D9872" t="str">
            <v>یونس صاحب</v>
          </cell>
          <cell r="E9872" t="str">
            <v>محبوب مقبول گوجرانوالہ</v>
          </cell>
        </row>
        <row r="9873">
          <cell r="A9873" t="str">
            <v>7248/15</v>
          </cell>
          <cell r="B9873">
            <v>7248</v>
          </cell>
          <cell r="C9873">
            <v>45902</v>
          </cell>
          <cell r="D9873" t="str">
            <v>یونس صاحب</v>
          </cell>
          <cell r="E9873" t="str">
            <v>محبوب مقبول گوجرانوالہ</v>
          </cell>
        </row>
        <row r="9874">
          <cell r="A9874" t="str">
            <v>7248/16</v>
          </cell>
          <cell r="B9874">
            <v>7248</v>
          </cell>
          <cell r="C9874">
            <v>45902</v>
          </cell>
          <cell r="D9874" t="str">
            <v>یونس صاحب</v>
          </cell>
          <cell r="E9874" t="str">
            <v>محبوب مقبول گوجرانوالہ</v>
          </cell>
        </row>
        <row r="9875">
          <cell r="A9875" t="str">
            <v>7248/17</v>
          </cell>
          <cell r="B9875">
            <v>7248</v>
          </cell>
          <cell r="C9875">
            <v>45902</v>
          </cell>
          <cell r="D9875" t="str">
            <v>یونس صاحب</v>
          </cell>
          <cell r="E9875" t="str">
            <v>محبوب مقبول گوجرانوالہ</v>
          </cell>
        </row>
        <row r="9876">
          <cell r="A9876" t="str">
            <v>7248/18</v>
          </cell>
          <cell r="B9876">
            <v>7248</v>
          </cell>
          <cell r="C9876">
            <v>45902</v>
          </cell>
          <cell r="D9876" t="str">
            <v>یونس صاحب</v>
          </cell>
          <cell r="E9876" t="str">
            <v>محبوب مقبول گوجرانوالہ</v>
          </cell>
        </row>
        <row r="9877">
          <cell r="A9877" t="str">
            <v>7249/6</v>
          </cell>
          <cell r="B9877">
            <v>7249</v>
          </cell>
          <cell r="C9877">
            <v>45902</v>
          </cell>
          <cell r="D9877" t="str">
            <v>یونس صاحب</v>
          </cell>
          <cell r="E9877" t="str">
            <v>العمر پلاسٹک گوجرانوالہ</v>
          </cell>
        </row>
        <row r="9878">
          <cell r="A9878" t="str">
            <v>7249/7</v>
          </cell>
          <cell r="B9878">
            <v>7249</v>
          </cell>
          <cell r="C9878">
            <v>45902</v>
          </cell>
          <cell r="D9878" t="str">
            <v>یونس صاحب</v>
          </cell>
          <cell r="E9878" t="str">
            <v>العمر پلاسٹک گوجرانوالہ</v>
          </cell>
        </row>
        <row r="9879">
          <cell r="A9879" t="str">
            <v>7249/8</v>
          </cell>
          <cell r="B9879">
            <v>7249</v>
          </cell>
          <cell r="C9879">
            <v>45902</v>
          </cell>
          <cell r="D9879" t="str">
            <v>یونس صاحب</v>
          </cell>
          <cell r="E9879" t="str">
            <v>العمر پلاسٹک گوجرانوالہ</v>
          </cell>
        </row>
        <row r="9880">
          <cell r="A9880" t="str">
            <v>7249/9</v>
          </cell>
          <cell r="B9880">
            <v>7249</v>
          </cell>
          <cell r="C9880">
            <v>45902</v>
          </cell>
          <cell r="D9880" t="str">
            <v>یونس صاحب</v>
          </cell>
          <cell r="E9880" t="str">
            <v>العمر پلاسٹک گوجرانوالہ</v>
          </cell>
        </row>
        <row r="9881">
          <cell r="A9881" t="str">
            <v>7249/10</v>
          </cell>
          <cell r="B9881">
            <v>7249</v>
          </cell>
          <cell r="C9881">
            <v>45902</v>
          </cell>
          <cell r="D9881" t="str">
            <v>یونس صاحب</v>
          </cell>
          <cell r="E9881" t="str">
            <v>العمر پلاسٹک گوجرانوالہ</v>
          </cell>
        </row>
        <row r="9882">
          <cell r="A9882" t="str">
            <v>7250/2</v>
          </cell>
          <cell r="B9882">
            <v>7250</v>
          </cell>
          <cell r="C9882">
            <v>45902</v>
          </cell>
          <cell r="D9882" t="str">
            <v>یونس صاحب</v>
          </cell>
          <cell r="E9882" t="str">
            <v>العمر پلاسٹک گوجرانوالہ</v>
          </cell>
        </row>
        <row r="9883">
          <cell r="A9883" t="str">
            <v>7251/2</v>
          </cell>
          <cell r="B9883">
            <v>7251</v>
          </cell>
          <cell r="C9883">
            <v>45902</v>
          </cell>
          <cell r="D9883" t="str">
            <v>یونس صاحب</v>
          </cell>
          <cell r="E9883" t="str">
            <v>ریفلیکٹ پیک لاہور</v>
          </cell>
        </row>
        <row r="9884">
          <cell r="A9884" t="str">
            <v>7252/5</v>
          </cell>
          <cell r="B9884">
            <v>7252</v>
          </cell>
          <cell r="C9884">
            <v>45902</v>
          </cell>
          <cell r="D9884" t="str">
            <v>یونس صاحب</v>
          </cell>
          <cell r="E9884" t="str">
            <v>العمر پلاسٹک گوجرانوالہ</v>
          </cell>
        </row>
        <row r="9885">
          <cell r="A9885" t="str">
            <v>7252/6</v>
          </cell>
          <cell r="B9885">
            <v>7252</v>
          </cell>
          <cell r="C9885">
            <v>45902</v>
          </cell>
          <cell r="D9885" t="str">
            <v>یونس صاحب</v>
          </cell>
          <cell r="E9885" t="str">
            <v>العمر پلاسٹک گوجرانوالہ</v>
          </cell>
        </row>
        <row r="9886">
          <cell r="A9886" t="str">
            <v>7252/7</v>
          </cell>
          <cell r="B9886">
            <v>7252</v>
          </cell>
          <cell r="C9886">
            <v>45902</v>
          </cell>
          <cell r="D9886" t="str">
            <v>یونس صاحب</v>
          </cell>
          <cell r="E9886" t="str">
            <v>العمر پلاسٹک گوجرانوالہ</v>
          </cell>
        </row>
        <row r="9887">
          <cell r="A9887" t="str">
            <v>7252/8</v>
          </cell>
          <cell r="B9887">
            <v>7252</v>
          </cell>
          <cell r="C9887">
            <v>45902</v>
          </cell>
          <cell r="D9887" t="str">
            <v>یونس صاحب</v>
          </cell>
          <cell r="E9887" t="str">
            <v>العمر پلاسٹک گوجرانوالہ</v>
          </cell>
        </row>
        <row r="9888">
          <cell r="A9888" t="str">
            <v>7253/1</v>
          </cell>
          <cell r="B9888">
            <v>7253</v>
          </cell>
          <cell r="C9888">
            <v>45903</v>
          </cell>
          <cell r="D9888" t="str">
            <v>یونس صاحب</v>
          </cell>
          <cell r="E9888" t="str">
            <v>گڈ لک شوز سگیاں پل</v>
          </cell>
        </row>
        <row r="9889">
          <cell r="A9889" t="str">
            <v>7254/1</v>
          </cell>
          <cell r="B9889">
            <v>7254</v>
          </cell>
          <cell r="C9889">
            <v>45903</v>
          </cell>
          <cell r="D9889" t="str">
            <v>یونس صاحب</v>
          </cell>
          <cell r="E9889" t="str">
            <v>ایم دین پنڈی</v>
          </cell>
        </row>
        <row r="9890">
          <cell r="A9890" t="str">
            <v>7254/2</v>
          </cell>
          <cell r="B9890">
            <v>7254</v>
          </cell>
          <cell r="C9890">
            <v>45903</v>
          </cell>
          <cell r="D9890" t="str">
            <v>یونس صاحب</v>
          </cell>
          <cell r="E9890" t="str">
            <v>ایم دین پنڈی</v>
          </cell>
        </row>
        <row r="9891">
          <cell r="A9891" t="str">
            <v>7255/1</v>
          </cell>
          <cell r="B9891">
            <v>7255</v>
          </cell>
          <cell r="C9891">
            <v>45903</v>
          </cell>
          <cell r="D9891" t="str">
            <v>یونس صاحب</v>
          </cell>
          <cell r="E9891" t="str">
            <v>ایم دین پنڈی</v>
          </cell>
        </row>
        <row r="9892">
          <cell r="A9892" t="str">
            <v>7256/1</v>
          </cell>
          <cell r="B9892">
            <v>7256</v>
          </cell>
          <cell r="C9892">
            <v>45903</v>
          </cell>
          <cell r="D9892" t="str">
            <v>یونس صاحب</v>
          </cell>
          <cell r="E9892" t="str">
            <v>CANCEL</v>
          </cell>
        </row>
        <row r="9893">
          <cell r="A9893" t="str">
            <v>7257/1</v>
          </cell>
          <cell r="B9893">
            <v>7257</v>
          </cell>
          <cell r="C9893">
            <v>45903</v>
          </cell>
          <cell r="D9893" t="str">
            <v>یونس صاحب</v>
          </cell>
          <cell r="E9893" t="str">
            <v>اشرف پلاسٹک بھکر</v>
          </cell>
        </row>
        <row r="9894">
          <cell r="A9894" t="str">
            <v>7257/2</v>
          </cell>
          <cell r="B9894">
            <v>7257</v>
          </cell>
          <cell r="C9894">
            <v>45903</v>
          </cell>
          <cell r="D9894" t="str">
            <v>یونس صاحب</v>
          </cell>
          <cell r="E9894" t="str">
            <v>اشرف پلاسٹک بھکر</v>
          </cell>
        </row>
        <row r="9895">
          <cell r="A9895" t="str">
            <v>7258/1</v>
          </cell>
          <cell r="B9895">
            <v>7258</v>
          </cell>
          <cell r="C9895">
            <v>45903</v>
          </cell>
          <cell r="D9895" t="str">
            <v>یونس صاحب</v>
          </cell>
          <cell r="E9895" t="str">
            <v>باق اشرف خانپور</v>
          </cell>
        </row>
        <row r="9896">
          <cell r="A9896" t="str">
            <v>7258/2</v>
          </cell>
          <cell r="B9896">
            <v>7258</v>
          </cell>
          <cell r="C9896">
            <v>45903</v>
          </cell>
          <cell r="D9896" t="str">
            <v>یونس صاحب</v>
          </cell>
          <cell r="E9896" t="str">
            <v>باق اشرف خانپور</v>
          </cell>
        </row>
        <row r="9897">
          <cell r="A9897" t="str">
            <v>7258/3</v>
          </cell>
          <cell r="B9897">
            <v>7258</v>
          </cell>
          <cell r="C9897">
            <v>45903</v>
          </cell>
          <cell r="D9897" t="str">
            <v>یونس صاحب</v>
          </cell>
          <cell r="E9897" t="str">
            <v>باق اشرف خانپور</v>
          </cell>
        </row>
        <row r="9898">
          <cell r="A9898" t="str">
            <v>7258/4</v>
          </cell>
          <cell r="B9898">
            <v>7258</v>
          </cell>
          <cell r="C9898">
            <v>45903</v>
          </cell>
          <cell r="D9898" t="str">
            <v>یونس صاحب</v>
          </cell>
          <cell r="E9898" t="str">
            <v>باق اشرف خانپور</v>
          </cell>
        </row>
        <row r="9899">
          <cell r="A9899" t="str">
            <v>922/1</v>
          </cell>
          <cell r="B9899">
            <v>922</v>
          </cell>
          <cell r="C9899">
            <v>45906</v>
          </cell>
          <cell r="D9899" t="str">
            <v>STOCK</v>
          </cell>
          <cell r="E9899" t="str">
            <v>سٹاک</v>
          </cell>
        </row>
        <row r="9900">
          <cell r="A9900" t="str">
            <v>920/1</v>
          </cell>
          <cell r="B9900">
            <v>920</v>
          </cell>
          <cell r="C9900">
            <v>45906</v>
          </cell>
          <cell r="D9900" t="str">
            <v>STOCK</v>
          </cell>
          <cell r="E9900" t="str">
            <v>سٹاک</v>
          </cell>
        </row>
        <row r="9901">
          <cell r="A9901" t="str">
            <v>716/1</v>
          </cell>
          <cell r="B9901">
            <v>716</v>
          </cell>
          <cell r="C9901">
            <v>45906</v>
          </cell>
          <cell r="D9901" t="str">
            <v>STOCK</v>
          </cell>
          <cell r="E9901" t="str">
            <v>سٹاک</v>
          </cell>
        </row>
        <row r="9902">
          <cell r="A9902" t="str">
            <v>1214/1</v>
          </cell>
          <cell r="B9902">
            <v>1214</v>
          </cell>
          <cell r="C9902">
            <v>45906</v>
          </cell>
          <cell r="D9902" t="str">
            <v>STOCK</v>
          </cell>
          <cell r="E9902" t="str">
            <v>سٹاک</v>
          </cell>
        </row>
        <row r="9903">
          <cell r="A9903" t="str">
            <v>1218/2</v>
          </cell>
          <cell r="B9903">
            <v>1218</v>
          </cell>
          <cell r="C9903">
            <v>45906</v>
          </cell>
          <cell r="D9903" t="str">
            <v>STOCK</v>
          </cell>
          <cell r="E9903" t="str">
            <v>سٹاک</v>
          </cell>
        </row>
        <row r="9904">
          <cell r="A9904" t="str">
            <v>918/1</v>
          </cell>
          <cell r="B9904">
            <v>918</v>
          </cell>
          <cell r="C9904">
            <v>45906</v>
          </cell>
          <cell r="D9904" t="str">
            <v>STOCK</v>
          </cell>
          <cell r="E9904" t="str">
            <v>سٹاک</v>
          </cell>
        </row>
        <row r="9905">
          <cell r="A9905" t="str">
            <v>914/2</v>
          </cell>
          <cell r="B9905">
            <v>914</v>
          </cell>
          <cell r="C9905">
            <v>45906</v>
          </cell>
          <cell r="D9905" t="str">
            <v>STOCK</v>
          </cell>
          <cell r="E9905" t="str">
            <v>سٹاک</v>
          </cell>
        </row>
        <row r="9906">
          <cell r="A9906" t="str">
            <v>916/1</v>
          </cell>
          <cell r="B9906">
            <v>916</v>
          </cell>
          <cell r="C9906">
            <v>45906</v>
          </cell>
          <cell r="D9906" t="str">
            <v>STOCK</v>
          </cell>
          <cell r="E9906" t="str">
            <v>سٹاک</v>
          </cell>
        </row>
        <row r="9907">
          <cell r="A9907" t="str">
            <v>1622/1</v>
          </cell>
          <cell r="B9907">
            <v>1622</v>
          </cell>
          <cell r="C9907">
            <v>45906</v>
          </cell>
          <cell r="D9907" t="str">
            <v>STOCK</v>
          </cell>
          <cell r="E9907" t="str">
            <v>سٹاک</v>
          </cell>
        </row>
        <row r="9908">
          <cell r="A9908" t="str">
            <v>612/1</v>
          </cell>
          <cell r="B9908">
            <v>612</v>
          </cell>
          <cell r="C9908">
            <v>45906</v>
          </cell>
          <cell r="D9908" t="str">
            <v>STOCK</v>
          </cell>
          <cell r="E9908" t="str">
            <v>سٹاک</v>
          </cell>
        </row>
        <row r="9909">
          <cell r="A9909" t="str">
            <v>618/1</v>
          </cell>
          <cell r="B9909">
            <v>618</v>
          </cell>
          <cell r="C9909">
            <v>45906</v>
          </cell>
          <cell r="D9909" t="str">
            <v>STOCK</v>
          </cell>
          <cell r="E9909" t="str">
            <v>سٹاک</v>
          </cell>
        </row>
        <row r="9910">
          <cell r="A9910" t="str">
            <v>67/1</v>
          </cell>
          <cell r="B9910">
            <v>67</v>
          </cell>
          <cell r="C9910">
            <v>45906</v>
          </cell>
          <cell r="D9910" t="str">
            <v>STOCK</v>
          </cell>
          <cell r="E9910" t="str">
            <v>سٹاک</v>
          </cell>
        </row>
        <row r="9911">
          <cell r="A9911" t="str">
            <v>68/2</v>
          </cell>
          <cell r="B9911">
            <v>68</v>
          </cell>
          <cell r="C9911">
            <v>45906</v>
          </cell>
          <cell r="D9911" t="str">
            <v>STOCK</v>
          </cell>
          <cell r="E9911" t="str">
            <v>سٹاک</v>
          </cell>
        </row>
        <row r="9912">
          <cell r="A9912" t="str">
            <v>1122/1</v>
          </cell>
          <cell r="B9912">
            <v>1122</v>
          </cell>
          <cell r="C9912">
            <v>45906</v>
          </cell>
          <cell r="D9912" t="str">
            <v>STOCK</v>
          </cell>
          <cell r="E9912" t="str">
            <v>سٹاک</v>
          </cell>
        </row>
        <row r="9913">
          <cell r="A9913" t="str">
            <v>1022/1</v>
          </cell>
          <cell r="B9913">
            <v>1022</v>
          </cell>
          <cell r="C9913">
            <v>45906</v>
          </cell>
          <cell r="D9913" t="str">
            <v>STOCK</v>
          </cell>
          <cell r="E9913" t="str">
            <v>سٹاک</v>
          </cell>
        </row>
        <row r="9914">
          <cell r="A9914" t="str">
            <v>1418/2</v>
          </cell>
          <cell r="B9914">
            <v>1418</v>
          </cell>
          <cell r="C9914">
            <v>45906</v>
          </cell>
          <cell r="D9914" t="str">
            <v>STOCK</v>
          </cell>
          <cell r="E9914" t="str">
            <v>سٹاک</v>
          </cell>
        </row>
        <row r="9915">
          <cell r="A9915" t="str">
            <v>1422/1</v>
          </cell>
          <cell r="B9915">
            <v>1422</v>
          </cell>
          <cell r="C9915">
            <v>45906</v>
          </cell>
          <cell r="D9915" t="str">
            <v>STOCK</v>
          </cell>
          <cell r="E9915" t="str">
            <v>سٹاک</v>
          </cell>
        </row>
        <row r="9916">
          <cell r="A9916" t="str">
            <v>1416/1</v>
          </cell>
          <cell r="B9916">
            <v>1416</v>
          </cell>
          <cell r="C9916">
            <v>45906</v>
          </cell>
          <cell r="D9916" t="str">
            <v>STOCK</v>
          </cell>
          <cell r="E9916" t="str">
            <v>سٹاک</v>
          </cell>
        </row>
        <row r="9917">
          <cell r="A9917" t="str">
            <v>1426/1</v>
          </cell>
          <cell r="B9917">
            <v>1426</v>
          </cell>
          <cell r="C9917">
            <v>45906</v>
          </cell>
          <cell r="D9917" t="str">
            <v>STOCK</v>
          </cell>
          <cell r="E9917" t="str">
            <v>سٹاک</v>
          </cell>
        </row>
        <row r="9918">
          <cell r="A9918" t="str">
            <v>1116/2</v>
          </cell>
          <cell r="B9918">
            <v>1116</v>
          </cell>
          <cell r="C9918">
            <v>45906</v>
          </cell>
          <cell r="D9918" t="str">
            <v>STOCK</v>
          </cell>
          <cell r="E9918" t="str">
            <v>سٹاک</v>
          </cell>
        </row>
        <row r="9919">
          <cell r="A9919" t="str">
            <v>1118/2</v>
          </cell>
          <cell r="B9919">
            <v>1118</v>
          </cell>
          <cell r="C9919">
            <v>45906</v>
          </cell>
          <cell r="D9919" t="str">
            <v>STOCK</v>
          </cell>
          <cell r="E9919" t="str">
            <v>سٹاک</v>
          </cell>
        </row>
        <row r="9920">
          <cell r="A9920" t="str">
            <v>1316/1</v>
          </cell>
          <cell r="B9920">
            <v>1316</v>
          </cell>
          <cell r="C9920">
            <v>45906</v>
          </cell>
          <cell r="D9920" t="str">
            <v>STOCK</v>
          </cell>
          <cell r="E9920" t="str">
            <v>سٹاک</v>
          </cell>
        </row>
        <row r="9921">
          <cell r="A9921" t="str">
            <v>818/1</v>
          </cell>
          <cell r="B9921">
            <v>818</v>
          </cell>
          <cell r="C9921">
            <v>45906</v>
          </cell>
          <cell r="D9921" t="str">
            <v>STOCK</v>
          </cell>
          <cell r="E9921" t="str">
            <v>سٹاک</v>
          </cell>
        </row>
        <row r="9922">
          <cell r="A9922" t="str">
            <v>1018/2</v>
          </cell>
          <cell r="B9922">
            <v>1018</v>
          </cell>
          <cell r="C9922">
            <v>45906</v>
          </cell>
          <cell r="D9922" t="str">
            <v>STOCK</v>
          </cell>
          <cell r="E9922" t="str">
            <v>سٹاک</v>
          </cell>
        </row>
        <row r="9923">
          <cell r="A9923" t="str">
            <v>1020/1</v>
          </cell>
          <cell r="B9923">
            <v>1020</v>
          </cell>
          <cell r="C9923">
            <v>45906</v>
          </cell>
          <cell r="D9923" t="str">
            <v>STOCK</v>
          </cell>
          <cell r="E9923" t="str">
            <v>سٹاک</v>
          </cell>
        </row>
        <row r="9924">
          <cell r="A9924" t="str">
            <v>720/1</v>
          </cell>
          <cell r="B9924">
            <v>720</v>
          </cell>
          <cell r="C9924">
            <v>45906</v>
          </cell>
          <cell r="D9924" t="str">
            <v>STOCK</v>
          </cell>
          <cell r="E9924" t="str">
            <v>سٹاک</v>
          </cell>
        </row>
        <row r="9925">
          <cell r="A9925" t="str">
            <v>2030/1</v>
          </cell>
          <cell r="B9925">
            <v>2030</v>
          </cell>
          <cell r="C9925">
            <v>45906</v>
          </cell>
          <cell r="D9925" t="str">
            <v>STOCK</v>
          </cell>
          <cell r="E9925" t="str">
            <v>سٹاک</v>
          </cell>
        </row>
        <row r="9926">
          <cell r="A9926" t="str">
            <v>711/2</v>
          </cell>
          <cell r="B9926">
            <v>711</v>
          </cell>
          <cell r="C9926">
            <v>45906</v>
          </cell>
          <cell r="D9926" t="str">
            <v>STOCK</v>
          </cell>
          <cell r="E9926" t="str">
            <v>سٹاک</v>
          </cell>
        </row>
        <row r="9927">
          <cell r="A9927" t="str">
            <v>812/3</v>
          </cell>
          <cell r="B9927">
            <v>812</v>
          </cell>
          <cell r="C9927">
            <v>45906</v>
          </cell>
          <cell r="D9927" t="str">
            <v>STOCK</v>
          </cell>
          <cell r="E9927" t="str">
            <v>سٹاک</v>
          </cell>
        </row>
        <row r="9928">
          <cell r="A9928" t="str">
            <v>810/2</v>
          </cell>
          <cell r="B9928">
            <v>810</v>
          </cell>
          <cell r="C9928">
            <v>45906</v>
          </cell>
          <cell r="D9928" t="str">
            <v>STOCK</v>
          </cell>
          <cell r="E9928" t="str">
            <v>سٹاک</v>
          </cell>
        </row>
        <row r="9929">
          <cell r="A9929" t="str">
            <v>814/2</v>
          </cell>
          <cell r="B9929">
            <v>814</v>
          </cell>
          <cell r="C9929">
            <v>45906</v>
          </cell>
          <cell r="D9929" t="str">
            <v>STOCK</v>
          </cell>
          <cell r="E9929" t="str">
            <v>سٹاک</v>
          </cell>
        </row>
        <row r="9930">
          <cell r="A9930" t="str">
            <v>7/3</v>
          </cell>
          <cell r="B9930">
            <v>7</v>
          </cell>
          <cell r="C9930">
            <v>45906</v>
          </cell>
          <cell r="D9930" t="str">
            <v>STOCK</v>
          </cell>
          <cell r="E9930" t="str">
            <v>سٹاک</v>
          </cell>
        </row>
        <row r="9931">
          <cell r="A9931" t="str">
            <v>10/3</v>
          </cell>
          <cell r="B9931">
            <v>10</v>
          </cell>
          <cell r="C9931">
            <v>45906</v>
          </cell>
          <cell r="D9931" t="str">
            <v>STOCK</v>
          </cell>
          <cell r="E9931" t="str">
            <v>سٹاک</v>
          </cell>
        </row>
        <row r="9932">
          <cell r="A9932" t="str">
            <v>14/2</v>
          </cell>
          <cell r="B9932">
            <v>14</v>
          </cell>
          <cell r="C9932">
            <v>45906</v>
          </cell>
          <cell r="D9932" t="str">
            <v>STOCK</v>
          </cell>
          <cell r="E9932" t="str">
            <v>سٹاک</v>
          </cell>
        </row>
        <row r="9933">
          <cell r="A9933"/>
          <cell r="B9933"/>
          <cell r="C9933"/>
          <cell r="D9933"/>
          <cell r="E9933"/>
        </row>
        <row r="9934">
          <cell r="A9934"/>
          <cell r="B9934"/>
          <cell r="C9934"/>
          <cell r="D9934"/>
          <cell r="E9934"/>
        </row>
        <row r="9935">
          <cell r="A9935" t="str">
            <v>2787/1</v>
          </cell>
          <cell r="B9935"/>
          <cell r="C9935"/>
          <cell r="D9935"/>
          <cell r="E9935"/>
        </row>
        <row r="9936">
          <cell r="A9936" t="str">
            <v>7258/4</v>
          </cell>
          <cell r="B9936"/>
          <cell r="C9936"/>
          <cell r="D9936"/>
          <cell r="E9936"/>
        </row>
        <row r="9937">
          <cell r="A9937" t="str">
            <v>2126 F</v>
          </cell>
          <cell r="B9937"/>
          <cell r="C9937"/>
          <cell r="D9937"/>
          <cell r="E9937"/>
        </row>
        <row r="9938">
          <cell r="A9938" t="str">
            <v>4155 J</v>
          </cell>
          <cell r="B9938"/>
          <cell r="C9938"/>
          <cell r="D9938"/>
          <cell r="E9938"/>
        </row>
        <row r="9939">
          <cell r="A9939" t="str">
            <v>260 R</v>
          </cell>
          <cell r="B9939"/>
          <cell r="C9939"/>
          <cell r="D9939"/>
          <cell r="E9939"/>
        </row>
        <row r="9940">
          <cell r="A9940"/>
          <cell r="B9940"/>
          <cell r="C9940"/>
          <cell r="D9940"/>
          <cell r="E9940"/>
        </row>
        <row r="9941">
          <cell r="A9941"/>
          <cell r="B9941"/>
          <cell r="C9941"/>
          <cell r="D9941"/>
          <cell r="E9941"/>
        </row>
        <row r="9942">
          <cell r="A9942"/>
          <cell r="B9942"/>
          <cell r="C9942"/>
          <cell r="D9942"/>
          <cell r="E9942"/>
        </row>
        <row r="9943">
          <cell r="A9943"/>
          <cell r="B9943"/>
          <cell r="C9943"/>
          <cell r="D9943"/>
          <cell r="E9943"/>
        </row>
        <row r="9944">
          <cell r="A9944"/>
          <cell r="B9944"/>
          <cell r="C9944"/>
          <cell r="D9944"/>
          <cell r="E9944"/>
        </row>
        <row r="9945">
          <cell r="A9945"/>
          <cell r="B9945"/>
          <cell r="C9945"/>
          <cell r="D9945"/>
          <cell r="E9945"/>
        </row>
        <row r="9946">
          <cell r="A9946"/>
          <cell r="B9946"/>
          <cell r="C9946"/>
          <cell r="D9946"/>
          <cell r="E9946"/>
        </row>
        <row r="9947">
          <cell r="A9947"/>
          <cell r="B9947"/>
          <cell r="C9947"/>
          <cell r="D9947"/>
          <cell r="E9947"/>
        </row>
        <row r="9948">
          <cell r="A9948"/>
          <cell r="B9948"/>
          <cell r="C9948"/>
          <cell r="D9948"/>
          <cell r="E9948"/>
        </row>
        <row r="9949">
          <cell r="A9949"/>
          <cell r="B9949"/>
          <cell r="C9949"/>
          <cell r="D9949"/>
          <cell r="E9949"/>
        </row>
        <row r="9950">
          <cell r="A9950"/>
          <cell r="B9950"/>
          <cell r="C9950"/>
          <cell r="D9950"/>
          <cell r="E9950"/>
        </row>
        <row r="9951">
          <cell r="A9951"/>
          <cell r="B9951"/>
          <cell r="C9951"/>
          <cell r="D9951"/>
          <cell r="E9951"/>
        </row>
        <row r="9952">
          <cell r="A9952"/>
          <cell r="B9952"/>
          <cell r="C9952"/>
          <cell r="D9952"/>
          <cell r="E9952"/>
        </row>
        <row r="9953">
          <cell r="A9953"/>
          <cell r="B9953"/>
          <cell r="C9953"/>
          <cell r="D9953"/>
          <cell r="E9953"/>
        </row>
        <row r="9954">
          <cell r="A9954"/>
          <cell r="B9954"/>
          <cell r="C9954"/>
          <cell r="D9954"/>
          <cell r="E9954"/>
        </row>
        <row r="9955">
          <cell r="A9955"/>
          <cell r="B9955"/>
          <cell r="C9955"/>
          <cell r="D9955"/>
          <cell r="E9955"/>
        </row>
        <row r="9956">
          <cell r="A9956"/>
          <cell r="B9956"/>
          <cell r="C9956"/>
          <cell r="D9956"/>
          <cell r="E9956"/>
        </row>
        <row r="9957">
          <cell r="A9957"/>
          <cell r="B9957"/>
          <cell r="C9957"/>
          <cell r="D9957"/>
          <cell r="E9957"/>
        </row>
        <row r="9958">
          <cell r="A9958"/>
          <cell r="B9958"/>
          <cell r="C9958"/>
          <cell r="D9958"/>
          <cell r="E9958"/>
        </row>
        <row r="9959">
          <cell r="A9959"/>
          <cell r="B9959"/>
          <cell r="C9959"/>
          <cell r="D9959"/>
          <cell r="E9959"/>
        </row>
        <row r="9960">
          <cell r="A9960"/>
          <cell r="B9960"/>
          <cell r="C9960"/>
          <cell r="D9960"/>
          <cell r="E9960"/>
        </row>
        <row r="9961">
          <cell r="A9961"/>
          <cell r="B9961"/>
          <cell r="C9961"/>
          <cell r="D9961"/>
          <cell r="E9961"/>
        </row>
        <row r="9962">
          <cell r="A9962"/>
          <cell r="B9962"/>
          <cell r="C9962"/>
          <cell r="D9962"/>
          <cell r="E9962"/>
        </row>
        <row r="9963">
          <cell r="A9963"/>
          <cell r="B9963"/>
          <cell r="C9963"/>
          <cell r="D9963"/>
          <cell r="E9963"/>
        </row>
        <row r="9964">
          <cell r="A9964"/>
          <cell r="B9964"/>
          <cell r="C9964"/>
          <cell r="D9964"/>
          <cell r="E9964"/>
        </row>
        <row r="9965">
          <cell r="A9965"/>
          <cell r="B9965"/>
          <cell r="C9965"/>
          <cell r="D9965"/>
          <cell r="E9965"/>
        </row>
        <row r="9966">
          <cell r="A9966"/>
          <cell r="B9966"/>
          <cell r="C9966"/>
          <cell r="D9966"/>
          <cell r="E9966"/>
        </row>
        <row r="9967">
          <cell r="A9967"/>
          <cell r="B9967"/>
          <cell r="C9967"/>
          <cell r="D9967"/>
          <cell r="E9967"/>
        </row>
        <row r="9968">
          <cell r="A9968"/>
          <cell r="B9968"/>
          <cell r="C9968"/>
          <cell r="D9968"/>
          <cell r="E9968"/>
        </row>
        <row r="9969">
          <cell r="A9969"/>
          <cell r="B9969"/>
          <cell r="C9969"/>
          <cell r="D9969"/>
          <cell r="E9969"/>
        </row>
        <row r="9970">
          <cell r="A9970"/>
          <cell r="B9970"/>
          <cell r="C9970"/>
          <cell r="D9970"/>
          <cell r="E9970"/>
        </row>
        <row r="9971">
          <cell r="A9971"/>
          <cell r="B9971"/>
          <cell r="C9971"/>
          <cell r="D9971"/>
          <cell r="E9971"/>
        </row>
        <row r="9972">
          <cell r="A9972"/>
          <cell r="B9972"/>
          <cell r="C9972"/>
          <cell r="D9972"/>
          <cell r="E9972"/>
        </row>
        <row r="9973">
          <cell r="A9973"/>
          <cell r="B9973"/>
          <cell r="C9973"/>
          <cell r="D9973"/>
          <cell r="E9973"/>
        </row>
        <row r="9974">
          <cell r="A9974"/>
          <cell r="B9974"/>
          <cell r="C9974"/>
          <cell r="D9974"/>
          <cell r="E9974"/>
        </row>
        <row r="9975">
          <cell r="A9975"/>
          <cell r="B9975"/>
          <cell r="C9975"/>
          <cell r="D9975"/>
          <cell r="E9975"/>
        </row>
        <row r="9976">
          <cell r="A9976"/>
          <cell r="B9976"/>
          <cell r="C9976"/>
          <cell r="D9976"/>
          <cell r="E9976"/>
        </row>
        <row r="9977">
          <cell r="A9977"/>
          <cell r="B9977"/>
          <cell r="C9977"/>
          <cell r="D9977"/>
          <cell r="E9977"/>
        </row>
        <row r="9978">
          <cell r="A9978"/>
          <cell r="B9978"/>
          <cell r="C9978"/>
          <cell r="D9978"/>
          <cell r="E9978"/>
        </row>
        <row r="9979">
          <cell r="A9979"/>
          <cell r="B9979"/>
          <cell r="C9979"/>
          <cell r="D9979"/>
          <cell r="E9979"/>
        </row>
        <row r="9980">
          <cell r="A9980"/>
          <cell r="B9980"/>
          <cell r="C9980"/>
          <cell r="D9980"/>
          <cell r="E9980"/>
        </row>
        <row r="9981">
          <cell r="A9981"/>
          <cell r="B9981"/>
          <cell r="C9981"/>
          <cell r="D9981"/>
          <cell r="E9981"/>
        </row>
        <row r="9982">
          <cell r="A9982"/>
          <cell r="B9982"/>
          <cell r="C9982"/>
          <cell r="D9982"/>
          <cell r="E9982"/>
        </row>
        <row r="9983">
          <cell r="A9983"/>
          <cell r="B9983"/>
          <cell r="C9983"/>
          <cell r="D9983"/>
          <cell r="E9983"/>
        </row>
        <row r="9984">
          <cell r="A9984"/>
          <cell r="B9984"/>
          <cell r="C9984"/>
          <cell r="D9984"/>
          <cell r="E9984"/>
        </row>
        <row r="9985">
          <cell r="A9985"/>
          <cell r="B9985"/>
          <cell r="C9985"/>
          <cell r="D9985"/>
          <cell r="E9985"/>
        </row>
        <row r="9986">
          <cell r="A9986"/>
          <cell r="B9986"/>
          <cell r="C9986"/>
          <cell r="D9986"/>
          <cell r="E9986"/>
        </row>
        <row r="9987">
          <cell r="A9987"/>
          <cell r="B9987"/>
          <cell r="C9987"/>
          <cell r="D9987"/>
          <cell r="E9987"/>
        </row>
        <row r="9988">
          <cell r="A9988"/>
          <cell r="B9988"/>
          <cell r="C9988"/>
          <cell r="D9988"/>
          <cell r="E9988"/>
        </row>
        <row r="9989">
          <cell r="A9989"/>
          <cell r="B9989"/>
          <cell r="C9989"/>
          <cell r="D9989"/>
          <cell r="E9989"/>
        </row>
        <row r="9990">
          <cell r="A9990"/>
          <cell r="B9990"/>
          <cell r="C9990"/>
          <cell r="D9990"/>
          <cell r="E9990"/>
        </row>
        <row r="9991">
          <cell r="A9991"/>
          <cell r="B9991"/>
          <cell r="C9991"/>
          <cell r="D9991"/>
          <cell r="E9991"/>
        </row>
        <row r="9992">
          <cell r="A9992"/>
          <cell r="B9992"/>
          <cell r="C9992"/>
          <cell r="D9992"/>
          <cell r="E9992"/>
        </row>
        <row r="9993">
          <cell r="A9993"/>
          <cell r="B9993"/>
          <cell r="C9993"/>
          <cell r="D9993"/>
          <cell r="E9993"/>
        </row>
        <row r="9994">
          <cell r="A9994"/>
          <cell r="B9994"/>
          <cell r="C9994"/>
          <cell r="D9994"/>
          <cell r="E9994"/>
        </row>
        <row r="9995">
          <cell r="A9995"/>
          <cell r="B9995"/>
          <cell r="C9995"/>
          <cell r="D9995"/>
          <cell r="E9995"/>
        </row>
        <row r="9996">
          <cell r="A9996"/>
          <cell r="B9996"/>
          <cell r="C9996"/>
          <cell r="D9996"/>
          <cell r="E9996"/>
        </row>
        <row r="9997">
          <cell r="A9997"/>
          <cell r="B9997"/>
          <cell r="C9997"/>
          <cell r="D9997"/>
          <cell r="E9997"/>
        </row>
        <row r="9998">
          <cell r="A9998"/>
          <cell r="B9998"/>
          <cell r="C9998"/>
          <cell r="D9998"/>
          <cell r="E9998"/>
        </row>
        <row r="9999">
          <cell r="A9999"/>
          <cell r="B9999"/>
          <cell r="C9999"/>
          <cell r="D9999"/>
          <cell r="E9999"/>
        </row>
        <row r="10000">
          <cell r="A10000"/>
          <cell r="B10000"/>
          <cell r="C10000"/>
          <cell r="D10000"/>
          <cell r="E10000"/>
        </row>
        <row r="10001">
          <cell r="A10001"/>
          <cell r="B10001"/>
          <cell r="C10001"/>
          <cell r="D10001"/>
          <cell r="E10001"/>
        </row>
        <row r="10002">
          <cell r="A10002"/>
          <cell r="B10002"/>
          <cell r="C10002"/>
          <cell r="D10002"/>
          <cell r="E10002"/>
        </row>
        <row r="10003">
          <cell r="A10003"/>
          <cell r="B10003"/>
          <cell r="C10003"/>
          <cell r="D10003"/>
          <cell r="E10003"/>
        </row>
        <row r="10004">
          <cell r="A10004"/>
          <cell r="B10004"/>
          <cell r="C10004"/>
          <cell r="D10004"/>
          <cell r="E10004"/>
        </row>
        <row r="10005">
          <cell r="A10005"/>
          <cell r="B10005"/>
          <cell r="C10005"/>
          <cell r="D10005"/>
          <cell r="E10005"/>
        </row>
        <row r="10006">
          <cell r="A10006"/>
          <cell r="B10006"/>
          <cell r="C10006"/>
          <cell r="D10006"/>
          <cell r="E10006"/>
        </row>
        <row r="10007">
          <cell r="A10007"/>
          <cell r="B10007"/>
          <cell r="C10007"/>
          <cell r="D10007"/>
          <cell r="E10007"/>
        </row>
        <row r="10008">
          <cell r="A10008"/>
          <cell r="B10008"/>
          <cell r="C10008"/>
          <cell r="D10008"/>
          <cell r="E10008"/>
        </row>
        <row r="10009">
          <cell r="A10009"/>
          <cell r="B10009"/>
          <cell r="C10009"/>
          <cell r="D10009"/>
          <cell r="E10009"/>
        </row>
        <row r="10010">
          <cell r="A10010"/>
          <cell r="B10010"/>
          <cell r="C10010"/>
          <cell r="D10010"/>
          <cell r="E10010"/>
        </row>
        <row r="10011">
          <cell r="A10011"/>
          <cell r="B10011"/>
          <cell r="C10011"/>
          <cell r="D10011"/>
          <cell r="E10011"/>
        </row>
        <row r="10012">
          <cell r="A10012"/>
          <cell r="B10012"/>
          <cell r="C10012"/>
          <cell r="D10012"/>
          <cell r="E10012"/>
        </row>
        <row r="10013">
          <cell r="A10013"/>
          <cell r="B10013"/>
          <cell r="C10013"/>
          <cell r="D10013"/>
          <cell r="E10013"/>
        </row>
        <row r="10014">
          <cell r="A10014"/>
          <cell r="B10014"/>
          <cell r="C10014"/>
          <cell r="D10014"/>
          <cell r="E10014"/>
        </row>
        <row r="10015">
          <cell r="A10015"/>
          <cell r="B10015"/>
          <cell r="C10015"/>
          <cell r="D10015"/>
          <cell r="E10015"/>
        </row>
        <row r="10016">
          <cell r="A10016"/>
          <cell r="B10016"/>
          <cell r="C10016"/>
          <cell r="D10016"/>
          <cell r="E10016"/>
        </row>
        <row r="10017">
          <cell r="A10017"/>
          <cell r="B10017"/>
          <cell r="C10017"/>
          <cell r="D10017"/>
          <cell r="E10017"/>
        </row>
        <row r="10018">
          <cell r="A10018"/>
          <cell r="B10018"/>
          <cell r="C10018"/>
          <cell r="D10018"/>
          <cell r="E10018"/>
        </row>
        <row r="10019">
          <cell r="A10019"/>
          <cell r="B10019"/>
          <cell r="C10019"/>
          <cell r="D10019"/>
          <cell r="E10019"/>
        </row>
        <row r="10020">
          <cell r="A10020"/>
          <cell r="B10020"/>
          <cell r="C10020"/>
          <cell r="D10020"/>
          <cell r="E10020"/>
        </row>
        <row r="10021">
          <cell r="A10021"/>
          <cell r="B10021"/>
          <cell r="C10021"/>
          <cell r="D10021"/>
          <cell r="E10021"/>
        </row>
        <row r="10022">
          <cell r="A10022"/>
          <cell r="B10022"/>
          <cell r="C10022"/>
          <cell r="D10022"/>
          <cell r="E10022"/>
        </row>
        <row r="10023">
          <cell r="A10023"/>
          <cell r="B10023"/>
          <cell r="C10023"/>
          <cell r="D10023"/>
          <cell r="E10023"/>
        </row>
        <row r="10024">
          <cell r="A10024"/>
          <cell r="B10024"/>
          <cell r="C10024"/>
          <cell r="D10024"/>
          <cell r="E10024"/>
        </row>
        <row r="10025">
          <cell r="A10025"/>
          <cell r="B10025"/>
          <cell r="C10025"/>
          <cell r="D10025"/>
          <cell r="E10025"/>
        </row>
        <row r="10026">
          <cell r="A10026"/>
          <cell r="B10026"/>
          <cell r="C10026"/>
          <cell r="D10026"/>
          <cell r="E10026"/>
        </row>
        <row r="10027">
          <cell r="A10027"/>
          <cell r="B10027"/>
          <cell r="C10027"/>
          <cell r="D10027"/>
          <cell r="E10027"/>
        </row>
        <row r="10028">
          <cell r="A10028"/>
          <cell r="B10028"/>
          <cell r="C10028"/>
          <cell r="D10028"/>
          <cell r="E10028"/>
        </row>
        <row r="10029">
          <cell r="A10029"/>
          <cell r="B10029"/>
          <cell r="C10029"/>
          <cell r="D10029"/>
          <cell r="E10029"/>
        </row>
        <row r="10030">
          <cell r="A10030"/>
          <cell r="B10030"/>
          <cell r="C10030"/>
          <cell r="D10030"/>
          <cell r="E10030"/>
        </row>
        <row r="10031">
          <cell r="A10031"/>
          <cell r="B10031"/>
          <cell r="C10031"/>
          <cell r="D10031"/>
          <cell r="E10031"/>
        </row>
        <row r="10032">
          <cell r="A10032"/>
          <cell r="B10032"/>
          <cell r="C10032"/>
          <cell r="D10032"/>
          <cell r="E10032"/>
        </row>
        <row r="10033">
          <cell r="A10033"/>
          <cell r="B10033"/>
          <cell r="C10033"/>
          <cell r="D10033"/>
          <cell r="E10033"/>
        </row>
        <row r="10034">
          <cell r="A10034"/>
          <cell r="B10034"/>
          <cell r="C10034"/>
          <cell r="D10034"/>
          <cell r="E10034"/>
        </row>
        <row r="10035">
          <cell r="A10035"/>
          <cell r="B10035"/>
          <cell r="C10035"/>
          <cell r="D10035"/>
          <cell r="E10035"/>
        </row>
        <row r="10036">
          <cell r="A10036"/>
          <cell r="B10036"/>
          <cell r="C10036"/>
          <cell r="D10036"/>
          <cell r="E10036"/>
        </row>
        <row r="10037">
          <cell r="A10037"/>
          <cell r="B10037"/>
          <cell r="C10037"/>
          <cell r="D10037"/>
          <cell r="E10037"/>
        </row>
        <row r="10038">
          <cell r="A10038"/>
          <cell r="B10038"/>
          <cell r="C10038"/>
          <cell r="D10038"/>
          <cell r="E10038"/>
        </row>
        <row r="10039">
          <cell r="A10039"/>
          <cell r="B10039"/>
          <cell r="C10039"/>
          <cell r="D10039"/>
          <cell r="E10039"/>
        </row>
        <row r="10040">
          <cell r="A10040"/>
          <cell r="B10040"/>
          <cell r="C10040"/>
          <cell r="D10040"/>
          <cell r="E10040"/>
        </row>
        <row r="10041">
          <cell r="A10041"/>
          <cell r="B10041"/>
          <cell r="C10041"/>
          <cell r="D10041"/>
          <cell r="E10041"/>
        </row>
        <row r="10042">
          <cell r="A10042"/>
          <cell r="B10042"/>
          <cell r="C10042"/>
          <cell r="D10042"/>
          <cell r="E10042"/>
        </row>
        <row r="10043">
          <cell r="A10043"/>
          <cell r="B10043"/>
          <cell r="C10043"/>
          <cell r="D10043"/>
          <cell r="E10043"/>
        </row>
        <row r="10044">
          <cell r="A10044"/>
          <cell r="B10044"/>
          <cell r="C10044"/>
          <cell r="D10044"/>
          <cell r="E10044"/>
        </row>
        <row r="10045">
          <cell r="A10045"/>
          <cell r="B10045"/>
          <cell r="C10045"/>
          <cell r="D10045"/>
          <cell r="E10045"/>
        </row>
        <row r="10046">
          <cell r="A10046"/>
          <cell r="B10046"/>
          <cell r="C10046"/>
          <cell r="D10046"/>
          <cell r="E10046"/>
        </row>
        <row r="10047">
          <cell r="A10047"/>
          <cell r="B10047"/>
          <cell r="C10047"/>
          <cell r="D10047"/>
          <cell r="E10047"/>
        </row>
        <row r="10048">
          <cell r="A10048"/>
          <cell r="B10048"/>
          <cell r="C10048"/>
          <cell r="D10048"/>
          <cell r="E10048"/>
        </row>
        <row r="10049">
          <cell r="A10049"/>
          <cell r="B10049"/>
          <cell r="C10049"/>
          <cell r="D10049"/>
          <cell r="E10049"/>
        </row>
        <row r="10050">
          <cell r="A10050"/>
          <cell r="B10050"/>
          <cell r="C10050"/>
          <cell r="D10050"/>
          <cell r="E10050"/>
        </row>
        <row r="10051">
          <cell r="A10051"/>
          <cell r="B10051"/>
          <cell r="C10051"/>
          <cell r="D10051"/>
          <cell r="E10051"/>
        </row>
        <row r="10052">
          <cell r="A10052"/>
          <cell r="B10052"/>
          <cell r="C10052"/>
          <cell r="D10052"/>
          <cell r="E10052"/>
        </row>
        <row r="10053">
          <cell r="A10053"/>
          <cell r="B10053"/>
          <cell r="C10053"/>
          <cell r="D10053"/>
          <cell r="E10053"/>
        </row>
        <row r="10054">
          <cell r="A10054"/>
          <cell r="B10054"/>
          <cell r="C10054"/>
          <cell r="D10054"/>
          <cell r="E10054"/>
        </row>
        <row r="10055">
          <cell r="A10055"/>
          <cell r="B10055"/>
          <cell r="C10055"/>
          <cell r="D10055"/>
          <cell r="E10055"/>
        </row>
        <row r="10056">
          <cell r="A10056"/>
          <cell r="B10056"/>
          <cell r="C10056"/>
          <cell r="D10056"/>
          <cell r="E10056"/>
        </row>
        <row r="10057">
          <cell r="A10057"/>
          <cell r="B10057"/>
          <cell r="C10057"/>
          <cell r="D10057"/>
          <cell r="E10057"/>
        </row>
        <row r="10058">
          <cell r="A10058"/>
          <cell r="B10058"/>
          <cell r="C10058"/>
          <cell r="D10058"/>
          <cell r="E10058"/>
        </row>
        <row r="10059">
          <cell r="A10059"/>
          <cell r="B10059"/>
          <cell r="C10059"/>
          <cell r="D10059"/>
          <cell r="E10059"/>
        </row>
        <row r="10060">
          <cell r="A10060"/>
          <cell r="B10060"/>
          <cell r="C10060"/>
          <cell r="D10060"/>
          <cell r="E10060"/>
        </row>
        <row r="10061">
          <cell r="A10061"/>
          <cell r="B10061"/>
          <cell r="C10061"/>
          <cell r="D10061"/>
          <cell r="E10061"/>
        </row>
        <row r="10062">
          <cell r="A10062"/>
          <cell r="B10062"/>
          <cell r="C10062"/>
          <cell r="D10062"/>
          <cell r="E10062"/>
        </row>
        <row r="10063">
          <cell r="A10063"/>
          <cell r="B10063"/>
          <cell r="C10063"/>
          <cell r="D10063"/>
          <cell r="E10063"/>
        </row>
        <row r="10064">
          <cell r="A10064"/>
          <cell r="B10064"/>
          <cell r="C10064"/>
          <cell r="D10064"/>
          <cell r="E10064"/>
        </row>
        <row r="10065">
          <cell r="A10065"/>
          <cell r="B10065"/>
          <cell r="C10065"/>
          <cell r="D10065"/>
          <cell r="E10065"/>
        </row>
        <row r="10066">
          <cell r="A10066"/>
          <cell r="B10066"/>
          <cell r="C10066"/>
          <cell r="D10066"/>
          <cell r="E10066"/>
        </row>
        <row r="10067">
          <cell r="A10067"/>
          <cell r="B10067"/>
          <cell r="C10067"/>
          <cell r="D10067"/>
          <cell r="E10067"/>
        </row>
        <row r="10068">
          <cell r="A10068"/>
          <cell r="B10068"/>
          <cell r="C10068"/>
          <cell r="D10068"/>
          <cell r="E10068"/>
        </row>
        <row r="10069">
          <cell r="A10069"/>
          <cell r="B10069"/>
          <cell r="C10069"/>
          <cell r="D10069"/>
          <cell r="E10069"/>
        </row>
        <row r="10070">
          <cell r="A10070"/>
          <cell r="B10070"/>
          <cell r="C10070"/>
          <cell r="D10070"/>
          <cell r="E10070"/>
        </row>
        <row r="10071">
          <cell r="A10071"/>
          <cell r="B10071"/>
          <cell r="C10071"/>
          <cell r="D10071"/>
          <cell r="E10071"/>
        </row>
        <row r="10072">
          <cell r="A10072"/>
          <cell r="B10072"/>
          <cell r="C10072"/>
          <cell r="D10072"/>
          <cell r="E10072"/>
        </row>
        <row r="10073">
          <cell r="A10073"/>
          <cell r="B10073"/>
          <cell r="C10073"/>
          <cell r="D10073"/>
          <cell r="E10073"/>
        </row>
        <row r="10074">
          <cell r="A10074"/>
          <cell r="B10074"/>
          <cell r="C10074"/>
          <cell r="D10074"/>
          <cell r="E10074"/>
        </row>
        <row r="10075">
          <cell r="A10075"/>
          <cell r="B10075"/>
          <cell r="C10075"/>
          <cell r="D10075"/>
          <cell r="E10075"/>
        </row>
        <row r="10076">
          <cell r="A10076"/>
          <cell r="B10076"/>
          <cell r="C10076"/>
          <cell r="D10076"/>
          <cell r="E10076"/>
        </row>
        <row r="10077">
          <cell r="A10077"/>
          <cell r="B10077"/>
          <cell r="C10077"/>
          <cell r="D10077"/>
          <cell r="E10077"/>
        </row>
        <row r="10078">
          <cell r="A10078"/>
          <cell r="B10078"/>
          <cell r="C10078"/>
          <cell r="D10078"/>
          <cell r="E10078"/>
        </row>
        <row r="10079">
          <cell r="A10079"/>
          <cell r="B10079"/>
          <cell r="C10079"/>
          <cell r="D10079"/>
          <cell r="E10079"/>
        </row>
        <row r="10080">
          <cell r="A10080"/>
          <cell r="B10080"/>
          <cell r="C10080"/>
          <cell r="D10080"/>
          <cell r="E10080"/>
        </row>
        <row r="10081">
          <cell r="A10081"/>
          <cell r="B10081"/>
          <cell r="C10081"/>
          <cell r="D10081"/>
          <cell r="E10081"/>
        </row>
        <row r="10082">
          <cell r="A10082"/>
          <cell r="B10082"/>
          <cell r="C10082"/>
          <cell r="D10082"/>
          <cell r="E10082"/>
        </row>
        <row r="10083">
          <cell r="A10083"/>
          <cell r="B10083"/>
          <cell r="C10083"/>
          <cell r="D10083"/>
          <cell r="E10083"/>
        </row>
        <row r="10084">
          <cell r="A10084"/>
          <cell r="B10084"/>
          <cell r="C10084"/>
          <cell r="D10084"/>
          <cell r="E10084"/>
        </row>
        <row r="10085">
          <cell r="A10085"/>
          <cell r="B10085"/>
          <cell r="C10085"/>
          <cell r="D10085"/>
          <cell r="E10085"/>
        </row>
        <row r="10086">
          <cell r="A10086"/>
          <cell r="B10086"/>
          <cell r="C10086"/>
          <cell r="D10086"/>
          <cell r="E10086"/>
        </row>
        <row r="10087">
          <cell r="A10087"/>
          <cell r="B10087"/>
          <cell r="C10087"/>
          <cell r="D10087"/>
          <cell r="E10087"/>
        </row>
        <row r="10088">
          <cell r="A10088"/>
          <cell r="B10088"/>
          <cell r="C10088"/>
          <cell r="D10088"/>
          <cell r="E10088"/>
        </row>
        <row r="10089">
          <cell r="A10089"/>
          <cell r="B10089"/>
          <cell r="C10089"/>
          <cell r="D10089"/>
          <cell r="E10089"/>
        </row>
        <row r="10090">
          <cell r="A10090"/>
          <cell r="B10090"/>
          <cell r="C10090"/>
          <cell r="D10090"/>
          <cell r="E10090"/>
        </row>
        <row r="10091">
          <cell r="A10091"/>
          <cell r="B10091"/>
          <cell r="C10091"/>
          <cell r="D10091"/>
          <cell r="E10091"/>
        </row>
        <row r="10092">
          <cell r="A10092"/>
          <cell r="B10092"/>
          <cell r="C10092"/>
          <cell r="D10092"/>
          <cell r="E10092"/>
        </row>
        <row r="10093">
          <cell r="A10093"/>
          <cell r="B10093"/>
          <cell r="C10093"/>
          <cell r="D10093"/>
          <cell r="E10093"/>
        </row>
        <row r="10094">
          <cell r="A10094"/>
          <cell r="B10094"/>
          <cell r="C10094"/>
          <cell r="D10094"/>
          <cell r="E10094"/>
        </row>
        <row r="10095">
          <cell r="A10095"/>
          <cell r="B10095"/>
          <cell r="C10095"/>
          <cell r="D10095"/>
          <cell r="E10095"/>
        </row>
        <row r="10096">
          <cell r="A10096"/>
          <cell r="B10096"/>
          <cell r="C10096"/>
          <cell r="D10096"/>
          <cell r="E10096"/>
        </row>
        <row r="10097">
          <cell r="A10097"/>
          <cell r="B10097"/>
          <cell r="C10097"/>
          <cell r="D10097"/>
          <cell r="E10097"/>
        </row>
        <row r="10098">
          <cell r="A10098"/>
          <cell r="B10098"/>
          <cell r="C10098"/>
          <cell r="D10098"/>
          <cell r="E10098"/>
        </row>
        <row r="10099">
          <cell r="A10099"/>
          <cell r="B10099"/>
          <cell r="C10099"/>
          <cell r="D10099"/>
          <cell r="E10099"/>
        </row>
        <row r="10100">
          <cell r="A10100"/>
          <cell r="B10100"/>
          <cell r="C10100"/>
          <cell r="D10100"/>
          <cell r="E10100"/>
        </row>
        <row r="10101">
          <cell r="A10101"/>
          <cell r="B10101"/>
          <cell r="C10101"/>
          <cell r="D10101"/>
          <cell r="E10101"/>
        </row>
        <row r="10102">
          <cell r="A10102"/>
          <cell r="B10102"/>
          <cell r="C10102"/>
          <cell r="D10102"/>
          <cell r="E10102"/>
        </row>
        <row r="10103">
          <cell r="A10103"/>
          <cell r="B10103"/>
          <cell r="C10103"/>
          <cell r="D10103"/>
          <cell r="E10103"/>
        </row>
        <row r="10104">
          <cell r="A10104"/>
          <cell r="B10104"/>
          <cell r="C10104"/>
          <cell r="D10104"/>
          <cell r="E10104"/>
        </row>
        <row r="10105">
          <cell r="A10105"/>
          <cell r="B10105"/>
          <cell r="C10105"/>
          <cell r="D10105"/>
          <cell r="E10105"/>
        </row>
        <row r="10106">
          <cell r="A10106"/>
          <cell r="B10106"/>
          <cell r="C10106"/>
          <cell r="D10106"/>
          <cell r="E10106"/>
        </row>
        <row r="10107">
          <cell r="A10107"/>
          <cell r="B10107"/>
          <cell r="C10107"/>
          <cell r="D10107"/>
          <cell r="E10107"/>
        </row>
        <row r="10108">
          <cell r="A10108"/>
          <cell r="B10108"/>
          <cell r="C10108"/>
          <cell r="D10108"/>
          <cell r="E10108"/>
        </row>
        <row r="10109">
          <cell r="A10109"/>
          <cell r="B10109"/>
          <cell r="C10109"/>
          <cell r="D10109"/>
          <cell r="E10109"/>
        </row>
        <row r="10110">
          <cell r="A10110"/>
          <cell r="B10110"/>
          <cell r="C10110"/>
          <cell r="D10110"/>
          <cell r="E10110"/>
        </row>
        <row r="10111">
          <cell r="A10111"/>
          <cell r="B10111"/>
          <cell r="C10111"/>
          <cell r="D10111"/>
          <cell r="E10111"/>
        </row>
        <row r="10112">
          <cell r="A10112"/>
          <cell r="B10112"/>
          <cell r="C10112"/>
          <cell r="D10112"/>
          <cell r="E10112"/>
        </row>
        <row r="10113">
          <cell r="A10113"/>
          <cell r="B10113"/>
          <cell r="C10113"/>
          <cell r="D10113"/>
          <cell r="E10113"/>
        </row>
        <row r="10114">
          <cell r="A10114"/>
          <cell r="B10114"/>
          <cell r="C10114"/>
          <cell r="D10114"/>
          <cell r="E10114"/>
        </row>
        <row r="10115">
          <cell r="A10115"/>
          <cell r="B10115"/>
          <cell r="C10115"/>
          <cell r="D10115"/>
          <cell r="E10115"/>
        </row>
        <row r="10116">
          <cell r="A10116"/>
          <cell r="B10116"/>
          <cell r="C10116"/>
          <cell r="D10116"/>
          <cell r="E10116"/>
        </row>
        <row r="10117">
          <cell r="A10117"/>
          <cell r="B10117"/>
          <cell r="C10117"/>
          <cell r="D10117"/>
          <cell r="E10117"/>
        </row>
        <row r="10118">
          <cell r="A10118"/>
          <cell r="B10118"/>
          <cell r="C10118"/>
          <cell r="D10118"/>
          <cell r="E10118"/>
        </row>
        <row r="10119">
          <cell r="A10119"/>
          <cell r="B10119"/>
          <cell r="C10119"/>
          <cell r="D10119"/>
          <cell r="E10119"/>
        </row>
        <row r="10120">
          <cell r="A10120"/>
          <cell r="B10120"/>
          <cell r="C10120"/>
          <cell r="D10120"/>
          <cell r="E10120"/>
        </row>
        <row r="10121">
          <cell r="A10121"/>
          <cell r="B10121"/>
          <cell r="C10121"/>
          <cell r="D10121"/>
          <cell r="E10121"/>
        </row>
        <row r="10122">
          <cell r="A10122"/>
          <cell r="B10122"/>
          <cell r="C10122"/>
          <cell r="D10122"/>
          <cell r="E10122"/>
        </row>
        <row r="10123">
          <cell r="A10123"/>
          <cell r="B10123"/>
          <cell r="C10123"/>
          <cell r="D10123"/>
          <cell r="E10123"/>
        </row>
        <row r="10124">
          <cell r="A10124"/>
          <cell r="B10124"/>
          <cell r="C10124"/>
          <cell r="D10124"/>
          <cell r="E10124"/>
        </row>
        <row r="10125">
          <cell r="A10125"/>
          <cell r="B10125"/>
          <cell r="C10125"/>
          <cell r="D10125"/>
          <cell r="E10125"/>
        </row>
        <row r="10126">
          <cell r="A10126"/>
          <cell r="B10126"/>
          <cell r="C10126"/>
          <cell r="D10126"/>
          <cell r="E10126"/>
        </row>
        <row r="10127">
          <cell r="A10127"/>
          <cell r="B10127"/>
          <cell r="C10127"/>
          <cell r="D10127"/>
          <cell r="E10127"/>
        </row>
        <row r="10128">
          <cell r="A10128"/>
          <cell r="B10128"/>
          <cell r="C10128"/>
          <cell r="D10128"/>
          <cell r="E10128"/>
        </row>
        <row r="10129">
          <cell r="A10129"/>
          <cell r="B10129"/>
          <cell r="C10129"/>
          <cell r="D10129"/>
          <cell r="E10129"/>
        </row>
        <row r="10130">
          <cell r="A10130"/>
          <cell r="B10130"/>
          <cell r="C10130"/>
          <cell r="D10130"/>
          <cell r="E10130"/>
        </row>
        <row r="10131">
          <cell r="A10131"/>
          <cell r="B10131"/>
          <cell r="C10131"/>
          <cell r="D10131"/>
          <cell r="E10131"/>
        </row>
        <row r="10132">
          <cell r="A10132"/>
          <cell r="B10132"/>
          <cell r="C10132"/>
          <cell r="D10132"/>
          <cell r="E10132"/>
        </row>
        <row r="10133">
          <cell r="A10133"/>
          <cell r="B10133"/>
          <cell r="C10133"/>
          <cell r="D10133"/>
          <cell r="E10133"/>
        </row>
        <row r="10134">
          <cell r="A10134"/>
          <cell r="B10134"/>
          <cell r="C10134"/>
          <cell r="D10134"/>
          <cell r="E10134"/>
        </row>
        <row r="10135">
          <cell r="A10135"/>
          <cell r="B10135"/>
          <cell r="C10135"/>
          <cell r="D10135"/>
          <cell r="E10135"/>
        </row>
        <row r="10136">
          <cell r="A10136"/>
          <cell r="B10136"/>
          <cell r="C10136"/>
          <cell r="D10136"/>
          <cell r="E10136"/>
        </row>
        <row r="10137">
          <cell r="A10137"/>
          <cell r="B10137"/>
          <cell r="C10137"/>
          <cell r="D10137"/>
          <cell r="E10137"/>
        </row>
        <row r="10138">
          <cell r="A10138"/>
          <cell r="B10138"/>
          <cell r="C10138"/>
          <cell r="D10138"/>
          <cell r="E10138"/>
        </row>
        <row r="10139">
          <cell r="A10139"/>
          <cell r="B10139"/>
          <cell r="C10139"/>
          <cell r="D10139"/>
          <cell r="E10139"/>
        </row>
        <row r="10140">
          <cell r="A10140"/>
          <cell r="B10140"/>
          <cell r="C10140"/>
          <cell r="D10140"/>
          <cell r="E10140"/>
        </row>
        <row r="10141">
          <cell r="A10141"/>
          <cell r="B10141"/>
          <cell r="C10141"/>
          <cell r="D10141"/>
          <cell r="E10141"/>
        </row>
        <row r="10142">
          <cell r="A10142"/>
          <cell r="B10142"/>
          <cell r="C10142"/>
          <cell r="D10142"/>
          <cell r="E10142"/>
        </row>
        <row r="10143">
          <cell r="A10143"/>
          <cell r="B10143"/>
          <cell r="C10143"/>
          <cell r="D10143"/>
          <cell r="E10143"/>
        </row>
        <row r="10144">
          <cell r="A10144"/>
          <cell r="B10144"/>
          <cell r="C10144"/>
          <cell r="D10144"/>
          <cell r="E10144"/>
        </row>
        <row r="10145">
          <cell r="A10145"/>
          <cell r="B10145"/>
          <cell r="C10145"/>
          <cell r="D10145"/>
          <cell r="E10145"/>
        </row>
        <row r="10146">
          <cell r="A10146"/>
          <cell r="B10146"/>
          <cell r="C10146"/>
          <cell r="D10146"/>
          <cell r="E10146"/>
        </row>
        <row r="10147">
          <cell r="A10147"/>
          <cell r="B10147"/>
          <cell r="C10147"/>
          <cell r="D10147"/>
          <cell r="E10147"/>
        </row>
        <row r="10148">
          <cell r="A10148"/>
          <cell r="B10148"/>
          <cell r="C10148"/>
          <cell r="D10148"/>
          <cell r="E10148"/>
        </row>
        <row r="10149">
          <cell r="A10149"/>
          <cell r="B10149"/>
          <cell r="C10149"/>
          <cell r="D10149"/>
          <cell r="E10149"/>
        </row>
        <row r="10150">
          <cell r="A10150"/>
          <cell r="B10150"/>
          <cell r="C10150"/>
          <cell r="D10150"/>
          <cell r="E10150"/>
        </row>
        <row r="10151">
          <cell r="A10151"/>
          <cell r="B10151"/>
          <cell r="C10151"/>
          <cell r="D10151"/>
          <cell r="E10151"/>
        </row>
        <row r="10152">
          <cell r="A10152"/>
          <cell r="B10152"/>
          <cell r="C10152"/>
          <cell r="D10152"/>
          <cell r="E10152"/>
        </row>
        <row r="10153">
          <cell r="A10153"/>
          <cell r="B10153"/>
          <cell r="C10153"/>
          <cell r="D10153"/>
          <cell r="E10153"/>
        </row>
        <row r="10154">
          <cell r="A10154"/>
          <cell r="B10154"/>
          <cell r="C10154"/>
          <cell r="D10154"/>
          <cell r="E10154"/>
        </row>
        <row r="10155">
          <cell r="A10155"/>
          <cell r="B10155"/>
          <cell r="C10155"/>
          <cell r="D10155"/>
          <cell r="E10155"/>
        </row>
        <row r="10156">
          <cell r="A10156"/>
          <cell r="B10156"/>
          <cell r="C10156"/>
          <cell r="D10156"/>
          <cell r="E10156"/>
        </row>
        <row r="10157">
          <cell r="A10157"/>
          <cell r="B10157"/>
          <cell r="C10157"/>
          <cell r="D10157"/>
          <cell r="E10157"/>
        </row>
        <row r="10158">
          <cell r="A10158"/>
          <cell r="B10158"/>
          <cell r="C10158"/>
          <cell r="D10158"/>
          <cell r="E10158"/>
        </row>
        <row r="10159">
          <cell r="A10159"/>
          <cell r="B10159"/>
          <cell r="C10159"/>
          <cell r="D10159"/>
          <cell r="E10159"/>
        </row>
        <row r="10160">
          <cell r="A10160"/>
          <cell r="B10160"/>
          <cell r="C10160"/>
          <cell r="D10160"/>
          <cell r="E10160"/>
        </row>
        <row r="10161">
          <cell r="A10161"/>
          <cell r="B10161"/>
          <cell r="C10161"/>
          <cell r="D10161"/>
          <cell r="E10161"/>
        </row>
        <row r="10162">
          <cell r="A10162"/>
          <cell r="B10162"/>
          <cell r="C10162"/>
          <cell r="D10162"/>
          <cell r="E10162"/>
        </row>
        <row r="10163">
          <cell r="A10163"/>
          <cell r="B10163"/>
          <cell r="C10163"/>
          <cell r="D10163"/>
          <cell r="E10163"/>
        </row>
        <row r="10164">
          <cell r="A10164"/>
          <cell r="B10164"/>
          <cell r="C10164"/>
          <cell r="D10164"/>
          <cell r="E10164"/>
        </row>
        <row r="10165">
          <cell r="A10165"/>
          <cell r="B10165"/>
          <cell r="C10165"/>
          <cell r="D10165"/>
          <cell r="E10165"/>
        </row>
        <row r="10166">
          <cell r="A10166"/>
          <cell r="B10166"/>
          <cell r="C10166"/>
          <cell r="D10166"/>
          <cell r="E10166"/>
        </row>
        <row r="10167">
          <cell r="A10167"/>
          <cell r="B10167"/>
          <cell r="C10167"/>
          <cell r="D10167"/>
          <cell r="E10167"/>
        </row>
        <row r="10168">
          <cell r="A10168"/>
          <cell r="B10168"/>
          <cell r="C10168"/>
          <cell r="D10168"/>
          <cell r="E10168"/>
        </row>
        <row r="10169">
          <cell r="A10169"/>
          <cell r="B10169"/>
          <cell r="C10169"/>
          <cell r="D10169"/>
          <cell r="E10169"/>
        </row>
        <row r="10170">
          <cell r="A10170"/>
          <cell r="B10170"/>
          <cell r="C10170"/>
          <cell r="D10170"/>
          <cell r="E10170"/>
        </row>
        <row r="10171">
          <cell r="A10171"/>
          <cell r="B10171"/>
          <cell r="C10171"/>
          <cell r="D10171"/>
          <cell r="E10171"/>
        </row>
        <row r="10172">
          <cell r="A10172"/>
          <cell r="B10172"/>
          <cell r="C10172"/>
          <cell r="D10172"/>
          <cell r="E10172"/>
        </row>
        <row r="10173">
          <cell r="A10173"/>
          <cell r="B10173"/>
          <cell r="C10173"/>
          <cell r="D10173"/>
          <cell r="E10173"/>
        </row>
        <row r="10174">
          <cell r="A10174"/>
          <cell r="B10174"/>
          <cell r="C10174"/>
          <cell r="D10174"/>
          <cell r="E10174"/>
        </row>
        <row r="10175">
          <cell r="A10175"/>
          <cell r="B10175"/>
          <cell r="C10175"/>
          <cell r="D10175"/>
          <cell r="E10175"/>
        </row>
        <row r="10176">
          <cell r="A10176"/>
          <cell r="B10176"/>
          <cell r="C10176"/>
          <cell r="D10176"/>
          <cell r="E10176"/>
        </row>
        <row r="10177">
          <cell r="A10177"/>
          <cell r="B10177"/>
          <cell r="C10177"/>
          <cell r="D10177"/>
          <cell r="E10177"/>
        </row>
        <row r="10178">
          <cell r="A10178"/>
          <cell r="B10178"/>
          <cell r="C10178"/>
          <cell r="D10178"/>
          <cell r="E10178"/>
        </row>
        <row r="10179">
          <cell r="A10179"/>
          <cell r="B10179"/>
          <cell r="C10179"/>
          <cell r="D10179"/>
          <cell r="E10179"/>
        </row>
        <row r="10180">
          <cell r="A10180"/>
          <cell r="B10180"/>
          <cell r="C10180"/>
          <cell r="D10180"/>
          <cell r="E10180"/>
        </row>
        <row r="10181">
          <cell r="A10181"/>
          <cell r="B10181"/>
          <cell r="C10181"/>
          <cell r="D10181"/>
          <cell r="E10181"/>
        </row>
        <row r="10182">
          <cell r="A10182"/>
          <cell r="B10182"/>
          <cell r="C10182"/>
          <cell r="D10182"/>
          <cell r="E10182"/>
        </row>
        <row r="10183">
          <cell r="A10183"/>
          <cell r="B10183"/>
          <cell r="C10183"/>
          <cell r="D10183"/>
          <cell r="E10183"/>
        </row>
        <row r="10184">
          <cell r="A10184"/>
          <cell r="B10184"/>
          <cell r="C10184"/>
          <cell r="D10184"/>
          <cell r="E10184"/>
        </row>
        <row r="10185">
          <cell r="A10185"/>
          <cell r="B10185"/>
          <cell r="C10185"/>
          <cell r="D10185"/>
          <cell r="E10185"/>
        </row>
        <row r="10186">
          <cell r="A10186"/>
          <cell r="B10186"/>
          <cell r="C10186"/>
          <cell r="D10186"/>
          <cell r="E10186"/>
        </row>
        <row r="10187">
          <cell r="A10187"/>
          <cell r="B10187"/>
          <cell r="C10187"/>
          <cell r="D10187"/>
          <cell r="E10187"/>
        </row>
        <row r="10188">
          <cell r="A10188"/>
          <cell r="B10188"/>
          <cell r="C10188"/>
          <cell r="D10188"/>
          <cell r="E10188"/>
        </row>
        <row r="10189">
          <cell r="A10189"/>
          <cell r="B10189"/>
          <cell r="C10189"/>
          <cell r="D10189"/>
          <cell r="E10189"/>
        </row>
        <row r="10190">
          <cell r="A10190"/>
          <cell r="B10190"/>
          <cell r="C10190"/>
          <cell r="D10190"/>
          <cell r="E10190"/>
        </row>
        <row r="10191">
          <cell r="A10191"/>
          <cell r="B10191"/>
          <cell r="C10191"/>
          <cell r="D10191"/>
          <cell r="E10191"/>
        </row>
        <row r="10192">
          <cell r="A10192"/>
          <cell r="B10192"/>
          <cell r="C10192"/>
          <cell r="D10192"/>
          <cell r="E10192"/>
        </row>
        <row r="10193">
          <cell r="A10193"/>
          <cell r="B10193"/>
          <cell r="C10193"/>
          <cell r="D10193"/>
          <cell r="E10193"/>
        </row>
        <row r="10194">
          <cell r="A10194"/>
          <cell r="B10194"/>
          <cell r="C10194"/>
          <cell r="D10194"/>
          <cell r="E10194"/>
        </row>
        <row r="10195">
          <cell r="A10195"/>
          <cell r="B10195"/>
          <cell r="C10195"/>
          <cell r="D10195"/>
          <cell r="E10195"/>
        </row>
        <row r="10196">
          <cell r="A10196"/>
          <cell r="B10196"/>
          <cell r="C10196"/>
          <cell r="D10196"/>
          <cell r="E10196"/>
        </row>
        <row r="10197">
          <cell r="A10197"/>
          <cell r="B10197"/>
          <cell r="C10197"/>
          <cell r="D10197"/>
          <cell r="E10197"/>
        </row>
        <row r="10198">
          <cell r="A10198"/>
          <cell r="B10198"/>
          <cell r="C10198"/>
          <cell r="D10198"/>
          <cell r="E10198"/>
        </row>
        <row r="10199">
          <cell r="A10199"/>
          <cell r="B10199"/>
          <cell r="C10199"/>
          <cell r="D10199"/>
          <cell r="E10199"/>
        </row>
        <row r="10200">
          <cell r="A10200"/>
          <cell r="B10200"/>
          <cell r="C10200"/>
          <cell r="D10200"/>
          <cell r="E10200"/>
        </row>
        <row r="10201">
          <cell r="A10201"/>
          <cell r="B10201"/>
          <cell r="C10201"/>
          <cell r="D10201"/>
          <cell r="E10201"/>
        </row>
        <row r="10202">
          <cell r="A10202"/>
          <cell r="B10202"/>
          <cell r="C10202"/>
          <cell r="D10202"/>
          <cell r="E10202"/>
        </row>
        <row r="10203">
          <cell r="A10203"/>
          <cell r="B10203"/>
          <cell r="C10203"/>
          <cell r="D10203"/>
          <cell r="E10203"/>
        </row>
        <row r="10204">
          <cell r="A10204"/>
          <cell r="B10204"/>
          <cell r="C10204"/>
          <cell r="D10204"/>
          <cell r="E10204"/>
        </row>
        <row r="10205">
          <cell r="A10205"/>
          <cell r="B10205"/>
          <cell r="C10205"/>
          <cell r="D10205"/>
          <cell r="E10205"/>
        </row>
        <row r="10206">
          <cell r="A10206"/>
          <cell r="B10206"/>
          <cell r="C10206"/>
          <cell r="D10206"/>
          <cell r="E10206"/>
        </row>
        <row r="10207">
          <cell r="A10207"/>
          <cell r="B10207"/>
          <cell r="C10207"/>
          <cell r="D10207"/>
          <cell r="E10207"/>
        </row>
        <row r="10208">
          <cell r="A10208"/>
          <cell r="B10208"/>
          <cell r="C10208"/>
          <cell r="D10208"/>
          <cell r="E10208"/>
        </row>
        <row r="10209">
          <cell r="A10209"/>
          <cell r="B10209"/>
          <cell r="C10209"/>
          <cell r="D10209"/>
          <cell r="E10209"/>
        </row>
        <row r="10210">
          <cell r="A10210"/>
          <cell r="B10210"/>
          <cell r="C10210"/>
          <cell r="D10210"/>
          <cell r="E10210"/>
        </row>
        <row r="10211">
          <cell r="A10211"/>
          <cell r="B10211"/>
          <cell r="C10211"/>
          <cell r="D10211"/>
          <cell r="E10211"/>
        </row>
        <row r="10212">
          <cell r="A10212"/>
          <cell r="B10212"/>
          <cell r="C10212"/>
          <cell r="D10212"/>
          <cell r="E10212"/>
        </row>
        <row r="10213">
          <cell r="A10213"/>
          <cell r="B10213"/>
          <cell r="C10213"/>
          <cell r="D10213"/>
          <cell r="E10213"/>
        </row>
        <row r="10214">
          <cell r="A10214"/>
          <cell r="B10214"/>
          <cell r="C10214"/>
          <cell r="D10214"/>
          <cell r="E10214"/>
        </row>
        <row r="10215">
          <cell r="A10215"/>
          <cell r="B10215"/>
          <cell r="C10215"/>
          <cell r="D10215"/>
          <cell r="E10215"/>
        </row>
        <row r="10216">
          <cell r="A10216"/>
          <cell r="B10216"/>
          <cell r="C10216"/>
          <cell r="D10216"/>
          <cell r="E10216"/>
        </row>
        <row r="10217">
          <cell r="A10217"/>
          <cell r="B10217"/>
          <cell r="C10217"/>
          <cell r="D10217"/>
          <cell r="E10217"/>
        </row>
        <row r="10218">
          <cell r="A10218"/>
          <cell r="B10218"/>
          <cell r="C10218"/>
          <cell r="D10218"/>
          <cell r="E10218"/>
        </row>
        <row r="10219">
          <cell r="A10219"/>
          <cell r="B10219"/>
          <cell r="C10219"/>
          <cell r="D10219"/>
          <cell r="E10219"/>
        </row>
        <row r="10220">
          <cell r="A10220"/>
          <cell r="B10220"/>
          <cell r="C10220"/>
          <cell r="D10220"/>
          <cell r="E10220"/>
        </row>
        <row r="10221">
          <cell r="A10221"/>
          <cell r="B10221"/>
          <cell r="C10221"/>
          <cell r="D10221"/>
          <cell r="E10221"/>
        </row>
        <row r="10222">
          <cell r="A10222"/>
          <cell r="B10222"/>
          <cell r="C10222"/>
          <cell r="D10222"/>
          <cell r="E10222"/>
        </row>
        <row r="10223">
          <cell r="A10223"/>
          <cell r="B10223"/>
          <cell r="C10223"/>
          <cell r="D10223"/>
          <cell r="E10223"/>
        </row>
        <row r="10224">
          <cell r="A10224"/>
          <cell r="B10224"/>
          <cell r="C10224"/>
          <cell r="D10224"/>
          <cell r="E10224"/>
        </row>
        <row r="10225">
          <cell r="A10225"/>
          <cell r="B10225"/>
          <cell r="C10225"/>
          <cell r="D10225"/>
          <cell r="E10225"/>
        </row>
        <row r="10226">
          <cell r="A10226"/>
          <cell r="B10226"/>
          <cell r="C10226"/>
          <cell r="D10226"/>
          <cell r="E10226"/>
        </row>
        <row r="10227">
          <cell r="A10227"/>
          <cell r="B10227"/>
          <cell r="C10227"/>
          <cell r="D10227"/>
          <cell r="E10227"/>
        </row>
        <row r="10228">
          <cell r="A10228"/>
          <cell r="B10228"/>
          <cell r="C10228"/>
          <cell r="D10228"/>
          <cell r="E10228"/>
        </row>
        <row r="10229">
          <cell r="A10229"/>
          <cell r="B10229"/>
          <cell r="C10229"/>
          <cell r="D10229"/>
          <cell r="E10229"/>
        </row>
        <row r="10230">
          <cell r="A10230"/>
          <cell r="B10230"/>
          <cell r="C10230"/>
          <cell r="D10230"/>
          <cell r="E10230"/>
        </row>
        <row r="10231">
          <cell r="A10231"/>
          <cell r="B10231"/>
          <cell r="C10231"/>
          <cell r="D10231"/>
          <cell r="E10231"/>
        </row>
        <row r="10232">
          <cell r="A10232"/>
          <cell r="B10232"/>
          <cell r="C10232"/>
          <cell r="D10232"/>
          <cell r="E10232"/>
        </row>
        <row r="10233">
          <cell r="A10233"/>
          <cell r="B10233"/>
          <cell r="C10233"/>
          <cell r="D10233"/>
          <cell r="E10233"/>
        </row>
        <row r="10234">
          <cell r="A10234"/>
          <cell r="B10234"/>
          <cell r="C10234"/>
          <cell r="D10234"/>
          <cell r="E10234"/>
        </row>
        <row r="10235">
          <cell r="A10235"/>
          <cell r="B10235"/>
          <cell r="C10235"/>
          <cell r="D10235"/>
          <cell r="E10235"/>
        </row>
        <row r="10236">
          <cell r="A10236"/>
          <cell r="B10236"/>
          <cell r="C10236"/>
          <cell r="D10236"/>
          <cell r="E10236"/>
        </row>
        <row r="10237">
          <cell r="A10237"/>
          <cell r="B10237"/>
          <cell r="C10237"/>
          <cell r="D10237"/>
          <cell r="E10237"/>
        </row>
        <row r="10238">
          <cell r="A10238"/>
          <cell r="B10238"/>
          <cell r="C10238"/>
          <cell r="D10238"/>
          <cell r="E10238"/>
        </row>
        <row r="10239">
          <cell r="A10239"/>
          <cell r="B10239"/>
          <cell r="C10239"/>
          <cell r="D10239"/>
          <cell r="E10239"/>
        </row>
        <row r="10240">
          <cell r="A10240"/>
          <cell r="B10240"/>
          <cell r="C10240"/>
          <cell r="D10240"/>
          <cell r="E10240"/>
        </row>
        <row r="10241">
          <cell r="A10241"/>
          <cell r="B10241"/>
          <cell r="C10241"/>
          <cell r="D10241"/>
          <cell r="E10241"/>
        </row>
        <row r="10242">
          <cell r="A10242"/>
          <cell r="B10242"/>
          <cell r="C10242"/>
          <cell r="D10242"/>
          <cell r="E10242"/>
        </row>
        <row r="10243">
          <cell r="A10243"/>
          <cell r="B10243"/>
          <cell r="C10243"/>
          <cell r="D10243"/>
          <cell r="E10243"/>
        </row>
        <row r="10244">
          <cell r="A10244"/>
          <cell r="B10244"/>
          <cell r="C10244"/>
          <cell r="D10244"/>
          <cell r="E10244"/>
        </row>
        <row r="10245">
          <cell r="A10245"/>
          <cell r="B10245"/>
          <cell r="C10245"/>
          <cell r="D10245"/>
          <cell r="E10245"/>
        </row>
        <row r="10246">
          <cell r="A10246"/>
          <cell r="B10246"/>
          <cell r="C10246"/>
          <cell r="D10246"/>
          <cell r="E10246"/>
        </row>
        <row r="10247">
          <cell r="A10247"/>
          <cell r="B10247"/>
          <cell r="C10247"/>
          <cell r="D10247"/>
          <cell r="E10247"/>
        </row>
        <row r="10248">
          <cell r="A10248"/>
          <cell r="B10248"/>
          <cell r="C10248"/>
          <cell r="D10248"/>
          <cell r="E10248"/>
        </row>
        <row r="10249">
          <cell r="A10249"/>
          <cell r="B10249"/>
          <cell r="C10249"/>
          <cell r="D10249"/>
          <cell r="E10249"/>
        </row>
        <row r="10250">
          <cell r="A10250"/>
          <cell r="B10250"/>
          <cell r="C10250"/>
          <cell r="D10250"/>
          <cell r="E10250"/>
        </row>
        <row r="10251">
          <cell r="A10251"/>
          <cell r="B10251"/>
          <cell r="C10251"/>
          <cell r="D10251"/>
          <cell r="E10251"/>
        </row>
        <row r="10252">
          <cell r="A10252"/>
          <cell r="B10252"/>
          <cell r="C10252"/>
          <cell r="D10252"/>
          <cell r="E10252"/>
        </row>
        <row r="10253">
          <cell r="A10253"/>
          <cell r="B10253"/>
          <cell r="C10253"/>
          <cell r="D10253"/>
          <cell r="E10253"/>
        </row>
        <row r="10254">
          <cell r="A10254"/>
          <cell r="B10254"/>
          <cell r="C10254"/>
          <cell r="D10254"/>
          <cell r="E10254"/>
        </row>
        <row r="10255">
          <cell r="A10255"/>
          <cell r="B10255"/>
          <cell r="C10255"/>
          <cell r="D10255"/>
          <cell r="E10255"/>
        </row>
        <row r="10256">
          <cell r="A10256"/>
          <cell r="B10256"/>
          <cell r="C10256"/>
          <cell r="D10256"/>
          <cell r="E10256"/>
        </row>
        <row r="10257">
          <cell r="A10257"/>
          <cell r="B10257"/>
          <cell r="C10257"/>
          <cell r="D10257"/>
          <cell r="E10257"/>
        </row>
        <row r="10258">
          <cell r="A10258"/>
          <cell r="B10258"/>
          <cell r="C10258"/>
          <cell r="D10258"/>
          <cell r="E10258"/>
        </row>
        <row r="10259">
          <cell r="A10259"/>
          <cell r="B10259"/>
          <cell r="C10259"/>
          <cell r="D10259"/>
          <cell r="E10259"/>
        </row>
        <row r="10260">
          <cell r="A10260"/>
          <cell r="B10260"/>
          <cell r="C10260"/>
          <cell r="D10260"/>
          <cell r="E10260"/>
        </row>
        <row r="10261">
          <cell r="A10261"/>
          <cell r="B10261"/>
          <cell r="C10261"/>
          <cell r="D10261"/>
          <cell r="E10261"/>
        </row>
        <row r="10262">
          <cell r="A10262"/>
          <cell r="B10262"/>
          <cell r="C10262"/>
          <cell r="D10262"/>
          <cell r="E10262"/>
        </row>
        <row r="10263">
          <cell r="A10263"/>
          <cell r="B10263"/>
          <cell r="C10263"/>
          <cell r="D10263"/>
          <cell r="E10263"/>
        </row>
        <row r="10264">
          <cell r="A10264"/>
          <cell r="B10264"/>
          <cell r="C10264"/>
          <cell r="D10264"/>
          <cell r="E10264"/>
        </row>
        <row r="10265">
          <cell r="A10265"/>
          <cell r="B10265"/>
          <cell r="C10265"/>
          <cell r="D10265"/>
          <cell r="E10265"/>
        </row>
        <row r="10266">
          <cell r="A10266"/>
          <cell r="B10266"/>
          <cell r="C10266"/>
          <cell r="D10266"/>
          <cell r="E10266"/>
        </row>
        <row r="10267">
          <cell r="A10267"/>
          <cell r="B10267"/>
          <cell r="C10267"/>
          <cell r="D10267"/>
          <cell r="E10267"/>
        </row>
        <row r="10268">
          <cell r="A10268"/>
          <cell r="B10268"/>
          <cell r="C10268"/>
          <cell r="D10268"/>
          <cell r="E10268"/>
        </row>
        <row r="10269">
          <cell r="A10269"/>
          <cell r="B10269"/>
          <cell r="C10269"/>
          <cell r="D10269"/>
          <cell r="E10269"/>
        </row>
        <row r="10270">
          <cell r="A10270"/>
          <cell r="B10270"/>
          <cell r="C10270"/>
          <cell r="D10270"/>
          <cell r="E10270"/>
        </row>
        <row r="10271">
          <cell r="A10271"/>
          <cell r="B10271"/>
          <cell r="C10271"/>
          <cell r="D10271"/>
          <cell r="E10271"/>
        </row>
        <row r="10272">
          <cell r="A10272"/>
          <cell r="B10272"/>
          <cell r="C10272"/>
          <cell r="D10272"/>
          <cell r="E10272"/>
        </row>
        <row r="10273">
          <cell r="A10273"/>
          <cell r="B10273"/>
          <cell r="C10273"/>
          <cell r="D10273"/>
          <cell r="E10273"/>
        </row>
        <row r="10274">
          <cell r="A10274"/>
          <cell r="B10274"/>
          <cell r="C10274"/>
          <cell r="D10274"/>
          <cell r="E10274"/>
        </row>
        <row r="10275">
          <cell r="A10275"/>
          <cell r="B10275"/>
          <cell r="C10275"/>
          <cell r="D10275"/>
          <cell r="E10275"/>
        </row>
        <row r="10276">
          <cell r="A10276"/>
          <cell r="B10276"/>
          <cell r="C10276"/>
          <cell r="D10276"/>
          <cell r="E10276"/>
        </row>
        <row r="10277">
          <cell r="A10277"/>
          <cell r="B10277"/>
          <cell r="C10277"/>
          <cell r="D10277"/>
          <cell r="E10277"/>
        </row>
        <row r="10278">
          <cell r="A10278"/>
          <cell r="B10278"/>
          <cell r="C10278"/>
          <cell r="D10278"/>
          <cell r="E10278"/>
        </row>
        <row r="10279">
          <cell r="A10279"/>
          <cell r="B10279"/>
          <cell r="C10279"/>
          <cell r="D10279"/>
          <cell r="E10279"/>
        </row>
        <row r="10280">
          <cell r="A10280"/>
          <cell r="B10280"/>
          <cell r="C10280"/>
          <cell r="D10280"/>
          <cell r="E10280"/>
        </row>
        <row r="10281">
          <cell r="A10281"/>
          <cell r="B10281"/>
          <cell r="C10281"/>
          <cell r="D10281"/>
          <cell r="E10281"/>
        </row>
        <row r="10282">
          <cell r="A10282"/>
          <cell r="B10282"/>
          <cell r="C10282"/>
          <cell r="D10282"/>
          <cell r="E10282"/>
        </row>
        <row r="10283">
          <cell r="A10283"/>
          <cell r="B10283"/>
          <cell r="C10283"/>
          <cell r="D10283"/>
          <cell r="E10283"/>
        </row>
        <row r="10284">
          <cell r="A10284"/>
          <cell r="B10284"/>
          <cell r="C10284"/>
          <cell r="D10284"/>
          <cell r="E10284"/>
        </row>
        <row r="10285">
          <cell r="A10285"/>
          <cell r="B10285"/>
          <cell r="C10285"/>
          <cell r="D10285"/>
          <cell r="E10285"/>
        </row>
        <row r="10286">
          <cell r="A10286"/>
          <cell r="B10286"/>
          <cell r="C10286"/>
          <cell r="D10286"/>
          <cell r="E10286"/>
        </row>
        <row r="10287">
          <cell r="A10287"/>
          <cell r="B10287"/>
          <cell r="C10287"/>
          <cell r="D10287"/>
          <cell r="E10287"/>
        </row>
        <row r="10288">
          <cell r="A10288"/>
          <cell r="B10288"/>
          <cell r="C10288"/>
          <cell r="D10288"/>
          <cell r="E10288"/>
        </row>
        <row r="10289">
          <cell r="A10289"/>
          <cell r="B10289"/>
          <cell r="C10289"/>
          <cell r="D10289"/>
          <cell r="E10289"/>
        </row>
        <row r="10290">
          <cell r="A10290"/>
          <cell r="B10290"/>
          <cell r="C10290"/>
          <cell r="D10290"/>
          <cell r="E10290"/>
        </row>
        <row r="10291">
          <cell r="A10291"/>
          <cell r="B10291"/>
          <cell r="C10291"/>
          <cell r="D10291"/>
          <cell r="E10291"/>
        </row>
        <row r="10292">
          <cell r="A10292"/>
          <cell r="B10292"/>
          <cell r="C10292"/>
          <cell r="D10292"/>
          <cell r="E10292"/>
        </row>
        <row r="10293">
          <cell r="A10293"/>
          <cell r="B10293"/>
          <cell r="C10293"/>
          <cell r="D10293"/>
          <cell r="E10293"/>
        </row>
        <row r="10294">
          <cell r="A10294"/>
          <cell r="B10294"/>
          <cell r="C10294"/>
          <cell r="D10294"/>
          <cell r="E10294"/>
        </row>
        <row r="10295">
          <cell r="A10295"/>
          <cell r="B10295"/>
          <cell r="C10295"/>
          <cell r="D10295"/>
          <cell r="E10295"/>
        </row>
        <row r="10296">
          <cell r="A10296"/>
          <cell r="B10296"/>
          <cell r="C10296"/>
          <cell r="D10296"/>
          <cell r="E10296"/>
        </row>
        <row r="10297">
          <cell r="A10297"/>
          <cell r="B10297"/>
          <cell r="C10297"/>
          <cell r="D10297"/>
          <cell r="E10297"/>
        </row>
        <row r="10298">
          <cell r="A10298"/>
          <cell r="B10298"/>
          <cell r="C10298"/>
          <cell r="D10298"/>
          <cell r="E10298"/>
        </row>
        <row r="10299">
          <cell r="A10299"/>
          <cell r="B10299"/>
          <cell r="C10299"/>
          <cell r="D10299"/>
          <cell r="E10299"/>
        </row>
        <row r="10300">
          <cell r="A10300"/>
          <cell r="B10300"/>
          <cell r="C10300"/>
          <cell r="D10300"/>
          <cell r="E10300"/>
        </row>
        <row r="10301">
          <cell r="A10301"/>
          <cell r="B10301"/>
          <cell r="C10301"/>
          <cell r="D10301"/>
          <cell r="E10301"/>
        </row>
        <row r="10302">
          <cell r="A10302"/>
          <cell r="B10302"/>
          <cell r="C10302"/>
          <cell r="D10302"/>
          <cell r="E10302"/>
        </row>
        <row r="10303">
          <cell r="A10303"/>
          <cell r="B10303"/>
          <cell r="C10303"/>
          <cell r="D10303"/>
          <cell r="E10303"/>
        </row>
        <row r="10304">
          <cell r="A10304"/>
          <cell r="B10304"/>
          <cell r="C10304"/>
          <cell r="D10304"/>
          <cell r="E10304"/>
        </row>
        <row r="10305">
          <cell r="A10305"/>
          <cell r="B10305"/>
          <cell r="C10305"/>
          <cell r="D10305"/>
          <cell r="E10305"/>
        </row>
        <row r="10306">
          <cell r="A10306"/>
          <cell r="B10306"/>
          <cell r="C10306"/>
          <cell r="D10306"/>
          <cell r="E10306"/>
        </row>
        <row r="10307">
          <cell r="A10307"/>
          <cell r="B10307"/>
          <cell r="C10307"/>
          <cell r="D10307"/>
          <cell r="E10307"/>
        </row>
        <row r="10308">
          <cell r="A10308"/>
          <cell r="B10308"/>
          <cell r="C10308"/>
          <cell r="D10308"/>
          <cell r="E10308"/>
        </row>
        <row r="10309">
          <cell r="A10309"/>
          <cell r="B10309"/>
          <cell r="C10309"/>
          <cell r="D10309"/>
          <cell r="E10309"/>
        </row>
        <row r="10310">
          <cell r="A10310"/>
          <cell r="B10310"/>
          <cell r="C10310"/>
          <cell r="D10310"/>
          <cell r="E10310"/>
        </row>
        <row r="10311">
          <cell r="A10311"/>
          <cell r="B10311"/>
          <cell r="C10311"/>
          <cell r="D10311"/>
          <cell r="E10311"/>
        </row>
        <row r="10312">
          <cell r="A10312"/>
          <cell r="B10312"/>
          <cell r="C10312"/>
          <cell r="D10312"/>
          <cell r="E10312"/>
        </row>
        <row r="10313">
          <cell r="A10313"/>
          <cell r="B10313"/>
          <cell r="C10313"/>
          <cell r="D10313"/>
          <cell r="E10313"/>
        </row>
        <row r="10314">
          <cell r="A10314"/>
          <cell r="B10314"/>
          <cell r="C10314"/>
          <cell r="D10314"/>
          <cell r="E10314"/>
        </row>
        <row r="10315">
          <cell r="A10315"/>
          <cell r="B10315"/>
          <cell r="C10315"/>
          <cell r="D10315"/>
          <cell r="E10315"/>
        </row>
        <row r="10316">
          <cell r="A10316"/>
          <cell r="B10316"/>
          <cell r="C10316"/>
          <cell r="D10316"/>
          <cell r="E10316"/>
        </row>
        <row r="10317">
          <cell r="A10317"/>
          <cell r="B10317"/>
          <cell r="C10317"/>
          <cell r="D10317"/>
          <cell r="E10317"/>
        </row>
        <row r="10318">
          <cell r="A10318"/>
          <cell r="B10318"/>
          <cell r="C10318"/>
          <cell r="D10318"/>
          <cell r="E10318"/>
        </row>
        <row r="10319">
          <cell r="A10319"/>
          <cell r="B10319"/>
          <cell r="C10319"/>
          <cell r="D10319"/>
          <cell r="E10319"/>
        </row>
        <row r="10320">
          <cell r="A10320"/>
          <cell r="B10320"/>
          <cell r="C10320"/>
          <cell r="D10320"/>
          <cell r="E10320"/>
        </row>
        <row r="10321">
          <cell r="A10321"/>
          <cell r="B10321"/>
          <cell r="C10321"/>
          <cell r="D10321"/>
          <cell r="E10321"/>
        </row>
        <row r="10322">
          <cell r="A10322"/>
          <cell r="B10322"/>
          <cell r="C10322"/>
          <cell r="D10322"/>
          <cell r="E10322"/>
        </row>
        <row r="10323">
          <cell r="A10323"/>
          <cell r="B10323"/>
          <cell r="C10323"/>
          <cell r="D10323"/>
          <cell r="E10323"/>
        </row>
        <row r="10324">
          <cell r="A10324"/>
          <cell r="B10324"/>
          <cell r="C10324"/>
          <cell r="D10324"/>
          <cell r="E10324"/>
        </row>
        <row r="10325">
          <cell r="A10325"/>
          <cell r="B10325"/>
          <cell r="C10325"/>
          <cell r="D10325"/>
          <cell r="E10325"/>
        </row>
        <row r="10326">
          <cell r="A10326"/>
          <cell r="B10326"/>
          <cell r="C10326"/>
          <cell r="D10326"/>
          <cell r="E10326"/>
        </row>
        <row r="10327">
          <cell r="A10327"/>
          <cell r="B10327"/>
          <cell r="C10327"/>
          <cell r="D10327"/>
          <cell r="E10327"/>
        </row>
        <row r="10328">
          <cell r="A10328"/>
          <cell r="B10328"/>
          <cell r="C10328"/>
          <cell r="D10328"/>
          <cell r="E10328"/>
        </row>
        <row r="10329">
          <cell r="A10329"/>
          <cell r="B10329"/>
          <cell r="C10329"/>
          <cell r="D10329"/>
          <cell r="E10329"/>
        </row>
        <row r="10330">
          <cell r="A10330"/>
          <cell r="B10330"/>
          <cell r="C10330"/>
          <cell r="D10330"/>
          <cell r="E10330"/>
        </row>
        <row r="10331">
          <cell r="A10331"/>
          <cell r="B10331"/>
          <cell r="C10331"/>
          <cell r="D10331"/>
          <cell r="E10331"/>
        </row>
        <row r="10332">
          <cell r="A10332"/>
          <cell r="B10332"/>
          <cell r="C10332"/>
          <cell r="D10332"/>
          <cell r="E10332"/>
        </row>
        <row r="10333">
          <cell r="A10333"/>
          <cell r="B10333"/>
          <cell r="C10333"/>
          <cell r="D10333"/>
          <cell r="E10333"/>
        </row>
        <row r="10334">
          <cell r="A10334"/>
          <cell r="B10334"/>
          <cell r="C10334"/>
          <cell r="D10334"/>
          <cell r="E10334"/>
        </row>
        <row r="10335">
          <cell r="A10335"/>
          <cell r="B10335"/>
          <cell r="C10335"/>
          <cell r="D10335"/>
          <cell r="E10335"/>
        </row>
        <row r="10336">
          <cell r="A10336"/>
          <cell r="B10336"/>
          <cell r="C10336"/>
          <cell r="D10336"/>
          <cell r="E10336"/>
        </row>
        <row r="10337">
          <cell r="A10337"/>
          <cell r="B10337"/>
          <cell r="C10337"/>
          <cell r="D10337"/>
          <cell r="E10337"/>
        </row>
        <row r="10338">
          <cell r="A10338"/>
          <cell r="B10338"/>
          <cell r="C10338"/>
          <cell r="D10338"/>
          <cell r="E10338"/>
        </row>
        <row r="10339">
          <cell r="A10339"/>
          <cell r="B10339"/>
          <cell r="C10339"/>
          <cell r="D10339"/>
          <cell r="E10339"/>
        </row>
        <row r="10340">
          <cell r="A10340"/>
          <cell r="B10340"/>
          <cell r="C10340"/>
          <cell r="D10340"/>
          <cell r="E10340"/>
        </row>
        <row r="10341">
          <cell r="A10341"/>
          <cell r="B10341"/>
          <cell r="C10341"/>
          <cell r="D10341"/>
          <cell r="E10341"/>
        </row>
        <row r="10342">
          <cell r="A10342"/>
          <cell r="B10342"/>
          <cell r="C10342"/>
          <cell r="D10342"/>
          <cell r="E10342"/>
        </row>
        <row r="10343">
          <cell r="A10343"/>
          <cell r="B10343"/>
          <cell r="C10343"/>
          <cell r="D10343"/>
          <cell r="E10343"/>
        </row>
        <row r="10344">
          <cell r="A10344"/>
          <cell r="B10344"/>
          <cell r="C10344"/>
          <cell r="D10344"/>
          <cell r="E10344"/>
        </row>
        <row r="10345">
          <cell r="A10345"/>
          <cell r="B10345"/>
          <cell r="C10345"/>
          <cell r="D10345"/>
          <cell r="E10345"/>
        </row>
        <row r="10346">
          <cell r="A10346"/>
          <cell r="B10346"/>
          <cell r="C10346"/>
          <cell r="D10346"/>
          <cell r="E10346"/>
        </row>
        <row r="10347">
          <cell r="A10347"/>
          <cell r="B10347"/>
          <cell r="C10347"/>
          <cell r="D10347"/>
          <cell r="E10347"/>
        </row>
        <row r="10348">
          <cell r="A10348"/>
          <cell r="B10348"/>
          <cell r="C10348"/>
          <cell r="D10348"/>
          <cell r="E10348"/>
        </row>
        <row r="10349">
          <cell r="A10349"/>
          <cell r="B10349"/>
          <cell r="C10349"/>
          <cell r="D10349"/>
          <cell r="E10349"/>
        </row>
        <row r="10350">
          <cell r="A10350"/>
          <cell r="B10350"/>
          <cell r="C10350"/>
          <cell r="D10350"/>
          <cell r="E10350"/>
        </row>
        <row r="10351">
          <cell r="A10351"/>
          <cell r="B10351"/>
          <cell r="C10351"/>
          <cell r="D10351"/>
          <cell r="E10351"/>
        </row>
        <row r="10352">
          <cell r="A10352"/>
          <cell r="B10352"/>
          <cell r="C10352"/>
          <cell r="D10352"/>
          <cell r="E10352"/>
        </row>
        <row r="10353">
          <cell r="A10353"/>
          <cell r="B10353"/>
          <cell r="C10353"/>
          <cell r="D10353"/>
          <cell r="E10353"/>
        </row>
        <row r="10354">
          <cell r="A10354"/>
          <cell r="B10354"/>
          <cell r="C10354"/>
          <cell r="D10354"/>
          <cell r="E10354"/>
        </row>
        <row r="10355">
          <cell r="A10355"/>
          <cell r="B10355"/>
          <cell r="C10355"/>
          <cell r="D10355"/>
          <cell r="E10355"/>
        </row>
        <row r="10356">
          <cell r="A10356"/>
          <cell r="B10356"/>
          <cell r="C10356"/>
          <cell r="D10356"/>
          <cell r="E10356"/>
        </row>
        <row r="10357">
          <cell r="A10357"/>
          <cell r="B10357"/>
          <cell r="C10357"/>
          <cell r="D10357"/>
          <cell r="E10357"/>
        </row>
        <row r="10358">
          <cell r="A10358"/>
          <cell r="B10358"/>
          <cell r="C10358"/>
          <cell r="D10358"/>
          <cell r="E10358"/>
        </row>
        <row r="10359">
          <cell r="A10359"/>
          <cell r="B10359"/>
          <cell r="C10359"/>
          <cell r="D10359"/>
          <cell r="E10359"/>
        </row>
        <row r="10360">
          <cell r="A10360"/>
          <cell r="B10360"/>
          <cell r="C10360"/>
          <cell r="D10360"/>
          <cell r="E10360"/>
        </row>
        <row r="10361">
          <cell r="A10361"/>
          <cell r="B10361"/>
          <cell r="C10361"/>
          <cell r="D10361"/>
          <cell r="E10361"/>
        </row>
        <row r="10362">
          <cell r="A10362"/>
          <cell r="B10362"/>
          <cell r="C10362"/>
          <cell r="D10362"/>
          <cell r="E10362"/>
        </row>
        <row r="10363">
          <cell r="A10363"/>
          <cell r="B10363"/>
          <cell r="C10363"/>
          <cell r="D10363"/>
          <cell r="E10363"/>
        </row>
        <row r="10364">
          <cell r="A10364"/>
          <cell r="B10364"/>
          <cell r="C10364"/>
          <cell r="D10364"/>
          <cell r="E10364"/>
        </row>
        <row r="10365">
          <cell r="A10365"/>
          <cell r="B10365"/>
          <cell r="C10365"/>
          <cell r="D10365"/>
          <cell r="E10365"/>
        </row>
        <row r="10366">
          <cell r="A10366"/>
          <cell r="B10366"/>
          <cell r="C10366"/>
          <cell r="D10366"/>
          <cell r="E10366"/>
        </row>
        <row r="10367">
          <cell r="A10367"/>
          <cell r="B10367"/>
          <cell r="C10367"/>
          <cell r="D10367"/>
          <cell r="E10367"/>
        </row>
        <row r="10368">
          <cell r="A10368"/>
          <cell r="B10368"/>
          <cell r="C10368"/>
          <cell r="D10368"/>
          <cell r="E10368"/>
        </row>
        <row r="10369">
          <cell r="A10369"/>
          <cell r="B10369"/>
          <cell r="C10369"/>
          <cell r="D10369"/>
          <cell r="E10369"/>
        </row>
        <row r="10370">
          <cell r="A10370"/>
          <cell r="B10370"/>
          <cell r="C10370"/>
          <cell r="D10370"/>
          <cell r="E10370"/>
        </row>
        <row r="10371">
          <cell r="A10371"/>
          <cell r="B10371"/>
          <cell r="C10371"/>
          <cell r="D10371"/>
          <cell r="E10371"/>
        </row>
        <row r="10372">
          <cell r="A10372"/>
          <cell r="B10372"/>
          <cell r="C10372"/>
          <cell r="D10372"/>
          <cell r="E10372"/>
        </row>
        <row r="10373">
          <cell r="A10373"/>
          <cell r="B10373"/>
          <cell r="C10373"/>
          <cell r="D10373"/>
          <cell r="E10373"/>
        </row>
        <row r="10374">
          <cell r="A10374"/>
          <cell r="B10374"/>
          <cell r="C10374"/>
          <cell r="D10374"/>
          <cell r="E10374"/>
        </row>
        <row r="10375">
          <cell r="A10375"/>
          <cell r="B10375"/>
          <cell r="C10375"/>
          <cell r="D10375"/>
          <cell r="E10375"/>
        </row>
        <row r="10376">
          <cell r="A10376"/>
          <cell r="B10376"/>
          <cell r="C10376"/>
          <cell r="D10376"/>
          <cell r="E10376"/>
        </row>
        <row r="10377">
          <cell r="A10377"/>
          <cell r="B10377"/>
          <cell r="C10377"/>
          <cell r="D10377"/>
          <cell r="E10377"/>
        </row>
        <row r="10378">
          <cell r="A10378"/>
          <cell r="B10378"/>
          <cell r="C10378"/>
          <cell r="D10378"/>
          <cell r="E10378"/>
        </row>
        <row r="10379">
          <cell r="A10379"/>
          <cell r="B10379"/>
          <cell r="C10379"/>
          <cell r="D10379"/>
          <cell r="E10379"/>
        </row>
        <row r="10380">
          <cell r="A10380"/>
          <cell r="B10380"/>
          <cell r="C10380"/>
          <cell r="D10380"/>
          <cell r="E10380"/>
        </row>
        <row r="10381">
          <cell r="A10381"/>
          <cell r="B10381"/>
          <cell r="C10381"/>
          <cell r="D10381"/>
          <cell r="E10381"/>
        </row>
        <row r="10382">
          <cell r="A10382"/>
          <cell r="B10382"/>
          <cell r="C10382"/>
          <cell r="D10382"/>
          <cell r="E10382"/>
        </row>
        <row r="10383">
          <cell r="A10383"/>
          <cell r="B10383"/>
          <cell r="C10383"/>
          <cell r="D10383"/>
          <cell r="E10383"/>
        </row>
        <row r="10384">
          <cell r="A10384"/>
          <cell r="B10384"/>
          <cell r="C10384"/>
          <cell r="D10384"/>
          <cell r="E10384"/>
        </row>
        <row r="10385">
          <cell r="A10385"/>
          <cell r="B10385"/>
          <cell r="C10385"/>
          <cell r="D10385"/>
          <cell r="E10385"/>
        </row>
        <row r="10386">
          <cell r="A10386"/>
          <cell r="B10386"/>
          <cell r="C10386"/>
          <cell r="D10386"/>
          <cell r="E10386"/>
        </row>
        <row r="10387">
          <cell r="A10387"/>
          <cell r="B10387"/>
          <cell r="C10387"/>
          <cell r="D10387"/>
          <cell r="E10387"/>
        </row>
        <row r="10388">
          <cell r="A10388"/>
          <cell r="B10388"/>
          <cell r="C10388"/>
          <cell r="D10388"/>
          <cell r="E10388"/>
        </row>
        <row r="10389">
          <cell r="A10389"/>
          <cell r="B10389"/>
          <cell r="C10389"/>
          <cell r="D10389"/>
          <cell r="E10389"/>
        </row>
        <row r="10390">
          <cell r="A10390"/>
          <cell r="B10390"/>
          <cell r="C10390"/>
          <cell r="D10390"/>
          <cell r="E10390"/>
        </row>
        <row r="10391">
          <cell r="A10391"/>
          <cell r="B10391"/>
          <cell r="C10391"/>
          <cell r="D10391"/>
          <cell r="E10391"/>
        </row>
        <row r="10392">
          <cell r="A10392"/>
          <cell r="B10392"/>
          <cell r="C10392"/>
          <cell r="D10392"/>
          <cell r="E10392"/>
        </row>
        <row r="10393">
          <cell r="A10393"/>
          <cell r="B10393"/>
          <cell r="C10393"/>
          <cell r="D10393"/>
          <cell r="E10393"/>
        </row>
        <row r="10394">
          <cell r="A10394"/>
          <cell r="B10394"/>
          <cell r="C10394"/>
          <cell r="D10394"/>
          <cell r="E10394"/>
        </row>
        <row r="10395">
          <cell r="A10395"/>
          <cell r="B10395"/>
          <cell r="C10395"/>
          <cell r="D10395"/>
          <cell r="E10395"/>
        </row>
        <row r="10396">
          <cell r="A10396"/>
          <cell r="B10396"/>
          <cell r="C10396"/>
          <cell r="D10396"/>
          <cell r="E10396"/>
        </row>
        <row r="10397">
          <cell r="A10397"/>
          <cell r="B10397"/>
          <cell r="C10397"/>
          <cell r="D10397"/>
          <cell r="E10397"/>
        </row>
        <row r="10398">
          <cell r="A10398"/>
          <cell r="B10398"/>
          <cell r="C10398"/>
          <cell r="D10398"/>
          <cell r="E10398"/>
        </row>
        <row r="10399">
          <cell r="A10399"/>
          <cell r="B10399"/>
          <cell r="C10399"/>
          <cell r="D10399"/>
          <cell r="E10399"/>
        </row>
        <row r="10400">
          <cell r="A10400"/>
          <cell r="B10400"/>
          <cell r="C10400"/>
          <cell r="D10400"/>
          <cell r="E10400"/>
        </row>
        <row r="10401">
          <cell r="A10401"/>
          <cell r="B10401"/>
          <cell r="C10401"/>
          <cell r="D10401"/>
          <cell r="E10401"/>
        </row>
        <row r="10402">
          <cell r="A10402"/>
          <cell r="B10402"/>
          <cell r="C10402"/>
          <cell r="D10402"/>
          <cell r="E10402"/>
        </row>
        <row r="10403">
          <cell r="A10403"/>
          <cell r="B10403"/>
          <cell r="C10403"/>
          <cell r="D10403"/>
          <cell r="E10403"/>
        </row>
        <row r="10404">
          <cell r="A10404"/>
          <cell r="B10404"/>
          <cell r="C10404"/>
          <cell r="D10404"/>
          <cell r="E10404"/>
        </row>
        <row r="10405">
          <cell r="A10405"/>
          <cell r="B10405"/>
          <cell r="C10405"/>
          <cell r="D10405"/>
          <cell r="E10405"/>
        </row>
        <row r="10406">
          <cell r="A10406"/>
          <cell r="B10406"/>
          <cell r="C10406"/>
          <cell r="D10406"/>
          <cell r="E10406"/>
        </row>
        <row r="10407">
          <cell r="A10407"/>
          <cell r="B10407"/>
          <cell r="C10407"/>
          <cell r="D10407"/>
          <cell r="E10407"/>
        </row>
        <row r="10408">
          <cell r="A10408"/>
          <cell r="B10408"/>
          <cell r="C10408"/>
          <cell r="D10408"/>
          <cell r="E10408"/>
        </row>
        <row r="10409">
          <cell r="A10409"/>
          <cell r="B10409"/>
          <cell r="C10409"/>
          <cell r="D10409"/>
          <cell r="E10409"/>
        </row>
        <row r="10410">
          <cell r="A10410"/>
          <cell r="B10410"/>
          <cell r="C10410"/>
          <cell r="D10410"/>
          <cell r="E10410"/>
        </row>
        <row r="10411">
          <cell r="A10411"/>
          <cell r="B10411"/>
          <cell r="C10411"/>
          <cell r="D10411"/>
          <cell r="E10411"/>
        </row>
        <row r="10412">
          <cell r="A10412"/>
          <cell r="B10412"/>
          <cell r="C10412"/>
          <cell r="D10412"/>
          <cell r="E10412"/>
        </row>
        <row r="10413">
          <cell r="A10413"/>
          <cell r="B10413"/>
          <cell r="C10413"/>
          <cell r="D10413"/>
          <cell r="E10413"/>
        </row>
        <row r="10414">
          <cell r="A10414"/>
          <cell r="B10414"/>
          <cell r="C10414"/>
          <cell r="D10414"/>
          <cell r="E10414"/>
        </row>
        <row r="10415">
          <cell r="A10415"/>
          <cell r="B10415"/>
          <cell r="C10415"/>
          <cell r="D10415"/>
          <cell r="E10415"/>
        </row>
        <row r="10416">
          <cell r="A10416"/>
          <cell r="B10416"/>
          <cell r="C10416"/>
          <cell r="D10416"/>
          <cell r="E10416"/>
        </row>
        <row r="10417">
          <cell r="A10417"/>
          <cell r="B10417"/>
          <cell r="C10417"/>
          <cell r="D10417"/>
          <cell r="E10417"/>
        </row>
        <row r="10418">
          <cell r="A10418"/>
          <cell r="B10418"/>
          <cell r="C10418"/>
          <cell r="D10418"/>
          <cell r="E10418"/>
        </row>
        <row r="10419">
          <cell r="A10419"/>
          <cell r="B10419"/>
          <cell r="C10419"/>
          <cell r="D10419"/>
          <cell r="E10419"/>
        </row>
        <row r="10420">
          <cell r="A10420"/>
          <cell r="B10420"/>
          <cell r="C10420"/>
          <cell r="D10420"/>
          <cell r="E10420"/>
        </row>
        <row r="10421">
          <cell r="A10421"/>
          <cell r="B10421"/>
          <cell r="C10421"/>
          <cell r="D10421"/>
          <cell r="E10421"/>
        </row>
        <row r="10422">
          <cell r="A10422"/>
          <cell r="B10422"/>
          <cell r="C10422"/>
          <cell r="D10422"/>
          <cell r="E10422"/>
        </row>
        <row r="10423">
          <cell r="A10423"/>
          <cell r="B10423"/>
          <cell r="C10423"/>
          <cell r="D10423"/>
          <cell r="E10423"/>
        </row>
        <row r="10424">
          <cell r="A10424"/>
          <cell r="B10424"/>
          <cell r="C10424"/>
          <cell r="D10424"/>
          <cell r="E10424"/>
        </row>
        <row r="10425">
          <cell r="A10425"/>
          <cell r="B10425"/>
          <cell r="C10425"/>
          <cell r="D10425"/>
          <cell r="E10425"/>
        </row>
        <row r="10426">
          <cell r="A10426"/>
          <cell r="B10426"/>
          <cell r="C10426"/>
          <cell r="D10426"/>
          <cell r="E10426"/>
        </row>
        <row r="10427">
          <cell r="A10427"/>
          <cell r="B10427"/>
          <cell r="C10427"/>
          <cell r="D10427"/>
          <cell r="E10427"/>
        </row>
        <row r="10428">
          <cell r="A10428"/>
          <cell r="B10428"/>
          <cell r="C10428"/>
          <cell r="D10428"/>
          <cell r="E10428"/>
        </row>
        <row r="10429">
          <cell r="A10429"/>
          <cell r="B10429"/>
          <cell r="C10429"/>
          <cell r="D10429"/>
          <cell r="E10429"/>
        </row>
        <row r="10430">
          <cell r="A10430"/>
          <cell r="B10430"/>
          <cell r="C10430"/>
          <cell r="D10430"/>
          <cell r="E10430"/>
        </row>
        <row r="10431">
          <cell r="A10431"/>
          <cell r="B10431"/>
          <cell r="C10431"/>
          <cell r="D10431"/>
          <cell r="E10431"/>
        </row>
        <row r="10432">
          <cell r="A10432"/>
          <cell r="B10432"/>
          <cell r="C10432"/>
          <cell r="D10432"/>
          <cell r="E10432"/>
        </row>
        <row r="10433">
          <cell r="A10433"/>
          <cell r="B10433"/>
          <cell r="C10433"/>
          <cell r="D10433"/>
          <cell r="E10433"/>
        </row>
        <row r="10434">
          <cell r="A10434"/>
          <cell r="B10434"/>
          <cell r="C10434"/>
          <cell r="D10434"/>
          <cell r="E10434"/>
        </row>
        <row r="10435">
          <cell r="A10435"/>
          <cell r="B10435"/>
          <cell r="C10435"/>
          <cell r="D10435"/>
          <cell r="E10435"/>
        </row>
        <row r="10436">
          <cell r="A10436"/>
          <cell r="B10436"/>
          <cell r="C10436"/>
          <cell r="D10436"/>
          <cell r="E10436"/>
        </row>
        <row r="10437">
          <cell r="A10437"/>
          <cell r="B10437"/>
          <cell r="C10437"/>
          <cell r="D10437"/>
          <cell r="E10437"/>
        </row>
        <row r="10438">
          <cell r="A10438"/>
          <cell r="B10438"/>
          <cell r="C10438"/>
          <cell r="D10438"/>
          <cell r="E10438"/>
        </row>
        <row r="10439">
          <cell r="A10439"/>
          <cell r="B10439"/>
          <cell r="C10439"/>
          <cell r="D10439"/>
          <cell r="E10439"/>
        </row>
        <row r="10440">
          <cell r="A10440"/>
          <cell r="B10440"/>
          <cell r="C10440"/>
          <cell r="D10440"/>
          <cell r="E10440"/>
        </row>
        <row r="10441">
          <cell r="A10441"/>
          <cell r="B10441"/>
          <cell r="C10441"/>
          <cell r="D10441"/>
          <cell r="E10441"/>
        </row>
        <row r="10442">
          <cell r="A10442"/>
          <cell r="B10442"/>
          <cell r="C10442"/>
          <cell r="D10442"/>
          <cell r="E10442"/>
        </row>
        <row r="10443">
          <cell r="A10443"/>
          <cell r="B10443"/>
          <cell r="C10443"/>
          <cell r="D10443"/>
          <cell r="E10443"/>
        </row>
        <row r="10444">
          <cell r="A10444"/>
          <cell r="B10444"/>
          <cell r="C10444"/>
          <cell r="D10444"/>
          <cell r="E10444"/>
        </row>
        <row r="10445">
          <cell r="A10445"/>
          <cell r="B10445"/>
          <cell r="C10445"/>
          <cell r="D10445"/>
          <cell r="E10445"/>
        </row>
        <row r="10446">
          <cell r="A10446"/>
          <cell r="B10446"/>
          <cell r="C10446"/>
          <cell r="D10446"/>
          <cell r="E10446"/>
        </row>
        <row r="10447">
          <cell r="A10447"/>
          <cell r="B10447"/>
          <cell r="C10447"/>
          <cell r="D10447"/>
          <cell r="E10447"/>
        </row>
        <row r="10448">
          <cell r="A10448"/>
          <cell r="B10448"/>
          <cell r="C10448"/>
          <cell r="D10448"/>
          <cell r="E10448"/>
        </row>
        <row r="10449">
          <cell r="A10449"/>
          <cell r="B10449"/>
          <cell r="C10449"/>
          <cell r="D10449"/>
          <cell r="E10449"/>
        </row>
        <row r="10450">
          <cell r="A10450"/>
          <cell r="B10450"/>
          <cell r="C10450"/>
          <cell r="D10450"/>
          <cell r="E10450"/>
        </row>
        <row r="10451">
          <cell r="A10451"/>
          <cell r="B10451"/>
          <cell r="C10451"/>
          <cell r="D10451"/>
          <cell r="E10451"/>
        </row>
        <row r="10452">
          <cell r="A10452"/>
          <cell r="B10452"/>
          <cell r="C10452"/>
          <cell r="D10452"/>
          <cell r="E10452"/>
        </row>
        <row r="10453">
          <cell r="A10453"/>
          <cell r="B10453"/>
          <cell r="C10453"/>
          <cell r="D10453"/>
          <cell r="E10453"/>
        </row>
        <row r="10454">
          <cell r="A10454"/>
          <cell r="B10454"/>
          <cell r="C10454"/>
          <cell r="D10454"/>
          <cell r="E10454"/>
        </row>
        <row r="10455">
          <cell r="A10455"/>
          <cell r="B10455"/>
          <cell r="C10455"/>
          <cell r="D10455"/>
          <cell r="E10455"/>
        </row>
        <row r="10456">
          <cell r="A10456"/>
          <cell r="B10456"/>
          <cell r="C10456"/>
          <cell r="D10456"/>
          <cell r="E10456"/>
        </row>
        <row r="10457">
          <cell r="A10457"/>
          <cell r="B10457"/>
          <cell r="C10457"/>
          <cell r="D10457"/>
          <cell r="E10457"/>
        </row>
        <row r="10458">
          <cell r="A10458"/>
          <cell r="B10458"/>
          <cell r="C10458"/>
          <cell r="D10458"/>
          <cell r="E10458"/>
        </row>
        <row r="10459">
          <cell r="A10459"/>
          <cell r="B10459"/>
          <cell r="C10459"/>
          <cell r="D10459"/>
          <cell r="E10459"/>
        </row>
        <row r="10460">
          <cell r="A10460"/>
          <cell r="B10460"/>
          <cell r="C10460"/>
          <cell r="D10460"/>
          <cell r="E10460"/>
        </row>
        <row r="10461">
          <cell r="A10461"/>
          <cell r="B10461"/>
          <cell r="C10461"/>
          <cell r="D10461"/>
          <cell r="E10461"/>
        </row>
        <row r="10462">
          <cell r="A10462"/>
          <cell r="B10462"/>
          <cell r="C10462"/>
          <cell r="D10462"/>
          <cell r="E10462"/>
        </row>
        <row r="10463">
          <cell r="A10463"/>
          <cell r="B10463"/>
          <cell r="C10463"/>
          <cell r="D10463"/>
          <cell r="E10463"/>
        </row>
        <row r="10464">
          <cell r="A10464"/>
          <cell r="B10464"/>
          <cell r="C10464"/>
          <cell r="D10464"/>
          <cell r="E10464"/>
        </row>
        <row r="10465">
          <cell r="A10465"/>
          <cell r="B10465"/>
          <cell r="C10465"/>
          <cell r="D10465"/>
          <cell r="E10465"/>
        </row>
        <row r="10466">
          <cell r="A10466"/>
          <cell r="B10466"/>
          <cell r="C10466"/>
          <cell r="D10466"/>
          <cell r="E10466"/>
        </row>
        <row r="10467">
          <cell r="A10467"/>
          <cell r="B10467"/>
          <cell r="C10467"/>
          <cell r="D10467"/>
          <cell r="E10467"/>
        </row>
        <row r="10468">
          <cell r="A10468"/>
          <cell r="B10468"/>
          <cell r="C10468"/>
          <cell r="D10468"/>
          <cell r="E10468"/>
        </row>
        <row r="10469">
          <cell r="A10469"/>
          <cell r="B10469"/>
          <cell r="C10469"/>
          <cell r="D10469"/>
          <cell r="E10469"/>
        </row>
        <row r="10470">
          <cell r="A10470"/>
          <cell r="B10470"/>
          <cell r="C10470"/>
          <cell r="D10470"/>
          <cell r="E10470"/>
        </row>
        <row r="10471">
          <cell r="A10471"/>
          <cell r="B10471"/>
          <cell r="C10471"/>
          <cell r="D10471"/>
          <cell r="E10471"/>
        </row>
        <row r="10472">
          <cell r="A10472"/>
          <cell r="B10472"/>
          <cell r="C10472"/>
          <cell r="D10472"/>
          <cell r="E10472"/>
        </row>
        <row r="10473">
          <cell r="A10473"/>
          <cell r="B10473"/>
          <cell r="C10473"/>
          <cell r="D10473"/>
          <cell r="E10473"/>
        </row>
        <row r="10474">
          <cell r="A10474"/>
          <cell r="B10474"/>
          <cell r="C10474"/>
          <cell r="D10474"/>
          <cell r="E10474"/>
        </row>
        <row r="10475">
          <cell r="A10475"/>
          <cell r="B10475"/>
          <cell r="C10475"/>
          <cell r="D10475"/>
          <cell r="E10475"/>
        </row>
        <row r="10476">
          <cell r="A10476"/>
          <cell r="B10476"/>
          <cell r="C10476"/>
          <cell r="D10476"/>
          <cell r="E10476"/>
        </row>
        <row r="10477">
          <cell r="A10477"/>
          <cell r="B10477"/>
          <cell r="C10477"/>
          <cell r="D10477"/>
          <cell r="E10477"/>
        </row>
        <row r="10478">
          <cell r="A10478"/>
          <cell r="B10478"/>
          <cell r="C10478"/>
          <cell r="D10478"/>
          <cell r="E10478"/>
        </row>
        <row r="10479">
          <cell r="A10479"/>
          <cell r="B10479"/>
          <cell r="C10479"/>
          <cell r="D10479"/>
          <cell r="E10479"/>
        </row>
        <row r="10480">
          <cell r="A10480"/>
          <cell r="B10480"/>
          <cell r="C10480"/>
          <cell r="D10480"/>
          <cell r="E10480"/>
        </row>
        <row r="10481">
          <cell r="A10481"/>
          <cell r="B10481"/>
          <cell r="C10481"/>
          <cell r="D10481"/>
          <cell r="E10481"/>
        </row>
        <row r="10482">
          <cell r="A10482"/>
          <cell r="B10482"/>
          <cell r="C10482"/>
          <cell r="D10482"/>
          <cell r="E10482"/>
        </row>
        <row r="10483">
          <cell r="A10483"/>
          <cell r="B10483"/>
          <cell r="C10483"/>
          <cell r="D10483"/>
          <cell r="E10483"/>
        </row>
        <row r="10484">
          <cell r="A10484"/>
          <cell r="B10484"/>
          <cell r="C10484"/>
          <cell r="D10484"/>
          <cell r="E10484"/>
        </row>
        <row r="10485">
          <cell r="A10485"/>
          <cell r="B10485"/>
          <cell r="C10485"/>
          <cell r="D10485"/>
          <cell r="E10485"/>
        </row>
        <row r="10486">
          <cell r="A10486"/>
          <cell r="B10486"/>
          <cell r="C10486"/>
          <cell r="D10486"/>
          <cell r="E10486"/>
        </row>
        <row r="10487">
          <cell r="A10487"/>
          <cell r="B10487"/>
          <cell r="C10487"/>
          <cell r="D10487"/>
          <cell r="E10487"/>
        </row>
        <row r="10488">
          <cell r="A10488"/>
          <cell r="B10488"/>
          <cell r="C10488"/>
          <cell r="D10488"/>
          <cell r="E10488"/>
        </row>
        <row r="10489">
          <cell r="A10489"/>
          <cell r="B10489"/>
          <cell r="C10489"/>
          <cell r="D10489"/>
          <cell r="E10489"/>
        </row>
        <row r="10490">
          <cell r="A10490"/>
          <cell r="B10490"/>
          <cell r="C10490"/>
          <cell r="D10490"/>
          <cell r="E10490"/>
        </row>
        <row r="10491">
          <cell r="A10491"/>
          <cell r="B10491"/>
          <cell r="C10491"/>
          <cell r="D10491"/>
          <cell r="E10491"/>
        </row>
        <row r="10492">
          <cell r="A10492"/>
          <cell r="B10492"/>
          <cell r="C10492"/>
          <cell r="D10492"/>
          <cell r="E10492"/>
        </row>
        <row r="10493">
          <cell r="A10493"/>
          <cell r="B10493"/>
          <cell r="C10493"/>
          <cell r="D10493"/>
          <cell r="E10493"/>
        </row>
        <row r="10494">
          <cell r="A10494"/>
          <cell r="B10494"/>
          <cell r="C10494"/>
          <cell r="D10494"/>
          <cell r="E10494"/>
        </row>
        <row r="10495">
          <cell r="A10495"/>
          <cell r="B10495"/>
          <cell r="C10495"/>
          <cell r="D10495"/>
          <cell r="E10495"/>
        </row>
        <row r="10496">
          <cell r="A10496"/>
          <cell r="B10496"/>
          <cell r="C10496"/>
          <cell r="D10496"/>
          <cell r="E10496"/>
        </row>
        <row r="10497">
          <cell r="A10497"/>
          <cell r="B10497"/>
          <cell r="C10497"/>
          <cell r="D10497"/>
          <cell r="E10497"/>
        </row>
        <row r="10498">
          <cell r="A10498"/>
          <cell r="B10498"/>
          <cell r="C10498"/>
          <cell r="D10498"/>
          <cell r="E10498"/>
        </row>
        <row r="10499">
          <cell r="A10499"/>
          <cell r="B10499"/>
          <cell r="C10499"/>
          <cell r="D10499"/>
          <cell r="E10499"/>
        </row>
        <row r="10500">
          <cell r="A10500"/>
          <cell r="B10500"/>
          <cell r="C10500"/>
          <cell r="D10500"/>
          <cell r="E10500"/>
        </row>
        <row r="10501">
          <cell r="A10501"/>
          <cell r="B10501"/>
          <cell r="C10501"/>
          <cell r="D10501"/>
          <cell r="E10501"/>
        </row>
        <row r="10502">
          <cell r="A10502"/>
          <cell r="B10502"/>
          <cell r="C10502"/>
          <cell r="D10502"/>
          <cell r="E10502"/>
        </row>
        <row r="10503">
          <cell r="A10503"/>
          <cell r="B10503"/>
          <cell r="C10503"/>
          <cell r="D10503"/>
          <cell r="E10503"/>
        </row>
        <row r="10504">
          <cell r="A10504"/>
          <cell r="B10504"/>
          <cell r="C10504"/>
          <cell r="D10504"/>
          <cell r="E10504"/>
        </row>
        <row r="10505">
          <cell r="A10505"/>
          <cell r="B10505"/>
          <cell r="C10505"/>
          <cell r="D10505"/>
          <cell r="E10505"/>
        </row>
        <row r="10506">
          <cell r="A10506"/>
          <cell r="B10506"/>
          <cell r="C10506"/>
          <cell r="D10506"/>
          <cell r="E10506"/>
        </row>
        <row r="10507">
          <cell r="A10507"/>
          <cell r="B10507"/>
          <cell r="C10507"/>
          <cell r="D10507"/>
          <cell r="E10507"/>
        </row>
        <row r="10508">
          <cell r="A10508"/>
          <cell r="B10508"/>
          <cell r="C10508"/>
          <cell r="D10508"/>
          <cell r="E10508"/>
        </row>
        <row r="10509">
          <cell r="A10509"/>
          <cell r="B10509"/>
          <cell r="C10509"/>
          <cell r="D10509"/>
          <cell r="E10509"/>
        </row>
        <row r="10510">
          <cell r="A10510"/>
          <cell r="B10510"/>
          <cell r="C10510"/>
          <cell r="D10510"/>
          <cell r="E10510"/>
        </row>
        <row r="10511">
          <cell r="A10511"/>
          <cell r="B10511"/>
          <cell r="C10511"/>
          <cell r="D10511"/>
          <cell r="E10511"/>
        </row>
        <row r="10512">
          <cell r="A10512"/>
          <cell r="B10512"/>
          <cell r="C10512"/>
          <cell r="D10512"/>
          <cell r="E10512"/>
        </row>
        <row r="10513">
          <cell r="A10513"/>
          <cell r="B10513"/>
          <cell r="C10513"/>
          <cell r="D10513"/>
          <cell r="E10513"/>
        </row>
        <row r="10514">
          <cell r="A10514"/>
          <cell r="B10514"/>
          <cell r="C10514"/>
          <cell r="D10514"/>
          <cell r="E10514"/>
        </row>
        <row r="10515">
          <cell r="A10515"/>
          <cell r="B10515"/>
          <cell r="C10515"/>
          <cell r="D10515"/>
          <cell r="E10515"/>
        </row>
        <row r="10516">
          <cell r="A10516"/>
          <cell r="B10516"/>
          <cell r="C10516"/>
          <cell r="D10516"/>
          <cell r="E10516"/>
        </row>
        <row r="10517">
          <cell r="A10517"/>
          <cell r="B10517"/>
          <cell r="C10517"/>
          <cell r="D10517"/>
          <cell r="E10517"/>
        </row>
        <row r="10518">
          <cell r="A10518"/>
          <cell r="B10518"/>
          <cell r="C10518"/>
          <cell r="D10518"/>
          <cell r="E10518"/>
        </row>
        <row r="10519">
          <cell r="A10519"/>
          <cell r="B10519"/>
          <cell r="C10519"/>
          <cell r="D10519"/>
          <cell r="E10519"/>
        </row>
        <row r="10520">
          <cell r="A10520"/>
          <cell r="B10520"/>
          <cell r="C10520"/>
          <cell r="D10520"/>
          <cell r="E10520"/>
        </row>
        <row r="10521">
          <cell r="A10521"/>
          <cell r="B10521"/>
          <cell r="C10521"/>
          <cell r="D10521"/>
          <cell r="E10521"/>
        </row>
        <row r="10522">
          <cell r="A10522"/>
          <cell r="B10522"/>
          <cell r="C10522"/>
          <cell r="D10522"/>
          <cell r="E10522"/>
        </row>
        <row r="10523">
          <cell r="A10523"/>
          <cell r="B10523"/>
          <cell r="C10523"/>
          <cell r="D10523"/>
          <cell r="E10523"/>
        </row>
        <row r="10524">
          <cell r="A10524"/>
          <cell r="B10524"/>
          <cell r="C10524"/>
          <cell r="D10524"/>
          <cell r="E10524"/>
        </row>
        <row r="10525">
          <cell r="A10525"/>
          <cell r="B10525"/>
          <cell r="C10525"/>
          <cell r="D10525"/>
          <cell r="E10525"/>
        </row>
        <row r="10526">
          <cell r="A10526"/>
          <cell r="B10526"/>
          <cell r="C10526"/>
          <cell r="D10526"/>
          <cell r="E10526"/>
        </row>
        <row r="10527">
          <cell r="A10527"/>
          <cell r="B10527"/>
          <cell r="C10527"/>
          <cell r="D10527"/>
          <cell r="E10527"/>
        </row>
        <row r="10528">
          <cell r="A10528"/>
          <cell r="B10528"/>
          <cell r="C10528"/>
          <cell r="D10528"/>
          <cell r="E10528"/>
        </row>
        <row r="10529">
          <cell r="A10529"/>
          <cell r="B10529"/>
          <cell r="C10529"/>
          <cell r="D10529"/>
          <cell r="E10529"/>
        </row>
        <row r="10530">
          <cell r="A10530"/>
          <cell r="B10530"/>
          <cell r="C10530"/>
          <cell r="D10530"/>
          <cell r="E10530"/>
        </row>
        <row r="10531">
          <cell r="A10531"/>
          <cell r="B10531"/>
          <cell r="C10531"/>
          <cell r="D10531"/>
          <cell r="E10531"/>
        </row>
        <row r="10532">
          <cell r="A10532"/>
          <cell r="B10532"/>
          <cell r="C10532"/>
          <cell r="D10532"/>
          <cell r="E10532"/>
        </row>
        <row r="10533">
          <cell r="A10533"/>
          <cell r="B10533"/>
          <cell r="C10533"/>
          <cell r="D10533"/>
          <cell r="E10533"/>
        </row>
        <row r="10534">
          <cell r="A10534"/>
          <cell r="B10534"/>
          <cell r="C10534"/>
          <cell r="D10534"/>
          <cell r="E10534"/>
        </row>
        <row r="10535">
          <cell r="A10535"/>
          <cell r="B10535"/>
          <cell r="C10535"/>
          <cell r="D10535"/>
          <cell r="E10535"/>
        </row>
        <row r="10536">
          <cell r="A10536"/>
          <cell r="B10536"/>
          <cell r="C10536"/>
          <cell r="D10536"/>
          <cell r="E10536"/>
        </row>
        <row r="10537">
          <cell r="A10537"/>
          <cell r="B10537"/>
          <cell r="C10537"/>
          <cell r="D10537"/>
          <cell r="E10537"/>
        </row>
        <row r="10538">
          <cell r="A10538"/>
          <cell r="B10538"/>
          <cell r="C10538"/>
          <cell r="D10538"/>
          <cell r="E10538"/>
        </row>
        <row r="10539">
          <cell r="A10539"/>
          <cell r="B10539"/>
          <cell r="C10539"/>
          <cell r="D10539"/>
          <cell r="E10539"/>
        </row>
        <row r="10540">
          <cell r="A10540"/>
          <cell r="B10540"/>
          <cell r="C10540"/>
          <cell r="D10540"/>
          <cell r="E10540"/>
        </row>
        <row r="10541">
          <cell r="A10541"/>
          <cell r="B10541"/>
          <cell r="C10541"/>
          <cell r="D10541"/>
          <cell r="E10541"/>
        </row>
        <row r="10542">
          <cell r="A10542"/>
          <cell r="B10542"/>
          <cell r="C10542"/>
          <cell r="D10542"/>
          <cell r="E10542"/>
        </row>
        <row r="10543">
          <cell r="A10543"/>
          <cell r="B10543"/>
          <cell r="C10543"/>
          <cell r="D10543"/>
          <cell r="E10543"/>
        </row>
        <row r="10544">
          <cell r="A10544"/>
          <cell r="B10544"/>
          <cell r="C10544"/>
          <cell r="D10544"/>
          <cell r="E10544"/>
        </row>
        <row r="10545">
          <cell r="A10545"/>
          <cell r="B10545"/>
          <cell r="C10545"/>
          <cell r="D10545"/>
          <cell r="E10545"/>
        </row>
        <row r="10546">
          <cell r="A10546"/>
          <cell r="B10546"/>
          <cell r="C10546"/>
          <cell r="D10546"/>
          <cell r="E10546"/>
        </row>
        <row r="10547">
          <cell r="A10547"/>
          <cell r="B10547"/>
          <cell r="C10547"/>
          <cell r="D10547"/>
          <cell r="E10547"/>
        </row>
        <row r="10548">
          <cell r="A10548"/>
          <cell r="B10548"/>
          <cell r="C10548"/>
          <cell r="D10548"/>
          <cell r="E10548"/>
        </row>
        <row r="10549">
          <cell r="A10549"/>
          <cell r="B10549"/>
          <cell r="C10549"/>
          <cell r="D10549"/>
          <cell r="E10549"/>
        </row>
        <row r="10550">
          <cell r="A10550"/>
          <cell r="B10550"/>
          <cell r="C10550"/>
          <cell r="D10550"/>
          <cell r="E10550"/>
        </row>
        <row r="10551">
          <cell r="A10551"/>
          <cell r="B10551"/>
          <cell r="C10551"/>
          <cell r="D10551"/>
          <cell r="E10551"/>
        </row>
        <row r="10552">
          <cell r="A10552"/>
          <cell r="B10552"/>
          <cell r="C10552"/>
          <cell r="D10552"/>
          <cell r="E10552"/>
        </row>
        <row r="10553">
          <cell r="A10553"/>
          <cell r="B10553"/>
          <cell r="C10553"/>
          <cell r="D10553"/>
          <cell r="E10553"/>
        </row>
        <row r="10554">
          <cell r="A10554"/>
          <cell r="B10554"/>
          <cell r="C10554"/>
          <cell r="D10554"/>
          <cell r="E10554"/>
        </row>
        <row r="10555">
          <cell r="A10555"/>
          <cell r="B10555"/>
          <cell r="C10555"/>
          <cell r="D10555"/>
          <cell r="E10555"/>
        </row>
        <row r="10556">
          <cell r="A10556"/>
          <cell r="B10556"/>
          <cell r="C10556"/>
          <cell r="D10556"/>
          <cell r="E10556"/>
        </row>
        <row r="10557">
          <cell r="A10557"/>
          <cell r="B10557"/>
          <cell r="C10557"/>
          <cell r="D10557"/>
          <cell r="E10557"/>
        </row>
        <row r="10558">
          <cell r="A10558"/>
          <cell r="B10558"/>
          <cell r="C10558"/>
          <cell r="D10558"/>
          <cell r="E10558"/>
        </row>
        <row r="10559">
          <cell r="A10559"/>
          <cell r="B10559"/>
          <cell r="C10559"/>
          <cell r="D10559"/>
          <cell r="E10559"/>
        </row>
        <row r="10560">
          <cell r="A10560"/>
          <cell r="B10560"/>
          <cell r="C10560"/>
          <cell r="D10560"/>
          <cell r="E10560"/>
        </row>
        <row r="10561">
          <cell r="A10561"/>
          <cell r="B10561"/>
          <cell r="C10561"/>
          <cell r="D10561"/>
          <cell r="E10561"/>
        </row>
        <row r="10562">
          <cell r="A10562"/>
          <cell r="B10562"/>
          <cell r="C10562"/>
          <cell r="D10562"/>
          <cell r="E10562"/>
        </row>
        <row r="10563">
          <cell r="A10563"/>
          <cell r="B10563"/>
          <cell r="C10563"/>
          <cell r="D10563"/>
          <cell r="E10563"/>
        </row>
        <row r="10564">
          <cell r="A10564"/>
          <cell r="B10564"/>
          <cell r="C10564"/>
          <cell r="D10564"/>
          <cell r="E10564"/>
        </row>
        <row r="10565">
          <cell r="A10565"/>
          <cell r="B10565"/>
          <cell r="C10565"/>
          <cell r="D10565"/>
          <cell r="E10565"/>
        </row>
        <row r="10566">
          <cell r="A10566"/>
          <cell r="B10566"/>
          <cell r="C10566"/>
          <cell r="D10566"/>
          <cell r="E10566"/>
        </row>
        <row r="10567">
          <cell r="A10567"/>
          <cell r="B10567"/>
          <cell r="C10567"/>
          <cell r="D10567"/>
          <cell r="E10567"/>
        </row>
        <row r="10568">
          <cell r="A10568"/>
          <cell r="B10568"/>
          <cell r="C10568"/>
          <cell r="D10568"/>
          <cell r="E10568"/>
        </row>
        <row r="10569">
          <cell r="A10569"/>
          <cell r="B10569"/>
          <cell r="C10569"/>
          <cell r="D10569"/>
          <cell r="E10569"/>
        </row>
        <row r="10570">
          <cell r="A10570"/>
          <cell r="B10570"/>
          <cell r="C10570"/>
          <cell r="D10570"/>
          <cell r="E10570"/>
        </row>
        <row r="10571">
          <cell r="A10571"/>
          <cell r="B10571"/>
          <cell r="C10571"/>
          <cell r="D10571"/>
          <cell r="E10571"/>
        </row>
        <row r="10572">
          <cell r="A10572"/>
          <cell r="B10572"/>
          <cell r="C10572"/>
          <cell r="D10572"/>
          <cell r="E10572"/>
        </row>
        <row r="10573">
          <cell r="A10573"/>
          <cell r="B10573"/>
          <cell r="C10573"/>
          <cell r="D10573"/>
          <cell r="E10573"/>
        </row>
        <row r="10574">
          <cell r="A10574"/>
          <cell r="B10574"/>
          <cell r="C10574"/>
          <cell r="D10574"/>
          <cell r="E10574"/>
        </row>
        <row r="10575">
          <cell r="A10575"/>
          <cell r="B10575"/>
          <cell r="C10575"/>
          <cell r="D10575"/>
          <cell r="E10575"/>
        </row>
        <row r="10576">
          <cell r="A10576"/>
          <cell r="B10576"/>
          <cell r="C10576"/>
          <cell r="D10576"/>
          <cell r="E10576"/>
        </row>
        <row r="10577">
          <cell r="A10577"/>
          <cell r="B10577"/>
          <cell r="C10577"/>
          <cell r="D10577"/>
          <cell r="E10577"/>
        </row>
        <row r="10578">
          <cell r="A10578"/>
          <cell r="B10578"/>
          <cell r="C10578"/>
          <cell r="D10578"/>
          <cell r="E10578"/>
        </row>
        <row r="10579">
          <cell r="A10579"/>
          <cell r="B10579"/>
          <cell r="C10579"/>
          <cell r="D10579"/>
          <cell r="E10579"/>
        </row>
        <row r="10580">
          <cell r="A10580"/>
          <cell r="B10580"/>
          <cell r="C10580"/>
          <cell r="D10580"/>
          <cell r="E10580"/>
        </row>
        <row r="10581">
          <cell r="A10581"/>
          <cell r="B10581"/>
          <cell r="C10581"/>
          <cell r="D10581"/>
          <cell r="E10581"/>
        </row>
        <row r="10582">
          <cell r="A10582"/>
          <cell r="B10582"/>
          <cell r="C10582"/>
          <cell r="D10582"/>
          <cell r="E10582"/>
        </row>
        <row r="10583">
          <cell r="A10583"/>
          <cell r="B10583"/>
          <cell r="C10583"/>
          <cell r="D10583"/>
          <cell r="E10583"/>
        </row>
        <row r="10584">
          <cell r="A10584"/>
          <cell r="B10584"/>
          <cell r="C10584"/>
          <cell r="D10584"/>
          <cell r="E10584"/>
        </row>
        <row r="10585">
          <cell r="A10585"/>
          <cell r="B10585"/>
          <cell r="C10585"/>
          <cell r="D10585"/>
          <cell r="E10585"/>
        </row>
        <row r="10586">
          <cell r="A10586"/>
          <cell r="B10586"/>
          <cell r="C10586"/>
          <cell r="D10586"/>
          <cell r="E10586"/>
        </row>
        <row r="10587">
          <cell r="A10587"/>
          <cell r="B10587"/>
          <cell r="C10587"/>
          <cell r="D10587"/>
          <cell r="E10587"/>
        </row>
        <row r="10588">
          <cell r="A10588"/>
          <cell r="B10588"/>
          <cell r="C10588"/>
          <cell r="D10588"/>
          <cell r="E10588"/>
        </row>
        <row r="10589">
          <cell r="A10589"/>
          <cell r="B10589"/>
          <cell r="C10589"/>
          <cell r="D10589"/>
          <cell r="E10589"/>
        </row>
        <row r="10590">
          <cell r="A10590"/>
          <cell r="B10590"/>
          <cell r="C10590"/>
          <cell r="D10590"/>
          <cell r="E10590"/>
        </row>
        <row r="10591">
          <cell r="A10591"/>
          <cell r="B10591"/>
          <cell r="C10591"/>
          <cell r="D10591"/>
          <cell r="E10591"/>
        </row>
        <row r="10592">
          <cell r="A10592"/>
          <cell r="B10592"/>
          <cell r="C10592"/>
          <cell r="D10592"/>
          <cell r="E10592"/>
        </row>
        <row r="10593">
          <cell r="A10593"/>
          <cell r="B10593"/>
          <cell r="C10593"/>
          <cell r="D10593"/>
          <cell r="E10593"/>
        </row>
        <row r="10594">
          <cell r="A10594"/>
          <cell r="B10594"/>
          <cell r="C10594"/>
          <cell r="D10594"/>
          <cell r="E10594"/>
        </row>
        <row r="10595">
          <cell r="A10595"/>
          <cell r="B10595"/>
          <cell r="C10595"/>
          <cell r="D10595"/>
          <cell r="E10595"/>
        </row>
        <row r="10596">
          <cell r="A10596"/>
          <cell r="B10596"/>
          <cell r="C10596"/>
          <cell r="D10596"/>
          <cell r="E10596"/>
        </row>
        <row r="10597">
          <cell r="A10597"/>
          <cell r="B10597"/>
          <cell r="C10597"/>
          <cell r="D10597"/>
          <cell r="E10597"/>
        </row>
        <row r="10598">
          <cell r="A10598"/>
          <cell r="B10598"/>
          <cell r="C10598"/>
          <cell r="D10598"/>
          <cell r="E10598"/>
        </row>
        <row r="10599">
          <cell r="A10599"/>
          <cell r="B10599"/>
          <cell r="C10599"/>
          <cell r="D10599"/>
          <cell r="E10599"/>
        </row>
        <row r="10600">
          <cell r="A10600"/>
          <cell r="B10600"/>
          <cell r="C10600"/>
          <cell r="D10600"/>
          <cell r="E10600"/>
        </row>
        <row r="10601">
          <cell r="A10601"/>
          <cell r="B10601"/>
          <cell r="C10601"/>
          <cell r="D10601"/>
          <cell r="E10601"/>
        </row>
        <row r="10602">
          <cell r="A10602"/>
          <cell r="B10602"/>
          <cell r="C10602"/>
          <cell r="D10602"/>
          <cell r="E10602"/>
        </row>
        <row r="10603">
          <cell r="A10603"/>
          <cell r="B10603"/>
          <cell r="C10603"/>
          <cell r="D10603"/>
          <cell r="E10603"/>
        </row>
        <row r="10604">
          <cell r="A10604"/>
          <cell r="B10604"/>
          <cell r="C10604"/>
          <cell r="D10604"/>
          <cell r="E10604"/>
        </row>
        <row r="10605">
          <cell r="A10605"/>
          <cell r="B10605"/>
          <cell r="C10605"/>
          <cell r="D10605"/>
          <cell r="E10605"/>
        </row>
        <row r="10606">
          <cell r="A10606"/>
          <cell r="B10606"/>
          <cell r="C10606"/>
          <cell r="D10606"/>
          <cell r="E10606"/>
        </row>
        <row r="10607">
          <cell r="A10607"/>
          <cell r="B10607"/>
          <cell r="C10607"/>
          <cell r="D10607"/>
          <cell r="E10607"/>
        </row>
        <row r="10608">
          <cell r="A10608"/>
          <cell r="B10608"/>
          <cell r="C10608"/>
          <cell r="D10608"/>
          <cell r="E10608"/>
        </row>
        <row r="10609">
          <cell r="A10609"/>
          <cell r="B10609"/>
          <cell r="C10609"/>
          <cell r="D10609"/>
          <cell r="E10609"/>
        </row>
        <row r="10610">
          <cell r="A10610"/>
          <cell r="B10610"/>
          <cell r="C10610"/>
          <cell r="D10610"/>
          <cell r="E10610"/>
        </row>
        <row r="10611">
          <cell r="A10611"/>
          <cell r="B10611"/>
          <cell r="C10611"/>
          <cell r="D10611"/>
          <cell r="E10611"/>
        </row>
        <row r="10612">
          <cell r="A10612"/>
          <cell r="B10612"/>
          <cell r="C10612"/>
          <cell r="D10612"/>
          <cell r="E10612"/>
        </row>
        <row r="10613">
          <cell r="A10613"/>
          <cell r="B10613"/>
          <cell r="C10613"/>
          <cell r="D10613"/>
          <cell r="E10613"/>
        </row>
        <row r="10614">
          <cell r="A10614"/>
          <cell r="B10614"/>
          <cell r="C10614"/>
          <cell r="D10614"/>
          <cell r="E10614"/>
        </row>
        <row r="10615">
          <cell r="A10615"/>
          <cell r="B10615"/>
          <cell r="C10615"/>
          <cell r="D10615"/>
          <cell r="E10615"/>
        </row>
        <row r="10616">
          <cell r="A10616"/>
          <cell r="B10616"/>
          <cell r="C10616"/>
          <cell r="D10616"/>
          <cell r="E10616"/>
        </row>
        <row r="10617">
          <cell r="A10617"/>
          <cell r="B10617"/>
          <cell r="C10617"/>
          <cell r="D10617"/>
          <cell r="E10617"/>
        </row>
        <row r="10618">
          <cell r="A10618"/>
          <cell r="B10618"/>
          <cell r="C10618"/>
          <cell r="D10618"/>
          <cell r="E10618"/>
        </row>
        <row r="10619">
          <cell r="A10619"/>
          <cell r="B10619"/>
          <cell r="C10619"/>
          <cell r="D10619"/>
          <cell r="E10619"/>
        </row>
        <row r="10620">
          <cell r="A10620"/>
          <cell r="B10620"/>
          <cell r="C10620"/>
          <cell r="D10620"/>
          <cell r="E10620"/>
        </row>
        <row r="10621">
          <cell r="A10621"/>
          <cell r="B10621"/>
          <cell r="C10621"/>
          <cell r="D10621"/>
          <cell r="E10621"/>
        </row>
        <row r="10622">
          <cell r="A10622"/>
          <cell r="B10622"/>
          <cell r="C10622"/>
          <cell r="D10622"/>
          <cell r="E10622"/>
        </row>
        <row r="10623">
          <cell r="A10623"/>
          <cell r="B10623"/>
          <cell r="C10623"/>
          <cell r="D10623"/>
          <cell r="E10623"/>
        </row>
        <row r="10624">
          <cell r="A10624"/>
          <cell r="B10624"/>
          <cell r="C10624"/>
          <cell r="D10624"/>
          <cell r="E10624"/>
        </row>
        <row r="10625">
          <cell r="A10625"/>
          <cell r="B10625"/>
          <cell r="C10625"/>
          <cell r="D10625"/>
          <cell r="E10625"/>
        </row>
        <row r="10626">
          <cell r="A10626"/>
          <cell r="B10626"/>
          <cell r="C10626"/>
          <cell r="D10626"/>
          <cell r="E10626"/>
        </row>
        <row r="10627">
          <cell r="A10627"/>
          <cell r="B10627"/>
          <cell r="C10627"/>
          <cell r="D10627"/>
          <cell r="E10627"/>
        </row>
        <row r="10628">
          <cell r="A10628"/>
          <cell r="B10628"/>
          <cell r="C10628"/>
          <cell r="D10628"/>
          <cell r="E10628"/>
        </row>
        <row r="10629">
          <cell r="A10629"/>
          <cell r="B10629"/>
          <cell r="C10629"/>
          <cell r="D10629"/>
          <cell r="E10629"/>
        </row>
        <row r="10630">
          <cell r="A10630"/>
          <cell r="B10630"/>
          <cell r="C10630"/>
          <cell r="D10630"/>
          <cell r="E10630"/>
        </row>
        <row r="10631">
          <cell r="A10631"/>
          <cell r="B10631"/>
          <cell r="C10631"/>
          <cell r="D10631"/>
          <cell r="E10631"/>
        </row>
        <row r="10632">
          <cell r="A10632"/>
          <cell r="B10632"/>
          <cell r="C10632"/>
          <cell r="D10632"/>
          <cell r="E10632"/>
        </row>
        <row r="10633">
          <cell r="A10633"/>
          <cell r="B10633"/>
          <cell r="C10633"/>
          <cell r="D10633"/>
          <cell r="E10633"/>
        </row>
        <row r="10634">
          <cell r="A10634"/>
          <cell r="B10634"/>
          <cell r="C10634"/>
          <cell r="D10634"/>
          <cell r="E10634"/>
        </row>
        <row r="10635">
          <cell r="A10635"/>
          <cell r="B10635"/>
          <cell r="C10635"/>
          <cell r="D10635"/>
          <cell r="E10635"/>
        </row>
        <row r="10636">
          <cell r="A10636"/>
          <cell r="B10636"/>
          <cell r="C10636"/>
          <cell r="D10636"/>
          <cell r="E10636"/>
        </row>
        <row r="10637">
          <cell r="A10637"/>
          <cell r="B10637"/>
          <cell r="C10637"/>
          <cell r="D10637"/>
          <cell r="E10637"/>
        </row>
        <row r="10638">
          <cell r="A10638"/>
          <cell r="B10638"/>
          <cell r="C10638"/>
          <cell r="D10638"/>
          <cell r="E10638"/>
        </row>
        <row r="10639">
          <cell r="A10639"/>
          <cell r="B10639"/>
          <cell r="C10639"/>
          <cell r="D10639"/>
          <cell r="E10639"/>
        </row>
        <row r="10640">
          <cell r="A10640"/>
          <cell r="B10640"/>
          <cell r="C10640"/>
          <cell r="D10640"/>
          <cell r="E10640"/>
        </row>
        <row r="10641">
          <cell r="A10641"/>
          <cell r="B10641"/>
          <cell r="C10641"/>
          <cell r="D10641"/>
          <cell r="E10641"/>
        </row>
        <row r="10642">
          <cell r="A10642"/>
          <cell r="B10642"/>
          <cell r="C10642"/>
          <cell r="D10642"/>
          <cell r="E10642"/>
        </row>
        <row r="10643">
          <cell r="A10643"/>
          <cell r="B10643"/>
          <cell r="C10643"/>
          <cell r="D10643"/>
          <cell r="E10643"/>
        </row>
        <row r="10644">
          <cell r="A10644"/>
          <cell r="B10644"/>
          <cell r="C10644"/>
          <cell r="D10644"/>
          <cell r="E10644"/>
        </row>
        <row r="10645">
          <cell r="A10645"/>
          <cell r="B10645"/>
          <cell r="C10645"/>
          <cell r="D10645"/>
          <cell r="E10645"/>
        </row>
        <row r="10646">
          <cell r="A10646"/>
          <cell r="B10646"/>
          <cell r="C10646"/>
          <cell r="D10646"/>
          <cell r="E10646"/>
        </row>
        <row r="10647">
          <cell r="A10647"/>
          <cell r="B10647"/>
          <cell r="C10647"/>
          <cell r="D10647"/>
          <cell r="E10647"/>
        </row>
        <row r="10648">
          <cell r="A10648"/>
          <cell r="B10648"/>
          <cell r="C10648"/>
          <cell r="D10648"/>
          <cell r="E10648"/>
        </row>
        <row r="10649">
          <cell r="A10649"/>
          <cell r="B10649"/>
          <cell r="C10649"/>
          <cell r="D10649"/>
          <cell r="E10649"/>
        </row>
        <row r="10650">
          <cell r="A10650"/>
          <cell r="B10650"/>
          <cell r="C10650"/>
          <cell r="D10650"/>
          <cell r="E10650"/>
        </row>
        <row r="10651">
          <cell r="A10651"/>
          <cell r="B10651"/>
          <cell r="C10651"/>
          <cell r="D10651"/>
          <cell r="E10651"/>
        </row>
        <row r="10652">
          <cell r="A10652"/>
          <cell r="B10652"/>
          <cell r="C10652"/>
          <cell r="D10652"/>
          <cell r="E10652"/>
        </row>
        <row r="10653">
          <cell r="A10653"/>
          <cell r="B10653"/>
          <cell r="C10653"/>
          <cell r="D10653"/>
          <cell r="E10653"/>
        </row>
        <row r="10654">
          <cell r="A10654"/>
          <cell r="B10654"/>
          <cell r="C10654"/>
          <cell r="D10654"/>
          <cell r="E10654"/>
        </row>
        <row r="10655">
          <cell r="A10655"/>
          <cell r="B10655"/>
          <cell r="C10655"/>
          <cell r="D10655"/>
          <cell r="E10655"/>
        </row>
        <row r="10656">
          <cell r="A10656"/>
          <cell r="B10656"/>
          <cell r="C10656"/>
          <cell r="D10656"/>
          <cell r="E10656"/>
        </row>
        <row r="10657">
          <cell r="A10657"/>
          <cell r="B10657"/>
          <cell r="C10657"/>
          <cell r="D10657"/>
          <cell r="E10657"/>
        </row>
        <row r="10658">
          <cell r="A10658"/>
          <cell r="B10658"/>
          <cell r="C10658"/>
          <cell r="D10658"/>
          <cell r="E10658"/>
        </row>
        <row r="10659">
          <cell r="A10659"/>
          <cell r="B10659"/>
          <cell r="C10659"/>
          <cell r="D10659"/>
          <cell r="E10659"/>
        </row>
        <row r="10660">
          <cell r="A10660"/>
          <cell r="B10660"/>
          <cell r="C10660"/>
          <cell r="D10660"/>
          <cell r="E10660"/>
        </row>
        <row r="10661">
          <cell r="A10661"/>
          <cell r="B10661"/>
          <cell r="C10661"/>
          <cell r="D10661"/>
          <cell r="E10661"/>
        </row>
        <row r="10662">
          <cell r="A10662"/>
          <cell r="B10662"/>
          <cell r="C10662"/>
          <cell r="D10662"/>
          <cell r="E10662"/>
        </row>
        <row r="10663">
          <cell r="A10663"/>
          <cell r="B10663"/>
          <cell r="C10663"/>
          <cell r="D10663"/>
          <cell r="E10663"/>
        </row>
        <row r="10664">
          <cell r="A10664"/>
          <cell r="B10664"/>
          <cell r="C10664"/>
          <cell r="D10664"/>
          <cell r="E10664"/>
        </row>
        <row r="10665">
          <cell r="A10665"/>
          <cell r="B10665"/>
          <cell r="C10665"/>
          <cell r="D10665"/>
          <cell r="E10665"/>
        </row>
        <row r="10666">
          <cell r="A10666"/>
          <cell r="B10666"/>
          <cell r="C10666"/>
          <cell r="D10666"/>
          <cell r="E10666"/>
        </row>
        <row r="10667">
          <cell r="A10667"/>
          <cell r="B10667"/>
          <cell r="C10667"/>
          <cell r="D10667"/>
          <cell r="E10667"/>
        </row>
        <row r="10668">
          <cell r="A10668"/>
          <cell r="B10668"/>
          <cell r="C10668"/>
          <cell r="D10668"/>
          <cell r="E10668"/>
        </row>
        <row r="10669">
          <cell r="A10669"/>
          <cell r="B10669"/>
          <cell r="C10669"/>
          <cell r="D10669"/>
          <cell r="E10669"/>
        </row>
        <row r="10670">
          <cell r="A10670"/>
          <cell r="B10670"/>
          <cell r="C10670"/>
          <cell r="D10670"/>
          <cell r="E10670"/>
        </row>
        <row r="10671">
          <cell r="A10671"/>
          <cell r="B10671"/>
          <cell r="C10671"/>
          <cell r="D10671"/>
          <cell r="E10671"/>
        </row>
        <row r="10672">
          <cell r="A10672"/>
          <cell r="B10672"/>
          <cell r="C10672"/>
          <cell r="D10672"/>
          <cell r="E10672"/>
        </row>
        <row r="10673">
          <cell r="A10673"/>
          <cell r="B10673"/>
          <cell r="C10673"/>
          <cell r="D10673"/>
          <cell r="E10673"/>
        </row>
        <row r="10674">
          <cell r="A10674"/>
          <cell r="B10674"/>
          <cell r="C10674"/>
          <cell r="D10674"/>
          <cell r="E10674"/>
        </row>
        <row r="10675">
          <cell r="A10675"/>
          <cell r="B10675"/>
          <cell r="C10675"/>
          <cell r="D10675"/>
          <cell r="E10675"/>
        </row>
        <row r="10676">
          <cell r="A10676"/>
          <cell r="B10676"/>
          <cell r="C10676"/>
          <cell r="D10676"/>
          <cell r="E10676"/>
        </row>
        <row r="10677">
          <cell r="A10677"/>
          <cell r="B10677"/>
          <cell r="C10677"/>
          <cell r="D10677"/>
          <cell r="E10677"/>
        </row>
        <row r="10678">
          <cell r="A10678"/>
          <cell r="B10678"/>
          <cell r="C10678"/>
          <cell r="D10678"/>
          <cell r="E10678"/>
        </row>
        <row r="10679">
          <cell r="A10679"/>
          <cell r="B10679"/>
          <cell r="C10679"/>
          <cell r="D10679"/>
          <cell r="E10679"/>
        </row>
        <row r="10680">
          <cell r="A10680"/>
          <cell r="B10680"/>
          <cell r="C10680"/>
          <cell r="D10680"/>
          <cell r="E10680"/>
        </row>
        <row r="10681">
          <cell r="A10681"/>
          <cell r="B10681"/>
          <cell r="C10681"/>
          <cell r="D10681"/>
          <cell r="E10681"/>
        </row>
        <row r="10682">
          <cell r="A10682"/>
          <cell r="B10682"/>
          <cell r="C10682"/>
          <cell r="D10682"/>
          <cell r="E10682"/>
        </row>
        <row r="10683">
          <cell r="A10683"/>
          <cell r="B10683"/>
          <cell r="C10683"/>
          <cell r="D10683"/>
          <cell r="E10683"/>
        </row>
        <row r="10684">
          <cell r="A10684"/>
          <cell r="B10684"/>
          <cell r="C10684"/>
          <cell r="D10684"/>
          <cell r="E10684"/>
        </row>
        <row r="10685">
          <cell r="A10685"/>
          <cell r="B10685"/>
          <cell r="C10685"/>
          <cell r="D10685"/>
          <cell r="E10685"/>
        </row>
        <row r="10686">
          <cell r="A10686"/>
          <cell r="B10686"/>
          <cell r="C10686"/>
          <cell r="D10686"/>
          <cell r="E10686"/>
        </row>
        <row r="10687">
          <cell r="A10687"/>
          <cell r="B10687"/>
          <cell r="C10687"/>
          <cell r="D10687"/>
          <cell r="E10687"/>
        </row>
        <row r="10688">
          <cell r="A10688"/>
          <cell r="B10688"/>
          <cell r="C10688"/>
          <cell r="D10688"/>
          <cell r="E10688"/>
        </row>
        <row r="10689">
          <cell r="A10689"/>
          <cell r="B10689"/>
          <cell r="C10689"/>
          <cell r="D10689"/>
          <cell r="E10689"/>
        </row>
        <row r="10690">
          <cell r="A10690"/>
          <cell r="B10690"/>
          <cell r="C10690"/>
          <cell r="D10690"/>
          <cell r="E10690"/>
        </row>
        <row r="10691">
          <cell r="A10691"/>
          <cell r="B10691"/>
          <cell r="C10691"/>
          <cell r="D10691"/>
          <cell r="E10691"/>
        </row>
        <row r="10692">
          <cell r="A10692"/>
          <cell r="B10692"/>
          <cell r="C10692"/>
          <cell r="D10692"/>
          <cell r="E10692"/>
        </row>
        <row r="10693">
          <cell r="A10693"/>
          <cell r="B10693"/>
          <cell r="C10693"/>
          <cell r="D10693"/>
          <cell r="E10693"/>
        </row>
        <row r="10694">
          <cell r="A10694"/>
          <cell r="B10694"/>
          <cell r="C10694"/>
          <cell r="D10694"/>
          <cell r="E10694"/>
        </row>
        <row r="10695">
          <cell r="A10695"/>
          <cell r="B10695"/>
          <cell r="C10695"/>
          <cell r="D10695"/>
          <cell r="E10695"/>
        </row>
        <row r="10696">
          <cell r="A10696"/>
          <cell r="B10696"/>
          <cell r="C10696"/>
          <cell r="D10696"/>
          <cell r="E10696"/>
        </row>
        <row r="10697">
          <cell r="A10697"/>
          <cell r="B10697"/>
          <cell r="C10697"/>
          <cell r="D10697"/>
          <cell r="E10697"/>
        </row>
        <row r="10698">
          <cell r="A10698"/>
          <cell r="B10698"/>
          <cell r="C10698"/>
          <cell r="D10698"/>
          <cell r="E10698"/>
        </row>
        <row r="10699">
          <cell r="A10699"/>
          <cell r="B10699"/>
          <cell r="C10699"/>
          <cell r="D10699"/>
          <cell r="E10699"/>
        </row>
        <row r="10700">
          <cell r="A10700"/>
          <cell r="B10700"/>
          <cell r="C10700"/>
          <cell r="D10700"/>
          <cell r="E10700"/>
        </row>
        <row r="10701">
          <cell r="A10701"/>
          <cell r="B10701"/>
          <cell r="C10701"/>
          <cell r="D10701"/>
          <cell r="E10701"/>
        </row>
        <row r="10702">
          <cell r="A10702"/>
          <cell r="B10702"/>
          <cell r="C10702"/>
          <cell r="D10702"/>
          <cell r="E10702"/>
        </row>
        <row r="10703">
          <cell r="A10703"/>
          <cell r="B10703"/>
          <cell r="C10703"/>
          <cell r="D10703"/>
          <cell r="E10703"/>
        </row>
        <row r="10704">
          <cell r="A10704"/>
          <cell r="B10704"/>
          <cell r="C10704"/>
          <cell r="D10704"/>
          <cell r="E10704"/>
        </row>
        <row r="10705">
          <cell r="A10705"/>
          <cell r="B10705"/>
          <cell r="C10705"/>
          <cell r="D10705"/>
          <cell r="E10705"/>
        </row>
        <row r="10706">
          <cell r="A10706"/>
          <cell r="B10706"/>
          <cell r="C10706"/>
          <cell r="D10706"/>
          <cell r="E10706"/>
        </row>
        <row r="10707">
          <cell r="A10707"/>
          <cell r="B10707"/>
          <cell r="C10707"/>
          <cell r="D10707"/>
          <cell r="E10707"/>
        </row>
        <row r="10708">
          <cell r="A10708"/>
          <cell r="B10708"/>
          <cell r="C10708"/>
          <cell r="D10708"/>
          <cell r="E10708"/>
        </row>
        <row r="10709">
          <cell r="A10709"/>
          <cell r="B10709"/>
          <cell r="C10709"/>
          <cell r="D10709"/>
          <cell r="E10709"/>
        </row>
        <row r="10710">
          <cell r="A10710"/>
          <cell r="B10710"/>
          <cell r="C10710"/>
          <cell r="D10710"/>
          <cell r="E10710"/>
        </row>
        <row r="10711">
          <cell r="A10711"/>
          <cell r="B10711"/>
          <cell r="C10711"/>
          <cell r="D10711"/>
          <cell r="E10711"/>
        </row>
        <row r="10712">
          <cell r="A10712"/>
          <cell r="B10712"/>
          <cell r="C10712"/>
          <cell r="D10712"/>
          <cell r="E10712"/>
        </row>
        <row r="10713">
          <cell r="A10713"/>
          <cell r="B10713"/>
          <cell r="C10713"/>
          <cell r="D10713"/>
          <cell r="E10713"/>
        </row>
        <row r="10714">
          <cell r="A10714"/>
          <cell r="B10714"/>
          <cell r="C10714"/>
          <cell r="D10714"/>
          <cell r="E10714"/>
        </row>
        <row r="10715">
          <cell r="A10715"/>
          <cell r="B10715"/>
          <cell r="C10715"/>
          <cell r="D10715"/>
          <cell r="E10715"/>
        </row>
        <row r="10716">
          <cell r="A10716"/>
          <cell r="B10716"/>
          <cell r="C10716"/>
          <cell r="D10716"/>
          <cell r="E10716"/>
        </row>
        <row r="10717">
          <cell r="A10717"/>
          <cell r="B10717"/>
          <cell r="C10717"/>
          <cell r="D10717"/>
          <cell r="E10717"/>
        </row>
        <row r="10718">
          <cell r="A10718"/>
          <cell r="B10718"/>
          <cell r="C10718"/>
          <cell r="D10718"/>
          <cell r="E10718"/>
        </row>
        <row r="10719">
          <cell r="A10719"/>
          <cell r="B10719"/>
          <cell r="C10719"/>
          <cell r="D10719"/>
          <cell r="E10719"/>
        </row>
        <row r="10720">
          <cell r="A10720"/>
          <cell r="B10720"/>
          <cell r="C10720"/>
          <cell r="D10720"/>
          <cell r="E10720"/>
        </row>
        <row r="10721">
          <cell r="A10721"/>
          <cell r="B10721"/>
          <cell r="C10721"/>
          <cell r="D10721"/>
          <cell r="E10721"/>
        </row>
        <row r="10722">
          <cell r="A10722"/>
          <cell r="B10722"/>
          <cell r="C10722"/>
          <cell r="D10722"/>
          <cell r="E10722"/>
        </row>
        <row r="10723">
          <cell r="A10723"/>
          <cell r="B10723"/>
          <cell r="C10723"/>
          <cell r="D10723"/>
          <cell r="E10723"/>
        </row>
        <row r="10724">
          <cell r="A10724"/>
          <cell r="B10724"/>
          <cell r="C10724"/>
          <cell r="D10724"/>
          <cell r="E10724"/>
        </row>
        <row r="10725">
          <cell r="A10725"/>
          <cell r="B10725"/>
          <cell r="C10725"/>
          <cell r="D10725"/>
          <cell r="E10725"/>
        </row>
        <row r="10726">
          <cell r="A10726"/>
          <cell r="B10726"/>
          <cell r="C10726"/>
          <cell r="D10726"/>
          <cell r="E10726"/>
        </row>
        <row r="10727">
          <cell r="A10727"/>
          <cell r="B10727"/>
          <cell r="C10727"/>
          <cell r="D10727"/>
          <cell r="E10727"/>
        </row>
        <row r="10728">
          <cell r="A10728"/>
          <cell r="B10728"/>
          <cell r="C10728"/>
          <cell r="D10728"/>
          <cell r="E10728"/>
        </row>
        <row r="10729">
          <cell r="A10729"/>
          <cell r="B10729"/>
          <cell r="C10729"/>
          <cell r="D10729"/>
          <cell r="E10729"/>
        </row>
        <row r="10730">
          <cell r="A10730"/>
          <cell r="B10730"/>
          <cell r="C10730"/>
          <cell r="D10730"/>
          <cell r="E10730"/>
        </row>
        <row r="10731">
          <cell r="A10731"/>
          <cell r="B10731"/>
          <cell r="C10731"/>
          <cell r="D10731"/>
          <cell r="E10731"/>
        </row>
        <row r="10732">
          <cell r="A10732"/>
          <cell r="B10732"/>
          <cell r="C10732"/>
          <cell r="D10732"/>
          <cell r="E10732"/>
        </row>
        <row r="10733">
          <cell r="A10733"/>
          <cell r="B10733"/>
          <cell r="C10733"/>
          <cell r="D10733"/>
          <cell r="E10733"/>
        </row>
        <row r="10734">
          <cell r="A10734"/>
          <cell r="B10734"/>
          <cell r="C10734"/>
          <cell r="D10734"/>
          <cell r="E10734"/>
        </row>
        <row r="10735">
          <cell r="A10735"/>
          <cell r="B10735"/>
          <cell r="C10735"/>
          <cell r="D10735"/>
          <cell r="E10735"/>
        </row>
        <row r="10736">
          <cell r="A10736"/>
          <cell r="B10736"/>
          <cell r="C10736"/>
          <cell r="D10736"/>
          <cell r="E10736"/>
        </row>
        <row r="10737">
          <cell r="A10737"/>
          <cell r="B10737"/>
          <cell r="C10737"/>
          <cell r="D10737"/>
          <cell r="E10737"/>
        </row>
        <row r="10738">
          <cell r="A10738"/>
          <cell r="B10738"/>
          <cell r="C10738"/>
          <cell r="D10738"/>
          <cell r="E10738"/>
        </row>
        <row r="10739">
          <cell r="A10739"/>
          <cell r="B10739"/>
          <cell r="C10739"/>
          <cell r="D10739"/>
          <cell r="E10739"/>
        </row>
        <row r="10740">
          <cell r="A10740"/>
          <cell r="B10740"/>
          <cell r="C10740"/>
          <cell r="D10740"/>
          <cell r="E10740"/>
        </row>
        <row r="10741">
          <cell r="A10741"/>
          <cell r="B10741"/>
          <cell r="C10741"/>
          <cell r="D10741"/>
          <cell r="E10741"/>
        </row>
        <row r="10742">
          <cell r="A10742"/>
          <cell r="B10742"/>
          <cell r="C10742"/>
          <cell r="D10742"/>
          <cell r="E10742"/>
        </row>
        <row r="10743">
          <cell r="A10743"/>
          <cell r="B10743"/>
          <cell r="C10743"/>
          <cell r="D10743"/>
          <cell r="E10743"/>
        </row>
        <row r="10744">
          <cell r="A10744"/>
          <cell r="B10744"/>
          <cell r="C10744"/>
          <cell r="D10744"/>
          <cell r="E10744"/>
        </row>
        <row r="10745">
          <cell r="A10745"/>
          <cell r="B10745"/>
          <cell r="C10745"/>
          <cell r="D10745"/>
          <cell r="E10745"/>
        </row>
        <row r="10746">
          <cell r="A10746"/>
          <cell r="B10746"/>
          <cell r="C10746"/>
          <cell r="D10746"/>
          <cell r="E10746"/>
        </row>
        <row r="10747">
          <cell r="A10747"/>
          <cell r="B10747"/>
          <cell r="C10747"/>
          <cell r="D10747"/>
          <cell r="E10747"/>
        </row>
        <row r="10748">
          <cell r="A10748"/>
          <cell r="B10748"/>
          <cell r="C10748"/>
          <cell r="D10748"/>
          <cell r="E10748"/>
        </row>
        <row r="10749">
          <cell r="A10749"/>
          <cell r="B10749"/>
          <cell r="C10749"/>
          <cell r="D10749"/>
          <cell r="E10749"/>
        </row>
        <row r="10750">
          <cell r="A10750"/>
          <cell r="B10750"/>
          <cell r="C10750"/>
          <cell r="D10750"/>
          <cell r="E10750"/>
        </row>
        <row r="10751">
          <cell r="A10751"/>
          <cell r="B10751"/>
          <cell r="C10751"/>
          <cell r="D10751"/>
          <cell r="E10751"/>
        </row>
        <row r="10752">
          <cell r="A10752"/>
          <cell r="B10752"/>
          <cell r="C10752"/>
          <cell r="D10752"/>
          <cell r="E10752"/>
        </row>
        <row r="10753">
          <cell r="A10753"/>
          <cell r="B10753"/>
          <cell r="C10753"/>
          <cell r="D10753"/>
          <cell r="E10753"/>
        </row>
        <row r="10754">
          <cell r="A10754"/>
          <cell r="B10754"/>
          <cell r="C10754"/>
          <cell r="D10754"/>
          <cell r="E10754"/>
        </row>
        <row r="10755">
          <cell r="A10755"/>
          <cell r="B10755"/>
          <cell r="C10755"/>
          <cell r="D10755"/>
          <cell r="E10755"/>
        </row>
        <row r="10756">
          <cell r="A10756"/>
          <cell r="B10756"/>
          <cell r="C10756"/>
          <cell r="D10756"/>
          <cell r="E10756"/>
        </row>
        <row r="10757">
          <cell r="A10757"/>
          <cell r="B10757"/>
          <cell r="C10757"/>
          <cell r="D10757"/>
          <cell r="E10757"/>
        </row>
        <row r="10758">
          <cell r="A10758"/>
          <cell r="B10758"/>
          <cell r="C10758"/>
          <cell r="D10758"/>
          <cell r="E10758"/>
        </row>
        <row r="10759">
          <cell r="A10759"/>
          <cell r="B10759"/>
          <cell r="C10759"/>
          <cell r="D10759"/>
          <cell r="E10759"/>
        </row>
        <row r="10760">
          <cell r="A10760"/>
          <cell r="B10760"/>
          <cell r="C10760"/>
          <cell r="D10760"/>
          <cell r="E10760"/>
        </row>
        <row r="10761">
          <cell r="A10761"/>
          <cell r="B10761"/>
          <cell r="C10761"/>
          <cell r="D10761"/>
          <cell r="E10761"/>
        </row>
        <row r="10762">
          <cell r="A10762"/>
          <cell r="B10762"/>
          <cell r="C10762"/>
          <cell r="D10762"/>
          <cell r="E10762"/>
        </row>
        <row r="10763">
          <cell r="A10763"/>
          <cell r="B10763"/>
          <cell r="C10763"/>
          <cell r="D10763"/>
          <cell r="E10763"/>
        </row>
        <row r="10764">
          <cell r="A10764"/>
          <cell r="B10764"/>
          <cell r="C10764"/>
          <cell r="D10764"/>
          <cell r="E10764"/>
        </row>
        <row r="10765">
          <cell r="A10765"/>
          <cell r="B10765"/>
          <cell r="C10765"/>
          <cell r="D10765"/>
          <cell r="E10765"/>
        </row>
        <row r="10766">
          <cell r="A10766"/>
          <cell r="B10766"/>
          <cell r="C10766"/>
          <cell r="D10766"/>
          <cell r="E10766"/>
        </row>
        <row r="10767">
          <cell r="A10767"/>
          <cell r="B10767"/>
          <cell r="C10767"/>
          <cell r="D10767"/>
          <cell r="E10767"/>
        </row>
        <row r="10768">
          <cell r="A10768"/>
          <cell r="B10768"/>
          <cell r="C10768"/>
          <cell r="D10768"/>
          <cell r="E10768"/>
        </row>
        <row r="10769">
          <cell r="A10769"/>
          <cell r="B10769"/>
          <cell r="C10769"/>
          <cell r="D10769"/>
          <cell r="E10769"/>
        </row>
        <row r="10770">
          <cell r="A10770"/>
          <cell r="B10770"/>
          <cell r="C10770"/>
          <cell r="D10770"/>
          <cell r="E10770"/>
        </row>
        <row r="10771">
          <cell r="A10771"/>
          <cell r="B10771"/>
          <cell r="C10771"/>
          <cell r="D10771"/>
          <cell r="E10771"/>
        </row>
        <row r="10772">
          <cell r="A10772"/>
          <cell r="B10772"/>
          <cell r="C10772"/>
          <cell r="D10772"/>
          <cell r="E10772"/>
        </row>
        <row r="10773">
          <cell r="A10773"/>
          <cell r="B10773"/>
          <cell r="C10773"/>
          <cell r="D10773"/>
          <cell r="E10773"/>
        </row>
        <row r="10774">
          <cell r="A10774"/>
          <cell r="B10774"/>
          <cell r="C10774"/>
          <cell r="D10774"/>
          <cell r="E10774"/>
        </row>
        <row r="10775">
          <cell r="A10775"/>
          <cell r="B10775"/>
          <cell r="C10775"/>
          <cell r="D10775"/>
          <cell r="E10775"/>
        </row>
        <row r="10776">
          <cell r="A10776"/>
          <cell r="B10776"/>
          <cell r="C10776"/>
          <cell r="D10776"/>
          <cell r="E10776"/>
        </row>
        <row r="10777">
          <cell r="A10777"/>
          <cell r="B10777"/>
          <cell r="C10777"/>
          <cell r="D10777"/>
          <cell r="E10777"/>
        </row>
        <row r="10778">
          <cell r="A10778"/>
          <cell r="B10778"/>
          <cell r="C10778"/>
          <cell r="D10778"/>
          <cell r="E10778"/>
        </row>
        <row r="10779">
          <cell r="A10779"/>
          <cell r="B10779"/>
          <cell r="C10779"/>
          <cell r="D10779"/>
          <cell r="E10779"/>
        </row>
        <row r="10780">
          <cell r="A10780"/>
          <cell r="B10780"/>
          <cell r="C10780"/>
          <cell r="D10780"/>
          <cell r="E10780"/>
        </row>
        <row r="10781">
          <cell r="A10781"/>
          <cell r="B10781"/>
          <cell r="C10781"/>
          <cell r="D10781"/>
          <cell r="E10781"/>
        </row>
        <row r="10782">
          <cell r="A10782"/>
          <cell r="B10782"/>
          <cell r="C10782"/>
          <cell r="D10782"/>
          <cell r="E10782"/>
        </row>
        <row r="10783">
          <cell r="A10783"/>
          <cell r="B10783"/>
          <cell r="C10783"/>
          <cell r="D10783"/>
          <cell r="E10783"/>
        </row>
        <row r="10784">
          <cell r="A10784"/>
          <cell r="B10784"/>
          <cell r="C10784"/>
          <cell r="D10784"/>
          <cell r="E10784"/>
        </row>
        <row r="10785">
          <cell r="A10785"/>
          <cell r="B10785"/>
          <cell r="C10785"/>
          <cell r="D10785"/>
          <cell r="E10785"/>
        </row>
        <row r="10786">
          <cell r="A10786"/>
          <cell r="B10786"/>
          <cell r="C10786"/>
          <cell r="D10786"/>
          <cell r="E10786"/>
        </row>
        <row r="10787">
          <cell r="A10787"/>
          <cell r="B10787"/>
          <cell r="C10787"/>
          <cell r="D10787"/>
          <cell r="E10787"/>
        </row>
        <row r="10788">
          <cell r="A10788"/>
          <cell r="B10788"/>
          <cell r="C10788"/>
          <cell r="D10788"/>
          <cell r="E10788"/>
        </row>
        <row r="10789">
          <cell r="A10789"/>
          <cell r="B10789"/>
          <cell r="C10789"/>
          <cell r="D10789"/>
          <cell r="E10789"/>
        </row>
        <row r="10790">
          <cell r="A10790"/>
          <cell r="B10790"/>
          <cell r="C10790"/>
          <cell r="D10790"/>
          <cell r="E10790"/>
        </row>
        <row r="10791">
          <cell r="A10791"/>
          <cell r="B10791"/>
          <cell r="C10791"/>
          <cell r="D10791"/>
          <cell r="E10791"/>
        </row>
        <row r="10792">
          <cell r="A10792"/>
          <cell r="B10792"/>
          <cell r="C10792"/>
          <cell r="D10792"/>
          <cell r="E10792"/>
        </row>
        <row r="10793">
          <cell r="A10793"/>
          <cell r="B10793"/>
          <cell r="C10793"/>
          <cell r="D10793"/>
          <cell r="E10793"/>
        </row>
        <row r="10794">
          <cell r="A10794"/>
          <cell r="B10794"/>
          <cell r="C10794"/>
          <cell r="D10794"/>
          <cell r="E10794"/>
        </row>
        <row r="10795">
          <cell r="A10795"/>
          <cell r="B10795"/>
          <cell r="C10795"/>
          <cell r="D10795"/>
          <cell r="E10795"/>
        </row>
        <row r="10796">
          <cell r="A10796"/>
          <cell r="B10796"/>
          <cell r="C10796"/>
          <cell r="D10796"/>
          <cell r="E10796"/>
        </row>
        <row r="10797">
          <cell r="A10797"/>
          <cell r="B10797"/>
          <cell r="C10797"/>
          <cell r="D10797"/>
          <cell r="E10797"/>
        </row>
        <row r="10798">
          <cell r="A10798"/>
          <cell r="B10798"/>
          <cell r="C10798"/>
          <cell r="D10798"/>
          <cell r="E10798"/>
        </row>
        <row r="10799">
          <cell r="A10799"/>
          <cell r="B10799"/>
          <cell r="C10799"/>
          <cell r="D10799"/>
          <cell r="E10799"/>
        </row>
        <row r="10800">
          <cell r="A10800"/>
          <cell r="B10800"/>
          <cell r="C10800"/>
          <cell r="D10800"/>
          <cell r="E10800"/>
        </row>
        <row r="10801">
          <cell r="A10801"/>
          <cell r="B10801"/>
          <cell r="C10801"/>
          <cell r="D10801"/>
          <cell r="E10801"/>
        </row>
        <row r="10802">
          <cell r="A10802"/>
          <cell r="B10802"/>
          <cell r="C10802"/>
          <cell r="D10802"/>
          <cell r="E10802"/>
        </row>
        <row r="10803">
          <cell r="A10803"/>
          <cell r="B10803"/>
          <cell r="C10803"/>
          <cell r="D10803"/>
          <cell r="E10803"/>
        </row>
        <row r="10804">
          <cell r="A10804"/>
          <cell r="B10804"/>
          <cell r="C10804"/>
          <cell r="D10804"/>
          <cell r="E10804"/>
        </row>
        <row r="10805">
          <cell r="A10805"/>
          <cell r="B10805"/>
          <cell r="C10805"/>
          <cell r="D10805"/>
          <cell r="E10805"/>
        </row>
        <row r="10806">
          <cell r="A10806"/>
          <cell r="B10806"/>
          <cell r="C10806"/>
          <cell r="D10806"/>
          <cell r="E10806"/>
        </row>
        <row r="10807">
          <cell r="A10807"/>
          <cell r="B10807"/>
          <cell r="C10807"/>
          <cell r="D10807"/>
          <cell r="E10807"/>
        </row>
        <row r="10808">
          <cell r="A10808"/>
          <cell r="B10808"/>
          <cell r="C10808"/>
          <cell r="D10808"/>
          <cell r="E10808"/>
        </row>
        <row r="10809">
          <cell r="A10809"/>
          <cell r="B10809"/>
          <cell r="C10809"/>
          <cell r="D10809"/>
          <cell r="E10809"/>
        </row>
        <row r="10810">
          <cell r="A10810"/>
          <cell r="B10810"/>
          <cell r="C10810"/>
          <cell r="D10810"/>
          <cell r="E10810"/>
        </row>
        <row r="10811">
          <cell r="A10811"/>
          <cell r="B10811"/>
          <cell r="C10811"/>
          <cell r="D10811"/>
          <cell r="E10811"/>
        </row>
        <row r="10812">
          <cell r="A10812"/>
          <cell r="B10812"/>
          <cell r="C10812"/>
          <cell r="D10812"/>
          <cell r="E10812"/>
        </row>
        <row r="10813">
          <cell r="A10813"/>
          <cell r="B10813"/>
          <cell r="C10813"/>
          <cell r="D10813"/>
          <cell r="E10813"/>
        </row>
        <row r="10814">
          <cell r="A10814"/>
          <cell r="B10814"/>
          <cell r="C10814"/>
          <cell r="D10814"/>
          <cell r="E10814"/>
        </row>
        <row r="10815">
          <cell r="A10815"/>
          <cell r="B10815"/>
          <cell r="C10815"/>
          <cell r="D10815"/>
          <cell r="E10815"/>
        </row>
        <row r="10816">
          <cell r="A10816"/>
          <cell r="B10816"/>
          <cell r="C10816"/>
          <cell r="D10816"/>
          <cell r="E10816"/>
        </row>
        <row r="10817">
          <cell r="A10817"/>
          <cell r="B10817"/>
          <cell r="C10817"/>
          <cell r="D10817"/>
          <cell r="E10817"/>
        </row>
        <row r="10818">
          <cell r="A10818"/>
          <cell r="B10818"/>
          <cell r="C10818"/>
          <cell r="D10818"/>
          <cell r="E10818"/>
        </row>
        <row r="10819">
          <cell r="A10819"/>
          <cell r="B10819"/>
          <cell r="C10819"/>
          <cell r="D10819"/>
          <cell r="E10819"/>
        </row>
        <row r="10820">
          <cell r="A10820"/>
          <cell r="B10820"/>
          <cell r="C10820"/>
          <cell r="D10820"/>
          <cell r="E10820"/>
        </row>
        <row r="10821">
          <cell r="A10821"/>
          <cell r="B10821"/>
          <cell r="C10821"/>
          <cell r="D10821"/>
          <cell r="E10821"/>
        </row>
        <row r="10822">
          <cell r="A10822"/>
          <cell r="B10822"/>
          <cell r="C10822"/>
          <cell r="D10822"/>
          <cell r="E10822"/>
        </row>
        <row r="10823">
          <cell r="A10823"/>
          <cell r="B10823"/>
          <cell r="C10823"/>
          <cell r="D10823"/>
          <cell r="E10823"/>
        </row>
        <row r="10824">
          <cell r="A10824"/>
          <cell r="B10824"/>
          <cell r="C10824"/>
          <cell r="D10824"/>
          <cell r="E10824"/>
        </row>
        <row r="10825">
          <cell r="A10825"/>
          <cell r="B10825"/>
          <cell r="C10825"/>
          <cell r="D10825"/>
          <cell r="E10825"/>
        </row>
        <row r="10826">
          <cell r="A10826"/>
          <cell r="B10826"/>
          <cell r="C10826"/>
          <cell r="D10826"/>
          <cell r="E10826"/>
        </row>
        <row r="10827">
          <cell r="A10827"/>
          <cell r="B10827"/>
          <cell r="C10827"/>
          <cell r="D10827"/>
          <cell r="E10827"/>
        </row>
        <row r="10828">
          <cell r="A10828"/>
          <cell r="B10828"/>
          <cell r="C10828"/>
          <cell r="D10828"/>
          <cell r="E10828"/>
        </row>
        <row r="10829">
          <cell r="A10829"/>
          <cell r="B10829"/>
          <cell r="C10829"/>
          <cell r="D10829"/>
          <cell r="E10829"/>
        </row>
        <row r="10830">
          <cell r="A10830"/>
          <cell r="B10830"/>
          <cell r="C10830"/>
          <cell r="D10830"/>
          <cell r="E10830"/>
        </row>
        <row r="10831">
          <cell r="A10831"/>
          <cell r="B10831"/>
          <cell r="C10831"/>
          <cell r="D10831"/>
          <cell r="E10831"/>
        </row>
        <row r="10832">
          <cell r="A10832"/>
          <cell r="B10832"/>
          <cell r="C10832"/>
          <cell r="D10832"/>
          <cell r="E10832"/>
        </row>
        <row r="10833">
          <cell r="A10833"/>
          <cell r="B10833"/>
          <cell r="C10833"/>
          <cell r="D10833"/>
          <cell r="E10833"/>
        </row>
        <row r="10834">
          <cell r="A10834"/>
          <cell r="B10834"/>
          <cell r="C10834"/>
          <cell r="D10834"/>
          <cell r="E10834"/>
        </row>
        <row r="10835">
          <cell r="A10835"/>
          <cell r="B10835"/>
          <cell r="C10835"/>
          <cell r="D10835"/>
          <cell r="E10835"/>
        </row>
        <row r="10836">
          <cell r="A10836"/>
          <cell r="B10836"/>
          <cell r="C10836"/>
          <cell r="D10836"/>
          <cell r="E10836"/>
        </row>
        <row r="10837">
          <cell r="A10837"/>
          <cell r="B10837"/>
          <cell r="C10837"/>
          <cell r="D10837"/>
          <cell r="E10837"/>
        </row>
        <row r="10838">
          <cell r="A10838"/>
          <cell r="B10838"/>
          <cell r="C10838"/>
          <cell r="D10838"/>
          <cell r="E10838"/>
        </row>
        <row r="10839">
          <cell r="A10839"/>
          <cell r="B10839"/>
          <cell r="C10839"/>
          <cell r="D10839"/>
          <cell r="E10839"/>
        </row>
        <row r="10840">
          <cell r="A10840"/>
          <cell r="B10840"/>
          <cell r="C10840"/>
          <cell r="D10840"/>
          <cell r="E10840"/>
        </row>
        <row r="10841">
          <cell r="A10841"/>
          <cell r="B10841"/>
          <cell r="C10841"/>
          <cell r="D10841"/>
          <cell r="E10841"/>
        </row>
        <row r="10842">
          <cell r="A10842"/>
          <cell r="B10842"/>
          <cell r="C10842"/>
          <cell r="D10842"/>
          <cell r="E10842"/>
        </row>
        <row r="10843">
          <cell r="A10843"/>
          <cell r="B10843"/>
          <cell r="C10843"/>
          <cell r="D10843"/>
          <cell r="E10843"/>
        </row>
        <row r="10844">
          <cell r="A10844"/>
          <cell r="B10844"/>
          <cell r="C10844"/>
          <cell r="D10844"/>
          <cell r="E10844"/>
        </row>
        <row r="10845">
          <cell r="A10845"/>
          <cell r="B10845"/>
          <cell r="C10845"/>
          <cell r="D10845"/>
          <cell r="E10845"/>
        </row>
        <row r="10846">
          <cell r="A10846"/>
          <cell r="B10846"/>
          <cell r="C10846"/>
          <cell r="D10846"/>
          <cell r="E10846"/>
        </row>
        <row r="10847">
          <cell r="A10847"/>
          <cell r="B10847"/>
          <cell r="C10847"/>
          <cell r="D10847"/>
          <cell r="E10847"/>
        </row>
        <row r="10848">
          <cell r="A10848"/>
          <cell r="B10848"/>
          <cell r="C10848"/>
          <cell r="D10848"/>
          <cell r="E10848"/>
        </row>
        <row r="10849">
          <cell r="A10849"/>
          <cell r="B10849"/>
          <cell r="C10849"/>
          <cell r="D10849"/>
          <cell r="E10849"/>
        </row>
        <row r="10850">
          <cell r="A10850"/>
          <cell r="B10850"/>
          <cell r="C10850"/>
          <cell r="D10850"/>
          <cell r="E10850"/>
        </row>
        <row r="10851">
          <cell r="A10851"/>
          <cell r="B10851"/>
          <cell r="C10851"/>
          <cell r="D10851"/>
          <cell r="E10851"/>
        </row>
        <row r="10852">
          <cell r="A10852"/>
          <cell r="B10852"/>
          <cell r="C10852"/>
          <cell r="D10852"/>
          <cell r="E10852"/>
        </row>
        <row r="10853">
          <cell r="A10853"/>
          <cell r="B10853"/>
          <cell r="C10853"/>
          <cell r="D10853"/>
          <cell r="E10853"/>
        </row>
        <row r="10854">
          <cell r="A10854"/>
          <cell r="B10854"/>
          <cell r="C10854"/>
          <cell r="D10854"/>
          <cell r="E10854"/>
        </row>
        <row r="10855">
          <cell r="A10855"/>
          <cell r="B10855"/>
          <cell r="C10855"/>
          <cell r="D10855"/>
          <cell r="E10855"/>
        </row>
        <row r="10856">
          <cell r="A10856"/>
          <cell r="B10856"/>
          <cell r="C10856"/>
          <cell r="D10856"/>
          <cell r="E10856"/>
        </row>
        <row r="10857">
          <cell r="A10857"/>
          <cell r="B10857"/>
          <cell r="C10857"/>
          <cell r="D10857"/>
          <cell r="E10857"/>
        </row>
        <row r="10858">
          <cell r="A10858"/>
          <cell r="B10858"/>
          <cell r="C10858"/>
          <cell r="D10858"/>
          <cell r="E10858"/>
        </row>
        <row r="10859">
          <cell r="A10859"/>
          <cell r="B10859"/>
          <cell r="C10859"/>
          <cell r="D10859"/>
          <cell r="E10859"/>
        </row>
        <row r="10860">
          <cell r="A10860"/>
          <cell r="B10860"/>
          <cell r="C10860"/>
          <cell r="D10860"/>
          <cell r="E10860"/>
        </row>
        <row r="10861">
          <cell r="A10861"/>
          <cell r="B10861"/>
          <cell r="C10861"/>
          <cell r="D10861"/>
          <cell r="E10861"/>
        </row>
        <row r="10862">
          <cell r="A10862"/>
          <cell r="B10862"/>
          <cell r="C10862"/>
          <cell r="D10862"/>
          <cell r="E10862"/>
        </row>
        <row r="10863">
          <cell r="A10863"/>
          <cell r="B10863"/>
          <cell r="C10863"/>
          <cell r="D10863"/>
          <cell r="E10863"/>
        </row>
        <row r="10864">
          <cell r="A10864"/>
          <cell r="B10864"/>
          <cell r="C10864"/>
          <cell r="D10864"/>
          <cell r="E10864"/>
        </row>
        <row r="10865">
          <cell r="A10865"/>
          <cell r="B10865"/>
          <cell r="C10865"/>
          <cell r="D10865"/>
          <cell r="E10865"/>
        </row>
        <row r="10866">
          <cell r="A10866"/>
          <cell r="B10866"/>
          <cell r="C10866"/>
          <cell r="D10866"/>
          <cell r="E10866"/>
        </row>
        <row r="10867">
          <cell r="A10867"/>
          <cell r="B10867"/>
          <cell r="C10867"/>
          <cell r="D10867"/>
          <cell r="E10867"/>
        </row>
        <row r="10868">
          <cell r="A10868"/>
          <cell r="B10868"/>
          <cell r="C10868"/>
          <cell r="D10868"/>
          <cell r="E10868"/>
        </row>
        <row r="10869">
          <cell r="A10869"/>
          <cell r="B10869"/>
          <cell r="C10869"/>
          <cell r="D10869"/>
          <cell r="E10869"/>
        </row>
        <row r="10870">
          <cell r="A10870"/>
          <cell r="B10870"/>
          <cell r="C10870"/>
          <cell r="D10870"/>
          <cell r="E10870"/>
        </row>
        <row r="10871">
          <cell r="A10871"/>
          <cell r="B10871"/>
          <cell r="C10871"/>
          <cell r="D10871"/>
          <cell r="E10871"/>
        </row>
        <row r="10872">
          <cell r="A10872"/>
          <cell r="B10872"/>
          <cell r="C10872"/>
          <cell r="D10872"/>
          <cell r="E10872"/>
        </row>
        <row r="10873">
          <cell r="A10873"/>
          <cell r="B10873"/>
          <cell r="C10873"/>
          <cell r="D10873"/>
          <cell r="E10873"/>
        </row>
        <row r="10874">
          <cell r="A10874"/>
          <cell r="B10874"/>
          <cell r="C10874"/>
          <cell r="D10874"/>
          <cell r="E10874"/>
        </row>
        <row r="10875">
          <cell r="A10875"/>
          <cell r="B10875"/>
          <cell r="C10875"/>
          <cell r="D10875"/>
          <cell r="E10875"/>
        </row>
        <row r="10876">
          <cell r="A10876"/>
          <cell r="B10876"/>
          <cell r="C10876"/>
          <cell r="D10876"/>
          <cell r="E10876"/>
        </row>
        <row r="10877">
          <cell r="A10877"/>
          <cell r="B10877"/>
          <cell r="C10877"/>
          <cell r="D10877"/>
          <cell r="E10877"/>
        </row>
        <row r="10878">
          <cell r="A10878"/>
          <cell r="B10878"/>
          <cell r="C10878"/>
          <cell r="D10878"/>
          <cell r="E10878"/>
        </row>
        <row r="10879">
          <cell r="A10879"/>
          <cell r="B10879"/>
          <cell r="C10879"/>
          <cell r="D10879"/>
          <cell r="E10879"/>
        </row>
        <row r="10880">
          <cell r="A10880"/>
          <cell r="B10880"/>
          <cell r="C10880"/>
          <cell r="D10880"/>
          <cell r="E10880"/>
        </row>
        <row r="10881">
          <cell r="A10881"/>
          <cell r="B10881"/>
          <cell r="C10881"/>
          <cell r="D10881"/>
          <cell r="E10881"/>
        </row>
        <row r="10882">
          <cell r="A10882"/>
          <cell r="B10882"/>
          <cell r="C10882"/>
          <cell r="D10882"/>
          <cell r="E10882"/>
        </row>
        <row r="10883">
          <cell r="A10883"/>
          <cell r="B10883"/>
          <cell r="C10883"/>
          <cell r="D10883"/>
          <cell r="E10883"/>
        </row>
        <row r="10884">
          <cell r="A10884"/>
          <cell r="B10884"/>
          <cell r="C10884"/>
          <cell r="D10884"/>
          <cell r="E10884"/>
        </row>
        <row r="10885">
          <cell r="A10885"/>
          <cell r="B10885"/>
          <cell r="C10885"/>
          <cell r="D10885"/>
          <cell r="E10885"/>
        </row>
        <row r="10886">
          <cell r="A10886"/>
          <cell r="B10886"/>
          <cell r="C10886"/>
          <cell r="D10886"/>
          <cell r="E10886"/>
        </row>
        <row r="10887">
          <cell r="A10887"/>
          <cell r="B10887"/>
          <cell r="C10887"/>
          <cell r="D10887"/>
          <cell r="E10887"/>
        </row>
        <row r="10888">
          <cell r="A10888"/>
          <cell r="B10888"/>
          <cell r="C10888"/>
          <cell r="D10888"/>
          <cell r="E10888"/>
        </row>
        <row r="10889">
          <cell r="A10889"/>
          <cell r="B10889"/>
          <cell r="C10889"/>
          <cell r="D10889"/>
          <cell r="E10889"/>
        </row>
        <row r="10890">
          <cell r="A10890"/>
          <cell r="B10890"/>
          <cell r="C10890"/>
          <cell r="D10890"/>
          <cell r="E10890"/>
        </row>
        <row r="10891">
          <cell r="A10891"/>
          <cell r="B10891"/>
          <cell r="C10891"/>
          <cell r="D10891"/>
          <cell r="E10891"/>
        </row>
        <row r="10892">
          <cell r="A10892"/>
          <cell r="B10892"/>
          <cell r="C10892"/>
          <cell r="D10892"/>
          <cell r="E10892"/>
        </row>
        <row r="10893">
          <cell r="A10893"/>
          <cell r="B10893"/>
          <cell r="C10893"/>
          <cell r="D10893"/>
          <cell r="E10893"/>
        </row>
        <row r="10894">
          <cell r="A10894"/>
          <cell r="B10894"/>
          <cell r="C10894"/>
          <cell r="D10894"/>
          <cell r="E10894"/>
        </row>
        <row r="10895">
          <cell r="A10895"/>
          <cell r="B10895"/>
          <cell r="C10895"/>
          <cell r="D10895"/>
          <cell r="E10895"/>
        </row>
        <row r="10896">
          <cell r="A10896"/>
          <cell r="B10896"/>
          <cell r="C10896"/>
          <cell r="D10896"/>
          <cell r="E10896"/>
        </row>
        <row r="10897">
          <cell r="A10897"/>
          <cell r="B10897"/>
          <cell r="C10897"/>
          <cell r="D10897"/>
          <cell r="E10897"/>
        </row>
        <row r="10898">
          <cell r="A10898"/>
          <cell r="B10898"/>
          <cell r="C10898"/>
          <cell r="D10898"/>
          <cell r="E10898"/>
        </row>
        <row r="10899">
          <cell r="A10899"/>
          <cell r="B10899"/>
          <cell r="C10899"/>
          <cell r="D10899"/>
          <cell r="E10899"/>
        </row>
        <row r="10900">
          <cell r="A10900"/>
          <cell r="B10900"/>
          <cell r="C10900"/>
          <cell r="D10900"/>
          <cell r="E10900"/>
        </row>
        <row r="10901">
          <cell r="A10901"/>
          <cell r="B10901"/>
          <cell r="C10901"/>
          <cell r="D10901"/>
          <cell r="E10901"/>
        </row>
        <row r="10902">
          <cell r="A10902"/>
          <cell r="B10902"/>
          <cell r="C10902"/>
          <cell r="D10902"/>
          <cell r="E10902"/>
        </row>
        <row r="10903">
          <cell r="A10903"/>
          <cell r="B10903"/>
          <cell r="C10903"/>
          <cell r="D10903"/>
          <cell r="E10903"/>
        </row>
        <row r="10904">
          <cell r="A10904"/>
          <cell r="B10904"/>
          <cell r="C10904"/>
          <cell r="D10904"/>
          <cell r="E10904"/>
        </row>
        <row r="10905">
          <cell r="A10905"/>
          <cell r="B10905"/>
          <cell r="C10905"/>
          <cell r="D10905"/>
          <cell r="E10905"/>
        </row>
        <row r="10906">
          <cell r="A10906"/>
          <cell r="B10906"/>
          <cell r="C10906"/>
          <cell r="D10906"/>
          <cell r="E10906"/>
        </row>
        <row r="10907">
          <cell r="A10907"/>
          <cell r="B10907"/>
          <cell r="C10907"/>
          <cell r="D10907"/>
          <cell r="E10907"/>
        </row>
        <row r="10908">
          <cell r="A10908"/>
          <cell r="B10908"/>
          <cell r="C10908"/>
          <cell r="D10908"/>
          <cell r="E10908"/>
        </row>
        <row r="10909">
          <cell r="A10909"/>
          <cell r="B10909"/>
          <cell r="C10909"/>
          <cell r="D10909"/>
          <cell r="E10909"/>
        </row>
        <row r="10910">
          <cell r="A10910"/>
          <cell r="B10910"/>
          <cell r="C10910"/>
          <cell r="D10910"/>
          <cell r="E10910"/>
        </row>
        <row r="10911">
          <cell r="A10911"/>
          <cell r="B10911"/>
          <cell r="C10911"/>
          <cell r="D10911"/>
          <cell r="E10911"/>
        </row>
        <row r="10912">
          <cell r="A10912"/>
          <cell r="B10912"/>
          <cell r="C10912"/>
          <cell r="D10912"/>
          <cell r="E10912"/>
        </row>
        <row r="10913">
          <cell r="A10913"/>
          <cell r="B10913"/>
          <cell r="C10913"/>
          <cell r="D10913"/>
          <cell r="E10913"/>
        </row>
        <row r="10914">
          <cell r="A10914"/>
          <cell r="B10914"/>
          <cell r="C10914"/>
          <cell r="D10914"/>
          <cell r="E10914"/>
        </row>
        <row r="10915">
          <cell r="A10915"/>
          <cell r="B10915"/>
          <cell r="C10915"/>
          <cell r="D10915"/>
          <cell r="E10915"/>
        </row>
        <row r="10916">
          <cell r="A10916"/>
          <cell r="B10916"/>
          <cell r="C10916"/>
          <cell r="D10916"/>
          <cell r="E10916"/>
        </row>
        <row r="10917">
          <cell r="A10917"/>
          <cell r="B10917"/>
          <cell r="C10917"/>
          <cell r="D10917"/>
          <cell r="E10917"/>
        </row>
        <row r="10918">
          <cell r="A10918"/>
          <cell r="B10918"/>
          <cell r="C10918"/>
          <cell r="D10918"/>
          <cell r="E10918"/>
        </row>
        <row r="10919">
          <cell r="A10919"/>
          <cell r="B10919"/>
          <cell r="C10919"/>
          <cell r="D10919"/>
          <cell r="E10919"/>
        </row>
        <row r="10920">
          <cell r="A10920"/>
          <cell r="B10920"/>
          <cell r="C10920"/>
          <cell r="D10920"/>
          <cell r="E10920"/>
        </row>
        <row r="10921">
          <cell r="A10921"/>
          <cell r="B10921"/>
          <cell r="C10921"/>
          <cell r="D10921"/>
          <cell r="E10921"/>
        </row>
        <row r="10922">
          <cell r="A10922"/>
          <cell r="B10922"/>
          <cell r="C10922"/>
          <cell r="D10922"/>
          <cell r="E10922"/>
        </row>
        <row r="10923">
          <cell r="A10923"/>
          <cell r="B10923"/>
          <cell r="C10923"/>
          <cell r="D10923"/>
          <cell r="E10923"/>
        </row>
        <row r="10924">
          <cell r="A10924"/>
          <cell r="B10924"/>
          <cell r="C10924"/>
          <cell r="D10924"/>
          <cell r="E10924"/>
        </row>
        <row r="10925">
          <cell r="A10925"/>
          <cell r="B10925"/>
          <cell r="C10925"/>
          <cell r="D10925"/>
          <cell r="E10925"/>
        </row>
        <row r="10926">
          <cell r="A10926"/>
          <cell r="B10926"/>
          <cell r="C10926"/>
          <cell r="D10926"/>
          <cell r="E10926"/>
        </row>
        <row r="10927">
          <cell r="A10927"/>
          <cell r="B10927"/>
          <cell r="C10927"/>
          <cell r="D10927"/>
          <cell r="E10927"/>
        </row>
        <row r="10928">
          <cell r="A10928"/>
          <cell r="B10928"/>
          <cell r="C10928"/>
          <cell r="D10928"/>
          <cell r="E10928"/>
        </row>
        <row r="10929">
          <cell r="A10929"/>
          <cell r="B10929"/>
          <cell r="C10929"/>
          <cell r="D10929"/>
          <cell r="E10929"/>
        </row>
        <row r="10930">
          <cell r="A10930"/>
          <cell r="B10930"/>
          <cell r="C10930"/>
          <cell r="D10930"/>
          <cell r="E10930"/>
        </row>
        <row r="10931">
          <cell r="A10931"/>
          <cell r="B10931"/>
          <cell r="C10931"/>
          <cell r="D10931"/>
          <cell r="E10931"/>
        </row>
        <row r="10932">
          <cell r="A10932"/>
          <cell r="B10932"/>
          <cell r="C10932"/>
          <cell r="D10932"/>
          <cell r="E10932"/>
        </row>
        <row r="10933">
          <cell r="A10933"/>
          <cell r="B10933"/>
          <cell r="C10933"/>
          <cell r="D10933"/>
          <cell r="E10933"/>
        </row>
        <row r="10934">
          <cell r="A10934"/>
          <cell r="B10934"/>
          <cell r="C10934"/>
          <cell r="D10934"/>
          <cell r="E10934"/>
        </row>
        <row r="10935">
          <cell r="A10935"/>
          <cell r="B10935"/>
          <cell r="C10935"/>
          <cell r="D10935"/>
          <cell r="E10935"/>
        </row>
        <row r="10936">
          <cell r="A10936"/>
          <cell r="B10936"/>
          <cell r="C10936"/>
          <cell r="D10936"/>
          <cell r="E10936"/>
        </row>
        <row r="10937">
          <cell r="A10937"/>
          <cell r="B10937"/>
          <cell r="C10937"/>
          <cell r="D10937"/>
          <cell r="E10937"/>
        </row>
        <row r="10938">
          <cell r="A10938"/>
          <cell r="B10938"/>
          <cell r="C10938"/>
          <cell r="D10938"/>
          <cell r="E10938"/>
        </row>
        <row r="10939">
          <cell r="A10939"/>
          <cell r="B10939"/>
          <cell r="C10939"/>
          <cell r="D10939"/>
          <cell r="E10939"/>
        </row>
        <row r="10940">
          <cell r="A10940"/>
          <cell r="B10940"/>
          <cell r="C10940"/>
          <cell r="D10940"/>
          <cell r="E10940"/>
        </row>
        <row r="10941">
          <cell r="A10941"/>
          <cell r="B10941"/>
          <cell r="C10941"/>
          <cell r="D10941"/>
          <cell r="E10941"/>
        </row>
        <row r="10942">
          <cell r="A10942"/>
          <cell r="B10942"/>
          <cell r="C10942"/>
          <cell r="D10942"/>
          <cell r="E10942"/>
        </row>
        <row r="10943">
          <cell r="A10943"/>
          <cell r="B10943"/>
          <cell r="C10943"/>
          <cell r="D10943"/>
          <cell r="E10943"/>
        </row>
        <row r="10944">
          <cell r="A10944"/>
          <cell r="B10944"/>
          <cell r="C10944"/>
          <cell r="D10944"/>
          <cell r="E10944"/>
        </row>
        <row r="10945">
          <cell r="A10945"/>
          <cell r="B10945"/>
          <cell r="C10945"/>
          <cell r="D10945"/>
          <cell r="E10945"/>
        </row>
        <row r="10946">
          <cell r="A10946"/>
          <cell r="B10946"/>
          <cell r="C10946"/>
          <cell r="D10946"/>
          <cell r="E10946"/>
        </row>
        <row r="10947">
          <cell r="A10947"/>
          <cell r="B10947"/>
          <cell r="C10947"/>
          <cell r="D10947"/>
          <cell r="E10947"/>
        </row>
        <row r="10948">
          <cell r="A10948"/>
          <cell r="B10948"/>
          <cell r="C10948"/>
          <cell r="D10948"/>
          <cell r="E10948"/>
        </row>
        <row r="10949">
          <cell r="A10949"/>
          <cell r="B10949"/>
          <cell r="C10949"/>
          <cell r="D10949"/>
          <cell r="E10949"/>
        </row>
        <row r="10950">
          <cell r="A10950"/>
          <cell r="B10950"/>
          <cell r="C10950"/>
          <cell r="D10950"/>
          <cell r="E10950"/>
        </row>
        <row r="10951">
          <cell r="A10951"/>
          <cell r="B10951"/>
          <cell r="C10951"/>
          <cell r="D10951"/>
          <cell r="E10951"/>
        </row>
        <row r="10952">
          <cell r="A10952"/>
          <cell r="B10952"/>
          <cell r="C10952"/>
          <cell r="D10952"/>
          <cell r="E10952"/>
        </row>
        <row r="10953">
          <cell r="A10953"/>
          <cell r="B10953"/>
          <cell r="C10953"/>
          <cell r="D10953"/>
          <cell r="E10953"/>
        </row>
        <row r="10954">
          <cell r="A10954"/>
          <cell r="B10954"/>
          <cell r="C10954"/>
          <cell r="D10954"/>
          <cell r="E10954"/>
        </row>
        <row r="10955">
          <cell r="A10955"/>
          <cell r="B10955"/>
          <cell r="C10955"/>
          <cell r="D10955"/>
          <cell r="E10955"/>
        </row>
        <row r="10956">
          <cell r="A10956"/>
          <cell r="B10956"/>
          <cell r="C10956"/>
          <cell r="D10956"/>
          <cell r="E10956"/>
        </row>
        <row r="10957">
          <cell r="A10957"/>
          <cell r="B10957"/>
          <cell r="C10957"/>
          <cell r="D10957"/>
          <cell r="E10957"/>
        </row>
        <row r="10958">
          <cell r="A10958"/>
          <cell r="B10958"/>
          <cell r="C10958"/>
          <cell r="D10958"/>
          <cell r="E10958"/>
        </row>
        <row r="10959">
          <cell r="A10959"/>
          <cell r="B10959"/>
          <cell r="C10959"/>
          <cell r="D10959"/>
          <cell r="E10959"/>
        </row>
        <row r="10960">
          <cell r="A10960"/>
          <cell r="B10960"/>
          <cell r="C10960"/>
          <cell r="D10960"/>
          <cell r="E10960"/>
        </row>
        <row r="10961">
          <cell r="A10961"/>
          <cell r="B10961"/>
          <cell r="C10961"/>
          <cell r="D10961"/>
          <cell r="E10961"/>
        </row>
        <row r="10962">
          <cell r="A10962"/>
          <cell r="B10962"/>
          <cell r="C10962"/>
          <cell r="D10962"/>
          <cell r="E10962"/>
        </row>
        <row r="10963">
          <cell r="A10963"/>
          <cell r="B10963"/>
          <cell r="C10963"/>
          <cell r="D10963"/>
          <cell r="E10963"/>
        </row>
        <row r="10964">
          <cell r="A10964"/>
          <cell r="B10964"/>
          <cell r="C10964"/>
          <cell r="D10964"/>
          <cell r="E10964"/>
        </row>
        <row r="10965">
          <cell r="A10965"/>
          <cell r="B10965"/>
          <cell r="C10965"/>
          <cell r="D10965"/>
          <cell r="E10965"/>
        </row>
        <row r="10966">
          <cell r="A10966"/>
          <cell r="B10966"/>
          <cell r="C10966"/>
          <cell r="D10966"/>
          <cell r="E10966"/>
        </row>
        <row r="10967">
          <cell r="A10967"/>
          <cell r="B10967"/>
          <cell r="C10967"/>
          <cell r="D10967"/>
          <cell r="E10967"/>
        </row>
        <row r="10968">
          <cell r="A10968"/>
          <cell r="B10968"/>
          <cell r="C10968"/>
          <cell r="D10968"/>
          <cell r="E10968"/>
        </row>
        <row r="10969">
          <cell r="A10969"/>
          <cell r="B10969"/>
          <cell r="C10969"/>
          <cell r="D10969"/>
          <cell r="E10969"/>
        </row>
        <row r="10970">
          <cell r="A10970"/>
          <cell r="B10970"/>
          <cell r="C10970"/>
          <cell r="D10970"/>
          <cell r="E10970"/>
        </row>
        <row r="10971">
          <cell r="A10971"/>
          <cell r="B10971"/>
          <cell r="C10971"/>
          <cell r="D10971"/>
          <cell r="E10971"/>
        </row>
        <row r="10972">
          <cell r="A10972"/>
          <cell r="B10972"/>
          <cell r="C10972"/>
          <cell r="D10972"/>
          <cell r="E10972"/>
        </row>
        <row r="10973">
          <cell r="A10973"/>
          <cell r="B10973"/>
          <cell r="C10973"/>
          <cell r="D10973"/>
          <cell r="E10973"/>
        </row>
        <row r="10974">
          <cell r="A10974"/>
          <cell r="B10974"/>
          <cell r="C10974"/>
          <cell r="D10974"/>
          <cell r="E10974"/>
        </row>
        <row r="10975">
          <cell r="A10975"/>
          <cell r="B10975"/>
          <cell r="C10975"/>
          <cell r="D10975"/>
          <cell r="E10975"/>
        </row>
        <row r="10976">
          <cell r="A10976"/>
          <cell r="B10976"/>
          <cell r="C10976"/>
          <cell r="D10976"/>
          <cell r="E10976"/>
        </row>
        <row r="10977">
          <cell r="A10977"/>
          <cell r="B10977"/>
          <cell r="C10977"/>
          <cell r="D10977"/>
          <cell r="E10977"/>
        </row>
        <row r="10978">
          <cell r="A10978"/>
          <cell r="B10978"/>
          <cell r="C10978"/>
          <cell r="D10978"/>
          <cell r="E10978"/>
        </row>
        <row r="10979">
          <cell r="A10979"/>
          <cell r="B10979"/>
          <cell r="C10979"/>
          <cell r="D10979"/>
          <cell r="E10979"/>
        </row>
        <row r="10980">
          <cell r="A10980"/>
          <cell r="B10980"/>
          <cell r="C10980"/>
          <cell r="D10980"/>
          <cell r="E10980"/>
        </row>
        <row r="10981">
          <cell r="A10981"/>
          <cell r="B10981"/>
          <cell r="C10981"/>
          <cell r="D10981"/>
          <cell r="E10981"/>
        </row>
        <row r="10982">
          <cell r="A10982"/>
          <cell r="B10982"/>
          <cell r="C10982"/>
          <cell r="D10982"/>
          <cell r="E10982"/>
        </row>
        <row r="10983">
          <cell r="A10983"/>
          <cell r="B10983"/>
          <cell r="C10983"/>
          <cell r="D10983"/>
          <cell r="E10983"/>
        </row>
        <row r="10984">
          <cell r="A10984"/>
          <cell r="B10984"/>
          <cell r="C10984"/>
          <cell r="D10984"/>
          <cell r="E10984"/>
        </row>
        <row r="10985">
          <cell r="A10985"/>
          <cell r="B10985"/>
          <cell r="C10985"/>
          <cell r="D10985"/>
          <cell r="E10985"/>
        </row>
        <row r="10986">
          <cell r="A10986"/>
          <cell r="B10986"/>
          <cell r="C10986"/>
          <cell r="D10986"/>
          <cell r="E10986"/>
        </row>
        <row r="10987">
          <cell r="A10987"/>
          <cell r="B10987"/>
          <cell r="C10987"/>
          <cell r="D10987"/>
          <cell r="E10987"/>
        </row>
        <row r="10988">
          <cell r="A10988"/>
          <cell r="B10988"/>
          <cell r="C10988"/>
          <cell r="D10988"/>
          <cell r="E10988"/>
        </row>
        <row r="10989">
          <cell r="A10989"/>
          <cell r="B10989"/>
          <cell r="C10989"/>
          <cell r="D10989"/>
          <cell r="E10989"/>
        </row>
        <row r="10990">
          <cell r="A10990"/>
          <cell r="B10990"/>
          <cell r="C10990"/>
          <cell r="D10990"/>
          <cell r="E10990"/>
        </row>
        <row r="10991">
          <cell r="A10991"/>
          <cell r="B10991"/>
          <cell r="C10991"/>
          <cell r="D10991"/>
          <cell r="E10991"/>
        </row>
        <row r="10992">
          <cell r="A10992"/>
          <cell r="B10992"/>
          <cell r="C10992"/>
          <cell r="D10992"/>
          <cell r="E10992"/>
        </row>
        <row r="10993">
          <cell r="A10993"/>
          <cell r="B10993"/>
          <cell r="C10993"/>
          <cell r="D10993"/>
          <cell r="E10993"/>
        </row>
        <row r="10994">
          <cell r="A10994"/>
          <cell r="B10994"/>
          <cell r="C10994"/>
          <cell r="D10994"/>
          <cell r="E10994"/>
        </row>
        <row r="10995">
          <cell r="A10995"/>
          <cell r="B10995"/>
          <cell r="C10995"/>
          <cell r="D10995"/>
          <cell r="E10995"/>
        </row>
        <row r="10996">
          <cell r="A10996"/>
          <cell r="B10996"/>
          <cell r="C10996"/>
          <cell r="D10996"/>
          <cell r="E10996"/>
        </row>
        <row r="10997">
          <cell r="A10997"/>
          <cell r="B10997"/>
          <cell r="C10997"/>
          <cell r="D10997"/>
          <cell r="E10997"/>
        </row>
        <row r="10998">
          <cell r="A10998"/>
          <cell r="B10998"/>
          <cell r="C10998"/>
          <cell r="D10998"/>
          <cell r="E10998"/>
        </row>
        <row r="10999">
          <cell r="A10999"/>
          <cell r="B10999"/>
          <cell r="C10999"/>
          <cell r="D10999"/>
          <cell r="E10999"/>
        </row>
        <row r="11000">
          <cell r="A11000"/>
          <cell r="B11000"/>
          <cell r="C11000"/>
          <cell r="D11000"/>
          <cell r="E11000"/>
        </row>
        <row r="11001">
          <cell r="A11001"/>
          <cell r="B11001"/>
          <cell r="C11001"/>
          <cell r="D11001"/>
          <cell r="E11001"/>
        </row>
        <row r="11002">
          <cell r="A11002"/>
          <cell r="B11002"/>
          <cell r="C11002"/>
          <cell r="D11002"/>
          <cell r="E11002"/>
        </row>
        <row r="11003">
          <cell r="A11003"/>
          <cell r="B11003"/>
          <cell r="C11003"/>
          <cell r="D11003"/>
          <cell r="E11003"/>
        </row>
        <row r="11004">
          <cell r="A11004"/>
          <cell r="B11004"/>
          <cell r="C11004"/>
          <cell r="D11004"/>
          <cell r="E11004"/>
        </row>
        <row r="11005">
          <cell r="A11005"/>
          <cell r="B11005"/>
          <cell r="C11005"/>
          <cell r="D11005"/>
          <cell r="E11005"/>
        </row>
        <row r="11006">
          <cell r="A11006"/>
          <cell r="B11006"/>
          <cell r="C11006"/>
          <cell r="D11006"/>
          <cell r="E11006"/>
        </row>
        <row r="11007">
          <cell r="A11007"/>
          <cell r="B11007"/>
          <cell r="C11007"/>
          <cell r="D11007"/>
          <cell r="E11007"/>
        </row>
        <row r="11008">
          <cell r="A11008"/>
          <cell r="B11008"/>
          <cell r="C11008"/>
          <cell r="D11008"/>
          <cell r="E11008"/>
        </row>
        <row r="11009">
          <cell r="A11009"/>
          <cell r="B11009"/>
          <cell r="C11009"/>
          <cell r="D11009"/>
          <cell r="E11009"/>
        </row>
        <row r="11010">
          <cell r="A11010"/>
          <cell r="B11010"/>
          <cell r="C11010"/>
          <cell r="D11010"/>
          <cell r="E11010"/>
        </row>
        <row r="11011">
          <cell r="A11011"/>
          <cell r="B11011"/>
          <cell r="C11011"/>
          <cell r="D11011"/>
          <cell r="E11011"/>
        </row>
        <row r="11012">
          <cell r="A11012"/>
          <cell r="B11012"/>
          <cell r="C11012"/>
          <cell r="D11012"/>
          <cell r="E11012"/>
        </row>
        <row r="11013">
          <cell r="A11013"/>
          <cell r="B11013"/>
          <cell r="C11013"/>
          <cell r="D11013"/>
          <cell r="E11013"/>
        </row>
        <row r="11014">
          <cell r="A11014"/>
          <cell r="B11014"/>
          <cell r="C11014"/>
          <cell r="D11014"/>
          <cell r="E11014"/>
        </row>
        <row r="11015">
          <cell r="A11015"/>
          <cell r="B11015"/>
          <cell r="C11015"/>
          <cell r="D11015"/>
          <cell r="E11015"/>
        </row>
        <row r="11016">
          <cell r="A11016"/>
          <cell r="B11016"/>
          <cell r="C11016"/>
          <cell r="D11016"/>
          <cell r="E11016"/>
        </row>
        <row r="11017">
          <cell r="A11017"/>
          <cell r="B11017"/>
          <cell r="C11017"/>
          <cell r="D11017"/>
          <cell r="E11017"/>
        </row>
        <row r="11018">
          <cell r="A11018"/>
          <cell r="B11018"/>
          <cell r="C11018"/>
          <cell r="D11018"/>
          <cell r="E11018"/>
        </row>
        <row r="11019">
          <cell r="A11019"/>
          <cell r="B11019"/>
          <cell r="C11019"/>
          <cell r="D11019"/>
          <cell r="E11019"/>
        </row>
        <row r="11020">
          <cell r="A11020"/>
          <cell r="B11020"/>
          <cell r="C11020"/>
          <cell r="D11020"/>
          <cell r="E11020"/>
        </row>
        <row r="11021">
          <cell r="A11021"/>
          <cell r="B11021"/>
          <cell r="C11021"/>
          <cell r="D11021"/>
          <cell r="E11021"/>
        </row>
        <row r="11022">
          <cell r="A11022"/>
          <cell r="B11022"/>
          <cell r="C11022"/>
          <cell r="D11022"/>
          <cell r="E11022"/>
        </row>
        <row r="11023">
          <cell r="A11023"/>
          <cell r="B11023"/>
          <cell r="C11023"/>
          <cell r="D11023"/>
          <cell r="E11023"/>
        </row>
        <row r="11024">
          <cell r="A11024"/>
          <cell r="B11024"/>
          <cell r="C11024"/>
          <cell r="D11024"/>
          <cell r="E11024"/>
        </row>
        <row r="11025">
          <cell r="A11025"/>
          <cell r="B11025"/>
          <cell r="C11025"/>
          <cell r="D11025"/>
          <cell r="E11025"/>
        </row>
        <row r="11026">
          <cell r="A11026"/>
          <cell r="B11026"/>
          <cell r="C11026"/>
          <cell r="D11026"/>
          <cell r="E11026"/>
        </row>
        <row r="11027">
          <cell r="A11027"/>
          <cell r="B11027"/>
          <cell r="C11027"/>
          <cell r="D11027"/>
          <cell r="E11027"/>
        </row>
        <row r="11028">
          <cell r="A11028"/>
          <cell r="B11028"/>
          <cell r="C11028"/>
          <cell r="D11028"/>
          <cell r="E11028"/>
        </row>
        <row r="11029">
          <cell r="A11029"/>
          <cell r="B11029"/>
          <cell r="C11029"/>
          <cell r="D11029"/>
          <cell r="E11029"/>
        </row>
        <row r="11030">
          <cell r="A11030"/>
          <cell r="B11030"/>
          <cell r="C11030"/>
          <cell r="D11030"/>
          <cell r="E11030"/>
        </row>
        <row r="11031">
          <cell r="A11031"/>
          <cell r="B11031"/>
          <cell r="C11031"/>
          <cell r="D11031"/>
          <cell r="E11031"/>
        </row>
        <row r="11032">
          <cell r="A11032"/>
          <cell r="B11032"/>
          <cell r="C11032"/>
          <cell r="D11032"/>
          <cell r="E11032"/>
        </row>
        <row r="11033">
          <cell r="A11033"/>
          <cell r="B11033"/>
          <cell r="C11033"/>
          <cell r="D11033"/>
          <cell r="E11033"/>
        </row>
        <row r="11034">
          <cell r="A11034"/>
          <cell r="B11034"/>
          <cell r="C11034"/>
          <cell r="D11034"/>
          <cell r="E11034"/>
        </row>
        <row r="11035">
          <cell r="A11035"/>
          <cell r="B11035"/>
          <cell r="C11035"/>
          <cell r="D11035"/>
          <cell r="E11035"/>
        </row>
        <row r="11036">
          <cell r="A11036"/>
          <cell r="B11036"/>
          <cell r="C11036"/>
          <cell r="D11036"/>
          <cell r="E11036"/>
        </row>
        <row r="11037">
          <cell r="A11037"/>
          <cell r="B11037"/>
          <cell r="C11037"/>
          <cell r="D11037"/>
          <cell r="E11037"/>
        </row>
        <row r="11038">
          <cell r="A11038"/>
          <cell r="B11038"/>
          <cell r="C11038"/>
          <cell r="D11038"/>
          <cell r="E11038"/>
        </row>
        <row r="11039">
          <cell r="A11039"/>
          <cell r="B11039"/>
          <cell r="C11039"/>
          <cell r="D11039"/>
          <cell r="E11039"/>
        </row>
        <row r="11040">
          <cell r="A11040"/>
          <cell r="B11040"/>
          <cell r="C11040"/>
          <cell r="D11040"/>
          <cell r="E11040"/>
        </row>
        <row r="11041">
          <cell r="A11041"/>
          <cell r="B11041"/>
          <cell r="C11041"/>
          <cell r="D11041"/>
          <cell r="E11041"/>
        </row>
        <row r="11042">
          <cell r="A11042"/>
          <cell r="B11042"/>
          <cell r="C11042"/>
          <cell r="D11042"/>
          <cell r="E11042"/>
        </row>
        <row r="11043">
          <cell r="A11043"/>
          <cell r="B11043"/>
          <cell r="C11043"/>
          <cell r="D11043"/>
          <cell r="E11043"/>
        </row>
        <row r="11044">
          <cell r="A11044"/>
          <cell r="B11044"/>
          <cell r="C11044"/>
          <cell r="D11044"/>
          <cell r="E11044"/>
        </row>
        <row r="11045">
          <cell r="A11045"/>
          <cell r="B11045"/>
          <cell r="C11045"/>
          <cell r="D11045"/>
          <cell r="E11045"/>
        </row>
        <row r="11046">
          <cell r="A11046"/>
          <cell r="B11046"/>
          <cell r="C11046"/>
          <cell r="D11046"/>
          <cell r="E11046"/>
        </row>
        <row r="11047">
          <cell r="A11047"/>
          <cell r="B11047"/>
          <cell r="C11047"/>
          <cell r="D11047"/>
          <cell r="E11047"/>
        </row>
        <row r="11048">
          <cell r="A11048"/>
          <cell r="B11048"/>
          <cell r="C11048"/>
          <cell r="D11048"/>
          <cell r="E11048"/>
        </row>
        <row r="11049">
          <cell r="A11049"/>
          <cell r="B11049"/>
          <cell r="C11049"/>
          <cell r="D11049"/>
          <cell r="E11049"/>
        </row>
        <row r="11050">
          <cell r="A11050"/>
          <cell r="B11050"/>
          <cell r="C11050"/>
          <cell r="D11050"/>
          <cell r="E11050"/>
        </row>
        <row r="11051">
          <cell r="A11051"/>
          <cell r="B11051"/>
          <cell r="C11051"/>
          <cell r="D11051"/>
          <cell r="E11051"/>
        </row>
        <row r="11052">
          <cell r="A11052"/>
          <cell r="B11052"/>
          <cell r="C11052"/>
          <cell r="D11052"/>
          <cell r="E11052"/>
        </row>
        <row r="11053">
          <cell r="A11053"/>
          <cell r="B11053"/>
          <cell r="C11053"/>
          <cell r="D11053"/>
          <cell r="E11053"/>
        </row>
        <row r="11054">
          <cell r="A11054"/>
          <cell r="B11054"/>
          <cell r="C11054"/>
          <cell r="D11054"/>
          <cell r="E11054"/>
        </row>
        <row r="11055">
          <cell r="A11055"/>
          <cell r="B11055"/>
          <cell r="C11055"/>
          <cell r="D11055"/>
          <cell r="E11055"/>
        </row>
        <row r="11056">
          <cell r="A11056"/>
          <cell r="B11056"/>
          <cell r="C11056"/>
          <cell r="D11056"/>
          <cell r="E11056"/>
        </row>
        <row r="11057">
          <cell r="A11057"/>
          <cell r="B11057"/>
          <cell r="C11057"/>
          <cell r="D11057"/>
          <cell r="E11057"/>
        </row>
        <row r="11058">
          <cell r="A11058"/>
          <cell r="B11058"/>
          <cell r="C11058"/>
          <cell r="D11058"/>
          <cell r="E11058"/>
        </row>
        <row r="11059">
          <cell r="A11059"/>
          <cell r="B11059"/>
          <cell r="C11059"/>
          <cell r="D11059"/>
          <cell r="E11059"/>
        </row>
        <row r="11060">
          <cell r="A11060"/>
          <cell r="B11060"/>
          <cell r="C11060"/>
          <cell r="D11060"/>
          <cell r="E11060"/>
        </row>
        <row r="11061">
          <cell r="A11061"/>
          <cell r="B11061"/>
          <cell r="C11061"/>
          <cell r="D11061"/>
          <cell r="E11061"/>
        </row>
        <row r="11062">
          <cell r="A11062"/>
          <cell r="B11062"/>
          <cell r="C11062"/>
          <cell r="D11062"/>
          <cell r="E11062"/>
        </row>
        <row r="11063">
          <cell r="A11063"/>
          <cell r="B11063"/>
          <cell r="C11063"/>
          <cell r="D11063"/>
          <cell r="E11063"/>
        </row>
        <row r="11064">
          <cell r="A11064"/>
          <cell r="B11064"/>
          <cell r="C11064"/>
          <cell r="D11064"/>
          <cell r="E11064"/>
        </row>
        <row r="11065">
          <cell r="A11065"/>
          <cell r="B11065"/>
          <cell r="C11065"/>
          <cell r="D11065"/>
          <cell r="E11065"/>
        </row>
        <row r="11066">
          <cell r="A11066"/>
          <cell r="B11066"/>
          <cell r="C11066"/>
          <cell r="D11066"/>
          <cell r="E11066"/>
        </row>
        <row r="11067">
          <cell r="A11067"/>
          <cell r="B11067"/>
          <cell r="C11067"/>
          <cell r="D11067"/>
          <cell r="E11067"/>
        </row>
        <row r="11068">
          <cell r="A11068"/>
          <cell r="B11068"/>
          <cell r="C11068"/>
          <cell r="D11068"/>
          <cell r="E11068"/>
        </row>
        <row r="11069">
          <cell r="A11069"/>
          <cell r="B11069"/>
          <cell r="C11069"/>
          <cell r="D11069"/>
          <cell r="E11069"/>
        </row>
        <row r="11070">
          <cell r="A11070"/>
          <cell r="B11070"/>
          <cell r="C11070"/>
          <cell r="D11070"/>
          <cell r="E11070"/>
        </row>
        <row r="11071">
          <cell r="A11071"/>
          <cell r="B11071"/>
          <cell r="C11071"/>
          <cell r="D11071"/>
          <cell r="E11071"/>
        </row>
        <row r="11072">
          <cell r="A11072"/>
          <cell r="B11072"/>
          <cell r="C11072"/>
          <cell r="D11072"/>
          <cell r="E11072"/>
        </row>
        <row r="11073">
          <cell r="A11073"/>
          <cell r="B11073"/>
          <cell r="C11073"/>
          <cell r="D11073"/>
          <cell r="E11073"/>
        </row>
        <row r="11074">
          <cell r="A11074"/>
          <cell r="B11074"/>
          <cell r="C11074"/>
          <cell r="D11074"/>
          <cell r="E11074"/>
        </row>
        <row r="11075">
          <cell r="A11075"/>
          <cell r="B11075"/>
          <cell r="C11075"/>
          <cell r="D11075"/>
          <cell r="E11075"/>
        </row>
        <row r="11076">
          <cell r="A11076"/>
          <cell r="B11076"/>
          <cell r="C11076"/>
          <cell r="D11076"/>
          <cell r="E11076"/>
        </row>
        <row r="11077">
          <cell r="A11077"/>
          <cell r="B11077"/>
          <cell r="C11077"/>
          <cell r="D11077"/>
          <cell r="E11077"/>
        </row>
        <row r="11078">
          <cell r="A11078"/>
          <cell r="B11078"/>
          <cell r="C11078"/>
          <cell r="D11078"/>
          <cell r="E11078"/>
        </row>
        <row r="11079">
          <cell r="A11079"/>
          <cell r="B11079"/>
          <cell r="C11079"/>
          <cell r="D11079"/>
          <cell r="E11079"/>
        </row>
        <row r="11080">
          <cell r="A11080"/>
          <cell r="B11080"/>
          <cell r="C11080"/>
          <cell r="D11080"/>
          <cell r="E11080"/>
        </row>
        <row r="11081">
          <cell r="A11081"/>
          <cell r="B11081"/>
          <cell r="C11081"/>
          <cell r="D11081"/>
          <cell r="E11081"/>
        </row>
        <row r="11082">
          <cell r="A11082"/>
          <cell r="B11082"/>
          <cell r="C11082"/>
          <cell r="D11082"/>
          <cell r="E11082"/>
        </row>
        <row r="11083">
          <cell r="A11083"/>
          <cell r="B11083"/>
          <cell r="C11083"/>
          <cell r="D11083"/>
          <cell r="E11083"/>
        </row>
        <row r="11084">
          <cell r="A11084"/>
          <cell r="B11084"/>
          <cell r="C11084"/>
          <cell r="D11084"/>
          <cell r="E11084"/>
        </row>
        <row r="11085">
          <cell r="A11085"/>
          <cell r="B11085"/>
          <cell r="C11085"/>
          <cell r="D11085"/>
          <cell r="E11085"/>
        </row>
        <row r="11086">
          <cell r="A11086"/>
          <cell r="B11086"/>
          <cell r="C11086"/>
          <cell r="D11086"/>
          <cell r="E11086"/>
        </row>
        <row r="11087">
          <cell r="A11087"/>
          <cell r="B11087"/>
          <cell r="C11087"/>
          <cell r="D11087"/>
          <cell r="E11087"/>
        </row>
        <row r="11088">
          <cell r="A11088"/>
          <cell r="B11088"/>
          <cell r="C11088"/>
          <cell r="D11088"/>
          <cell r="E11088"/>
        </row>
        <row r="11089">
          <cell r="A11089"/>
          <cell r="B11089"/>
          <cell r="C11089"/>
          <cell r="D11089"/>
          <cell r="E11089"/>
        </row>
        <row r="11090">
          <cell r="A11090"/>
          <cell r="B11090"/>
          <cell r="C11090"/>
          <cell r="D11090"/>
          <cell r="E11090"/>
        </row>
        <row r="11091">
          <cell r="A11091"/>
          <cell r="B11091"/>
          <cell r="C11091"/>
          <cell r="D11091"/>
          <cell r="E11091"/>
        </row>
        <row r="11092">
          <cell r="A11092"/>
          <cell r="B11092"/>
          <cell r="C11092"/>
          <cell r="D11092"/>
          <cell r="E11092"/>
        </row>
        <row r="11093">
          <cell r="A11093"/>
          <cell r="B11093"/>
          <cell r="C11093"/>
          <cell r="D11093"/>
          <cell r="E11093"/>
        </row>
        <row r="11094">
          <cell r="A11094"/>
          <cell r="B11094"/>
          <cell r="C11094"/>
          <cell r="D11094"/>
          <cell r="E11094"/>
        </row>
        <row r="11095">
          <cell r="A11095"/>
          <cell r="B11095"/>
          <cell r="C11095"/>
          <cell r="D11095"/>
          <cell r="E11095"/>
        </row>
        <row r="11096">
          <cell r="A11096"/>
          <cell r="B11096"/>
          <cell r="C11096"/>
          <cell r="D11096"/>
          <cell r="E11096"/>
        </row>
        <row r="11097">
          <cell r="A11097"/>
          <cell r="B11097"/>
          <cell r="C11097"/>
          <cell r="D11097"/>
          <cell r="E11097"/>
        </row>
        <row r="11098">
          <cell r="A11098"/>
          <cell r="B11098"/>
          <cell r="C11098"/>
          <cell r="D11098"/>
          <cell r="E11098"/>
        </row>
        <row r="11099">
          <cell r="A11099"/>
          <cell r="B11099"/>
          <cell r="C11099"/>
          <cell r="D11099"/>
          <cell r="E11099"/>
        </row>
        <row r="11100">
          <cell r="A11100"/>
          <cell r="B11100"/>
          <cell r="C11100"/>
          <cell r="D11100"/>
          <cell r="E11100"/>
        </row>
        <row r="11101">
          <cell r="A11101"/>
          <cell r="B11101"/>
          <cell r="C11101"/>
          <cell r="D11101"/>
          <cell r="E11101"/>
        </row>
        <row r="11102">
          <cell r="A11102"/>
          <cell r="B11102"/>
          <cell r="C11102"/>
          <cell r="D11102"/>
          <cell r="E11102"/>
        </row>
        <row r="11103">
          <cell r="A11103"/>
          <cell r="B11103"/>
          <cell r="C11103"/>
          <cell r="D11103"/>
          <cell r="E11103"/>
        </row>
        <row r="11104">
          <cell r="A11104"/>
          <cell r="B11104"/>
          <cell r="C11104"/>
          <cell r="D11104"/>
          <cell r="E11104"/>
        </row>
        <row r="11105">
          <cell r="A11105"/>
          <cell r="B11105"/>
          <cell r="C11105"/>
          <cell r="D11105"/>
          <cell r="E11105"/>
        </row>
        <row r="11106">
          <cell r="A11106"/>
          <cell r="B11106"/>
          <cell r="C11106"/>
          <cell r="D11106"/>
          <cell r="E11106"/>
        </row>
        <row r="11107">
          <cell r="A11107"/>
          <cell r="B11107"/>
          <cell r="C11107"/>
          <cell r="D11107"/>
          <cell r="E11107"/>
        </row>
        <row r="11108">
          <cell r="A11108"/>
          <cell r="B11108"/>
          <cell r="C11108"/>
          <cell r="D11108"/>
          <cell r="E11108"/>
        </row>
        <row r="11109">
          <cell r="A11109"/>
          <cell r="B11109"/>
          <cell r="C11109"/>
          <cell r="D11109"/>
          <cell r="E11109"/>
        </row>
        <row r="11110">
          <cell r="A11110"/>
          <cell r="B11110"/>
          <cell r="C11110"/>
          <cell r="D11110"/>
          <cell r="E11110"/>
        </row>
        <row r="11111">
          <cell r="A11111"/>
          <cell r="B11111"/>
          <cell r="C11111"/>
          <cell r="D11111"/>
          <cell r="E11111"/>
        </row>
        <row r="11112">
          <cell r="A11112"/>
          <cell r="B11112"/>
          <cell r="C11112"/>
          <cell r="D11112"/>
          <cell r="E11112"/>
        </row>
        <row r="11113">
          <cell r="A11113"/>
          <cell r="B11113"/>
          <cell r="C11113"/>
          <cell r="D11113"/>
          <cell r="E11113"/>
        </row>
        <row r="11114">
          <cell r="A11114"/>
          <cell r="B11114"/>
          <cell r="C11114"/>
          <cell r="D11114"/>
          <cell r="E11114"/>
        </row>
        <row r="11115">
          <cell r="A11115"/>
          <cell r="B11115"/>
          <cell r="C11115"/>
          <cell r="D11115"/>
          <cell r="E11115"/>
        </row>
        <row r="11116">
          <cell r="A11116"/>
          <cell r="B11116"/>
          <cell r="C11116"/>
          <cell r="D11116"/>
          <cell r="E11116"/>
        </row>
        <row r="11117">
          <cell r="A11117"/>
          <cell r="B11117"/>
          <cell r="C11117"/>
          <cell r="D11117"/>
          <cell r="E11117"/>
        </row>
        <row r="11118">
          <cell r="A11118"/>
          <cell r="B11118"/>
          <cell r="C11118"/>
          <cell r="D11118"/>
          <cell r="E11118"/>
        </row>
        <row r="11119">
          <cell r="A11119"/>
          <cell r="B11119"/>
          <cell r="C11119"/>
          <cell r="D11119"/>
          <cell r="E11119"/>
        </row>
        <row r="11120">
          <cell r="A11120"/>
          <cell r="B11120"/>
          <cell r="C11120"/>
          <cell r="D11120"/>
          <cell r="E11120"/>
        </row>
        <row r="11121">
          <cell r="A11121"/>
          <cell r="B11121"/>
          <cell r="C11121"/>
          <cell r="D11121"/>
          <cell r="E11121"/>
        </row>
        <row r="11122">
          <cell r="A11122"/>
          <cell r="B11122"/>
          <cell r="C11122"/>
          <cell r="D11122"/>
          <cell r="E11122"/>
        </row>
        <row r="11123">
          <cell r="A11123"/>
          <cell r="B11123"/>
          <cell r="C11123"/>
          <cell r="D11123"/>
          <cell r="E11123"/>
        </row>
        <row r="11124">
          <cell r="A11124"/>
          <cell r="B11124"/>
          <cell r="C11124"/>
          <cell r="D11124"/>
          <cell r="E11124"/>
        </row>
        <row r="11125">
          <cell r="A11125"/>
          <cell r="B11125"/>
          <cell r="C11125"/>
          <cell r="D11125"/>
          <cell r="E11125"/>
        </row>
        <row r="11126">
          <cell r="A11126"/>
          <cell r="B11126"/>
          <cell r="C11126"/>
          <cell r="D11126"/>
          <cell r="E11126"/>
        </row>
        <row r="11127">
          <cell r="A11127"/>
          <cell r="B11127"/>
          <cell r="C11127"/>
          <cell r="D11127"/>
          <cell r="E11127"/>
        </row>
        <row r="11128">
          <cell r="A11128"/>
          <cell r="B11128"/>
          <cell r="C11128"/>
          <cell r="D11128"/>
          <cell r="E11128"/>
        </row>
        <row r="11129">
          <cell r="A11129"/>
          <cell r="B11129"/>
          <cell r="C11129"/>
          <cell r="D11129"/>
          <cell r="E11129"/>
        </row>
        <row r="11130">
          <cell r="A11130"/>
          <cell r="B11130"/>
          <cell r="C11130"/>
          <cell r="D11130"/>
          <cell r="E11130"/>
        </row>
        <row r="11131">
          <cell r="A11131"/>
          <cell r="B11131"/>
          <cell r="C11131"/>
          <cell r="D11131"/>
          <cell r="E11131"/>
        </row>
        <row r="11132">
          <cell r="A11132"/>
          <cell r="B11132"/>
          <cell r="C11132"/>
          <cell r="D11132"/>
          <cell r="E11132"/>
        </row>
        <row r="11133">
          <cell r="A11133"/>
          <cell r="B11133"/>
          <cell r="C11133"/>
          <cell r="D11133"/>
          <cell r="E11133"/>
        </row>
        <row r="11134">
          <cell r="A11134"/>
          <cell r="B11134"/>
          <cell r="C11134"/>
          <cell r="D11134"/>
          <cell r="E11134"/>
        </row>
        <row r="11135">
          <cell r="A11135"/>
          <cell r="B11135"/>
          <cell r="C11135"/>
          <cell r="D11135"/>
          <cell r="E11135"/>
        </row>
        <row r="11136">
          <cell r="A11136"/>
          <cell r="B11136"/>
          <cell r="C11136"/>
          <cell r="D11136"/>
          <cell r="E11136"/>
        </row>
        <row r="11137">
          <cell r="A11137"/>
          <cell r="B11137"/>
          <cell r="C11137"/>
          <cell r="D11137"/>
          <cell r="E11137"/>
        </row>
        <row r="11138">
          <cell r="A11138"/>
          <cell r="B11138"/>
          <cell r="C11138"/>
          <cell r="D11138"/>
          <cell r="E11138"/>
        </row>
        <row r="11139">
          <cell r="A11139"/>
          <cell r="B11139"/>
          <cell r="C11139"/>
          <cell r="D11139"/>
          <cell r="E11139"/>
        </row>
        <row r="11140">
          <cell r="A11140"/>
          <cell r="B11140"/>
          <cell r="C11140"/>
          <cell r="D11140"/>
          <cell r="E11140"/>
        </row>
        <row r="11141">
          <cell r="A11141"/>
          <cell r="B11141"/>
          <cell r="C11141"/>
          <cell r="D11141"/>
          <cell r="E11141"/>
        </row>
        <row r="11142">
          <cell r="A11142"/>
          <cell r="B11142"/>
          <cell r="C11142"/>
          <cell r="D11142"/>
          <cell r="E11142"/>
        </row>
        <row r="11143">
          <cell r="A11143"/>
          <cell r="B11143"/>
          <cell r="C11143"/>
          <cell r="D11143"/>
          <cell r="E11143"/>
        </row>
        <row r="11144">
          <cell r="A11144"/>
          <cell r="B11144"/>
          <cell r="C11144"/>
          <cell r="D11144"/>
          <cell r="E11144"/>
        </row>
        <row r="11145">
          <cell r="A11145"/>
          <cell r="B11145"/>
          <cell r="C11145"/>
          <cell r="D11145"/>
          <cell r="E11145"/>
        </row>
        <row r="11146">
          <cell r="A11146"/>
          <cell r="B11146"/>
          <cell r="C11146"/>
          <cell r="D11146"/>
          <cell r="E11146"/>
        </row>
        <row r="11147">
          <cell r="A11147"/>
          <cell r="B11147"/>
          <cell r="C11147"/>
          <cell r="D11147"/>
          <cell r="E11147"/>
        </row>
        <row r="11148">
          <cell r="A11148"/>
          <cell r="B11148"/>
          <cell r="C11148"/>
          <cell r="D11148"/>
          <cell r="E11148"/>
        </row>
        <row r="11149">
          <cell r="A11149"/>
          <cell r="B11149"/>
          <cell r="C11149"/>
          <cell r="D11149"/>
          <cell r="E11149"/>
        </row>
        <row r="11150">
          <cell r="A11150"/>
          <cell r="B11150"/>
          <cell r="C11150"/>
          <cell r="D11150"/>
          <cell r="E11150"/>
        </row>
        <row r="11151">
          <cell r="A11151"/>
          <cell r="B11151"/>
          <cell r="C11151"/>
          <cell r="D11151"/>
          <cell r="E11151"/>
        </row>
        <row r="11152">
          <cell r="A11152"/>
          <cell r="B11152"/>
          <cell r="C11152"/>
          <cell r="D11152"/>
          <cell r="E11152"/>
        </row>
        <row r="11153">
          <cell r="A11153"/>
          <cell r="B11153"/>
          <cell r="C11153"/>
          <cell r="D11153"/>
          <cell r="E11153"/>
        </row>
        <row r="11154">
          <cell r="A11154"/>
          <cell r="B11154"/>
          <cell r="C11154"/>
          <cell r="D11154"/>
          <cell r="E11154"/>
        </row>
        <row r="11155">
          <cell r="A11155"/>
          <cell r="B11155"/>
          <cell r="C11155"/>
          <cell r="D11155"/>
          <cell r="E11155"/>
        </row>
        <row r="11156">
          <cell r="A11156"/>
          <cell r="B11156"/>
          <cell r="C11156"/>
          <cell r="D11156"/>
          <cell r="E11156"/>
        </row>
        <row r="11157">
          <cell r="A11157"/>
          <cell r="B11157"/>
          <cell r="C11157"/>
          <cell r="D11157"/>
          <cell r="E11157"/>
        </row>
        <row r="11158">
          <cell r="A11158"/>
          <cell r="B11158"/>
          <cell r="C11158"/>
          <cell r="D11158"/>
          <cell r="E11158"/>
        </row>
        <row r="11159">
          <cell r="A11159"/>
          <cell r="B11159"/>
          <cell r="C11159"/>
          <cell r="D11159"/>
          <cell r="E11159"/>
        </row>
        <row r="11160">
          <cell r="A11160"/>
          <cell r="B11160"/>
          <cell r="C11160"/>
          <cell r="D11160"/>
          <cell r="E11160"/>
        </row>
        <row r="11161">
          <cell r="A11161"/>
          <cell r="B11161"/>
          <cell r="C11161"/>
          <cell r="D11161"/>
          <cell r="E11161"/>
        </row>
        <row r="11162">
          <cell r="A11162"/>
          <cell r="B11162"/>
          <cell r="C11162"/>
          <cell r="D11162"/>
          <cell r="E11162"/>
        </row>
        <row r="11163">
          <cell r="A11163"/>
          <cell r="B11163"/>
          <cell r="C11163"/>
          <cell r="D11163"/>
          <cell r="E11163"/>
        </row>
        <row r="11164">
          <cell r="A11164"/>
          <cell r="B11164"/>
          <cell r="C11164"/>
          <cell r="D11164"/>
          <cell r="E11164"/>
        </row>
        <row r="11165">
          <cell r="A11165"/>
          <cell r="B11165"/>
          <cell r="C11165"/>
          <cell r="D11165"/>
          <cell r="E11165"/>
        </row>
        <row r="11166">
          <cell r="A11166"/>
          <cell r="B11166"/>
          <cell r="C11166"/>
          <cell r="D11166"/>
          <cell r="E11166"/>
        </row>
        <row r="11167">
          <cell r="A11167"/>
          <cell r="B11167"/>
          <cell r="C11167"/>
          <cell r="D11167"/>
          <cell r="E11167"/>
        </row>
        <row r="11168">
          <cell r="A11168"/>
          <cell r="B11168"/>
          <cell r="C11168"/>
          <cell r="D11168"/>
          <cell r="E11168"/>
        </row>
        <row r="11169">
          <cell r="A11169"/>
          <cell r="B11169"/>
          <cell r="C11169"/>
          <cell r="D11169"/>
          <cell r="E11169"/>
        </row>
        <row r="11170">
          <cell r="A11170"/>
          <cell r="B11170"/>
          <cell r="C11170"/>
          <cell r="D11170"/>
          <cell r="E11170"/>
        </row>
        <row r="11171">
          <cell r="A11171"/>
          <cell r="B11171"/>
          <cell r="C11171"/>
          <cell r="D11171"/>
          <cell r="E11171"/>
        </row>
        <row r="11172">
          <cell r="A11172"/>
          <cell r="B11172"/>
          <cell r="C11172"/>
          <cell r="D11172"/>
          <cell r="E11172"/>
        </row>
        <row r="11173">
          <cell r="A11173"/>
          <cell r="B11173"/>
          <cell r="C11173"/>
          <cell r="D11173"/>
          <cell r="E11173"/>
        </row>
        <row r="11174">
          <cell r="A11174"/>
          <cell r="B11174"/>
          <cell r="C11174"/>
          <cell r="D11174"/>
          <cell r="E11174"/>
        </row>
        <row r="11175">
          <cell r="A11175"/>
          <cell r="B11175"/>
          <cell r="C11175"/>
          <cell r="D11175"/>
          <cell r="E11175"/>
        </row>
        <row r="11176">
          <cell r="A11176"/>
          <cell r="B11176"/>
          <cell r="C11176"/>
          <cell r="D11176"/>
          <cell r="E11176"/>
        </row>
        <row r="11177">
          <cell r="A11177"/>
          <cell r="B11177"/>
          <cell r="C11177"/>
          <cell r="D11177"/>
          <cell r="E11177"/>
        </row>
        <row r="11178">
          <cell r="A11178"/>
          <cell r="B11178"/>
          <cell r="C11178"/>
          <cell r="D11178"/>
          <cell r="E11178"/>
        </row>
        <row r="11179">
          <cell r="A11179"/>
          <cell r="B11179"/>
          <cell r="C11179"/>
          <cell r="D11179"/>
          <cell r="E11179"/>
        </row>
        <row r="11180">
          <cell r="A11180"/>
          <cell r="B11180"/>
          <cell r="C11180"/>
          <cell r="D11180"/>
          <cell r="E11180"/>
        </row>
        <row r="11181">
          <cell r="A11181"/>
          <cell r="B11181"/>
          <cell r="C11181"/>
          <cell r="D11181"/>
          <cell r="E11181"/>
        </row>
        <row r="11182">
          <cell r="A11182"/>
          <cell r="B11182"/>
          <cell r="C11182"/>
          <cell r="D11182"/>
          <cell r="E11182"/>
        </row>
        <row r="11183">
          <cell r="A11183"/>
          <cell r="B11183"/>
          <cell r="C11183"/>
          <cell r="D11183"/>
          <cell r="E11183"/>
        </row>
        <row r="11184">
          <cell r="A11184"/>
          <cell r="B11184"/>
          <cell r="C11184"/>
          <cell r="D11184"/>
          <cell r="E11184"/>
        </row>
        <row r="11185">
          <cell r="A11185"/>
          <cell r="B11185"/>
          <cell r="C11185"/>
          <cell r="D11185"/>
          <cell r="E11185"/>
        </row>
        <row r="11186">
          <cell r="A11186"/>
          <cell r="B11186"/>
          <cell r="C11186"/>
          <cell r="D11186"/>
          <cell r="E11186"/>
        </row>
        <row r="11187">
          <cell r="A11187"/>
          <cell r="B11187"/>
          <cell r="C11187"/>
          <cell r="D11187"/>
          <cell r="E11187"/>
        </row>
        <row r="11188">
          <cell r="A11188"/>
          <cell r="B11188"/>
          <cell r="C11188"/>
          <cell r="D11188"/>
          <cell r="E11188"/>
        </row>
        <row r="11189">
          <cell r="A11189"/>
          <cell r="B11189"/>
          <cell r="C11189"/>
          <cell r="D11189"/>
          <cell r="E11189"/>
        </row>
        <row r="11190">
          <cell r="A11190"/>
          <cell r="B11190"/>
          <cell r="C11190"/>
          <cell r="D11190"/>
          <cell r="E11190"/>
        </row>
        <row r="11191">
          <cell r="A11191"/>
          <cell r="B11191"/>
          <cell r="C11191"/>
          <cell r="D11191"/>
          <cell r="E11191"/>
        </row>
        <row r="11192">
          <cell r="A11192"/>
          <cell r="B11192"/>
          <cell r="C11192"/>
          <cell r="D11192"/>
          <cell r="E11192"/>
        </row>
        <row r="11193">
          <cell r="A11193"/>
          <cell r="B11193"/>
          <cell r="C11193"/>
          <cell r="D11193"/>
          <cell r="E11193"/>
        </row>
        <row r="11194">
          <cell r="A11194"/>
          <cell r="B11194"/>
          <cell r="C11194"/>
          <cell r="D11194"/>
          <cell r="E11194"/>
        </row>
        <row r="11195">
          <cell r="A11195"/>
          <cell r="B11195"/>
          <cell r="C11195"/>
          <cell r="D11195"/>
          <cell r="E11195"/>
        </row>
        <row r="11196">
          <cell r="A11196"/>
          <cell r="B11196"/>
          <cell r="C11196"/>
          <cell r="D11196"/>
          <cell r="E11196"/>
        </row>
        <row r="11197">
          <cell r="A11197"/>
          <cell r="B11197"/>
          <cell r="C11197"/>
          <cell r="D11197"/>
          <cell r="E11197"/>
        </row>
        <row r="11198">
          <cell r="A11198"/>
          <cell r="B11198"/>
          <cell r="C11198"/>
          <cell r="D11198"/>
          <cell r="E11198"/>
        </row>
        <row r="11199">
          <cell r="A11199"/>
          <cell r="B11199"/>
          <cell r="C11199"/>
          <cell r="D11199"/>
          <cell r="E11199"/>
        </row>
        <row r="11200">
          <cell r="A11200"/>
          <cell r="B11200"/>
          <cell r="C11200"/>
          <cell r="D11200"/>
          <cell r="E11200"/>
        </row>
        <row r="11201">
          <cell r="A11201"/>
          <cell r="B11201"/>
          <cell r="C11201"/>
          <cell r="D11201"/>
          <cell r="E11201"/>
        </row>
        <row r="11202">
          <cell r="A11202"/>
          <cell r="B11202"/>
          <cell r="C11202"/>
          <cell r="D11202"/>
          <cell r="E11202"/>
        </row>
        <row r="11203">
          <cell r="A11203"/>
          <cell r="B11203"/>
          <cell r="C11203"/>
          <cell r="D11203"/>
          <cell r="E11203"/>
        </row>
        <row r="11204">
          <cell r="A11204"/>
          <cell r="B11204"/>
          <cell r="C11204"/>
          <cell r="D11204"/>
          <cell r="E11204"/>
        </row>
        <row r="11205">
          <cell r="A11205"/>
          <cell r="B11205"/>
          <cell r="C11205"/>
          <cell r="D11205"/>
          <cell r="E11205"/>
        </row>
        <row r="11206">
          <cell r="A11206"/>
          <cell r="B11206"/>
          <cell r="C11206"/>
          <cell r="D11206"/>
          <cell r="E11206"/>
        </row>
        <row r="11207">
          <cell r="A11207"/>
          <cell r="B11207"/>
          <cell r="C11207"/>
          <cell r="D11207"/>
          <cell r="E11207"/>
        </row>
        <row r="11208">
          <cell r="A11208"/>
          <cell r="B11208"/>
          <cell r="C11208"/>
          <cell r="D11208"/>
          <cell r="E11208"/>
        </row>
        <row r="11209">
          <cell r="A11209"/>
          <cell r="B11209"/>
          <cell r="C11209"/>
          <cell r="D11209"/>
          <cell r="E11209"/>
        </row>
        <row r="11210">
          <cell r="A11210"/>
          <cell r="B11210"/>
          <cell r="C11210"/>
          <cell r="D11210"/>
          <cell r="E11210"/>
        </row>
        <row r="11211">
          <cell r="A11211"/>
          <cell r="B11211"/>
          <cell r="C11211"/>
          <cell r="D11211"/>
          <cell r="E11211"/>
        </row>
        <row r="11212">
          <cell r="A11212"/>
          <cell r="B11212"/>
          <cell r="C11212"/>
          <cell r="D11212"/>
          <cell r="E11212"/>
        </row>
        <row r="11213">
          <cell r="A11213"/>
          <cell r="B11213"/>
          <cell r="C11213"/>
          <cell r="D11213"/>
          <cell r="E11213"/>
        </row>
        <row r="11214">
          <cell r="A11214"/>
          <cell r="B11214"/>
          <cell r="C11214"/>
          <cell r="D11214"/>
          <cell r="E11214"/>
        </row>
        <row r="11215">
          <cell r="A11215"/>
          <cell r="B11215"/>
          <cell r="C11215"/>
          <cell r="D11215"/>
          <cell r="E11215"/>
        </row>
        <row r="11216">
          <cell r="A11216"/>
          <cell r="B11216"/>
          <cell r="C11216"/>
          <cell r="D11216"/>
          <cell r="E11216"/>
        </row>
        <row r="11217">
          <cell r="A11217"/>
          <cell r="B11217"/>
          <cell r="C11217"/>
          <cell r="D11217"/>
          <cell r="E11217"/>
        </row>
        <row r="11218">
          <cell r="A11218"/>
          <cell r="B11218"/>
          <cell r="C11218"/>
          <cell r="D11218"/>
          <cell r="E11218"/>
        </row>
        <row r="11219">
          <cell r="A11219"/>
          <cell r="B11219"/>
          <cell r="C11219"/>
          <cell r="D11219"/>
          <cell r="E11219"/>
        </row>
        <row r="11220">
          <cell r="A11220"/>
          <cell r="B11220"/>
          <cell r="C11220"/>
          <cell r="D11220"/>
          <cell r="E11220"/>
        </row>
        <row r="11221">
          <cell r="A11221"/>
          <cell r="B11221"/>
          <cell r="C11221"/>
          <cell r="D11221"/>
          <cell r="E11221"/>
        </row>
        <row r="11222">
          <cell r="A11222"/>
          <cell r="B11222"/>
          <cell r="C11222"/>
          <cell r="D11222"/>
          <cell r="E11222"/>
        </row>
        <row r="11223">
          <cell r="A11223"/>
          <cell r="B11223"/>
          <cell r="C11223"/>
          <cell r="D11223"/>
          <cell r="E11223"/>
        </row>
        <row r="11224">
          <cell r="A11224"/>
          <cell r="B11224"/>
          <cell r="C11224"/>
          <cell r="D11224"/>
          <cell r="E11224"/>
        </row>
        <row r="11225">
          <cell r="A11225"/>
          <cell r="B11225"/>
          <cell r="C11225"/>
          <cell r="D11225"/>
          <cell r="E11225"/>
        </row>
        <row r="11226">
          <cell r="A11226"/>
          <cell r="B11226"/>
          <cell r="C11226"/>
          <cell r="D11226"/>
          <cell r="E11226"/>
        </row>
        <row r="11227">
          <cell r="A11227"/>
          <cell r="B11227"/>
          <cell r="C11227"/>
          <cell r="D11227"/>
          <cell r="E11227"/>
        </row>
        <row r="11228">
          <cell r="A11228"/>
          <cell r="B11228"/>
          <cell r="C11228"/>
          <cell r="D11228"/>
          <cell r="E11228"/>
        </row>
        <row r="11229">
          <cell r="A11229"/>
          <cell r="B11229"/>
          <cell r="C11229"/>
          <cell r="D11229"/>
          <cell r="E11229"/>
        </row>
        <row r="11230">
          <cell r="A11230"/>
          <cell r="B11230"/>
          <cell r="C11230"/>
          <cell r="D11230"/>
          <cell r="E11230"/>
        </row>
        <row r="11231">
          <cell r="A11231"/>
          <cell r="B11231"/>
          <cell r="C11231"/>
          <cell r="D11231"/>
          <cell r="E11231"/>
        </row>
        <row r="11232">
          <cell r="A11232"/>
          <cell r="B11232"/>
          <cell r="C11232"/>
          <cell r="D11232"/>
          <cell r="E11232"/>
        </row>
        <row r="11233">
          <cell r="A11233"/>
          <cell r="B11233"/>
          <cell r="C11233"/>
          <cell r="D11233"/>
          <cell r="E11233"/>
        </row>
        <row r="11234">
          <cell r="A11234"/>
          <cell r="B11234"/>
          <cell r="C11234"/>
          <cell r="D11234"/>
          <cell r="E11234"/>
        </row>
        <row r="11235">
          <cell r="A11235"/>
          <cell r="B11235"/>
          <cell r="C11235"/>
          <cell r="D11235"/>
          <cell r="E11235"/>
        </row>
        <row r="11236">
          <cell r="A11236"/>
          <cell r="B11236"/>
          <cell r="C11236"/>
          <cell r="D11236"/>
          <cell r="E11236"/>
        </row>
        <row r="11237">
          <cell r="A11237"/>
          <cell r="B11237"/>
          <cell r="C11237"/>
          <cell r="D11237"/>
          <cell r="E11237"/>
        </row>
        <row r="11238">
          <cell r="A11238"/>
          <cell r="B11238"/>
          <cell r="C11238"/>
          <cell r="D11238"/>
          <cell r="E11238"/>
        </row>
        <row r="11239">
          <cell r="A11239"/>
          <cell r="B11239"/>
          <cell r="C11239"/>
          <cell r="D11239"/>
          <cell r="E11239"/>
        </row>
        <row r="11240">
          <cell r="A11240"/>
          <cell r="B11240"/>
          <cell r="C11240"/>
          <cell r="D11240"/>
          <cell r="E11240"/>
        </row>
        <row r="11241">
          <cell r="A11241"/>
          <cell r="B11241"/>
          <cell r="C11241"/>
          <cell r="D11241"/>
          <cell r="E11241"/>
        </row>
        <row r="11242">
          <cell r="A11242"/>
          <cell r="B11242"/>
          <cell r="C11242"/>
          <cell r="D11242"/>
          <cell r="E11242"/>
        </row>
        <row r="11243">
          <cell r="A11243"/>
          <cell r="B11243"/>
          <cell r="C11243"/>
          <cell r="D11243"/>
          <cell r="E11243"/>
        </row>
        <row r="11244">
          <cell r="A11244"/>
          <cell r="B11244"/>
          <cell r="C11244"/>
          <cell r="D11244"/>
          <cell r="E11244"/>
        </row>
        <row r="11245">
          <cell r="A11245"/>
          <cell r="B11245"/>
          <cell r="C11245"/>
          <cell r="D11245"/>
          <cell r="E11245"/>
        </row>
        <row r="11246">
          <cell r="A11246"/>
          <cell r="B11246"/>
          <cell r="C11246"/>
          <cell r="D11246"/>
          <cell r="E11246"/>
        </row>
        <row r="11247">
          <cell r="A11247"/>
          <cell r="B11247"/>
          <cell r="C11247"/>
          <cell r="D11247"/>
          <cell r="E11247"/>
        </row>
        <row r="11248">
          <cell r="A11248"/>
          <cell r="B11248"/>
          <cell r="C11248"/>
          <cell r="D11248"/>
          <cell r="E11248"/>
        </row>
        <row r="11249">
          <cell r="A11249"/>
          <cell r="B11249"/>
          <cell r="C11249"/>
          <cell r="D11249"/>
          <cell r="E11249"/>
        </row>
        <row r="11250">
          <cell r="A11250"/>
          <cell r="B11250"/>
          <cell r="C11250"/>
          <cell r="D11250"/>
          <cell r="E11250"/>
        </row>
        <row r="11251">
          <cell r="A11251"/>
          <cell r="B11251"/>
          <cell r="C11251"/>
          <cell r="D11251"/>
          <cell r="E11251"/>
        </row>
        <row r="11252">
          <cell r="A11252"/>
          <cell r="B11252"/>
          <cell r="C11252"/>
          <cell r="D11252"/>
          <cell r="E11252"/>
        </row>
        <row r="11253">
          <cell r="A11253"/>
          <cell r="B11253"/>
          <cell r="C11253"/>
          <cell r="D11253"/>
          <cell r="E11253"/>
        </row>
        <row r="11254">
          <cell r="A11254"/>
          <cell r="B11254"/>
          <cell r="C11254"/>
          <cell r="D11254"/>
          <cell r="E11254"/>
        </row>
        <row r="11255">
          <cell r="A11255"/>
          <cell r="B11255"/>
          <cell r="C11255"/>
          <cell r="D11255"/>
          <cell r="E11255"/>
        </row>
        <row r="11256">
          <cell r="A11256"/>
          <cell r="B11256"/>
          <cell r="C11256"/>
          <cell r="D11256"/>
          <cell r="E11256"/>
        </row>
        <row r="11257">
          <cell r="A11257"/>
          <cell r="B11257"/>
          <cell r="C11257"/>
          <cell r="D11257"/>
          <cell r="E11257"/>
        </row>
        <row r="11258">
          <cell r="A11258"/>
          <cell r="B11258"/>
          <cell r="C11258"/>
          <cell r="D11258"/>
          <cell r="E11258"/>
        </row>
        <row r="11259">
          <cell r="A11259"/>
          <cell r="B11259"/>
          <cell r="C11259"/>
          <cell r="D11259"/>
          <cell r="E11259"/>
        </row>
        <row r="11260">
          <cell r="A11260"/>
          <cell r="B11260"/>
          <cell r="C11260"/>
          <cell r="D11260"/>
          <cell r="E11260"/>
        </row>
        <row r="11261">
          <cell r="A11261"/>
          <cell r="B11261"/>
          <cell r="C11261"/>
          <cell r="D11261"/>
          <cell r="E11261"/>
        </row>
        <row r="11262">
          <cell r="A11262"/>
          <cell r="B11262"/>
          <cell r="C11262"/>
          <cell r="D11262"/>
          <cell r="E11262"/>
        </row>
        <row r="11263">
          <cell r="A11263"/>
          <cell r="B11263"/>
          <cell r="C11263"/>
          <cell r="D11263"/>
          <cell r="E11263"/>
        </row>
        <row r="11264">
          <cell r="A11264"/>
          <cell r="B11264"/>
          <cell r="C11264"/>
          <cell r="D11264"/>
          <cell r="E11264"/>
        </row>
        <row r="11265">
          <cell r="A11265"/>
          <cell r="B11265"/>
          <cell r="C11265"/>
          <cell r="D11265"/>
          <cell r="E11265"/>
        </row>
        <row r="11266">
          <cell r="A11266"/>
          <cell r="B11266"/>
          <cell r="C11266"/>
          <cell r="D11266"/>
          <cell r="E11266"/>
        </row>
        <row r="11267">
          <cell r="A11267"/>
          <cell r="B11267"/>
          <cell r="C11267"/>
          <cell r="D11267"/>
          <cell r="E11267"/>
        </row>
        <row r="11268">
          <cell r="A11268"/>
          <cell r="B11268"/>
          <cell r="C11268"/>
          <cell r="D11268"/>
          <cell r="E11268"/>
        </row>
        <row r="11269">
          <cell r="A11269"/>
          <cell r="B11269"/>
          <cell r="C11269"/>
          <cell r="D11269"/>
          <cell r="E11269"/>
        </row>
        <row r="11270">
          <cell r="A11270"/>
          <cell r="B11270"/>
          <cell r="C11270"/>
          <cell r="D11270"/>
          <cell r="E11270"/>
        </row>
        <row r="11271">
          <cell r="A11271"/>
          <cell r="B11271"/>
          <cell r="C11271"/>
          <cell r="D11271"/>
          <cell r="E11271"/>
        </row>
        <row r="11272">
          <cell r="A11272"/>
          <cell r="B11272"/>
          <cell r="C11272"/>
          <cell r="D11272"/>
          <cell r="E11272"/>
        </row>
        <row r="11273">
          <cell r="A11273"/>
          <cell r="B11273"/>
          <cell r="C11273"/>
          <cell r="D11273"/>
          <cell r="E11273"/>
        </row>
        <row r="11274">
          <cell r="A11274"/>
          <cell r="B11274"/>
          <cell r="C11274"/>
          <cell r="D11274"/>
          <cell r="E11274"/>
        </row>
        <row r="11275">
          <cell r="A11275"/>
          <cell r="B11275"/>
          <cell r="C11275"/>
          <cell r="D11275"/>
          <cell r="E11275"/>
        </row>
        <row r="11276">
          <cell r="A11276"/>
          <cell r="B11276"/>
          <cell r="C11276"/>
          <cell r="D11276"/>
          <cell r="E11276"/>
        </row>
        <row r="11277">
          <cell r="A11277"/>
          <cell r="B11277"/>
          <cell r="C11277"/>
          <cell r="D11277"/>
          <cell r="E11277"/>
        </row>
        <row r="11278">
          <cell r="A11278"/>
          <cell r="B11278"/>
          <cell r="C11278"/>
          <cell r="D11278"/>
          <cell r="E11278"/>
        </row>
        <row r="11279">
          <cell r="A11279"/>
          <cell r="B11279"/>
          <cell r="C11279"/>
          <cell r="D11279"/>
          <cell r="E11279"/>
        </row>
        <row r="11280">
          <cell r="A11280"/>
          <cell r="B11280"/>
          <cell r="C11280"/>
          <cell r="D11280"/>
          <cell r="E11280"/>
        </row>
        <row r="11281">
          <cell r="A11281"/>
          <cell r="B11281"/>
          <cell r="C11281"/>
          <cell r="D11281"/>
          <cell r="E11281"/>
        </row>
        <row r="11282">
          <cell r="A11282"/>
          <cell r="B11282"/>
          <cell r="C11282"/>
          <cell r="D11282"/>
          <cell r="E11282"/>
        </row>
        <row r="11283">
          <cell r="A11283"/>
          <cell r="B11283"/>
          <cell r="C11283"/>
          <cell r="D11283"/>
          <cell r="E11283"/>
        </row>
        <row r="11284">
          <cell r="A11284"/>
          <cell r="B11284"/>
          <cell r="C11284"/>
          <cell r="D11284"/>
          <cell r="E11284"/>
        </row>
        <row r="11285">
          <cell r="A11285"/>
          <cell r="B11285"/>
          <cell r="C11285"/>
          <cell r="D11285"/>
          <cell r="E11285"/>
        </row>
        <row r="11286">
          <cell r="A11286"/>
          <cell r="B11286"/>
          <cell r="C11286"/>
          <cell r="D11286"/>
          <cell r="E11286"/>
        </row>
        <row r="11287">
          <cell r="A11287"/>
          <cell r="B11287"/>
          <cell r="C11287"/>
          <cell r="D11287"/>
          <cell r="E11287"/>
        </row>
        <row r="11288">
          <cell r="A11288"/>
          <cell r="B11288"/>
          <cell r="C11288"/>
          <cell r="D11288"/>
          <cell r="E11288"/>
        </row>
        <row r="11289">
          <cell r="A11289"/>
          <cell r="B11289"/>
          <cell r="C11289"/>
          <cell r="D11289"/>
          <cell r="E11289"/>
        </row>
        <row r="11290">
          <cell r="A11290"/>
          <cell r="B11290"/>
          <cell r="C11290"/>
          <cell r="D11290"/>
          <cell r="E11290"/>
        </row>
        <row r="11291">
          <cell r="A11291"/>
          <cell r="B11291"/>
          <cell r="C11291"/>
          <cell r="D11291"/>
          <cell r="E11291"/>
        </row>
        <row r="11292">
          <cell r="A11292"/>
          <cell r="B11292"/>
          <cell r="C11292"/>
          <cell r="D11292"/>
          <cell r="E11292"/>
        </row>
        <row r="11293">
          <cell r="A11293"/>
          <cell r="B11293"/>
          <cell r="C11293"/>
          <cell r="D11293"/>
          <cell r="E11293"/>
        </row>
        <row r="11294">
          <cell r="A11294"/>
          <cell r="B11294"/>
          <cell r="C11294"/>
          <cell r="D11294"/>
          <cell r="E11294"/>
        </row>
        <row r="11295">
          <cell r="A11295"/>
          <cell r="B11295"/>
          <cell r="C11295"/>
          <cell r="D11295"/>
          <cell r="E11295"/>
        </row>
        <row r="11296">
          <cell r="A11296"/>
          <cell r="B11296"/>
          <cell r="C11296"/>
          <cell r="D11296"/>
          <cell r="E11296"/>
        </row>
        <row r="11297">
          <cell r="A11297"/>
          <cell r="B11297"/>
          <cell r="C11297"/>
          <cell r="D11297"/>
          <cell r="E11297"/>
        </row>
        <row r="11298">
          <cell r="A11298"/>
          <cell r="B11298"/>
          <cell r="C11298"/>
          <cell r="D11298"/>
          <cell r="E11298"/>
        </row>
        <row r="11299">
          <cell r="A11299"/>
          <cell r="B11299"/>
          <cell r="C11299"/>
          <cell r="D11299"/>
          <cell r="E11299"/>
        </row>
        <row r="11300">
          <cell r="A11300"/>
          <cell r="B11300"/>
          <cell r="C11300"/>
          <cell r="D11300"/>
          <cell r="E11300"/>
        </row>
        <row r="11301">
          <cell r="A11301"/>
          <cell r="B11301"/>
          <cell r="C11301"/>
          <cell r="D11301"/>
          <cell r="E11301"/>
        </row>
        <row r="11302">
          <cell r="A11302"/>
          <cell r="B11302"/>
          <cell r="C11302"/>
          <cell r="D11302"/>
          <cell r="E11302"/>
        </row>
        <row r="11303">
          <cell r="A11303"/>
          <cell r="B11303"/>
          <cell r="C11303"/>
          <cell r="D11303"/>
          <cell r="E11303"/>
        </row>
        <row r="11304">
          <cell r="A11304"/>
          <cell r="B11304"/>
          <cell r="C11304"/>
          <cell r="D11304"/>
          <cell r="E11304"/>
        </row>
        <row r="11305">
          <cell r="A11305"/>
          <cell r="B11305"/>
          <cell r="C11305"/>
          <cell r="D11305"/>
          <cell r="E11305"/>
        </row>
        <row r="11306">
          <cell r="A11306"/>
          <cell r="B11306"/>
          <cell r="C11306"/>
          <cell r="D11306"/>
          <cell r="E11306"/>
        </row>
        <row r="11307">
          <cell r="A11307"/>
          <cell r="B11307"/>
          <cell r="C11307"/>
          <cell r="D11307"/>
          <cell r="E11307"/>
        </row>
        <row r="11308">
          <cell r="A11308"/>
          <cell r="B11308"/>
          <cell r="C11308"/>
          <cell r="D11308"/>
          <cell r="E11308"/>
        </row>
        <row r="11309">
          <cell r="A11309"/>
          <cell r="B11309"/>
          <cell r="C11309"/>
          <cell r="D11309"/>
          <cell r="E11309"/>
        </row>
        <row r="11310">
          <cell r="A11310"/>
          <cell r="B11310"/>
          <cell r="C11310"/>
          <cell r="D11310"/>
          <cell r="E11310"/>
        </row>
        <row r="11311">
          <cell r="A11311"/>
          <cell r="B11311"/>
          <cell r="C11311"/>
          <cell r="D11311"/>
          <cell r="E11311"/>
        </row>
        <row r="11312">
          <cell r="A11312"/>
          <cell r="B11312"/>
          <cell r="C11312"/>
          <cell r="D11312"/>
          <cell r="E11312"/>
        </row>
        <row r="11313">
          <cell r="A11313"/>
          <cell r="B11313"/>
          <cell r="C11313"/>
          <cell r="D11313"/>
          <cell r="E11313"/>
        </row>
        <row r="11314">
          <cell r="A11314"/>
          <cell r="B11314"/>
          <cell r="C11314"/>
          <cell r="D11314"/>
          <cell r="E11314"/>
        </row>
        <row r="11315">
          <cell r="A11315"/>
          <cell r="B11315"/>
          <cell r="C11315"/>
          <cell r="D11315"/>
          <cell r="E11315"/>
        </row>
        <row r="11316">
          <cell r="A11316"/>
          <cell r="B11316"/>
          <cell r="C11316"/>
          <cell r="D11316"/>
          <cell r="E11316"/>
        </row>
        <row r="11317">
          <cell r="A11317"/>
          <cell r="B11317"/>
          <cell r="C11317"/>
          <cell r="D11317"/>
          <cell r="E11317"/>
        </row>
        <row r="11318">
          <cell r="A11318"/>
          <cell r="B11318"/>
          <cell r="C11318"/>
          <cell r="D11318"/>
          <cell r="E11318"/>
        </row>
        <row r="11319">
          <cell r="A11319"/>
          <cell r="B11319"/>
          <cell r="C11319"/>
          <cell r="D11319"/>
          <cell r="E11319"/>
        </row>
        <row r="11320">
          <cell r="A11320"/>
          <cell r="B11320"/>
          <cell r="C11320"/>
          <cell r="D11320"/>
          <cell r="E11320"/>
        </row>
        <row r="11321">
          <cell r="A11321"/>
          <cell r="B11321"/>
          <cell r="C11321"/>
          <cell r="D11321"/>
          <cell r="E11321"/>
        </row>
        <row r="11322">
          <cell r="A11322"/>
          <cell r="B11322"/>
          <cell r="C11322"/>
          <cell r="D11322"/>
          <cell r="E11322"/>
        </row>
        <row r="11323">
          <cell r="A11323"/>
          <cell r="B11323"/>
          <cell r="C11323"/>
          <cell r="D11323"/>
          <cell r="E11323"/>
        </row>
        <row r="11324">
          <cell r="A11324"/>
          <cell r="B11324"/>
          <cell r="C11324"/>
          <cell r="D11324"/>
          <cell r="E11324"/>
        </row>
        <row r="11325">
          <cell r="A11325"/>
          <cell r="B11325"/>
          <cell r="C11325"/>
          <cell r="D11325"/>
          <cell r="E11325"/>
        </row>
        <row r="11326">
          <cell r="A11326"/>
          <cell r="B11326"/>
          <cell r="C11326"/>
          <cell r="D11326"/>
          <cell r="E11326"/>
        </row>
        <row r="11327">
          <cell r="A11327"/>
          <cell r="B11327"/>
          <cell r="C11327"/>
          <cell r="D11327"/>
          <cell r="E11327"/>
        </row>
        <row r="11328">
          <cell r="A11328"/>
          <cell r="B11328"/>
          <cell r="C11328"/>
          <cell r="D11328"/>
          <cell r="E11328"/>
        </row>
        <row r="11329">
          <cell r="A11329"/>
          <cell r="B11329"/>
          <cell r="C11329"/>
          <cell r="D11329"/>
          <cell r="E11329"/>
        </row>
        <row r="11330">
          <cell r="A11330"/>
          <cell r="B11330"/>
          <cell r="C11330"/>
          <cell r="D11330"/>
          <cell r="E11330"/>
        </row>
        <row r="11331">
          <cell r="A11331"/>
          <cell r="B11331"/>
          <cell r="C11331"/>
          <cell r="D11331"/>
          <cell r="E11331"/>
        </row>
        <row r="11332">
          <cell r="A11332"/>
          <cell r="B11332"/>
          <cell r="C11332"/>
          <cell r="D11332"/>
          <cell r="E11332"/>
        </row>
        <row r="11333">
          <cell r="A11333"/>
          <cell r="B11333"/>
          <cell r="C11333"/>
          <cell r="D11333"/>
          <cell r="E11333"/>
        </row>
        <row r="11334">
          <cell r="A11334"/>
          <cell r="B11334"/>
          <cell r="C11334"/>
          <cell r="D11334"/>
          <cell r="E11334"/>
        </row>
        <row r="11335">
          <cell r="A11335"/>
          <cell r="B11335"/>
          <cell r="C11335"/>
          <cell r="D11335"/>
          <cell r="E11335"/>
        </row>
        <row r="11336">
          <cell r="A11336"/>
          <cell r="B11336"/>
          <cell r="C11336"/>
          <cell r="D11336"/>
          <cell r="E11336"/>
        </row>
        <row r="11337">
          <cell r="A11337"/>
          <cell r="B11337"/>
          <cell r="C11337"/>
          <cell r="D11337"/>
          <cell r="E11337"/>
        </row>
        <row r="11338">
          <cell r="A11338"/>
          <cell r="B11338"/>
          <cell r="C11338"/>
          <cell r="D11338"/>
          <cell r="E11338"/>
        </row>
        <row r="11339">
          <cell r="A11339"/>
          <cell r="B11339"/>
          <cell r="C11339"/>
          <cell r="D11339"/>
          <cell r="E11339"/>
        </row>
        <row r="11340">
          <cell r="A11340"/>
          <cell r="B11340"/>
          <cell r="C11340"/>
          <cell r="D11340"/>
          <cell r="E11340"/>
        </row>
        <row r="11341">
          <cell r="A11341"/>
          <cell r="B11341"/>
          <cell r="C11341"/>
          <cell r="D11341"/>
          <cell r="E11341"/>
        </row>
        <row r="11342">
          <cell r="A11342"/>
          <cell r="B11342"/>
          <cell r="C11342"/>
          <cell r="D11342"/>
          <cell r="E11342"/>
        </row>
        <row r="11343">
          <cell r="A11343"/>
          <cell r="B11343"/>
          <cell r="C11343"/>
          <cell r="D11343"/>
          <cell r="E11343"/>
        </row>
        <row r="11344">
          <cell r="A11344"/>
          <cell r="B11344"/>
          <cell r="C11344"/>
          <cell r="D11344"/>
          <cell r="E11344"/>
        </row>
        <row r="11345">
          <cell r="A11345"/>
          <cell r="B11345"/>
          <cell r="C11345"/>
          <cell r="D11345"/>
          <cell r="E11345"/>
        </row>
        <row r="11346">
          <cell r="A11346"/>
          <cell r="B11346"/>
          <cell r="C11346"/>
          <cell r="D11346"/>
          <cell r="E11346"/>
        </row>
        <row r="11347">
          <cell r="A11347"/>
          <cell r="B11347"/>
          <cell r="C11347"/>
          <cell r="D11347"/>
          <cell r="E11347"/>
        </row>
        <row r="11348">
          <cell r="A11348"/>
          <cell r="B11348"/>
          <cell r="C11348"/>
          <cell r="D11348"/>
          <cell r="E11348"/>
        </row>
        <row r="11349">
          <cell r="A11349"/>
          <cell r="B11349"/>
          <cell r="C11349"/>
          <cell r="D11349"/>
          <cell r="E11349"/>
        </row>
        <row r="11350">
          <cell r="A11350"/>
          <cell r="B11350"/>
          <cell r="C11350"/>
          <cell r="D11350"/>
          <cell r="E11350"/>
        </row>
        <row r="11351">
          <cell r="A11351"/>
          <cell r="B11351"/>
          <cell r="C11351"/>
          <cell r="D11351"/>
          <cell r="E11351"/>
        </row>
        <row r="11352">
          <cell r="A11352"/>
          <cell r="B11352"/>
          <cell r="C11352"/>
          <cell r="D11352"/>
          <cell r="E11352"/>
        </row>
        <row r="11353">
          <cell r="A11353"/>
          <cell r="B11353"/>
          <cell r="C11353"/>
          <cell r="D11353"/>
          <cell r="E11353"/>
        </row>
        <row r="11354">
          <cell r="A11354"/>
          <cell r="B11354"/>
          <cell r="C11354"/>
          <cell r="D11354"/>
          <cell r="E11354"/>
        </row>
        <row r="11355">
          <cell r="A11355"/>
          <cell r="B11355"/>
          <cell r="C11355"/>
          <cell r="D11355"/>
          <cell r="E11355"/>
        </row>
        <row r="11356">
          <cell r="A11356"/>
          <cell r="B11356"/>
          <cell r="C11356"/>
          <cell r="D11356"/>
          <cell r="E11356"/>
        </row>
        <row r="11357">
          <cell r="A11357"/>
          <cell r="B11357"/>
          <cell r="C11357"/>
          <cell r="D11357"/>
          <cell r="E11357"/>
        </row>
        <row r="11358">
          <cell r="A11358"/>
          <cell r="B11358"/>
          <cell r="C11358"/>
          <cell r="D11358"/>
          <cell r="E11358"/>
        </row>
        <row r="11359">
          <cell r="A11359"/>
          <cell r="B11359"/>
          <cell r="C11359"/>
          <cell r="D11359"/>
          <cell r="E11359"/>
        </row>
        <row r="11360">
          <cell r="A11360"/>
          <cell r="B11360"/>
          <cell r="C11360"/>
          <cell r="D11360"/>
          <cell r="E11360"/>
        </row>
        <row r="11361">
          <cell r="A11361"/>
          <cell r="B11361"/>
          <cell r="C11361"/>
          <cell r="D11361"/>
          <cell r="E11361"/>
        </row>
        <row r="11362">
          <cell r="A11362"/>
          <cell r="B11362"/>
          <cell r="C11362"/>
          <cell r="D11362"/>
          <cell r="E11362"/>
        </row>
        <row r="11363">
          <cell r="A11363"/>
          <cell r="B11363"/>
          <cell r="C11363"/>
          <cell r="D11363"/>
          <cell r="E11363"/>
        </row>
        <row r="11364">
          <cell r="A11364"/>
          <cell r="B11364"/>
          <cell r="C11364"/>
          <cell r="D11364"/>
          <cell r="E11364"/>
        </row>
        <row r="11365">
          <cell r="A11365"/>
          <cell r="B11365"/>
          <cell r="C11365"/>
          <cell r="D11365"/>
          <cell r="E11365"/>
        </row>
        <row r="11366">
          <cell r="A11366"/>
          <cell r="B11366"/>
          <cell r="C11366"/>
          <cell r="D11366"/>
          <cell r="E11366"/>
        </row>
        <row r="11367">
          <cell r="A11367"/>
          <cell r="B11367"/>
          <cell r="C11367"/>
          <cell r="D11367"/>
          <cell r="E11367"/>
        </row>
        <row r="11368">
          <cell r="A11368"/>
          <cell r="B11368"/>
          <cell r="C11368"/>
          <cell r="D11368"/>
          <cell r="E11368"/>
        </row>
        <row r="11369">
          <cell r="A11369"/>
          <cell r="B11369"/>
          <cell r="C11369"/>
          <cell r="D11369"/>
          <cell r="E11369"/>
        </row>
        <row r="11370">
          <cell r="A11370"/>
          <cell r="B11370"/>
          <cell r="C11370"/>
          <cell r="D11370"/>
          <cell r="E11370"/>
        </row>
        <row r="11371">
          <cell r="A11371"/>
          <cell r="B11371"/>
          <cell r="C11371"/>
          <cell r="D11371"/>
          <cell r="E11371"/>
        </row>
        <row r="11372">
          <cell r="A11372"/>
          <cell r="B11372"/>
          <cell r="C11372"/>
          <cell r="D11372"/>
          <cell r="E11372"/>
        </row>
        <row r="11373">
          <cell r="A11373"/>
          <cell r="B11373"/>
          <cell r="C11373"/>
          <cell r="D11373"/>
          <cell r="E11373"/>
        </row>
        <row r="11374">
          <cell r="A11374"/>
          <cell r="B11374"/>
          <cell r="C11374"/>
          <cell r="D11374"/>
          <cell r="E11374"/>
        </row>
        <row r="11375">
          <cell r="A11375"/>
          <cell r="B11375"/>
          <cell r="C11375"/>
          <cell r="D11375"/>
          <cell r="E11375"/>
        </row>
        <row r="11376">
          <cell r="A11376"/>
          <cell r="B11376"/>
          <cell r="C11376"/>
          <cell r="D11376"/>
          <cell r="E11376"/>
        </row>
        <row r="11377">
          <cell r="A11377"/>
          <cell r="B11377"/>
          <cell r="C11377"/>
          <cell r="D11377"/>
          <cell r="E11377"/>
        </row>
        <row r="11378">
          <cell r="A11378"/>
          <cell r="B11378"/>
          <cell r="C11378"/>
          <cell r="D11378"/>
          <cell r="E11378"/>
        </row>
        <row r="11379">
          <cell r="A11379"/>
          <cell r="B11379"/>
          <cell r="C11379"/>
          <cell r="D11379"/>
          <cell r="E11379"/>
        </row>
        <row r="11380">
          <cell r="A11380"/>
          <cell r="B11380"/>
          <cell r="C11380"/>
          <cell r="D11380"/>
          <cell r="E11380"/>
        </row>
        <row r="11381">
          <cell r="A11381"/>
          <cell r="B11381"/>
          <cell r="C11381"/>
          <cell r="D11381"/>
          <cell r="E11381"/>
        </row>
        <row r="11382">
          <cell r="A11382"/>
          <cell r="B11382"/>
          <cell r="C11382"/>
          <cell r="D11382"/>
          <cell r="E11382"/>
        </row>
        <row r="11383">
          <cell r="A11383"/>
          <cell r="B11383"/>
          <cell r="C11383"/>
          <cell r="D11383"/>
          <cell r="E11383"/>
        </row>
        <row r="11384">
          <cell r="A11384"/>
          <cell r="B11384"/>
          <cell r="C11384"/>
          <cell r="D11384"/>
          <cell r="E11384"/>
        </row>
        <row r="11385">
          <cell r="A11385"/>
          <cell r="B11385"/>
          <cell r="C11385"/>
          <cell r="D11385"/>
          <cell r="E11385"/>
        </row>
        <row r="11386">
          <cell r="A11386"/>
          <cell r="B11386"/>
          <cell r="C11386"/>
          <cell r="D11386"/>
          <cell r="E11386"/>
        </row>
        <row r="11387">
          <cell r="A11387"/>
          <cell r="B11387"/>
          <cell r="C11387"/>
          <cell r="D11387"/>
          <cell r="E11387"/>
        </row>
        <row r="11388">
          <cell r="A11388"/>
          <cell r="B11388"/>
          <cell r="C11388"/>
          <cell r="D11388"/>
          <cell r="E11388"/>
        </row>
        <row r="11389">
          <cell r="A11389"/>
          <cell r="B11389"/>
          <cell r="C11389"/>
          <cell r="D11389"/>
          <cell r="E11389"/>
        </row>
        <row r="11390">
          <cell r="A11390"/>
          <cell r="B11390"/>
          <cell r="C11390"/>
          <cell r="D11390"/>
          <cell r="E11390"/>
        </row>
        <row r="11391">
          <cell r="A11391"/>
          <cell r="B11391"/>
          <cell r="C11391"/>
          <cell r="D11391"/>
          <cell r="E11391"/>
        </row>
        <row r="11392">
          <cell r="A11392"/>
          <cell r="B11392"/>
          <cell r="C11392"/>
          <cell r="D11392"/>
          <cell r="E11392"/>
        </row>
        <row r="11393">
          <cell r="A11393"/>
          <cell r="B11393"/>
          <cell r="C11393"/>
          <cell r="D11393"/>
          <cell r="E11393"/>
        </row>
        <row r="11394">
          <cell r="A11394"/>
          <cell r="B11394"/>
          <cell r="C11394"/>
          <cell r="D11394"/>
          <cell r="E11394"/>
        </row>
        <row r="11395">
          <cell r="A11395"/>
          <cell r="B11395"/>
          <cell r="C11395"/>
          <cell r="D11395"/>
          <cell r="E11395"/>
        </row>
        <row r="11396">
          <cell r="A11396"/>
          <cell r="B11396"/>
          <cell r="C11396"/>
          <cell r="D11396"/>
          <cell r="E11396"/>
        </row>
        <row r="11397">
          <cell r="A11397"/>
          <cell r="B11397"/>
          <cell r="C11397"/>
          <cell r="D11397"/>
          <cell r="E11397"/>
        </row>
        <row r="11398">
          <cell r="A11398"/>
          <cell r="B11398"/>
          <cell r="C11398"/>
          <cell r="D11398"/>
          <cell r="E11398"/>
        </row>
        <row r="11399">
          <cell r="A11399"/>
          <cell r="B11399"/>
          <cell r="C11399"/>
          <cell r="D11399"/>
          <cell r="E11399"/>
        </row>
        <row r="11400">
          <cell r="A11400"/>
          <cell r="B11400"/>
          <cell r="C11400"/>
          <cell r="D11400"/>
          <cell r="E11400"/>
        </row>
        <row r="11401">
          <cell r="A11401"/>
          <cell r="B11401"/>
          <cell r="C11401"/>
          <cell r="D11401"/>
          <cell r="E11401"/>
        </row>
        <row r="11402">
          <cell r="A11402"/>
          <cell r="B11402"/>
          <cell r="C11402"/>
          <cell r="D11402"/>
          <cell r="E11402"/>
        </row>
        <row r="11403">
          <cell r="A11403"/>
          <cell r="B11403"/>
          <cell r="C11403"/>
          <cell r="D11403"/>
          <cell r="E11403"/>
        </row>
        <row r="11404">
          <cell r="A11404"/>
          <cell r="B11404"/>
          <cell r="C11404"/>
          <cell r="D11404"/>
          <cell r="E11404"/>
        </row>
        <row r="11405">
          <cell r="A11405"/>
          <cell r="B11405"/>
          <cell r="C11405"/>
          <cell r="D11405"/>
          <cell r="E11405"/>
        </row>
        <row r="11406">
          <cell r="A11406"/>
          <cell r="B11406"/>
          <cell r="C11406"/>
          <cell r="D11406"/>
          <cell r="E11406"/>
        </row>
        <row r="11407">
          <cell r="A11407"/>
          <cell r="B11407"/>
          <cell r="C11407"/>
          <cell r="D11407"/>
          <cell r="E11407"/>
        </row>
        <row r="11408">
          <cell r="A11408"/>
          <cell r="B11408"/>
          <cell r="C11408"/>
          <cell r="D11408"/>
          <cell r="E11408"/>
        </row>
        <row r="11409">
          <cell r="A11409"/>
          <cell r="B11409"/>
          <cell r="C11409"/>
          <cell r="D11409"/>
          <cell r="E11409"/>
        </row>
        <row r="11410">
          <cell r="A11410"/>
          <cell r="B11410"/>
          <cell r="C11410"/>
          <cell r="D11410"/>
          <cell r="E11410"/>
        </row>
        <row r="11411">
          <cell r="A11411"/>
          <cell r="B11411"/>
          <cell r="C11411"/>
          <cell r="D11411"/>
          <cell r="E11411"/>
        </row>
        <row r="11412">
          <cell r="A11412"/>
          <cell r="B11412"/>
          <cell r="C11412"/>
          <cell r="D11412"/>
          <cell r="E11412"/>
        </row>
        <row r="11413">
          <cell r="A11413"/>
          <cell r="B11413"/>
          <cell r="C11413"/>
          <cell r="D11413"/>
          <cell r="E11413"/>
        </row>
        <row r="11414">
          <cell r="A11414"/>
          <cell r="B11414"/>
          <cell r="C11414"/>
          <cell r="D11414"/>
          <cell r="E11414"/>
        </row>
        <row r="11415">
          <cell r="A11415"/>
          <cell r="B11415"/>
          <cell r="C11415"/>
          <cell r="D11415"/>
          <cell r="E11415"/>
        </row>
        <row r="11416">
          <cell r="A11416"/>
          <cell r="B11416"/>
          <cell r="C11416"/>
          <cell r="D11416"/>
          <cell r="E11416"/>
        </row>
        <row r="11417">
          <cell r="A11417"/>
          <cell r="B11417"/>
          <cell r="C11417"/>
          <cell r="D11417"/>
          <cell r="E11417"/>
        </row>
        <row r="11418">
          <cell r="A11418"/>
          <cell r="B11418"/>
          <cell r="C11418"/>
          <cell r="D11418"/>
          <cell r="E11418"/>
        </row>
        <row r="11419">
          <cell r="A11419"/>
          <cell r="B11419"/>
          <cell r="C11419"/>
          <cell r="D11419"/>
          <cell r="E11419"/>
        </row>
        <row r="11420">
          <cell r="A11420"/>
          <cell r="B11420"/>
          <cell r="C11420"/>
          <cell r="D11420"/>
          <cell r="E11420"/>
        </row>
        <row r="11421">
          <cell r="A11421"/>
          <cell r="B11421"/>
          <cell r="C11421"/>
          <cell r="D11421"/>
          <cell r="E11421"/>
        </row>
        <row r="11422">
          <cell r="A11422"/>
          <cell r="B11422"/>
          <cell r="C11422"/>
          <cell r="D11422"/>
          <cell r="E11422"/>
        </row>
        <row r="11423">
          <cell r="A11423"/>
          <cell r="B11423"/>
          <cell r="C11423"/>
          <cell r="D11423"/>
          <cell r="E11423"/>
        </row>
        <row r="11424">
          <cell r="A11424"/>
          <cell r="B11424"/>
          <cell r="C11424"/>
          <cell r="D11424"/>
          <cell r="E11424"/>
        </row>
        <row r="11425">
          <cell r="A11425"/>
          <cell r="B11425"/>
          <cell r="C11425"/>
          <cell r="D11425"/>
          <cell r="E11425"/>
        </row>
        <row r="11426">
          <cell r="A11426"/>
          <cell r="B11426"/>
          <cell r="C11426"/>
          <cell r="D11426"/>
          <cell r="E11426"/>
        </row>
        <row r="11427">
          <cell r="A11427"/>
          <cell r="B11427"/>
          <cell r="C11427"/>
          <cell r="D11427"/>
          <cell r="E11427"/>
        </row>
        <row r="11428">
          <cell r="A11428"/>
          <cell r="B11428"/>
          <cell r="C11428"/>
          <cell r="D11428"/>
          <cell r="E11428"/>
        </row>
        <row r="11429">
          <cell r="A11429"/>
          <cell r="B11429"/>
          <cell r="C11429"/>
          <cell r="D11429"/>
          <cell r="E11429"/>
        </row>
        <row r="11430">
          <cell r="A11430"/>
          <cell r="B11430"/>
          <cell r="C11430"/>
          <cell r="D11430"/>
          <cell r="E11430"/>
        </row>
        <row r="11431">
          <cell r="A11431"/>
          <cell r="B11431"/>
          <cell r="C11431"/>
          <cell r="D11431"/>
          <cell r="E11431"/>
        </row>
        <row r="11432">
          <cell r="A11432"/>
          <cell r="B11432"/>
          <cell r="C11432"/>
          <cell r="D11432"/>
          <cell r="E11432"/>
        </row>
        <row r="11433">
          <cell r="A11433"/>
          <cell r="B11433"/>
          <cell r="C11433"/>
          <cell r="D11433"/>
          <cell r="E11433"/>
        </row>
        <row r="11434">
          <cell r="A11434"/>
          <cell r="B11434"/>
          <cell r="C11434"/>
          <cell r="D11434"/>
          <cell r="E11434"/>
        </row>
        <row r="11435">
          <cell r="A11435"/>
          <cell r="B11435"/>
          <cell r="C11435"/>
          <cell r="D11435"/>
          <cell r="E11435"/>
        </row>
        <row r="11436">
          <cell r="A11436"/>
          <cell r="B11436"/>
          <cell r="C11436"/>
          <cell r="D11436"/>
          <cell r="E11436"/>
        </row>
        <row r="11437">
          <cell r="A11437"/>
          <cell r="B11437"/>
          <cell r="C11437"/>
          <cell r="D11437"/>
          <cell r="E11437"/>
        </row>
        <row r="11438">
          <cell r="A11438"/>
          <cell r="B11438"/>
          <cell r="C11438"/>
          <cell r="D11438"/>
          <cell r="E11438"/>
        </row>
        <row r="11439">
          <cell r="A11439"/>
          <cell r="B11439"/>
          <cell r="C11439"/>
          <cell r="D11439"/>
          <cell r="E11439"/>
        </row>
        <row r="11440">
          <cell r="A11440"/>
          <cell r="B11440"/>
          <cell r="C11440"/>
          <cell r="D11440"/>
          <cell r="E11440"/>
        </row>
        <row r="11441">
          <cell r="A11441"/>
          <cell r="B11441"/>
          <cell r="C11441"/>
          <cell r="D11441"/>
          <cell r="E11441"/>
        </row>
        <row r="11442">
          <cell r="A11442"/>
          <cell r="B11442"/>
          <cell r="C11442"/>
          <cell r="D11442"/>
          <cell r="E11442"/>
        </row>
        <row r="11443">
          <cell r="A11443"/>
          <cell r="B11443"/>
          <cell r="C11443"/>
          <cell r="D11443"/>
          <cell r="E11443"/>
        </row>
        <row r="11444">
          <cell r="A11444"/>
          <cell r="B11444"/>
          <cell r="C11444"/>
          <cell r="D11444"/>
          <cell r="E11444"/>
        </row>
        <row r="11445">
          <cell r="A11445"/>
          <cell r="B11445"/>
          <cell r="C11445"/>
          <cell r="D11445"/>
          <cell r="E11445"/>
        </row>
        <row r="11446">
          <cell r="A11446"/>
          <cell r="B11446"/>
          <cell r="C11446"/>
          <cell r="D11446"/>
          <cell r="E11446"/>
        </row>
        <row r="11447">
          <cell r="A11447"/>
          <cell r="B11447"/>
          <cell r="C11447"/>
          <cell r="D11447"/>
          <cell r="E11447"/>
        </row>
        <row r="11448">
          <cell r="A11448"/>
          <cell r="B11448"/>
          <cell r="C11448"/>
          <cell r="D11448"/>
          <cell r="E11448"/>
        </row>
        <row r="11449">
          <cell r="A11449"/>
          <cell r="B11449"/>
          <cell r="C11449"/>
          <cell r="D11449"/>
          <cell r="E11449"/>
        </row>
        <row r="11450">
          <cell r="A11450"/>
          <cell r="B11450"/>
          <cell r="C11450"/>
          <cell r="D11450"/>
          <cell r="E11450"/>
        </row>
        <row r="11451">
          <cell r="A11451"/>
          <cell r="B11451"/>
          <cell r="C11451"/>
          <cell r="D11451"/>
          <cell r="E11451"/>
        </row>
        <row r="11452">
          <cell r="A11452"/>
          <cell r="B11452"/>
          <cell r="C11452"/>
          <cell r="D11452"/>
          <cell r="E11452"/>
        </row>
        <row r="11453">
          <cell r="A11453"/>
          <cell r="B11453"/>
          <cell r="C11453"/>
          <cell r="D11453"/>
          <cell r="E11453"/>
        </row>
        <row r="11454">
          <cell r="A11454"/>
          <cell r="B11454"/>
          <cell r="C11454"/>
          <cell r="D11454"/>
          <cell r="E11454"/>
        </row>
        <row r="11455">
          <cell r="A11455"/>
          <cell r="B11455"/>
          <cell r="C11455"/>
          <cell r="D11455"/>
          <cell r="E11455"/>
        </row>
        <row r="11456">
          <cell r="A11456"/>
          <cell r="B11456"/>
          <cell r="C11456"/>
          <cell r="D11456"/>
          <cell r="E11456"/>
        </row>
        <row r="11457">
          <cell r="A11457"/>
          <cell r="B11457"/>
          <cell r="C11457"/>
          <cell r="D11457"/>
          <cell r="E11457"/>
        </row>
        <row r="11458">
          <cell r="A11458"/>
          <cell r="B11458"/>
          <cell r="C11458"/>
          <cell r="D11458"/>
          <cell r="E11458"/>
        </row>
        <row r="11459">
          <cell r="A11459"/>
          <cell r="B11459"/>
          <cell r="C11459"/>
          <cell r="D11459"/>
          <cell r="E11459"/>
        </row>
        <row r="11460">
          <cell r="A11460"/>
          <cell r="B11460"/>
          <cell r="C11460"/>
          <cell r="D11460"/>
          <cell r="E11460"/>
        </row>
        <row r="11461">
          <cell r="A11461"/>
          <cell r="B11461"/>
          <cell r="C11461"/>
          <cell r="D11461"/>
          <cell r="E11461"/>
        </row>
        <row r="11462">
          <cell r="A11462"/>
          <cell r="B11462"/>
          <cell r="C11462"/>
          <cell r="D11462"/>
          <cell r="E11462"/>
        </row>
        <row r="11463">
          <cell r="A11463"/>
          <cell r="B11463"/>
          <cell r="C11463"/>
          <cell r="D11463"/>
          <cell r="E11463"/>
        </row>
        <row r="11464">
          <cell r="A11464"/>
          <cell r="B11464"/>
          <cell r="C11464"/>
          <cell r="D11464"/>
          <cell r="E11464"/>
        </row>
        <row r="11465">
          <cell r="A11465"/>
          <cell r="B11465"/>
          <cell r="C11465"/>
          <cell r="D11465"/>
          <cell r="E11465"/>
        </row>
        <row r="11466">
          <cell r="A11466"/>
          <cell r="B11466"/>
          <cell r="C11466"/>
          <cell r="D11466"/>
          <cell r="E11466"/>
        </row>
        <row r="11467">
          <cell r="A11467"/>
          <cell r="B11467"/>
          <cell r="C11467"/>
          <cell r="D11467"/>
          <cell r="E11467"/>
        </row>
        <row r="11468">
          <cell r="A11468"/>
          <cell r="B11468"/>
          <cell r="C11468"/>
          <cell r="D11468"/>
          <cell r="E11468"/>
        </row>
        <row r="11469">
          <cell r="A11469"/>
          <cell r="B11469"/>
          <cell r="C11469"/>
          <cell r="D11469"/>
          <cell r="E11469"/>
        </row>
        <row r="11470">
          <cell r="A11470"/>
          <cell r="B11470"/>
          <cell r="C11470"/>
          <cell r="D11470"/>
          <cell r="E11470"/>
        </row>
        <row r="11471">
          <cell r="A11471"/>
          <cell r="B11471"/>
          <cell r="C11471"/>
          <cell r="D11471"/>
          <cell r="E11471"/>
        </row>
        <row r="11472">
          <cell r="A11472"/>
          <cell r="B11472"/>
          <cell r="C11472"/>
          <cell r="D11472"/>
          <cell r="E11472"/>
        </row>
        <row r="11473">
          <cell r="A11473"/>
          <cell r="B11473"/>
          <cell r="C11473"/>
          <cell r="D11473"/>
          <cell r="E11473"/>
        </row>
        <row r="11474">
          <cell r="A11474"/>
          <cell r="B11474"/>
          <cell r="C11474"/>
          <cell r="D11474"/>
          <cell r="E11474"/>
        </row>
        <row r="11475">
          <cell r="A11475"/>
          <cell r="B11475"/>
          <cell r="C11475"/>
          <cell r="D11475"/>
          <cell r="E11475"/>
        </row>
        <row r="11476">
          <cell r="A11476"/>
          <cell r="B11476"/>
          <cell r="C11476"/>
          <cell r="D11476"/>
          <cell r="E11476"/>
        </row>
        <row r="11477">
          <cell r="A11477"/>
          <cell r="B11477"/>
          <cell r="C11477"/>
          <cell r="D11477"/>
          <cell r="E11477"/>
        </row>
        <row r="11478">
          <cell r="A11478"/>
          <cell r="B11478"/>
          <cell r="C11478"/>
          <cell r="D11478"/>
          <cell r="E11478"/>
        </row>
        <row r="11479">
          <cell r="A11479"/>
          <cell r="B11479"/>
          <cell r="C11479"/>
          <cell r="D11479"/>
          <cell r="E11479"/>
        </row>
        <row r="11480">
          <cell r="A11480"/>
          <cell r="B11480"/>
          <cell r="C11480"/>
          <cell r="D11480"/>
          <cell r="E11480"/>
        </row>
        <row r="11481">
          <cell r="A11481"/>
          <cell r="B11481"/>
          <cell r="C11481"/>
          <cell r="D11481"/>
          <cell r="E11481"/>
        </row>
        <row r="11482">
          <cell r="A11482"/>
          <cell r="B11482"/>
          <cell r="C11482"/>
          <cell r="D11482"/>
          <cell r="E11482"/>
        </row>
        <row r="11483">
          <cell r="A11483"/>
          <cell r="B11483"/>
          <cell r="C11483"/>
          <cell r="D11483"/>
          <cell r="E11483"/>
        </row>
        <row r="11484">
          <cell r="A11484"/>
          <cell r="B11484"/>
          <cell r="C11484"/>
          <cell r="D11484"/>
          <cell r="E11484"/>
        </row>
        <row r="11485">
          <cell r="A11485"/>
          <cell r="B11485"/>
          <cell r="C11485"/>
          <cell r="D11485"/>
          <cell r="E11485"/>
        </row>
        <row r="11486">
          <cell r="A11486"/>
          <cell r="B11486"/>
          <cell r="C11486"/>
          <cell r="D11486"/>
          <cell r="E11486"/>
        </row>
        <row r="11487">
          <cell r="A11487"/>
          <cell r="B11487"/>
          <cell r="C11487"/>
          <cell r="D11487"/>
          <cell r="E11487"/>
        </row>
        <row r="11488">
          <cell r="A11488"/>
          <cell r="B11488"/>
          <cell r="C11488"/>
          <cell r="D11488"/>
          <cell r="E11488"/>
        </row>
        <row r="11489">
          <cell r="A11489"/>
          <cell r="B11489"/>
          <cell r="C11489"/>
          <cell r="D11489"/>
          <cell r="E11489"/>
        </row>
        <row r="11490">
          <cell r="A11490"/>
          <cell r="B11490"/>
          <cell r="C11490"/>
          <cell r="D11490"/>
          <cell r="E11490"/>
        </row>
        <row r="11491">
          <cell r="A11491"/>
          <cell r="B11491"/>
          <cell r="C11491"/>
          <cell r="D11491"/>
          <cell r="E11491"/>
        </row>
        <row r="11492">
          <cell r="A11492"/>
          <cell r="B11492"/>
          <cell r="C11492"/>
          <cell r="D11492"/>
          <cell r="E11492"/>
        </row>
        <row r="11493">
          <cell r="A11493"/>
          <cell r="B11493"/>
          <cell r="C11493"/>
          <cell r="D11493"/>
          <cell r="E11493"/>
        </row>
        <row r="11494">
          <cell r="A11494"/>
          <cell r="B11494"/>
          <cell r="C11494"/>
          <cell r="D11494"/>
          <cell r="E11494"/>
        </row>
        <row r="11495">
          <cell r="A11495"/>
          <cell r="B11495"/>
          <cell r="C11495"/>
          <cell r="D11495"/>
          <cell r="E11495"/>
        </row>
        <row r="11496">
          <cell r="A11496"/>
          <cell r="B11496"/>
          <cell r="C11496"/>
          <cell r="D11496"/>
          <cell r="E11496"/>
        </row>
        <row r="11497">
          <cell r="A11497"/>
          <cell r="B11497"/>
          <cell r="C11497"/>
          <cell r="D11497"/>
          <cell r="E11497"/>
        </row>
        <row r="11498">
          <cell r="A11498"/>
          <cell r="B11498"/>
          <cell r="C11498"/>
          <cell r="D11498"/>
          <cell r="E11498"/>
        </row>
        <row r="11499">
          <cell r="A11499"/>
          <cell r="B11499"/>
          <cell r="C11499"/>
          <cell r="D11499"/>
          <cell r="E11499"/>
        </row>
        <row r="11500">
          <cell r="A11500"/>
          <cell r="B11500"/>
          <cell r="C11500"/>
          <cell r="D11500"/>
          <cell r="E11500"/>
        </row>
        <row r="11501">
          <cell r="A11501"/>
          <cell r="B11501"/>
          <cell r="C11501"/>
          <cell r="D11501"/>
          <cell r="E11501"/>
        </row>
        <row r="11502">
          <cell r="A11502"/>
          <cell r="B11502"/>
          <cell r="C11502"/>
          <cell r="D11502"/>
          <cell r="E11502"/>
        </row>
        <row r="11503">
          <cell r="A11503"/>
          <cell r="B11503"/>
          <cell r="C11503"/>
          <cell r="D11503"/>
          <cell r="E11503"/>
        </row>
        <row r="11504">
          <cell r="A11504"/>
          <cell r="B11504"/>
          <cell r="C11504"/>
          <cell r="D11504"/>
          <cell r="E11504"/>
        </row>
        <row r="11505">
          <cell r="A11505"/>
          <cell r="B11505"/>
          <cell r="C11505"/>
          <cell r="D11505"/>
          <cell r="E11505"/>
        </row>
        <row r="11506">
          <cell r="A11506"/>
          <cell r="B11506"/>
          <cell r="C11506"/>
          <cell r="D11506"/>
          <cell r="E11506"/>
        </row>
        <row r="11507">
          <cell r="A11507"/>
          <cell r="B11507"/>
          <cell r="C11507"/>
          <cell r="D11507"/>
          <cell r="E11507"/>
        </row>
        <row r="11508">
          <cell r="A11508"/>
          <cell r="B11508"/>
          <cell r="C11508"/>
          <cell r="D11508"/>
          <cell r="E11508"/>
        </row>
        <row r="11509">
          <cell r="A11509"/>
          <cell r="B11509"/>
          <cell r="C11509"/>
          <cell r="D11509"/>
          <cell r="E11509"/>
        </row>
        <row r="11510">
          <cell r="A11510"/>
          <cell r="B11510"/>
          <cell r="C11510"/>
          <cell r="D11510"/>
          <cell r="E11510"/>
        </row>
        <row r="11511">
          <cell r="A11511"/>
          <cell r="B11511"/>
          <cell r="C11511"/>
          <cell r="D11511"/>
          <cell r="E11511"/>
        </row>
        <row r="11512">
          <cell r="A11512"/>
          <cell r="B11512"/>
          <cell r="C11512"/>
          <cell r="D11512"/>
          <cell r="E11512"/>
        </row>
        <row r="11513">
          <cell r="A11513"/>
          <cell r="B11513"/>
          <cell r="C11513"/>
          <cell r="D11513"/>
          <cell r="E11513"/>
        </row>
        <row r="11514">
          <cell r="A11514"/>
          <cell r="B11514"/>
          <cell r="C11514"/>
          <cell r="D11514"/>
          <cell r="E11514"/>
        </row>
        <row r="11515">
          <cell r="A11515"/>
          <cell r="B11515"/>
          <cell r="C11515"/>
          <cell r="D11515"/>
          <cell r="E11515"/>
        </row>
        <row r="11516">
          <cell r="A11516"/>
          <cell r="B11516"/>
          <cell r="C11516"/>
          <cell r="D11516"/>
          <cell r="E11516"/>
        </row>
        <row r="11517">
          <cell r="A11517"/>
          <cell r="B11517"/>
          <cell r="C11517"/>
          <cell r="D11517"/>
          <cell r="E11517"/>
        </row>
        <row r="11518">
          <cell r="A11518"/>
          <cell r="B11518"/>
          <cell r="C11518"/>
          <cell r="D11518"/>
          <cell r="E11518"/>
        </row>
        <row r="11519">
          <cell r="A11519"/>
          <cell r="B11519"/>
          <cell r="C11519"/>
          <cell r="D11519"/>
          <cell r="E11519"/>
        </row>
        <row r="11520">
          <cell r="A11520"/>
          <cell r="B11520"/>
          <cell r="C11520"/>
          <cell r="D11520"/>
          <cell r="E11520"/>
        </row>
        <row r="11521">
          <cell r="A11521"/>
          <cell r="B11521"/>
          <cell r="C11521"/>
          <cell r="D11521"/>
          <cell r="E11521"/>
        </row>
        <row r="11522">
          <cell r="A11522"/>
          <cell r="B11522"/>
          <cell r="C11522"/>
          <cell r="D11522"/>
          <cell r="E11522"/>
        </row>
        <row r="11523">
          <cell r="A11523"/>
          <cell r="B11523"/>
          <cell r="C11523"/>
          <cell r="D11523"/>
          <cell r="E11523"/>
        </row>
        <row r="11524">
          <cell r="A11524"/>
          <cell r="B11524"/>
          <cell r="C11524"/>
          <cell r="D11524"/>
          <cell r="E11524"/>
        </row>
        <row r="11525">
          <cell r="A11525"/>
          <cell r="B11525"/>
          <cell r="C11525"/>
          <cell r="D11525"/>
          <cell r="E11525"/>
        </row>
        <row r="11526">
          <cell r="A11526"/>
          <cell r="B11526"/>
          <cell r="C11526"/>
          <cell r="D11526"/>
          <cell r="E11526"/>
        </row>
        <row r="11527">
          <cell r="A11527"/>
          <cell r="B11527"/>
          <cell r="C11527"/>
          <cell r="D11527"/>
          <cell r="E11527"/>
        </row>
        <row r="11528">
          <cell r="A11528"/>
          <cell r="B11528"/>
          <cell r="C11528"/>
          <cell r="D11528"/>
          <cell r="E11528"/>
        </row>
        <row r="11529">
          <cell r="A11529"/>
          <cell r="B11529"/>
          <cell r="C11529"/>
          <cell r="D11529"/>
          <cell r="E11529"/>
        </row>
        <row r="11530">
          <cell r="A11530"/>
          <cell r="B11530"/>
          <cell r="C11530"/>
          <cell r="D11530"/>
          <cell r="E11530"/>
        </row>
        <row r="11531">
          <cell r="A11531"/>
          <cell r="B11531"/>
          <cell r="C11531"/>
          <cell r="D11531"/>
          <cell r="E11531"/>
        </row>
        <row r="11532">
          <cell r="A11532"/>
          <cell r="B11532"/>
          <cell r="C11532"/>
          <cell r="D11532"/>
          <cell r="E11532"/>
        </row>
        <row r="11533">
          <cell r="A11533"/>
          <cell r="B11533"/>
          <cell r="C11533"/>
          <cell r="D11533"/>
          <cell r="E11533"/>
        </row>
        <row r="11534">
          <cell r="A11534"/>
          <cell r="B11534"/>
          <cell r="C11534"/>
          <cell r="D11534"/>
          <cell r="E11534"/>
        </row>
        <row r="11535">
          <cell r="A11535"/>
          <cell r="B11535"/>
          <cell r="C11535"/>
          <cell r="D11535"/>
          <cell r="E11535"/>
        </row>
        <row r="11536">
          <cell r="A11536"/>
          <cell r="B11536"/>
          <cell r="C11536"/>
          <cell r="D11536"/>
          <cell r="E11536"/>
        </row>
        <row r="11537">
          <cell r="A11537"/>
          <cell r="B11537"/>
          <cell r="C11537"/>
          <cell r="D11537"/>
          <cell r="E11537"/>
        </row>
        <row r="11538">
          <cell r="A11538"/>
          <cell r="B11538"/>
          <cell r="C11538"/>
          <cell r="D11538"/>
          <cell r="E11538"/>
        </row>
        <row r="11539">
          <cell r="A11539"/>
          <cell r="B11539"/>
          <cell r="C11539"/>
          <cell r="D11539"/>
          <cell r="E11539"/>
        </row>
        <row r="11540">
          <cell r="A11540"/>
          <cell r="B11540"/>
          <cell r="C11540"/>
          <cell r="D11540"/>
          <cell r="E11540"/>
        </row>
        <row r="11541">
          <cell r="A11541"/>
          <cell r="B11541"/>
          <cell r="C11541"/>
          <cell r="D11541"/>
          <cell r="E11541"/>
        </row>
        <row r="11542">
          <cell r="A11542"/>
          <cell r="B11542"/>
          <cell r="C11542"/>
          <cell r="D11542"/>
          <cell r="E11542"/>
        </row>
        <row r="11543">
          <cell r="A11543"/>
          <cell r="B11543"/>
          <cell r="C11543"/>
          <cell r="D11543"/>
          <cell r="E11543"/>
        </row>
        <row r="11544">
          <cell r="A11544"/>
          <cell r="B11544"/>
          <cell r="C11544"/>
          <cell r="D11544"/>
          <cell r="E11544"/>
        </row>
        <row r="11545">
          <cell r="A11545"/>
          <cell r="B11545"/>
          <cell r="C11545"/>
          <cell r="D11545"/>
          <cell r="E11545"/>
        </row>
        <row r="11546">
          <cell r="A11546"/>
          <cell r="B11546"/>
          <cell r="C11546"/>
          <cell r="D11546"/>
          <cell r="E11546"/>
        </row>
        <row r="11547">
          <cell r="A11547"/>
          <cell r="B11547"/>
          <cell r="C11547"/>
          <cell r="D11547"/>
          <cell r="E11547"/>
        </row>
        <row r="11548">
          <cell r="A11548"/>
          <cell r="B11548"/>
          <cell r="C11548"/>
          <cell r="D11548"/>
          <cell r="E11548"/>
        </row>
        <row r="11549">
          <cell r="A11549"/>
          <cell r="B11549"/>
          <cell r="C11549"/>
          <cell r="D11549"/>
          <cell r="E11549"/>
        </row>
        <row r="11550">
          <cell r="A11550"/>
          <cell r="B11550"/>
          <cell r="C11550"/>
          <cell r="D11550"/>
          <cell r="E11550"/>
        </row>
        <row r="11551">
          <cell r="A11551"/>
          <cell r="B11551"/>
          <cell r="C11551"/>
          <cell r="D11551"/>
          <cell r="E11551"/>
        </row>
        <row r="11552">
          <cell r="A11552"/>
          <cell r="B11552"/>
          <cell r="C11552"/>
          <cell r="D11552"/>
          <cell r="E11552"/>
        </row>
        <row r="11553">
          <cell r="A11553"/>
          <cell r="B11553"/>
          <cell r="C11553"/>
          <cell r="D11553"/>
          <cell r="E11553"/>
        </row>
        <row r="11554">
          <cell r="A11554"/>
          <cell r="B11554"/>
          <cell r="C11554"/>
          <cell r="D11554"/>
          <cell r="E11554"/>
        </row>
        <row r="11555">
          <cell r="A11555"/>
          <cell r="B11555"/>
          <cell r="C11555"/>
          <cell r="D11555"/>
          <cell r="E11555"/>
        </row>
        <row r="11556">
          <cell r="A11556"/>
          <cell r="B11556"/>
          <cell r="C11556"/>
          <cell r="D11556"/>
          <cell r="E11556"/>
        </row>
        <row r="11557">
          <cell r="A11557"/>
          <cell r="B11557"/>
          <cell r="C11557"/>
          <cell r="D11557"/>
          <cell r="E11557"/>
        </row>
        <row r="11558">
          <cell r="A11558"/>
          <cell r="B11558"/>
          <cell r="C11558"/>
          <cell r="D11558"/>
          <cell r="E11558"/>
        </row>
        <row r="11559">
          <cell r="A11559"/>
          <cell r="B11559"/>
          <cell r="C11559"/>
          <cell r="D11559"/>
          <cell r="E11559"/>
        </row>
        <row r="11560">
          <cell r="A11560"/>
          <cell r="B11560"/>
          <cell r="C11560"/>
          <cell r="D11560"/>
          <cell r="E11560"/>
        </row>
        <row r="11561">
          <cell r="A11561"/>
          <cell r="B11561"/>
          <cell r="C11561"/>
          <cell r="D11561"/>
          <cell r="E11561"/>
        </row>
        <row r="11562">
          <cell r="A11562"/>
          <cell r="B11562"/>
          <cell r="C11562"/>
          <cell r="D11562"/>
          <cell r="E11562"/>
        </row>
        <row r="11563">
          <cell r="A11563"/>
          <cell r="B11563"/>
          <cell r="C11563"/>
          <cell r="D11563"/>
          <cell r="E11563"/>
        </row>
        <row r="11564">
          <cell r="A11564"/>
          <cell r="B11564"/>
          <cell r="C11564"/>
          <cell r="D11564"/>
          <cell r="E11564"/>
        </row>
        <row r="11565">
          <cell r="A11565"/>
          <cell r="B11565"/>
          <cell r="C11565"/>
          <cell r="D11565"/>
          <cell r="E11565"/>
        </row>
        <row r="11566">
          <cell r="A11566"/>
          <cell r="B11566"/>
          <cell r="C11566"/>
          <cell r="D11566"/>
          <cell r="E11566"/>
        </row>
        <row r="11567">
          <cell r="A11567"/>
          <cell r="B11567"/>
          <cell r="C11567"/>
          <cell r="D11567"/>
          <cell r="E11567"/>
        </row>
        <row r="11568">
          <cell r="A11568"/>
          <cell r="B11568"/>
          <cell r="C11568"/>
          <cell r="D11568"/>
          <cell r="E11568"/>
        </row>
        <row r="11569">
          <cell r="A11569"/>
          <cell r="B11569"/>
          <cell r="C11569"/>
          <cell r="D11569"/>
          <cell r="E11569"/>
        </row>
        <row r="11570">
          <cell r="A11570"/>
          <cell r="B11570"/>
          <cell r="C11570"/>
          <cell r="D11570"/>
          <cell r="E11570"/>
        </row>
        <row r="11571">
          <cell r="A11571"/>
          <cell r="B11571"/>
          <cell r="C11571"/>
          <cell r="D11571"/>
          <cell r="E11571"/>
        </row>
        <row r="11572">
          <cell r="A11572"/>
          <cell r="B11572"/>
          <cell r="C11572"/>
          <cell r="D11572"/>
          <cell r="E11572"/>
        </row>
        <row r="11573">
          <cell r="A11573"/>
          <cell r="B11573"/>
          <cell r="C11573"/>
          <cell r="D11573"/>
          <cell r="E11573"/>
        </row>
        <row r="11574">
          <cell r="A11574"/>
          <cell r="B11574"/>
          <cell r="C11574"/>
          <cell r="D11574"/>
          <cell r="E11574"/>
        </row>
        <row r="11575">
          <cell r="A11575"/>
          <cell r="B11575"/>
          <cell r="C11575"/>
          <cell r="D11575"/>
          <cell r="E11575"/>
        </row>
        <row r="11576">
          <cell r="A11576"/>
          <cell r="B11576"/>
          <cell r="C11576"/>
          <cell r="D11576"/>
          <cell r="E11576"/>
        </row>
        <row r="11577">
          <cell r="A11577"/>
          <cell r="B11577"/>
          <cell r="C11577"/>
          <cell r="D11577"/>
          <cell r="E11577"/>
        </row>
        <row r="11578">
          <cell r="A11578"/>
          <cell r="B11578"/>
          <cell r="C11578"/>
          <cell r="D11578"/>
          <cell r="E11578"/>
        </row>
        <row r="11579">
          <cell r="A11579"/>
          <cell r="B11579"/>
          <cell r="C11579"/>
          <cell r="D11579"/>
          <cell r="E11579"/>
        </row>
        <row r="11580">
          <cell r="A11580"/>
          <cell r="B11580"/>
          <cell r="C11580"/>
          <cell r="D11580"/>
          <cell r="E11580"/>
        </row>
        <row r="11581">
          <cell r="A11581"/>
          <cell r="B11581"/>
          <cell r="C11581"/>
          <cell r="D11581"/>
          <cell r="E11581"/>
        </row>
        <row r="11582">
          <cell r="A11582"/>
          <cell r="B11582"/>
          <cell r="C11582"/>
          <cell r="D11582"/>
          <cell r="E11582"/>
        </row>
        <row r="11583">
          <cell r="A11583"/>
          <cell r="B11583"/>
          <cell r="C11583"/>
          <cell r="D11583"/>
          <cell r="E11583"/>
        </row>
        <row r="11584">
          <cell r="A11584"/>
          <cell r="B11584"/>
          <cell r="C11584"/>
          <cell r="D11584"/>
          <cell r="E11584"/>
        </row>
        <row r="11585">
          <cell r="A11585"/>
          <cell r="B11585"/>
          <cell r="C11585"/>
          <cell r="D11585"/>
          <cell r="E11585"/>
        </row>
        <row r="11586">
          <cell r="A11586"/>
          <cell r="B11586"/>
          <cell r="C11586"/>
          <cell r="D11586"/>
          <cell r="E11586"/>
        </row>
        <row r="11587">
          <cell r="A11587"/>
          <cell r="B11587"/>
          <cell r="C11587"/>
          <cell r="D11587"/>
          <cell r="E11587"/>
        </row>
        <row r="11588">
          <cell r="A11588"/>
          <cell r="B11588"/>
          <cell r="C11588"/>
          <cell r="D11588"/>
          <cell r="E11588"/>
        </row>
        <row r="11589">
          <cell r="A11589"/>
          <cell r="B11589"/>
          <cell r="C11589"/>
          <cell r="D11589"/>
          <cell r="E11589"/>
        </row>
        <row r="11590">
          <cell r="A11590"/>
          <cell r="B11590"/>
          <cell r="C11590"/>
          <cell r="D11590"/>
          <cell r="E11590"/>
        </row>
        <row r="11591">
          <cell r="A11591"/>
          <cell r="B11591"/>
          <cell r="C11591"/>
          <cell r="D11591"/>
          <cell r="E11591"/>
        </row>
        <row r="11592">
          <cell r="A11592"/>
          <cell r="B11592"/>
          <cell r="C11592"/>
          <cell r="D11592"/>
          <cell r="E11592"/>
        </row>
        <row r="11593">
          <cell r="A11593"/>
          <cell r="B11593"/>
          <cell r="C11593"/>
          <cell r="D11593"/>
          <cell r="E11593"/>
        </row>
        <row r="11594">
          <cell r="A11594"/>
          <cell r="B11594"/>
          <cell r="C11594"/>
          <cell r="D11594"/>
          <cell r="E11594"/>
        </row>
        <row r="11595">
          <cell r="A11595"/>
          <cell r="B11595"/>
          <cell r="C11595"/>
          <cell r="D11595"/>
          <cell r="E11595"/>
        </row>
        <row r="11596">
          <cell r="A11596"/>
          <cell r="B11596"/>
          <cell r="C11596"/>
          <cell r="D11596"/>
          <cell r="E11596"/>
        </row>
        <row r="11597">
          <cell r="A11597"/>
          <cell r="B11597"/>
          <cell r="C11597"/>
          <cell r="D11597"/>
          <cell r="E11597"/>
        </row>
        <row r="11598">
          <cell r="A11598"/>
          <cell r="B11598"/>
          <cell r="C11598"/>
          <cell r="D11598"/>
          <cell r="E11598"/>
        </row>
        <row r="11599">
          <cell r="A11599"/>
          <cell r="B11599"/>
          <cell r="C11599"/>
          <cell r="D11599"/>
          <cell r="E11599"/>
        </row>
        <row r="11600">
          <cell r="A11600"/>
          <cell r="B11600"/>
          <cell r="C11600"/>
          <cell r="D11600"/>
          <cell r="E11600"/>
        </row>
        <row r="11601">
          <cell r="A11601"/>
          <cell r="B11601"/>
          <cell r="C11601"/>
          <cell r="D11601"/>
          <cell r="E11601"/>
        </row>
        <row r="11602">
          <cell r="A11602"/>
          <cell r="B11602"/>
          <cell r="C11602"/>
          <cell r="D11602"/>
          <cell r="E11602"/>
        </row>
        <row r="11603">
          <cell r="A11603"/>
          <cell r="B11603"/>
          <cell r="C11603"/>
          <cell r="D11603"/>
          <cell r="E11603"/>
        </row>
        <row r="11604">
          <cell r="A11604"/>
          <cell r="B11604"/>
          <cell r="C11604"/>
          <cell r="D11604"/>
          <cell r="E11604"/>
        </row>
        <row r="11605">
          <cell r="A11605"/>
          <cell r="B11605"/>
          <cell r="C11605"/>
          <cell r="D11605"/>
          <cell r="E11605"/>
        </row>
        <row r="11606">
          <cell r="A11606"/>
          <cell r="B11606"/>
          <cell r="C11606"/>
          <cell r="D11606"/>
          <cell r="E11606"/>
        </row>
        <row r="11607">
          <cell r="A11607"/>
          <cell r="B11607"/>
          <cell r="C11607"/>
          <cell r="D11607"/>
          <cell r="E11607"/>
        </row>
        <row r="11608">
          <cell r="A11608"/>
          <cell r="B11608"/>
          <cell r="C11608"/>
          <cell r="D11608"/>
          <cell r="E11608"/>
        </row>
        <row r="11609">
          <cell r="A11609"/>
          <cell r="B11609"/>
          <cell r="C11609"/>
          <cell r="D11609"/>
          <cell r="E11609"/>
        </row>
        <row r="11610">
          <cell r="A11610"/>
          <cell r="B11610"/>
          <cell r="C11610"/>
          <cell r="D11610"/>
          <cell r="E11610"/>
        </row>
        <row r="11611">
          <cell r="A11611"/>
          <cell r="B11611"/>
          <cell r="C11611"/>
          <cell r="D11611"/>
          <cell r="E11611"/>
        </row>
        <row r="11612">
          <cell r="A11612"/>
          <cell r="B11612"/>
          <cell r="C11612"/>
          <cell r="D11612"/>
          <cell r="E11612"/>
        </row>
        <row r="11613">
          <cell r="A11613"/>
          <cell r="B11613"/>
          <cell r="C11613"/>
          <cell r="D11613"/>
          <cell r="E11613"/>
        </row>
        <row r="11614">
          <cell r="A11614"/>
          <cell r="B11614"/>
          <cell r="C11614"/>
          <cell r="D11614"/>
          <cell r="E11614"/>
        </row>
        <row r="11615">
          <cell r="A11615"/>
          <cell r="B11615"/>
          <cell r="C11615"/>
          <cell r="D11615"/>
          <cell r="E11615"/>
        </row>
        <row r="11616">
          <cell r="A11616"/>
          <cell r="B11616"/>
          <cell r="C11616"/>
          <cell r="D11616"/>
          <cell r="E11616"/>
        </row>
        <row r="11617">
          <cell r="A11617"/>
          <cell r="B11617"/>
          <cell r="C11617"/>
          <cell r="D11617"/>
          <cell r="E11617"/>
        </row>
        <row r="11618">
          <cell r="A11618"/>
          <cell r="B11618"/>
          <cell r="C11618"/>
          <cell r="D11618"/>
          <cell r="E11618"/>
        </row>
        <row r="11619">
          <cell r="A11619"/>
          <cell r="B11619"/>
          <cell r="C11619"/>
          <cell r="D11619"/>
          <cell r="E11619"/>
        </row>
        <row r="11620">
          <cell r="A11620"/>
          <cell r="B11620"/>
          <cell r="C11620"/>
          <cell r="D11620"/>
          <cell r="E11620"/>
        </row>
        <row r="11621">
          <cell r="A11621"/>
          <cell r="B11621"/>
          <cell r="C11621"/>
          <cell r="D11621"/>
          <cell r="E11621"/>
        </row>
        <row r="11622">
          <cell r="A11622"/>
          <cell r="B11622"/>
          <cell r="C11622"/>
          <cell r="D11622"/>
          <cell r="E11622"/>
        </row>
        <row r="11623">
          <cell r="A11623"/>
          <cell r="B11623"/>
          <cell r="C11623"/>
          <cell r="D11623"/>
          <cell r="E11623"/>
        </row>
        <row r="11624">
          <cell r="A11624"/>
          <cell r="B11624"/>
          <cell r="C11624"/>
          <cell r="D11624"/>
          <cell r="E11624"/>
        </row>
        <row r="11625">
          <cell r="A11625"/>
          <cell r="B11625"/>
          <cell r="C11625"/>
          <cell r="D11625"/>
          <cell r="E11625"/>
        </row>
        <row r="11626">
          <cell r="A11626"/>
          <cell r="B11626"/>
          <cell r="C11626"/>
          <cell r="D11626"/>
          <cell r="E11626"/>
        </row>
        <row r="11627">
          <cell r="A11627"/>
          <cell r="B11627"/>
          <cell r="C11627"/>
          <cell r="D11627"/>
          <cell r="E11627"/>
        </row>
        <row r="11628">
          <cell r="A11628"/>
          <cell r="B11628"/>
          <cell r="C11628"/>
          <cell r="D11628"/>
          <cell r="E11628"/>
        </row>
        <row r="11629">
          <cell r="A11629"/>
          <cell r="B11629"/>
          <cell r="C11629"/>
          <cell r="D11629"/>
          <cell r="E11629"/>
        </row>
        <row r="11630">
          <cell r="A11630"/>
          <cell r="B11630"/>
          <cell r="C11630"/>
          <cell r="D11630"/>
          <cell r="E11630"/>
        </row>
        <row r="11631">
          <cell r="A11631"/>
          <cell r="B11631"/>
          <cell r="C11631"/>
          <cell r="D11631"/>
          <cell r="E11631"/>
        </row>
        <row r="11632">
          <cell r="A11632"/>
          <cell r="B11632"/>
          <cell r="C11632"/>
          <cell r="D11632"/>
          <cell r="E11632"/>
        </row>
        <row r="11633">
          <cell r="A11633"/>
          <cell r="B11633"/>
          <cell r="C11633"/>
          <cell r="D11633"/>
          <cell r="E11633"/>
        </row>
        <row r="11634">
          <cell r="A11634"/>
          <cell r="B11634"/>
          <cell r="C11634"/>
          <cell r="D11634"/>
          <cell r="E11634"/>
        </row>
        <row r="11635">
          <cell r="A11635"/>
          <cell r="B11635"/>
          <cell r="C11635"/>
          <cell r="D11635"/>
          <cell r="E11635"/>
        </row>
        <row r="11636">
          <cell r="A11636"/>
          <cell r="B11636"/>
          <cell r="C11636"/>
          <cell r="D11636"/>
          <cell r="E11636"/>
        </row>
        <row r="11637">
          <cell r="A11637"/>
          <cell r="B11637"/>
          <cell r="C11637"/>
          <cell r="D11637"/>
          <cell r="E11637"/>
        </row>
        <row r="11638">
          <cell r="A11638"/>
          <cell r="B11638"/>
          <cell r="C11638"/>
          <cell r="D11638"/>
          <cell r="E11638"/>
        </row>
        <row r="11639">
          <cell r="A11639"/>
          <cell r="B11639"/>
          <cell r="C11639"/>
          <cell r="D11639"/>
          <cell r="E11639"/>
        </row>
        <row r="11640">
          <cell r="A11640"/>
          <cell r="B11640"/>
          <cell r="C11640"/>
          <cell r="D11640"/>
          <cell r="E11640"/>
        </row>
        <row r="11641">
          <cell r="A11641"/>
          <cell r="B11641"/>
          <cell r="C11641"/>
          <cell r="D11641"/>
          <cell r="E11641"/>
        </row>
        <row r="11642">
          <cell r="A11642"/>
          <cell r="B11642"/>
          <cell r="C11642"/>
          <cell r="D11642"/>
          <cell r="E11642"/>
        </row>
        <row r="11643">
          <cell r="A11643"/>
          <cell r="B11643"/>
          <cell r="C11643"/>
          <cell r="D11643"/>
          <cell r="E11643"/>
        </row>
        <row r="11644">
          <cell r="A11644"/>
          <cell r="B11644"/>
          <cell r="C11644"/>
          <cell r="D11644"/>
          <cell r="E11644"/>
        </row>
        <row r="11645">
          <cell r="A11645"/>
          <cell r="B11645"/>
          <cell r="C11645"/>
          <cell r="D11645"/>
          <cell r="E11645"/>
        </row>
        <row r="11646">
          <cell r="A11646"/>
          <cell r="B11646"/>
          <cell r="C11646"/>
          <cell r="D11646"/>
          <cell r="E11646"/>
        </row>
        <row r="11647">
          <cell r="A11647"/>
          <cell r="B11647"/>
          <cell r="C11647"/>
          <cell r="D11647"/>
          <cell r="E11647"/>
        </row>
        <row r="11648">
          <cell r="A11648"/>
          <cell r="B11648"/>
          <cell r="C11648"/>
          <cell r="D11648"/>
          <cell r="E11648"/>
        </row>
        <row r="11649">
          <cell r="A11649"/>
          <cell r="B11649"/>
          <cell r="C11649"/>
          <cell r="D11649"/>
          <cell r="E11649"/>
        </row>
        <row r="11650">
          <cell r="A11650"/>
          <cell r="B11650"/>
          <cell r="C11650"/>
          <cell r="D11650"/>
          <cell r="E11650"/>
        </row>
        <row r="11651">
          <cell r="A11651"/>
          <cell r="B11651"/>
          <cell r="C11651"/>
          <cell r="D11651"/>
          <cell r="E11651"/>
        </row>
        <row r="11652">
          <cell r="A11652"/>
          <cell r="B11652"/>
          <cell r="C11652"/>
          <cell r="D11652"/>
          <cell r="E11652"/>
        </row>
        <row r="11653">
          <cell r="A11653"/>
          <cell r="B11653"/>
          <cell r="C11653"/>
          <cell r="D11653"/>
          <cell r="E11653"/>
        </row>
        <row r="11654">
          <cell r="A11654"/>
          <cell r="B11654"/>
          <cell r="C11654"/>
          <cell r="D11654"/>
          <cell r="E11654"/>
        </row>
        <row r="11655">
          <cell r="A11655"/>
          <cell r="B11655"/>
          <cell r="C11655"/>
          <cell r="D11655"/>
          <cell r="E11655"/>
        </row>
        <row r="11656">
          <cell r="A11656"/>
          <cell r="B11656"/>
          <cell r="C11656"/>
          <cell r="D11656"/>
          <cell r="E11656"/>
        </row>
        <row r="11657">
          <cell r="A11657"/>
          <cell r="B11657"/>
          <cell r="C11657"/>
          <cell r="D11657"/>
          <cell r="E11657"/>
        </row>
        <row r="11658">
          <cell r="A11658"/>
          <cell r="B11658"/>
          <cell r="C11658"/>
          <cell r="D11658"/>
          <cell r="E11658"/>
        </row>
        <row r="11659">
          <cell r="A11659"/>
          <cell r="B11659"/>
          <cell r="C11659"/>
          <cell r="D11659"/>
          <cell r="E11659"/>
        </row>
        <row r="11660">
          <cell r="A11660"/>
          <cell r="B11660"/>
          <cell r="C11660"/>
          <cell r="D11660"/>
          <cell r="E11660"/>
        </row>
        <row r="11661">
          <cell r="A11661"/>
          <cell r="B11661"/>
          <cell r="C11661"/>
          <cell r="D11661"/>
          <cell r="E11661"/>
        </row>
        <row r="11662">
          <cell r="A11662"/>
          <cell r="B11662"/>
          <cell r="C11662"/>
          <cell r="D11662"/>
          <cell r="E11662"/>
        </row>
        <row r="11663">
          <cell r="A11663"/>
          <cell r="B11663"/>
          <cell r="C11663"/>
          <cell r="D11663"/>
          <cell r="E11663"/>
        </row>
        <row r="11664">
          <cell r="A11664"/>
          <cell r="B11664"/>
          <cell r="C11664"/>
          <cell r="D11664"/>
          <cell r="E11664"/>
        </row>
        <row r="11665">
          <cell r="A11665"/>
          <cell r="B11665"/>
          <cell r="C11665"/>
          <cell r="D11665"/>
          <cell r="E11665"/>
        </row>
        <row r="11666">
          <cell r="A11666"/>
          <cell r="B11666"/>
          <cell r="C11666"/>
          <cell r="D11666"/>
          <cell r="E11666"/>
        </row>
        <row r="11667">
          <cell r="A11667"/>
          <cell r="B11667"/>
          <cell r="C11667"/>
          <cell r="D11667"/>
          <cell r="E11667"/>
        </row>
        <row r="11668">
          <cell r="A11668"/>
          <cell r="B11668"/>
          <cell r="C11668"/>
          <cell r="D11668"/>
          <cell r="E11668"/>
        </row>
        <row r="11669">
          <cell r="A11669"/>
          <cell r="B11669"/>
          <cell r="C11669"/>
          <cell r="D11669"/>
          <cell r="E11669"/>
        </row>
        <row r="11670">
          <cell r="A11670"/>
          <cell r="B11670"/>
          <cell r="C11670"/>
          <cell r="D11670"/>
          <cell r="E11670"/>
        </row>
        <row r="11671">
          <cell r="A11671"/>
          <cell r="B11671"/>
          <cell r="C11671"/>
          <cell r="D11671"/>
          <cell r="E11671"/>
        </row>
        <row r="11672">
          <cell r="A11672"/>
          <cell r="B11672"/>
          <cell r="C11672"/>
          <cell r="D11672"/>
          <cell r="E11672"/>
        </row>
        <row r="11673">
          <cell r="A11673"/>
          <cell r="B11673"/>
          <cell r="C11673"/>
          <cell r="D11673"/>
          <cell r="E11673"/>
        </row>
        <row r="11674">
          <cell r="A11674"/>
          <cell r="B11674"/>
          <cell r="C11674"/>
          <cell r="D11674"/>
          <cell r="E11674"/>
        </row>
        <row r="11675">
          <cell r="A11675"/>
          <cell r="B11675"/>
          <cell r="C11675"/>
          <cell r="D11675"/>
          <cell r="E11675"/>
        </row>
        <row r="11676">
          <cell r="A11676"/>
          <cell r="B11676"/>
          <cell r="C11676"/>
          <cell r="D11676"/>
          <cell r="E11676"/>
        </row>
        <row r="11677">
          <cell r="A11677"/>
          <cell r="B11677"/>
          <cell r="C11677"/>
          <cell r="D11677"/>
          <cell r="E11677"/>
        </row>
        <row r="11678">
          <cell r="A11678"/>
          <cell r="B11678"/>
          <cell r="C11678"/>
          <cell r="D11678"/>
          <cell r="E11678"/>
        </row>
        <row r="11679">
          <cell r="A11679"/>
          <cell r="B11679"/>
          <cell r="C11679"/>
          <cell r="D11679"/>
          <cell r="E11679"/>
        </row>
        <row r="11680">
          <cell r="A11680"/>
          <cell r="B11680"/>
          <cell r="C11680"/>
          <cell r="D11680"/>
          <cell r="E11680"/>
        </row>
        <row r="11681">
          <cell r="A11681"/>
          <cell r="B11681"/>
          <cell r="C11681"/>
          <cell r="D11681"/>
          <cell r="E11681"/>
        </row>
        <row r="11682">
          <cell r="A11682"/>
          <cell r="B11682"/>
          <cell r="C11682"/>
          <cell r="D11682"/>
          <cell r="E11682"/>
        </row>
        <row r="11683">
          <cell r="A11683"/>
          <cell r="B11683"/>
          <cell r="C11683"/>
          <cell r="D11683"/>
          <cell r="E11683"/>
        </row>
        <row r="11684">
          <cell r="A11684"/>
          <cell r="B11684"/>
          <cell r="C11684"/>
          <cell r="D11684"/>
          <cell r="E11684"/>
        </row>
        <row r="11685">
          <cell r="A11685"/>
          <cell r="B11685"/>
          <cell r="C11685"/>
          <cell r="D11685"/>
          <cell r="E11685"/>
        </row>
        <row r="11686">
          <cell r="A11686"/>
          <cell r="B11686"/>
          <cell r="C11686"/>
          <cell r="D11686"/>
          <cell r="E11686"/>
        </row>
        <row r="11687">
          <cell r="A11687"/>
          <cell r="B11687"/>
          <cell r="C11687"/>
          <cell r="D11687"/>
          <cell r="E11687"/>
        </row>
        <row r="11688">
          <cell r="A11688"/>
          <cell r="B11688"/>
          <cell r="C11688"/>
          <cell r="D11688"/>
          <cell r="E11688"/>
        </row>
        <row r="11689">
          <cell r="A11689"/>
          <cell r="B11689"/>
          <cell r="C11689"/>
          <cell r="D11689"/>
          <cell r="E11689"/>
        </row>
        <row r="11690">
          <cell r="A11690"/>
          <cell r="B11690"/>
          <cell r="C11690"/>
          <cell r="D11690"/>
          <cell r="E11690"/>
        </row>
        <row r="11691">
          <cell r="A11691"/>
          <cell r="B11691"/>
          <cell r="C11691"/>
          <cell r="D11691"/>
          <cell r="E11691"/>
        </row>
        <row r="11692">
          <cell r="A11692"/>
          <cell r="B11692"/>
          <cell r="C11692"/>
          <cell r="D11692"/>
          <cell r="E11692"/>
        </row>
        <row r="11693">
          <cell r="A11693"/>
          <cell r="B11693"/>
          <cell r="C11693"/>
          <cell r="D11693"/>
          <cell r="E11693"/>
        </row>
        <row r="11694">
          <cell r="A11694"/>
          <cell r="B11694"/>
          <cell r="C11694"/>
          <cell r="D11694"/>
          <cell r="E11694"/>
        </row>
        <row r="11695">
          <cell r="A11695"/>
          <cell r="B11695"/>
          <cell r="C11695"/>
          <cell r="D11695"/>
          <cell r="E11695"/>
        </row>
        <row r="11696">
          <cell r="A11696"/>
          <cell r="B11696"/>
          <cell r="C11696"/>
          <cell r="D11696"/>
          <cell r="E11696"/>
        </row>
        <row r="11697">
          <cell r="A11697"/>
          <cell r="B11697"/>
          <cell r="C11697"/>
          <cell r="D11697"/>
          <cell r="E11697"/>
        </row>
        <row r="11698">
          <cell r="A11698"/>
          <cell r="B11698"/>
          <cell r="C11698"/>
          <cell r="D11698"/>
          <cell r="E11698"/>
        </row>
        <row r="11699">
          <cell r="A11699"/>
          <cell r="B11699"/>
          <cell r="C11699"/>
          <cell r="D11699"/>
          <cell r="E11699"/>
        </row>
        <row r="11700">
          <cell r="A11700"/>
          <cell r="B11700"/>
          <cell r="C11700"/>
          <cell r="D11700"/>
          <cell r="E11700"/>
        </row>
        <row r="11701">
          <cell r="A11701"/>
          <cell r="B11701"/>
          <cell r="C11701"/>
          <cell r="D11701"/>
          <cell r="E11701"/>
        </row>
        <row r="11702">
          <cell r="A11702"/>
          <cell r="B11702"/>
          <cell r="C11702"/>
          <cell r="D11702"/>
          <cell r="E11702"/>
        </row>
        <row r="11703">
          <cell r="A11703"/>
          <cell r="B11703"/>
          <cell r="C11703"/>
          <cell r="D11703"/>
          <cell r="E11703"/>
        </row>
        <row r="11704">
          <cell r="A11704"/>
          <cell r="B11704"/>
          <cell r="C11704"/>
          <cell r="D11704"/>
          <cell r="E11704"/>
        </row>
        <row r="11705">
          <cell r="A11705"/>
          <cell r="B11705"/>
          <cell r="C11705"/>
          <cell r="D11705"/>
          <cell r="E11705"/>
        </row>
        <row r="11706">
          <cell r="A11706"/>
          <cell r="B11706"/>
          <cell r="C11706"/>
          <cell r="D11706"/>
          <cell r="E11706"/>
        </row>
        <row r="11707">
          <cell r="A11707"/>
          <cell r="B11707"/>
          <cell r="C11707"/>
          <cell r="D11707"/>
          <cell r="E11707"/>
        </row>
        <row r="11708">
          <cell r="A11708"/>
          <cell r="B11708"/>
          <cell r="C11708"/>
          <cell r="D11708"/>
          <cell r="E11708"/>
        </row>
        <row r="11709">
          <cell r="A11709"/>
          <cell r="B11709"/>
          <cell r="C11709"/>
          <cell r="D11709"/>
          <cell r="E11709"/>
        </row>
        <row r="11710">
          <cell r="A11710"/>
          <cell r="B11710"/>
          <cell r="C11710"/>
          <cell r="D11710"/>
          <cell r="E11710"/>
        </row>
        <row r="11711">
          <cell r="A11711"/>
          <cell r="B11711"/>
          <cell r="C11711"/>
          <cell r="D11711"/>
          <cell r="E11711"/>
        </row>
        <row r="11712">
          <cell r="A11712"/>
          <cell r="B11712"/>
          <cell r="C11712"/>
          <cell r="D11712"/>
          <cell r="E11712"/>
        </row>
        <row r="11713">
          <cell r="A11713"/>
          <cell r="B11713"/>
          <cell r="C11713"/>
          <cell r="D11713"/>
          <cell r="E11713"/>
        </row>
        <row r="11714">
          <cell r="A11714"/>
          <cell r="B11714"/>
          <cell r="C11714"/>
          <cell r="D11714"/>
          <cell r="E11714"/>
        </row>
        <row r="11715">
          <cell r="A11715"/>
          <cell r="B11715"/>
          <cell r="C11715"/>
          <cell r="D11715"/>
          <cell r="E11715"/>
        </row>
        <row r="11716">
          <cell r="A11716"/>
          <cell r="B11716"/>
          <cell r="C11716"/>
          <cell r="D11716"/>
          <cell r="E11716"/>
        </row>
        <row r="11717">
          <cell r="A11717"/>
          <cell r="B11717"/>
          <cell r="C11717"/>
          <cell r="D11717"/>
          <cell r="E11717"/>
        </row>
        <row r="11718">
          <cell r="A11718"/>
          <cell r="B11718"/>
          <cell r="C11718"/>
          <cell r="D11718"/>
          <cell r="E11718"/>
        </row>
        <row r="11719">
          <cell r="A11719"/>
          <cell r="B11719"/>
          <cell r="C11719"/>
          <cell r="D11719"/>
          <cell r="E11719"/>
        </row>
        <row r="11720">
          <cell r="A11720"/>
          <cell r="B11720"/>
          <cell r="C11720"/>
          <cell r="D11720"/>
          <cell r="E11720"/>
        </row>
        <row r="11721">
          <cell r="A11721"/>
          <cell r="B11721"/>
          <cell r="C11721"/>
          <cell r="D11721"/>
          <cell r="E11721"/>
        </row>
        <row r="11722">
          <cell r="A11722"/>
          <cell r="B11722"/>
          <cell r="C11722"/>
          <cell r="D11722"/>
          <cell r="E11722"/>
        </row>
        <row r="11723">
          <cell r="A11723"/>
          <cell r="B11723"/>
          <cell r="C11723"/>
          <cell r="D11723"/>
          <cell r="E11723"/>
        </row>
        <row r="11724">
          <cell r="A11724"/>
          <cell r="B11724"/>
          <cell r="C11724"/>
          <cell r="D11724"/>
          <cell r="E11724"/>
        </row>
        <row r="11725">
          <cell r="A11725"/>
          <cell r="B11725"/>
          <cell r="C11725"/>
          <cell r="D11725"/>
          <cell r="E11725"/>
        </row>
        <row r="11726">
          <cell r="A11726"/>
          <cell r="B11726"/>
          <cell r="C11726"/>
          <cell r="D11726"/>
          <cell r="E11726"/>
        </row>
        <row r="11727">
          <cell r="A11727"/>
          <cell r="B11727"/>
          <cell r="C11727"/>
          <cell r="D11727"/>
          <cell r="E11727"/>
        </row>
        <row r="11728">
          <cell r="A11728"/>
          <cell r="B11728"/>
          <cell r="C11728"/>
          <cell r="D11728"/>
          <cell r="E11728"/>
        </row>
        <row r="11729">
          <cell r="A11729"/>
          <cell r="B11729"/>
          <cell r="C11729"/>
          <cell r="D11729"/>
          <cell r="E11729"/>
        </row>
        <row r="11730">
          <cell r="A11730"/>
          <cell r="B11730"/>
          <cell r="C11730"/>
          <cell r="D11730"/>
          <cell r="E11730"/>
        </row>
        <row r="11731">
          <cell r="A11731"/>
          <cell r="B11731"/>
          <cell r="C11731"/>
          <cell r="D11731"/>
          <cell r="E11731"/>
        </row>
        <row r="11732">
          <cell r="A11732"/>
          <cell r="B11732"/>
          <cell r="C11732"/>
          <cell r="D11732"/>
          <cell r="E11732"/>
        </row>
        <row r="11733">
          <cell r="A11733"/>
          <cell r="B11733"/>
          <cell r="C11733"/>
          <cell r="D11733"/>
          <cell r="E11733"/>
        </row>
        <row r="11734">
          <cell r="A11734"/>
          <cell r="B11734"/>
          <cell r="C11734"/>
          <cell r="D11734"/>
          <cell r="E11734"/>
        </row>
        <row r="11735">
          <cell r="A11735"/>
          <cell r="B11735"/>
          <cell r="C11735"/>
          <cell r="D11735"/>
          <cell r="E11735"/>
        </row>
        <row r="11736">
          <cell r="A11736"/>
          <cell r="B11736"/>
          <cell r="C11736"/>
          <cell r="D11736"/>
          <cell r="E11736"/>
        </row>
        <row r="11737">
          <cell r="A11737"/>
          <cell r="B11737"/>
          <cell r="C11737"/>
          <cell r="D11737"/>
          <cell r="E11737"/>
        </row>
        <row r="11738">
          <cell r="A11738"/>
          <cell r="B11738"/>
          <cell r="C11738"/>
          <cell r="D11738"/>
          <cell r="E11738"/>
        </row>
        <row r="11739">
          <cell r="A11739"/>
          <cell r="B11739"/>
          <cell r="C11739"/>
          <cell r="D11739"/>
          <cell r="E11739"/>
        </row>
        <row r="11740">
          <cell r="A11740"/>
          <cell r="B11740"/>
          <cell r="C11740"/>
          <cell r="D11740"/>
          <cell r="E11740"/>
        </row>
        <row r="11741">
          <cell r="A11741"/>
          <cell r="B11741"/>
          <cell r="C11741"/>
          <cell r="D11741"/>
          <cell r="E11741"/>
        </row>
        <row r="11742">
          <cell r="A11742"/>
          <cell r="B11742"/>
          <cell r="C11742"/>
          <cell r="D11742"/>
          <cell r="E11742"/>
        </row>
        <row r="11743">
          <cell r="A11743"/>
          <cell r="B11743"/>
          <cell r="C11743"/>
          <cell r="D11743"/>
          <cell r="E11743"/>
        </row>
        <row r="11744">
          <cell r="A11744"/>
          <cell r="B11744"/>
          <cell r="C11744"/>
          <cell r="D11744"/>
          <cell r="E11744"/>
        </row>
        <row r="11745">
          <cell r="A11745"/>
          <cell r="B11745"/>
          <cell r="C11745"/>
          <cell r="D11745"/>
          <cell r="E11745"/>
        </row>
        <row r="11746">
          <cell r="A11746"/>
          <cell r="B11746"/>
          <cell r="C11746"/>
          <cell r="D11746"/>
          <cell r="E11746"/>
        </row>
        <row r="11747">
          <cell r="A11747"/>
          <cell r="B11747"/>
          <cell r="C11747"/>
          <cell r="D11747"/>
          <cell r="E11747"/>
        </row>
        <row r="11748">
          <cell r="A11748"/>
          <cell r="B11748"/>
          <cell r="C11748"/>
          <cell r="D11748"/>
          <cell r="E11748"/>
        </row>
        <row r="11749">
          <cell r="A11749"/>
          <cell r="B11749"/>
          <cell r="C11749"/>
          <cell r="D11749"/>
          <cell r="E11749"/>
        </row>
        <row r="11750">
          <cell r="A11750"/>
          <cell r="B11750"/>
          <cell r="C11750"/>
          <cell r="D11750"/>
          <cell r="E11750"/>
        </row>
        <row r="11751">
          <cell r="A11751"/>
          <cell r="B11751"/>
          <cell r="C11751"/>
          <cell r="D11751"/>
          <cell r="E11751"/>
        </row>
        <row r="11752">
          <cell r="A11752"/>
          <cell r="B11752"/>
          <cell r="C11752"/>
          <cell r="D11752"/>
          <cell r="E11752"/>
        </row>
        <row r="11753">
          <cell r="A11753"/>
          <cell r="B11753"/>
          <cell r="C11753"/>
          <cell r="D11753"/>
          <cell r="E11753"/>
        </row>
        <row r="11754">
          <cell r="A11754"/>
          <cell r="B11754"/>
          <cell r="C11754"/>
          <cell r="D11754"/>
          <cell r="E11754"/>
        </row>
        <row r="11755">
          <cell r="A11755"/>
          <cell r="B11755"/>
          <cell r="C11755"/>
          <cell r="D11755"/>
          <cell r="E11755"/>
        </row>
        <row r="11756">
          <cell r="A11756"/>
          <cell r="B11756"/>
          <cell r="C11756"/>
          <cell r="D11756"/>
          <cell r="E11756"/>
        </row>
        <row r="11757">
          <cell r="A11757"/>
          <cell r="B11757"/>
          <cell r="C11757"/>
          <cell r="D11757"/>
          <cell r="E11757"/>
        </row>
        <row r="11758">
          <cell r="A11758"/>
          <cell r="B11758"/>
          <cell r="C11758"/>
          <cell r="D11758"/>
          <cell r="E11758"/>
        </row>
        <row r="11759">
          <cell r="A11759"/>
          <cell r="B11759"/>
          <cell r="C11759"/>
          <cell r="D11759"/>
          <cell r="E11759"/>
        </row>
        <row r="11760">
          <cell r="A11760"/>
          <cell r="B11760"/>
          <cell r="C11760"/>
          <cell r="D11760"/>
          <cell r="E11760"/>
        </row>
        <row r="11761">
          <cell r="A11761"/>
          <cell r="B11761"/>
          <cell r="C11761"/>
          <cell r="D11761"/>
          <cell r="E11761"/>
        </row>
        <row r="11762">
          <cell r="A11762"/>
          <cell r="B11762"/>
          <cell r="C11762"/>
          <cell r="D11762"/>
          <cell r="E11762"/>
        </row>
        <row r="11763">
          <cell r="A11763"/>
          <cell r="B11763"/>
          <cell r="C11763"/>
          <cell r="D11763"/>
          <cell r="E11763"/>
        </row>
        <row r="11764">
          <cell r="A11764"/>
          <cell r="B11764"/>
          <cell r="C11764"/>
          <cell r="D11764"/>
          <cell r="E11764"/>
        </row>
        <row r="11765">
          <cell r="A11765"/>
          <cell r="B11765"/>
          <cell r="C11765"/>
          <cell r="D11765"/>
          <cell r="E11765"/>
        </row>
        <row r="11766">
          <cell r="A11766"/>
          <cell r="B11766"/>
          <cell r="C11766"/>
          <cell r="D11766"/>
          <cell r="E11766"/>
        </row>
        <row r="11767">
          <cell r="A11767"/>
          <cell r="B11767"/>
          <cell r="C11767"/>
          <cell r="D11767"/>
          <cell r="E11767"/>
        </row>
        <row r="11768">
          <cell r="A11768"/>
          <cell r="B11768"/>
          <cell r="C11768"/>
          <cell r="D11768"/>
          <cell r="E11768"/>
        </row>
        <row r="11769">
          <cell r="A11769"/>
          <cell r="B11769"/>
          <cell r="C11769"/>
          <cell r="D11769"/>
          <cell r="E11769"/>
        </row>
        <row r="11770">
          <cell r="A11770"/>
          <cell r="B11770"/>
          <cell r="C11770"/>
          <cell r="D11770"/>
          <cell r="E11770"/>
        </row>
        <row r="11771">
          <cell r="A11771"/>
          <cell r="B11771"/>
          <cell r="C11771"/>
          <cell r="D11771"/>
          <cell r="E11771"/>
        </row>
        <row r="11772">
          <cell r="A11772"/>
          <cell r="B11772"/>
          <cell r="C11772"/>
          <cell r="D11772"/>
          <cell r="E11772"/>
        </row>
        <row r="11773">
          <cell r="A11773"/>
          <cell r="B11773"/>
          <cell r="C11773"/>
          <cell r="D11773"/>
          <cell r="E11773"/>
        </row>
        <row r="11774">
          <cell r="A11774"/>
          <cell r="B11774"/>
          <cell r="C11774"/>
          <cell r="D11774"/>
          <cell r="E11774"/>
        </row>
        <row r="11775">
          <cell r="A11775"/>
          <cell r="B11775"/>
          <cell r="C11775"/>
          <cell r="D11775"/>
          <cell r="E11775"/>
        </row>
        <row r="11776">
          <cell r="A11776"/>
          <cell r="B11776"/>
          <cell r="C11776"/>
          <cell r="D11776"/>
          <cell r="E11776"/>
        </row>
        <row r="11777">
          <cell r="A11777"/>
          <cell r="B11777"/>
          <cell r="C11777"/>
          <cell r="D11777"/>
          <cell r="E11777"/>
        </row>
        <row r="11778">
          <cell r="A11778"/>
          <cell r="B11778"/>
          <cell r="C11778"/>
          <cell r="D11778"/>
          <cell r="E11778"/>
        </row>
        <row r="11779">
          <cell r="A11779"/>
          <cell r="B11779"/>
          <cell r="C11779"/>
          <cell r="D11779"/>
          <cell r="E11779"/>
        </row>
        <row r="11780">
          <cell r="A11780"/>
          <cell r="B11780"/>
          <cell r="C11780"/>
          <cell r="D11780"/>
          <cell r="E11780"/>
        </row>
        <row r="11781">
          <cell r="A11781"/>
          <cell r="B11781"/>
          <cell r="C11781"/>
          <cell r="D11781"/>
          <cell r="E11781"/>
        </row>
        <row r="11782">
          <cell r="A11782"/>
          <cell r="B11782"/>
          <cell r="C11782"/>
          <cell r="D11782"/>
          <cell r="E11782"/>
        </row>
        <row r="11783">
          <cell r="A11783"/>
          <cell r="B11783"/>
          <cell r="C11783"/>
          <cell r="D11783"/>
          <cell r="E11783"/>
        </row>
        <row r="11784">
          <cell r="A11784"/>
          <cell r="B11784"/>
          <cell r="C11784"/>
          <cell r="D11784"/>
          <cell r="E11784"/>
        </row>
        <row r="11785">
          <cell r="A11785"/>
          <cell r="B11785"/>
          <cell r="C11785"/>
          <cell r="D11785"/>
          <cell r="E11785"/>
        </row>
        <row r="11786">
          <cell r="A11786"/>
          <cell r="B11786"/>
          <cell r="C11786"/>
          <cell r="D11786"/>
          <cell r="E11786"/>
        </row>
        <row r="11787">
          <cell r="A11787"/>
          <cell r="B11787"/>
          <cell r="C11787"/>
          <cell r="D11787"/>
          <cell r="E11787"/>
        </row>
        <row r="11788">
          <cell r="A11788"/>
          <cell r="B11788"/>
          <cell r="C11788"/>
          <cell r="D11788"/>
          <cell r="E11788"/>
        </row>
        <row r="11789">
          <cell r="A11789"/>
          <cell r="B11789"/>
          <cell r="C11789"/>
          <cell r="D11789"/>
          <cell r="E11789"/>
        </row>
        <row r="11790">
          <cell r="A11790"/>
          <cell r="B11790"/>
          <cell r="C11790"/>
          <cell r="D11790"/>
          <cell r="E11790"/>
        </row>
        <row r="11791">
          <cell r="A11791"/>
          <cell r="B11791"/>
          <cell r="C11791"/>
          <cell r="D11791"/>
          <cell r="E11791"/>
        </row>
        <row r="11792">
          <cell r="A11792"/>
          <cell r="B11792"/>
          <cell r="C11792"/>
          <cell r="D11792"/>
          <cell r="E11792"/>
        </row>
        <row r="11793">
          <cell r="A11793"/>
          <cell r="B11793"/>
          <cell r="C11793"/>
          <cell r="D11793"/>
          <cell r="E11793"/>
        </row>
        <row r="11794">
          <cell r="A11794"/>
          <cell r="B11794"/>
          <cell r="C11794"/>
          <cell r="D11794"/>
          <cell r="E11794"/>
        </row>
        <row r="11795">
          <cell r="A11795"/>
          <cell r="B11795"/>
          <cell r="C11795"/>
          <cell r="D11795"/>
          <cell r="E11795"/>
        </row>
        <row r="11796">
          <cell r="A11796"/>
          <cell r="B11796"/>
          <cell r="C11796"/>
          <cell r="D11796"/>
          <cell r="E11796"/>
        </row>
        <row r="11797">
          <cell r="A11797"/>
          <cell r="B11797"/>
          <cell r="C11797"/>
          <cell r="D11797"/>
          <cell r="E11797"/>
        </row>
        <row r="11798">
          <cell r="A11798"/>
          <cell r="B11798"/>
          <cell r="C11798"/>
          <cell r="D11798"/>
          <cell r="E11798"/>
        </row>
        <row r="11799">
          <cell r="A11799"/>
          <cell r="B11799"/>
          <cell r="C11799"/>
          <cell r="D11799"/>
          <cell r="E11799"/>
        </row>
        <row r="11800">
          <cell r="A11800"/>
          <cell r="B11800"/>
          <cell r="C11800"/>
          <cell r="D11800"/>
          <cell r="E11800"/>
        </row>
        <row r="11801">
          <cell r="A11801"/>
          <cell r="B11801"/>
          <cell r="C11801"/>
          <cell r="D11801"/>
          <cell r="E11801"/>
        </row>
        <row r="11802">
          <cell r="A11802"/>
          <cell r="B11802"/>
          <cell r="C11802"/>
          <cell r="D11802"/>
          <cell r="E11802"/>
        </row>
        <row r="11803">
          <cell r="A11803"/>
          <cell r="B11803"/>
          <cell r="C11803"/>
          <cell r="D11803"/>
          <cell r="E11803"/>
        </row>
        <row r="11804">
          <cell r="A11804"/>
          <cell r="B11804"/>
          <cell r="C11804"/>
          <cell r="D11804"/>
          <cell r="E11804"/>
        </row>
        <row r="11805">
          <cell r="A11805"/>
          <cell r="B11805"/>
          <cell r="C11805"/>
          <cell r="D11805"/>
          <cell r="E11805"/>
        </row>
        <row r="11806">
          <cell r="A11806"/>
          <cell r="B11806"/>
          <cell r="C11806"/>
          <cell r="D11806"/>
          <cell r="E11806"/>
        </row>
        <row r="11807">
          <cell r="A11807"/>
          <cell r="B11807"/>
          <cell r="C11807"/>
          <cell r="D11807"/>
          <cell r="E11807"/>
        </row>
        <row r="11808">
          <cell r="A11808"/>
          <cell r="B11808"/>
          <cell r="C11808"/>
          <cell r="D11808"/>
          <cell r="E11808"/>
        </row>
        <row r="11809">
          <cell r="A11809"/>
          <cell r="B11809"/>
          <cell r="C11809"/>
          <cell r="D11809"/>
          <cell r="E11809"/>
        </row>
        <row r="11810">
          <cell r="A11810"/>
          <cell r="B11810"/>
          <cell r="C11810"/>
          <cell r="D11810"/>
          <cell r="E11810"/>
        </row>
        <row r="11811">
          <cell r="A11811"/>
          <cell r="B11811"/>
          <cell r="C11811"/>
          <cell r="D11811"/>
          <cell r="E11811"/>
        </row>
        <row r="11812">
          <cell r="A11812"/>
          <cell r="B11812"/>
          <cell r="C11812"/>
          <cell r="D11812"/>
          <cell r="E11812"/>
        </row>
        <row r="11813">
          <cell r="A11813"/>
          <cell r="B11813"/>
          <cell r="C11813"/>
          <cell r="D11813"/>
          <cell r="E11813"/>
        </row>
        <row r="11814">
          <cell r="A11814"/>
          <cell r="B11814"/>
          <cell r="C11814"/>
          <cell r="D11814"/>
          <cell r="E11814"/>
        </row>
        <row r="11815">
          <cell r="A11815"/>
          <cell r="B11815"/>
          <cell r="C11815"/>
          <cell r="D11815"/>
          <cell r="E11815"/>
        </row>
        <row r="11816">
          <cell r="A11816"/>
          <cell r="B11816"/>
          <cell r="C11816"/>
          <cell r="D11816"/>
          <cell r="E11816"/>
        </row>
        <row r="11817">
          <cell r="A11817"/>
          <cell r="B11817"/>
          <cell r="C11817"/>
          <cell r="D11817"/>
          <cell r="E11817"/>
        </row>
        <row r="11818">
          <cell r="A11818"/>
          <cell r="B11818"/>
          <cell r="C11818"/>
          <cell r="D11818"/>
          <cell r="E11818"/>
        </row>
        <row r="11819">
          <cell r="A11819"/>
          <cell r="B11819"/>
          <cell r="C11819"/>
          <cell r="D11819"/>
          <cell r="E11819"/>
        </row>
        <row r="11820">
          <cell r="A11820"/>
          <cell r="B11820"/>
          <cell r="C11820"/>
          <cell r="D11820"/>
          <cell r="E11820"/>
        </row>
        <row r="11821">
          <cell r="A11821"/>
          <cell r="B11821"/>
          <cell r="C11821"/>
          <cell r="D11821"/>
          <cell r="E11821"/>
        </row>
        <row r="11822">
          <cell r="A11822"/>
          <cell r="B11822"/>
          <cell r="C11822"/>
          <cell r="D11822"/>
          <cell r="E11822"/>
        </row>
        <row r="11823">
          <cell r="A11823"/>
          <cell r="B11823"/>
          <cell r="C11823"/>
          <cell r="D11823"/>
          <cell r="E11823"/>
        </row>
        <row r="11824">
          <cell r="A11824"/>
          <cell r="B11824"/>
          <cell r="C11824"/>
          <cell r="D11824"/>
          <cell r="E11824"/>
        </row>
        <row r="11825">
          <cell r="A11825"/>
          <cell r="B11825"/>
          <cell r="C11825"/>
          <cell r="D11825"/>
          <cell r="E11825"/>
        </row>
        <row r="11826">
          <cell r="A11826"/>
          <cell r="B11826"/>
          <cell r="C11826"/>
          <cell r="D11826"/>
          <cell r="E11826"/>
        </row>
        <row r="11827">
          <cell r="A11827"/>
          <cell r="B11827"/>
          <cell r="C11827"/>
          <cell r="D11827"/>
          <cell r="E11827"/>
        </row>
        <row r="11828">
          <cell r="A11828"/>
          <cell r="B11828"/>
          <cell r="C11828"/>
          <cell r="D11828"/>
          <cell r="E11828"/>
        </row>
        <row r="11829">
          <cell r="A11829"/>
          <cell r="B11829"/>
          <cell r="C11829"/>
          <cell r="D11829"/>
          <cell r="E11829"/>
        </row>
        <row r="11830">
          <cell r="A11830"/>
          <cell r="B11830"/>
          <cell r="C11830"/>
          <cell r="D11830"/>
          <cell r="E11830"/>
        </row>
        <row r="11831">
          <cell r="A11831"/>
          <cell r="B11831"/>
          <cell r="C11831"/>
          <cell r="D11831"/>
          <cell r="E11831"/>
        </row>
        <row r="11832">
          <cell r="A11832"/>
          <cell r="B11832"/>
          <cell r="C11832"/>
          <cell r="D11832"/>
          <cell r="E11832"/>
        </row>
        <row r="11833">
          <cell r="A11833"/>
          <cell r="B11833"/>
          <cell r="C11833"/>
          <cell r="D11833"/>
          <cell r="E11833"/>
        </row>
        <row r="11834">
          <cell r="A11834"/>
          <cell r="B11834"/>
          <cell r="C11834"/>
          <cell r="D11834"/>
          <cell r="E11834"/>
        </row>
        <row r="11835">
          <cell r="A11835"/>
          <cell r="B11835"/>
          <cell r="C11835"/>
          <cell r="D11835"/>
          <cell r="E11835"/>
        </row>
        <row r="11836">
          <cell r="A11836"/>
          <cell r="B11836"/>
          <cell r="C11836"/>
          <cell r="D11836"/>
          <cell r="E11836"/>
        </row>
        <row r="11837">
          <cell r="A11837"/>
          <cell r="B11837"/>
          <cell r="C11837"/>
          <cell r="D11837"/>
          <cell r="E11837"/>
        </row>
        <row r="11838">
          <cell r="A11838"/>
          <cell r="B11838"/>
          <cell r="C11838"/>
          <cell r="D11838"/>
          <cell r="E11838"/>
        </row>
        <row r="11839">
          <cell r="A11839"/>
          <cell r="B11839"/>
          <cell r="C11839"/>
          <cell r="D11839"/>
          <cell r="E11839"/>
        </row>
        <row r="11840">
          <cell r="A11840"/>
          <cell r="B11840"/>
          <cell r="C11840"/>
          <cell r="D11840"/>
          <cell r="E11840"/>
        </row>
        <row r="11841">
          <cell r="A11841"/>
          <cell r="B11841"/>
          <cell r="C11841"/>
          <cell r="D11841"/>
          <cell r="E11841"/>
        </row>
        <row r="11842">
          <cell r="A11842"/>
          <cell r="B11842"/>
          <cell r="C11842"/>
          <cell r="D11842"/>
          <cell r="E11842"/>
        </row>
        <row r="11843">
          <cell r="A11843"/>
          <cell r="B11843"/>
          <cell r="C11843"/>
          <cell r="D11843"/>
          <cell r="E11843"/>
        </row>
        <row r="11844">
          <cell r="A11844"/>
          <cell r="B11844"/>
          <cell r="C11844"/>
          <cell r="D11844"/>
          <cell r="E11844"/>
        </row>
        <row r="11845">
          <cell r="A11845"/>
          <cell r="B11845"/>
          <cell r="C11845"/>
          <cell r="D11845"/>
          <cell r="E11845"/>
        </row>
        <row r="11846">
          <cell r="A11846"/>
          <cell r="B11846"/>
          <cell r="C11846"/>
          <cell r="D11846"/>
          <cell r="E11846"/>
        </row>
        <row r="11847">
          <cell r="A11847"/>
          <cell r="B11847"/>
          <cell r="C11847"/>
          <cell r="D11847"/>
          <cell r="E11847"/>
        </row>
        <row r="11848">
          <cell r="A11848"/>
          <cell r="B11848"/>
          <cell r="C11848"/>
          <cell r="D11848"/>
          <cell r="E11848"/>
        </row>
        <row r="11849">
          <cell r="A11849"/>
          <cell r="B11849"/>
          <cell r="C11849"/>
          <cell r="D11849"/>
          <cell r="E11849"/>
        </row>
        <row r="11850">
          <cell r="A11850"/>
          <cell r="B11850"/>
          <cell r="C11850"/>
          <cell r="D11850"/>
          <cell r="E11850"/>
        </row>
        <row r="11851">
          <cell r="A11851"/>
          <cell r="B11851"/>
          <cell r="C11851"/>
          <cell r="D11851"/>
          <cell r="E11851"/>
        </row>
        <row r="11852">
          <cell r="A11852"/>
          <cell r="B11852"/>
          <cell r="C11852"/>
          <cell r="D11852"/>
          <cell r="E11852"/>
        </row>
        <row r="11853">
          <cell r="A11853"/>
          <cell r="B11853"/>
          <cell r="C11853"/>
          <cell r="D11853"/>
          <cell r="E11853"/>
        </row>
        <row r="11854">
          <cell r="A11854"/>
          <cell r="B11854"/>
          <cell r="C11854"/>
          <cell r="D11854"/>
          <cell r="E11854"/>
        </row>
        <row r="11855">
          <cell r="A11855"/>
          <cell r="B11855"/>
          <cell r="C11855"/>
          <cell r="D11855"/>
          <cell r="E11855"/>
        </row>
        <row r="11856">
          <cell r="A11856"/>
          <cell r="B11856"/>
          <cell r="C11856"/>
          <cell r="D11856"/>
          <cell r="E11856"/>
        </row>
        <row r="11857">
          <cell r="A11857"/>
          <cell r="B11857"/>
          <cell r="C11857"/>
          <cell r="D11857"/>
          <cell r="E11857"/>
        </row>
        <row r="11858">
          <cell r="A11858"/>
          <cell r="B11858"/>
          <cell r="C11858"/>
          <cell r="D11858"/>
          <cell r="E11858"/>
        </row>
        <row r="11859">
          <cell r="A11859"/>
          <cell r="B11859"/>
          <cell r="C11859"/>
          <cell r="D11859"/>
          <cell r="E11859"/>
        </row>
        <row r="11860">
          <cell r="A11860"/>
          <cell r="B11860"/>
          <cell r="C11860"/>
          <cell r="D11860"/>
          <cell r="E11860"/>
        </row>
        <row r="11861">
          <cell r="A11861"/>
          <cell r="B11861"/>
          <cell r="C11861"/>
          <cell r="D11861"/>
          <cell r="E11861"/>
        </row>
        <row r="11862">
          <cell r="A11862"/>
          <cell r="B11862"/>
          <cell r="C11862"/>
          <cell r="D11862"/>
          <cell r="E11862"/>
        </row>
        <row r="11863">
          <cell r="A11863"/>
          <cell r="B11863"/>
          <cell r="C11863"/>
          <cell r="D11863"/>
          <cell r="E11863"/>
        </row>
        <row r="11864">
          <cell r="A11864"/>
          <cell r="B11864"/>
          <cell r="C11864"/>
          <cell r="D11864"/>
          <cell r="E11864"/>
        </row>
        <row r="11865">
          <cell r="A11865"/>
          <cell r="B11865"/>
          <cell r="C11865"/>
          <cell r="D11865"/>
          <cell r="E11865"/>
        </row>
        <row r="11866">
          <cell r="A11866"/>
          <cell r="B11866"/>
          <cell r="C11866"/>
          <cell r="D11866"/>
          <cell r="E11866"/>
        </row>
        <row r="11867">
          <cell r="A11867"/>
          <cell r="B11867"/>
          <cell r="C11867"/>
          <cell r="D11867"/>
          <cell r="E11867"/>
        </row>
        <row r="11868">
          <cell r="A11868"/>
          <cell r="B11868"/>
          <cell r="C11868"/>
          <cell r="D11868"/>
          <cell r="E11868"/>
        </row>
        <row r="11869">
          <cell r="A11869"/>
          <cell r="B11869"/>
          <cell r="C11869"/>
          <cell r="D11869"/>
          <cell r="E11869"/>
        </row>
        <row r="11870">
          <cell r="A11870"/>
          <cell r="B11870"/>
          <cell r="C11870"/>
          <cell r="D11870"/>
          <cell r="E11870"/>
        </row>
        <row r="11871">
          <cell r="A11871"/>
          <cell r="B11871"/>
          <cell r="C11871"/>
          <cell r="D11871"/>
          <cell r="E11871"/>
        </row>
        <row r="11872">
          <cell r="A11872"/>
          <cell r="B11872"/>
          <cell r="C11872"/>
          <cell r="D11872"/>
          <cell r="E11872"/>
        </row>
        <row r="11873">
          <cell r="A11873"/>
          <cell r="B11873"/>
          <cell r="C11873"/>
          <cell r="D11873"/>
          <cell r="E11873"/>
        </row>
        <row r="11874">
          <cell r="A11874"/>
          <cell r="B11874"/>
          <cell r="C11874"/>
          <cell r="D11874"/>
          <cell r="E11874"/>
        </row>
        <row r="11875">
          <cell r="A11875"/>
          <cell r="B11875"/>
          <cell r="C11875"/>
          <cell r="D11875"/>
          <cell r="E11875"/>
        </row>
        <row r="11876">
          <cell r="A11876"/>
          <cell r="B11876"/>
          <cell r="C11876"/>
          <cell r="D11876"/>
          <cell r="E11876"/>
        </row>
        <row r="11877">
          <cell r="A11877"/>
          <cell r="B11877"/>
          <cell r="C11877"/>
          <cell r="D11877"/>
          <cell r="E11877"/>
        </row>
        <row r="11878">
          <cell r="A11878"/>
          <cell r="B11878"/>
          <cell r="C11878"/>
          <cell r="D11878"/>
          <cell r="E11878"/>
        </row>
        <row r="11879">
          <cell r="A11879"/>
          <cell r="B11879"/>
          <cell r="C11879"/>
          <cell r="D11879"/>
          <cell r="E11879"/>
        </row>
        <row r="11880">
          <cell r="A11880"/>
          <cell r="B11880"/>
          <cell r="C11880"/>
          <cell r="D11880"/>
          <cell r="E11880"/>
        </row>
        <row r="11881">
          <cell r="A11881"/>
          <cell r="B11881"/>
          <cell r="C11881"/>
          <cell r="D11881"/>
          <cell r="E11881"/>
        </row>
        <row r="11882">
          <cell r="A11882"/>
          <cell r="B11882"/>
          <cell r="C11882"/>
          <cell r="D11882"/>
          <cell r="E11882"/>
        </row>
        <row r="11883">
          <cell r="A11883"/>
          <cell r="B11883"/>
          <cell r="C11883"/>
          <cell r="D11883"/>
          <cell r="E11883"/>
        </row>
        <row r="11884">
          <cell r="A11884"/>
          <cell r="B11884"/>
          <cell r="C11884"/>
          <cell r="D11884"/>
          <cell r="E11884"/>
        </row>
        <row r="11885">
          <cell r="A11885"/>
          <cell r="B11885"/>
          <cell r="C11885"/>
          <cell r="D11885"/>
          <cell r="E11885"/>
        </row>
        <row r="11886">
          <cell r="A11886"/>
          <cell r="B11886"/>
          <cell r="C11886"/>
          <cell r="D11886"/>
          <cell r="E11886"/>
        </row>
        <row r="11887">
          <cell r="A11887"/>
          <cell r="B11887"/>
          <cell r="C11887"/>
          <cell r="D11887"/>
          <cell r="E11887"/>
        </row>
        <row r="11888">
          <cell r="A11888"/>
          <cell r="B11888"/>
          <cell r="C11888"/>
          <cell r="D11888"/>
          <cell r="E11888"/>
        </row>
        <row r="11889">
          <cell r="A11889"/>
          <cell r="B11889"/>
          <cell r="C11889"/>
          <cell r="D11889"/>
          <cell r="E11889"/>
        </row>
        <row r="11890">
          <cell r="A11890"/>
          <cell r="B11890"/>
          <cell r="C11890"/>
          <cell r="D11890"/>
          <cell r="E11890"/>
        </row>
        <row r="11891">
          <cell r="A11891"/>
          <cell r="B11891"/>
          <cell r="C11891"/>
          <cell r="D11891"/>
          <cell r="E11891"/>
        </row>
        <row r="11892">
          <cell r="A11892"/>
          <cell r="B11892"/>
          <cell r="C11892"/>
          <cell r="D11892"/>
          <cell r="E11892"/>
        </row>
        <row r="11893">
          <cell r="A11893"/>
          <cell r="B11893"/>
          <cell r="C11893"/>
          <cell r="D11893"/>
          <cell r="E11893"/>
        </row>
        <row r="11894">
          <cell r="A11894"/>
          <cell r="B11894"/>
          <cell r="C11894"/>
          <cell r="D11894"/>
          <cell r="E11894"/>
        </row>
        <row r="11895">
          <cell r="A11895"/>
          <cell r="B11895"/>
          <cell r="C11895"/>
          <cell r="D11895"/>
          <cell r="E11895"/>
        </row>
        <row r="11896">
          <cell r="A11896"/>
          <cell r="B11896"/>
          <cell r="C11896"/>
          <cell r="D11896"/>
          <cell r="E11896"/>
        </row>
        <row r="11897">
          <cell r="A11897"/>
          <cell r="B11897"/>
          <cell r="C11897"/>
          <cell r="D11897"/>
          <cell r="E11897"/>
        </row>
        <row r="11898">
          <cell r="A11898"/>
          <cell r="B11898"/>
          <cell r="C11898"/>
          <cell r="D11898"/>
          <cell r="E11898"/>
        </row>
        <row r="11899">
          <cell r="A11899"/>
          <cell r="B11899"/>
          <cell r="C11899"/>
          <cell r="D11899"/>
          <cell r="E11899"/>
        </row>
        <row r="11900">
          <cell r="A11900"/>
          <cell r="B11900"/>
          <cell r="C11900"/>
          <cell r="D11900"/>
          <cell r="E11900"/>
        </row>
        <row r="11901">
          <cell r="A11901"/>
          <cell r="B11901"/>
          <cell r="C11901"/>
          <cell r="D11901"/>
          <cell r="E11901"/>
        </row>
        <row r="11902">
          <cell r="A11902"/>
          <cell r="B11902"/>
          <cell r="C11902"/>
          <cell r="D11902"/>
          <cell r="E11902"/>
        </row>
        <row r="11903">
          <cell r="A11903"/>
          <cell r="B11903"/>
          <cell r="C11903"/>
          <cell r="D11903"/>
          <cell r="E11903"/>
        </row>
        <row r="11904">
          <cell r="A11904"/>
          <cell r="B11904"/>
          <cell r="C11904"/>
          <cell r="D11904"/>
          <cell r="E11904"/>
        </row>
        <row r="11905">
          <cell r="A11905"/>
          <cell r="B11905"/>
          <cell r="C11905"/>
          <cell r="D11905"/>
          <cell r="E11905"/>
        </row>
        <row r="11906">
          <cell r="A11906"/>
          <cell r="B11906"/>
          <cell r="C11906"/>
          <cell r="D11906"/>
          <cell r="E11906"/>
        </row>
        <row r="11907">
          <cell r="A11907"/>
          <cell r="B11907"/>
          <cell r="C11907"/>
          <cell r="D11907"/>
          <cell r="E11907"/>
        </row>
        <row r="11908">
          <cell r="A11908"/>
          <cell r="B11908"/>
          <cell r="C11908"/>
          <cell r="D11908"/>
          <cell r="E11908"/>
        </row>
        <row r="11909">
          <cell r="A11909"/>
          <cell r="B11909"/>
          <cell r="C11909"/>
          <cell r="D11909"/>
          <cell r="E11909"/>
        </row>
        <row r="11910">
          <cell r="A11910"/>
          <cell r="B11910"/>
          <cell r="C11910"/>
          <cell r="D11910"/>
          <cell r="E11910"/>
        </row>
        <row r="11911">
          <cell r="A11911"/>
          <cell r="B11911"/>
          <cell r="C11911"/>
          <cell r="D11911"/>
          <cell r="E11911"/>
        </row>
        <row r="11912">
          <cell r="A11912"/>
          <cell r="B11912"/>
          <cell r="C11912"/>
          <cell r="D11912"/>
          <cell r="E11912"/>
        </row>
        <row r="11913">
          <cell r="A11913"/>
          <cell r="B11913"/>
          <cell r="C11913"/>
          <cell r="D11913"/>
          <cell r="E11913"/>
        </row>
        <row r="11914">
          <cell r="A11914"/>
          <cell r="B11914"/>
          <cell r="C11914"/>
          <cell r="D11914"/>
          <cell r="E11914"/>
        </row>
        <row r="11915">
          <cell r="A11915"/>
          <cell r="B11915"/>
          <cell r="C11915"/>
          <cell r="D11915"/>
          <cell r="E11915"/>
        </row>
        <row r="11916">
          <cell r="A11916"/>
          <cell r="B11916"/>
          <cell r="C11916"/>
          <cell r="D11916"/>
          <cell r="E11916"/>
        </row>
        <row r="11917">
          <cell r="A11917"/>
          <cell r="B11917"/>
          <cell r="C11917"/>
          <cell r="D11917"/>
          <cell r="E11917"/>
        </row>
        <row r="11918">
          <cell r="A11918"/>
          <cell r="B11918"/>
          <cell r="C11918"/>
          <cell r="D11918"/>
          <cell r="E11918"/>
        </row>
        <row r="11919">
          <cell r="A11919"/>
          <cell r="B11919"/>
          <cell r="C11919"/>
          <cell r="D11919"/>
          <cell r="E11919"/>
        </row>
        <row r="11920">
          <cell r="A11920"/>
          <cell r="B11920"/>
          <cell r="C11920"/>
          <cell r="D11920"/>
          <cell r="E11920"/>
        </row>
        <row r="11921">
          <cell r="A11921"/>
          <cell r="B11921"/>
          <cell r="C11921"/>
          <cell r="D11921"/>
          <cell r="E11921"/>
        </row>
        <row r="11922">
          <cell r="A11922"/>
          <cell r="B11922"/>
          <cell r="C11922"/>
          <cell r="D11922"/>
          <cell r="E11922"/>
        </row>
        <row r="11923">
          <cell r="A11923"/>
          <cell r="B11923"/>
          <cell r="C11923"/>
          <cell r="D11923"/>
          <cell r="E11923"/>
        </row>
        <row r="11924">
          <cell r="A11924"/>
          <cell r="B11924"/>
          <cell r="C11924"/>
          <cell r="D11924"/>
          <cell r="E11924"/>
        </row>
        <row r="11925">
          <cell r="A11925"/>
          <cell r="B11925"/>
          <cell r="C11925"/>
          <cell r="D11925"/>
          <cell r="E11925"/>
        </row>
        <row r="11926">
          <cell r="A11926"/>
          <cell r="B11926"/>
          <cell r="C11926"/>
          <cell r="D11926"/>
          <cell r="E11926"/>
        </row>
        <row r="11927">
          <cell r="A11927"/>
          <cell r="B11927"/>
          <cell r="C11927"/>
          <cell r="D11927"/>
          <cell r="E11927"/>
        </row>
        <row r="11928">
          <cell r="A11928"/>
          <cell r="B11928"/>
          <cell r="C11928"/>
          <cell r="D11928"/>
          <cell r="E11928"/>
        </row>
        <row r="11929">
          <cell r="A11929"/>
          <cell r="B11929"/>
          <cell r="C11929"/>
          <cell r="D11929"/>
          <cell r="E11929"/>
        </row>
        <row r="11930">
          <cell r="A11930"/>
          <cell r="B11930"/>
          <cell r="C11930"/>
          <cell r="D11930"/>
          <cell r="E11930"/>
        </row>
        <row r="11931">
          <cell r="A11931"/>
          <cell r="B11931"/>
          <cell r="C11931"/>
          <cell r="D11931"/>
          <cell r="E11931"/>
        </row>
        <row r="11932">
          <cell r="A11932"/>
          <cell r="B11932"/>
          <cell r="C11932"/>
          <cell r="D11932"/>
          <cell r="E11932"/>
        </row>
        <row r="11933">
          <cell r="A11933"/>
          <cell r="B11933"/>
          <cell r="C11933"/>
          <cell r="D11933"/>
          <cell r="E11933"/>
        </row>
        <row r="11934">
          <cell r="A11934"/>
          <cell r="B11934"/>
          <cell r="C11934"/>
          <cell r="D11934"/>
          <cell r="E11934"/>
        </row>
        <row r="11935">
          <cell r="A11935"/>
          <cell r="B11935"/>
          <cell r="C11935"/>
          <cell r="D11935"/>
          <cell r="E11935"/>
        </row>
        <row r="11936">
          <cell r="A11936"/>
          <cell r="B11936"/>
          <cell r="C11936"/>
          <cell r="D11936"/>
          <cell r="E11936"/>
        </row>
        <row r="11937">
          <cell r="A11937"/>
          <cell r="B11937"/>
          <cell r="C11937"/>
          <cell r="D11937"/>
          <cell r="E11937"/>
        </row>
        <row r="11938">
          <cell r="A11938"/>
          <cell r="B11938"/>
          <cell r="C11938"/>
          <cell r="D11938"/>
          <cell r="E11938"/>
        </row>
        <row r="11939">
          <cell r="A11939"/>
          <cell r="B11939"/>
          <cell r="C11939"/>
          <cell r="D11939"/>
          <cell r="E11939"/>
        </row>
        <row r="11940">
          <cell r="A11940"/>
          <cell r="B11940"/>
          <cell r="C11940"/>
          <cell r="D11940"/>
          <cell r="E11940"/>
        </row>
        <row r="11941">
          <cell r="A11941"/>
          <cell r="B11941"/>
          <cell r="C11941"/>
          <cell r="D11941"/>
          <cell r="E11941"/>
        </row>
        <row r="11942">
          <cell r="A11942"/>
          <cell r="B11942"/>
          <cell r="C11942"/>
          <cell r="D11942"/>
          <cell r="E11942"/>
        </row>
        <row r="11943">
          <cell r="A11943"/>
          <cell r="B11943"/>
          <cell r="C11943"/>
          <cell r="D11943"/>
          <cell r="E11943"/>
        </row>
        <row r="11944">
          <cell r="A11944"/>
          <cell r="B11944"/>
          <cell r="C11944"/>
          <cell r="D11944"/>
          <cell r="E11944"/>
        </row>
        <row r="11945">
          <cell r="A11945"/>
          <cell r="B11945"/>
          <cell r="C11945"/>
          <cell r="D11945"/>
          <cell r="E11945"/>
        </row>
        <row r="11946">
          <cell r="A11946"/>
          <cell r="B11946"/>
          <cell r="C11946"/>
          <cell r="D11946"/>
          <cell r="E11946"/>
        </row>
        <row r="11947">
          <cell r="A11947"/>
          <cell r="B11947"/>
          <cell r="C11947"/>
          <cell r="D11947"/>
          <cell r="E11947"/>
        </row>
        <row r="11948">
          <cell r="A11948"/>
          <cell r="B11948"/>
          <cell r="C11948"/>
          <cell r="D11948"/>
          <cell r="E11948"/>
        </row>
        <row r="11949">
          <cell r="A11949"/>
          <cell r="B11949"/>
          <cell r="C11949"/>
          <cell r="D11949"/>
          <cell r="E11949"/>
        </row>
        <row r="11950">
          <cell r="A11950"/>
          <cell r="B11950"/>
          <cell r="C11950"/>
          <cell r="D11950"/>
          <cell r="E11950"/>
        </row>
        <row r="11951">
          <cell r="A11951"/>
          <cell r="B11951"/>
          <cell r="C11951"/>
          <cell r="D11951"/>
          <cell r="E11951"/>
        </row>
        <row r="11952">
          <cell r="A11952"/>
          <cell r="B11952"/>
          <cell r="C11952"/>
          <cell r="D11952"/>
          <cell r="E11952"/>
        </row>
        <row r="11953">
          <cell r="A11953"/>
          <cell r="B11953"/>
          <cell r="C11953"/>
          <cell r="D11953"/>
          <cell r="E11953"/>
        </row>
        <row r="11954">
          <cell r="A11954"/>
          <cell r="B11954"/>
          <cell r="C11954"/>
          <cell r="D11954"/>
          <cell r="E11954"/>
        </row>
        <row r="11955">
          <cell r="A11955"/>
          <cell r="B11955"/>
          <cell r="C11955"/>
          <cell r="D11955"/>
          <cell r="E11955"/>
        </row>
        <row r="11956">
          <cell r="A11956"/>
          <cell r="B11956"/>
          <cell r="C11956"/>
          <cell r="D11956"/>
          <cell r="E11956"/>
        </row>
        <row r="11957">
          <cell r="A11957"/>
          <cell r="B11957"/>
          <cell r="C11957"/>
          <cell r="D11957"/>
          <cell r="E11957"/>
        </row>
        <row r="11958">
          <cell r="A11958"/>
          <cell r="B11958"/>
          <cell r="C11958"/>
          <cell r="D11958"/>
          <cell r="E11958"/>
        </row>
        <row r="11959">
          <cell r="A11959"/>
          <cell r="B11959"/>
          <cell r="C11959"/>
          <cell r="D11959"/>
          <cell r="E11959"/>
        </row>
        <row r="11960">
          <cell r="A11960"/>
          <cell r="B11960"/>
          <cell r="C11960"/>
          <cell r="D11960"/>
          <cell r="E11960"/>
        </row>
        <row r="11961">
          <cell r="A11961"/>
          <cell r="B11961"/>
          <cell r="C11961"/>
          <cell r="D11961"/>
          <cell r="E11961"/>
        </row>
        <row r="11962">
          <cell r="A11962"/>
          <cell r="B11962"/>
          <cell r="C11962"/>
          <cell r="D11962"/>
          <cell r="E11962"/>
        </row>
        <row r="11963">
          <cell r="A11963"/>
          <cell r="B11963"/>
          <cell r="C11963"/>
          <cell r="D11963"/>
          <cell r="E11963"/>
        </row>
        <row r="11964">
          <cell r="A11964"/>
          <cell r="B11964"/>
          <cell r="C11964"/>
          <cell r="D11964"/>
          <cell r="E11964"/>
        </row>
        <row r="11965">
          <cell r="A11965"/>
          <cell r="B11965"/>
          <cell r="C11965"/>
          <cell r="D11965"/>
          <cell r="E11965"/>
        </row>
        <row r="11966">
          <cell r="A11966"/>
          <cell r="B11966"/>
          <cell r="C11966"/>
          <cell r="D11966"/>
          <cell r="E11966"/>
        </row>
        <row r="11967">
          <cell r="A11967"/>
          <cell r="B11967"/>
          <cell r="C11967"/>
          <cell r="D11967"/>
          <cell r="E11967"/>
        </row>
        <row r="11968">
          <cell r="A11968"/>
          <cell r="B11968"/>
          <cell r="C11968"/>
          <cell r="D11968"/>
          <cell r="E11968"/>
        </row>
        <row r="11969">
          <cell r="A11969"/>
          <cell r="B11969"/>
          <cell r="C11969"/>
          <cell r="D11969"/>
          <cell r="E11969"/>
        </row>
        <row r="11970">
          <cell r="A11970"/>
          <cell r="B11970"/>
          <cell r="C11970"/>
          <cell r="D11970"/>
          <cell r="E11970"/>
        </row>
        <row r="11971">
          <cell r="A11971"/>
          <cell r="B11971"/>
          <cell r="C11971"/>
          <cell r="D11971"/>
          <cell r="E11971"/>
        </row>
        <row r="11972">
          <cell r="A11972"/>
          <cell r="B11972"/>
          <cell r="C11972"/>
          <cell r="D11972"/>
          <cell r="E11972"/>
        </row>
        <row r="11973">
          <cell r="A11973"/>
          <cell r="B11973"/>
          <cell r="C11973"/>
          <cell r="D11973"/>
          <cell r="E11973"/>
        </row>
        <row r="11974">
          <cell r="A11974"/>
          <cell r="B11974"/>
          <cell r="C11974"/>
          <cell r="D11974"/>
          <cell r="E11974"/>
        </row>
        <row r="11975">
          <cell r="A11975"/>
          <cell r="B11975"/>
          <cell r="C11975"/>
          <cell r="D11975"/>
          <cell r="E11975"/>
        </row>
        <row r="11976">
          <cell r="A11976"/>
          <cell r="B11976"/>
          <cell r="C11976"/>
          <cell r="D11976"/>
          <cell r="E11976"/>
        </row>
        <row r="11977">
          <cell r="A11977"/>
          <cell r="B11977"/>
          <cell r="C11977"/>
          <cell r="D11977"/>
          <cell r="E11977"/>
        </row>
        <row r="11978">
          <cell r="A11978"/>
          <cell r="B11978"/>
          <cell r="C11978"/>
          <cell r="D11978"/>
          <cell r="E11978"/>
        </row>
        <row r="11979">
          <cell r="A11979"/>
          <cell r="B11979"/>
          <cell r="C11979"/>
          <cell r="D11979"/>
          <cell r="E11979"/>
        </row>
        <row r="11980">
          <cell r="A11980"/>
          <cell r="B11980"/>
          <cell r="C11980"/>
          <cell r="D11980"/>
          <cell r="E11980"/>
        </row>
        <row r="11981">
          <cell r="A11981"/>
          <cell r="B11981"/>
          <cell r="C11981"/>
          <cell r="D11981"/>
          <cell r="E11981"/>
        </row>
        <row r="11982">
          <cell r="A11982"/>
          <cell r="B11982"/>
          <cell r="C11982"/>
          <cell r="D11982"/>
          <cell r="E11982"/>
        </row>
        <row r="11983">
          <cell r="A11983"/>
          <cell r="B11983"/>
          <cell r="C11983"/>
          <cell r="D11983"/>
          <cell r="E11983"/>
        </row>
        <row r="11984">
          <cell r="A11984"/>
          <cell r="B11984"/>
          <cell r="C11984"/>
          <cell r="D11984"/>
          <cell r="E11984"/>
        </row>
        <row r="11985">
          <cell r="A11985"/>
          <cell r="B11985"/>
          <cell r="C11985"/>
          <cell r="D11985"/>
          <cell r="E11985"/>
        </row>
        <row r="11986">
          <cell r="A11986"/>
          <cell r="B11986"/>
          <cell r="C11986"/>
          <cell r="D11986"/>
          <cell r="E11986"/>
        </row>
        <row r="11987">
          <cell r="A11987"/>
          <cell r="B11987"/>
          <cell r="C11987"/>
          <cell r="D11987"/>
          <cell r="E11987"/>
        </row>
        <row r="11988">
          <cell r="A11988"/>
          <cell r="B11988"/>
          <cell r="C11988"/>
          <cell r="D11988"/>
          <cell r="E11988"/>
        </row>
        <row r="11989">
          <cell r="A11989"/>
          <cell r="B11989"/>
          <cell r="C11989"/>
          <cell r="D11989"/>
          <cell r="E11989"/>
        </row>
        <row r="11990">
          <cell r="A11990"/>
          <cell r="B11990"/>
          <cell r="C11990"/>
          <cell r="D11990"/>
          <cell r="E11990"/>
        </row>
        <row r="11991">
          <cell r="A11991"/>
          <cell r="B11991"/>
          <cell r="C11991"/>
          <cell r="D11991"/>
          <cell r="E11991"/>
        </row>
        <row r="11992">
          <cell r="A11992"/>
          <cell r="B11992"/>
          <cell r="C11992"/>
          <cell r="D11992"/>
          <cell r="E11992"/>
        </row>
        <row r="11993">
          <cell r="A11993"/>
          <cell r="B11993"/>
          <cell r="C11993"/>
          <cell r="D11993"/>
          <cell r="E11993"/>
        </row>
        <row r="11994">
          <cell r="A11994"/>
          <cell r="B11994"/>
          <cell r="C11994"/>
          <cell r="D11994"/>
          <cell r="E11994"/>
        </row>
        <row r="11995">
          <cell r="A11995"/>
          <cell r="B11995"/>
          <cell r="C11995"/>
          <cell r="D11995"/>
          <cell r="E11995"/>
        </row>
        <row r="11996">
          <cell r="A11996"/>
          <cell r="B11996"/>
          <cell r="C11996"/>
          <cell r="D11996"/>
          <cell r="E11996"/>
        </row>
        <row r="11997">
          <cell r="A11997"/>
          <cell r="B11997"/>
          <cell r="C11997"/>
          <cell r="D11997"/>
          <cell r="E11997"/>
        </row>
        <row r="11998">
          <cell r="A11998"/>
          <cell r="B11998"/>
          <cell r="C11998"/>
          <cell r="D11998"/>
          <cell r="E11998"/>
        </row>
        <row r="11999">
          <cell r="A11999"/>
          <cell r="B11999"/>
          <cell r="C11999"/>
          <cell r="D11999"/>
          <cell r="E11999"/>
        </row>
        <row r="12000">
          <cell r="A12000"/>
          <cell r="B12000"/>
          <cell r="C12000"/>
          <cell r="D12000"/>
          <cell r="E12000"/>
        </row>
        <row r="12001">
          <cell r="A12001"/>
          <cell r="B12001"/>
          <cell r="C12001"/>
          <cell r="D12001"/>
          <cell r="E12001"/>
        </row>
        <row r="12002">
          <cell r="A12002"/>
          <cell r="B12002"/>
          <cell r="C12002"/>
          <cell r="D12002"/>
          <cell r="E12002"/>
        </row>
        <row r="12003">
          <cell r="A12003"/>
          <cell r="B12003"/>
          <cell r="C12003"/>
          <cell r="D12003"/>
          <cell r="E12003"/>
        </row>
        <row r="12004">
          <cell r="A12004"/>
          <cell r="B12004"/>
          <cell r="C12004"/>
          <cell r="D12004"/>
          <cell r="E12004"/>
        </row>
        <row r="12005">
          <cell r="A12005"/>
          <cell r="B12005"/>
          <cell r="C12005"/>
          <cell r="D12005"/>
          <cell r="E12005"/>
        </row>
        <row r="12006">
          <cell r="A12006"/>
          <cell r="B12006"/>
          <cell r="C12006"/>
          <cell r="D12006"/>
          <cell r="E12006"/>
        </row>
        <row r="12007">
          <cell r="A12007"/>
          <cell r="B12007"/>
          <cell r="C12007"/>
          <cell r="D12007"/>
          <cell r="E12007"/>
        </row>
        <row r="12008">
          <cell r="A12008"/>
          <cell r="B12008"/>
          <cell r="C12008"/>
          <cell r="D12008"/>
          <cell r="E12008"/>
        </row>
        <row r="12009">
          <cell r="A12009"/>
          <cell r="B12009"/>
          <cell r="C12009"/>
          <cell r="D12009"/>
          <cell r="E12009"/>
        </row>
        <row r="12010">
          <cell r="A12010"/>
          <cell r="B12010"/>
          <cell r="C12010"/>
          <cell r="D12010"/>
          <cell r="E12010"/>
        </row>
        <row r="12011">
          <cell r="A12011"/>
          <cell r="B12011"/>
          <cell r="C12011"/>
          <cell r="D12011"/>
          <cell r="E12011"/>
        </row>
        <row r="12012">
          <cell r="A12012"/>
          <cell r="B12012"/>
          <cell r="C12012"/>
          <cell r="D12012"/>
          <cell r="E12012"/>
        </row>
        <row r="12013">
          <cell r="A12013"/>
          <cell r="B12013"/>
          <cell r="C12013"/>
          <cell r="D12013"/>
          <cell r="E12013"/>
        </row>
        <row r="12014">
          <cell r="A12014"/>
          <cell r="B12014"/>
          <cell r="C12014"/>
          <cell r="D12014"/>
          <cell r="E12014"/>
        </row>
        <row r="12015">
          <cell r="A12015"/>
          <cell r="B12015"/>
          <cell r="C12015"/>
          <cell r="D12015"/>
          <cell r="E12015"/>
        </row>
        <row r="12016">
          <cell r="A12016"/>
          <cell r="B12016"/>
          <cell r="C12016"/>
          <cell r="D12016"/>
          <cell r="E12016"/>
        </row>
        <row r="12017">
          <cell r="A12017"/>
          <cell r="B12017"/>
          <cell r="C12017"/>
          <cell r="D12017"/>
          <cell r="E12017"/>
        </row>
        <row r="12018">
          <cell r="A12018"/>
          <cell r="B12018"/>
          <cell r="C12018"/>
          <cell r="D12018"/>
          <cell r="E12018"/>
        </row>
        <row r="12019">
          <cell r="A12019"/>
          <cell r="B12019"/>
          <cell r="C12019"/>
          <cell r="D12019"/>
          <cell r="E12019"/>
        </row>
        <row r="12020">
          <cell r="A12020"/>
          <cell r="B12020"/>
          <cell r="C12020"/>
          <cell r="D12020"/>
          <cell r="E12020"/>
        </row>
        <row r="12021">
          <cell r="A12021"/>
          <cell r="B12021"/>
          <cell r="C12021"/>
          <cell r="D12021"/>
          <cell r="E12021"/>
        </row>
        <row r="12022">
          <cell r="A12022"/>
          <cell r="B12022"/>
          <cell r="C12022"/>
          <cell r="D12022"/>
          <cell r="E12022"/>
        </row>
        <row r="12023">
          <cell r="A12023"/>
          <cell r="B12023"/>
          <cell r="C12023"/>
          <cell r="D12023"/>
          <cell r="E12023"/>
        </row>
        <row r="12024">
          <cell r="A12024"/>
          <cell r="B12024"/>
          <cell r="C12024"/>
          <cell r="D12024"/>
          <cell r="E12024"/>
        </row>
        <row r="12025">
          <cell r="A12025"/>
          <cell r="B12025"/>
          <cell r="C12025"/>
          <cell r="D12025"/>
          <cell r="E12025"/>
        </row>
        <row r="12026">
          <cell r="A12026"/>
          <cell r="B12026"/>
          <cell r="C12026"/>
          <cell r="D12026"/>
          <cell r="E12026"/>
        </row>
        <row r="12027">
          <cell r="A12027"/>
          <cell r="B12027"/>
          <cell r="C12027"/>
          <cell r="D12027"/>
          <cell r="E12027"/>
        </row>
        <row r="12028">
          <cell r="A12028"/>
          <cell r="B12028"/>
          <cell r="C12028"/>
          <cell r="D12028"/>
          <cell r="E12028"/>
        </row>
        <row r="12029">
          <cell r="A12029"/>
          <cell r="B12029"/>
          <cell r="C12029"/>
          <cell r="D12029"/>
          <cell r="E12029"/>
        </row>
        <row r="12030">
          <cell r="A12030"/>
          <cell r="B12030"/>
          <cell r="C12030"/>
          <cell r="D12030"/>
          <cell r="E12030"/>
        </row>
        <row r="12031">
          <cell r="A12031"/>
          <cell r="B12031"/>
          <cell r="C12031"/>
          <cell r="D12031"/>
          <cell r="E12031"/>
        </row>
        <row r="12032">
          <cell r="A12032"/>
          <cell r="B12032"/>
          <cell r="C12032"/>
          <cell r="D12032"/>
          <cell r="E12032"/>
        </row>
        <row r="12033">
          <cell r="A12033"/>
          <cell r="B12033"/>
          <cell r="C12033"/>
          <cell r="D12033"/>
          <cell r="E12033"/>
        </row>
        <row r="12034">
          <cell r="A12034"/>
          <cell r="B12034"/>
          <cell r="C12034"/>
          <cell r="D12034"/>
          <cell r="E12034"/>
        </row>
        <row r="12035">
          <cell r="A12035"/>
          <cell r="B12035"/>
          <cell r="C12035"/>
          <cell r="D12035"/>
          <cell r="E12035"/>
        </row>
        <row r="12036">
          <cell r="A12036"/>
          <cell r="B12036"/>
          <cell r="C12036"/>
          <cell r="D12036"/>
          <cell r="E12036"/>
        </row>
        <row r="12037">
          <cell r="A12037"/>
          <cell r="B12037"/>
          <cell r="C12037"/>
          <cell r="D12037"/>
          <cell r="E12037"/>
        </row>
        <row r="12038">
          <cell r="A12038"/>
          <cell r="B12038"/>
          <cell r="C12038"/>
          <cell r="D12038"/>
          <cell r="E12038"/>
        </row>
        <row r="12039">
          <cell r="A12039"/>
          <cell r="B12039"/>
          <cell r="C12039"/>
          <cell r="D12039"/>
          <cell r="E12039"/>
        </row>
        <row r="12040">
          <cell r="A12040"/>
          <cell r="B12040"/>
          <cell r="C12040"/>
          <cell r="D12040"/>
          <cell r="E12040"/>
        </row>
        <row r="12041">
          <cell r="A12041"/>
          <cell r="B12041"/>
          <cell r="C12041"/>
          <cell r="D12041"/>
          <cell r="E12041"/>
        </row>
        <row r="12042">
          <cell r="A12042"/>
          <cell r="B12042"/>
          <cell r="C12042"/>
          <cell r="D12042"/>
          <cell r="E12042"/>
        </row>
        <row r="12043">
          <cell r="A12043"/>
          <cell r="B12043"/>
          <cell r="C12043"/>
          <cell r="D12043"/>
          <cell r="E12043"/>
        </row>
        <row r="12044">
          <cell r="A12044"/>
          <cell r="B12044"/>
          <cell r="C12044"/>
          <cell r="D12044"/>
          <cell r="E12044"/>
        </row>
        <row r="12045">
          <cell r="A12045"/>
          <cell r="B12045"/>
          <cell r="C12045"/>
          <cell r="D12045"/>
          <cell r="E12045"/>
        </row>
        <row r="12046">
          <cell r="A12046"/>
          <cell r="B12046"/>
          <cell r="C12046"/>
          <cell r="D12046"/>
          <cell r="E12046"/>
        </row>
        <row r="12047">
          <cell r="A12047"/>
          <cell r="B12047"/>
          <cell r="C12047"/>
          <cell r="D12047"/>
          <cell r="E12047"/>
        </row>
        <row r="12048">
          <cell r="A12048"/>
          <cell r="B12048"/>
          <cell r="C12048"/>
          <cell r="D12048"/>
          <cell r="E12048"/>
        </row>
        <row r="12049">
          <cell r="A12049"/>
          <cell r="B12049"/>
          <cell r="C12049"/>
          <cell r="D12049"/>
          <cell r="E12049"/>
        </row>
        <row r="12050">
          <cell r="A12050"/>
          <cell r="B12050"/>
          <cell r="C12050"/>
          <cell r="D12050"/>
          <cell r="E12050"/>
        </row>
        <row r="12051">
          <cell r="A12051"/>
          <cell r="B12051"/>
          <cell r="C12051"/>
          <cell r="D12051"/>
          <cell r="E12051"/>
        </row>
        <row r="12052">
          <cell r="A12052"/>
          <cell r="B12052"/>
          <cell r="C12052"/>
          <cell r="D12052"/>
          <cell r="E12052"/>
        </row>
        <row r="12053">
          <cell r="A12053"/>
          <cell r="B12053"/>
          <cell r="C12053"/>
          <cell r="D12053"/>
          <cell r="E12053"/>
        </row>
        <row r="12054">
          <cell r="A12054"/>
          <cell r="B12054"/>
          <cell r="C12054"/>
          <cell r="D12054"/>
          <cell r="E12054"/>
        </row>
        <row r="12055">
          <cell r="A12055"/>
          <cell r="B12055"/>
          <cell r="C12055"/>
          <cell r="D12055"/>
          <cell r="E12055"/>
        </row>
        <row r="12056">
          <cell r="A12056"/>
          <cell r="B12056"/>
          <cell r="C12056"/>
          <cell r="D12056"/>
          <cell r="E12056"/>
        </row>
        <row r="12057">
          <cell r="A12057"/>
          <cell r="B12057"/>
          <cell r="C12057"/>
          <cell r="D12057"/>
          <cell r="E12057"/>
        </row>
        <row r="12058">
          <cell r="A12058"/>
          <cell r="B12058"/>
          <cell r="C12058"/>
          <cell r="D12058"/>
          <cell r="E12058"/>
        </row>
        <row r="12059">
          <cell r="A12059"/>
          <cell r="B12059"/>
          <cell r="C12059"/>
          <cell r="D12059"/>
          <cell r="E12059"/>
        </row>
        <row r="12060">
          <cell r="A12060"/>
          <cell r="B12060"/>
          <cell r="C12060"/>
          <cell r="D12060"/>
          <cell r="E12060"/>
        </row>
        <row r="12061">
          <cell r="A12061"/>
          <cell r="B12061"/>
          <cell r="C12061"/>
          <cell r="D12061"/>
          <cell r="E12061"/>
        </row>
        <row r="12062">
          <cell r="A12062"/>
          <cell r="B12062"/>
          <cell r="C12062"/>
          <cell r="D12062"/>
          <cell r="E12062"/>
        </row>
        <row r="12063">
          <cell r="A12063"/>
          <cell r="B12063"/>
          <cell r="C12063"/>
          <cell r="D12063"/>
          <cell r="E12063"/>
        </row>
        <row r="12064">
          <cell r="A12064"/>
          <cell r="B12064"/>
          <cell r="C12064"/>
          <cell r="D12064"/>
          <cell r="E12064"/>
        </row>
        <row r="12065">
          <cell r="A12065"/>
          <cell r="B12065"/>
          <cell r="C12065"/>
          <cell r="D12065"/>
          <cell r="E12065"/>
        </row>
        <row r="12066">
          <cell r="A12066"/>
          <cell r="B12066"/>
          <cell r="C12066"/>
          <cell r="D12066"/>
          <cell r="E12066"/>
        </row>
        <row r="12067">
          <cell r="A12067"/>
          <cell r="B12067"/>
          <cell r="C12067"/>
          <cell r="D12067"/>
          <cell r="E12067"/>
        </row>
        <row r="12068">
          <cell r="A12068"/>
          <cell r="B12068"/>
          <cell r="C12068"/>
          <cell r="D12068"/>
          <cell r="E12068"/>
        </row>
        <row r="12069">
          <cell r="A12069"/>
          <cell r="B12069"/>
          <cell r="C12069"/>
          <cell r="D12069"/>
          <cell r="E12069"/>
        </row>
        <row r="12070">
          <cell r="A12070"/>
          <cell r="B12070"/>
          <cell r="C12070"/>
          <cell r="D12070"/>
          <cell r="E12070"/>
        </row>
        <row r="12071">
          <cell r="A12071"/>
          <cell r="B12071"/>
          <cell r="C12071"/>
          <cell r="D12071"/>
          <cell r="E12071"/>
        </row>
        <row r="12072">
          <cell r="A12072"/>
          <cell r="B12072"/>
          <cell r="C12072"/>
          <cell r="D12072"/>
          <cell r="E12072"/>
        </row>
        <row r="12073">
          <cell r="A12073"/>
          <cell r="B12073"/>
          <cell r="C12073"/>
          <cell r="D12073"/>
          <cell r="E12073"/>
        </row>
        <row r="12074">
          <cell r="A12074"/>
          <cell r="B12074"/>
          <cell r="C12074"/>
          <cell r="D12074"/>
          <cell r="E12074"/>
        </row>
        <row r="12075">
          <cell r="A12075"/>
          <cell r="B12075"/>
          <cell r="C12075"/>
          <cell r="D12075"/>
          <cell r="E12075"/>
        </row>
        <row r="12076">
          <cell r="A12076"/>
          <cell r="B12076"/>
          <cell r="C12076"/>
          <cell r="D12076"/>
          <cell r="E12076"/>
        </row>
        <row r="12077">
          <cell r="A12077"/>
          <cell r="B12077"/>
          <cell r="C12077"/>
          <cell r="D12077"/>
          <cell r="E12077"/>
        </row>
        <row r="12078">
          <cell r="A12078"/>
          <cell r="B12078"/>
          <cell r="C12078"/>
          <cell r="D12078"/>
          <cell r="E12078"/>
        </row>
        <row r="12079">
          <cell r="A12079"/>
          <cell r="B12079"/>
          <cell r="C12079"/>
          <cell r="D12079"/>
          <cell r="E12079"/>
        </row>
        <row r="12080">
          <cell r="A12080"/>
          <cell r="B12080"/>
          <cell r="C12080"/>
          <cell r="D12080"/>
          <cell r="E12080"/>
        </row>
        <row r="12081">
          <cell r="A12081"/>
          <cell r="B12081"/>
          <cell r="C12081"/>
          <cell r="D12081"/>
          <cell r="E12081"/>
        </row>
        <row r="12082">
          <cell r="A12082"/>
          <cell r="B12082"/>
          <cell r="C12082"/>
          <cell r="D12082"/>
          <cell r="E12082"/>
        </row>
        <row r="12083">
          <cell r="A12083"/>
          <cell r="B12083"/>
          <cell r="C12083"/>
          <cell r="D12083"/>
          <cell r="E12083"/>
        </row>
        <row r="12084">
          <cell r="A12084"/>
          <cell r="B12084"/>
          <cell r="C12084"/>
          <cell r="D12084"/>
          <cell r="E12084"/>
        </row>
        <row r="12085">
          <cell r="A12085"/>
          <cell r="B12085"/>
          <cell r="C12085"/>
          <cell r="D12085"/>
          <cell r="E12085"/>
        </row>
        <row r="12086">
          <cell r="A12086"/>
          <cell r="B12086"/>
          <cell r="C12086"/>
          <cell r="D12086"/>
          <cell r="E12086"/>
        </row>
        <row r="12087">
          <cell r="A12087"/>
          <cell r="B12087"/>
          <cell r="C12087"/>
          <cell r="D12087"/>
          <cell r="E12087"/>
        </row>
        <row r="12088">
          <cell r="A12088"/>
          <cell r="B12088"/>
          <cell r="C12088"/>
          <cell r="D12088"/>
          <cell r="E12088"/>
        </row>
        <row r="12089">
          <cell r="A12089"/>
          <cell r="B12089"/>
          <cell r="C12089"/>
          <cell r="D12089"/>
          <cell r="E12089"/>
        </row>
        <row r="12090">
          <cell r="A12090"/>
          <cell r="B12090"/>
          <cell r="C12090"/>
          <cell r="D12090"/>
          <cell r="E12090"/>
        </row>
        <row r="12091">
          <cell r="A12091"/>
          <cell r="B12091"/>
          <cell r="C12091"/>
          <cell r="D12091"/>
          <cell r="E12091"/>
        </row>
        <row r="12092">
          <cell r="A12092"/>
          <cell r="B12092"/>
          <cell r="C12092"/>
          <cell r="D12092"/>
          <cell r="E12092"/>
        </row>
        <row r="12093">
          <cell r="A12093"/>
          <cell r="B12093"/>
          <cell r="C12093"/>
          <cell r="D12093"/>
          <cell r="E12093"/>
        </row>
        <row r="12094">
          <cell r="A12094"/>
          <cell r="B12094"/>
          <cell r="C12094"/>
          <cell r="D12094"/>
          <cell r="E12094"/>
        </row>
        <row r="12095">
          <cell r="A12095"/>
          <cell r="B12095"/>
          <cell r="C12095"/>
          <cell r="D12095"/>
          <cell r="E12095"/>
        </row>
        <row r="12096">
          <cell r="A12096"/>
          <cell r="B12096"/>
          <cell r="C12096"/>
          <cell r="D12096"/>
          <cell r="E12096"/>
        </row>
        <row r="12097">
          <cell r="A12097"/>
          <cell r="B12097"/>
          <cell r="C12097"/>
          <cell r="D12097"/>
          <cell r="E12097"/>
        </row>
        <row r="12098">
          <cell r="A12098"/>
          <cell r="B12098"/>
          <cell r="C12098"/>
          <cell r="D12098"/>
          <cell r="E12098"/>
        </row>
        <row r="12099">
          <cell r="A12099"/>
          <cell r="B12099"/>
          <cell r="C12099"/>
          <cell r="D12099"/>
          <cell r="E12099"/>
        </row>
        <row r="12100">
          <cell r="A12100"/>
          <cell r="B12100"/>
          <cell r="C12100"/>
          <cell r="D12100"/>
          <cell r="E12100"/>
        </row>
        <row r="12101">
          <cell r="A12101"/>
          <cell r="B12101"/>
          <cell r="C12101"/>
          <cell r="D12101"/>
          <cell r="E12101"/>
        </row>
        <row r="12102">
          <cell r="A12102"/>
          <cell r="B12102"/>
          <cell r="C12102"/>
          <cell r="D12102"/>
          <cell r="E12102"/>
        </row>
        <row r="12103">
          <cell r="A12103"/>
          <cell r="B12103"/>
          <cell r="C12103"/>
          <cell r="D12103"/>
          <cell r="E12103"/>
        </row>
        <row r="12104">
          <cell r="A12104"/>
          <cell r="B12104"/>
          <cell r="C12104"/>
          <cell r="D12104"/>
          <cell r="E12104"/>
        </row>
        <row r="12105">
          <cell r="A12105"/>
          <cell r="B12105"/>
          <cell r="C12105"/>
          <cell r="D12105"/>
          <cell r="E12105"/>
        </row>
        <row r="12106">
          <cell r="A12106"/>
          <cell r="B12106"/>
          <cell r="C12106"/>
          <cell r="D12106"/>
          <cell r="E12106"/>
        </row>
        <row r="12107">
          <cell r="A12107"/>
          <cell r="B12107"/>
          <cell r="C12107"/>
          <cell r="D12107"/>
          <cell r="E12107"/>
        </row>
        <row r="12108">
          <cell r="A12108"/>
          <cell r="B12108"/>
          <cell r="C12108"/>
          <cell r="D12108"/>
          <cell r="E12108"/>
        </row>
        <row r="12109">
          <cell r="A12109"/>
          <cell r="B12109"/>
          <cell r="C12109"/>
          <cell r="D12109"/>
          <cell r="E12109"/>
        </row>
        <row r="12110">
          <cell r="A12110"/>
          <cell r="B12110"/>
          <cell r="C12110"/>
          <cell r="D12110"/>
          <cell r="E12110"/>
        </row>
        <row r="12111">
          <cell r="A12111"/>
          <cell r="B12111"/>
          <cell r="C12111"/>
          <cell r="D12111"/>
          <cell r="E12111"/>
        </row>
        <row r="12112">
          <cell r="A12112"/>
          <cell r="B12112"/>
          <cell r="C12112"/>
          <cell r="D12112"/>
          <cell r="E12112"/>
        </row>
        <row r="12113">
          <cell r="A12113"/>
          <cell r="B12113"/>
          <cell r="C12113"/>
          <cell r="D12113"/>
          <cell r="E12113"/>
        </row>
        <row r="12114">
          <cell r="A12114"/>
          <cell r="B12114"/>
          <cell r="C12114"/>
          <cell r="D12114"/>
          <cell r="E12114"/>
        </row>
        <row r="12115">
          <cell r="A12115"/>
          <cell r="B12115"/>
          <cell r="C12115"/>
          <cell r="D12115"/>
          <cell r="E12115"/>
        </row>
        <row r="12116">
          <cell r="A12116"/>
          <cell r="B12116"/>
          <cell r="C12116"/>
          <cell r="D12116"/>
          <cell r="E12116"/>
        </row>
        <row r="12117">
          <cell r="A12117"/>
          <cell r="B12117"/>
          <cell r="C12117"/>
          <cell r="D12117"/>
          <cell r="E12117"/>
        </row>
        <row r="12118">
          <cell r="A12118"/>
          <cell r="B12118"/>
          <cell r="C12118"/>
          <cell r="D12118"/>
          <cell r="E12118"/>
        </row>
        <row r="12119">
          <cell r="A12119"/>
          <cell r="B12119"/>
          <cell r="C12119"/>
          <cell r="D12119"/>
          <cell r="E12119"/>
        </row>
        <row r="12120">
          <cell r="A12120"/>
          <cell r="B12120"/>
          <cell r="C12120"/>
          <cell r="D12120"/>
          <cell r="E12120"/>
        </row>
        <row r="12121">
          <cell r="A12121"/>
          <cell r="B12121"/>
          <cell r="C12121"/>
          <cell r="D12121"/>
          <cell r="E12121"/>
        </row>
        <row r="12122">
          <cell r="A12122"/>
          <cell r="B12122"/>
          <cell r="C12122"/>
          <cell r="D12122"/>
          <cell r="E12122"/>
        </row>
        <row r="12123">
          <cell r="A12123"/>
          <cell r="B12123"/>
          <cell r="C12123"/>
          <cell r="D12123"/>
          <cell r="E12123"/>
        </row>
        <row r="12124">
          <cell r="A12124"/>
          <cell r="B12124"/>
          <cell r="C12124"/>
          <cell r="D12124"/>
          <cell r="E12124"/>
        </row>
        <row r="12125">
          <cell r="A12125"/>
          <cell r="B12125"/>
          <cell r="C12125"/>
          <cell r="D12125"/>
          <cell r="E12125"/>
        </row>
        <row r="12126">
          <cell r="A12126"/>
          <cell r="B12126"/>
          <cell r="C12126"/>
          <cell r="D12126"/>
          <cell r="E12126"/>
        </row>
        <row r="12127">
          <cell r="A12127"/>
          <cell r="B12127"/>
          <cell r="C12127"/>
          <cell r="D12127"/>
          <cell r="E12127"/>
        </row>
        <row r="12128">
          <cell r="A12128"/>
          <cell r="B12128"/>
          <cell r="C12128"/>
          <cell r="D12128"/>
          <cell r="E12128"/>
        </row>
        <row r="12129">
          <cell r="A12129"/>
          <cell r="B12129"/>
          <cell r="C12129"/>
          <cell r="D12129"/>
          <cell r="E12129"/>
        </row>
        <row r="12130">
          <cell r="A12130"/>
          <cell r="B12130"/>
          <cell r="C12130"/>
          <cell r="D12130"/>
          <cell r="E12130"/>
        </row>
        <row r="12131">
          <cell r="A12131"/>
          <cell r="B12131"/>
          <cell r="C12131"/>
          <cell r="D12131"/>
          <cell r="E12131"/>
        </row>
        <row r="12132">
          <cell r="A12132"/>
          <cell r="B12132"/>
          <cell r="C12132"/>
          <cell r="D12132"/>
          <cell r="E12132"/>
        </row>
        <row r="12133">
          <cell r="A12133"/>
          <cell r="B12133"/>
          <cell r="C12133"/>
          <cell r="D12133"/>
          <cell r="E12133"/>
        </row>
        <row r="12134">
          <cell r="A12134"/>
          <cell r="B12134"/>
          <cell r="C12134"/>
          <cell r="D12134"/>
          <cell r="E12134"/>
        </row>
        <row r="12135">
          <cell r="A12135"/>
          <cell r="B12135"/>
          <cell r="C12135"/>
          <cell r="D12135"/>
          <cell r="E12135"/>
        </row>
        <row r="12136">
          <cell r="A12136"/>
          <cell r="B12136"/>
          <cell r="C12136"/>
          <cell r="D12136"/>
          <cell r="E12136"/>
        </row>
        <row r="12137">
          <cell r="A12137"/>
          <cell r="B12137"/>
          <cell r="C12137"/>
          <cell r="D12137"/>
          <cell r="E12137"/>
        </row>
        <row r="12138">
          <cell r="A12138"/>
          <cell r="B12138"/>
          <cell r="C12138"/>
          <cell r="D12138"/>
          <cell r="E12138"/>
        </row>
        <row r="12139">
          <cell r="A12139"/>
          <cell r="B12139"/>
          <cell r="C12139"/>
          <cell r="D12139"/>
          <cell r="E12139"/>
        </row>
        <row r="12140">
          <cell r="A12140"/>
          <cell r="B12140"/>
          <cell r="C12140"/>
          <cell r="D12140"/>
          <cell r="E12140"/>
        </row>
        <row r="12141">
          <cell r="A12141"/>
          <cell r="B12141"/>
          <cell r="C12141"/>
          <cell r="D12141"/>
          <cell r="E12141"/>
        </row>
        <row r="12142">
          <cell r="A12142"/>
          <cell r="B12142"/>
          <cell r="C12142"/>
          <cell r="D12142"/>
          <cell r="E12142"/>
        </row>
        <row r="12143">
          <cell r="A12143"/>
          <cell r="B12143"/>
          <cell r="C12143"/>
          <cell r="D12143"/>
          <cell r="E12143"/>
        </row>
        <row r="12144">
          <cell r="A12144"/>
          <cell r="B12144"/>
          <cell r="C12144"/>
          <cell r="D12144"/>
          <cell r="E12144"/>
        </row>
        <row r="12145">
          <cell r="A12145"/>
          <cell r="B12145"/>
          <cell r="C12145"/>
          <cell r="D12145"/>
          <cell r="E12145"/>
        </row>
        <row r="12146">
          <cell r="A12146"/>
          <cell r="B12146"/>
          <cell r="C12146"/>
          <cell r="D12146"/>
          <cell r="E12146"/>
        </row>
        <row r="12147">
          <cell r="A12147"/>
          <cell r="B12147"/>
          <cell r="C12147"/>
          <cell r="D12147"/>
          <cell r="E12147"/>
        </row>
        <row r="12148">
          <cell r="A12148"/>
          <cell r="B12148"/>
          <cell r="C12148"/>
          <cell r="D12148"/>
          <cell r="E12148"/>
        </row>
        <row r="12149">
          <cell r="A12149"/>
          <cell r="B12149"/>
          <cell r="C12149"/>
          <cell r="D12149"/>
          <cell r="E12149"/>
        </row>
        <row r="12150">
          <cell r="A12150"/>
          <cell r="B12150"/>
          <cell r="C12150"/>
          <cell r="D12150"/>
          <cell r="E12150"/>
        </row>
        <row r="12151">
          <cell r="A12151"/>
          <cell r="B12151"/>
          <cell r="C12151"/>
          <cell r="D12151"/>
          <cell r="E12151"/>
        </row>
        <row r="12152">
          <cell r="A12152"/>
          <cell r="B12152"/>
          <cell r="C12152"/>
          <cell r="D12152"/>
          <cell r="E12152"/>
        </row>
        <row r="12153">
          <cell r="A12153"/>
          <cell r="B12153"/>
          <cell r="C12153"/>
          <cell r="D12153"/>
          <cell r="E12153"/>
        </row>
        <row r="12154">
          <cell r="A12154"/>
          <cell r="B12154"/>
          <cell r="C12154"/>
          <cell r="D12154"/>
          <cell r="E12154"/>
        </row>
        <row r="12155">
          <cell r="A12155"/>
          <cell r="B12155"/>
          <cell r="C12155"/>
          <cell r="D12155"/>
          <cell r="E12155"/>
        </row>
        <row r="12156">
          <cell r="A12156"/>
          <cell r="B12156"/>
          <cell r="C12156"/>
          <cell r="D12156"/>
          <cell r="E12156"/>
        </row>
        <row r="12157">
          <cell r="A12157"/>
          <cell r="B12157"/>
          <cell r="C12157"/>
          <cell r="D12157"/>
          <cell r="E12157"/>
        </row>
        <row r="12158">
          <cell r="A12158"/>
          <cell r="B12158"/>
          <cell r="C12158"/>
          <cell r="D12158"/>
          <cell r="E12158"/>
        </row>
        <row r="12159">
          <cell r="A12159"/>
          <cell r="B12159"/>
          <cell r="C12159"/>
          <cell r="D12159"/>
          <cell r="E12159"/>
        </row>
        <row r="12160">
          <cell r="A12160"/>
          <cell r="B12160"/>
          <cell r="C12160"/>
          <cell r="D12160"/>
          <cell r="E12160"/>
        </row>
        <row r="12161">
          <cell r="A12161"/>
          <cell r="B12161"/>
          <cell r="C12161"/>
          <cell r="D12161"/>
          <cell r="E12161"/>
        </row>
        <row r="12162">
          <cell r="A12162"/>
          <cell r="B12162"/>
          <cell r="C12162"/>
          <cell r="D12162"/>
          <cell r="E12162"/>
        </row>
        <row r="12163">
          <cell r="A12163"/>
          <cell r="B12163"/>
          <cell r="C12163"/>
          <cell r="D12163"/>
          <cell r="E12163"/>
        </row>
        <row r="12164">
          <cell r="A12164"/>
          <cell r="B12164"/>
          <cell r="C12164"/>
          <cell r="D12164"/>
          <cell r="E12164"/>
        </row>
        <row r="12165">
          <cell r="A12165"/>
          <cell r="B12165"/>
          <cell r="C12165"/>
          <cell r="D12165"/>
          <cell r="E12165"/>
        </row>
        <row r="12166">
          <cell r="A12166"/>
          <cell r="B12166"/>
          <cell r="C12166"/>
          <cell r="D12166"/>
          <cell r="E12166"/>
        </row>
        <row r="12167">
          <cell r="A12167"/>
          <cell r="B12167"/>
          <cell r="C12167"/>
          <cell r="D12167"/>
          <cell r="E12167"/>
        </row>
        <row r="12168">
          <cell r="A12168"/>
          <cell r="B12168"/>
          <cell r="C12168"/>
          <cell r="D12168"/>
          <cell r="E12168"/>
        </row>
        <row r="12169">
          <cell r="A12169"/>
          <cell r="B12169"/>
          <cell r="C12169"/>
          <cell r="D12169"/>
          <cell r="E12169"/>
        </row>
        <row r="12170">
          <cell r="A12170"/>
          <cell r="B12170"/>
          <cell r="C12170"/>
          <cell r="D12170"/>
          <cell r="E12170"/>
        </row>
        <row r="12171">
          <cell r="A12171"/>
          <cell r="B12171"/>
          <cell r="C12171"/>
          <cell r="D12171"/>
          <cell r="E12171"/>
        </row>
        <row r="12172">
          <cell r="A12172"/>
          <cell r="B12172"/>
          <cell r="C12172"/>
          <cell r="D12172"/>
          <cell r="E12172"/>
        </row>
        <row r="12173">
          <cell r="A12173"/>
          <cell r="B12173"/>
          <cell r="C12173"/>
          <cell r="D12173"/>
          <cell r="E12173"/>
        </row>
        <row r="12174">
          <cell r="A12174"/>
          <cell r="B12174"/>
          <cell r="C12174"/>
          <cell r="D12174"/>
          <cell r="E12174"/>
        </row>
        <row r="12175">
          <cell r="A12175"/>
          <cell r="B12175"/>
          <cell r="C12175"/>
          <cell r="D12175"/>
          <cell r="E12175"/>
        </row>
        <row r="12176">
          <cell r="A12176"/>
          <cell r="B12176"/>
          <cell r="C12176"/>
          <cell r="D12176"/>
          <cell r="E12176"/>
        </row>
        <row r="12177">
          <cell r="A12177"/>
          <cell r="B12177"/>
          <cell r="C12177"/>
          <cell r="D12177"/>
          <cell r="E12177"/>
        </row>
        <row r="12178">
          <cell r="A12178"/>
          <cell r="B12178"/>
          <cell r="C12178"/>
          <cell r="D12178"/>
          <cell r="E12178"/>
        </row>
        <row r="12179">
          <cell r="A12179"/>
          <cell r="B12179"/>
          <cell r="C12179"/>
          <cell r="D12179"/>
          <cell r="E12179"/>
        </row>
        <row r="12180">
          <cell r="A12180"/>
          <cell r="B12180"/>
          <cell r="C12180"/>
          <cell r="D12180"/>
          <cell r="E12180"/>
        </row>
        <row r="12181">
          <cell r="A12181"/>
          <cell r="B12181"/>
          <cell r="C12181"/>
          <cell r="D12181"/>
          <cell r="E12181"/>
        </row>
        <row r="12182">
          <cell r="A12182"/>
          <cell r="B12182"/>
          <cell r="C12182"/>
          <cell r="D12182"/>
          <cell r="E12182"/>
        </row>
        <row r="12183">
          <cell r="A12183"/>
          <cell r="B12183"/>
          <cell r="C12183"/>
          <cell r="D12183"/>
          <cell r="E12183"/>
        </row>
        <row r="12184">
          <cell r="A12184"/>
          <cell r="B12184"/>
          <cell r="C12184"/>
          <cell r="D12184"/>
          <cell r="E12184"/>
        </row>
        <row r="12185">
          <cell r="A12185"/>
          <cell r="B12185"/>
          <cell r="C12185"/>
          <cell r="D12185"/>
          <cell r="E12185"/>
        </row>
        <row r="12186">
          <cell r="A12186"/>
          <cell r="B12186"/>
          <cell r="C12186"/>
          <cell r="D12186"/>
          <cell r="E12186"/>
        </row>
        <row r="12187">
          <cell r="A12187"/>
          <cell r="B12187"/>
          <cell r="C12187"/>
          <cell r="D12187"/>
          <cell r="E12187"/>
        </row>
        <row r="12188">
          <cell r="A12188"/>
          <cell r="B12188"/>
          <cell r="C12188"/>
          <cell r="D12188"/>
          <cell r="E12188"/>
        </row>
        <row r="12189">
          <cell r="A12189"/>
          <cell r="B12189"/>
          <cell r="C12189"/>
          <cell r="D12189"/>
          <cell r="E12189"/>
        </row>
        <row r="12190">
          <cell r="A12190"/>
          <cell r="B12190"/>
          <cell r="C12190"/>
          <cell r="D12190"/>
          <cell r="E12190"/>
        </row>
        <row r="12191">
          <cell r="A12191"/>
          <cell r="B12191"/>
          <cell r="C12191"/>
          <cell r="D12191"/>
          <cell r="E12191"/>
        </row>
        <row r="12192">
          <cell r="A12192"/>
          <cell r="B12192"/>
          <cell r="C12192"/>
          <cell r="D12192"/>
          <cell r="E12192"/>
        </row>
        <row r="12193">
          <cell r="A12193"/>
          <cell r="B12193"/>
          <cell r="C12193"/>
          <cell r="D12193"/>
          <cell r="E12193"/>
        </row>
        <row r="12194">
          <cell r="A12194"/>
          <cell r="B12194"/>
          <cell r="C12194"/>
          <cell r="D12194"/>
          <cell r="E12194"/>
        </row>
        <row r="12195">
          <cell r="A12195"/>
          <cell r="B12195"/>
          <cell r="C12195"/>
          <cell r="D12195"/>
          <cell r="E12195"/>
        </row>
        <row r="12196">
          <cell r="A12196"/>
          <cell r="B12196"/>
          <cell r="C12196"/>
          <cell r="D12196"/>
          <cell r="E12196"/>
        </row>
        <row r="12197">
          <cell r="A12197"/>
          <cell r="B12197"/>
          <cell r="C12197"/>
          <cell r="D12197"/>
          <cell r="E12197"/>
        </row>
        <row r="12198">
          <cell r="A12198"/>
          <cell r="B12198"/>
          <cell r="C12198"/>
          <cell r="D12198"/>
          <cell r="E12198"/>
        </row>
        <row r="12199">
          <cell r="A12199"/>
          <cell r="B12199"/>
          <cell r="C12199"/>
          <cell r="D12199"/>
          <cell r="E12199"/>
        </row>
        <row r="12200">
          <cell r="A12200"/>
          <cell r="B12200"/>
          <cell r="C12200"/>
          <cell r="D12200"/>
          <cell r="E12200"/>
        </row>
        <row r="12201">
          <cell r="A12201"/>
          <cell r="B12201"/>
          <cell r="C12201"/>
          <cell r="D12201"/>
          <cell r="E12201"/>
        </row>
        <row r="12202">
          <cell r="A12202"/>
          <cell r="B12202"/>
          <cell r="C12202"/>
          <cell r="D12202"/>
          <cell r="E12202"/>
        </row>
        <row r="12203">
          <cell r="A12203"/>
          <cell r="B12203"/>
          <cell r="C12203"/>
          <cell r="D12203"/>
          <cell r="E12203"/>
        </row>
        <row r="12204">
          <cell r="A12204"/>
          <cell r="B12204"/>
          <cell r="C12204"/>
          <cell r="D12204"/>
          <cell r="E12204"/>
        </row>
        <row r="12205">
          <cell r="A12205"/>
          <cell r="B12205"/>
          <cell r="C12205"/>
          <cell r="D12205"/>
          <cell r="E12205"/>
        </row>
        <row r="12206">
          <cell r="A12206"/>
          <cell r="B12206"/>
          <cell r="C12206"/>
          <cell r="D12206"/>
          <cell r="E12206"/>
        </row>
        <row r="12207">
          <cell r="A12207"/>
          <cell r="B12207"/>
          <cell r="C12207"/>
          <cell r="D12207"/>
          <cell r="E12207"/>
        </row>
        <row r="12208">
          <cell r="A12208"/>
          <cell r="B12208"/>
          <cell r="C12208"/>
          <cell r="D12208"/>
          <cell r="E12208"/>
        </row>
        <row r="12209">
          <cell r="A12209"/>
          <cell r="B12209"/>
          <cell r="C12209"/>
          <cell r="D12209"/>
          <cell r="E12209"/>
        </row>
        <row r="12210">
          <cell r="A12210"/>
          <cell r="B12210"/>
          <cell r="C12210"/>
          <cell r="D12210"/>
          <cell r="E12210"/>
        </row>
        <row r="12211">
          <cell r="A12211"/>
          <cell r="B12211"/>
          <cell r="C12211"/>
          <cell r="D12211"/>
          <cell r="E12211"/>
        </row>
        <row r="12212">
          <cell r="A12212"/>
          <cell r="B12212"/>
          <cell r="C12212"/>
          <cell r="D12212"/>
          <cell r="E12212"/>
        </row>
        <row r="12213">
          <cell r="A12213"/>
          <cell r="B12213"/>
          <cell r="C12213"/>
          <cell r="D12213"/>
          <cell r="E12213"/>
        </row>
        <row r="12214">
          <cell r="A12214"/>
          <cell r="B12214"/>
          <cell r="C12214"/>
          <cell r="D12214"/>
          <cell r="E12214"/>
        </row>
        <row r="12215">
          <cell r="A12215"/>
          <cell r="B12215"/>
          <cell r="C12215"/>
          <cell r="D12215"/>
          <cell r="E12215"/>
        </row>
        <row r="12216">
          <cell r="A12216"/>
          <cell r="B12216"/>
          <cell r="C12216"/>
          <cell r="D12216"/>
          <cell r="E12216"/>
        </row>
        <row r="12217">
          <cell r="A12217"/>
          <cell r="B12217"/>
          <cell r="C12217"/>
          <cell r="D12217"/>
          <cell r="E12217"/>
        </row>
        <row r="12218">
          <cell r="A12218"/>
          <cell r="B12218"/>
          <cell r="C12218"/>
          <cell r="D12218"/>
          <cell r="E12218"/>
        </row>
        <row r="12219">
          <cell r="A12219"/>
          <cell r="B12219"/>
          <cell r="C12219"/>
          <cell r="D12219"/>
          <cell r="E12219"/>
        </row>
        <row r="12220">
          <cell r="A12220"/>
          <cell r="B12220"/>
          <cell r="C12220"/>
          <cell r="D12220"/>
          <cell r="E12220"/>
        </row>
        <row r="12221">
          <cell r="A12221"/>
          <cell r="B12221"/>
          <cell r="C12221"/>
          <cell r="D12221"/>
          <cell r="E12221"/>
        </row>
        <row r="12222">
          <cell r="A12222"/>
          <cell r="B12222"/>
          <cell r="C12222"/>
          <cell r="D12222"/>
          <cell r="E12222"/>
        </row>
        <row r="12223">
          <cell r="A12223"/>
          <cell r="B12223"/>
          <cell r="C12223"/>
          <cell r="D12223"/>
          <cell r="E12223"/>
        </row>
        <row r="12224">
          <cell r="A12224"/>
          <cell r="B12224"/>
          <cell r="C12224"/>
          <cell r="D12224"/>
          <cell r="E12224"/>
        </row>
        <row r="12225">
          <cell r="A12225"/>
          <cell r="B12225"/>
          <cell r="C12225"/>
          <cell r="D12225"/>
          <cell r="E12225"/>
        </row>
        <row r="12226">
          <cell r="A12226"/>
          <cell r="B12226"/>
          <cell r="C12226"/>
          <cell r="D12226"/>
          <cell r="E12226"/>
        </row>
        <row r="12227">
          <cell r="A12227"/>
          <cell r="B12227"/>
          <cell r="C12227"/>
          <cell r="D12227"/>
          <cell r="E12227"/>
        </row>
        <row r="12228">
          <cell r="A12228"/>
          <cell r="B12228"/>
          <cell r="C12228"/>
          <cell r="D12228"/>
          <cell r="E12228"/>
        </row>
        <row r="12229">
          <cell r="A12229"/>
          <cell r="B12229"/>
          <cell r="C12229"/>
          <cell r="D12229"/>
          <cell r="E12229"/>
        </row>
        <row r="12230">
          <cell r="A12230"/>
          <cell r="B12230"/>
          <cell r="C12230"/>
          <cell r="D12230"/>
          <cell r="E12230"/>
        </row>
        <row r="12231">
          <cell r="A12231"/>
          <cell r="B12231"/>
          <cell r="C12231"/>
          <cell r="D12231"/>
          <cell r="E12231"/>
        </row>
        <row r="12232">
          <cell r="A12232"/>
          <cell r="B12232"/>
          <cell r="C12232"/>
          <cell r="D12232"/>
          <cell r="E12232"/>
        </row>
        <row r="12233">
          <cell r="A12233"/>
          <cell r="B12233"/>
          <cell r="C12233"/>
          <cell r="D12233"/>
          <cell r="E12233"/>
        </row>
        <row r="12234">
          <cell r="A12234"/>
          <cell r="B12234"/>
          <cell r="C12234"/>
          <cell r="D12234"/>
          <cell r="E12234"/>
        </row>
        <row r="12235">
          <cell r="A12235"/>
          <cell r="B12235"/>
          <cell r="C12235"/>
          <cell r="D12235"/>
          <cell r="E12235"/>
        </row>
        <row r="12236">
          <cell r="A12236"/>
          <cell r="B12236"/>
          <cell r="C12236"/>
          <cell r="D12236"/>
          <cell r="E12236"/>
        </row>
        <row r="12237">
          <cell r="A12237"/>
          <cell r="B12237"/>
          <cell r="C12237"/>
          <cell r="D12237"/>
          <cell r="E12237"/>
        </row>
        <row r="12238">
          <cell r="A12238"/>
          <cell r="B12238"/>
          <cell r="C12238"/>
          <cell r="D12238"/>
          <cell r="E12238"/>
        </row>
        <row r="12239">
          <cell r="A12239"/>
          <cell r="B12239"/>
          <cell r="C12239"/>
          <cell r="D12239"/>
          <cell r="E12239"/>
        </row>
        <row r="12240">
          <cell r="A12240"/>
          <cell r="B12240"/>
          <cell r="C12240"/>
          <cell r="D12240"/>
          <cell r="E12240"/>
        </row>
        <row r="12241">
          <cell r="A12241"/>
          <cell r="B12241"/>
          <cell r="C12241"/>
          <cell r="D12241"/>
          <cell r="E12241"/>
        </row>
        <row r="12242">
          <cell r="A12242"/>
          <cell r="B12242"/>
          <cell r="C12242"/>
          <cell r="D12242"/>
          <cell r="E12242"/>
        </row>
        <row r="12243">
          <cell r="A12243"/>
          <cell r="B12243"/>
          <cell r="C12243"/>
          <cell r="D12243"/>
          <cell r="E12243"/>
        </row>
        <row r="12244">
          <cell r="A12244"/>
          <cell r="B12244"/>
          <cell r="C12244"/>
          <cell r="D12244"/>
          <cell r="E12244"/>
        </row>
        <row r="12245">
          <cell r="A12245"/>
          <cell r="B12245"/>
          <cell r="C12245"/>
          <cell r="D12245"/>
          <cell r="E12245"/>
        </row>
        <row r="12246">
          <cell r="A12246"/>
          <cell r="B12246"/>
          <cell r="C12246"/>
          <cell r="D12246"/>
          <cell r="E12246"/>
        </row>
        <row r="12247">
          <cell r="A12247"/>
          <cell r="B12247"/>
          <cell r="C12247"/>
          <cell r="D12247"/>
          <cell r="E12247"/>
        </row>
        <row r="12248">
          <cell r="A12248"/>
          <cell r="B12248"/>
          <cell r="C12248"/>
          <cell r="D12248"/>
          <cell r="E12248"/>
        </row>
        <row r="12249">
          <cell r="A12249"/>
          <cell r="B12249"/>
          <cell r="C12249"/>
          <cell r="D12249"/>
          <cell r="E12249"/>
        </row>
        <row r="12250">
          <cell r="A12250"/>
          <cell r="B12250"/>
          <cell r="C12250"/>
          <cell r="D12250"/>
          <cell r="E12250"/>
        </row>
        <row r="12251">
          <cell r="A12251"/>
          <cell r="B12251"/>
          <cell r="C12251"/>
          <cell r="D12251"/>
          <cell r="E12251"/>
        </row>
        <row r="12252">
          <cell r="A12252"/>
          <cell r="B12252"/>
          <cell r="C12252"/>
          <cell r="D12252"/>
          <cell r="E12252"/>
        </row>
        <row r="12253">
          <cell r="A12253"/>
          <cell r="B12253"/>
          <cell r="C12253"/>
          <cell r="D12253"/>
          <cell r="E12253"/>
        </row>
        <row r="12254">
          <cell r="A12254"/>
          <cell r="B12254"/>
          <cell r="C12254"/>
          <cell r="D12254"/>
          <cell r="E12254"/>
        </row>
        <row r="12255">
          <cell r="A12255"/>
          <cell r="B12255"/>
          <cell r="C12255"/>
          <cell r="D12255"/>
          <cell r="E12255"/>
        </row>
        <row r="12256">
          <cell r="A12256"/>
          <cell r="B12256"/>
          <cell r="C12256"/>
          <cell r="D12256"/>
          <cell r="E12256"/>
        </row>
        <row r="12257">
          <cell r="A12257"/>
          <cell r="B12257"/>
          <cell r="C12257"/>
          <cell r="D12257"/>
          <cell r="E12257"/>
        </row>
        <row r="12258">
          <cell r="A12258"/>
          <cell r="B12258"/>
          <cell r="C12258"/>
          <cell r="D12258"/>
          <cell r="E12258"/>
        </row>
        <row r="12259">
          <cell r="A12259"/>
          <cell r="B12259"/>
          <cell r="C12259"/>
          <cell r="D12259"/>
          <cell r="E12259"/>
        </row>
        <row r="12260">
          <cell r="A12260"/>
          <cell r="B12260"/>
          <cell r="C12260"/>
          <cell r="D12260"/>
          <cell r="E12260"/>
        </row>
        <row r="12261">
          <cell r="A12261"/>
          <cell r="B12261"/>
          <cell r="C12261"/>
          <cell r="D12261"/>
          <cell r="E12261"/>
        </row>
        <row r="12262">
          <cell r="A12262"/>
          <cell r="B12262"/>
          <cell r="C12262"/>
          <cell r="D12262"/>
          <cell r="E12262"/>
        </row>
        <row r="12263">
          <cell r="A12263"/>
          <cell r="B12263"/>
          <cell r="C12263"/>
          <cell r="D12263"/>
          <cell r="E12263"/>
        </row>
        <row r="12264">
          <cell r="A12264"/>
          <cell r="B12264"/>
          <cell r="C12264"/>
          <cell r="D12264"/>
          <cell r="E12264"/>
        </row>
        <row r="12265">
          <cell r="A12265"/>
          <cell r="B12265"/>
          <cell r="C12265"/>
          <cell r="D12265"/>
          <cell r="E12265"/>
        </row>
        <row r="12266">
          <cell r="A12266"/>
          <cell r="B12266"/>
          <cell r="C12266"/>
          <cell r="D12266"/>
          <cell r="E12266"/>
        </row>
        <row r="12267">
          <cell r="A12267"/>
          <cell r="B12267"/>
          <cell r="C12267"/>
          <cell r="D12267"/>
          <cell r="E12267"/>
        </row>
        <row r="12268">
          <cell r="A12268"/>
          <cell r="B12268"/>
          <cell r="C12268"/>
          <cell r="D12268"/>
          <cell r="E12268"/>
        </row>
        <row r="12269">
          <cell r="A12269"/>
          <cell r="B12269"/>
          <cell r="C12269"/>
          <cell r="D12269"/>
          <cell r="E12269"/>
        </row>
        <row r="12270">
          <cell r="A12270"/>
          <cell r="B12270"/>
          <cell r="C12270"/>
          <cell r="D12270"/>
          <cell r="E12270"/>
        </row>
        <row r="12271">
          <cell r="A12271"/>
          <cell r="B12271"/>
          <cell r="C12271"/>
          <cell r="D12271"/>
          <cell r="E12271"/>
        </row>
        <row r="12272">
          <cell r="A12272"/>
          <cell r="B12272"/>
          <cell r="C12272"/>
          <cell r="D12272"/>
          <cell r="E12272"/>
        </row>
        <row r="12273">
          <cell r="A12273"/>
          <cell r="B12273"/>
          <cell r="C12273"/>
          <cell r="D12273"/>
          <cell r="E12273"/>
        </row>
        <row r="12274">
          <cell r="A12274"/>
          <cell r="B12274"/>
          <cell r="C12274"/>
          <cell r="D12274"/>
          <cell r="E12274"/>
        </row>
        <row r="12275">
          <cell r="A12275"/>
          <cell r="B12275"/>
          <cell r="C12275"/>
          <cell r="D12275"/>
          <cell r="E12275"/>
        </row>
        <row r="12276">
          <cell r="A12276"/>
          <cell r="B12276"/>
          <cell r="C12276"/>
          <cell r="D12276"/>
          <cell r="E12276"/>
        </row>
        <row r="12277">
          <cell r="A12277"/>
          <cell r="B12277"/>
          <cell r="C12277"/>
          <cell r="D12277"/>
          <cell r="E12277"/>
        </row>
        <row r="12278">
          <cell r="A12278"/>
          <cell r="B12278"/>
          <cell r="C12278"/>
          <cell r="D12278"/>
          <cell r="E12278"/>
        </row>
        <row r="12279">
          <cell r="A12279"/>
          <cell r="B12279"/>
          <cell r="C12279"/>
          <cell r="D12279"/>
          <cell r="E12279"/>
        </row>
        <row r="12280">
          <cell r="A12280"/>
          <cell r="B12280"/>
          <cell r="C12280"/>
          <cell r="D12280"/>
          <cell r="E12280"/>
        </row>
        <row r="12281">
          <cell r="A12281"/>
          <cell r="B12281"/>
          <cell r="C12281"/>
          <cell r="D12281"/>
          <cell r="E12281"/>
        </row>
        <row r="12282">
          <cell r="A12282"/>
          <cell r="B12282"/>
          <cell r="C12282"/>
          <cell r="D12282"/>
          <cell r="E12282"/>
        </row>
        <row r="12283">
          <cell r="A12283"/>
          <cell r="B12283"/>
          <cell r="C12283"/>
          <cell r="D12283"/>
          <cell r="E12283"/>
        </row>
        <row r="12284">
          <cell r="A12284"/>
          <cell r="B12284"/>
          <cell r="C12284"/>
          <cell r="D12284"/>
          <cell r="E12284"/>
        </row>
        <row r="12285">
          <cell r="A12285"/>
          <cell r="B12285"/>
          <cell r="C12285"/>
          <cell r="D12285"/>
          <cell r="E12285"/>
        </row>
        <row r="12286">
          <cell r="A12286"/>
          <cell r="B12286"/>
          <cell r="C12286"/>
          <cell r="D12286"/>
          <cell r="E12286"/>
        </row>
        <row r="12287">
          <cell r="A12287"/>
          <cell r="B12287"/>
          <cell r="C12287"/>
          <cell r="D12287"/>
          <cell r="E12287"/>
        </row>
        <row r="12288">
          <cell r="A12288"/>
          <cell r="B12288"/>
          <cell r="C12288"/>
          <cell r="D12288"/>
          <cell r="E12288"/>
        </row>
        <row r="12289">
          <cell r="A12289"/>
          <cell r="B12289"/>
          <cell r="C12289"/>
          <cell r="D12289"/>
          <cell r="E12289"/>
        </row>
        <row r="12290">
          <cell r="A12290"/>
          <cell r="B12290"/>
          <cell r="C12290"/>
          <cell r="D12290"/>
          <cell r="E12290"/>
        </row>
        <row r="12291">
          <cell r="A12291"/>
          <cell r="B12291"/>
          <cell r="C12291"/>
          <cell r="D12291"/>
          <cell r="E12291"/>
        </row>
        <row r="12292">
          <cell r="A12292"/>
          <cell r="B12292"/>
          <cell r="C12292"/>
          <cell r="D12292"/>
          <cell r="E12292"/>
        </row>
        <row r="12293">
          <cell r="A12293"/>
          <cell r="B12293"/>
          <cell r="C12293"/>
          <cell r="D12293"/>
          <cell r="E12293"/>
        </row>
        <row r="12294">
          <cell r="A12294"/>
          <cell r="B12294"/>
          <cell r="C12294"/>
          <cell r="D12294"/>
          <cell r="E12294"/>
        </row>
        <row r="12295">
          <cell r="A12295"/>
          <cell r="B12295"/>
          <cell r="C12295"/>
          <cell r="D12295"/>
          <cell r="E12295"/>
        </row>
        <row r="12296">
          <cell r="A12296"/>
          <cell r="B12296"/>
          <cell r="C12296"/>
          <cell r="D12296"/>
          <cell r="E12296"/>
        </row>
        <row r="12297">
          <cell r="A12297"/>
          <cell r="B12297"/>
          <cell r="C12297"/>
          <cell r="D12297"/>
          <cell r="E12297"/>
        </row>
        <row r="12298">
          <cell r="A12298"/>
          <cell r="B12298"/>
          <cell r="C12298"/>
          <cell r="D12298"/>
          <cell r="E12298"/>
        </row>
        <row r="12299">
          <cell r="A12299"/>
          <cell r="B12299"/>
          <cell r="C12299"/>
          <cell r="D12299"/>
          <cell r="E12299"/>
        </row>
        <row r="12300">
          <cell r="A12300"/>
          <cell r="B12300"/>
          <cell r="C12300"/>
          <cell r="D12300"/>
          <cell r="E12300"/>
        </row>
        <row r="12301">
          <cell r="A12301"/>
          <cell r="B12301"/>
          <cell r="C12301"/>
          <cell r="D12301"/>
          <cell r="E12301"/>
        </row>
        <row r="12302">
          <cell r="A12302"/>
          <cell r="B12302"/>
          <cell r="C12302"/>
          <cell r="D12302"/>
          <cell r="E12302"/>
        </row>
        <row r="12303">
          <cell r="A12303"/>
          <cell r="B12303"/>
          <cell r="C12303"/>
          <cell r="D12303"/>
          <cell r="E12303"/>
        </row>
        <row r="12304">
          <cell r="A12304"/>
          <cell r="B12304"/>
          <cell r="C12304"/>
          <cell r="D12304"/>
          <cell r="E12304"/>
        </row>
        <row r="12305">
          <cell r="A12305"/>
          <cell r="B12305"/>
          <cell r="C12305"/>
          <cell r="D12305"/>
          <cell r="E12305"/>
        </row>
        <row r="12306">
          <cell r="A12306"/>
          <cell r="B12306"/>
          <cell r="C12306"/>
          <cell r="D12306"/>
          <cell r="E12306"/>
        </row>
        <row r="12307">
          <cell r="A12307"/>
          <cell r="B12307"/>
          <cell r="C12307"/>
          <cell r="D12307"/>
          <cell r="E12307"/>
        </row>
        <row r="12308">
          <cell r="A12308"/>
          <cell r="B12308"/>
          <cell r="C12308"/>
          <cell r="D12308"/>
          <cell r="E12308"/>
        </row>
        <row r="12309">
          <cell r="A12309"/>
          <cell r="B12309"/>
          <cell r="C12309"/>
          <cell r="D12309"/>
          <cell r="E12309"/>
        </row>
        <row r="12310">
          <cell r="A12310"/>
          <cell r="B12310"/>
          <cell r="C12310"/>
          <cell r="D12310"/>
          <cell r="E12310"/>
        </row>
        <row r="12311">
          <cell r="A12311"/>
          <cell r="B12311"/>
          <cell r="C12311"/>
          <cell r="D12311"/>
          <cell r="E12311"/>
        </row>
        <row r="12312">
          <cell r="A12312"/>
          <cell r="B12312"/>
          <cell r="C12312"/>
          <cell r="D12312"/>
          <cell r="E12312"/>
        </row>
        <row r="12313">
          <cell r="A12313"/>
          <cell r="B12313"/>
          <cell r="C12313"/>
          <cell r="D12313"/>
          <cell r="E12313"/>
        </row>
        <row r="12314">
          <cell r="A12314"/>
          <cell r="B12314"/>
          <cell r="C12314"/>
          <cell r="D12314"/>
          <cell r="E12314"/>
        </row>
        <row r="12315">
          <cell r="A12315"/>
          <cell r="B12315"/>
          <cell r="C12315"/>
          <cell r="D12315"/>
          <cell r="E12315"/>
        </row>
        <row r="12316">
          <cell r="A12316"/>
          <cell r="B12316"/>
          <cell r="C12316"/>
          <cell r="D12316"/>
          <cell r="E12316"/>
        </row>
        <row r="12317">
          <cell r="A12317"/>
          <cell r="B12317"/>
          <cell r="C12317"/>
          <cell r="D12317"/>
          <cell r="E12317"/>
        </row>
        <row r="12318">
          <cell r="A12318"/>
          <cell r="B12318"/>
          <cell r="C12318"/>
          <cell r="D12318"/>
          <cell r="E12318"/>
        </row>
        <row r="12319">
          <cell r="A12319"/>
          <cell r="B12319"/>
          <cell r="C12319"/>
          <cell r="D12319"/>
          <cell r="E12319"/>
        </row>
        <row r="12320">
          <cell r="A12320"/>
          <cell r="B12320"/>
          <cell r="C12320"/>
          <cell r="D12320"/>
          <cell r="E12320"/>
        </row>
        <row r="12321">
          <cell r="A12321"/>
          <cell r="B12321"/>
          <cell r="C12321"/>
          <cell r="D12321"/>
          <cell r="E12321"/>
        </row>
        <row r="12322">
          <cell r="A12322"/>
          <cell r="B12322"/>
          <cell r="C12322"/>
          <cell r="D12322"/>
          <cell r="E12322"/>
        </row>
        <row r="12323">
          <cell r="A12323"/>
          <cell r="B12323"/>
          <cell r="C12323"/>
          <cell r="D12323"/>
          <cell r="E12323"/>
        </row>
        <row r="12324">
          <cell r="A12324"/>
          <cell r="B12324"/>
          <cell r="C12324"/>
          <cell r="D12324"/>
          <cell r="E12324"/>
        </row>
        <row r="12325">
          <cell r="A12325"/>
          <cell r="B12325"/>
          <cell r="C12325"/>
          <cell r="D12325"/>
          <cell r="E12325"/>
        </row>
        <row r="12326">
          <cell r="A12326"/>
          <cell r="B12326"/>
          <cell r="C12326"/>
          <cell r="D12326"/>
          <cell r="E12326"/>
        </row>
        <row r="12327">
          <cell r="A12327"/>
          <cell r="B12327"/>
          <cell r="C12327"/>
          <cell r="D12327"/>
          <cell r="E12327"/>
        </row>
        <row r="12328">
          <cell r="A12328"/>
          <cell r="B12328"/>
          <cell r="C12328"/>
          <cell r="D12328"/>
          <cell r="E12328"/>
        </row>
        <row r="12329">
          <cell r="A12329"/>
          <cell r="B12329"/>
          <cell r="C12329"/>
          <cell r="D12329"/>
          <cell r="E12329"/>
        </row>
        <row r="12330">
          <cell r="A12330"/>
          <cell r="B12330"/>
          <cell r="C12330"/>
          <cell r="D12330"/>
          <cell r="E12330"/>
        </row>
        <row r="12331">
          <cell r="A12331"/>
          <cell r="B12331"/>
          <cell r="C12331"/>
          <cell r="D12331"/>
          <cell r="E12331"/>
        </row>
        <row r="12332">
          <cell r="A12332"/>
          <cell r="B12332"/>
          <cell r="C12332"/>
          <cell r="D12332"/>
          <cell r="E12332"/>
        </row>
        <row r="12333">
          <cell r="A12333"/>
          <cell r="B12333"/>
          <cell r="C12333"/>
          <cell r="D12333"/>
          <cell r="E12333"/>
        </row>
        <row r="12334">
          <cell r="A12334"/>
          <cell r="B12334"/>
          <cell r="C12334"/>
          <cell r="D12334"/>
          <cell r="E12334"/>
        </row>
        <row r="12335">
          <cell r="A12335"/>
          <cell r="B12335"/>
          <cell r="C12335"/>
          <cell r="D12335"/>
          <cell r="E12335"/>
        </row>
        <row r="12336">
          <cell r="A12336"/>
          <cell r="B12336"/>
          <cell r="C12336"/>
          <cell r="D12336"/>
          <cell r="E12336"/>
        </row>
        <row r="12337">
          <cell r="A12337"/>
          <cell r="B12337"/>
          <cell r="C12337"/>
          <cell r="D12337"/>
          <cell r="E12337"/>
        </row>
        <row r="12338">
          <cell r="A12338"/>
          <cell r="B12338"/>
          <cell r="C12338"/>
          <cell r="D12338"/>
          <cell r="E12338"/>
        </row>
        <row r="12339">
          <cell r="A12339"/>
          <cell r="B12339"/>
          <cell r="C12339"/>
          <cell r="D12339"/>
          <cell r="E12339"/>
        </row>
        <row r="12340">
          <cell r="A12340"/>
          <cell r="B12340"/>
          <cell r="C12340"/>
          <cell r="D12340"/>
          <cell r="E12340"/>
        </row>
        <row r="12341">
          <cell r="A12341"/>
          <cell r="B12341"/>
          <cell r="C12341"/>
          <cell r="D12341"/>
          <cell r="E12341"/>
        </row>
        <row r="12342">
          <cell r="A12342"/>
          <cell r="B12342"/>
          <cell r="C12342"/>
          <cell r="D12342"/>
          <cell r="E12342"/>
        </row>
        <row r="12343">
          <cell r="A12343"/>
          <cell r="B12343"/>
          <cell r="C12343"/>
          <cell r="D12343"/>
          <cell r="E12343"/>
        </row>
        <row r="12344">
          <cell r="A12344"/>
          <cell r="B12344"/>
          <cell r="C12344"/>
          <cell r="D12344"/>
          <cell r="E12344"/>
        </row>
        <row r="12345">
          <cell r="A12345"/>
          <cell r="B12345"/>
          <cell r="C12345"/>
          <cell r="D12345"/>
          <cell r="E12345"/>
        </row>
        <row r="12346">
          <cell r="A12346"/>
          <cell r="B12346"/>
          <cell r="C12346"/>
          <cell r="D12346"/>
          <cell r="E12346"/>
        </row>
        <row r="12347">
          <cell r="A12347"/>
          <cell r="B12347"/>
          <cell r="C12347"/>
          <cell r="D12347"/>
          <cell r="E12347"/>
        </row>
        <row r="12348">
          <cell r="A12348"/>
          <cell r="B12348"/>
          <cell r="C12348"/>
          <cell r="D12348"/>
          <cell r="E12348"/>
        </row>
        <row r="12349">
          <cell r="A12349"/>
          <cell r="B12349"/>
          <cell r="C12349"/>
          <cell r="D12349"/>
          <cell r="E12349"/>
        </row>
        <row r="12350">
          <cell r="A12350"/>
          <cell r="B12350"/>
          <cell r="C12350"/>
          <cell r="D12350"/>
          <cell r="E12350"/>
        </row>
        <row r="12351">
          <cell r="A12351"/>
          <cell r="B12351"/>
          <cell r="C12351"/>
          <cell r="D12351"/>
          <cell r="E12351"/>
        </row>
        <row r="12352">
          <cell r="A12352"/>
          <cell r="B12352"/>
          <cell r="C12352"/>
          <cell r="D12352"/>
          <cell r="E12352"/>
        </row>
        <row r="12353">
          <cell r="A12353"/>
          <cell r="B12353"/>
          <cell r="C12353"/>
          <cell r="D12353"/>
          <cell r="E12353"/>
        </row>
        <row r="12354">
          <cell r="A12354"/>
          <cell r="B12354"/>
          <cell r="C12354"/>
          <cell r="D12354"/>
          <cell r="E12354"/>
        </row>
        <row r="12355">
          <cell r="A12355"/>
          <cell r="B12355"/>
          <cell r="C12355"/>
          <cell r="D12355"/>
          <cell r="E12355"/>
        </row>
        <row r="12356">
          <cell r="A12356"/>
          <cell r="B12356"/>
          <cell r="C12356"/>
          <cell r="D12356"/>
          <cell r="E12356"/>
        </row>
        <row r="12357">
          <cell r="A12357"/>
          <cell r="B12357"/>
          <cell r="C12357"/>
          <cell r="D12357"/>
          <cell r="E12357"/>
        </row>
        <row r="12358">
          <cell r="A12358"/>
          <cell r="B12358"/>
          <cell r="C12358"/>
          <cell r="D12358"/>
          <cell r="E12358"/>
        </row>
        <row r="12359">
          <cell r="A12359"/>
          <cell r="B12359"/>
          <cell r="C12359"/>
          <cell r="D12359"/>
          <cell r="E12359"/>
        </row>
        <row r="12360">
          <cell r="A12360"/>
          <cell r="B12360"/>
          <cell r="C12360"/>
          <cell r="D12360"/>
          <cell r="E12360"/>
        </row>
        <row r="12361">
          <cell r="A12361"/>
          <cell r="B12361"/>
          <cell r="C12361"/>
          <cell r="D12361"/>
          <cell r="E12361"/>
        </row>
        <row r="12362">
          <cell r="A12362"/>
          <cell r="B12362"/>
          <cell r="C12362"/>
          <cell r="D12362"/>
          <cell r="E12362"/>
        </row>
        <row r="12363">
          <cell r="A12363"/>
          <cell r="B12363"/>
          <cell r="C12363"/>
          <cell r="D12363"/>
          <cell r="E12363"/>
        </row>
        <row r="12364">
          <cell r="A12364"/>
          <cell r="B12364"/>
          <cell r="C12364"/>
          <cell r="D12364"/>
          <cell r="E12364"/>
        </row>
        <row r="12365">
          <cell r="A12365"/>
          <cell r="B12365"/>
          <cell r="C12365"/>
          <cell r="D12365"/>
          <cell r="E12365"/>
        </row>
        <row r="12366">
          <cell r="A12366"/>
          <cell r="B12366"/>
          <cell r="C12366"/>
          <cell r="D12366"/>
          <cell r="E12366"/>
        </row>
        <row r="12367">
          <cell r="A12367"/>
          <cell r="B12367"/>
          <cell r="C12367"/>
          <cell r="D12367"/>
          <cell r="E12367"/>
        </row>
        <row r="12368">
          <cell r="A12368"/>
          <cell r="B12368"/>
          <cell r="C12368"/>
          <cell r="D12368"/>
          <cell r="E12368"/>
        </row>
        <row r="12369">
          <cell r="A12369"/>
          <cell r="B12369"/>
          <cell r="C12369"/>
          <cell r="D12369"/>
          <cell r="E12369"/>
        </row>
        <row r="12370">
          <cell r="A12370"/>
          <cell r="B12370"/>
          <cell r="C12370"/>
          <cell r="D12370"/>
          <cell r="E12370"/>
        </row>
        <row r="12371">
          <cell r="A12371"/>
          <cell r="B12371"/>
          <cell r="C12371"/>
          <cell r="D12371"/>
          <cell r="E12371"/>
        </row>
        <row r="12372">
          <cell r="A12372"/>
          <cell r="B12372"/>
          <cell r="C12372"/>
          <cell r="D12372"/>
          <cell r="E12372"/>
        </row>
        <row r="12373">
          <cell r="A12373"/>
          <cell r="B12373"/>
          <cell r="C12373"/>
          <cell r="D12373"/>
          <cell r="E12373"/>
        </row>
        <row r="12374">
          <cell r="A12374"/>
          <cell r="B12374"/>
          <cell r="C12374"/>
          <cell r="D12374"/>
          <cell r="E12374"/>
        </row>
        <row r="12375">
          <cell r="A12375"/>
          <cell r="B12375"/>
          <cell r="C12375"/>
          <cell r="D12375"/>
          <cell r="E12375"/>
        </row>
        <row r="12376">
          <cell r="A12376"/>
          <cell r="B12376"/>
          <cell r="C12376"/>
          <cell r="D12376"/>
          <cell r="E12376"/>
        </row>
        <row r="12377">
          <cell r="A12377"/>
          <cell r="B12377"/>
          <cell r="C12377"/>
          <cell r="D12377"/>
          <cell r="E12377"/>
        </row>
        <row r="12378">
          <cell r="A12378"/>
          <cell r="B12378"/>
          <cell r="C12378"/>
          <cell r="D12378"/>
          <cell r="E12378"/>
        </row>
        <row r="12379">
          <cell r="A12379"/>
          <cell r="B12379"/>
          <cell r="C12379"/>
          <cell r="D12379"/>
          <cell r="E12379"/>
        </row>
        <row r="12380">
          <cell r="A12380"/>
          <cell r="B12380"/>
          <cell r="C12380"/>
          <cell r="D12380"/>
          <cell r="E12380"/>
        </row>
        <row r="12381">
          <cell r="A12381"/>
          <cell r="B12381"/>
          <cell r="C12381"/>
          <cell r="D12381"/>
          <cell r="E12381"/>
        </row>
        <row r="12382">
          <cell r="A12382"/>
          <cell r="B12382"/>
          <cell r="C12382"/>
          <cell r="D12382"/>
          <cell r="E12382"/>
        </row>
        <row r="12383">
          <cell r="A12383"/>
          <cell r="B12383"/>
          <cell r="C12383"/>
          <cell r="D12383"/>
          <cell r="E12383"/>
        </row>
        <row r="12384">
          <cell r="A12384"/>
          <cell r="B12384"/>
          <cell r="C12384"/>
          <cell r="D12384"/>
          <cell r="E12384"/>
        </row>
        <row r="12385">
          <cell r="A12385"/>
          <cell r="B12385"/>
          <cell r="C12385"/>
          <cell r="D12385"/>
          <cell r="E12385"/>
        </row>
        <row r="12386">
          <cell r="A12386"/>
          <cell r="B12386"/>
          <cell r="C12386"/>
          <cell r="D12386"/>
          <cell r="E12386"/>
        </row>
        <row r="12387">
          <cell r="A12387"/>
          <cell r="B12387"/>
          <cell r="C12387"/>
          <cell r="D12387"/>
          <cell r="E12387"/>
        </row>
        <row r="12388">
          <cell r="A12388"/>
          <cell r="B12388"/>
          <cell r="C12388"/>
          <cell r="D12388"/>
          <cell r="E12388"/>
        </row>
        <row r="12389">
          <cell r="A12389"/>
          <cell r="B12389"/>
          <cell r="C12389"/>
          <cell r="D12389"/>
          <cell r="E12389"/>
        </row>
        <row r="12390">
          <cell r="A12390"/>
          <cell r="B12390"/>
          <cell r="C12390"/>
          <cell r="D12390"/>
          <cell r="E12390"/>
        </row>
        <row r="12391">
          <cell r="A12391"/>
          <cell r="B12391"/>
          <cell r="C12391"/>
          <cell r="D12391"/>
          <cell r="E12391"/>
        </row>
        <row r="12392">
          <cell r="A12392"/>
          <cell r="B12392"/>
          <cell r="C12392"/>
          <cell r="D12392"/>
          <cell r="E12392"/>
        </row>
        <row r="12393">
          <cell r="A12393"/>
          <cell r="B12393"/>
          <cell r="C12393"/>
          <cell r="D12393"/>
          <cell r="E12393"/>
        </row>
        <row r="12394">
          <cell r="A12394"/>
          <cell r="B12394"/>
          <cell r="C12394"/>
          <cell r="D12394"/>
          <cell r="E12394"/>
        </row>
        <row r="12395">
          <cell r="A12395"/>
          <cell r="B12395"/>
          <cell r="C12395"/>
          <cell r="D12395"/>
          <cell r="E12395"/>
        </row>
        <row r="12396">
          <cell r="A12396"/>
          <cell r="B12396"/>
          <cell r="C12396"/>
          <cell r="D12396"/>
          <cell r="E12396"/>
        </row>
        <row r="12397">
          <cell r="A12397"/>
          <cell r="B12397"/>
          <cell r="C12397"/>
          <cell r="D12397"/>
          <cell r="E12397"/>
        </row>
        <row r="12398">
          <cell r="A12398"/>
          <cell r="B12398"/>
          <cell r="C12398"/>
          <cell r="D12398"/>
          <cell r="E12398"/>
        </row>
        <row r="12399">
          <cell r="A12399"/>
          <cell r="B12399"/>
          <cell r="C12399"/>
          <cell r="D12399"/>
          <cell r="E12399"/>
        </row>
        <row r="12400">
          <cell r="A12400"/>
          <cell r="B12400"/>
          <cell r="C12400"/>
          <cell r="D12400"/>
          <cell r="E12400"/>
        </row>
        <row r="12401">
          <cell r="A12401"/>
          <cell r="B12401"/>
          <cell r="C12401"/>
          <cell r="D12401"/>
          <cell r="E12401"/>
        </row>
        <row r="12402">
          <cell r="A12402"/>
          <cell r="B12402"/>
          <cell r="C12402"/>
          <cell r="D12402"/>
          <cell r="E12402"/>
        </row>
        <row r="12403">
          <cell r="A12403"/>
          <cell r="B12403"/>
          <cell r="C12403"/>
          <cell r="D12403"/>
          <cell r="E12403"/>
        </row>
        <row r="12404">
          <cell r="A12404"/>
          <cell r="B12404"/>
          <cell r="C12404"/>
          <cell r="D12404"/>
          <cell r="E12404"/>
        </row>
        <row r="12405">
          <cell r="A12405"/>
          <cell r="B12405"/>
          <cell r="C12405"/>
          <cell r="D12405"/>
          <cell r="E12405"/>
        </row>
        <row r="12406">
          <cell r="A12406"/>
          <cell r="B12406"/>
          <cell r="C12406"/>
          <cell r="D12406"/>
          <cell r="E12406"/>
        </row>
        <row r="12407">
          <cell r="A12407"/>
          <cell r="B12407"/>
          <cell r="C12407"/>
          <cell r="D12407"/>
          <cell r="E12407"/>
        </row>
        <row r="12408">
          <cell r="A12408"/>
          <cell r="B12408"/>
          <cell r="C12408"/>
          <cell r="D12408"/>
          <cell r="E12408"/>
        </row>
        <row r="12409">
          <cell r="A12409"/>
          <cell r="B12409"/>
          <cell r="C12409"/>
          <cell r="D12409"/>
          <cell r="E12409"/>
        </row>
        <row r="12410">
          <cell r="A12410"/>
          <cell r="B12410"/>
          <cell r="C12410"/>
          <cell r="D12410"/>
          <cell r="E12410"/>
        </row>
        <row r="12411">
          <cell r="A12411"/>
          <cell r="B12411"/>
          <cell r="C12411"/>
          <cell r="D12411"/>
          <cell r="E12411"/>
        </row>
        <row r="12412">
          <cell r="A12412"/>
          <cell r="B12412"/>
          <cell r="C12412"/>
          <cell r="D12412"/>
          <cell r="E12412"/>
        </row>
        <row r="12413">
          <cell r="A12413"/>
          <cell r="B12413"/>
          <cell r="C12413"/>
          <cell r="D12413"/>
          <cell r="E12413"/>
        </row>
        <row r="12414">
          <cell r="A12414"/>
          <cell r="B12414"/>
          <cell r="C12414"/>
          <cell r="D12414"/>
          <cell r="E12414"/>
        </row>
        <row r="12415">
          <cell r="A12415"/>
          <cell r="B12415"/>
          <cell r="C12415"/>
          <cell r="D12415"/>
          <cell r="E12415"/>
        </row>
        <row r="12416">
          <cell r="A12416"/>
          <cell r="B12416"/>
          <cell r="C12416"/>
          <cell r="D12416"/>
          <cell r="E12416"/>
        </row>
        <row r="12417">
          <cell r="A12417"/>
          <cell r="B12417"/>
          <cell r="C12417"/>
          <cell r="D12417"/>
          <cell r="E12417"/>
        </row>
        <row r="12418">
          <cell r="A12418"/>
          <cell r="B12418"/>
          <cell r="C12418"/>
          <cell r="D12418"/>
          <cell r="E12418"/>
        </row>
        <row r="12419">
          <cell r="A12419"/>
          <cell r="B12419"/>
          <cell r="C12419"/>
          <cell r="D12419"/>
          <cell r="E12419"/>
        </row>
        <row r="12420">
          <cell r="A12420"/>
          <cell r="B12420"/>
          <cell r="C12420"/>
          <cell r="D12420"/>
          <cell r="E12420"/>
        </row>
        <row r="12421">
          <cell r="A12421"/>
          <cell r="B12421"/>
          <cell r="C12421"/>
          <cell r="D12421"/>
          <cell r="E12421"/>
        </row>
        <row r="12422">
          <cell r="A12422"/>
          <cell r="B12422"/>
          <cell r="C12422"/>
          <cell r="D12422"/>
          <cell r="E12422"/>
        </row>
        <row r="12423">
          <cell r="A12423"/>
          <cell r="B12423"/>
          <cell r="C12423"/>
          <cell r="D12423"/>
          <cell r="E12423"/>
        </row>
        <row r="12424">
          <cell r="A12424"/>
          <cell r="B12424"/>
          <cell r="C12424"/>
          <cell r="D12424"/>
          <cell r="E12424"/>
        </row>
        <row r="12425">
          <cell r="A12425"/>
          <cell r="B12425"/>
          <cell r="C12425"/>
          <cell r="D12425"/>
          <cell r="E12425"/>
        </row>
        <row r="12426">
          <cell r="A12426"/>
          <cell r="B12426"/>
          <cell r="C12426"/>
          <cell r="D12426"/>
          <cell r="E12426"/>
        </row>
        <row r="12427">
          <cell r="A12427"/>
          <cell r="B12427"/>
          <cell r="C12427"/>
          <cell r="D12427"/>
          <cell r="E12427"/>
        </row>
        <row r="12428">
          <cell r="A12428"/>
          <cell r="B12428"/>
          <cell r="C12428"/>
          <cell r="D12428"/>
          <cell r="E12428"/>
        </row>
        <row r="12429">
          <cell r="A12429"/>
          <cell r="B12429"/>
          <cell r="C12429"/>
          <cell r="D12429"/>
          <cell r="E12429"/>
        </row>
        <row r="12430">
          <cell r="A12430"/>
          <cell r="B12430"/>
          <cell r="C12430"/>
          <cell r="D12430"/>
          <cell r="E12430"/>
        </row>
        <row r="12431">
          <cell r="A12431"/>
          <cell r="B12431"/>
          <cell r="C12431"/>
          <cell r="D12431"/>
          <cell r="E12431"/>
        </row>
        <row r="12432">
          <cell r="A12432"/>
          <cell r="B12432"/>
          <cell r="C12432"/>
          <cell r="D12432"/>
          <cell r="E12432"/>
        </row>
        <row r="12433">
          <cell r="A12433"/>
          <cell r="B12433"/>
          <cell r="C12433"/>
          <cell r="D12433"/>
          <cell r="E12433"/>
        </row>
        <row r="12434">
          <cell r="A12434"/>
          <cell r="B12434"/>
          <cell r="C12434"/>
          <cell r="D12434"/>
          <cell r="E12434"/>
        </row>
        <row r="12435">
          <cell r="A12435"/>
          <cell r="B12435"/>
          <cell r="C12435"/>
          <cell r="D12435"/>
          <cell r="E12435"/>
        </row>
        <row r="12436">
          <cell r="A12436"/>
          <cell r="B12436"/>
          <cell r="C12436"/>
          <cell r="D12436"/>
          <cell r="E12436"/>
        </row>
        <row r="12437">
          <cell r="A12437"/>
          <cell r="B12437"/>
          <cell r="C12437"/>
          <cell r="D12437"/>
          <cell r="E12437"/>
        </row>
        <row r="12438">
          <cell r="A12438"/>
          <cell r="B12438"/>
          <cell r="C12438"/>
          <cell r="D12438"/>
          <cell r="E12438"/>
        </row>
        <row r="12439">
          <cell r="A12439"/>
          <cell r="B12439"/>
          <cell r="C12439"/>
          <cell r="D12439"/>
          <cell r="E12439"/>
        </row>
        <row r="12440">
          <cell r="A12440"/>
          <cell r="B12440"/>
          <cell r="C12440"/>
          <cell r="D12440"/>
          <cell r="E12440"/>
        </row>
        <row r="12441">
          <cell r="A12441"/>
          <cell r="B12441"/>
          <cell r="C12441"/>
          <cell r="D12441"/>
          <cell r="E12441"/>
        </row>
        <row r="12442">
          <cell r="A12442"/>
          <cell r="B12442"/>
          <cell r="C12442"/>
          <cell r="D12442"/>
          <cell r="E12442"/>
        </row>
        <row r="12443">
          <cell r="A12443"/>
          <cell r="B12443"/>
          <cell r="C12443"/>
          <cell r="D12443"/>
          <cell r="E12443"/>
        </row>
        <row r="12444">
          <cell r="A12444"/>
          <cell r="B12444"/>
          <cell r="C12444"/>
          <cell r="D12444"/>
          <cell r="E12444"/>
        </row>
        <row r="12445">
          <cell r="A12445"/>
          <cell r="B12445"/>
          <cell r="C12445"/>
          <cell r="D12445"/>
          <cell r="E12445"/>
        </row>
        <row r="12446">
          <cell r="A12446"/>
          <cell r="B12446"/>
          <cell r="C12446"/>
          <cell r="D12446"/>
          <cell r="E12446"/>
        </row>
        <row r="12447">
          <cell r="A12447"/>
          <cell r="B12447"/>
          <cell r="C12447"/>
          <cell r="D12447"/>
          <cell r="E12447"/>
        </row>
        <row r="12448">
          <cell r="A12448"/>
          <cell r="B12448"/>
          <cell r="C12448"/>
          <cell r="D12448"/>
          <cell r="E12448"/>
        </row>
        <row r="12449">
          <cell r="A12449"/>
          <cell r="B12449"/>
          <cell r="C12449"/>
          <cell r="D12449"/>
          <cell r="E12449"/>
        </row>
        <row r="12450">
          <cell r="A12450"/>
          <cell r="B12450"/>
          <cell r="C12450"/>
          <cell r="D12450"/>
          <cell r="E12450"/>
        </row>
        <row r="12451">
          <cell r="A12451"/>
          <cell r="B12451"/>
          <cell r="C12451"/>
          <cell r="D12451"/>
          <cell r="E12451"/>
        </row>
        <row r="12452">
          <cell r="A12452"/>
          <cell r="B12452"/>
          <cell r="C12452"/>
          <cell r="D12452"/>
          <cell r="E12452"/>
        </row>
        <row r="12453">
          <cell r="A12453"/>
          <cell r="B12453"/>
          <cell r="C12453"/>
          <cell r="D12453"/>
          <cell r="E12453"/>
        </row>
        <row r="12454">
          <cell r="A12454"/>
          <cell r="B12454"/>
          <cell r="C12454"/>
          <cell r="D12454"/>
          <cell r="E12454"/>
        </row>
        <row r="12455">
          <cell r="A12455"/>
          <cell r="B12455"/>
          <cell r="C12455"/>
          <cell r="D12455"/>
          <cell r="E12455"/>
        </row>
        <row r="12456">
          <cell r="A12456"/>
          <cell r="B12456"/>
          <cell r="C12456"/>
          <cell r="D12456"/>
          <cell r="E12456"/>
        </row>
        <row r="12457">
          <cell r="A12457"/>
          <cell r="B12457"/>
          <cell r="C12457"/>
          <cell r="D12457"/>
          <cell r="E12457"/>
        </row>
        <row r="12458">
          <cell r="A12458"/>
          <cell r="B12458"/>
          <cell r="C12458"/>
          <cell r="D12458"/>
          <cell r="E12458"/>
        </row>
        <row r="12459">
          <cell r="A12459"/>
          <cell r="B12459"/>
          <cell r="C12459"/>
          <cell r="D12459"/>
          <cell r="E12459"/>
        </row>
        <row r="12460">
          <cell r="A12460"/>
          <cell r="B12460"/>
          <cell r="C12460"/>
          <cell r="D12460"/>
          <cell r="E12460"/>
        </row>
        <row r="12461">
          <cell r="A12461"/>
          <cell r="B12461"/>
          <cell r="C12461"/>
          <cell r="D12461"/>
          <cell r="E12461"/>
        </row>
        <row r="12462">
          <cell r="A12462"/>
          <cell r="B12462"/>
          <cell r="C12462"/>
          <cell r="D12462"/>
          <cell r="E12462"/>
        </row>
        <row r="12463">
          <cell r="A12463"/>
          <cell r="B12463"/>
          <cell r="C12463"/>
          <cell r="D12463"/>
          <cell r="E12463"/>
        </row>
        <row r="12464">
          <cell r="A12464"/>
          <cell r="B12464"/>
          <cell r="C12464"/>
          <cell r="D12464"/>
          <cell r="E12464"/>
        </row>
        <row r="12465">
          <cell r="A12465"/>
          <cell r="B12465"/>
          <cell r="C12465"/>
          <cell r="D12465"/>
          <cell r="E12465"/>
        </row>
        <row r="12466">
          <cell r="A12466"/>
          <cell r="B12466"/>
          <cell r="C12466"/>
          <cell r="D12466"/>
          <cell r="E12466"/>
        </row>
        <row r="12467">
          <cell r="A12467"/>
          <cell r="B12467"/>
          <cell r="C12467"/>
          <cell r="D12467"/>
          <cell r="E12467"/>
        </row>
        <row r="12468">
          <cell r="A12468"/>
          <cell r="B12468"/>
          <cell r="C12468"/>
          <cell r="D12468"/>
          <cell r="E12468"/>
        </row>
        <row r="12469">
          <cell r="A12469"/>
          <cell r="B12469"/>
          <cell r="C12469"/>
          <cell r="D12469"/>
          <cell r="E12469"/>
        </row>
        <row r="12470">
          <cell r="A12470"/>
          <cell r="B12470"/>
          <cell r="C12470"/>
          <cell r="D12470"/>
          <cell r="E12470"/>
        </row>
        <row r="12471">
          <cell r="A12471"/>
          <cell r="B12471"/>
          <cell r="C12471"/>
          <cell r="D12471"/>
          <cell r="E12471"/>
        </row>
        <row r="12472">
          <cell r="A12472"/>
          <cell r="B12472"/>
          <cell r="C12472"/>
          <cell r="D12472"/>
          <cell r="E12472"/>
        </row>
        <row r="12473">
          <cell r="A12473"/>
          <cell r="B12473"/>
          <cell r="C12473"/>
          <cell r="D12473"/>
          <cell r="E12473"/>
        </row>
        <row r="12474">
          <cell r="A12474"/>
          <cell r="B12474"/>
          <cell r="C12474"/>
          <cell r="D12474"/>
          <cell r="E12474"/>
        </row>
        <row r="12475">
          <cell r="A12475"/>
          <cell r="B12475"/>
          <cell r="C12475"/>
          <cell r="D12475"/>
          <cell r="E12475"/>
        </row>
        <row r="12476">
          <cell r="A12476"/>
          <cell r="B12476"/>
          <cell r="C12476"/>
          <cell r="D12476"/>
          <cell r="E12476"/>
        </row>
        <row r="12477">
          <cell r="A12477"/>
          <cell r="B12477"/>
          <cell r="C12477"/>
          <cell r="D12477"/>
          <cell r="E12477"/>
        </row>
        <row r="12478">
          <cell r="A12478"/>
          <cell r="B12478"/>
          <cell r="C12478"/>
          <cell r="D12478"/>
          <cell r="E12478"/>
        </row>
        <row r="12479">
          <cell r="A12479"/>
          <cell r="B12479"/>
          <cell r="C12479"/>
          <cell r="D12479"/>
          <cell r="E12479"/>
        </row>
        <row r="12480">
          <cell r="A12480"/>
          <cell r="B12480"/>
          <cell r="C12480"/>
          <cell r="D12480"/>
          <cell r="E12480"/>
        </row>
        <row r="12481">
          <cell r="A12481"/>
          <cell r="B12481"/>
          <cell r="C12481"/>
          <cell r="D12481"/>
          <cell r="E12481"/>
        </row>
        <row r="12482">
          <cell r="A12482"/>
          <cell r="B12482"/>
          <cell r="C12482"/>
          <cell r="D12482"/>
          <cell r="E12482"/>
        </row>
        <row r="12483">
          <cell r="A12483"/>
          <cell r="B12483"/>
          <cell r="C12483"/>
          <cell r="D12483"/>
          <cell r="E12483"/>
        </row>
        <row r="12484">
          <cell r="A12484"/>
          <cell r="B12484"/>
          <cell r="C12484"/>
          <cell r="D12484"/>
          <cell r="E12484"/>
        </row>
        <row r="12485">
          <cell r="A12485"/>
          <cell r="B12485"/>
          <cell r="C12485"/>
          <cell r="D12485"/>
          <cell r="E12485"/>
        </row>
        <row r="12486">
          <cell r="A12486"/>
          <cell r="B12486"/>
          <cell r="C12486"/>
          <cell r="D12486"/>
          <cell r="E12486"/>
        </row>
        <row r="12487">
          <cell r="A12487"/>
          <cell r="B12487"/>
          <cell r="C12487"/>
          <cell r="D12487"/>
          <cell r="E12487"/>
        </row>
        <row r="12488">
          <cell r="A12488"/>
          <cell r="B12488"/>
          <cell r="C12488"/>
          <cell r="D12488"/>
          <cell r="E12488"/>
        </row>
        <row r="12489">
          <cell r="A12489"/>
          <cell r="B12489"/>
          <cell r="C12489"/>
          <cell r="D12489"/>
          <cell r="E12489"/>
        </row>
        <row r="12490">
          <cell r="A12490"/>
          <cell r="B12490"/>
          <cell r="C12490"/>
          <cell r="D12490"/>
          <cell r="E12490"/>
        </row>
        <row r="12491">
          <cell r="A12491"/>
          <cell r="B12491"/>
          <cell r="C12491"/>
          <cell r="D12491"/>
          <cell r="E12491"/>
        </row>
        <row r="12492">
          <cell r="A12492"/>
          <cell r="B12492"/>
          <cell r="C12492"/>
          <cell r="D12492"/>
          <cell r="E12492"/>
        </row>
        <row r="12493">
          <cell r="A12493"/>
          <cell r="B12493"/>
          <cell r="C12493"/>
          <cell r="D12493"/>
          <cell r="E12493"/>
        </row>
        <row r="12494">
          <cell r="A12494"/>
          <cell r="B12494"/>
          <cell r="C12494"/>
          <cell r="D12494"/>
          <cell r="E12494"/>
        </row>
        <row r="12495">
          <cell r="A12495"/>
          <cell r="B12495"/>
          <cell r="C12495"/>
          <cell r="D12495"/>
          <cell r="E12495"/>
        </row>
        <row r="12496">
          <cell r="A12496"/>
          <cell r="B12496"/>
          <cell r="C12496"/>
          <cell r="D12496"/>
          <cell r="E12496"/>
        </row>
        <row r="12497">
          <cell r="A12497"/>
          <cell r="B12497"/>
          <cell r="C12497"/>
          <cell r="D12497"/>
          <cell r="E12497"/>
        </row>
        <row r="12498">
          <cell r="A12498"/>
          <cell r="B12498"/>
          <cell r="C12498"/>
          <cell r="D12498"/>
          <cell r="E12498"/>
        </row>
        <row r="12499">
          <cell r="A12499"/>
          <cell r="B12499"/>
          <cell r="C12499"/>
          <cell r="D12499"/>
          <cell r="E12499"/>
        </row>
        <row r="12500">
          <cell r="A12500"/>
          <cell r="B12500"/>
          <cell r="C12500"/>
          <cell r="D12500"/>
          <cell r="E12500"/>
        </row>
        <row r="12501">
          <cell r="A12501"/>
          <cell r="B12501"/>
          <cell r="C12501"/>
          <cell r="D12501"/>
          <cell r="E12501"/>
        </row>
        <row r="12502">
          <cell r="A12502"/>
          <cell r="B12502"/>
          <cell r="C12502"/>
          <cell r="D12502"/>
          <cell r="E12502"/>
        </row>
        <row r="12503">
          <cell r="A12503"/>
          <cell r="B12503"/>
          <cell r="C12503"/>
          <cell r="D12503"/>
          <cell r="E12503"/>
        </row>
        <row r="12504">
          <cell r="A12504"/>
          <cell r="B12504"/>
          <cell r="C12504"/>
          <cell r="D12504"/>
          <cell r="E12504"/>
        </row>
        <row r="12505">
          <cell r="A12505"/>
          <cell r="B12505"/>
          <cell r="C12505"/>
          <cell r="D12505"/>
          <cell r="E12505"/>
        </row>
        <row r="12506">
          <cell r="A12506"/>
          <cell r="B12506"/>
          <cell r="C12506"/>
          <cell r="D12506"/>
          <cell r="E12506"/>
        </row>
        <row r="12507">
          <cell r="A12507"/>
          <cell r="B12507"/>
          <cell r="C12507"/>
          <cell r="D12507"/>
          <cell r="E12507"/>
        </row>
        <row r="12508">
          <cell r="A12508"/>
          <cell r="B12508"/>
          <cell r="C12508"/>
          <cell r="D12508"/>
          <cell r="E12508"/>
        </row>
        <row r="12509">
          <cell r="A12509"/>
          <cell r="B12509"/>
          <cell r="C12509"/>
          <cell r="D12509"/>
          <cell r="E12509"/>
        </row>
        <row r="12510">
          <cell r="A12510"/>
          <cell r="B12510"/>
          <cell r="C12510"/>
          <cell r="D12510"/>
          <cell r="E12510"/>
        </row>
        <row r="12511">
          <cell r="A12511"/>
          <cell r="B12511"/>
          <cell r="C12511"/>
          <cell r="D12511"/>
          <cell r="E12511"/>
        </row>
        <row r="12512">
          <cell r="A12512"/>
          <cell r="B12512"/>
          <cell r="C12512"/>
          <cell r="D12512"/>
          <cell r="E12512"/>
        </row>
        <row r="12513">
          <cell r="A12513"/>
          <cell r="B12513"/>
          <cell r="C12513"/>
          <cell r="D12513"/>
          <cell r="E12513"/>
        </row>
        <row r="12514">
          <cell r="A12514"/>
          <cell r="B12514"/>
          <cell r="C12514"/>
          <cell r="D12514"/>
          <cell r="E12514"/>
        </row>
        <row r="12515">
          <cell r="A12515"/>
          <cell r="B12515"/>
          <cell r="C12515"/>
          <cell r="D12515"/>
          <cell r="E12515"/>
        </row>
        <row r="12516">
          <cell r="A12516"/>
          <cell r="B12516"/>
          <cell r="C12516"/>
          <cell r="D12516"/>
          <cell r="E12516"/>
        </row>
        <row r="12517">
          <cell r="A12517"/>
          <cell r="B12517"/>
          <cell r="C12517"/>
          <cell r="D12517"/>
          <cell r="E12517"/>
        </row>
        <row r="12518">
          <cell r="A12518"/>
          <cell r="B12518"/>
          <cell r="C12518"/>
          <cell r="D12518"/>
          <cell r="E12518"/>
        </row>
        <row r="12519">
          <cell r="A12519"/>
          <cell r="B12519"/>
          <cell r="C12519"/>
          <cell r="D12519"/>
          <cell r="E12519"/>
        </row>
        <row r="12520">
          <cell r="A12520"/>
          <cell r="B12520"/>
          <cell r="C12520"/>
          <cell r="D12520"/>
          <cell r="E12520"/>
        </row>
        <row r="12521">
          <cell r="A12521"/>
          <cell r="B12521"/>
          <cell r="C12521"/>
          <cell r="D12521"/>
          <cell r="E12521"/>
        </row>
        <row r="12522">
          <cell r="A12522"/>
          <cell r="B12522"/>
          <cell r="C12522"/>
          <cell r="D12522"/>
          <cell r="E12522"/>
        </row>
        <row r="12523">
          <cell r="A12523"/>
          <cell r="B12523"/>
          <cell r="C12523"/>
          <cell r="D12523"/>
          <cell r="E12523"/>
        </row>
        <row r="12524">
          <cell r="A12524"/>
          <cell r="B12524"/>
          <cell r="C12524"/>
          <cell r="D12524"/>
          <cell r="E12524"/>
        </row>
        <row r="12525">
          <cell r="A12525"/>
          <cell r="B12525"/>
          <cell r="C12525"/>
          <cell r="D12525"/>
          <cell r="E12525"/>
        </row>
        <row r="12526">
          <cell r="A12526"/>
          <cell r="B12526"/>
          <cell r="C12526"/>
          <cell r="D12526"/>
          <cell r="E12526"/>
        </row>
        <row r="12527">
          <cell r="A12527"/>
          <cell r="B12527"/>
          <cell r="C12527"/>
          <cell r="D12527"/>
          <cell r="E12527"/>
        </row>
        <row r="12528">
          <cell r="A12528"/>
          <cell r="B12528"/>
          <cell r="C12528"/>
          <cell r="D12528"/>
          <cell r="E12528"/>
        </row>
        <row r="12529">
          <cell r="A12529"/>
          <cell r="B12529"/>
          <cell r="C12529"/>
          <cell r="D12529"/>
          <cell r="E12529"/>
        </row>
        <row r="12530">
          <cell r="A12530"/>
          <cell r="B12530"/>
          <cell r="C12530"/>
          <cell r="D12530"/>
          <cell r="E12530"/>
        </row>
        <row r="12531">
          <cell r="A12531"/>
          <cell r="B12531"/>
          <cell r="C12531"/>
          <cell r="D12531"/>
          <cell r="E12531"/>
        </row>
        <row r="12532">
          <cell r="A12532"/>
          <cell r="B12532"/>
          <cell r="C12532"/>
          <cell r="D12532"/>
          <cell r="E12532"/>
        </row>
        <row r="12533">
          <cell r="A12533"/>
          <cell r="B12533"/>
          <cell r="C12533"/>
          <cell r="D12533"/>
          <cell r="E12533"/>
        </row>
        <row r="12534">
          <cell r="A12534"/>
          <cell r="B12534"/>
          <cell r="C12534"/>
          <cell r="D12534"/>
          <cell r="E12534"/>
        </row>
        <row r="12535">
          <cell r="A12535"/>
          <cell r="B12535"/>
          <cell r="C12535"/>
          <cell r="D12535"/>
          <cell r="E12535"/>
        </row>
        <row r="12536">
          <cell r="A12536"/>
          <cell r="B12536"/>
          <cell r="C12536"/>
          <cell r="D12536"/>
          <cell r="E12536"/>
        </row>
        <row r="12537">
          <cell r="A12537"/>
          <cell r="B12537"/>
          <cell r="C12537"/>
          <cell r="D12537"/>
          <cell r="E12537"/>
        </row>
        <row r="12538">
          <cell r="A12538"/>
          <cell r="B12538"/>
          <cell r="C12538"/>
          <cell r="D12538"/>
          <cell r="E12538"/>
        </row>
        <row r="12539">
          <cell r="A12539"/>
          <cell r="B12539"/>
          <cell r="C12539"/>
          <cell r="D12539"/>
          <cell r="E12539"/>
        </row>
        <row r="12540">
          <cell r="A12540"/>
          <cell r="B12540"/>
          <cell r="C12540"/>
          <cell r="D12540"/>
          <cell r="E12540"/>
        </row>
        <row r="12541">
          <cell r="A12541"/>
          <cell r="B12541"/>
          <cell r="C12541"/>
          <cell r="D12541"/>
          <cell r="E12541"/>
        </row>
        <row r="12542">
          <cell r="A12542"/>
          <cell r="B12542"/>
          <cell r="C12542"/>
          <cell r="D12542"/>
          <cell r="E12542"/>
        </row>
        <row r="12543">
          <cell r="A12543"/>
          <cell r="B12543"/>
          <cell r="C12543"/>
          <cell r="D12543"/>
          <cell r="E12543"/>
        </row>
        <row r="12544">
          <cell r="A12544"/>
          <cell r="B12544"/>
          <cell r="C12544"/>
          <cell r="D12544"/>
          <cell r="E12544"/>
        </row>
        <row r="12545">
          <cell r="A12545"/>
          <cell r="B12545"/>
          <cell r="C12545"/>
          <cell r="D12545"/>
          <cell r="E12545"/>
        </row>
        <row r="12546">
          <cell r="A12546"/>
          <cell r="B12546"/>
          <cell r="C12546"/>
          <cell r="D12546"/>
          <cell r="E12546"/>
        </row>
        <row r="12547">
          <cell r="A12547"/>
          <cell r="B12547"/>
          <cell r="C12547"/>
          <cell r="D12547"/>
          <cell r="E12547"/>
        </row>
        <row r="12548">
          <cell r="A12548"/>
          <cell r="B12548"/>
          <cell r="C12548"/>
          <cell r="D12548"/>
          <cell r="E12548"/>
        </row>
        <row r="12549">
          <cell r="A12549"/>
          <cell r="B12549"/>
          <cell r="C12549"/>
          <cell r="D12549"/>
          <cell r="E12549"/>
        </row>
        <row r="12550">
          <cell r="A12550"/>
          <cell r="B12550"/>
          <cell r="C12550"/>
          <cell r="D12550"/>
          <cell r="E12550"/>
        </row>
        <row r="12551">
          <cell r="A12551"/>
          <cell r="B12551"/>
          <cell r="C12551"/>
          <cell r="D12551"/>
          <cell r="E12551"/>
        </row>
        <row r="12552">
          <cell r="A12552"/>
          <cell r="B12552"/>
          <cell r="C12552"/>
          <cell r="D12552"/>
          <cell r="E12552"/>
        </row>
        <row r="12553">
          <cell r="A12553"/>
          <cell r="B12553"/>
          <cell r="C12553"/>
          <cell r="D12553"/>
          <cell r="E12553"/>
        </row>
        <row r="12554">
          <cell r="A12554"/>
          <cell r="B12554"/>
          <cell r="C12554"/>
          <cell r="D12554"/>
          <cell r="E12554"/>
        </row>
        <row r="12555">
          <cell r="A12555"/>
          <cell r="B12555"/>
          <cell r="C12555"/>
          <cell r="D12555"/>
          <cell r="E12555"/>
        </row>
        <row r="12556">
          <cell r="A12556"/>
          <cell r="B12556"/>
          <cell r="C12556"/>
          <cell r="D12556"/>
          <cell r="E12556"/>
        </row>
        <row r="12557">
          <cell r="A12557"/>
          <cell r="B12557"/>
          <cell r="C12557"/>
          <cell r="D12557"/>
          <cell r="E12557"/>
        </row>
        <row r="12558">
          <cell r="A12558"/>
          <cell r="B12558"/>
          <cell r="C12558"/>
          <cell r="D12558"/>
          <cell r="E12558"/>
        </row>
        <row r="12559">
          <cell r="A12559"/>
          <cell r="B12559"/>
          <cell r="C12559"/>
          <cell r="D12559"/>
          <cell r="E12559"/>
        </row>
        <row r="12560">
          <cell r="A12560"/>
          <cell r="B12560"/>
          <cell r="C12560"/>
          <cell r="D12560"/>
          <cell r="E12560"/>
        </row>
        <row r="12561">
          <cell r="A12561"/>
          <cell r="B12561"/>
          <cell r="C12561"/>
          <cell r="D12561"/>
          <cell r="E12561"/>
        </row>
        <row r="12562">
          <cell r="A12562"/>
          <cell r="B12562"/>
          <cell r="C12562"/>
          <cell r="D12562"/>
          <cell r="E12562"/>
        </row>
        <row r="12563">
          <cell r="A12563"/>
          <cell r="B12563"/>
          <cell r="C12563"/>
          <cell r="D12563"/>
          <cell r="E12563"/>
        </row>
        <row r="12564">
          <cell r="A12564"/>
          <cell r="B12564"/>
          <cell r="C12564"/>
          <cell r="D12564"/>
          <cell r="E12564"/>
        </row>
        <row r="12565">
          <cell r="A12565"/>
          <cell r="B12565"/>
          <cell r="C12565"/>
          <cell r="D12565"/>
          <cell r="E12565"/>
        </row>
        <row r="12566">
          <cell r="A12566"/>
          <cell r="B12566"/>
          <cell r="C12566"/>
          <cell r="D12566"/>
          <cell r="E12566"/>
        </row>
        <row r="12567">
          <cell r="A12567"/>
          <cell r="B12567"/>
          <cell r="C12567"/>
          <cell r="D12567"/>
          <cell r="E12567"/>
        </row>
        <row r="12568">
          <cell r="A12568"/>
          <cell r="B12568"/>
          <cell r="C12568"/>
          <cell r="D12568"/>
          <cell r="E12568"/>
        </row>
        <row r="12569">
          <cell r="A12569"/>
          <cell r="B12569"/>
          <cell r="C12569"/>
          <cell r="D12569"/>
          <cell r="E12569"/>
        </row>
        <row r="12570">
          <cell r="A12570"/>
          <cell r="B12570"/>
          <cell r="C12570"/>
          <cell r="D12570"/>
          <cell r="E12570"/>
        </row>
        <row r="12571">
          <cell r="A12571"/>
          <cell r="B12571"/>
          <cell r="C12571"/>
          <cell r="D12571"/>
          <cell r="E12571"/>
        </row>
        <row r="12572">
          <cell r="A12572"/>
          <cell r="B12572"/>
          <cell r="C12572"/>
          <cell r="D12572"/>
          <cell r="E12572"/>
        </row>
        <row r="12573">
          <cell r="A12573"/>
          <cell r="B12573"/>
          <cell r="C12573"/>
          <cell r="D12573"/>
          <cell r="E12573"/>
        </row>
        <row r="12574">
          <cell r="A12574"/>
          <cell r="B12574"/>
          <cell r="C12574"/>
          <cell r="D12574"/>
          <cell r="E12574"/>
        </row>
        <row r="12575">
          <cell r="A12575"/>
          <cell r="B12575"/>
          <cell r="C12575"/>
          <cell r="D12575"/>
          <cell r="E12575"/>
        </row>
        <row r="12576">
          <cell r="A12576"/>
          <cell r="B12576"/>
          <cell r="C12576"/>
          <cell r="D12576"/>
          <cell r="E12576"/>
        </row>
        <row r="12577">
          <cell r="A12577"/>
          <cell r="B12577"/>
          <cell r="C12577"/>
          <cell r="D12577"/>
          <cell r="E12577"/>
        </row>
        <row r="12578">
          <cell r="A12578"/>
          <cell r="B12578"/>
          <cell r="C12578"/>
          <cell r="D12578"/>
          <cell r="E12578"/>
        </row>
        <row r="12579">
          <cell r="A12579"/>
          <cell r="B12579"/>
          <cell r="C12579"/>
          <cell r="D12579"/>
          <cell r="E12579"/>
        </row>
        <row r="12580">
          <cell r="A12580"/>
          <cell r="B12580"/>
          <cell r="C12580"/>
          <cell r="D12580"/>
          <cell r="E12580"/>
        </row>
        <row r="12581">
          <cell r="A12581"/>
          <cell r="B12581"/>
          <cell r="C12581"/>
          <cell r="D12581"/>
          <cell r="E12581"/>
        </row>
        <row r="12582">
          <cell r="A12582"/>
          <cell r="B12582"/>
          <cell r="C12582"/>
          <cell r="D12582"/>
          <cell r="E12582"/>
        </row>
        <row r="12583">
          <cell r="A12583"/>
          <cell r="B12583"/>
          <cell r="C12583"/>
          <cell r="D12583"/>
          <cell r="E12583"/>
        </row>
        <row r="12584">
          <cell r="A12584"/>
          <cell r="B12584"/>
          <cell r="C12584"/>
          <cell r="D12584"/>
          <cell r="E12584"/>
        </row>
        <row r="12585">
          <cell r="A12585"/>
          <cell r="B12585"/>
          <cell r="C12585"/>
          <cell r="D12585"/>
          <cell r="E12585"/>
        </row>
        <row r="12586">
          <cell r="A12586"/>
          <cell r="B12586"/>
          <cell r="C12586"/>
          <cell r="D12586"/>
          <cell r="E12586"/>
        </row>
        <row r="12587">
          <cell r="A12587"/>
          <cell r="B12587"/>
          <cell r="C12587"/>
          <cell r="D12587"/>
          <cell r="E12587"/>
        </row>
        <row r="12588">
          <cell r="A12588"/>
          <cell r="B12588"/>
          <cell r="C12588"/>
          <cell r="D12588"/>
          <cell r="E12588"/>
        </row>
        <row r="12589">
          <cell r="A12589"/>
          <cell r="B12589"/>
          <cell r="C12589"/>
          <cell r="D12589"/>
          <cell r="E12589"/>
        </row>
        <row r="12590">
          <cell r="A12590"/>
          <cell r="B12590"/>
          <cell r="C12590"/>
          <cell r="D12590"/>
          <cell r="E12590"/>
        </row>
        <row r="12591">
          <cell r="A12591"/>
          <cell r="B12591"/>
          <cell r="C12591"/>
          <cell r="D12591"/>
          <cell r="E12591"/>
        </row>
        <row r="12592">
          <cell r="A12592"/>
          <cell r="B12592"/>
          <cell r="C12592"/>
          <cell r="D12592"/>
          <cell r="E12592"/>
        </row>
        <row r="12593">
          <cell r="A12593"/>
          <cell r="B12593"/>
          <cell r="C12593"/>
          <cell r="D12593"/>
          <cell r="E12593"/>
        </row>
        <row r="12594">
          <cell r="A12594"/>
          <cell r="B12594"/>
          <cell r="C12594"/>
          <cell r="D12594"/>
          <cell r="E12594"/>
        </row>
        <row r="12595">
          <cell r="A12595"/>
          <cell r="B12595"/>
          <cell r="C12595"/>
          <cell r="D12595"/>
          <cell r="E12595"/>
        </row>
        <row r="12596">
          <cell r="A12596"/>
          <cell r="B12596"/>
          <cell r="C12596"/>
          <cell r="D12596"/>
          <cell r="E12596"/>
        </row>
        <row r="12597">
          <cell r="A12597"/>
          <cell r="B12597"/>
          <cell r="C12597"/>
          <cell r="D12597"/>
          <cell r="E12597"/>
        </row>
        <row r="12598">
          <cell r="A12598"/>
          <cell r="B12598"/>
          <cell r="C12598"/>
          <cell r="D12598"/>
          <cell r="E12598"/>
        </row>
        <row r="12599">
          <cell r="A12599"/>
          <cell r="B12599"/>
          <cell r="C12599"/>
          <cell r="D12599"/>
          <cell r="E12599"/>
        </row>
        <row r="12600">
          <cell r="A12600"/>
          <cell r="B12600"/>
          <cell r="C12600"/>
          <cell r="D12600"/>
          <cell r="E12600"/>
        </row>
        <row r="12601">
          <cell r="A12601"/>
          <cell r="B12601"/>
          <cell r="C12601"/>
          <cell r="D12601"/>
          <cell r="E12601"/>
        </row>
        <row r="12602">
          <cell r="A12602"/>
          <cell r="B12602"/>
          <cell r="C12602"/>
          <cell r="D12602"/>
          <cell r="E12602"/>
        </row>
        <row r="12603">
          <cell r="A12603"/>
          <cell r="B12603"/>
          <cell r="C12603"/>
          <cell r="D12603"/>
          <cell r="E12603"/>
        </row>
        <row r="12604">
          <cell r="A12604"/>
          <cell r="B12604"/>
          <cell r="C12604"/>
          <cell r="D12604"/>
          <cell r="E12604"/>
        </row>
        <row r="12605">
          <cell r="A12605"/>
          <cell r="B12605"/>
          <cell r="C12605"/>
          <cell r="D12605"/>
          <cell r="E12605"/>
        </row>
        <row r="12606">
          <cell r="A12606"/>
          <cell r="B12606"/>
          <cell r="C12606"/>
          <cell r="D12606"/>
          <cell r="E12606"/>
        </row>
        <row r="12607">
          <cell r="A12607"/>
          <cell r="B12607"/>
          <cell r="C12607"/>
          <cell r="D12607"/>
          <cell r="E12607"/>
        </row>
        <row r="12608">
          <cell r="A12608"/>
          <cell r="B12608"/>
          <cell r="C12608"/>
          <cell r="D12608"/>
          <cell r="E12608"/>
        </row>
        <row r="12609">
          <cell r="A12609"/>
          <cell r="B12609"/>
          <cell r="C12609"/>
          <cell r="D12609"/>
          <cell r="E12609"/>
        </row>
        <row r="12610">
          <cell r="A12610"/>
          <cell r="B12610"/>
          <cell r="C12610"/>
          <cell r="D12610"/>
          <cell r="E12610"/>
        </row>
        <row r="12611">
          <cell r="A12611"/>
          <cell r="B12611"/>
          <cell r="C12611"/>
          <cell r="D12611"/>
          <cell r="E12611"/>
        </row>
        <row r="12612">
          <cell r="A12612"/>
          <cell r="B12612"/>
          <cell r="C12612"/>
          <cell r="D12612"/>
          <cell r="E12612"/>
        </row>
        <row r="12613">
          <cell r="A12613"/>
          <cell r="B12613"/>
          <cell r="C12613"/>
          <cell r="D12613"/>
          <cell r="E12613"/>
        </row>
        <row r="12614">
          <cell r="A12614"/>
          <cell r="B12614"/>
          <cell r="C12614"/>
          <cell r="D12614"/>
          <cell r="E12614"/>
        </row>
        <row r="12615">
          <cell r="A12615"/>
          <cell r="B12615"/>
          <cell r="C12615"/>
          <cell r="D12615"/>
          <cell r="E12615"/>
        </row>
        <row r="12616">
          <cell r="A12616"/>
          <cell r="B12616"/>
          <cell r="C12616"/>
          <cell r="D12616"/>
          <cell r="E12616"/>
        </row>
        <row r="12617">
          <cell r="A12617"/>
          <cell r="B12617"/>
          <cell r="C12617"/>
          <cell r="D12617"/>
          <cell r="E12617"/>
        </row>
        <row r="12618">
          <cell r="A12618"/>
          <cell r="B12618"/>
          <cell r="C12618"/>
          <cell r="D12618"/>
          <cell r="E12618"/>
        </row>
        <row r="12619">
          <cell r="A12619"/>
          <cell r="B12619"/>
          <cell r="C12619"/>
          <cell r="D12619"/>
          <cell r="E12619"/>
        </row>
        <row r="12620">
          <cell r="A12620"/>
          <cell r="B12620"/>
          <cell r="C12620"/>
          <cell r="D12620"/>
          <cell r="E12620"/>
        </row>
        <row r="12621">
          <cell r="A12621"/>
          <cell r="B12621"/>
          <cell r="C12621"/>
          <cell r="D12621"/>
          <cell r="E12621"/>
        </row>
        <row r="12622">
          <cell r="A12622"/>
          <cell r="B12622"/>
          <cell r="C12622"/>
          <cell r="D12622"/>
          <cell r="E12622"/>
        </row>
        <row r="12623">
          <cell r="A12623"/>
          <cell r="B12623"/>
          <cell r="C12623"/>
          <cell r="D12623"/>
          <cell r="E12623"/>
        </row>
        <row r="12624">
          <cell r="A12624"/>
          <cell r="B12624"/>
          <cell r="C12624"/>
          <cell r="D12624"/>
          <cell r="E12624"/>
        </row>
        <row r="12625">
          <cell r="A12625"/>
          <cell r="B12625"/>
          <cell r="C12625"/>
          <cell r="D12625"/>
          <cell r="E12625"/>
        </row>
        <row r="12626">
          <cell r="A12626"/>
          <cell r="B12626"/>
          <cell r="C12626"/>
          <cell r="D12626"/>
          <cell r="E12626"/>
        </row>
        <row r="12627">
          <cell r="A12627"/>
          <cell r="B12627"/>
          <cell r="C12627"/>
          <cell r="D12627"/>
          <cell r="E12627"/>
        </row>
        <row r="12628">
          <cell r="A12628"/>
          <cell r="B12628"/>
          <cell r="C12628"/>
          <cell r="D12628"/>
          <cell r="E12628"/>
        </row>
        <row r="12629">
          <cell r="A12629"/>
          <cell r="B12629"/>
          <cell r="C12629"/>
          <cell r="D12629"/>
          <cell r="E12629"/>
        </row>
        <row r="12630">
          <cell r="A12630"/>
          <cell r="B12630"/>
          <cell r="C12630"/>
          <cell r="D12630"/>
          <cell r="E12630"/>
        </row>
        <row r="12631">
          <cell r="A12631"/>
          <cell r="B12631"/>
          <cell r="C12631"/>
          <cell r="D12631"/>
          <cell r="E12631"/>
        </row>
        <row r="12632">
          <cell r="A12632"/>
          <cell r="B12632"/>
          <cell r="C12632"/>
          <cell r="D12632"/>
          <cell r="E12632"/>
        </row>
        <row r="12633">
          <cell r="A12633"/>
          <cell r="B12633"/>
          <cell r="C12633"/>
          <cell r="D12633"/>
          <cell r="E12633"/>
        </row>
        <row r="12634">
          <cell r="A12634"/>
          <cell r="B12634"/>
          <cell r="C12634"/>
          <cell r="D12634"/>
          <cell r="E12634"/>
        </row>
        <row r="12635">
          <cell r="A12635"/>
          <cell r="B12635"/>
          <cell r="C12635"/>
          <cell r="D12635"/>
          <cell r="E12635"/>
        </row>
        <row r="12636">
          <cell r="A12636"/>
          <cell r="B12636"/>
          <cell r="C12636"/>
          <cell r="D12636"/>
          <cell r="E12636"/>
        </row>
        <row r="12637">
          <cell r="A12637"/>
          <cell r="B12637"/>
          <cell r="C12637"/>
          <cell r="D12637"/>
          <cell r="E12637"/>
        </row>
        <row r="12638">
          <cell r="A12638"/>
          <cell r="B12638"/>
          <cell r="C12638"/>
          <cell r="D12638"/>
          <cell r="E12638"/>
        </row>
        <row r="12639">
          <cell r="A12639"/>
          <cell r="B12639"/>
          <cell r="C12639"/>
          <cell r="D12639"/>
          <cell r="E12639"/>
        </row>
        <row r="12640">
          <cell r="A12640"/>
          <cell r="B12640"/>
          <cell r="C12640"/>
          <cell r="D12640"/>
          <cell r="E12640"/>
        </row>
        <row r="12641">
          <cell r="A12641"/>
          <cell r="B12641"/>
          <cell r="C12641"/>
          <cell r="D12641"/>
          <cell r="E12641"/>
        </row>
        <row r="12642">
          <cell r="A12642"/>
          <cell r="B12642"/>
          <cell r="C12642"/>
          <cell r="D12642"/>
          <cell r="E12642"/>
        </row>
        <row r="12643">
          <cell r="A12643"/>
          <cell r="B12643"/>
          <cell r="C12643"/>
          <cell r="D12643"/>
          <cell r="E12643"/>
        </row>
        <row r="12644">
          <cell r="A12644"/>
          <cell r="B12644"/>
          <cell r="C12644"/>
          <cell r="D12644"/>
          <cell r="E12644"/>
        </row>
        <row r="12645">
          <cell r="A12645"/>
          <cell r="B12645"/>
          <cell r="C12645"/>
          <cell r="D12645"/>
          <cell r="E12645"/>
        </row>
        <row r="12646">
          <cell r="A12646"/>
          <cell r="B12646"/>
          <cell r="C12646"/>
          <cell r="D12646"/>
          <cell r="E12646"/>
        </row>
        <row r="12647">
          <cell r="A12647"/>
          <cell r="B12647"/>
          <cell r="C12647"/>
          <cell r="D12647"/>
          <cell r="E12647"/>
        </row>
        <row r="12648">
          <cell r="A12648"/>
          <cell r="B12648"/>
          <cell r="C12648"/>
          <cell r="D12648"/>
          <cell r="E12648"/>
        </row>
        <row r="12649">
          <cell r="A12649"/>
          <cell r="B12649"/>
          <cell r="C12649"/>
          <cell r="D12649"/>
          <cell r="E12649"/>
        </row>
        <row r="12650">
          <cell r="A12650"/>
          <cell r="B12650"/>
          <cell r="C12650"/>
          <cell r="D12650"/>
          <cell r="E12650"/>
        </row>
        <row r="12651">
          <cell r="A12651"/>
          <cell r="B12651"/>
          <cell r="C12651"/>
          <cell r="D12651"/>
          <cell r="E12651"/>
        </row>
        <row r="12652">
          <cell r="A12652"/>
          <cell r="B12652"/>
          <cell r="C12652"/>
          <cell r="D12652"/>
          <cell r="E12652"/>
        </row>
        <row r="12653">
          <cell r="A12653"/>
          <cell r="B12653"/>
          <cell r="C12653"/>
          <cell r="D12653"/>
          <cell r="E12653"/>
        </row>
        <row r="12654">
          <cell r="A12654"/>
          <cell r="B12654"/>
          <cell r="C12654"/>
          <cell r="D12654"/>
          <cell r="E12654"/>
        </row>
        <row r="12655">
          <cell r="A12655"/>
          <cell r="B12655"/>
          <cell r="C12655"/>
          <cell r="D12655"/>
          <cell r="E12655"/>
        </row>
        <row r="12656">
          <cell r="A12656"/>
          <cell r="B12656"/>
          <cell r="C12656"/>
          <cell r="D12656"/>
          <cell r="E12656"/>
        </row>
        <row r="12657">
          <cell r="A12657"/>
          <cell r="B12657"/>
          <cell r="C12657"/>
          <cell r="D12657"/>
          <cell r="E12657"/>
        </row>
        <row r="12658">
          <cell r="A12658"/>
          <cell r="B12658"/>
          <cell r="C12658"/>
          <cell r="D12658"/>
          <cell r="E12658"/>
        </row>
        <row r="12659">
          <cell r="A12659"/>
          <cell r="B12659"/>
          <cell r="C12659"/>
          <cell r="D12659"/>
          <cell r="E12659"/>
        </row>
        <row r="12660">
          <cell r="A12660"/>
          <cell r="B12660"/>
          <cell r="C12660"/>
          <cell r="D12660"/>
          <cell r="E12660"/>
        </row>
        <row r="12661">
          <cell r="A12661"/>
          <cell r="B12661"/>
          <cell r="C12661"/>
          <cell r="D12661"/>
          <cell r="E12661"/>
        </row>
        <row r="12662">
          <cell r="A12662"/>
          <cell r="B12662"/>
          <cell r="C12662"/>
          <cell r="D12662"/>
          <cell r="E12662"/>
        </row>
        <row r="12663">
          <cell r="A12663"/>
          <cell r="B12663"/>
          <cell r="C12663"/>
          <cell r="D12663"/>
          <cell r="E12663"/>
        </row>
        <row r="12664">
          <cell r="A12664"/>
          <cell r="B12664"/>
          <cell r="C12664"/>
          <cell r="D12664"/>
          <cell r="E12664"/>
        </row>
        <row r="12665">
          <cell r="A12665"/>
          <cell r="B12665"/>
          <cell r="C12665"/>
          <cell r="D12665"/>
          <cell r="E12665"/>
        </row>
        <row r="12666">
          <cell r="A12666"/>
          <cell r="B12666"/>
          <cell r="C12666"/>
          <cell r="D12666"/>
          <cell r="E12666"/>
        </row>
        <row r="12667">
          <cell r="A12667"/>
          <cell r="B12667"/>
          <cell r="C12667"/>
          <cell r="D12667"/>
          <cell r="E12667"/>
        </row>
        <row r="12668">
          <cell r="A12668"/>
          <cell r="B12668"/>
          <cell r="C12668"/>
          <cell r="D12668"/>
          <cell r="E12668"/>
        </row>
        <row r="12669">
          <cell r="A12669"/>
          <cell r="B12669"/>
          <cell r="C12669"/>
          <cell r="D12669"/>
          <cell r="E12669"/>
        </row>
        <row r="12670">
          <cell r="A12670"/>
          <cell r="B12670"/>
          <cell r="C12670"/>
          <cell r="D12670"/>
          <cell r="E12670"/>
        </row>
        <row r="12671">
          <cell r="A12671"/>
          <cell r="B12671"/>
          <cell r="C12671"/>
          <cell r="D12671"/>
          <cell r="E12671"/>
        </row>
        <row r="12672">
          <cell r="A12672"/>
          <cell r="B12672"/>
          <cell r="C12672"/>
          <cell r="D12672"/>
          <cell r="E12672"/>
        </row>
        <row r="12673">
          <cell r="A12673"/>
          <cell r="B12673"/>
          <cell r="C12673"/>
          <cell r="D12673"/>
          <cell r="E12673"/>
        </row>
        <row r="12674">
          <cell r="A12674"/>
          <cell r="B12674"/>
          <cell r="C12674"/>
          <cell r="D12674"/>
          <cell r="E12674"/>
        </row>
        <row r="12675">
          <cell r="A12675"/>
          <cell r="B12675"/>
          <cell r="C12675"/>
          <cell r="D12675"/>
          <cell r="E12675"/>
        </row>
        <row r="12676">
          <cell r="A12676"/>
          <cell r="B12676"/>
          <cell r="C12676"/>
          <cell r="D12676"/>
          <cell r="E12676"/>
        </row>
        <row r="12677">
          <cell r="A12677"/>
          <cell r="B12677"/>
          <cell r="C12677"/>
          <cell r="D12677"/>
          <cell r="E12677"/>
        </row>
        <row r="12678">
          <cell r="A12678"/>
          <cell r="B12678"/>
          <cell r="C12678"/>
          <cell r="D12678"/>
          <cell r="E12678"/>
        </row>
        <row r="12679">
          <cell r="A12679"/>
          <cell r="B12679"/>
          <cell r="C12679"/>
          <cell r="D12679"/>
          <cell r="E12679"/>
        </row>
        <row r="12680">
          <cell r="A12680"/>
          <cell r="B12680"/>
          <cell r="C12680"/>
          <cell r="D12680"/>
          <cell r="E12680"/>
        </row>
        <row r="12681">
          <cell r="A12681"/>
          <cell r="B12681"/>
          <cell r="C12681"/>
          <cell r="D12681"/>
          <cell r="E12681"/>
        </row>
        <row r="12682">
          <cell r="A12682"/>
          <cell r="B12682"/>
          <cell r="C12682"/>
          <cell r="D12682"/>
          <cell r="E12682"/>
        </row>
        <row r="12683">
          <cell r="A12683"/>
          <cell r="B12683"/>
          <cell r="C12683"/>
          <cell r="D12683"/>
          <cell r="E12683"/>
        </row>
        <row r="12684">
          <cell r="A12684"/>
          <cell r="B12684"/>
          <cell r="C12684"/>
          <cell r="D12684"/>
          <cell r="E12684"/>
        </row>
        <row r="12685">
          <cell r="A12685"/>
          <cell r="B12685"/>
          <cell r="C12685"/>
          <cell r="D12685"/>
          <cell r="E12685"/>
        </row>
        <row r="12686">
          <cell r="A12686"/>
          <cell r="B12686"/>
          <cell r="C12686"/>
          <cell r="D12686"/>
          <cell r="E12686"/>
        </row>
        <row r="12687">
          <cell r="A12687"/>
          <cell r="B12687"/>
          <cell r="C12687"/>
          <cell r="D12687"/>
          <cell r="E12687"/>
        </row>
        <row r="12688">
          <cell r="A12688"/>
          <cell r="B12688"/>
          <cell r="C12688"/>
          <cell r="D12688"/>
          <cell r="E12688"/>
        </row>
        <row r="12689">
          <cell r="A12689"/>
          <cell r="B12689"/>
          <cell r="C12689"/>
          <cell r="D12689"/>
          <cell r="E12689"/>
        </row>
        <row r="12690">
          <cell r="A12690"/>
          <cell r="B12690"/>
          <cell r="C12690"/>
          <cell r="D12690"/>
          <cell r="E12690"/>
        </row>
        <row r="12691">
          <cell r="A12691"/>
          <cell r="B12691"/>
          <cell r="C12691"/>
          <cell r="D12691"/>
          <cell r="E12691"/>
        </row>
        <row r="12692">
          <cell r="A12692"/>
          <cell r="B12692"/>
          <cell r="C12692"/>
          <cell r="D12692"/>
          <cell r="E12692"/>
        </row>
        <row r="12693">
          <cell r="A12693"/>
          <cell r="B12693"/>
          <cell r="C12693"/>
          <cell r="D12693"/>
          <cell r="E12693"/>
        </row>
        <row r="12694">
          <cell r="A12694"/>
          <cell r="B12694"/>
          <cell r="C12694"/>
          <cell r="D12694"/>
          <cell r="E12694"/>
        </row>
        <row r="12695">
          <cell r="A12695"/>
          <cell r="B12695"/>
          <cell r="C12695"/>
          <cell r="D12695"/>
          <cell r="E12695"/>
        </row>
        <row r="12696">
          <cell r="A12696"/>
          <cell r="B12696"/>
          <cell r="C12696"/>
          <cell r="D12696"/>
          <cell r="E12696"/>
        </row>
        <row r="12697">
          <cell r="A12697"/>
          <cell r="B12697"/>
          <cell r="C12697"/>
          <cell r="D12697"/>
          <cell r="E12697"/>
        </row>
        <row r="12698">
          <cell r="A12698"/>
          <cell r="B12698"/>
          <cell r="C12698"/>
          <cell r="D12698"/>
          <cell r="E12698"/>
        </row>
        <row r="12699">
          <cell r="A12699"/>
          <cell r="B12699"/>
          <cell r="C12699"/>
          <cell r="D12699"/>
          <cell r="E12699"/>
        </row>
        <row r="12700">
          <cell r="A12700"/>
          <cell r="B12700"/>
          <cell r="C12700"/>
          <cell r="D12700"/>
          <cell r="E12700"/>
        </row>
        <row r="12701">
          <cell r="A12701"/>
          <cell r="B12701"/>
          <cell r="C12701"/>
          <cell r="D12701"/>
          <cell r="E12701"/>
        </row>
        <row r="12702">
          <cell r="A12702"/>
          <cell r="B12702"/>
          <cell r="C12702"/>
          <cell r="D12702"/>
          <cell r="E12702"/>
        </row>
        <row r="12703">
          <cell r="A12703"/>
          <cell r="B12703"/>
          <cell r="C12703"/>
          <cell r="D12703"/>
          <cell r="E12703"/>
        </row>
        <row r="12704">
          <cell r="A12704"/>
          <cell r="B12704"/>
          <cell r="C12704"/>
          <cell r="D12704"/>
          <cell r="E12704"/>
        </row>
        <row r="12705">
          <cell r="A12705"/>
          <cell r="B12705"/>
          <cell r="C12705"/>
          <cell r="D12705"/>
          <cell r="E12705"/>
        </row>
        <row r="12706">
          <cell r="A12706"/>
          <cell r="B12706"/>
          <cell r="C12706"/>
          <cell r="D12706"/>
          <cell r="E12706"/>
        </row>
        <row r="12707">
          <cell r="A12707"/>
          <cell r="B12707"/>
          <cell r="C12707"/>
          <cell r="D12707"/>
          <cell r="E12707"/>
        </row>
        <row r="12708">
          <cell r="A12708"/>
          <cell r="B12708"/>
          <cell r="C12708"/>
          <cell r="D12708"/>
          <cell r="E12708"/>
        </row>
        <row r="12709">
          <cell r="A12709"/>
          <cell r="B12709"/>
          <cell r="C12709"/>
          <cell r="D12709"/>
          <cell r="E12709"/>
        </row>
        <row r="12710">
          <cell r="A12710"/>
          <cell r="B12710"/>
          <cell r="C12710"/>
          <cell r="D12710"/>
          <cell r="E12710"/>
        </row>
        <row r="12711">
          <cell r="A12711"/>
          <cell r="B12711"/>
          <cell r="C12711"/>
          <cell r="D12711"/>
          <cell r="E12711"/>
        </row>
        <row r="12712">
          <cell r="A12712"/>
          <cell r="B12712"/>
          <cell r="C12712"/>
          <cell r="D12712"/>
          <cell r="E12712"/>
        </row>
        <row r="12713">
          <cell r="A12713"/>
          <cell r="B12713"/>
          <cell r="C12713"/>
          <cell r="D12713"/>
          <cell r="E12713"/>
        </row>
        <row r="12714">
          <cell r="A12714"/>
          <cell r="B12714"/>
          <cell r="C12714"/>
          <cell r="D12714"/>
          <cell r="E12714"/>
        </row>
        <row r="12715">
          <cell r="A12715"/>
          <cell r="B12715"/>
          <cell r="C12715"/>
          <cell r="D12715"/>
          <cell r="E12715"/>
        </row>
        <row r="12716">
          <cell r="A12716"/>
          <cell r="B12716"/>
          <cell r="C12716"/>
          <cell r="D12716"/>
          <cell r="E12716"/>
        </row>
        <row r="12717">
          <cell r="A12717"/>
          <cell r="B12717"/>
          <cell r="C12717"/>
          <cell r="D12717"/>
          <cell r="E12717"/>
        </row>
        <row r="12718">
          <cell r="A12718"/>
          <cell r="B12718"/>
          <cell r="C12718"/>
          <cell r="D12718"/>
          <cell r="E12718"/>
        </row>
        <row r="12719">
          <cell r="A12719"/>
          <cell r="B12719"/>
          <cell r="C12719"/>
          <cell r="D12719"/>
          <cell r="E12719"/>
        </row>
        <row r="12720">
          <cell r="A12720"/>
          <cell r="B12720"/>
          <cell r="C12720"/>
          <cell r="D12720"/>
          <cell r="E12720"/>
        </row>
        <row r="12721">
          <cell r="A12721"/>
          <cell r="B12721"/>
          <cell r="C12721"/>
          <cell r="D12721"/>
          <cell r="E12721"/>
        </row>
        <row r="12722">
          <cell r="A12722"/>
          <cell r="B12722"/>
          <cell r="C12722"/>
          <cell r="D12722"/>
          <cell r="E12722"/>
        </row>
        <row r="12723">
          <cell r="A12723"/>
          <cell r="B12723"/>
          <cell r="C12723"/>
          <cell r="D12723"/>
          <cell r="E12723"/>
        </row>
        <row r="12724">
          <cell r="A12724"/>
          <cell r="B12724"/>
          <cell r="C12724"/>
          <cell r="D12724"/>
          <cell r="E12724"/>
        </row>
        <row r="12725">
          <cell r="A12725"/>
          <cell r="B12725"/>
          <cell r="C12725"/>
          <cell r="D12725"/>
          <cell r="E12725"/>
        </row>
        <row r="12726">
          <cell r="A12726"/>
          <cell r="B12726"/>
          <cell r="C12726"/>
          <cell r="D12726"/>
          <cell r="E12726"/>
        </row>
        <row r="12727">
          <cell r="A12727"/>
          <cell r="B12727"/>
          <cell r="C12727"/>
          <cell r="D12727"/>
          <cell r="E12727"/>
        </row>
        <row r="12728">
          <cell r="A12728"/>
          <cell r="B12728"/>
          <cell r="C12728"/>
          <cell r="D12728"/>
          <cell r="E12728"/>
        </row>
        <row r="12729">
          <cell r="A12729"/>
          <cell r="B12729"/>
          <cell r="C12729"/>
          <cell r="D12729"/>
          <cell r="E12729"/>
        </row>
        <row r="12730">
          <cell r="A12730"/>
          <cell r="B12730"/>
          <cell r="C12730"/>
          <cell r="D12730"/>
          <cell r="E12730"/>
        </row>
        <row r="12731">
          <cell r="A12731"/>
          <cell r="B12731"/>
          <cell r="C12731"/>
          <cell r="D12731"/>
          <cell r="E12731"/>
        </row>
        <row r="12732">
          <cell r="A12732"/>
          <cell r="B12732"/>
          <cell r="C12732"/>
          <cell r="D12732"/>
          <cell r="E12732"/>
        </row>
        <row r="12733">
          <cell r="A12733"/>
          <cell r="B12733"/>
          <cell r="C12733"/>
          <cell r="D12733"/>
          <cell r="E12733"/>
        </row>
        <row r="12734">
          <cell r="A12734"/>
          <cell r="B12734"/>
          <cell r="C12734"/>
          <cell r="D12734"/>
          <cell r="E12734"/>
        </row>
        <row r="12735">
          <cell r="A12735"/>
          <cell r="B12735"/>
          <cell r="C12735"/>
          <cell r="D12735"/>
          <cell r="E12735"/>
        </row>
        <row r="12736">
          <cell r="A12736"/>
          <cell r="B12736"/>
          <cell r="C12736"/>
          <cell r="D12736"/>
          <cell r="E12736"/>
        </row>
        <row r="12737">
          <cell r="A12737"/>
          <cell r="B12737"/>
          <cell r="C12737"/>
          <cell r="D12737"/>
          <cell r="E12737"/>
        </row>
        <row r="12738">
          <cell r="A12738"/>
          <cell r="B12738"/>
          <cell r="C12738"/>
          <cell r="D12738"/>
          <cell r="E12738"/>
        </row>
        <row r="12739">
          <cell r="A12739"/>
          <cell r="B12739"/>
          <cell r="C12739"/>
          <cell r="D12739"/>
          <cell r="E12739"/>
        </row>
        <row r="12740">
          <cell r="A12740"/>
          <cell r="B12740"/>
          <cell r="C12740"/>
          <cell r="D12740"/>
          <cell r="E12740"/>
        </row>
        <row r="12741">
          <cell r="A12741"/>
          <cell r="B12741"/>
          <cell r="C12741"/>
          <cell r="D12741"/>
          <cell r="E12741"/>
        </row>
        <row r="12742">
          <cell r="A12742"/>
          <cell r="B12742"/>
          <cell r="C12742"/>
          <cell r="D12742"/>
          <cell r="E12742"/>
        </row>
        <row r="12743">
          <cell r="A12743"/>
          <cell r="B12743"/>
          <cell r="C12743"/>
          <cell r="D12743"/>
          <cell r="E12743"/>
        </row>
        <row r="12744">
          <cell r="A12744"/>
          <cell r="B12744"/>
          <cell r="C12744"/>
          <cell r="D12744"/>
          <cell r="E12744"/>
        </row>
        <row r="12745">
          <cell r="A12745"/>
          <cell r="B12745"/>
          <cell r="C12745"/>
          <cell r="D12745"/>
          <cell r="E12745"/>
        </row>
        <row r="12746">
          <cell r="A12746"/>
          <cell r="B12746"/>
          <cell r="C12746"/>
          <cell r="D12746"/>
          <cell r="E12746"/>
        </row>
        <row r="12747">
          <cell r="A12747"/>
          <cell r="B12747"/>
          <cell r="C12747"/>
          <cell r="D12747"/>
          <cell r="E12747"/>
        </row>
        <row r="12748">
          <cell r="A12748"/>
          <cell r="B12748"/>
          <cell r="C12748"/>
          <cell r="D12748"/>
          <cell r="E12748"/>
        </row>
        <row r="12749">
          <cell r="A12749"/>
          <cell r="B12749"/>
          <cell r="C12749"/>
          <cell r="D12749"/>
          <cell r="E12749"/>
        </row>
        <row r="12750">
          <cell r="A12750"/>
          <cell r="B12750"/>
          <cell r="C12750"/>
          <cell r="D12750"/>
          <cell r="E12750"/>
        </row>
        <row r="12751">
          <cell r="A12751"/>
          <cell r="B12751"/>
          <cell r="C12751"/>
          <cell r="D12751"/>
          <cell r="E12751"/>
        </row>
        <row r="12752">
          <cell r="A12752"/>
          <cell r="B12752"/>
          <cell r="C12752"/>
          <cell r="D12752"/>
          <cell r="E12752"/>
        </row>
        <row r="12753">
          <cell r="A12753"/>
          <cell r="B12753"/>
          <cell r="C12753"/>
          <cell r="D12753"/>
          <cell r="E12753"/>
        </row>
        <row r="12754">
          <cell r="A12754"/>
          <cell r="B12754"/>
          <cell r="C12754"/>
          <cell r="D12754"/>
          <cell r="E12754"/>
        </row>
        <row r="12755">
          <cell r="A12755"/>
          <cell r="B12755"/>
          <cell r="C12755"/>
          <cell r="D12755"/>
          <cell r="E12755"/>
        </row>
        <row r="12756">
          <cell r="A12756"/>
          <cell r="B12756"/>
          <cell r="C12756"/>
          <cell r="D12756"/>
          <cell r="E12756"/>
        </row>
        <row r="12757">
          <cell r="A12757"/>
          <cell r="B12757"/>
          <cell r="C12757"/>
          <cell r="D12757"/>
          <cell r="E12757"/>
        </row>
        <row r="12758">
          <cell r="A12758"/>
          <cell r="B12758"/>
          <cell r="C12758"/>
          <cell r="D12758"/>
          <cell r="E12758"/>
        </row>
        <row r="12759">
          <cell r="A12759"/>
          <cell r="B12759"/>
          <cell r="C12759"/>
          <cell r="D12759"/>
          <cell r="E12759"/>
        </row>
        <row r="12760">
          <cell r="A12760"/>
          <cell r="B12760"/>
          <cell r="C12760"/>
          <cell r="D12760"/>
          <cell r="E12760"/>
        </row>
        <row r="12761">
          <cell r="A12761"/>
          <cell r="B12761"/>
          <cell r="C12761"/>
          <cell r="D12761"/>
          <cell r="E12761"/>
        </row>
        <row r="12762">
          <cell r="A12762"/>
          <cell r="B12762"/>
          <cell r="C12762"/>
          <cell r="D12762"/>
          <cell r="E12762"/>
        </row>
        <row r="12763">
          <cell r="A12763"/>
          <cell r="B12763"/>
          <cell r="C12763"/>
          <cell r="D12763"/>
          <cell r="E12763"/>
        </row>
        <row r="12764">
          <cell r="A12764"/>
          <cell r="B12764"/>
          <cell r="C12764"/>
          <cell r="D12764"/>
          <cell r="E12764"/>
        </row>
        <row r="12765">
          <cell r="A12765"/>
          <cell r="B12765"/>
          <cell r="C12765"/>
          <cell r="D12765"/>
          <cell r="E12765"/>
        </row>
        <row r="12766">
          <cell r="A12766"/>
          <cell r="B12766"/>
          <cell r="C12766"/>
          <cell r="D12766"/>
          <cell r="E12766"/>
        </row>
        <row r="12767">
          <cell r="A12767"/>
          <cell r="B12767"/>
          <cell r="C12767"/>
          <cell r="D12767"/>
          <cell r="E12767"/>
        </row>
        <row r="12768">
          <cell r="A12768"/>
          <cell r="B12768"/>
          <cell r="C12768"/>
          <cell r="D12768"/>
          <cell r="E12768"/>
        </row>
        <row r="12769">
          <cell r="A12769"/>
          <cell r="B12769"/>
          <cell r="C12769"/>
          <cell r="D12769"/>
          <cell r="E12769"/>
        </row>
        <row r="12770">
          <cell r="A12770"/>
          <cell r="B12770"/>
          <cell r="C12770"/>
          <cell r="D12770"/>
          <cell r="E12770"/>
        </row>
        <row r="12771">
          <cell r="A12771"/>
          <cell r="B12771"/>
          <cell r="C12771"/>
          <cell r="D12771"/>
          <cell r="E12771"/>
        </row>
        <row r="12772">
          <cell r="A12772"/>
          <cell r="B12772"/>
          <cell r="C12772"/>
          <cell r="D12772"/>
          <cell r="E12772"/>
        </row>
        <row r="12773">
          <cell r="A12773"/>
          <cell r="B12773"/>
          <cell r="C12773"/>
          <cell r="D12773"/>
          <cell r="E12773"/>
        </row>
        <row r="12774">
          <cell r="A12774"/>
          <cell r="B12774"/>
          <cell r="C12774"/>
          <cell r="D12774"/>
          <cell r="E12774"/>
        </row>
        <row r="12775">
          <cell r="A12775"/>
          <cell r="B12775"/>
          <cell r="C12775"/>
          <cell r="D12775"/>
          <cell r="E12775"/>
        </row>
        <row r="12776">
          <cell r="A12776"/>
          <cell r="B12776"/>
          <cell r="C12776"/>
          <cell r="D12776"/>
          <cell r="E12776"/>
        </row>
        <row r="12777">
          <cell r="A12777"/>
          <cell r="B12777"/>
          <cell r="C12777"/>
          <cell r="D12777"/>
          <cell r="E12777"/>
        </row>
        <row r="12778">
          <cell r="A12778"/>
          <cell r="B12778"/>
          <cell r="C12778"/>
          <cell r="D12778"/>
          <cell r="E12778"/>
        </row>
        <row r="12779">
          <cell r="A12779"/>
          <cell r="B12779"/>
          <cell r="C12779"/>
          <cell r="D12779"/>
          <cell r="E12779"/>
        </row>
        <row r="12780">
          <cell r="A12780"/>
          <cell r="B12780"/>
          <cell r="C12780"/>
          <cell r="D12780"/>
          <cell r="E12780"/>
        </row>
        <row r="12781">
          <cell r="A12781"/>
          <cell r="B12781"/>
          <cell r="C12781"/>
          <cell r="D12781"/>
          <cell r="E12781"/>
        </row>
        <row r="12782">
          <cell r="A12782"/>
          <cell r="B12782"/>
          <cell r="C12782"/>
          <cell r="D12782"/>
          <cell r="E12782"/>
        </row>
        <row r="12783">
          <cell r="A12783"/>
          <cell r="B12783"/>
          <cell r="C12783"/>
          <cell r="D12783"/>
          <cell r="E12783"/>
        </row>
        <row r="12784">
          <cell r="A12784"/>
          <cell r="B12784"/>
          <cell r="C12784"/>
          <cell r="D12784"/>
          <cell r="E12784"/>
        </row>
        <row r="12785">
          <cell r="A12785"/>
          <cell r="B12785"/>
          <cell r="C12785"/>
          <cell r="D12785"/>
          <cell r="E12785"/>
        </row>
        <row r="12786">
          <cell r="A12786"/>
          <cell r="B12786"/>
          <cell r="C12786"/>
          <cell r="D12786"/>
          <cell r="E12786"/>
        </row>
        <row r="12787">
          <cell r="A12787"/>
          <cell r="B12787"/>
          <cell r="C12787"/>
          <cell r="D12787"/>
          <cell r="E12787"/>
        </row>
        <row r="12788">
          <cell r="A12788"/>
          <cell r="B12788"/>
          <cell r="C12788"/>
          <cell r="D12788"/>
          <cell r="E12788"/>
        </row>
        <row r="12789">
          <cell r="A12789"/>
          <cell r="B12789"/>
          <cell r="C12789"/>
          <cell r="D12789"/>
          <cell r="E12789"/>
        </row>
        <row r="12790">
          <cell r="A12790"/>
          <cell r="B12790"/>
          <cell r="C12790"/>
          <cell r="D12790"/>
          <cell r="E12790"/>
        </row>
        <row r="12791">
          <cell r="A12791"/>
          <cell r="B12791"/>
          <cell r="C12791"/>
          <cell r="D12791"/>
          <cell r="E12791"/>
        </row>
        <row r="12792">
          <cell r="A12792"/>
          <cell r="B12792"/>
          <cell r="C12792"/>
          <cell r="D12792"/>
          <cell r="E12792"/>
        </row>
        <row r="12793">
          <cell r="A12793"/>
          <cell r="B12793"/>
          <cell r="C12793"/>
          <cell r="D12793"/>
          <cell r="E12793"/>
        </row>
        <row r="12794">
          <cell r="A12794"/>
          <cell r="B12794"/>
          <cell r="C12794"/>
          <cell r="D12794"/>
          <cell r="E12794"/>
        </row>
        <row r="12795">
          <cell r="A12795"/>
          <cell r="B12795"/>
          <cell r="C12795"/>
          <cell r="D12795"/>
          <cell r="E12795"/>
        </row>
        <row r="12796">
          <cell r="A12796"/>
          <cell r="B12796"/>
          <cell r="C12796"/>
          <cell r="D12796"/>
          <cell r="E12796"/>
        </row>
        <row r="12797">
          <cell r="A12797"/>
          <cell r="B12797"/>
          <cell r="C12797"/>
          <cell r="D12797"/>
          <cell r="E12797"/>
        </row>
        <row r="12798">
          <cell r="A12798"/>
          <cell r="B12798"/>
          <cell r="C12798"/>
          <cell r="D12798"/>
          <cell r="E12798"/>
        </row>
        <row r="12799">
          <cell r="A12799"/>
          <cell r="B12799"/>
          <cell r="C12799"/>
          <cell r="D12799"/>
          <cell r="E12799"/>
        </row>
        <row r="12800">
          <cell r="A12800"/>
          <cell r="B12800"/>
          <cell r="C12800"/>
          <cell r="D12800"/>
          <cell r="E12800"/>
        </row>
        <row r="12801">
          <cell r="A12801"/>
          <cell r="B12801"/>
          <cell r="C12801"/>
          <cell r="D12801"/>
          <cell r="E12801"/>
        </row>
        <row r="12802">
          <cell r="A12802"/>
          <cell r="B12802"/>
          <cell r="C12802"/>
          <cell r="D12802"/>
          <cell r="E12802"/>
        </row>
        <row r="12803">
          <cell r="A12803"/>
          <cell r="B12803"/>
          <cell r="C12803"/>
          <cell r="D12803"/>
          <cell r="E12803"/>
        </row>
        <row r="12804">
          <cell r="A12804"/>
          <cell r="B12804"/>
          <cell r="C12804"/>
          <cell r="D12804"/>
          <cell r="E12804"/>
        </row>
        <row r="12805">
          <cell r="A12805"/>
          <cell r="B12805"/>
          <cell r="C12805"/>
          <cell r="D12805"/>
          <cell r="E12805"/>
        </row>
        <row r="12806">
          <cell r="A12806"/>
          <cell r="B12806"/>
          <cell r="C12806"/>
          <cell r="D12806"/>
          <cell r="E12806"/>
        </row>
        <row r="12807">
          <cell r="A12807"/>
          <cell r="B12807"/>
          <cell r="C12807"/>
          <cell r="D12807"/>
          <cell r="E12807"/>
        </row>
        <row r="12808">
          <cell r="A12808"/>
          <cell r="B12808"/>
          <cell r="C12808"/>
          <cell r="D12808"/>
          <cell r="E12808"/>
        </row>
        <row r="12809">
          <cell r="A12809"/>
          <cell r="B12809"/>
          <cell r="C12809"/>
          <cell r="D12809"/>
          <cell r="E12809"/>
        </row>
        <row r="12810">
          <cell r="A12810"/>
          <cell r="B12810"/>
          <cell r="C12810"/>
          <cell r="D12810"/>
          <cell r="E12810"/>
        </row>
        <row r="12811">
          <cell r="A12811"/>
          <cell r="B12811"/>
          <cell r="C12811"/>
          <cell r="D12811"/>
          <cell r="E12811"/>
        </row>
        <row r="12812">
          <cell r="A12812"/>
          <cell r="B12812"/>
          <cell r="C12812"/>
          <cell r="D12812"/>
          <cell r="E12812"/>
        </row>
        <row r="12813">
          <cell r="A12813"/>
          <cell r="B12813"/>
          <cell r="C12813"/>
          <cell r="D12813"/>
          <cell r="E12813"/>
        </row>
        <row r="12814">
          <cell r="A12814"/>
          <cell r="B12814"/>
          <cell r="C12814"/>
          <cell r="D12814"/>
          <cell r="E12814"/>
        </row>
        <row r="12815">
          <cell r="A12815"/>
          <cell r="B12815"/>
          <cell r="C12815"/>
          <cell r="D12815"/>
          <cell r="E12815"/>
        </row>
        <row r="12816">
          <cell r="A12816"/>
          <cell r="B12816"/>
          <cell r="C12816"/>
          <cell r="D12816"/>
          <cell r="E12816"/>
        </row>
        <row r="12817">
          <cell r="A12817"/>
          <cell r="B12817"/>
          <cell r="C12817"/>
          <cell r="D12817"/>
          <cell r="E12817"/>
        </row>
        <row r="12818">
          <cell r="A12818"/>
          <cell r="B12818"/>
          <cell r="C12818"/>
          <cell r="D12818"/>
          <cell r="E12818"/>
        </row>
        <row r="12819">
          <cell r="A12819"/>
          <cell r="B12819"/>
          <cell r="C12819"/>
          <cell r="D12819"/>
          <cell r="E12819"/>
        </row>
        <row r="12820">
          <cell r="A12820"/>
          <cell r="B12820"/>
          <cell r="C12820"/>
          <cell r="D12820"/>
          <cell r="E12820"/>
        </row>
        <row r="12821">
          <cell r="A12821"/>
          <cell r="B12821"/>
          <cell r="C12821"/>
          <cell r="D12821"/>
          <cell r="E12821"/>
        </row>
        <row r="12822">
          <cell r="A12822"/>
          <cell r="B12822"/>
          <cell r="C12822"/>
          <cell r="D12822"/>
          <cell r="E12822"/>
        </row>
        <row r="12823">
          <cell r="A12823"/>
          <cell r="B12823"/>
          <cell r="C12823"/>
          <cell r="D12823"/>
          <cell r="E12823"/>
        </row>
        <row r="12824">
          <cell r="A12824"/>
          <cell r="B12824"/>
          <cell r="C12824"/>
          <cell r="D12824"/>
          <cell r="E12824"/>
        </row>
        <row r="12825">
          <cell r="A12825"/>
          <cell r="B12825"/>
          <cell r="C12825"/>
          <cell r="D12825"/>
          <cell r="E12825"/>
        </row>
        <row r="12826">
          <cell r="A12826"/>
          <cell r="B12826"/>
          <cell r="C12826"/>
          <cell r="D12826"/>
          <cell r="E12826"/>
        </row>
        <row r="12827">
          <cell r="A12827"/>
          <cell r="B12827"/>
          <cell r="C12827"/>
          <cell r="D12827"/>
          <cell r="E12827"/>
        </row>
        <row r="12828">
          <cell r="A12828"/>
          <cell r="B12828"/>
          <cell r="C12828"/>
          <cell r="D12828"/>
          <cell r="E12828"/>
        </row>
        <row r="12829">
          <cell r="A12829"/>
          <cell r="B12829"/>
          <cell r="C12829"/>
          <cell r="D12829"/>
          <cell r="E12829"/>
        </row>
        <row r="12830">
          <cell r="A12830"/>
          <cell r="B12830"/>
          <cell r="C12830"/>
          <cell r="D12830"/>
          <cell r="E12830"/>
        </row>
        <row r="12831">
          <cell r="A12831"/>
          <cell r="B12831"/>
          <cell r="C12831"/>
          <cell r="D12831"/>
          <cell r="E12831"/>
        </row>
        <row r="12832">
          <cell r="A12832"/>
          <cell r="B12832"/>
          <cell r="C12832"/>
          <cell r="D12832"/>
          <cell r="E12832"/>
        </row>
        <row r="12833">
          <cell r="A12833"/>
          <cell r="B12833"/>
          <cell r="C12833"/>
          <cell r="D12833"/>
          <cell r="E12833"/>
        </row>
        <row r="12834">
          <cell r="A12834"/>
          <cell r="B12834"/>
          <cell r="C12834"/>
          <cell r="D12834"/>
          <cell r="E12834"/>
        </row>
        <row r="12835">
          <cell r="A12835"/>
          <cell r="B12835"/>
          <cell r="C12835"/>
          <cell r="D12835"/>
          <cell r="E12835"/>
        </row>
        <row r="12836">
          <cell r="A12836"/>
          <cell r="B12836"/>
          <cell r="C12836"/>
          <cell r="D12836"/>
          <cell r="E12836"/>
        </row>
        <row r="12837">
          <cell r="A12837"/>
          <cell r="B12837"/>
          <cell r="C12837"/>
          <cell r="D12837"/>
          <cell r="E12837"/>
        </row>
        <row r="12838">
          <cell r="A12838"/>
          <cell r="B12838"/>
          <cell r="C12838"/>
          <cell r="D12838"/>
          <cell r="E12838"/>
        </row>
        <row r="12839">
          <cell r="A12839"/>
          <cell r="B12839"/>
          <cell r="C12839"/>
          <cell r="D12839"/>
          <cell r="E12839"/>
        </row>
        <row r="12840">
          <cell r="A12840"/>
          <cell r="B12840"/>
          <cell r="C12840"/>
          <cell r="D12840"/>
          <cell r="E12840"/>
        </row>
        <row r="12841">
          <cell r="A12841"/>
          <cell r="B12841"/>
          <cell r="C12841"/>
          <cell r="D12841"/>
          <cell r="E12841"/>
        </row>
        <row r="12842">
          <cell r="A12842"/>
          <cell r="B12842"/>
          <cell r="C12842"/>
          <cell r="D12842"/>
          <cell r="E12842"/>
        </row>
        <row r="12843">
          <cell r="A12843"/>
          <cell r="B12843"/>
          <cell r="C12843"/>
          <cell r="D12843"/>
          <cell r="E12843"/>
        </row>
        <row r="12844">
          <cell r="A12844"/>
          <cell r="B12844"/>
          <cell r="C12844"/>
          <cell r="D12844"/>
          <cell r="E12844"/>
        </row>
        <row r="12845">
          <cell r="A12845"/>
          <cell r="B12845"/>
          <cell r="C12845"/>
          <cell r="D12845"/>
          <cell r="E12845"/>
        </row>
        <row r="12846">
          <cell r="A12846"/>
          <cell r="B12846"/>
          <cell r="C12846"/>
          <cell r="D12846"/>
          <cell r="E12846"/>
        </row>
        <row r="12847">
          <cell r="A12847"/>
          <cell r="B12847"/>
          <cell r="C12847"/>
          <cell r="D12847"/>
          <cell r="E12847"/>
        </row>
        <row r="12848">
          <cell r="A12848"/>
          <cell r="B12848"/>
          <cell r="C12848"/>
          <cell r="D12848"/>
          <cell r="E12848"/>
        </row>
        <row r="12849">
          <cell r="A12849"/>
          <cell r="B12849"/>
          <cell r="C12849"/>
          <cell r="D12849"/>
          <cell r="E12849"/>
        </row>
        <row r="12850">
          <cell r="A12850"/>
          <cell r="B12850"/>
          <cell r="C12850"/>
          <cell r="D12850"/>
          <cell r="E12850"/>
        </row>
        <row r="12851">
          <cell r="A12851"/>
          <cell r="B12851"/>
          <cell r="C12851"/>
          <cell r="D12851"/>
          <cell r="E12851"/>
        </row>
        <row r="12852">
          <cell r="A12852"/>
          <cell r="B12852"/>
          <cell r="C12852"/>
          <cell r="D12852"/>
          <cell r="E12852"/>
        </row>
        <row r="12853">
          <cell r="A12853"/>
          <cell r="B12853"/>
          <cell r="C12853"/>
          <cell r="D12853"/>
          <cell r="E12853"/>
        </row>
        <row r="12854">
          <cell r="A12854"/>
          <cell r="B12854"/>
          <cell r="C12854"/>
          <cell r="D12854"/>
          <cell r="E12854"/>
        </row>
        <row r="12855">
          <cell r="A12855"/>
          <cell r="B12855"/>
          <cell r="C12855"/>
          <cell r="D12855"/>
          <cell r="E12855"/>
        </row>
        <row r="12856">
          <cell r="A12856"/>
          <cell r="B12856"/>
          <cell r="C12856"/>
          <cell r="D12856"/>
          <cell r="E12856"/>
        </row>
        <row r="12857">
          <cell r="A12857"/>
          <cell r="B12857"/>
          <cell r="C12857"/>
          <cell r="D12857"/>
          <cell r="E12857"/>
        </row>
        <row r="12858">
          <cell r="A12858"/>
          <cell r="B12858"/>
          <cell r="C12858"/>
          <cell r="D12858"/>
          <cell r="E12858"/>
        </row>
        <row r="12859">
          <cell r="A12859"/>
          <cell r="B12859"/>
          <cell r="C12859"/>
          <cell r="D12859"/>
          <cell r="E12859"/>
        </row>
        <row r="12860">
          <cell r="A12860"/>
          <cell r="B12860"/>
          <cell r="C12860"/>
          <cell r="D12860"/>
          <cell r="E12860"/>
        </row>
        <row r="12861">
          <cell r="A12861"/>
          <cell r="B12861"/>
          <cell r="C12861"/>
          <cell r="D12861"/>
          <cell r="E12861"/>
        </row>
        <row r="12862">
          <cell r="A12862"/>
          <cell r="B12862"/>
          <cell r="C12862"/>
          <cell r="D12862"/>
          <cell r="E12862"/>
        </row>
        <row r="12863">
          <cell r="A12863"/>
          <cell r="B12863"/>
          <cell r="C12863"/>
          <cell r="D12863"/>
          <cell r="E12863"/>
        </row>
        <row r="12864">
          <cell r="A12864"/>
          <cell r="B12864"/>
          <cell r="C12864"/>
          <cell r="D12864"/>
          <cell r="E12864"/>
        </row>
        <row r="12865">
          <cell r="A12865"/>
          <cell r="B12865"/>
          <cell r="C12865"/>
          <cell r="D12865"/>
          <cell r="E12865"/>
        </row>
        <row r="12866">
          <cell r="A12866"/>
          <cell r="B12866"/>
          <cell r="C12866"/>
          <cell r="D12866"/>
          <cell r="E12866"/>
        </row>
        <row r="12867">
          <cell r="A12867"/>
          <cell r="B12867"/>
          <cell r="C12867"/>
          <cell r="D12867"/>
          <cell r="E12867"/>
        </row>
        <row r="12868">
          <cell r="A12868"/>
          <cell r="B12868"/>
          <cell r="C12868"/>
          <cell r="D12868"/>
          <cell r="E12868"/>
        </row>
        <row r="12869">
          <cell r="A12869"/>
          <cell r="B12869"/>
          <cell r="C12869"/>
          <cell r="D12869"/>
          <cell r="E12869"/>
        </row>
        <row r="12870">
          <cell r="A12870"/>
          <cell r="B12870"/>
          <cell r="C12870"/>
          <cell r="D12870"/>
          <cell r="E12870"/>
        </row>
        <row r="12871">
          <cell r="A12871"/>
          <cell r="B12871"/>
          <cell r="C12871"/>
          <cell r="D12871"/>
          <cell r="E12871"/>
        </row>
        <row r="12872">
          <cell r="A12872"/>
          <cell r="B12872"/>
          <cell r="C12872"/>
          <cell r="D12872"/>
          <cell r="E12872"/>
        </row>
        <row r="12873">
          <cell r="A12873"/>
          <cell r="B12873"/>
          <cell r="C12873"/>
          <cell r="D12873"/>
          <cell r="E12873"/>
        </row>
        <row r="12874">
          <cell r="A12874"/>
          <cell r="B12874"/>
          <cell r="C12874"/>
          <cell r="D12874"/>
          <cell r="E12874"/>
        </row>
        <row r="12875">
          <cell r="A12875"/>
          <cell r="B12875"/>
          <cell r="C12875"/>
          <cell r="D12875"/>
          <cell r="E12875"/>
        </row>
        <row r="12876">
          <cell r="A12876"/>
          <cell r="B12876"/>
          <cell r="C12876"/>
          <cell r="D12876"/>
          <cell r="E12876"/>
        </row>
        <row r="12877">
          <cell r="A12877"/>
          <cell r="B12877"/>
          <cell r="C12877"/>
          <cell r="D12877"/>
          <cell r="E12877"/>
        </row>
        <row r="12878">
          <cell r="A12878"/>
          <cell r="B12878"/>
          <cell r="C12878"/>
          <cell r="D12878"/>
          <cell r="E12878"/>
        </row>
        <row r="12879">
          <cell r="A12879"/>
          <cell r="B12879"/>
          <cell r="C12879"/>
          <cell r="D12879"/>
          <cell r="E12879"/>
        </row>
        <row r="12880">
          <cell r="A12880"/>
          <cell r="B12880"/>
          <cell r="C12880"/>
          <cell r="D12880"/>
          <cell r="E12880"/>
        </row>
        <row r="12881">
          <cell r="A12881"/>
          <cell r="B12881"/>
          <cell r="C12881"/>
          <cell r="D12881"/>
          <cell r="E12881"/>
        </row>
        <row r="12882">
          <cell r="A12882"/>
          <cell r="B12882"/>
          <cell r="C12882"/>
          <cell r="D12882"/>
          <cell r="E12882"/>
        </row>
        <row r="12883">
          <cell r="A12883"/>
          <cell r="B12883"/>
          <cell r="C12883"/>
          <cell r="D12883"/>
          <cell r="E12883"/>
        </row>
        <row r="12884">
          <cell r="A12884"/>
          <cell r="B12884"/>
          <cell r="C12884"/>
          <cell r="D12884"/>
          <cell r="E12884"/>
        </row>
        <row r="12885">
          <cell r="A12885"/>
          <cell r="B12885"/>
          <cell r="C12885"/>
          <cell r="D12885"/>
          <cell r="E12885"/>
        </row>
        <row r="12886">
          <cell r="A12886"/>
          <cell r="B12886"/>
          <cell r="C12886"/>
          <cell r="D12886"/>
          <cell r="E12886"/>
        </row>
        <row r="12887">
          <cell r="A12887"/>
          <cell r="B12887"/>
          <cell r="C12887"/>
          <cell r="D12887"/>
          <cell r="E12887"/>
        </row>
        <row r="12888">
          <cell r="A12888"/>
          <cell r="B12888"/>
          <cell r="C12888"/>
          <cell r="D12888"/>
          <cell r="E12888"/>
        </row>
        <row r="12889">
          <cell r="A12889"/>
          <cell r="B12889"/>
          <cell r="C12889"/>
          <cell r="D12889"/>
          <cell r="E12889"/>
        </row>
        <row r="12890">
          <cell r="A12890"/>
          <cell r="B12890"/>
          <cell r="C12890"/>
          <cell r="D12890"/>
          <cell r="E12890"/>
        </row>
        <row r="12891">
          <cell r="A12891"/>
          <cell r="B12891"/>
          <cell r="C12891"/>
          <cell r="D12891"/>
          <cell r="E12891"/>
        </row>
        <row r="12892">
          <cell r="A12892"/>
          <cell r="B12892"/>
          <cell r="C12892"/>
          <cell r="D12892"/>
          <cell r="E12892"/>
        </row>
        <row r="12893">
          <cell r="A12893"/>
          <cell r="B12893"/>
          <cell r="C12893"/>
          <cell r="D12893"/>
          <cell r="E12893"/>
        </row>
        <row r="12894">
          <cell r="A12894"/>
          <cell r="B12894"/>
          <cell r="C12894"/>
          <cell r="D12894"/>
          <cell r="E12894"/>
        </row>
        <row r="12895">
          <cell r="A12895"/>
          <cell r="B12895"/>
          <cell r="C12895"/>
          <cell r="D12895"/>
          <cell r="E12895"/>
        </row>
        <row r="12896">
          <cell r="A12896"/>
          <cell r="B12896"/>
          <cell r="C12896"/>
          <cell r="D12896"/>
          <cell r="E12896"/>
        </row>
        <row r="12897">
          <cell r="A12897"/>
          <cell r="B12897"/>
          <cell r="C12897"/>
          <cell r="D12897"/>
          <cell r="E12897"/>
        </row>
        <row r="12898">
          <cell r="A12898"/>
          <cell r="B12898"/>
          <cell r="C12898"/>
          <cell r="D12898"/>
          <cell r="E12898"/>
        </row>
        <row r="12899">
          <cell r="A12899"/>
          <cell r="B12899"/>
          <cell r="C12899"/>
          <cell r="D12899"/>
          <cell r="E12899"/>
        </row>
        <row r="12900">
          <cell r="A12900"/>
          <cell r="B12900"/>
          <cell r="C12900"/>
          <cell r="D12900"/>
          <cell r="E12900"/>
        </row>
        <row r="12901">
          <cell r="A12901"/>
          <cell r="B12901"/>
          <cell r="C12901"/>
          <cell r="D12901"/>
          <cell r="E12901"/>
        </row>
        <row r="12902">
          <cell r="A12902"/>
          <cell r="B12902"/>
          <cell r="C12902"/>
          <cell r="D12902"/>
          <cell r="E12902"/>
        </row>
        <row r="12903">
          <cell r="A12903"/>
          <cell r="B12903"/>
          <cell r="C12903"/>
          <cell r="D12903"/>
          <cell r="E12903"/>
        </row>
        <row r="12904">
          <cell r="A12904"/>
          <cell r="B12904"/>
          <cell r="C12904"/>
          <cell r="D12904"/>
          <cell r="E12904"/>
        </row>
        <row r="12905">
          <cell r="A12905"/>
          <cell r="B12905"/>
          <cell r="C12905"/>
          <cell r="D12905"/>
          <cell r="E12905"/>
        </row>
        <row r="12906">
          <cell r="A12906"/>
          <cell r="B12906"/>
          <cell r="C12906"/>
          <cell r="D12906"/>
          <cell r="E12906"/>
        </row>
        <row r="12907">
          <cell r="A12907"/>
          <cell r="B12907"/>
          <cell r="C12907"/>
          <cell r="D12907"/>
          <cell r="E12907"/>
        </row>
        <row r="12908">
          <cell r="A12908"/>
          <cell r="B12908"/>
          <cell r="C12908"/>
          <cell r="D12908"/>
          <cell r="E12908"/>
        </row>
        <row r="12909">
          <cell r="A12909"/>
          <cell r="B12909"/>
          <cell r="C12909"/>
          <cell r="D12909"/>
          <cell r="E12909"/>
        </row>
        <row r="12910">
          <cell r="A12910"/>
          <cell r="B12910"/>
          <cell r="C12910"/>
          <cell r="D12910"/>
          <cell r="E12910"/>
        </row>
        <row r="12911">
          <cell r="A12911"/>
          <cell r="B12911"/>
          <cell r="C12911"/>
          <cell r="D12911"/>
          <cell r="E12911"/>
        </row>
        <row r="12912">
          <cell r="A12912"/>
          <cell r="B12912"/>
          <cell r="C12912"/>
          <cell r="D12912"/>
          <cell r="E12912"/>
        </row>
        <row r="12913">
          <cell r="A12913"/>
          <cell r="B12913"/>
          <cell r="C12913"/>
          <cell r="D12913"/>
          <cell r="E12913"/>
        </row>
        <row r="12914">
          <cell r="A12914"/>
          <cell r="B12914"/>
          <cell r="C12914"/>
          <cell r="D12914"/>
          <cell r="E12914"/>
        </row>
        <row r="12915">
          <cell r="A12915"/>
          <cell r="B12915"/>
          <cell r="C12915"/>
          <cell r="D12915"/>
          <cell r="E12915"/>
        </row>
        <row r="12916">
          <cell r="A12916"/>
          <cell r="B12916"/>
          <cell r="C12916"/>
          <cell r="D12916"/>
          <cell r="E12916"/>
        </row>
        <row r="12917">
          <cell r="A12917"/>
          <cell r="B12917"/>
          <cell r="C12917"/>
          <cell r="D12917"/>
          <cell r="E12917"/>
        </row>
        <row r="12918">
          <cell r="A12918"/>
          <cell r="B12918"/>
          <cell r="C12918"/>
          <cell r="D12918"/>
          <cell r="E12918"/>
        </row>
        <row r="12919">
          <cell r="A12919"/>
          <cell r="B12919"/>
          <cell r="C12919"/>
          <cell r="D12919"/>
          <cell r="E12919"/>
        </row>
        <row r="12920">
          <cell r="A12920"/>
          <cell r="B12920"/>
          <cell r="C12920"/>
          <cell r="D12920"/>
          <cell r="E12920"/>
        </row>
        <row r="12921">
          <cell r="A12921"/>
          <cell r="B12921"/>
          <cell r="C12921"/>
          <cell r="D12921"/>
          <cell r="E12921"/>
        </row>
        <row r="12922">
          <cell r="A12922"/>
          <cell r="B12922"/>
          <cell r="C12922"/>
          <cell r="D12922"/>
          <cell r="E12922"/>
        </row>
        <row r="12923">
          <cell r="A12923"/>
          <cell r="B12923"/>
          <cell r="C12923"/>
          <cell r="D12923"/>
          <cell r="E12923"/>
        </row>
        <row r="12924">
          <cell r="A12924"/>
          <cell r="B12924"/>
          <cell r="C12924"/>
          <cell r="D12924"/>
          <cell r="E12924"/>
        </row>
        <row r="12925">
          <cell r="A12925"/>
          <cell r="B12925"/>
          <cell r="C12925"/>
          <cell r="D12925"/>
          <cell r="E12925"/>
        </row>
        <row r="12926">
          <cell r="A12926"/>
          <cell r="B12926"/>
          <cell r="C12926"/>
          <cell r="D12926"/>
          <cell r="E12926"/>
        </row>
        <row r="12927">
          <cell r="A12927"/>
          <cell r="B12927"/>
          <cell r="C12927"/>
          <cell r="D12927"/>
          <cell r="E12927"/>
        </row>
        <row r="12928">
          <cell r="A12928"/>
          <cell r="B12928"/>
          <cell r="C12928"/>
          <cell r="D12928"/>
          <cell r="E12928"/>
        </row>
        <row r="12929">
          <cell r="A12929"/>
          <cell r="B12929"/>
          <cell r="C12929"/>
          <cell r="D12929"/>
          <cell r="E12929"/>
        </row>
        <row r="12930">
          <cell r="A12930"/>
          <cell r="B12930"/>
          <cell r="C12930"/>
          <cell r="D12930"/>
          <cell r="E12930"/>
        </row>
        <row r="12931">
          <cell r="A12931"/>
          <cell r="B12931"/>
          <cell r="C12931"/>
          <cell r="D12931"/>
          <cell r="E12931"/>
        </row>
        <row r="12932">
          <cell r="A12932"/>
          <cell r="B12932"/>
          <cell r="C12932"/>
          <cell r="D12932"/>
          <cell r="E12932"/>
        </row>
        <row r="12933">
          <cell r="A12933"/>
          <cell r="B12933"/>
          <cell r="C12933"/>
          <cell r="D12933"/>
          <cell r="E12933"/>
        </row>
        <row r="12934">
          <cell r="A12934"/>
          <cell r="B12934"/>
          <cell r="C12934"/>
          <cell r="D12934"/>
          <cell r="E12934"/>
        </row>
        <row r="12935">
          <cell r="A12935"/>
          <cell r="B12935"/>
          <cell r="C12935"/>
          <cell r="D12935"/>
          <cell r="E12935"/>
        </row>
        <row r="12936">
          <cell r="A12936"/>
          <cell r="B12936"/>
          <cell r="C12936"/>
          <cell r="D12936"/>
          <cell r="E12936"/>
        </row>
        <row r="12937">
          <cell r="A12937"/>
          <cell r="B12937"/>
          <cell r="C12937"/>
          <cell r="D12937"/>
          <cell r="E12937"/>
        </row>
        <row r="12938">
          <cell r="A12938"/>
          <cell r="B12938"/>
          <cell r="C12938"/>
          <cell r="D12938"/>
          <cell r="E12938"/>
        </row>
        <row r="12939">
          <cell r="A12939"/>
          <cell r="B12939"/>
          <cell r="C12939"/>
          <cell r="D12939"/>
          <cell r="E12939"/>
        </row>
        <row r="12940">
          <cell r="A12940"/>
          <cell r="B12940"/>
          <cell r="C12940"/>
          <cell r="D12940"/>
          <cell r="E12940"/>
        </row>
        <row r="12941">
          <cell r="A12941"/>
          <cell r="B12941"/>
          <cell r="C12941"/>
          <cell r="D12941"/>
          <cell r="E12941"/>
        </row>
        <row r="12942">
          <cell r="A12942"/>
          <cell r="B12942"/>
          <cell r="C12942"/>
          <cell r="D12942"/>
          <cell r="E12942"/>
        </row>
        <row r="12943">
          <cell r="A12943"/>
          <cell r="B12943"/>
          <cell r="C12943"/>
          <cell r="D12943"/>
          <cell r="E12943"/>
        </row>
        <row r="12944">
          <cell r="A12944"/>
          <cell r="B12944"/>
          <cell r="C12944"/>
          <cell r="D12944"/>
          <cell r="E12944"/>
        </row>
        <row r="12945">
          <cell r="A12945"/>
          <cell r="B12945"/>
          <cell r="C12945"/>
          <cell r="D12945"/>
          <cell r="E12945"/>
        </row>
        <row r="12946">
          <cell r="A12946"/>
          <cell r="B12946"/>
          <cell r="C12946"/>
          <cell r="D12946"/>
          <cell r="E12946"/>
        </row>
        <row r="12947">
          <cell r="A12947"/>
          <cell r="B12947"/>
          <cell r="C12947"/>
          <cell r="D12947"/>
          <cell r="E12947"/>
        </row>
        <row r="12948">
          <cell r="A12948"/>
          <cell r="B12948"/>
          <cell r="C12948"/>
          <cell r="D12948"/>
          <cell r="E12948"/>
        </row>
        <row r="12949">
          <cell r="A12949"/>
          <cell r="B12949"/>
          <cell r="C12949"/>
          <cell r="D12949"/>
          <cell r="E12949"/>
        </row>
        <row r="12950">
          <cell r="A12950"/>
          <cell r="B12950"/>
          <cell r="C12950"/>
          <cell r="D12950"/>
          <cell r="E12950"/>
        </row>
        <row r="12951">
          <cell r="A12951"/>
          <cell r="B12951"/>
          <cell r="C12951"/>
          <cell r="D12951"/>
          <cell r="E12951"/>
        </row>
        <row r="12952">
          <cell r="A12952"/>
          <cell r="B12952"/>
          <cell r="C12952"/>
          <cell r="D12952"/>
          <cell r="E12952"/>
        </row>
        <row r="12953">
          <cell r="A12953"/>
          <cell r="B12953"/>
          <cell r="C12953"/>
          <cell r="D12953"/>
          <cell r="E12953"/>
        </row>
        <row r="12954">
          <cell r="A12954"/>
          <cell r="B12954"/>
          <cell r="C12954"/>
          <cell r="D12954"/>
          <cell r="E12954"/>
        </row>
        <row r="12955">
          <cell r="A12955"/>
          <cell r="B12955"/>
          <cell r="C12955"/>
          <cell r="D12955"/>
          <cell r="E12955"/>
        </row>
        <row r="12956">
          <cell r="A12956"/>
          <cell r="B12956"/>
          <cell r="C12956"/>
          <cell r="D12956"/>
          <cell r="E12956"/>
        </row>
        <row r="12957">
          <cell r="A12957"/>
          <cell r="B12957"/>
          <cell r="C12957"/>
          <cell r="D12957"/>
          <cell r="E12957"/>
        </row>
        <row r="12958">
          <cell r="A12958"/>
          <cell r="B12958"/>
          <cell r="C12958"/>
          <cell r="D12958"/>
          <cell r="E12958"/>
        </row>
        <row r="12959">
          <cell r="A12959"/>
          <cell r="B12959"/>
          <cell r="C12959"/>
          <cell r="D12959"/>
          <cell r="E12959"/>
        </row>
        <row r="12960">
          <cell r="A12960"/>
          <cell r="B12960"/>
          <cell r="C12960"/>
          <cell r="D12960"/>
          <cell r="E12960"/>
        </row>
        <row r="12961">
          <cell r="A12961"/>
          <cell r="B12961"/>
          <cell r="C12961"/>
          <cell r="D12961"/>
          <cell r="E12961"/>
        </row>
        <row r="12962">
          <cell r="A12962"/>
          <cell r="B12962"/>
          <cell r="C12962"/>
          <cell r="D12962"/>
          <cell r="E12962"/>
        </row>
        <row r="12963">
          <cell r="A12963"/>
          <cell r="B12963"/>
          <cell r="C12963"/>
          <cell r="D12963"/>
          <cell r="E12963"/>
        </row>
        <row r="12964">
          <cell r="A12964"/>
          <cell r="B12964"/>
          <cell r="C12964"/>
          <cell r="D12964"/>
          <cell r="E12964"/>
        </row>
        <row r="12965">
          <cell r="A12965"/>
          <cell r="B12965"/>
          <cell r="C12965"/>
          <cell r="D12965"/>
          <cell r="E12965"/>
        </row>
        <row r="12966">
          <cell r="A12966"/>
          <cell r="B12966"/>
          <cell r="C12966"/>
          <cell r="D12966"/>
          <cell r="E12966"/>
        </row>
        <row r="12967">
          <cell r="A12967"/>
          <cell r="B12967"/>
          <cell r="C12967"/>
          <cell r="D12967"/>
          <cell r="E12967"/>
        </row>
        <row r="12968">
          <cell r="A12968"/>
          <cell r="B12968"/>
          <cell r="C12968"/>
          <cell r="D12968"/>
          <cell r="E12968"/>
        </row>
        <row r="12969">
          <cell r="A12969"/>
          <cell r="B12969"/>
          <cell r="C12969"/>
          <cell r="D12969"/>
          <cell r="E12969"/>
        </row>
        <row r="12970">
          <cell r="A12970"/>
          <cell r="B12970"/>
          <cell r="C12970"/>
          <cell r="D12970"/>
          <cell r="E12970"/>
        </row>
        <row r="12971">
          <cell r="A12971"/>
          <cell r="B12971"/>
          <cell r="C12971"/>
          <cell r="D12971"/>
          <cell r="E12971"/>
        </row>
        <row r="12972">
          <cell r="A12972"/>
          <cell r="B12972"/>
          <cell r="C12972"/>
          <cell r="D12972"/>
          <cell r="E12972"/>
        </row>
        <row r="12973">
          <cell r="A12973"/>
          <cell r="B12973"/>
          <cell r="C12973"/>
          <cell r="D12973"/>
          <cell r="E12973"/>
        </row>
        <row r="12974">
          <cell r="A12974"/>
          <cell r="B12974"/>
          <cell r="C12974"/>
          <cell r="D12974"/>
          <cell r="E12974"/>
        </row>
        <row r="12975">
          <cell r="A12975"/>
          <cell r="B12975"/>
          <cell r="C12975"/>
          <cell r="D12975"/>
          <cell r="E12975"/>
        </row>
        <row r="12976">
          <cell r="A12976"/>
          <cell r="B12976"/>
          <cell r="C12976"/>
          <cell r="D12976"/>
          <cell r="E12976"/>
        </row>
        <row r="12977">
          <cell r="A12977"/>
          <cell r="B12977"/>
          <cell r="C12977"/>
          <cell r="D12977"/>
          <cell r="E12977"/>
        </row>
        <row r="12978">
          <cell r="A12978"/>
          <cell r="B12978"/>
          <cell r="C12978"/>
          <cell r="D12978"/>
          <cell r="E12978"/>
        </row>
        <row r="12979">
          <cell r="A12979"/>
          <cell r="B12979"/>
          <cell r="C12979"/>
          <cell r="D12979"/>
          <cell r="E12979"/>
        </row>
        <row r="12980">
          <cell r="A12980"/>
          <cell r="B12980"/>
          <cell r="C12980"/>
          <cell r="D12980"/>
          <cell r="E12980"/>
        </row>
        <row r="12981">
          <cell r="A12981"/>
          <cell r="B12981"/>
          <cell r="C12981"/>
          <cell r="D12981"/>
          <cell r="E12981"/>
        </row>
        <row r="12982">
          <cell r="A12982"/>
          <cell r="B12982"/>
          <cell r="C12982"/>
          <cell r="D12982"/>
          <cell r="E12982"/>
        </row>
        <row r="12983">
          <cell r="A12983"/>
          <cell r="B12983"/>
          <cell r="C12983"/>
          <cell r="D12983"/>
          <cell r="E12983"/>
        </row>
        <row r="12984">
          <cell r="A12984"/>
          <cell r="B12984"/>
          <cell r="C12984"/>
          <cell r="D12984"/>
          <cell r="E12984"/>
        </row>
        <row r="12985">
          <cell r="A12985"/>
          <cell r="B12985"/>
          <cell r="C12985"/>
          <cell r="D12985"/>
          <cell r="E12985"/>
        </row>
        <row r="12986">
          <cell r="A12986"/>
          <cell r="B12986"/>
          <cell r="C12986"/>
          <cell r="D12986"/>
          <cell r="E12986"/>
        </row>
        <row r="12987">
          <cell r="A12987"/>
          <cell r="B12987"/>
          <cell r="C12987"/>
          <cell r="D12987"/>
          <cell r="E12987"/>
        </row>
        <row r="12988">
          <cell r="A12988"/>
          <cell r="B12988"/>
          <cell r="C12988"/>
          <cell r="D12988"/>
          <cell r="E12988"/>
        </row>
        <row r="12989">
          <cell r="A12989"/>
          <cell r="B12989"/>
          <cell r="C12989"/>
          <cell r="D12989"/>
          <cell r="E12989"/>
        </row>
        <row r="12990">
          <cell r="A12990"/>
          <cell r="B12990"/>
          <cell r="C12990"/>
          <cell r="D12990"/>
          <cell r="E12990"/>
        </row>
        <row r="12991">
          <cell r="A12991"/>
          <cell r="B12991"/>
          <cell r="C12991"/>
          <cell r="D12991"/>
          <cell r="E12991"/>
        </row>
        <row r="12992">
          <cell r="A12992"/>
          <cell r="B12992"/>
          <cell r="C12992"/>
          <cell r="D12992"/>
          <cell r="E12992"/>
        </row>
        <row r="12993">
          <cell r="A12993"/>
          <cell r="B12993"/>
          <cell r="C12993"/>
          <cell r="D12993"/>
          <cell r="E12993"/>
        </row>
        <row r="12994">
          <cell r="A12994"/>
          <cell r="B12994"/>
          <cell r="C12994"/>
          <cell r="D12994"/>
          <cell r="E12994"/>
        </row>
        <row r="12995">
          <cell r="A12995"/>
          <cell r="B12995"/>
          <cell r="C12995"/>
          <cell r="D12995"/>
          <cell r="E12995"/>
        </row>
        <row r="12996">
          <cell r="A12996"/>
          <cell r="B12996"/>
          <cell r="C12996"/>
          <cell r="D12996"/>
          <cell r="E12996"/>
        </row>
        <row r="12997">
          <cell r="A12997"/>
          <cell r="B12997"/>
          <cell r="C12997"/>
          <cell r="D12997"/>
          <cell r="E12997"/>
        </row>
        <row r="12998">
          <cell r="A12998"/>
          <cell r="B12998"/>
          <cell r="C12998"/>
          <cell r="D12998"/>
          <cell r="E12998"/>
        </row>
        <row r="12999">
          <cell r="A12999"/>
          <cell r="B12999"/>
          <cell r="C12999"/>
          <cell r="D12999"/>
          <cell r="E12999"/>
        </row>
        <row r="13000">
          <cell r="A13000"/>
          <cell r="B13000"/>
          <cell r="C13000"/>
          <cell r="D13000"/>
          <cell r="E13000"/>
        </row>
        <row r="13001">
          <cell r="A13001"/>
          <cell r="B13001"/>
          <cell r="C13001"/>
          <cell r="D13001"/>
          <cell r="E13001"/>
        </row>
        <row r="13002">
          <cell r="A13002"/>
          <cell r="B13002"/>
          <cell r="C13002"/>
          <cell r="D13002"/>
          <cell r="E13002"/>
        </row>
        <row r="13003">
          <cell r="A13003"/>
          <cell r="B13003"/>
          <cell r="C13003"/>
          <cell r="D13003"/>
          <cell r="E13003"/>
        </row>
        <row r="13004">
          <cell r="A13004"/>
          <cell r="B13004"/>
          <cell r="C13004"/>
          <cell r="D13004"/>
          <cell r="E13004"/>
        </row>
        <row r="13005">
          <cell r="A13005"/>
          <cell r="B13005"/>
          <cell r="C13005"/>
          <cell r="D13005"/>
          <cell r="E13005"/>
        </row>
        <row r="13006">
          <cell r="A13006"/>
          <cell r="B13006"/>
          <cell r="C13006"/>
          <cell r="D13006"/>
          <cell r="E13006"/>
        </row>
        <row r="13007">
          <cell r="A13007"/>
          <cell r="B13007"/>
          <cell r="C13007"/>
          <cell r="D13007"/>
          <cell r="E13007"/>
        </row>
        <row r="13008">
          <cell r="A13008"/>
          <cell r="B13008"/>
          <cell r="C13008"/>
          <cell r="D13008"/>
          <cell r="E13008"/>
        </row>
        <row r="13009">
          <cell r="A13009"/>
          <cell r="B13009"/>
          <cell r="C13009"/>
          <cell r="D13009"/>
          <cell r="E13009"/>
        </row>
        <row r="13010">
          <cell r="A13010"/>
          <cell r="B13010"/>
          <cell r="C13010"/>
          <cell r="D13010"/>
          <cell r="E13010"/>
        </row>
        <row r="13011">
          <cell r="A13011"/>
          <cell r="B13011"/>
          <cell r="C13011"/>
          <cell r="D13011"/>
          <cell r="E13011"/>
        </row>
        <row r="13012">
          <cell r="A13012"/>
          <cell r="B13012"/>
          <cell r="C13012"/>
          <cell r="D13012"/>
          <cell r="E13012"/>
        </row>
        <row r="13013">
          <cell r="A13013"/>
          <cell r="B13013"/>
          <cell r="C13013"/>
          <cell r="D13013"/>
          <cell r="E13013"/>
        </row>
        <row r="13014">
          <cell r="A13014"/>
          <cell r="B13014"/>
          <cell r="C13014"/>
          <cell r="D13014"/>
          <cell r="E13014"/>
        </row>
        <row r="13015">
          <cell r="A13015"/>
          <cell r="B13015"/>
          <cell r="C13015"/>
          <cell r="D13015"/>
          <cell r="E13015"/>
        </row>
        <row r="13016">
          <cell r="A13016"/>
          <cell r="B13016"/>
          <cell r="C13016"/>
          <cell r="D13016"/>
          <cell r="E13016"/>
        </row>
        <row r="13017">
          <cell r="A13017"/>
          <cell r="B13017"/>
          <cell r="C13017"/>
          <cell r="D13017"/>
          <cell r="E13017"/>
        </row>
        <row r="13018">
          <cell r="A13018"/>
          <cell r="B13018"/>
          <cell r="C13018"/>
          <cell r="D13018"/>
          <cell r="E13018"/>
        </row>
        <row r="13019">
          <cell r="A13019"/>
          <cell r="B13019"/>
          <cell r="C13019"/>
          <cell r="D13019"/>
          <cell r="E13019"/>
        </row>
        <row r="13020">
          <cell r="A13020"/>
          <cell r="B13020"/>
          <cell r="C13020"/>
          <cell r="D13020"/>
          <cell r="E13020"/>
        </row>
        <row r="13021">
          <cell r="A13021"/>
          <cell r="B13021"/>
          <cell r="C13021"/>
          <cell r="D13021"/>
          <cell r="E13021"/>
        </row>
        <row r="13022">
          <cell r="A13022"/>
          <cell r="B13022"/>
          <cell r="C13022"/>
          <cell r="D13022"/>
          <cell r="E13022"/>
        </row>
        <row r="13023">
          <cell r="A13023"/>
          <cell r="B13023"/>
          <cell r="C13023"/>
          <cell r="D13023"/>
          <cell r="E13023"/>
        </row>
        <row r="13024">
          <cell r="A13024"/>
          <cell r="B13024"/>
          <cell r="C13024"/>
          <cell r="D13024"/>
          <cell r="E13024"/>
        </row>
        <row r="13025">
          <cell r="A13025"/>
          <cell r="B13025"/>
          <cell r="C13025"/>
          <cell r="D13025"/>
          <cell r="E13025"/>
        </row>
        <row r="13026">
          <cell r="A13026"/>
          <cell r="B13026"/>
          <cell r="C13026"/>
          <cell r="D13026"/>
          <cell r="E13026"/>
        </row>
        <row r="13027">
          <cell r="A13027"/>
          <cell r="B13027"/>
          <cell r="C13027"/>
          <cell r="D13027"/>
          <cell r="E13027"/>
        </row>
        <row r="13028">
          <cell r="A13028"/>
          <cell r="B13028"/>
          <cell r="C13028"/>
          <cell r="D13028"/>
          <cell r="E13028"/>
        </row>
        <row r="13029">
          <cell r="A13029"/>
          <cell r="B13029"/>
          <cell r="C13029"/>
          <cell r="D13029"/>
          <cell r="E13029"/>
        </row>
        <row r="13030">
          <cell r="A13030"/>
          <cell r="B13030"/>
          <cell r="C13030"/>
          <cell r="D13030"/>
          <cell r="E13030"/>
        </row>
        <row r="13031">
          <cell r="A13031"/>
          <cell r="B13031"/>
          <cell r="C13031"/>
          <cell r="D13031"/>
          <cell r="E13031"/>
        </row>
        <row r="13032">
          <cell r="A13032"/>
          <cell r="B13032"/>
          <cell r="C13032"/>
          <cell r="D13032"/>
          <cell r="E13032"/>
        </row>
        <row r="13033">
          <cell r="A13033"/>
          <cell r="B13033"/>
          <cell r="C13033"/>
          <cell r="D13033"/>
          <cell r="E13033"/>
        </row>
        <row r="13034">
          <cell r="A13034"/>
          <cell r="B13034"/>
          <cell r="C13034"/>
          <cell r="D13034"/>
          <cell r="E13034"/>
        </row>
        <row r="13035">
          <cell r="A13035"/>
          <cell r="B13035"/>
          <cell r="C13035"/>
          <cell r="D13035"/>
          <cell r="E13035"/>
        </row>
        <row r="13036">
          <cell r="A13036"/>
          <cell r="B13036"/>
          <cell r="C13036"/>
          <cell r="D13036"/>
          <cell r="E13036"/>
        </row>
        <row r="13037">
          <cell r="A13037"/>
          <cell r="B13037"/>
          <cell r="C13037"/>
          <cell r="D13037"/>
          <cell r="E13037"/>
        </row>
        <row r="13038">
          <cell r="A13038"/>
          <cell r="B13038"/>
          <cell r="C13038"/>
          <cell r="D13038"/>
          <cell r="E13038"/>
        </row>
        <row r="13039">
          <cell r="A13039"/>
          <cell r="B13039"/>
          <cell r="C13039"/>
          <cell r="D13039"/>
          <cell r="E13039"/>
        </row>
        <row r="13040">
          <cell r="A13040"/>
          <cell r="B13040"/>
          <cell r="C13040"/>
          <cell r="D13040"/>
          <cell r="E13040"/>
        </row>
        <row r="13041">
          <cell r="A13041"/>
          <cell r="B13041"/>
          <cell r="C13041"/>
          <cell r="D13041"/>
          <cell r="E13041"/>
        </row>
        <row r="13042">
          <cell r="A13042"/>
          <cell r="B13042"/>
          <cell r="C13042"/>
          <cell r="D13042"/>
          <cell r="E13042"/>
        </row>
        <row r="13043">
          <cell r="A13043"/>
          <cell r="B13043"/>
          <cell r="C13043"/>
          <cell r="D13043"/>
          <cell r="E13043"/>
        </row>
        <row r="13044">
          <cell r="A13044"/>
          <cell r="B13044"/>
          <cell r="C13044"/>
          <cell r="D13044"/>
          <cell r="E13044"/>
        </row>
        <row r="13045">
          <cell r="A13045"/>
          <cell r="B13045"/>
          <cell r="C13045"/>
          <cell r="D13045"/>
          <cell r="E13045"/>
        </row>
        <row r="13046">
          <cell r="A13046"/>
          <cell r="B13046"/>
          <cell r="C13046"/>
          <cell r="D13046"/>
          <cell r="E13046"/>
        </row>
        <row r="13047">
          <cell r="A13047"/>
          <cell r="B13047"/>
          <cell r="C13047"/>
          <cell r="D13047"/>
          <cell r="E13047"/>
        </row>
        <row r="13048">
          <cell r="A13048"/>
          <cell r="B13048"/>
          <cell r="C13048"/>
          <cell r="D13048"/>
          <cell r="E13048"/>
        </row>
        <row r="13049">
          <cell r="A13049"/>
          <cell r="B13049"/>
          <cell r="C13049"/>
          <cell r="D13049"/>
          <cell r="E13049"/>
        </row>
        <row r="13050">
          <cell r="A13050"/>
          <cell r="B13050"/>
          <cell r="C13050"/>
          <cell r="D13050"/>
          <cell r="E13050"/>
        </row>
        <row r="13051">
          <cell r="A13051"/>
          <cell r="B13051"/>
          <cell r="C13051"/>
          <cell r="D13051"/>
          <cell r="E13051"/>
        </row>
        <row r="13052">
          <cell r="A13052"/>
          <cell r="B13052"/>
          <cell r="C13052"/>
          <cell r="D13052"/>
          <cell r="E13052"/>
        </row>
        <row r="13053">
          <cell r="A13053"/>
          <cell r="B13053"/>
          <cell r="C13053"/>
          <cell r="D13053"/>
          <cell r="E13053"/>
        </row>
        <row r="13054">
          <cell r="A13054"/>
          <cell r="B13054"/>
          <cell r="C13054"/>
          <cell r="D13054"/>
          <cell r="E13054"/>
        </row>
        <row r="13055">
          <cell r="A13055"/>
          <cell r="B13055"/>
          <cell r="C13055"/>
          <cell r="D13055"/>
          <cell r="E13055"/>
        </row>
        <row r="13056">
          <cell r="A13056"/>
          <cell r="B13056"/>
          <cell r="C13056"/>
          <cell r="D13056"/>
          <cell r="E13056"/>
        </row>
        <row r="13057">
          <cell r="A13057"/>
          <cell r="B13057"/>
          <cell r="C13057"/>
          <cell r="D13057"/>
          <cell r="E13057"/>
        </row>
        <row r="13058">
          <cell r="A13058"/>
          <cell r="B13058"/>
          <cell r="C13058"/>
          <cell r="D13058"/>
          <cell r="E13058"/>
        </row>
        <row r="13059">
          <cell r="A13059"/>
          <cell r="B13059"/>
          <cell r="C13059"/>
          <cell r="D13059"/>
          <cell r="E13059"/>
        </row>
        <row r="13060">
          <cell r="A13060"/>
          <cell r="B13060"/>
          <cell r="C13060"/>
          <cell r="D13060"/>
          <cell r="E13060"/>
        </row>
        <row r="13061">
          <cell r="A13061"/>
          <cell r="B13061"/>
          <cell r="C13061"/>
          <cell r="D13061"/>
          <cell r="E13061"/>
        </row>
        <row r="13062">
          <cell r="A13062"/>
          <cell r="B13062"/>
          <cell r="C13062"/>
          <cell r="D13062"/>
          <cell r="E13062"/>
        </row>
        <row r="13063">
          <cell r="A13063"/>
          <cell r="B13063"/>
          <cell r="C13063"/>
          <cell r="D13063"/>
          <cell r="E13063"/>
        </row>
        <row r="13064">
          <cell r="A13064"/>
          <cell r="B13064"/>
          <cell r="C13064"/>
          <cell r="D13064"/>
          <cell r="E13064"/>
        </row>
        <row r="13065">
          <cell r="A13065"/>
          <cell r="B13065"/>
          <cell r="C13065"/>
          <cell r="D13065"/>
          <cell r="E13065"/>
        </row>
        <row r="13066">
          <cell r="A13066"/>
          <cell r="B13066"/>
          <cell r="C13066"/>
          <cell r="D13066"/>
          <cell r="E13066"/>
        </row>
        <row r="13067">
          <cell r="A13067"/>
          <cell r="B13067"/>
          <cell r="C13067"/>
          <cell r="D13067"/>
          <cell r="E13067"/>
        </row>
        <row r="13068">
          <cell r="A13068"/>
          <cell r="B13068"/>
          <cell r="C13068"/>
          <cell r="D13068"/>
          <cell r="E13068"/>
        </row>
        <row r="13069">
          <cell r="A13069"/>
          <cell r="B13069"/>
          <cell r="C13069"/>
          <cell r="D13069"/>
          <cell r="E13069"/>
        </row>
        <row r="13070">
          <cell r="A13070"/>
          <cell r="B13070"/>
          <cell r="C13070"/>
          <cell r="D13070"/>
          <cell r="E13070"/>
        </row>
        <row r="13071">
          <cell r="A13071"/>
          <cell r="B13071"/>
          <cell r="C13071"/>
          <cell r="D13071"/>
          <cell r="E13071"/>
        </row>
        <row r="13072">
          <cell r="A13072"/>
          <cell r="B13072"/>
          <cell r="C13072"/>
          <cell r="D13072"/>
          <cell r="E13072"/>
        </row>
        <row r="13073">
          <cell r="A13073"/>
          <cell r="B13073"/>
          <cell r="C13073"/>
          <cell r="D13073"/>
          <cell r="E13073"/>
        </row>
        <row r="13074">
          <cell r="A13074"/>
          <cell r="B13074"/>
          <cell r="C13074"/>
          <cell r="D13074"/>
          <cell r="E13074"/>
        </row>
        <row r="13075">
          <cell r="A13075"/>
          <cell r="B13075"/>
          <cell r="C13075"/>
          <cell r="D13075"/>
          <cell r="E13075"/>
        </row>
        <row r="13076">
          <cell r="A13076"/>
          <cell r="B13076"/>
          <cell r="C13076"/>
          <cell r="D13076"/>
          <cell r="E13076"/>
        </row>
        <row r="13077">
          <cell r="A13077"/>
          <cell r="B13077"/>
          <cell r="C13077"/>
          <cell r="D13077"/>
          <cell r="E13077"/>
        </row>
        <row r="13078">
          <cell r="A13078"/>
          <cell r="B13078"/>
          <cell r="C13078"/>
          <cell r="D13078"/>
          <cell r="E13078"/>
        </row>
        <row r="13079">
          <cell r="A13079"/>
          <cell r="B13079"/>
          <cell r="C13079"/>
          <cell r="D13079"/>
          <cell r="E13079"/>
        </row>
        <row r="13080">
          <cell r="A13080"/>
          <cell r="B13080"/>
          <cell r="C13080"/>
          <cell r="D13080"/>
          <cell r="E13080"/>
        </row>
        <row r="13081">
          <cell r="A13081"/>
          <cell r="B13081"/>
          <cell r="C13081"/>
          <cell r="D13081"/>
          <cell r="E13081"/>
        </row>
        <row r="13082">
          <cell r="A13082"/>
          <cell r="B13082"/>
          <cell r="C13082"/>
          <cell r="D13082"/>
          <cell r="E13082"/>
        </row>
        <row r="13083">
          <cell r="A13083"/>
          <cell r="B13083"/>
          <cell r="C13083"/>
          <cell r="D13083"/>
          <cell r="E13083"/>
        </row>
        <row r="13084">
          <cell r="A13084"/>
          <cell r="B13084"/>
          <cell r="C13084"/>
          <cell r="D13084"/>
          <cell r="E13084"/>
        </row>
        <row r="13085">
          <cell r="A13085"/>
          <cell r="B13085"/>
          <cell r="C13085"/>
          <cell r="D13085"/>
          <cell r="E13085"/>
        </row>
        <row r="13086">
          <cell r="A13086"/>
          <cell r="B13086"/>
          <cell r="C13086"/>
          <cell r="D13086"/>
          <cell r="E13086"/>
        </row>
        <row r="13087">
          <cell r="A13087"/>
          <cell r="B13087"/>
          <cell r="C13087"/>
          <cell r="D13087"/>
          <cell r="E13087"/>
        </row>
        <row r="13088">
          <cell r="A13088"/>
          <cell r="B13088"/>
          <cell r="C13088"/>
          <cell r="D13088"/>
          <cell r="E13088"/>
        </row>
        <row r="13089">
          <cell r="A13089"/>
          <cell r="B13089"/>
          <cell r="C13089"/>
          <cell r="D13089"/>
          <cell r="E13089"/>
        </row>
        <row r="13090">
          <cell r="A13090"/>
          <cell r="B13090"/>
          <cell r="C13090"/>
          <cell r="D13090"/>
          <cell r="E13090"/>
        </row>
        <row r="13091">
          <cell r="A13091"/>
          <cell r="B13091"/>
          <cell r="C13091"/>
          <cell r="D13091"/>
          <cell r="E13091"/>
        </row>
        <row r="13092">
          <cell r="A13092"/>
          <cell r="B13092"/>
          <cell r="C13092"/>
          <cell r="D13092"/>
          <cell r="E13092"/>
        </row>
        <row r="13093">
          <cell r="A13093"/>
          <cell r="B13093"/>
          <cell r="C13093"/>
          <cell r="D13093"/>
          <cell r="E13093"/>
        </row>
        <row r="13094">
          <cell r="A13094"/>
          <cell r="B13094"/>
          <cell r="C13094"/>
          <cell r="D13094"/>
          <cell r="E13094"/>
        </row>
        <row r="13095">
          <cell r="A13095"/>
          <cell r="B13095"/>
          <cell r="C13095"/>
          <cell r="D13095"/>
          <cell r="E13095"/>
        </row>
        <row r="13096">
          <cell r="A13096"/>
          <cell r="B13096"/>
          <cell r="C13096"/>
          <cell r="D13096"/>
          <cell r="E13096"/>
        </row>
        <row r="13097">
          <cell r="A13097"/>
          <cell r="B13097"/>
          <cell r="C13097"/>
          <cell r="D13097"/>
          <cell r="E13097"/>
        </row>
        <row r="13098">
          <cell r="A13098"/>
          <cell r="B13098"/>
          <cell r="C13098"/>
          <cell r="D13098"/>
          <cell r="E13098"/>
        </row>
        <row r="13099">
          <cell r="A13099"/>
          <cell r="B13099"/>
          <cell r="C13099"/>
          <cell r="D13099"/>
          <cell r="E13099"/>
        </row>
        <row r="13100">
          <cell r="A13100"/>
          <cell r="B13100"/>
          <cell r="C13100"/>
          <cell r="D13100"/>
          <cell r="E13100"/>
        </row>
        <row r="13101">
          <cell r="A13101"/>
          <cell r="B13101"/>
          <cell r="C13101"/>
          <cell r="D13101"/>
          <cell r="E13101"/>
        </row>
        <row r="13102">
          <cell r="A13102"/>
          <cell r="B13102"/>
          <cell r="C13102"/>
          <cell r="D13102"/>
          <cell r="E13102"/>
        </row>
        <row r="13103">
          <cell r="A13103"/>
          <cell r="B13103"/>
          <cell r="C13103"/>
          <cell r="D13103"/>
          <cell r="E13103"/>
        </row>
        <row r="13104">
          <cell r="A13104"/>
          <cell r="B13104"/>
          <cell r="C13104"/>
          <cell r="D13104"/>
          <cell r="E13104"/>
        </row>
        <row r="13105">
          <cell r="A13105"/>
          <cell r="B13105"/>
          <cell r="C13105"/>
          <cell r="D13105"/>
          <cell r="E13105"/>
        </row>
        <row r="13106">
          <cell r="A13106"/>
          <cell r="B13106"/>
          <cell r="C13106"/>
          <cell r="D13106"/>
          <cell r="E13106"/>
        </row>
        <row r="13107">
          <cell r="A13107"/>
          <cell r="B13107"/>
          <cell r="C13107"/>
          <cell r="D13107"/>
          <cell r="E13107"/>
        </row>
        <row r="13108">
          <cell r="A13108"/>
          <cell r="B13108"/>
          <cell r="C13108"/>
          <cell r="D13108"/>
          <cell r="E13108"/>
        </row>
        <row r="13109">
          <cell r="A13109"/>
          <cell r="B13109"/>
          <cell r="C13109"/>
          <cell r="D13109"/>
          <cell r="E13109"/>
        </row>
        <row r="13110">
          <cell r="A13110"/>
          <cell r="B13110"/>
          <cell r="C13110"/>
          <cell r="D13110"/>
          <cell r="E13110"/>
        </row>
        <row r="13111">
          <cell r="A13111"/>
          <cell r="B13111"/>
          <cell r="C13111"/>
          <cell r="D13111"/>
          <cell r="E13111"/>
        </row>
        <row r="13112">
          <cell r="A13112"/>
          <cell r="B13112"/>
          <cell r="C13112"/>
          <cell r="D13112"/>
          <cell r="E13112"/>
        </row>
        <row r="13113">
          <cell r="A13113"/>
          <cell r="B13113"/>
          <cell r="C13113"/>
          <cell r="D13113"/>
          <cell r="E13113"/>
        </row>
        <row r="13114">
          <cell r="A13114"/>
          <cell r="B13114"/>
          <cell r="C13114"/>
          <cell r="D13114"/>
          <cell r="E13114"/>
        </row>
        <row r="13115">
          <cell r="A13115"/>
          <cell r="B13115"/>
          <cell r="C13115"/>
          <cell r="D13115"/>
          <cell r="E13115"/>
        </row>
        <row r="13116">
          <cell r="A13116"/>
          <cell r="B13116"/>
          <cell r="C13116"/>
          <cell r="D13116"/>
          <cell r="E13116"/>
        </row>
        <row r="13117">
          <cell r="A13117"/>
          <cell r="B13117"/>
          <cell r="C13117"/>
          <cell r="D13117"/>
          <cell r="E13117"/>
        </row>
        <row r="13118">
          <cell r="A13118"/>
          <cell r="B13118"/>
          <cell r="C13118"/>
          <cell r="D13118"/>
          <cell r="E13118"/>
        </row>
        <row r="13119">
          <cell r="A13119"/>
          <cell r="B13119"/>
          <cell r="C13119"/>
          <cell r="D13119"/>
          <cell r="E13119"/>
        </row>
        <row r="13120">
          <cell r="A13120"/>
          <cell r="B13120"/>
          <cell r="C13120"/>
          <cell r="D13120"/>
          <cell r="E13120"/>
        </row>
        <row r="13121">
          <cell r="A13121"/>
          <cell r="B13121"/>
          <cell r="C13121"/>
          <cell r="D13121"/>
          <cell r="E13121"/>
        </row>
        <row r="13122">
          <cell r="A13122"/>
          <cell r="B13122"/>
          <cell r="C13122"/>
          <cell r="D13122"/>
          <cell r="E13122"/>
        </row>
        <row r="13123">
          <cell r="A13123"/>
          <cell r="B13123"/>
          <cell r="C13123"/>
          <cell r="D13123"/>
          <cell r="E13123"/>
        </row>
        <row r="13124">
          <cell r="A13124"/>
          <cell r="B13124"/>
          <cell r="C13124"/>
          <cell r="D13124"/>
          <cell r="E13124"/>
        </row>
        <row r="13125">
          <cell r="A13125"/>
          <cell r="B13125"/>
          <cell r="C13125"/>
          <cell r="D13125"/>
          <cell r="E13125"/>
        </row>
        <row r="13126">
          <cell r="A13126"/>
          <cell r="B13126"/>
          <cell r="C13126"/>
          <cell r="D13126"/>
          <cell r="E13126"/>
        </row>
        <row r="13127">
          <cell r="A13127"/>
          <cell r="B13127"/>
          <cell r="C13127"/>
          <cell r="D13127"/>
          <cell r="E13127"/>
        </row>
        <row r="13128">
          <cell r="A13128"/>
          <cell r="B13128"/>
          <cell r="C13128"/>
          <cell r="D13128"/>
          <cell r="E13128"/>
        </row>
        <row r="13129">
          <cell r="A13129"/>
          <cell r="B13129"/>
          <cell r="C13129"/>
          <cell r="D13129"/>
          <cell r="E13129"/>
        </row>
        <row r="13130">
          <cell r="A13130"/>
          <cell r="B13130"/>
          <cell r="C13130"/>
          <cell r="D13130"/>
          <cell r="E13130"/>
        </row>
        <row r="13131">
          <cell r="A13131"/>
          <cell r="B13131"/>
          <cell r="C13131"/>
          <cell r="D13131"/>
          <cell r="E13131"/>
        </row>
        <row r="13132">
          <cell r="A13132"/>
          <cell r="B13132"/>
          <cell r="C13132"/>
          <cell r="D13132"/>
          <cell r="E13132"/>
        </row>
        <row r="13133">
          <cell r="A13133"/>
          <cell r="B13133"/>
          <cell r="C13133"/>
          <cell r="D13133"/>
          <cell r="E13133"/>
        </row>
        <row r="13134">
          <cell r="A13134"/>
          <cell r="B13134"/>
          <cell r="C13134"/>
          <cell r="D13134"/>
          <cell r="E13134"/>
        </row>
        <row r="13135">
          <cell r="A13135"/>
          <cell r="B13135"/>
          <cell r="C13135"/>
          <cell r="D13135"/>
          <cell r="E13135"/>
        </row>
        <row r="13136">
          <cell r="A13136"/>
          <cell r="B13136"/>
          <cell r="C13136"/>
          <cell r="D13136"/>
          <cell r="E13136"/>
        </row>
        <row r="13137">
          <cell r="A13137"/>
          <cell r="B13137"/>
          <cell r="C13137"/>
          <cell r="D13137"/>
          <cell r="E13137"/>
        </row>
        <row r="13138">
          <cell r="A13138"/>
          <cell r="B13138"/>
          <cell r="C13138"/>
          <cell r="D13138"/>
          <cell r="E13138"/>
        </row>
        <row r="13139">
          <cell r="A13139"/>
          <cell r="B13139"/>
          <cell r="C13139"/>
          <cell r="D13139"/>
          <cell r="E13139"/>
        </row>
        <row r="13140">
          <cell r="A13140"/>
          <cell r="B13140"/>
          <cell r="C13140"/>
          <cell r="D13140"/>
          <cell r="E13140"/>
        </row>
        <row r="13141">
          <cell r="A13141"/>
          <cell r="B13141"/>
          <cell r="C13141"/>
          <cell r="D13141"/>
          <cell r="E13141"/>
        </row>
        <row r="13142">
          <cell r="A13142"/>
          <cell r="B13142"/>
          <cell r="C13142"/>
          <cell r="D13142"/>
          <cell r="E13142"/>
        </row>
        <row r="13143">
          <cell r="A13143"/>
          <cell r="B13143"/>
          <cell r="C13143"/>
          <cell r="D13143"/>
          <cell r="E13143"/>
        </row>
        <row r="13144">
          <cell r="A13144"/>
          <cell r="B13144"/>
          <cell r="C13144"/>
          <cell r="D13144"/>
          <cell r="E13144"/>
        </row>
        <row r="13145">
          <cell r="A13145"/>
          <cell r="B13145"/>
          <cell r="C13145"/>
          <cell r="D13145"/>
          <cell r="E13145"/>
        </row>
        <row r="13146">
          <cell r="A13146"/>
          <cell r="B13146"/>
          <cell r="C13146"/>
          <cell r="D13146"/>
          <cell r="E13146"/>
        </row>
        <row r="13147">
          <cell r="A13147"/>
          <cell r="B13147"/>
          <cell r="C13147"/>
          <cell r="D13147"/>
          <cell r="E13147"/>
        </row>
        <row r="13148">
          <cell r="A13148"/>
          <cell r="B13148"/>
          <cell r="C13148"/>
          <cell r="D13148"/>
          <cell r="E13148"/>
        </row>
        <row r="13149">
          <cell r="A13149"/>
          <cell r="B13149"/>
          <cell r="C13149"/>
          <cell r="D13149"/>
          <cell r="E13149"/>
        </row>
        <row r="13150">
          <cell r="A13150"/>
          <cell r="B13150"/>
          <cell r="C13150"/>
          <cell r="D13150"/>
          <cell r="E13150"/>
        </row>
        <row r="13151">
          <cell r="A13151"/>
          <cell r="B13151"/>
          <cell r="C13151"/>
          <cell r="D13151"/>
          <cell r="E13151"/>
        </row>
        <row r="13152">
          <cell r="A13152"/>
          <cell r="B13152"/>
          <cell r="C13152"/>
          <cell r="D13152"/>
          <cell r="E13152"/>
        </row>
        <row r="13153">
          <cell r="A13153"/>
          <cell r="B13153"/>
          <cell r="C13153"/>
          <cell r="D13153"/>
          <cell r="E13153"/>
        </row>
        <row r="13154">
          <cell r="A13154"/>
          <cell r="B13154"/>
          <cell r="C13154"/>
          <cell r="D13154"/>
          <cell r="E13154"/>
        </row>
        <row r="13155">
          <cell r="A13155"/>
          <cell r="B13155"/>
          <cell r="C13155"/>
          <cell r="D13155"/>
          <cell r="E13155"/>
        </row>
        <row r="13156">
          <cell r="A13156"/>
          <cell r="B13156"/>
          <cell r="C13156"/>
          <cell r="D13156"/>
          <cell r="E13156"/>
        </row>
        <row r="13157">
          <cell r="A13157"/>
          <cell r="B13157"/>
          <cell r="C13157"/>
          <cell r="D13157"/>
          <cell r="E13157"/>
        </row>
        <row r="13158">
          <cell r="A13158"/>
          <cell r="B13158"/>
          <cell r="C13158"/>
          <cell r="D13158"/>
          <cell r="E13158"/>
        </row>
        <row r="13159">
          <cell r="A13159"/>
          <cell r="B13159"/>
          <cell r="C13159"/>
          <cell r="D13159"/>
          <cell r="E13159"/>
        </row>
        <row r="13160">
          <cell r="A13160"/>
          <cell r="B13160"/>
          <cell r="C13160"/>
          <cell r="D13160"/>
          <cell r="E13160"/>
        </row>
        <row r="13161">
          <cell r="A13161"/>
          <cell r="B13161"/>
          <cell r="C13161"/>
          <cell r="D13161"/>
          <cell r="E13161"/>
        </row>
        <row r="13162">
          <cell r="A13162"/>
          <cell r="B13162"/>
          <cell r="C13162"/>
          <cell r="D13162"/>
          <cell r="E13162"/>
        </row>
        <row r="13163">
          <cell r="A13163"/>
          <cell r="B13163"/>
          <cell r="C13163"/>
          <cell r="D13163"/>
          <cell r="E13163"/>
        </row>
        <row r="13164">
          <cell r="A13164"/>
          <cell r="B13164"/>
          <cell r="C13164"/>
          <cell r="D13164"/>
          <cell r="E13164"/>
        </row>
        <row r="13165">
          <cell r="A13165"/>
          <cell r="B13165"/>
          <cell r="C13165"/>
          <cell r="D13165"/>
          <cell r="E13165"/>
        </row>
        <row r="13166">
          <cell r="A13166"/>
          <cell r="B13166"/>
          <cell r="C13166"/>
          <cell r="D13166"/>
          <cell r="E13166"/>
        </row>
        <row r="13167">
          <cell r="A13167"/>
          <cell r="B13167"/>
          <cell r="C13167"/>
          <cell r="D13167"/>
          <cell r="E13167"/>
        </row>
        <row r="13168">
          <cell r="A13168"/>
          <cell r="B13168"/>
          <cell r="C13168"/>
          <cell r="D13168"/>
          <cell r="E13168"/>
        </row>
        <row r="13169">
          <cell r="A13169"/>
          <cell r="B13169"/>
          <cell r="C13169"/>
          <cell r="D13169"/>
          <cell r="E13169"/>
        </row>
        <row r="13170">
          <cell r="A13170"/>
          <cell r="B13170"/>
          <cell r="C13170"/>
          <cell r="D13170"/>
          <cell r="E13170"/>
        </row>
        <row r="13171">
          <cell r="A13171"/>
          <cell r="B13171"/>
          <cell r="C13171"/>
          <cell r="D13171"/>
          <cell r="E13171"/>
        </row>
        <row r="13172">
          <cell r="A13172"/>
          <cell r="B13172"/>
          <cell r="C13172"/>
          <cell r="D13172"/>
          <cell r="E13172"/>
        </row>
        <row r="13173">
          <cell r="A13173"/>
          <cell r="B13173"/>
          <cell r="C13173"/>
          <cell r="D13173"/>
          <cell r="E13173"/>
        </row>
        <row r="13174">
          <cell r="A13174"/>
          <cell r="B13174"/>
          <cell r="C13174"/>
          <cell r="D13174"/>
          <cell r="E13174"/>
        </row>
        <row r="13175">
          <cell r="A13175"/>
          <cell r="B13175"/>
          <cell r="C13175"/>
          <cell r="D13175"/>
          <cell r="E13175"/>
        </row>
        <row r="13176">
          <cell r="A13176"/>
          <cell r="B13176"/>
          <cell r="C13176"/>
          <cell r="D13176"/>
          <cell r="E13176"/>
        </row>
        <row r="13177">
          <cell r="A13177"/>
          <cell r="B13177"/>
          <cell r="C13177"/>
          <cell r="D13177"/>
          <cell r="E13177"/>
        </row>
        <row r="13178">
          <cell r="A13178"/>
          <cell r="B13178"/>
          <cell r="C13178"/>
          <cell r="D13178"/>
          <cell r="E13178"/>
        </row>
        <row r="13179">
          <cell r="A13179"/>
          <cell r="B13179"/>
          <cell r="C13179"/>
          <cell r="D13179"/>
          <cell r="E13179"/>
        </row>
        <row r="13180">
          <cell r="A13180"/>
          <cell r="B13180"/>
          <cell r="C13180"/>
          <cell r="D13180"/>
          <cell r="E13180"/>
        </row>
        <row r="13181">
          <cell r="A13181"/>
          <cell r="B13181"/>
          <cell r="C13181"/>
          <cell r="D13181"/>
          <cell r="E13181"/>
        </row>
        <row r="13182">
          <cell r="A13182"/>
          <cell r="B13182"/>
          <cell r="C13182"/>
          <cell r="D13182"/>
          <cell r="E13182"/>
        </row>
        <row r="13183">
          <cell r="A13183"/>
          <cell r="B13183"/>
          <cell r="C13183"/>
          <cell r="D13183"/>
          <cell r="E13183"/>
        </row>
        <row r="13184">
          <cell r="A13184"/>
          <cell r="B13184"/>
          <cell r="C13184"/>
          <cell r="D13184"/>
          <cell r="E13184"/>
        </row>
        <row r="13185">
          <cell r="A13185"/>
          <cell r="B13185"/>
          <cell r="C13185"/>
          <cell r="D13185"/>
          <cell r="E13185"/>
        </row>
        <row r="13186">
          <cell r="A13186"/>
          <cell r="B13186"/>
          <cell r="C13186"/>
          <cell r="D13186"/>
          <cell r="E13186"/>
        </row>
        <row r="13187">
          <cell r="A13187"/>
          <cell r="B13187"/>
          <cell r="C13187"/>
          <cell r="D13187"/>
          <cell r="E13187"/>
        </row>
        <row r="13188">
          <cell r="A13188"/>
          <cell r="B13188"/>
          <cell r="C13188"/>
          <cell r="D13188"/>
          <cell r="E13188"/>
        </row>
        <row r="13189">
          <cell r="A13189"/>
          <cell r="B13189"/>
          <cell r="C13189"/>
          <cell r="D13189"/>
          <cell r="E13189"/>
        </row>
        <row r="13190">
          <cell r="A13190"/>
          <cell r="B13190"/>
          <cell r="C13190"/>
          <cell r="D13190"/>
          <cell r="E13190"/>
        </row>
        <row r="13191">
          <cell r="A13191"/>
          <cell r="B13191"/>
          <cell r="C13191"/>
          <cell r="D13191"/>
          <cell r="E13191"/>
        </row>
        <row r="13192">
          <cell r="A13192"/>
          <cell r="B13192"/>
          <cell r="C13192"/>
          <cell r="D13192"/>
          <cell r="E13192"/>
        </row>
        <row r="13193">
          <cell r="A13193"/>
          <cell r="B13193"/>
          <cell r="C13193"/>
          <cell r="D13193"/>
          <cell r="E13193"/>
        </row>
        <row r="13194">
          <cell r="A13194"/>
          <cell r="B13194"/>
          <cell r="C13194"/>
          <cell r="D13194"/>
          <cell r="E13194"/>
        </row>
        <row r="13195">
          <cell r="A13195"/>
          <cell r="B13195"/>
          <cell r="C13195"/>
          <cell r="D13195"/>
          <cell r="E13195"/>
        </row>
        <row r="13196">
          <cell r="A13196"/>
          <cell r="B13196"/>
          <cell r="C13196"/>
          <cell r="D13196"/>
          <cell r="E13196"/>
        </row>
        <row r="13197">
          <cell r="A13197"/>
          <cell r="B13197"/>
          <cell r="C13197"/>
          <cell r="D13197"/>
          <cell r="E13197"/>
        </row>
        <row r="13198">
          <cell r="A13198"/>
          <cell r="B13198"/>
          <cell r="C13198"/>
          <cell r="D13198"/>
          <cell r="E13198"/>
        </row>
        <row r="13199">
          <cell r="A13199"/>
          <cell r="B13199"/>
          <cell r="C13199"/>
          <cell r="D13199"/>
          <cell r="E13199"/>
        </row>
        <row r="13200">
          <cell r="A13200"/>
          <cell r="B13200"/>
          <cell r="C13200"/>
          <cell r="D13200"/>
          <cell r="E13200"/>
        </row>
        <row r="13201">
          <cell r="A13201"/>
          <cell r="B13201"/>
          <cell r="C13201"/>
          <cell r="D13201"/>
          <cell r="E13201"/>
        </row>
        <row r="13202">
          <cell r="A13202"/>
          <cell r="B13202"/>
          <cell r="C13202"/>
          <cell r="D13202"/>
          <cell r="E13202"/>
        </row>
        <row r="13203">
          <cell r="A13203"/>
          <cell r="B13203"/>
          <cell r="C13203"/>
          <cell r="D13203"/>
          <cell r="E13203"/>
        </row>
        <row r="13204">
          <cell r="A13204"/>
          <cell r="B13204"/>
          <cell r="C13204"/>
          <cell r="D13204"/>
          <cell r="E13204"/>
        </row>
        <row r="13205">
          <cell r="A13205"/>
          <cell r="B13205"/>
          <cell r="C13205"/>
          <cell r="D13205"/>
          <cell r="E13205"/>
        </row>
        <row r="13206">
          <cell r="A13206"/>
          <cell r="B13206"/>
          <cell r="C13206"/>
          <cell r="D13206"/>
          <cell r="E13206"/>
        </row>
        <row r="13207">
          <cell r="A13207"/>
          <cell r="B13207"/>
          <cell r="C13207"/>
          <cell r="D13207"/>
          <cell r="E13207"/>
        </row>
        <row r="13208">
          <cell r="A13208"/>
          <cell r="B13208"/>
          <cell r="C13208"/>
          <cell r="D13208"/>
          <cell r="E13208"/>
        </row>
        <row r="13209">
          <cell r="A13209"/>
          <cell r="B13209"/>
          <cell r="C13209"/>
          <cell r="D13209"/>
          <cell r="E13209"/>
        </row>
        <row r="13210">
          <cell r="A13210"/>
          <cell r="B13210"/>
          <cell r="C13210"/>
          <cell r="D13210"/>
          <cell r="E13210"/>
        </row>
        <row r="13211">
          <cell r="A13211"/>
          <cell r="B13211"/>
          <cell r="C13211"/>
          <cell r="D13211"/>
          <cell r="E13211"/>
        </row>
        <row r="13212">
          <cell r="A13212"/>
          <cell r="B13212"/>
          <cell r="C13212"/>
          <cell r="D13212"/>
          <cell r="E13212"/>
        </row>
        <row r="13213">
          <cell r="A13213"/>
          <cell r="B13213"/>
          <cell r="C13213"/>
          <cell r="D13213"/>
          <cell r="E13213"/>
        </row>
        <row r="13214">
          <cell r="A13214"/>
          <cell r="B13214"/>
          <cell r="C13214"/>
          <cell r="D13214"/>
          <cell r="E13214"/>
        </row>
        <row r="13215">
          <cell r="A13215"/>
          <cell r="B13215"/>
          <cell r="C13215"/>
          <cell r="D13215"/>
          <cell r="E13215"/>
        </row>
        <row r="13216">
          <cell r="A13216"/>
          <cell r="B13216"/>
          <cell r="C13216"/>
          <cell r="D13216"/>
          <cell r="E13216"/>
        </row>
        <row r="13217">
          <cell r="A13217"/>
          <cell r="B13217"/>
          <cell r="C13217"/>
          <cell r="D13217"/>
          <cell r="E13217"/>
        </row>
        <row r="13218">
          <cell r="A13218"/>
          <cell r="B13218"/>
          <cell r="C13218"/>
          <cell r="D13218"/>
          <cell r="E13218"/>
        </row>
        <row r="13219">
          <cell r="A13219"/>
          <cell r="B13219"/>
          <cell r="C13219"/>
          <cell r="D13219"/>
          <cell r="E13219"/>
        </row>
        <row r="13220">
          <cell r="A13220"/>
          <cell r="B13220"/>
          <cell r="C13220"/>
          <cell r="D13220"/>
          <cell r="E13220"/>
        </row>
        <row r="13221">
          <cell r="A13221"/>
          <cell r="B13221"/>
          <cell r="C13221"/>
          <cell r="D13221"/>
          <cell r="E13221"/>
        </row>
        <row r="13222">
          <cell r="A13222"/>
          <cell r="B13222"/>
          <cell r="C13222"/>
          <cell r="D13222"/>
          <cell r="E13222"/>
        </row>
        <row r="13223">
          <cell r="A13223"/>
          <cell r="B13223"/>
          <cell r="C13223"/>
          <cell r="D13223"/>
          <cell r="E13223"/>
        </row>
        <row r="13224">
          <cell r="A13224"/>
          <cell r="B13224"/>
          <cell r="C13224"/>
          <cell r="D13224"/>
          <cell r="E13224"/>
        </row>
        <row r="13225">
          <cell r="A13225"/>
          <cell r="B13225"/>
          <cell r="C13225"/>
          <cell r="D13225"/>
          <cell r="E13225"/>
        </row>
        <row r="13226">
          <cell r="A13226"/>
          <cell r="B13226"/>
          <cell r="C13226"/>
          <cell r="D13226"/>
          <cell r="E13226"/>
        </row>
        <row r="13227">
          <cell r="A13227"/>
          <cell r="B13227"/>
          <cell r="C13227"/>
          <cell r="D13227"/>
          <cell r="E13227"/>
        </row>
        <row r="13228">
          <cell r="A13228"/>
          <cell r="B13228"/>
          <cell r="C13228"/>
          <cell r="D13228"/>
          <cell r="E13228"/>
        </row>
        <row r="13229">
          <cell r="A13229"/>
          <cell r="B13229"/>
          <cell r="C13229"/>
          <cell r="D13229"/>
          <cell r="E13229"/>
        </row>
        <row r="13230">
          <cell r="A13230"/>
          <cell r="B13230"/>
          <cell r="C13230"/>
          <cell r="D13230"/>
          <cell r="E13230"/>
        </row>
        <row r="13231">
          <cell r="A13231"/>
          <cell r="B13231"/>
          <cell r="C13231"/>
          <cell r="D13231"/>
          <cell r="E13231"/>
        </row>
        <row r="13232">
          <cell r="A13232"/>
          <cell r="B13232"/>
          <cell r="C13232"/>
          <cell r="D13232"/>
          <cell r="E13232"/>
        </row>
        <row r="13233">
          <cell r="A13233"/>
          <cell r="B13233"/>
          <cell r="C13233"/>
          <cell r="D13233"/>
          <cell r="E13233"/>
        </row>
        <row r="13234">
          <cell r="A13234"/>
          <cell r="B13234"/>
          <cell r="C13234"/>
          <cell r="D13234"/>
          <cell r="E13234"/>
        </row>
        <row r="13235">
          <cell r="A13235"/>
          <cell r="B13235"/>
          <cell r="C13235"/>
          <cell r="D13235"/>
          <cell r="E13235"/>
        </row>
        <row r="13236">
          <cell r="A13236"/>
          <cell r="B13236"/>
          <cell r="C13236"/>
          <cell r="D13236"/>
          <cell r="E13236"/>
        </row>
        <row r="13237">
          <cell r="A13237"/>
          <cell r="B13237"/>
          <cell r="C13237"/>
          <cell r="D13237"/>
          <cell r="E13237"/>
        </row>
        <row r="13238">
          <cell r="A13238"/>
          <cell r="B13238"/>
          <cell r="C13238"/>
          <cell r="D13238"/>
          <cell r="E13238"/>
        </row>
        <row r="13239">
          <cell r="A13239"/>
          <cell r="B13239"/>
          <cell r="C13239"/>
          <cell r="D13239"/>
          <cell r="E13239"/>
        </row>
        <row r="13240">
          <cell r="A13240"/>
          <cell r="B13240"/>
          <cell r="C13240"/>
          <cell r="D13240"/>
          <cell r="E13240"/>
        </row>
        <row r="13241">
          <cell r="A13241"/>
          <cell r="B13241"/>
          <cell r="C13241"/>
          <cell r="D13241"/>
          <cell r="E13241"/>
        </row>
        <row r="13242">
          <cell r="A13242"/>
          <cell r="B13242"/>
          <cell r="C13242"/>
          <cell r="D13242"/>
          <cell r="E13242"/>
        </row>
        <row r="13243">
          <cell r="A13243"/>
          <cell r="B13243"/>
          <cell r="C13243"/>
          <cell r="D13243"/>
          <cell r="E13243"/>
        </row>
        <row r="13244">
          <cell r="A13244"/>
          <cell r="B13244"/>
          <cell r="C13244"/>
          <cell r="D13244"/>
          <cell r="E13244"/>
        </row>
        <row r="13245">
          <cell r="A13245"/>
          <cell r="B13245"/>
          <cell r="C13245"/>
          <cell r="D13245"/>
          <cell r="E13245"/>
        </row>
        <row r="13246">
          <cell r="A13246"/>
          <cell r="B13246"/>
          <cell r="C13246"/>
          <cell r="D13246"/>
          <cell r="E13246"/>
        </row>
        <row r="13247">
          <cell r="A13247"/>
          <cell r="B13247"/>
          <cell r="C13247"/>
          <cell r="D13247"/>
          <cell r="E13247"/>
        </row>
        <row r="13248">
          <cell r="A13248"/>
          <cell r="B13248"/>
          <cell r="C13248"/>
          <cell r="D13248"/>
          <cell r="E13248"/>
        </row>
        <row r="13249">
          <cell r="A13249"/>
          <cell r="B13249"/>
          <cell r="C13249"/>
          <cell r="D13249"/>
          <cell r="E13249"/>
        </row>
        <row r="13250">
          <cell r="A13250"/>
          <cell r="B13250"/>
          <cell r="C13250"/>
          <cell r="D13250"/>
          <cell r="E13250"/>
        </row>
        <row r="13251">
          <cell r="A13251"/>
          <cell r="B13251"/>
          <cell r="C13251"/>
          <cell r="D13251"/>
          <cell r="E13251"/>
        </row>
        <row r="13252">
          <cell r="A13252"/>
          <cell r="B13252"/>
          <cell r="C13252"/>
          <cell r="D13252"/>
          <cell r="E13252"/>
        </row>
        <row r="13253">
          <cell r="A13253"/>
          <cell r="B13253"/>
          <cell r="C13253"/>
          <cell r="D13253"/>
          <cell r="E13253"/>
        </row>
        <row r="13254">
          <cell r="A13254"/>
          <cell r="B13254"/>
          <cell r="C13254"/>
          <cell r="D13254"/>
          <cell r="E13254"/>
        </row>
        <row r="13255">
          <cell r="A13255"/>
          <cell r="B13255"/>
          <cell r="C13255"/>
          <cell r="D13255"/>
          <cell r="E13255"/>
        </row>
        <row r="13256">
          <cell r="A13256"/>
          <cell r="B13256"/>
          <cell r="C13256"/>
          <cell r="D13256"/>
          <cell r="E13256"/>
        </row>
        <row r="13257">
          <cell r="A13257"/>
          <cell r="B13257"/>
          <cell r="C13257"/>
          <cell r="D13257"/>
          <cell r="E13257"/>
        </row>
        <row r="13258">
          <cell r="A13258"/>
          <cell r="B13258"/>
          <cell r="C13258"/>
          <cell r="D13258"/>
          <cell r="E13258"/>
        </row>
        <row r="13259">
          <cell r="A13259"/>
          <cell r="B13259"/>
          <cell r="C13259"/>
          <cell r="D13259"/>
          <cell r="E13259"/>
        </row>
        <row r="13260">
          <cell r="A13260"/>
          <cell r="B13260"/>
          <cell r="C13260"/>
          <cell r="D13260"/>
          <cell r="E13260"/>
        </row>
        <row r="13261">
          <cell r="A13261"/>
          <cell r="B13261"/>
          <cell r="C13261"/>
          <cell r="D13261"/>
          <cell r="E13261"/>
        </row>
        <row r="13262">
          <cell r="A13262"/>
          <cell r="B13262"/>
          <cell r="C13262"/>
          <cell r="D13262"/>
          <cell r="E13262"/>
        </row>
        <row r="13263">
          <cell r="A13263"/>
          <cell r="B13263"/>
          <cell r="C13263"/>
          <cell r="D13263"/>
          <cell r="E13263"/>
        </row>
        <row r="13264">
          <cell r="A13264"/>
          <cell r="B13264"/>
          <cell r="C13264"/>
          <cell r="D13264"/>
          <cell r="E13264"/>
        </row>
        <row r="13265">
          <cell r="A13265"/>
          <cell r="B13265"/>
          <cell r="C13265"/>
          <cell r="D13265"/>
          <cell r="E13265"/>
        </row>
        <row r="13266">
          <cell r="A13266"/>
          <cell r="B13266"/>
          <cell r="C13266"/>
          <cell r="D13266"/>
          <cell r="E13266"/>
        </row>
        <row r="13267">
          <cell r="A13267"/>
          <cell r="B13267"/>
          <cell r="C13267"/>
          <cell r="D13267"/>
          <cell r="E13267"/>
        </row>
        <row r="13268">
          <cell r="A13268"/>
          <cell r="B13268"/>
          <cell r="C13268"/>
          <cell r="D13268"/>
          <cell r="E13268"/>
        </row>
        <row r="13269">
          <cell r="A13269"/>
          <cell r="B13269"/>
          <cell r="C13269"/>
          <cell r="D13269"/>
          <cell r="E13269"/>
        </row>
        <row r="13270">
          <cell r="A13270"/>
          <cell r="B13270"/>
          <cell r="C13270"/>
          <cell r="D13270"/>
          <cell r="E13270"/>
        </row>
        <row r="13271">
          <cell r="A13271"/>
          <cell r="B13271"/>
          <cell r="C13271"/>
          <cell r="D13271"/>
          <cell r="E13271"/>
        </row>
        <row r="13272">
          <cell r="A13272"/>
          <cell r="B13272"/>
          <cell r="C13272"/>
          <cell r="D13272"/>
          <cell r="E13272"/>
        </row>
        <row r="13273">
          <cell r="A13273"/>
          <cell r="B13273"/>
          <cell r="C13273"/>
          <cell r="D13273"/>
          <cell r="E13273"/>
        </row>
        <row r="13274">
          <cell r="A13274"/>
          <cell r="B13274"/>
          <cell r="C13274"/>
          <cell r="D13274"/>
          <cell r="E13274"/>
        </row>
        <row r="13275">
          <cell r="A13275"/>
          <cell r="B13275"/>
          <cell r="C13275"/>
          <cell r="D13275"/>
          <cell r="E13275"/>
        </row>
        <row r="13276">
          <cell r="A13276"/>
          <cell r="B13276"/>
          <cell r="C13276"/>
          <cell r="D13276"/>
          <cell r="E13276"/>
        </row>
        <row r="13277">
          <cell r="A13277"/>
          <cell r="B13277"/>
          <cell r="C13277"/>
          <cell r="D13277"/>
          <cell r="E13277"/>
        </row>
        <row r="13278">
          <cell r="A13278"/>
          <cell r="B13278"/>
          <cell r="C13278"/>
          <cell r="D13278"/>
          <cell r="E13278"/>
        </row>
        <row r="13279">
          <cell r="A13279"/>
          <cell r="B13279"/>
          <cell r="C13279"/>
          <cell r="D13279"/>
          <cell r="E13279"/>
        </row>
        <row r="13280">
          <cell r="A13280"/>
          <cell r="B13280"/>
          <cell r="C13280"/>
          <cell r="D13280"/>
          <cell r="E13280"/>
        </row>
        <row r="13281">
          <cell r="A13281"/>
          <cell r="B13281"/>
          <cell r="C13281"/>
          <cell r="D13281"/>
          <cell r="E13281"/>
        </row>
        <row r="13282">
          <cell r="A13282"/>
          <cell r="B13282"/>
          <cell r="C13282"/>
          <cell r="D13282"/>
          <cell r="E13282"/>
        </row>
        <row r="13283">
          <cell r="A13283"/>
          <cell r="B13283"/>
          <cell r="C13283"/>
          <cell r="D13283"/>
          <cell r="E13283"/>
        </row>
        <row r="13284">
          <cell r="A13284"/>
          <cell r="B13284"/>
          <cell r="C13284"/>
          <cell r="D13284"/>
          <cell r="E13284"/>
        </row>
        <row r="13285">
          <cell r="A13285"/>
          <cell r="B13285"/>
          <cell r="C13285"/>
          <cell r="D13285"/>
          <cell r="E13285"/>
        </row>
        <row r="13286">
          <cell r="A13286"/>
          <cell r="B13286"/>
          <cell r="C13286"/>
          <cell r="D13286"/>
          <cell r="E13286"/>
        </row>
        <row r="13287">
          <cell r="A13287"/>
          <cell r="B13287"/>
          <cell r="C13287"/>
          <cell r="D13287"/>
          <cell r="E13287"/>
        </row>
        <row r="13288">
          <cell r="A13288"/>
          <cell r="B13288"/>
          <cell r="C13288"/>
          <cell r="D13288"/>
          <cell r="E13288"/>
        </row>
        <row r="13289">
          <cell r="A13289"/>
          <cell r="B13289"/>
          <cell r="C13289"/>
          <cell r="D13289"/>
          <cell r="E13289"/>
        </row>
        <row r="13290">
          <cell r="A13290"/>
          <cell r="B13290"/>
          <cell r="C13290"/>
          <cell r="D13290"/>
          <cell r="E13290"/>
        </row>
        <row r="13291">
          <cell r="A13291"/>
          <cell r="B13291"/>
          <cell r="C13291"/>
          <cell r="D13291"/>
          <cell r="E13291"/>
        </row>
        <row r="13292">
          <cell r="A13292"/>
          <cell r="B13292"/>
          <cell r="C13292"/>
          <cell r="D13292"/>
          <cell r="E13292"/>
        </row>
        <row r="13293">
          <cell r="A13293"/>
          <cell r="B13293"/>
          <cell r="C13293"/>
          <cell r="D13293"/>
          <cell r="E13293"/>
        </row>
        <row r="13294">
          <cell r="A13294"/>
          <cell r="B13294"/>
          <cell r="C13294"/>
          <cell r="D13294"/>
          <cell r="E13294"/>
        </row>
        <row r="13295">
          <cell r="A13295"/>
          <cell r="B13295"/>
          <cell r="C13295"/>
          <cell r="D13295"/>
          <cell r="E13295"/>
        </row>
        <row r="13296">
          <cell r="A13296"/>
          <cell r="B13296"/>
          <cell r="C13296"/>
          <cell r="D13296"/>
          <cell r="E13296"/>
        </row>
        <row r="13297">
          <cell r="A13297"/>
          <cell r="B13297"/>
          <cell r="C13297"/>
          <cell r="D13297"/>
          <cell r="E13297"/>
        </row>
        <row r="13298">
          <cell r="A13298"/>
          <cell r="B13298"/>
          <cell r="C13298"/>
          <cell r="D13298"/>
          <cell r="E13298"/>
        </row>
        <row r="13299">
          <cell r="A13299"/>
          <cell r="B13299"/>
          <cell r="C13299"/>
          <cell r="D13299"/>
          <cell r="E13299"/>
        </row>
        <row r="13300">
          <cell r="A13300"/>
          <cell r="B13300"/>
          <cell r="C13300"/>
          <cell r="D13300"/>
          <cell r="E13300"/>
        </row>
        <row r="13301">
          <cell r="A13301"/>
          <cell r="B13301"/>
          <cell r="C13301"/>
          <cell r="D13301"/>
          <cell r="E13301"/>
        </row>
        <row r="13302">
          <cell r="A13302"/>
          <cell r="B13302"/>
          <cell r="C13302"/>
          <cell r="D13302"/>
          <cell r="E13302"/>
        </row>
        <row r="13303">
          <cell r="A13303"/>
          <cell r="B13303"/>
          <cell r="C13303"/>
          <cell r="D13303"/>
          <cell r="E13303"/>
        </row>
        <row r="13304">
          <cell r="A13304"/>
          <cell r="B13304"/>
          <cell r="C13304"/>
          <cell r="D13304"/>
          <cell r="E13304"/>
        </row>
        <row r="13305">
          <cell r="A13305"/>
          <cell r="B13305"/>
          <cell r="C13305"/>
          <cell r="D13305"/>
          <cell r="E13305"/>
        </row>
        <row r="13306">
          <cell r="A13306"/>
          <cell r="B13306"/>
          <cell r="C13306"/>
          <cell r="D13306"/>
          <cell r="E13306"/>
        </row>
        <row r="13307">
          <cell r="A13307"/>
          <cell r="B13307"/>
          <cell r="C13307"/>
          <cell r="D13307"/>
          <cell r="E13307"/>
        </row>
        <row r="13308">
          <cell r="A13308"/>
          <cell r="B13308"/>
          <cell r="C13308"/>
          <cell r="D13308"/>
          <cell r="E13308"/>
        </row>
        <row r="13309">
          <cell r="A13309"/>
          <cell r="B13309"/>
          <cell r="C13309"/>
          <cell r="D13309"/>
          <cell r="E13309"/>
        </row>
        <row r="13310">
          <cell r="A13310"/>
          <cell r="B13310"/>
          <cell r="C13310"/>
          <cell r="D13310"/>
          <cell r="E13310"/>
        </row>
        <row r="13311">
          <cell r="A13311"/>
          <cell r="B13311"/>
          <cell r="C13311"/>
          <cell r="D13311"/>
          <cell r="E13311"/>
        </row>
        <row r="13312">
          <cell r="A13312"/>
          <cell r="B13312"/>
          <cell r="C13312"/>
          <cell r="D13312"/>
          <cell r="E13312"/>
        </row>
        <row r="13313">
          <cell r="A13313"/>
          <cell r="B13313"/>
          <cell r="C13313"/>
          <cell r="D13313"/>
          <cell r="E13313"/>
        </row>
        <row r="13314">
          <cell r="A13314"/>
          <cell r="B13314"/>
          <cell r="C13314"/>
          <cell r="D13314"/>
          <cell r="E13314"/>
        </row>
        <row r="13315">
          <cell r="A13315"/>
          <cell r="B13315"/>
          <cell r="C13315"/>
          <cell r="D13315"/>
          <cell r="E13315"/>
        </row>
        <row r="13316">
          <cell r="A13316"/>
          <cell r="B13316"/>
          <cell r="C13316"/>
          <cell r="D13316"/>
          <cell r="E13316"/>
        </row>
        <row r="13317">
          <cell r="A13317"/>
          <cell r="B13317"/>
          <cell r="C13317"/>
          <cell r="D13317"/>
          <cell r="E13317"/>
        </row>
        <row r="13318">
          <cell r="A13318"/>
          <cell r="B13318"/>
          <cell r="C13318"/>
          <cell r="D13318"/>
          <cell r="E13318"/>
        </row>
        <row r="13319">
          <cell r="A13319"/>
          <cell r="B13319"/>
          <cell r="C13319"/>
          <cell r="D13319"/>
          <cell r="E13319"/>
        </row>
        <row r="13320">
          <cell r="A13320"/>
          <cell r="B13320"/>
          <cell r="C13320"/>
          <cell r="D13320"/>
          <cell r="E13320"/>
        </row>
        <row r="13321">
          <cell r="A13321"/>
          <cell r="B13321"/>
          <cell r="C13321"/>
          <cell r="D13321"/>
          <cell r="E13321"/>
        </row>
        <row r="13322">
          <cell r="A13322"/>
          <cell r="B13322"/>
          <cell r="C13322"/>
          <cell r="D13322"/>
          <cell r="E13322"/>
        </row>
        <row r="13323">
          <cell r="A13323"/>
          <cell r="B13323"/>
          <cell r="C13323"/>
          <cell r="D13323"/>
          <cell r="E13323"/>
        </row>
        <row r="13324">
          <cell r="A13324"/>
          <cell r="B13324"/>
          <cell r="C13324"/>
          <cell r="D13324"/>
          <cell r="E13324"/>
        </row>
        <row r="13325">
          <cell r="A13325"/>
          <cell r="B13325"/>
          <cell r="C13325"/>
          <cell r="D13325"/>
          <cell r="E13325"/>
        </row>
        <row r="13326">
          <cell r="A13326"/>
          <cell r="B13326"/>
          <cell r="C13326"/>
          <cell r="D13326"/>
          <cell r="E13326"/>
        </row>
        <row r="13327">
          <cell r="A13327"/>
          <cell r="B13327"/>
          <cell r="C13327"/>
          <cell r="D13327"/>
          <cell r="E13327"/>
        </row>
        <row r="13328">
          <cell r="A13328"/>
          <cell r="B13328"/>
          <cell r="C13328"/>
          <cell r="D13328"/>
          <cell r="E13328"/>
        </row>
        <row r="13329">
          <cell r="A13329"/>
          <cell r="B13329"/>
          <cell r="C13329"/>
          <cell r="D13329"/>
          <cell r="E13329"/>
        </row>
        <row r="13330">
          <cell r="A13330"/>
          <cell r="B13330"/>
          <cell r="C13330"/>
          <cell r="D13330"/>
          <cell r="E13330"/>
        </row>
        <row r="13331">
          <cell r="A13331"/>
          <cell r="B13331"/>
          <cell r="C13331"/>
          <cell r="D13331"/>
          <cell r="E13331"/>
        </row>
        <row r="13332">
          <cell r="A13332"/>
          <cell r="B13332"/>
          <cell r="C13332"/>
          <cell r="D13332"/>
          <cell r="E13332"/>
        </row>
        <row r="13333">
          <cell r="A13333"/>
          <cell r="B13333"/>
          <cell r="C13333"/>
          <cell r="D13333"/>
          <cell r="E13333"/>
        </row>
        <row r="13334">
          <cell r="A13334"/>
          <cell r="B13334"/>
          <cell r="C13334"/>
          <cell r="D13334"/>
          <cell r="E13334"/>
        </row>
        <row r="13335">
          <cell r="A13335"/>
          <cell r="B13335"/>
          <cell r="C13335"/>
          <cell r="D13335"/>
          <cell r="E13335"/>
        </row>
        <row r="13336">
          <cell r="A13336"/>
          <cell r="B13336"/>
          <cell r="C13336"/>
          <cell r="D13336"/>
          <cell r="E13336"/>
        </row>
        <row r="13337">
          <cell r="A13337"/>
          <cell r="B13337"/>
          <cell r="C13337"/>
          <cell r="D13337"/>
          <cell r="E13337"/>
        </row>
        <row r="13338">
          <cell r="A13338"/>
          <cell r="B13338"/>
          <cell r="C13338"/>
          <cell r="D13338"/>
          <cell r="E13338"/>
        </row>
        <row r="13339">
          <cell r="A13339"/>
          <cell r="B13339"/>
          <cell r="C13339"/>
          <cell r="D13339"/>
          <cell r="E13339"/>
        </row>
        <row r="13340">
          <cell r="A13340"/>
          <cell r="B13340"/>
          <cell r="C13340"/>
          <cell r="D13340"/>
          <cell r="E13340"/>
        </row>
        <row r="13341">
          <cell r="A13341"/>
          <cell r="B13341"/>
          <cell r="C13341"/>
          <cell r="D13341"/>
          <cell r="E13341"/>
        </row>
        <row r="13342">
          <cell r="A13342"/>
          <cell r="B13342"/>
          <cell r="C13342"/>
          <cell r="D13342"/>
          <cell r="E13342"/>
        </row>
        <row r="13343">
          <cell r="A13343"/>
          <cell r="B13343"/>
          <cell r="C13343"/>
          <cell r="D13343"/>
          <cell r="E13343"/>
        </row>
        <row r="13344">
          <cell r="A13344"/>
          <cell r="B13344"/>
          <cell r="C13344"/>
          <cell r="D13344"/>
          <cell r="E13344"/>
        </row>
        <row r="13345">
          <cell r="A13345"/>
          <cell r="B13345"/>
          <cell r="C13345"/>
          <cell r="D13345"/>
          <cell r="E13345"/>
        </row>
        <row r="13346">
          <cell r="A13346"/>
          <cell r="B13346"/>
          <cell r="C13346"/>
          <cell r="D13346"/>
          <cell r="E13346"/>
        </row>
        <row r="13347">
          <cell r="A13347"/>
          <cell r="B13347"/>
          <cell r="C13347"/>
          <cell r="D13347"/>
          <cell r="E13347"/>
        </row>
        <row r="13348">
          <cell r="A13348"/>
          <cell r="B13348"/>
          <cell r="C13348"/>
          <cell r="D13348"/>
          <cell r="E13348"/>
        </row>
        <row r="13349">
          <cell r="A13349"/>
          <cell r="B13349"/>
          <cell r="C13349"/>
          <cell r="D13349"/>
          <cell r="E13349"/>
        </row>
        <row r="13350">
          <cell r="A13350"/>
          <cell r="B13350"/>
          <cell r="C13350"/>
          <cell r="D13350"/>
          <cell r="E13350"/>
        </row>
        <row r="13351">
          <cell r="A13351"/>
          <cell r="B13351"/>
          <cell r="C13351"/>
          <cell r="D13351"/>
          <cell r="E13351"/>
        </row>
        <row r="13352">
          <cell r="A13352"/>
          <cell r="B13352"/>
          <cell r="C13352"/>
          <cell r="D13352"/>
          <cell r="E13352"/>
        </row>
        <row r="13353">
          <cell r="A13353"/>
          <cell r="B13353"/>
          <cell r="C13353"/>
          <cell r="D13353"/>
          <cell r="E13353"/>
        </row>
        <row r="13354">
          <cell r="A13354"/>
          <cell r="B13354"/>
          <cell r="C13354"/>
          <cell r="D13354"/>
          <cell r="E13354"/>
        </row>
        <row r="13355">
          <cell r="A13355"/>
          <cell r="B13355"/>
          <cell r="C13355"/>
          <cell r="D13355"/>
          <cell r="E13355"/>
        </row>
        <row r="13356">
          <cell r="A13356"/>
          <cell r="B13356"/>
          <cell r="C13356"/>
          <cell r="D13356"/>
          <cell r="E13356"/>
        </row>
        <row r="13357">
          <cell r="A13357"/>
          <cell r="B13357"/>
          <cell r="C13357"/>
          <cell r="D13357"/>
          <cell r="E13357"/>
        </row>
        <row r="13358">
          <cell r="A13358"/>
          <cell r="B13358"/>
          <cell r="C13358"/>
          <cell r="D13358"/>
          <cell r="E13358"/>
        </row>
        <row r="13359">
          <cell r="A13359"/>
          <cell r="B13359"/>
          <cell r="C13359"/>
          <cell r="D13359"/>
          <cell r="E13359"/>
        </row>
        <row r="13360">
          <cell r="A13360"/>
          <cell r="B13360"/>
          <cell r="C13360"/>
          <cell r="D13360"/>
          <cell r="E13360"/>
        </row>
        <row r="13361">
          <cell r="A13361"/>
          <cell r="B13361"/>
          <cell r="C13361"/>
          <cell r="D13361"/>
          <cell r="E13361"/>
        </row>
        <row r="13362">
          <cell r="A13362"/>
          <cell r="B13362"/>
          <cell r="C13362"/>
          <cell r="D13362"/>
          <cell r="E13362"/>
        </row>
        <row r="13363">
          <cell r="A13363"/>
          <cell r="B13363"/>
          <cell r="C13363"/>
          <cell r="D13363"/>
          <cell r="E13363"/>
        </row>
        <row r="13364">
          <cell r="A13364"/>
          <cell r="B13364"/>
          <cell r="C13364"/>
          <cell r="D13364"/>
          <cell r="E13364"/>
        </row>
        <row r="13365">
          <cell r="A13365"/>
          <cell r="B13365"/>
          <cell r="C13365"/>
          <cell r="D13365"/>
          <cell r="E13365"/>
        </row>
        <row r="13366">
          <cell r="A13366"/>
          <cell r="B13366"/>
          <cell r="C13366"/>
          <cell r="D13366"/>
          <cell r="E13366"/>
        </row>
        <row r="13367">
          <cell r="A13367"/>
          <cell r="B13367"/>
          <cell r="C13367"/>
          <cell r="D13367"/>
          <cell r="E13367"/>
        </row>
        <row r="13368">
          <cell r="A13368"/>
          <cell r="B13368"/>
          <cell r="C13368"/>
          <cell r="D13368"/>
          <cell r="E13368"/>
        </row>
        <row r="13369">
          <cell r="A13369"/>
          <cell r="B13369"/>
          <cell r="C13369"/>
          <cell r="D13369"/>
          <cell r="E13369"/>
        </row>
        <row r="13370">
          <cell r="A13370"/>
          <cell r="B13370"/>
          <cell r="C13370"/>
          <cell r="D13370"/>
          <cell r="E13370"/>
        </row>
        <row r="13371">
          <cell r="A13371"/>
          <cell r="B13371"/>
          <cell r="C13371"/>
          <cell r="D13371"/>
          <cell r="E13371"/>
        </row>
        <row r="13372">
          <cell r="A13372"/>
          <cell r="B13372"/>
          <cell r="C13372"/>
          <cell r="D13372"/>
          <cell r="E13372"/>
        </row>
        <row r="13373">
          <cell r="A13373"/>
          <cell r="B13373"/>
          <cell r="C13373"/>
          <cell r="D13373"/>
          <cell r="E13373"/>
        </row>
        <row r="13374">
          <cell r="A13374"/>
          <cell r="B13374"/>
          <cell r="C13374"/>
          <cell r="D13374"/>
          <cell r="E13374"/>
        </row>
        <row r="13375">
          <cell r="A13375"/>
          <cell r="B13375"/>
          <cell r="C13375"/>
          <cell r="D13375"/>
          <cell r="E13375"/>
        </row>
        <row r="13376">
          <cell r="A13376"/>
          <cell r="B13376"/>
          <cell r="C13376"/>
          <cell r="D13376"/>
          <cell r="E13376"/>
        </row>
        <row r="13377">
          <cell r="A13377"/>
          <cell r="B13377"/>
          <cell r="C13377"/>
          <cell r="D13377"/>
          <cell r="E13377"/>
        </row>
        <row r="13378">
          <cell r="A13378"/>
          <cell r="B13378"/>
          <cell r="C13378"/>
          <cell r="D13378"/>
          <cell r="E13378"/>
        </row>
        <row r="13379">
          <cell r="A13379"/>
          <cell r="B13379"/>
          <cell r="C13379"/>
          <cell r="D13379"/>
          <cell r="E13379"/>
        </row>
        <row r="13380">
          <cell r="A13380"/>
          <cell r="B13380"/>
          <cell r="C13380"/>
          <cell r="D13380"/>
          <cell r="E13380"/>
        </row>
        <row r="13381">
          <cell r="A13381"/>
          <cell r="B13381"/>
          <cell r="C13381"/>
          <cell r="D13381"/>
          <cell r="E13381"/>
        </row>
        <row r="13382">
          <cell r="A13382"/>
          <cell r="B13382"/>
          <cell r="C13382"/>
          <cell r="D13382"/>
          <cell r="E13382"/>
        </row>
        <row r="13383">
          <cell r="A13383"/>
          <cell r="B13383"/>
          <cell r="C13383"/>
          <cell r="D13383"/>
          <cell r="E13383"/>
        </row>
        <row r="13384">
          <cell r="A13384"/>
          <cell r="B13384"/>
          <cell r="C13384"/>
          <cell r="D13384"/>
          <cell r="E13384"/>
        </row>
        <row r="13385">
          <cell r="A13385"/>
          <cell r="B13385"/>
          <cell r="C13385"/>
          <cell r="D13385"/>
          <cell r="E13385"/>
        </row>
        <row r="13386">
          <cell r="A13386"/>
          <cell r="B13386"/>
          <cell r="C13386"/>
          <cell r="D13386"/>
          <cell r="E13386"/>
        </row>
        <row r="13387">
          <cell r="A13387"/>
          <cell r="B13387"/>
          <cell r="C13387"/>
          <cell r="D13387"/>
          <cell r="E13387"/>
        </row>
        <row r="13388">
          <cell r="A13388"/>
          <cell r="B13388"/>
          <cell r="C13388"/>
          <cell r="D13388"/>
          <cell r="E13388"/>
        </row>
        <row r="13389">
          <cell r="A13389"/>
          <cell r="B13389"/>
          <cell r="C13389"/>
          <cell r="D13389"/>
          <cell r="E13389"/>
        </row>
        <row r="13390">
          <cell r="A13390"/>
          <cell r="B13390"/>
          <cell r="C13390"/>
          <cell r="D13390"/>
          <cell r="E13390"/>
        </row>
        <row r="13391">
          <cell r="A13391"/>
          <cell r="B13391"/>
          <cell r="C13391"/>
          <cell r="D13391"/>
          <cell r="E13391"/>
        </row>
        <row r="13392">
          <cell r="A13392"/>
          <cell r="B13392"/>
          <cell r="C13392"/>
          <cell r="D13392"/>
          <cell r="E13392"/>
        </row>
        <row r="13393">
          <cell r="A13393"/>
          <cell r="B13393"/>
          <cell r="C13393"/>
          <cell r="D13393"/>
          <cell r="E13393"/>
        </row>
        <row r="13394">
          <cell r="A13394"/>
          <cell r="B13394"/>
          <cell r="C13394"/>
          <cell r="D13394"/>
          <cell r="E13394"/>
        </row>
        <row r="13395">
          <cell r="A13395"/>
          <cell r="B13395"/>
          <cell r="C13395"/>
          <cell r="D13395"/>
          <cell r="E13395"/>
        </row>
        <row r="13396">
          <cell r="A13396"/>
          <cell r="B13396"/>
          <cell r="C13396"/>
          <cell r="D13396"/>
          <cell r="E13396"/>
        </row>
        <row r="13397">
          <cell r="A13397"/>
          <cell r="B13397"/>
          <cell r="C13397"/>
          <cell r="D13397"/>
          <cell r="E13397"/>
        </row>
        <row r="13398">
          <cell r="A13398"/>
          <cell r="B13398"/>
          <cell r="C13398"/>
          <cell r="D13398"/>
          <cell r="E13398"/>
        </row>
        <row r="13399">
          <cell r="A13399"/>
          <cell r="B13399"/>
          <cell r="C13399"/>
          <cell r="D13399"/>
          <cell r="E13399"/>
        </row>
        <row r="13400">
          <cell r="A13400"/>
          <cell r="B13400"/>
          <cell r="C13400"/>
          <cell r="D13400"/>
          <cell r="E13400"/>
        </row>
        <row r="13401">
          <cell r="A13401"/>
          <cell r="B13401"/>
          <cell r="C13401"/>
          <cell r="D13401"/>
          <cell r="E13401"/>
        </row>
        <row r="13402">
          <cell r="A13402"/>
          <cell r="B13402"/>
          <cell r="C13402"/>
          <cell r="D13402"/>
          <cell r="E13402"/>
        </row>
        <row r="13403">
          <cell r="A13403"/>
          <cell r="B13403"/>
          <cell r="C13403"/>
          <cell r="D13403"/>
          <cell r="E13403"/>
        </row>
        <row r="13404">
          <cell r="A13404"/>
          <cell r="B13404"/>
          <cell r="C13404"/>
          <cell r="D13404"/>
          <cell r="E13404"/>
        </row>
        <row r="13405">
          <cell r="A13405"/>
          <cell r="B13405"/>
          <cell r="C13405"/>
          <cell r="D13405"/>
          <cell r="E13405"/>
        </row>
        <row r="13406">
          <cell r="A13406"/>
          <cell r="B13406"/>
          <cell r="C13406"/>
          <cell r="D13406"/>
          <cell r="E13406"/>
        </row>
        <row r="13407">
          <cell r="A13407"/>
          <cell r="B13407"/>
          <cell r="C13407"/>
          <cell r="D13407"/>
          <cell r="E13407"/>
        </row>
        <row r="13408">
          <cell r="A13408"/>
          <cell r="B13408"/>
          <cell r="C13408"/>
          <cell r="D13408"/>
          <cell r="E13408"/>
        </row>
        <row r="13409">
          <cell r="A13409"/>
          <cell r="B13409"/>
          <cell r="C13409"/>
          <cell r="D13409"/>
          <cell r="E13409"/>
        </row>
        <row r="13410">
          <cell r="A13410"/>
          <cell r="B13410"/>
          <cell r="C13410"/>
          <cell r="D13410"/>
          <cell r="E13410"/>
        </row>
        <row r="13411">
          <cell r="A13411"/>
          <cell r="B13411"/>
          <cell r="C13411"/>
          <cell r="D13411"/>
          <cell r="E13411"/>
        </row>
        <row r="13412">
          <cell r="A13412"/>
          <cell r="B13412"/>
          <cell r="C13412"/>
          <cell r="D13412"/>
          <cell r="E13412"/>
        </row>
        <row r="13413">
          <cell r="A13413"/>
          <cell r="B13413"/>
          <cell r="C13413"/>
          <cell r="D13413"/>
          <cell r="E13413"/>
        </row>
        <row r="13414">
          <cell r="A13414"/>
          <cell r="B13414"/>
          <cell r="C13414"/>
          <cell r="D13414"/>
          <cell r="E13414"/>
        </row>
        <row r="13415">
          <cell r="A13415"/>
          <cell r="B13415"/>
          <cell r="C13415"/>
          <cell r="D13415"/>
          <cell r="E13415"/>
        </row>
        <row r="13416">
          <cell r="A13416"/>
          <cell r="B13416"/>
          <cell r="C13416"/>
          <cell r="D13416"/>
          <cell r="E13416"/>
        </row>
        <row r="13417">
          <cell r="A13417"/>
          <cell r="B13417"/>
          <cell r="C13417"/>
          <cell r="D13417"/>
          <cell r="E13417"/>
        </row>
        <row r="13418">
          <cell r="A13418"/>
          <cell r="B13418"/>
          <cell r="C13418"/>
          <cell r="D13418"/>
          <cell r="E13418"/>
        </row>
        <row r="13419">
          <cell r="A13419"/>
          <cell r="B13419"/>
          <cell r="C13419"/>
          <cell r="D13419"/>
          <cell r="E13419"/>
        </row>
        <row r="13420">
          <cell r="A13420"/>
          <cell r="B13420"/>
          <cell r="C13420"/>
          <cell r="D13420"/>
          <cell r="E13420"/>
        </row>
        <row r="13421">
          <cell r="A13421"/>
          <cell r="B13421"/>
          <cell r="C13421"/>
          <cell r="D13421"/>
          <cell r="E13421"/>
        </row>
        <row r="13422">
          <cell r="A13422"/>
          <cell r="B13422"/>
          <cell r="C13422"/>
          <cell r="D13422"/>
          <cell r="E13422"/>
        </row>
        <row r="13423">
          <cell r="A13423"/>
          <cell r="B13423"/>
          <cell r="C13423"/>
          <cell r="D13423"/>
          <cell r="E13423"/>
        </row>
        <row r="13424">
          <cell r="A13424"/>
          <cell r="B13424"/>
          <cell r="C13424"/>
          <cell r="D13424"/>
          <cell r="E13424"/>
        </row>
        <row r="13425">
          <cell r="A13425"/>
          <cell r="B13425"/>
          <cell r="C13425"/>
          <cell r="D13425"/>
          <cell r="E13425"/>
        </row>
        <row r="13426">
          <cell r="A13426"/>
          <cell r="B13426"/>
          <cell r="C13426"/>
          <cell r="D13426"/>
          <cell r="E13426"/>
        </row>
        <row r="13427">
          <cell r="A13427"/>
          <cell r="B13427"/>
          <cell r="C13427"/>
          <cell r="D13427"/>
          <cell r="E13427"/>
        </row>
        <row r="13428">
          <cell r="A13428"/>
          <cell r="B13428"/>
          <cell r="C13428"/>
          <cell r="D13428"/>
          <cell r="E13428"/>
        </row>
        <row r="13429">
          <cell r="A13429"/>
          <cell r="B13429"/>
          <cell r="C13429"/>
          <cell r="D13429"/>
          <cell r="E13429"/>
        </row>
        <row r="13430">
          <cell r="A13430"/>
          <cell r="B13430"/>
          <cell r="C13430"/>
          <cell r="D13430"/>
          <cell r="E13430"/>
        </row>
        <row r="13431">
          <cell r="A13431"/>
          <cell r="B13431"/>
          <cell r="C13431"/>
          <cell r="D13431"/>
          <cell r="E13431"/>
        </row>
        <row r="13432">
          <cell r="A13432"/>
          <cell r="B13432"/>
          <cell r="C13432"/>
          <cell r="D13432"/>
          <cell r="E13432"/>
        </row>
        <row r="13433">
          <cell r="A13433"/>
          <cell r="B13433"/>
          <cell r="C13433"/>
          <cell r="D13433"/>
          <cell r="E13433"/>
        </row>
        <row r="13434">
          <cell r="A13434"/>
          <cell r="B13434"/>
          <cell r="C13434"/>
          <cell r="D13434"/>
          <cell r="E13434"/>
        </row>
        <row r="13435">
          <cell r="A13435"/>
          <cell r="B13435"/>
          <cell r="C13435"/>
          <cell r="D13435"/>
          <cell r="E13435"/>
        </row>
        <row r="13436">
          <cell r="A13436"/>
          <cell r="B13436"/>
          <cell r="C13436"/>
          <cell r="D13436"/>
          <cell r="E13436"/>
        </row>
        <row r="13437">
          <cell r="A13437"/>
          <cell r="B13437"/>
          <cell r="C13437"/>
          <cell r="D13437"/>
          <cell r="E13437"/>
        </row>
        <row r="13438">
          <cell r="A13438"/>
          <cell r="B13438"/>
          <cell r="C13438"/>
          <cell r="D13438"/>
          <cell r="E13438"/>
        </row>
        <row r="13439">
          <cell r="A13439"/>
          <cell r="B13439"/>
          <cell r="C13439"/>
          <cell r="D13439"/>
          <cell r="E13439"/>
        </row>
        <row r="13440">
          <cell r="A13440"/>
          <cell r="B13440"/>
          <cell r="C13440"/>
          <cell r="D13440"/>
          <cell r="E13440"/>
        </row>
        <row r="13441">
          <cell r="A13441"/>
          <cell r="B13441"/>
          <cell r="C13441"/>
          <cell r="D13441"/>
          <cell r="E13441"/>
        </row>
        <row r="13442">
          <cell r="A13442"/>
          <cell r="B13442"/>
          <cell r="C13442"/>
          <cell r="D13442"/>
          <cell r="E13442"/>
        </row>
        <row r="13443">
          <cell r="A13443"/>
          <cell r="B13443"/>
          <cell r="C13443"/>
          <cell r="D13443"/>
          <cell r="E13443"/>
        </row>
        <row r="13444">
          <cell r="A13444"/>
          <cell r="B13444"/>
          <cell r="C13444"/>
          <cell r="D13444"/>
          <cell r="E13444"/>
        </row>
        <row r="13445">
          <cell r="A13445"/>
          <cell r="B13445"/>
          <cell r="C13445"/>
          <cell r="D13445"/>
          <cell r="E13445"/>
        </row>
        <row r="13446">
          <cell r="A13446"/>
          <cell r="B13446"/>
          <cell r="C13446"/>
          <cell r="D13446"/>
          <cell r="E13446"/>
        </row>
        <row r="13447">
          <cell r="A13447"/>
          <cell r="B13447"/>
          <cell r="C13447"/>
          <cell r="D13447"/>
          <cell r="E13447"/>
        </row>
        <row r="13448">
          <cell r="A13448"/>
          <cell r="B13448"/>
          <cell r="C13448"/>
          <cell r="D13448"/>
          <cell r="E13448"/>
        </row>
        <row r="13449">
          <cell r="A13449"/>
          <cell r="B13449"/>
          <cell r="C13449"/>
          <cell r="D13449"/>
          <cell r="E13449"/>
        </row>
        <row r="13450">
          <cell r="A13450"/>
          <cell r="B13450"/>
          <cell r="C13450"/>
          <cell r="D13450"/>
          <cell r="E13450"/>
        </row>
        <row r="13451">
          <cell r="A13451"/>
          <cell r="B13451"/>
          <cell r="C13451"/>
          <cell r="D13451"/>
          <cell r="E13451"/>
        </row>
        <row r="13452">
          <cell r="A13452"/>
          <cell r="B13452"/>
          <cell r="C13452"/>
          <cell r="D13452"/>
          <cell r="E13452"/>
        </row>
        <row r="13453">
          <cell r="A13453"/>
          <cell r="B13453"/>
          <cell r="C13453"/>
          <cell r="D13453"/>
          <cell r="E13453"/>
        </row>
        <row r="13454">
          <cell r="A13454"/>
          <cell r="B13454"/>
          <cell r="C13454"/>
          <cell r="D13454"/>
          <cell r="E13454"/>
        </row>
        <row r="13455">
          <cell r="A13455"/>
          <cell r="B13455"/>
          <cell r="C13455"/>
          <cell r="D13455"/>
          <cell r="E13455"/>
        </row>
        <row r="13456">
          <cell r="A13456"/>
          <cell r="B13456"/>
          <cell r="C13456"/>
          <cell r="D13456"/>
          <cell r="E13456"/>
        </row>
        <row r="13457">
          <cell r="A13457"/>
          <cell r="B13457"/>
          <cell r="C13457"/>
          <cell r="D13457"/>
          <cell r="E13457"/>
        </row>
        <row r="13458">
          <cell r="A13458"/>
          <cell r="B13458"/>
          <cell r="C13458"/>
          <cell r="D13458"/>
          <cell r="E13458"/>
        </row>
        <row r="13459">
          <cell r="A13459"/>
          <cell r="B13459"/>
          <cell r="C13459"/>
          <cell r="D13459"/>
          <cell r="E13459"/>
        </row>
        <row r="13460">
          <cell r="A13460"/>
          <cell r="B13460"/>
          <cell r="C13460"/>
          <cell r="D13460"/>
          <cell r="E13460"/>
        </row>
        <row r="13461">
          <cell r="A13461"/>
          <cell r="B13461"/>
          <cell r="C13461"/>
          <cell r="D13461"/>
          <cell r="E13461"/>
        </row>
        <row r="13462">
          <cell r="A13462"/>
          <cell r="B13462"/>
          <cell r="C13462"/>
          <cell r="D13462"/>
          <cell r="E13462"/>
        </row>
        <row r="13463">
          <cell r="A13463"/>
          <cell r="B13463"/>
          <cell r="C13463"/>
          <cell r="D13463"/>
          <cell r="E13463"/>
        </row>
        <row r="13464">
          <cell r="A13464"/>
          <cell r="B13464"/>
          <cell r="C13464"/>
          <cell r="D13464"/>
          <cell r="E13464"/>
        </row>
        <row r="13465">
          <cell r="A13465"/>
          <cell r="B13465"/>
          <cell r="C13465"/>
          <cell r="D13465"/>
          <cell r="E13465"/>
        </row>
        <row r="13466">
          <cell r="A13466"/>
          <cell r="B13466"/>
          <cell r="C13466"/>
          <cell r="D13466"/>
          <cell r="E13466"/>
        </row>
        <row r="13467">
          <cell r="A13467"/>
          <cell r="B13467"/>
          <cell r="C13467"/>
          <cell r="D13467"/>
          <cell r="E13467"/>
        </row>
        <row r="13468">
          <cell r="A13468"/>
          <cell r="B13468"/>
          <cell r="C13468"/>
          <cell r="D13468"/>
          <cell r="E13468"/>
        </row>
        <row r="13469">
          <cell r="A13469"/>
          <cell r="B13469"/>
          <cell r="C13469"/>
          <cell r="D13469"/>
          <cell r="E13469"/>
        </row>
        <row r="13470">
          <cell r="A13470"/>
          <cell r="B13470"/>
          <cell r="C13470"/>
          <cell r="D13470"/>
          <cell r="E13470"/>
        </row>
        <row r="13471">
          <cell r="A13471"/>
          <cell r="B13471"/>
          <cell r="C13471"/>
          <cell r="D13471"/>
          <cell r="E13471"/>
        </row>
        <row r="13472">
          <cell r="A13472"/>
          <cell r="B13472"/>
          <cell r="C13472"/>
          <cell r="D13472"/>
          <cell r="E13472"/>
        </row>
        <row r="13473">
          <cell r="A13473"/>
          <cell r="B13473"/>
          <cell r="C13473"/>
          <cell r="D13473"/>
          <cell r="E13473"/>
        </row>
        <row r="13474">
          <cell r="A13474"/>
          <cell r="B13474"/>
          <cell r="C13474"/>
          <cell r="D13474"/>
          <cell r="E13474"/>
        </row>
        <row r="13475">
          <cell r="A13475"/>
          <cell r="B13475"/>
          <cell r="C13475"/>
          <cell r="D13475"/>
          <cell r="E13475"/>
        </row>
        <row r="13476">
          <cell r="A13476"/>
          <cell r="B13476"/>
          <cell r="C13476"/>
          <cell r="D13476"/>
          <cell r="E13476"/>
        </row>
        <row r="13477">
          <cell r="A13477"/>
          <cell r="B13477"/>
          <cell r="C13477"/>
          <cell r="D13477"/>
          <cell r="E13477"/>
        </row>
        <row r="13478">
          <cell r="A13478"/>
          <cell r="B13478"/>
          <cell r="C13478"/>
          <cell r="D13478"/>
          <cell r="E13478"/>
        </row>
        <row r="13479">
          <cell r="A13479"/>
          <cell r="B13479"/>
          <cell r="C13479"/>
          <cell r="D13479"/>
          <cell r="E13479"/>
        </row>
        <row r="13480">
          <cell r="A13480"/>
          <cell r="B13480"/>
          <cell r="C13480"/>
          <cell r="D13480"/>
          <cell r="E13480"/>
        </row>
        <row r="13481">
          <cell r="A13481"/>
          <cell r="B13481"/>
          <cell r="C13481"/>
          <cell r="D13481"/>
          <cell r="E13481"/>
        </row>
        <row r="13482">
          <cell r="A13482"/>
          <cell r="B13482"/>
          <cell r="C13482"/>
          <cell r="D13482"/>
          <cell r="E13482"/>
        </row>
        <row r="13483">
          <cell r="A13483"/>
          <cell r="B13483"/>
          <cell r="C13483"/>
          <cell r="D13483"/>
          <cell r="E13483"/>
        </row>
        <row r="13484">
          <cell r="A13484"/>
          <cell r="B13484"/>
          <cell r="C13484"/>
          <cell r="D13484"/>
          <cell r="E13484"/>
        </row>
        <row r="13485">
          <cell r="A13485"/>
          <cell r="B13485"/>
          <cell r="C13485"/>
          <cell r="D13485"/>
          <cell r="E13485"/>
        </row>
        <row r="13486">
          <cell r="A13486"/>
          <cell r="B13486"/>
          <cell r="C13486"/>
          <cell r="D13486"/>
          <cell r="E13486"/>
        </row>
        <row r="13487">
          <cell r="A13487"/>
          <cell r="B13487"/>
          <cell r="C13487"/>
          <cell r="D13487"/>
          <cell r="E13487"/>
        </row>
        <row r="13488">
          <cell r="A13488"/>
          <cell r="B13488"/>
          <cell r="C13488"/>
          <cell r="D13488"/>
          <cell r="E13488"/>
        </row>
        <row r="13489">
          <cell r="A13489"/>
          <cell r="B13489"/>
          <cell r="C13489"/>
          <cell r="D13489"/>
          <cell r="E13489"/>
        </row>
        <row r="13490">
          <cell r="A13490"/>
          <cell r="B13490"/>
          <cell r="C13490"/>
          <cell r="D13490"/>
          <cell r="E13490"/>
        </row>
        <row r="13491">
          <cell r="A13491"/>
          <cell r="B13491"/>
          <cell r="C13491"/>
          <cell r="D13491"/>
          <cell r="E13491"/>
        </row>
        <row r="13492">
          <cell r="A13492"/>
          <cell r="B13492"/>
          <cell r="C13492"/>
          <cell r="D13492"/>
          <cell r="E13492"/>
        </row>
        <row r="13493">
          <cell r="A13493"/>
          <cell r="B13493"/>
          <cell r="C13493"/>
          <cell r="D13493"/>
          <cell r="E13493"/>
        </row>
        <row r="13494">
          <cell r="A13494"/>
          <cell r="B13494"/>
          <cell r="C13494"/>
          <cell r="D13494"/>
          <cell r="E13494"/>
        </row>
        <row r="13495">
          <cell r="A13495"/>
          <cell r="B13495"/>
          <cell r="C13495"/>
          <cell r="D13495"/>
          <cell r="E13495"/>
        </row>
        <row r="13496">
          <cell r="A13496"/>
          <cell r="B13496"/>
          <cell r="C13496"/>
          <cell r="D13496"/>
          <cell r="E13496"/>
        </row>
        <row r="13497">
          <cell r="A13497"/>
          <cell r="B13497"/>
          <cell r="C13497"/>
          <cell r="D13497"/>
          <cell r="E13497"/>
        </row>
        <row r="13498">
          <cell r="A13498"/>
          <cell r="B13498"/>
          <cell r="C13498"/>
          <cell r="D13498"/>
          <cell r="E13498"/>
        </row>
        <row r="13499">
          <cell r="A13499"/>
          <cell r="B13499"/>
          <cell r="C13499"/>
          <cell r="D13499"/>
          <cell r="E13499"/>
        </row>
        <row r="13500">
          <cell r="A13500"/>
          <cell r="B13500"/>
          <cell r="C13500"/>
          <cell r="D13500"/>
          <cell r="E13500"/>
        </row>
        <row r="13501">
          <cell r="A13501"/>
          <cell r="B13501"/>
          <cell r="C13501"/>
          <cell r="D13501"/>
          <cell r="E13501"/>
        </row>
        <row r="13502">
          <cell r="A13502"/>
          <cell r="B13502"/>
          <cell r="C13502"/>
          <cell r="D13502"/>
          <cell r="E13502"/>
        </row>
        <row r="13503">
          <cell r="A13503"/>
          <cell r="B13503"/>
          <cell r="C13503"/>
          <cell r="D13503"/>
          <cell r="E13503"/>
        </row>
        <row r="13504">
          <cell r="A13504"/>
          <cell r="B13504"/>
          <cell r="C13504"/>
          <cell r="D13504"/>
          <cell r="E13504"/>
        </row>
        <row r="13505">
          <cell r="A13505"/>
          <cell r="B13505"/>
          <cell r="C13505"/>
          <cell r="D13505"/>
          <cell r="E13505"/>
        </row>
        <row r="13506">
          <cell r="A13506"/>
          <cell r="B13506"/>
          <cell r="C13506"/>
          <cell r="D13506"/>
          <cell r="E13506"/>
        </row>
        <row r="13507">
          <cell r="A13507"/>
          <cell r="B13507"/>
          <cell r="C13507"/>
          <cell r="D13507"/>
          <cell r="E13507"/>
        </row>
        <row r="13508">
          <cell r="A13508"/>
          <cell r="B13508"/>
          <cell r="C13508"/>
          <cell r="D13508"/>
          <cell r="E13508"/>
        </row>
        <row r="13509">
          <cell r="A13509"/>
          <cell r="B13509"/>
          <cell r="C13509"/>
          <cell r="D13509"/>
          <cell r="E13509"/>
        </row>
        <row r="13510">
          <cell r="A13510"/>
          <cell r="B13510"/>
          <cell r="C13510"/>
          <cell r="D13510"/>
          <cell r="E13510"/>
        </row>
        <row r="13511">
          <cell r="A13511"/>
          <cell r="B13511"/>
          <cell r="C13511"/>
          <cell r="D13511"/>
          <cell r="E13511"/>
        </row>
        <row r="13512">
          <cell r="A13512"/>
          <cell r="B13512"/>
          <cell r="C13512"/>
          <cell r="D13512"/>
          <cell r="E13512"/>
        </row>
        <row r="13513">
          <cell r="A13513"/>
          <cell r="B13513"/>
          <cell r="C13513"/>
          <cell r="D13513"/>
          <cell r="E13513"/>
        </row>
        <row r="13514">
          <cell r="A13514"/>
          <cell r="B13514"/>
          <cell r="C13514"/>
          <cell r="D13514"/>
          <cell r="E13514"/>
        </row>
        <row r="13515">
          <cell r="A13515"/>
          <cell r="B13515"/>
          <cell r="C13515"/>
          <cell r="D13515"/>
          <cell r="E13515"/>
        </row>
        <row r="13516">
          <cell r="A13516"/>
          <cell r="B13516"/>
          <cell r="C13516"/>
          <cell r="D13516"/>
          <cell r="E13516"/>
        </row>
        <row r="13517">
          <cell r="A13517"/>
          <cell r="B13517"/>
          <cell r="C13517"/>
          <cell r="D13517"/>
          <cell r="E13517"/>
        </row>
        <row r="13518">
          <cell r="A13518"/>
          <cell r="B13518"/>
          <cell r="C13518"/>
          <cell r="D13518"/>
          <cell r="E13518"/>
        </row>
        <row r="13519">
          <cell r="A13519"/>
          <cell r="B13519"/>
          <cell r="C13519"/>
          <cell r="D13519"/>
          <cell r="E13519"/>
        </row>
        <row r="13520">
          <cell r="A13520"/>
          <cell r="B13520"/>
          <cell r="C13520"/>
          <cell r="D13520"/>
          <cell r="E13520"/>
        </row>
        <row r="13521">
          <cell r="A13521"/>
          <cell r="B13521"/>
          <cell r="C13521"/>
          <cell r="D13521"/>
          <cell r="E13521"/>
        </row>
        <row r="13522">
          <cell r="A13522"/>
          <cell r="B13522"/>
          <cell r="C13522"/>
          <cell r="D13522"/>
          <cell r="E13522"/>
        </row>
        <row r="13523">
          <cell r="A13523"/>
          <cell r="B13523"/>
          <cell r="C13523"/>
          <cell r="D13523"/>
          <cell r="E13523"/>
        </row>
        <row r="13524">
          <cell r="A13524"/>
          <cell r="B13524"/>
          <cell r="C13524"/>
          <cell r="D13524"/>
          <cell r="E13524"/>
        </row>
        <row r="13525">
          <cell r="A13525"/>
          <cell r="B13525"/>
          <cell r="C13525"/>
          <cell r="D13525"/>
          <cell r="E13525"/>
        </row>
        <row r="13526">
          <cell r="A13526"/>
          <cell r="B13526"/>
          <cell r="C13526"/>
          <cell r="D13526"/>
          <cell r="E13526"/>
        </row>
        <row r="13527">
          <cell r="A13527"/>
          <cell r="B13527"/>
          <cell r="C13527"/>
          <cell r="D13527"/>
          <cell r="E13527"/>
        </row>
        <row r="13528">
          <cell r="A13528"/>
          <cell r="B13528"/>
          <cell r="C13528"/>
          <cell r="D13528"/>
          <cell r="E13528"/>
        </row>
        <row r="13529">
          <cell r="A13529"/>
          <cell r="B13529"/>
          <cell r="C13529"/>
          <cell r="D13529"/>
          <cell r="E13529"/>
        </row>
        <row r="13530">
          <cell r="A13530"/>
          <cell r="B13530"/>
          <cell r="C13530"/>
          <cell r="D13530"/>
          <cell r="E13530"/>
        </row>
        <row r="13531">
          <cell r="A13531"/>
          <cell r="B13531"/>
          <cell r="C13531"/>
          <cell r="D13531"/>
          <cell r="E13531"/>
        </row>
        <row r="13532">
          <cell r="A13532"/>
          <cell r="B13532"/>
          <cell r="C13532"/>
          <cell r="D13532"/>
          <cell r="E13532"/>
        </row>
        <row r="13533">
          <cell r="A13533"/>
          <cell r="B13533"/>
          <cell r="C13533"/>
          <cell r="D13533"/>
          <cell r="E13533"/>
        </row>
        <row r="13534">
          <cell r="A13534"/>
          <cell r="B13534"/>
          <cell r="C13534"/>
          <cell r="D13534"/>
          <cell r="E13534"/>
        </row>
        <row r="13535">
          <cell r="A13535"/>
          <cell r="B13535"/>
          <cell r="C13535"/>
          <cell r="D13535"/>
          <cell r="E13535"/>
        </row>
        <row r="13536">
          <cell r="A13536"/>
          <cell r="B13536"/>
          <cell r="C13536"/>
          <cell r="D13536"/>
          <cell r="E13536"/>
        </row>
        <row r="13537">
          <cell r="A13537"/>
          <cell r="B13537"/>
          <cell r="C13537"/>
          <cell r="D13537"/>
          <cell r="E13537"/>
        </row>
        <row r="13538">
          <cell r="A13538"/>
          <cell r="B13538"/>
          <cell r="C13538"/>
          <cell r="D13538"/>
          <cell r="E13538"/>
        </row>
        <row r="13539">
          <cell r="A13539"/>
          <cell r="B13539"/>
          <cell r="C13539"/>
          <cell r="D13539"/>
          <cell r="E13539"/>
        </row>
        <row r="13540">
          <cell r="A13540"/>
          <cell r="B13540"/>
          <cell r="C13540"/>
          <cell r="D13540"/>
          <cell r="E13540"/>
        </row>
        <row r="13541">
          <cell r="A13541"/>
          <cell r="B13541"/>
          <cell r="C13541"/>
          <cell r="D13541"/>
          <cell r="E13541"/>
        </row>
        <row r="13542">
          <cell r="A13542"/>
          <cell r="B13542"/>
          <cell r="C13542"/>
          <cell r="D13542"/>
          <cell r="E13542"/>
        </row>
        <row r="13543">
          <cell r="A13543"/>
          <cell r="B13543"/>
          <cell r="C13543"/>
          <cell r="D13543"/>
          <cell r="E13543"/>
        </row>
        <row r="13544">
          <cell r="A13544"/>
          <cell r="B13544"/>
          <cell r="C13544"/>
          <cell r="D13544"/>
          <cell r="E13544"/>
        </row>
        <row r="13545">
          <cell r="A13545"/>
          <cell r="B13545"/>
          <cell r="C13545"/>
          <cell r="D13545"/>
          <cell r="E13545"/>
        </row>
        <row r="13546">
          <cell r="A13546"/>
          <cell r="B13546"/>
          <cell r="C13546"/>
          <cell r="D13546"/>
          <cell r="E13546"/>
        </row>
        <row r="13547">
          <cell r="A13547"/>
          <cell r="B13547"/>
          <cell r="C13547"/>
          <cell r="D13547"/>
          <cell r="E13547"/>
        </row>
        <row r="13548">
          <cell r="A13548"/>
          <cell r="B13548"/>
          <cell r="C13548"/>
          <cell r="D13548"/>
          <cell r="E13548"/>
        </row>
        <row r="13549">
          <cell r="A13549"/>
          <cell r="B13549"/>
          <cell r="C13549"/>
          <cell r="D13549"/>
          <cell r="E13549"/>
        </row>
        <row r="13550">
          <cell r="A13550"/>
          <cell r="B13550"/>
          <cell r="C13550"/>
          <cell r="D13550"/>
          <cell r="E13550"/>
        </row>
        <row r="13551">
          <cell r="A13551"/>
          <cell r="B13551"/>
          <cell r="C13551"/>
          <cell r="D13551"/>
          <cell r="E13551"/>
        </row>
        <row r="13552">
          <cell r="A13552"/>
          <cell r="B13552"/>
          <cell r="C13552"/>
          <cell r="D13552"/>
          <cell r="E13552"/>
        </row>
        <row r="13553">
          <cell r="A13553"/>
          <cell r="B13553"/>
          <cell r="C13553"/>
          <cell r="D13553"/>
          <cell r="E13553"/>
        </row>
        <row r="13554">
          <cell r="A13554"/>
          <cell r="B13554"/>
          <cell r="C13554"/>
          <cell r="D13554"/>
          <cell r="E13554"/>
        </row>
        <row r="13555">
          <cell r="A13555"/>
          <cell r="B13555"/>
          <cell r="C13555"/>
          <cell r="D13555"/>
          <cell r="E13555"/>
        </row>
        <row r="13556">
          <cell r="A13556"/>
          <cell r="B13556"/>
          <cell r="C13556"/>
          <cell r="D13556"/>
          <cell r="E13556"/>
        </row>
        <row r="13557">
          <cell r="A13557"/>
          <cell r="B13557"/>
          <cell r="C13557"/>
          <cell r="D13557"/>
          <cell r="E13557"/>
        </row>
        <row r="13558">
          <cell r="A13558"/>
          <cell r="B13558"/>
          <cell r="C13558"/>
          <cell r="D13558"/>
          <cell r="E13558"/>
        </row>
        <row r="13559">
          <cell r="A13559"/>
          <cell r="B13559"/>
          <cell r="C13559"/>
          <cell r="D13559"/>
          <cell r="E13559"/>
        </row>
        <row r="13560">
          <cell r="A13560"/>
          <cell r="B13560"/>
          <cell r="C13560"/>
          <cell r="D13560"/>
          <cell r="E13560"/>
        </row>
        <row r="13561">
          <cell r="A13561"/>
          <cell r="B13561"/>
          <cell r="C13561"/>
          <cell r="D13561"/>
          <cell r="E13561"/>
        </row>
        <row r="13562">
          <cell r="A13562"/>
          <cell r="B13562"/>
          <cell r="C13562"/>
          <cell r="D13562"/>
          <cell r="E13562"/>
        </row>
        <row r="13563">
          <cell r="A13563"/>
          <cell r="B13563"/>
          <cell r="C13563"/>
          <cell r="D13563"/>
          <cell r="E13563"/>
        </row>
        <row r="13564">
          <cell r="A13564"/>
          <cell r="B13564"/>
          <cell r="C13564"/>
          <cell r="D13564"/>
          <cell r="E13564"/>
        </row>
        <row r="13565">
          <cell r="A13565"/>
          <cell r="B13565"/>
          <cell r="C13565"/>
          <cell r="D13565"/>
          <cell r="E13565"/>
        </row>
        <row r="13566">
          <cell r="A13566"/>
          <cell r="B13566"/>
          <cell r="C13566"/>
          <cell r="D13566"/>
          <cell r="E13566"/>
        </row>
        <row r="13567">
          <cell r="A13567"/>
          <cell r="B13567"/>
          <cell r="C13567"/>
          <cell r="D13567"/>
          <cell r="E13567"/>
        </row>
        <row r="13568">
          <cell r="A13568"/>
          <cell r="B13568"/>
          <cell r="C13568"/>
          <cell r="D13568"/>
          <cell r="E13568"/>
        </row>
        <row r="13569">
          <cell r="A13569"/>
          <cell r="B13569"/>
          <cell r="C13569"/>
          <cell r="D13569"/>
          <cell r="E13569"/>
        </row>
        <row r="13570">
          <cell r="A13570"/>
          <cell r="B13570"/>
          <cell r="C13570"/>
          <cell r="D13570"/>
          <cell r="E13570"/>
        </row>
        <row r="13571">
          <cell r="A13571"/>
          <cell r="B13571"/>
          <cell r="C13571"/>
          <cell r="D13571"/>
          <cell r="E13571"/>
        </row>
        <row r="13572">
          <cell r="A13572"/>
          <cell r="B13572"/>
          <cell r="C13572"/>
          <cell r="D13572"/>
          <cell r="E13572"/>
        </row>
        <row r="13573">
          <cell r="A13573"/>
          <cell r="B13573"/>
          <cell r="C13573"/>
          <cell r="D13573"/>
          <cell r="E13573"/>
        </row>
        <row r="13574">
          <cell r="A13574"/>
          <cell r="B13574"/>
          <cell r="C13574"/>
          <cell r="D13574"/>
          <cell r="E13574"/>
        </row>
        <row r="13575">
          <cell r="A13575"/>
          <cell r="B13575"/>
          <cell r="C13575"/>
          <cell r="D13575"/>
          <cell r="E13575"/>
        </row>
        <row r="13576">
          <cell r="A13576"/>
          <cell r="B13576"/>
          <cell r="C13576"/>
          <cell r="D13576"/>
          <cell r="E13576"/>
        </row>
        <row r="13577">
          <cell r="A13577"/>
          <cell r="B13577"/>
          <cell r="C13577"/>
          <cell r="D13577"/>
          <cell r="E13577"/>
        </row>
        <row r="13578">
          <cell r="A13578"/>
          <cell r="B13578"/>
          <cell r="C13578"/>
          <cell r="D13578"/>
          <cell r="E13578"/>
        </row>
        <row r="13579">
          <cell r="A13579"/>
          <cell r="B13579"/>
          <cell r="C13579"/>
          <cell r="D13579"/>
          <cell r="E13579"/>
        </row>
        <row r="13580">
          <cell r="A13580"/>
          <cell r="B13580"/>
          <cell r="C13580"/>
          <cell r="D13580"/>
          <cell r="E13580"/>
        </row>
        <row r="13581">
          <cell r="A13581"/>
          <cell r="B13581"/>
          <cell r="C13581"/>
          <cell r="D13581"/>
          <cell r="E13581"/>
        </row>
        <row r="13582">
          <cell r="A13582"/>
          <cell r="B13582"/>
          <cell r="C13582"/>
          <cell r="D13582"/>
          <cell r="E13582"/>
        </row>
        <row r="13583">
          <cell r="A13583"/>
          <cell r="B13583"/>
          <cell r="C13583"/>
          <cell r="D13583"/>
          <cell r="E13583"/>
        </row>
        <row r="13584">
          <cell r="A13584"/>
          <cell r="B13584"/>
          <cell r="C13584"/>
          <cell r="D13584"/>
          <cell r="E13584"/>
        </row>
        <row r="13585">
          <cell r="A13585"/>
          <cell r="B13585"/>
          <cell r="C13585"/>
          <cell r="D13585"/>
          <cell r="E13585"/>
        </row>
        <row r="13586">
          <cell r="A13586"/>
          <cell r="B13586"/>
          <cell r="C13586"/>
          <cell r="D13586"/>
          <cell r="E13586"/>
        </row>
        <row r="13587">
          <cell r="A13587"/>
          <cell r="B13587"/>
          <cell r="C13587"/>
          <cell r="D13587"/>
          <cell r="E13587"/>
        </row>
        <row r="13588">
          <cell r="A13588"/>
          <cell r="B13588"/>
          <cell r="C13588"/>
          <cell r="D13588"/>
          <cell r="E13588"/>
        </row>
        <row r="13589">
          <cell r="A13589"/>
          <cell r="B13589"/>
          <cell r="C13589"/>
          <cell r="D13589"/>
          <cell r="E13589"/>
        </row>
        <row r="13590">
          <cell r="A13590"/>
          <cell r="B13590"/>
          <cell r="C13590"/>
          <cell r="D13590"/>
          <cell r="E13590"/>
        </row>
        <row r="13591">
          <cell r="A13591"/>
          <cell r="B13591"/>
          <cell r="C13591"/>
          <cell r="D13591"/>
          <cell r="E13591"/>
        </row>
        <row r="13592">
          <cell r="A13592"/>
          <cell r="B13592"/>
          <cell r="C13592"/>
          <cell r="D13592"/>
          <cell r="E13592"/>
        </row>
        <row r="13593">
          <cell r="A13593"/>
          <cell r="B13593"/>
          <cell r="C13593"/>
          <cell r="D13593"/>
          <cell r="E13593"/>
        </row>
        <row r="13594">
          <cell r="A13594"/>
          <cell r="B13594"/>
          <cell r="C13594"/>
          <cell r="D13594"/>
          <cell r="E13594"/>
        </row>
        <row r="13595">
          <cell r="A13595"/>
          <cell r="B13595"/>
          <cell r="C13595"/>
          <cell r="D13595"/>
          <cell r="E13595"/>
        </row>
        <row r="13596">
          <cell r="A13596"/>
          <cell r="B13596"/>
          <cell r="C13596"/>
          <cell r="D13596"/>
          <cell r="E13596"/>
        </row>
        <row r="13597">
          <cell r="A13597"/>
          <cell r="B13597"/>
          <cell r="C13597"/>
          <cell r="D13597"/>
          <cell r="E13597"/>
        </row>
        <row r="13598">
          <cell r="A13598"/>
          <cell r="B13598"/>
          <cell r="C13598"/>
          <cell r="D13598"/>
          <cell r="E13598"/>
        </row>
        <row r="13599">
          <cell r="A13599"/>
          <cell r="B13599"/>
          <cell r="C13599"/>
          <cell r="D13599"/>
          <cell r="E13599"/>
        </row>
        <row r="13600">
          <cell r="A13600"/>
          <cell r="B13600"/>
          <cell r="C13600"/>
          <cell r="D13600"/>
          <cell r="E13600"/>
        </row>
        <row r="13601">
          <cell r="A13601"/>
          <cell r="B13601"/>
          <cell r="C13601"/>
          <cell r="D13601"/>
          <cell r="E13601"/>
        </row>
        <row r="13602">
          <cell r="A13602"/>
          <cell r="B13602"/>
          <cell r="C13602"/>
          <cell r="D13602"/>
          <cell r="E13602"/>
        </row>
        <row r="13603">
          <cell r="A13603"/>
          <cell r="B13603"/>
          <cell r="C13603"/>
          <cell r="D13603"/>
          <cell r="E13603"/>
        </row>
        <row r="13604">
          <cell r="A13604"/>
          <cell r="B13604"/>
          <cell r="C13604"/>
          <cell r="D13604"/>
          <cell r="E13604"/>
        </row>
        <row r="13605">
          <cell r="A13605"/>
          <cell r="B13605"/>
          <cell r="C13605"/>
          <cell r="D13605"/>
          <cell r="E13605"/>
        </row>
        <row r="13606">
          <cell r="A13606"/>
          <cell r="B13606"/>
          <cell r="C13606"/>
          <cell r="D13606"/>
          <cell r="E13606"/>
        </row>
        <row r="13607">
          <cell r="A13607"/>
          <cell r="B13607"/>
          <cell r="C13607"/>
          <cell r="D13607"/>
          <cell r="E13607"/>
        </row>
        <row r="13608">
          <cell r="A13608"/>
          <cell r="B13608"/>
          <cell r="C13608"/>
          <cell r="D13608"/>
          <cell r="E13608"/>
        </row>
        <row r="13609">
          <cell r="A13609"/>
          <cell r="B13609"/>
          <cell r="C13609"/>
          <cell r="D13609"/>
          <cell r="E13609"/>
        </row>
        <row r="13610">
          <cell r="A13610"/>
          <cell r="B13610"/>
          <cell r="C13610"/>
          <cell r="D13610"/>
          <cell r="E13610"/>
        </row>
        <row r="13611">
          <cell r="A13611"/>
          <cell r="B13611"/>
          <cell r="C13611"/>
          <cell r="D13611"/>
          <cell r="E13611"/>
        </row>
        <row r="13612">
          <cell r="A13612"/>
          <cell r="B13612"/>
          <cell r="C13612"/>
          <cell r="D13612"/>
          <cell r="E13612"/>
        </row>
        <row r="13613">
          <cell r="A13613"/>
          <cell r="B13613"/>
          <cell r="C13613"/>
          <cell r="D13613"/>
          <cell r="E13613"/>
        </row>
        <row r="13614">
          <cell r="A13614"/>
          <cell r="B13614"/>
          <cell r="C13614"/>
          <cell r="D13614"/>
          <cell r="E13614"/>
        </row>
        <row r="13615">
          <cell r="A13615"/>
          <cell r="B13615"/>
          <cell r="C13615"/>
          <cell r="D13615"/>
          <cell r="E13615"/>
        </row>
        <row r="13616">
          <cell r="A13616"/>
          <cell r="B13616"/>
          <cell r="C13616"/>
          <cell r="D13616"/>
          <cell r="E13616"/>
        </row>
        <row r="13617">
          <cell r="A13617"/>
          <cell r="B13617"/>
          <cell r="C13617"/>
          <cell r="D13617"/>
          <cell r="E13617"/>
        </row>
        <row r="13618">
          <cell r="A13618"/>
          <cell r="B13618"/>
          <cell r="C13618"/>
          <cell r="D13618"/>
          <cell r="E13618"/>
        </row>
        <row r="13619">
          <cell r="A13619"/>
          <cell r="B13619"/>
          <cell r="C13619"/>
          <cell r="D13619"/>
          <cell r="E13619"/>
        </row>
        <row r="13620">
          <cell r="A13620"/>
          <cell r="B13620"/>
          <cell r="C13620"/>
          <cell r="D13620"/>
          <cell r="E13620"/>
        </row>
        <row r="13621">
          <cell r="A13621"/>
          <cell r="B13621"/>
          <cell r="C13621"/>
          <cell r="D13621"/>
          <cell r="E13621"/>
        </row>
        <row r="13622">
          <cell r="A13622"/>
          <cell r="B13622"/>
          <cell r="C13622"/>
          <cell r="D13622"/>
          <cell r="E13622"/>
        </row>
        <row r="13623">
          <cell r="A13623"/>
          <cell r="B13623"/>
          <cell r="C13623"/>
          <cell r="D13623"/>
          <cell r="E13623"/>
        </row>
        <row r="13624">
          <cell r="A13624"/>
          <cell r="B13624"/>
          <cell r="C13624"/>
          <cell r="D13624"/>
          <cell r="E13624"/>
        </row>
        <row r="13625">
          <cell r="A13625"/>
          <cell r="B13625"/>
          <cell r="C13625"/>
          <cell r="D13625"/>
          <cell r="E13625"/>
        </row>
        <row r="13626">
          <cell r="A13626"/>
          <cell r="B13626"/>
          <cell r="C13626"/>
          <cell r="D13626"/>
          <cell r="E13626"/>
        </row>
        <row r="13627">
          <cell r="A13627"/>
          <cell r="B13627"/>
          <cell r="C13627"/>
          <cell r="D13627"/>
          <cell r="E13627"/>
        </row>
        <row r="13628">
          <cell r="A13628"/>
          <cell r="B13628"/>
          <cell r="C13628"/>
          <cell r="D13628"/>
          <cell r="E13628"/>
        </row>
        <row r="13629">
          <cell r="A13629"/>
          <cell r="B13629"/>
          <cell r="C13629"/>
          <cell r="D13629"/>
          <cell r="E13629"/>
        </row>
        <row r="13630">
          <cell r="A13630"/>
          <cell r="B13630"/>
          <cell r="C13630"/>
          <cell r="D13630"/>
          <cell r="E13630"/>
        </row>
        <row r="13631">
          <cell r="A13631"/>
          <cell r="B13631"/>
          <cell r="C13631"/>
          <cell r="D13631"/>
          <cell r="E13631"/>
        </row>
        <row r="13632">
          <cell r="A13632"/>
          <cell r="B13632"/>
          <cell r="C13632"/>
          <cell r="D13632"/>
          <cell r="E13632"/>
        </row>
        <row r="13633">
          <cell r="A13633"/>
          <cell r="B13633"/>
          <cell r="C13633"/>
          <cell r="D13633"/>
          <cell r="E13633"/>
        </row>
        <row r="13634">
          <cell r="A13634"/>
          <cell r="B13634"/>
          <cell r="C13634"/>
          <cell r="D13634"/>
          <cell r="E13634"/>
        </row>
        <row r="13635">
          <cell r="A13635"/>
          <cell r="B13635"/>
          <cell r="C13635"/>
          <cell r="D13635"/>
          <cell r="E13635"/>
        </row>
        <row r="13636">
          <cell r="A13636"/>
          <cell r="B13636"/>
          <cell r="C13636"/>
          <cell r="D13636"/>
          <cell r="E13636"/>
        </row>
        <row r="13637">
          <cell r="A13637"/>
          <cell r="B13637"/>
          <cell r="C13637"/>
          <cell r="D13637"/>
          <cell r="E13637"/>
        </row>
        <row r="13638">
          <cell r="A13638"/>
          <cell r="B13638"/>
          <cell r="C13638"/>
          <cell r="D13638"/>
          <cell r="E13638"/>
        </row>
        <row r="13639">
          <cell r="A13639"/>
          <cell r="B13639"/>
          <cell r="C13639"/>
          <cell r="D13639"/>
          <cell r="E13639"/>
        </row>
        <row r="13640">
          <cell r="A13640"/>
          <cell r="B13640"/>
          <cell r="C13640"/>
          <cell r="D13640"/>
          <cell r="E13640"/>
        </row>
        <row r="13641">
          <cell r="A13641"/>
          <cell r="B13641"/>
          <cell r="C13641"/>
          <cell r="D13641"/>
          <cell r="E13641"/>
        </row>
        <row r="13642">
          <cell r="A13642"/>
          <cell r="B13642"/>
          <cell r="C13642"/>
          <cell r="D13642"/>
          <cell r="E13642"/>
        </row>
        <row r="13643">
          <cell r="A13643"/>
          <cell r="B13643"/>
          <cell r="C13643"/>
          <cell r="D13643"/>
          <cell r="E13643"/>
        </row>
        <row r="13644">
          <cell r="A13644"/>
          <cell r="B13644"/>
          <cell r="C13644"/>
          <cell r="D13644"/>
          <cell r="E13644"/>
        </row>
        <row r="13645">
          <cell r="A13645"/>
          <cell r="B13645"/>
          <cell r="C13645"/>
          <cell r="D13645"/>
          <cell r="E13645"/>
        </row>
        <row r="13646">
          <cell r="A13646"/>
          <cell r="B13646"/>
          <cell r="C13646"/>
          <cell r="D13646"/>
          <cell r="E13646"/>
        </row>
        <row r="13647">
          <cell r="A13647"/>
          <cell r="B13647"/>
          <cell r="C13647"/>
          <cell r="D13647"/>
          <cell r="E13647"/>
        </row>
        <row r="13648">
          <cell r="A13648"/>
          <cell r="B13648"/>
          <cell r="C13648"/>
          <cell r="D13648"/>
          <cell r="E13648"/>
        </row>
        <row r="13649">
          <cell r="A13649"/>
          <cell r="B13649"/>
          <cell r="C13649"/>
          <cell r="D13649"/>
          <cell r="E13649"/>
        </row>
        <row r="13650">
          <cell r="A13650"/>
          <cell r="B13650"/>
          <cell r="C13650"/>
          <cell r="D13650"/>
          <cell r="E13650"/>
        </row>
        <row r="13651">
          <cell r="A13651"/>
          <cell r="B13651"/>
          <cell r="C13651"/>
          <cell r="D13651"/>
          <cell r="E13651"/>
        </row>
        <row r="13652">
          <cell r="A13652"/>
          <cell r="B13652"/>
          <cell r="C13652"/>
          <cell r="D13652"/>
          <cell r="E13652"/>
        </row>
        <row r="13653">
          <cell r="A13653"/>
          <cell r="B13653"/>
          <cell r="C13653"/>
          <cell r="D13653"/>
          <cell r="E13653"/>
        </row>
        <row r="13654">
          <cell r="A13654"/>
          <cell r="B13654"/>
          <cell r="C13654"/>
          <cell r="D13654"/>
          <cell r="E13654"/>
        </row>
        <row r="13655">
          <cell r="A13655"/>
          <cell r="B13655"/>
          <cell r="C13655"/>
          <cell r="D13655"/>
          <cell r="E13655"/>
        </row>
        <row r="13656">
          <cell r="A13656"/>
          <cell r="B13656"/>
          <cell r="C13656"/>
          <cell r="D13656"/>
          <cell r="E13656"/>
        </row>
        <row r="13657">
          <cell r="A13657"/>
          <cell r="B13657"/>
          <cell r="C13657"/>
          <cell r="D13657"/>
          <cell r="E13657"/>
        </row>
        <row r="13658">
          <cell r="A13658"/>
          <cell r="B13658"/>
          <cell r="C13658"/>
          <cell r="D13658"/>
          <cell r="E13658"/>
        </row>
        <row r="13659">
          <cell r="A13659"/>
          <cell r="B13659"/>
          <cell r="C13659"/>
          <cell r="D13659"/>
          <cell r="E13659"/>
        </row>
        <row r="13660">
          <cell r="A13660"/>
          <cell r="B13660"/>
          <cell r="C13660"/>
          <cell r="D13660"/>
          <cell r="E13660"/>
        </row>
        <row r="13661">
          <cell r="A13661"/>
          <cell r="B13661"/>
          <cell r="C13661"/>
          <cell r="D13661"/>
          <cell r="E13661"/>
        </row>
        <row r="13662">
          <cell r="A13662"/>
          <cell r="B13662"/>
          <cell r="C13662"/>
          <cell r="D13662"/>
          <cell r="E13662"/>
        </row>
        <row r="13663">
          <cell r="A13663"/>
          <cell r="B13663"/>
          <cell r="C13663"/>
          <cell r="D13663"/>
          <cell r="E13663"/>
        </row>
        <row r="13664">
          <cell r="A13664"/>
          <cell r="B13664"/>
          <cell r="C13664"/>
          <cell r="D13664"/>
          <cell r="E13664"/>
        </row>
        <row r="13665">
          <cell r="A13665"/>
          <cell r="B13665"/>
          <cell r="C13665"/>
          <cell r="D13665"/>
          <cell r="E13665"/>
        </row>
        <row r="13666">
          <cell r="A13666"/>
          <cell r="B13666"/>
          <cell r="C13666"/>
          <cell r="D13666"/>
          <cell r="E13666"/>
        </row>
        <row r="13667">
          <cell r="A13667"/>
          <cell r="B13667"/>
          <cell r="C13667"/>
          <cell r="D13667"/>
          <cell r="E13667"/>
        </row>
        <row r="13668">
          <cell r="A13668"/>
          <cell r="B13668"/>
          <cell r="C13668"/>
          <cell r="D13668"/>
          <cell r="E13668"/>
        </row>
        <row r="13669">
          <cell r="A13669"/>
          <cell r="B13669"/>
          <cell r="C13669"/>
          <cell r="D13669"/>
          <cell r="E13669"/>
        </row>
        <row r="13670">
          <cell r="A13670"/>
          <cell r="B13670"/>
          <cell r="C13670"/>
          <cell r="D13670"/>
          <cell r="E13670"/>
        </row>
        <row r="13671">
          <cell r="A13671"/>
          <cell r="B13671"/>
          <cell r="C13671"/>
          <cell r="D13671"/>
          <cell r="E13671"/>
        </row>
        <row r="13672">
          <cell r="A13672"/>
          <cell r="B13672"/>
          <cell r="C13672"/>
          <cell r="D13672"/>
          <cell r="E13672"/>
        </row>
        <row r="13673">
          <cell r="A13673"/>
          <cell r="B13673"/>
          <cell r="C13673"/>
          <cell r="D13673"/>
          <cell r="E13673"/>
        </row>
        <row r="13674">
          <cell r="A13674"/>
          <cell r="B13674"/>
          <cell r="C13674"/>
          <cell r="D13674"/>
          <cell r="E13674"/>
        </row>
        <row r="13675">
          <cell r="A13675"/>
          <cell r="B13675"/>
          <cell r="C13675"/>
          <cell r="D13675"/>
          <cell r="E13675"/>
        </row>
        <row r="13676">
          <cell r="A13676"/>
          <cell r="B13676"/>
          <cell r="C13676"/>
          <cell r="D13676"/>
          <cell r="E13676"/>
        </row>
        <row r="13677">
          <cell r="A13677"/>
          <cell r="B13677"/>
          <cell r="C13677"/>
          <cell r="D13677"/>
          <cell r="E13677"/>
        </row>
        <row r="13678">
          <cell r="A13678"/>
          <cell r="B13678"/>
          <cell r="C13678"/>
          <cell r="D13678"/>
          <cell r="E13678"/>
        </row>
        <row r="13679">
          <cell r="A13679"/>
          <cell r="B13679"/>
          <cell r="C13679"/>
          <cell r="D13679"/>
          <cell r="E13679"/>
        </row>
        <row r="13680">
          <cell r="A13680"/>
          <cell r="B13680"/>
          <cell r="C13680"/>
          <cell r="D13680"/>
          <cell r="E13680"/>
        </row>
        <row r="13681">
          <cell r="A13681"/>
          <cell r="B13681"/>
          <cell r="C13681"/>
          <cell r="D13681"/>
          <cell r="E13681"/>
        </row>
        <row r="13682">
          <cell r="A13682"/>
          <cell r="B13682"/>
          <cell r="C13682"/>
          <cell r="D13682"/>
          <cell r="E13682"/>
        </row>
        <row r="13683">
          <cell r="A13683"/>
          <cell r="B13683"/>
          <cell r="C13683"/>
          <cell r="D13683"/>
          <cell r="E13683"/>
        </row>
        <row r="13684">
          <cell r="A13684"/>
          <cell r="B13684"/>
          <cell r="C13684"/>
          <cell r="D13684"/>
          <cell r="E13684"/>
        </row>
        <row r="13685">
          <cell r="A13685"/>
          <cell r="B13685"/>
          <cell r="C13685"/>
          <cell r="D13685"/>
          <cell r="E13685"/>
        </row>
        <row r="13686">
          <cell r="A13686"/>
          <cell r="B13686"/>
          <cell r="C13686"/>
          <cell r="D13686"/>
          <cell r="E13686"/>
        </row>
        <row r="13687">
          <cell r="A13687"/>
          <cell r="B13687"/>
          <cell r="C13687"/>
          <cell r="D13687"/>
          <cell r="E13687"/>
        </row>
        <row r="13688">
          <cell r="A13688"/>
          <cell r="B13688"/>
          <cell r="C13688"/>
          <cell r="D13688"/>
          <cell r="E13688"/>
        </row>
        <row r="13689">
          <cell r="A13689"/>
          <cell r="B13689"/>
          <cell r="C13689"/>
          <cell r="D13689"/>
          <cell r="E13689"/>
        </row>
        <row r="13690">
          <cell r="A13690"/>
          <cell r="B13690"/>
          <cell r="C13690"/>
          <cell r="D13690"/>
          <cell r="E13690"/>
        </row>
        <row r="13691">
          <cell r="A13691"/>
          <cell r="B13691"/>
          <cell r="C13691"/>
          <cell r="D13691"/>
          <cell r="E13691"/>
        </row>
        <row r="13692">
          <cell r="A13692"/>
          <cell r="B13692"/>
          <cell r="C13692"/>
          <cell r="D13692"/>
          <cell r="E13692"/>
        </row>
        <row r="13693">
          <cell r="A13693"/>
          <cell r="B13693"/>
          <cell r="C13693"/>
          <cell r="D13693"/>
          <cell r="E13693"/>
        </row>
        <row r="13694">
          <cell r="A13694"/>
          <cell r="B13694"/>
          <cell r="C13694"/>
          <cell r="D13694"/>
          <cell r="E13694"/>
        </row>
        <row r="13695">
          <cell r="A13695"/>
          <cell r="B13695"/>
          <cell r="C13695"/>
          <cell r="D13695"/>
          <cell r="E13695"/>
        </row>
        <row r="13696">
          <cell r="A13696"/>
          <cell r="B13696"/>
          <cell r="C13696"/>
          <cell r="D13696"/>
          <cell r="E13696"/>
        </row>
        <row r="13697">
          <cell r="A13697"/>
          <cell r="B13697"/>
          <cell r="C13697"/>
          <cell r="D13697"/>
          <cell r="E13697"/>
        </row>
        <row r="13698">
          <cell r="A13698"/>
          <cell r="B13698"/>
          <cell r="C13698"/>
          <cell r="D13698"/>
          <cell r="E13698"/>
        </row>
        <row r="13699">
          <cell r="A13699"/>
          <cell r="B13699"/>
          <cell r="C13699"/>
          <cell r="D13699"/>
          <cell r="E13699"/>
        </row>
        <row r="13700">
          <cell r="A13700"/>
          <cell r="B13700"/>
          <cell r="C13700"/>
          <cell r="D13700"/>
          <cell r="E13700"/>
        </row>
        <row r="13701">
          <cell r="A13701"/>
          <cell r="B13701"/>
          <cell r="C13701"/>
          <cell r="D13701"/>
          <cell r="E13701"/>
        </row>
        <row r="13702">
          <cell r="A13702"/>
          <cell r="B13702"/>
          <cell r="C13702"/>
          <cell r="D13702"/>
          <cell r="E13702"/>
        </row>
        <row r="13703">
          <cell r="A13703"/>
          <cell r="B13703"/>
          <cell r="C13703"/>
          <cell r="D13703"/>
          <cell r="E13703"/>
        </row>
        <row r="13704">
          <cell r="A13704"/>
          <cell r="B13704"/>
          <cell r="C13704"/>
          <cell r="D13704"/>
          <cell r="E13704"/>
        </row>
        <row r="13705">
          <cell r="A13705"/>
          <cell r="B13705"/>
          <cell r="C13705"/>
          <cell r="D13705"/>
          <cell r="E13705"/>
        </row>
        <row r="13706">
          <cell r="A13706"/>
          <cell r="B13706"/>
          <cell r="C13706"/>
          <cell r="D13706"/>
          <cell r="E13706"/>
        </row>
        <row r="13707">
          <cell r="A13707"/>
          <cell r="B13707"/>
          <cell r="C13707"/>
          <cell r="D13707"/>
          <cell r="E13707"/>
        </row>
        <row r="13708">
          <cell r="A13708"/>
          <cell r="B13708"/>
          <cell r="C13708"/>
          <cell r="D13708"/>
          <cell r="E13708"/>
        </row>
        <row r="13709">
          <cell r="A13709"/>
          <cell r="B13709"/>
          <cell r="C13709"/>
          <cell r="D13709"/>
          <cell r="E13709"/>
        </row>
        <row r="13710">
          <cell r="A13710"/>
          <cell r="B13710"/>
          <cell r="C13710"/>
          <cell r="D13710"/>
          <cell r="E13710"/>
        </row>
        <row r="13711">
          <cell r="A13711"/>
          <cell r="B13711"/>
          <cell r="C13711"/>
          <cell r="D13711"/>
          <cell r="E13711"/>
        </row>
        <row r="13712">
          <cell r="A13712"/>
          <cell r="B13712"/>
          <cell r="C13712"/>
          <cell r="D13712"/>
          <cell r="E13712"/>
        </row>
        <row r="13713">
          <cell r="A13713"/>
          <cell r="B13713"/>
          <cell r="C13713"/>
          <cell r="D13713"/>
          <cell r="E13713"/>
        </row>
        <row r="13714">
          <cell r="A13714"/>
          <cell r="B13714"/>
          <cell r="C13714"/>
          <cell r="D13714"/>
          <cell r="E13714"/>
        </row>
        <row r="13715">
          <cell r="A13715"/>
          <cell r="B13715"/>
          <cell r="C13715"/>
          <cell r="D13715"/>
          <cell r="E13715"/>
        </row>
        <row r="13716">
          <cell r="A13716"/>
          <cell r="B13716"/>
          <cell r="C13716"/>
          <cell r="D13716"/>
          <cell r="E13716"/>
        </row>
        <row r="13717">
          <cell r="A13717"/>
          <cell r="B13717"/>
          <cell r="C13717"/>
          <cell r="D13717"/>
          <cell r="E13717"/>
        </row>
        <row r="13718">
          <cell r="A13718"/>
          <cell r="B13718"/>
          <cell r="C13718"/>
          <cell r="D13718"/>
          <cell r="E13718"/>
        </row>
        <row r="13719">
          <cell r="A13719"/>
          <cell r="B13719"/>
          <cell r="C13719"/>
          <cell r="D13719"/>
          <cell r="E13719"/>
        </row>
        <row r="13720">
          <cell r="A13720"/>
          <cell r="B13720"/>
          <cell r="C13720"/>
          <cell r="D13720"/>
          <cell r="E13720"/>
        </row>
        <row r="13721">
          <cell r="A13721"/>
          <cell r="B13721"/>
          <cell r="C13721"/>
          <cell r="D13721"/>
          <cell r="E13721"/>
        </row>
        <row r="13722">
          <cell r="A13722"/>
          <cell r="B13722"/>
          <cell r="C13722"/>
          <cell r="D13722"/>
          <cell r="E13722"/>
        </row>
        <row r="13723">
          <cell r="A13723"/>
          <cell r="B13723"/>
          <cell r="C13723"/>
          <cell r="D13723"/>
          <cell r="E13723"/>
        </row>
        <row r="13724">
          <cell r="A13724"/>
          <cell r="B13724"/>
          <cell r="C13724"/>
          <cell r="D13724"/>
          <cell r="E13724"/>
        </row>
        <row r="13725">
          <cell r="A13725"/>
          <cell r="B13725"/>
          <cell r="C13725"/>
          <cell r="D13725"/>
          <cell r="E13725"/>
        </row>
        <row r="13726">
          <cell r="A13726"/>
          <cell r="B13726"/>
          <cell r="C13726"/>
          <cell r="D13726"/>
          <cell r="E13726"/>
        </row>
        <row r="13727">
          <cell r="A13727"/>
          <cell r="B13727"/>
          <cell r="C13727"/>
          <cell r="D13727"/>
          <cell r="E13727"/>
        </row>
        <row r="13728">
          <cell r="A13728"/>
          <cell r="B13728"/>
          <cell r="C13728"/>
          <cell r="D13728"/>
          <cell r="E13728"/>
        </row>
        <row r="13729">
          <cell r="A13729"/>
          <cell r="B13729"/>
          <cell r="C13729"/>
          <cell r="D13729"/>
          <cell r="E13729"/>
        </row>
        <row r="13730">
          <cell r="A13730"/>
          <cell r="B13730"/>
          <cell r="C13730"/>
          <cell r="D13730"/>
          <cell r="E13730"/>
        </row>
        <row r="13731">
          <cell r="A13731"/>
          <cell r="B13731"/>
          <cell r="C13731"/>
          <cell r="D13731"/>
          <cell r="E13731"/>
        </row>
        <row r="13732">
          <cell r="A13732"/>
          <cell r="B13732"/>
          <cell r="C13732"/>
          <cell r="D13732"/>
          <cell r="E13732"/>
        </row>
        <row r="13733">
          <cell r="A13733"/>
          <cell r="B13733"/>
          <cell r="C13733"/>
          <cell r="D13733"/>
          <cell r="E13733"/>
        </row>
        <row r="13734">
          <cell r="A13734"/>
          <cell r="B13734"/>
          <cell r="C13734"/>
          <cell r="D13734"/>
          <cell r="E13734"/>
        </row>
        <row r="13735">
          <cell r="A13735"/>
          <cell r="B13735"/>
          <cell r="C13735"/>
          <cell r="D13735"/>
          <cell r="E13735"/>
        </row>
        <row r="13736">
          <cell r="A13736"/>
          <cell r="B13736"/>
          <cell r="C13736"/>
          <cell r="D13736"/>
          <cell r="E13736"/>
        </row>
        <row r="13737">
          <cell r="A13737"/>
          <cell r="B13737"/>
          <cell r="C13737"/>
          <cell r="D13737"/>
          <cell r="E13737"/>
        </row>
        <row r="13738">
          <cell r="A13738"/>
          <cell r="B13738"/>
          <cell r="C13738"/>
          <cell r="D13738"/>
          <cell r="E13738"/>
        </row>
        <row r="13739">
          <cell r="A13739"/>
          <cell r="B13739"/>
          <cell r="C13739"/>
          <cell r="D13739"/>
          <cell r="E13739"/>
        </row>
        <row r="13740">
          <cell r="A13740"/>
          <cell r="B13740"/>
          <cell r="C13740"/>
          <cell r="D13740"/>
          <cell r="E13740"/>
        </row>
        <row r="13741">
          <cell r="A13741"/>
          <cell r="B13741"/>
          <cell r="C13741"/>
          <cell r="D13741"/>
          <cell r="E13741"/>
        </row>
        <row r="13742">
          <cell r="A13742"/>
          <cell r="B13742"/>
          <cell r="C13742"/>
          <cell r="D13742"/>
          <cell r="E13742"/>
        </row>
        <row r="13743">
          <cell r="A13743"/>
          <cell r="B13743"/>
          <cell r="C13743"/>
          <cell r="D13743"/>
          <cell r="E13743"/>
        </row>
        <row r="13744">
          <cell r="A13744"/>
          <cell r="B13744"/>
          <cell r="C13744"/>
          <cell r="D13744"/>
          <cell r="E13744"/>
        </row>
        <row r="13745">
          <cell r="A13745"/>
          <cell r="B13745"/>
          <cell r="C13745"/>
          <cell r="D13745"/>
          <cell r="E13745"/>
        </row>
        <row r="13746">
          <cell r="A13746"/>
          <cell r="B13746"/>
          <cell r="C13746"/>
          <cell r="D13746"/>
          <cell r="E13746"/>
        </row>
        <row r="13747">
          <cell r="A13747"/>
          <cell r="B13747"/>
          <cell r="C13747"/>
          <cell r="D13747"/>
          <cell r="E13747"/>
        </row>
        <row r="13748">
          <cell r="A13748"/>
          <cell r="B13748"/>
          <cell r="C13748"/>
          <cell r="D13748"/>
          <cell r="E13748"/>
        </row>
        <row r="13749">
          <cell r="A13749"/>
          <cell r="B13749"/>
          <cell r="C13749"/>
          <cell r="D13749"/>
          <cell r="E13749"/>
        </row>
        <row r="13750">
          <cell r="A13750"/>
          <cell r="B13750"/>
          <cell r="C13750"/>
          <cell r="D13750"/>
          <cell r="E13750"/>
        </row>
        <row r="13751">
          <cell r="A13751"/>
          <cell r="B13751"/>
          <cell r="C13751"/>
          <cell r="D13751"/>
          <cell r="E13751"/>
        </row>
        <row r="13752">
          <cell r="A13752"/>
          <cell r="B13752"/>
          <cell r="C13752"/>
          <cell r="D13752"/>
          <cell r="E13752"/>
        </row>
        <row r="13753">
          <cell r="A13753"/>
          <cell r="B13753"/>
          <cell r="C13753"/>
          <cell r="D13753"/>
          <cell r="E13753"/>
        </row>
        <row r="13754">
          <cell r="A13754"/>
          <cell r="B13754"/>
          <cell r="C13754"/>
          <cell r="D13754"/>
          <cell r="E13754"/>
        </row>
        <row r="13755">
          <cell r="A13755"/>
          <cell r="B13755"/>
          <cell r="C13755"/>
          <cell r="D13755"/>
          <cell r="E13755"/>
        </row>
        <row r="13756">
          <cell r="A13756"/>
          <cell r="B13756"/>
          <cell r="C13756"/>
          <cell r="D13756"/>
          <cell r="E13756"/>
        </row>
        <row r="13757">
          <cell r="A13757"/>
          <cell r="B13757"/>
          <cell r="C13757"/>
          <cell r="D13757"/>
          <cell r="E13757"/>
        </row>
        <row r="13758">
          <cell r="A13758"/>
          <cell r="B13758"/>
          <cell r="C13758"/>
          <cell r="D13758"/>
          <cell r="E13758"/>
        </row>
        <row r="13759">
          <cell r="A13759"/>
          <cell r="B13759"/>
          <cell r="C13759"/>
          <cell r="D13759"/>
          <cell r="E13759"/>
        </row>
        <row r="13760">
          <cell r="A13760"/>
          <cell r="B13760"/>
          <cell r="C13760"/>
          <cell r="D13760"/>
          <cell r="E13760"/>
        </row>
        <row r="13761">
          <cell r="A13761"/>
          <cell r="B13761"/>
          <cell r="C13761"/>
          <cell r="D13761"/>
          <cell r="E13761"/>
        </row>
        <row r="13762">
          <cell r="A13762"/>
          <cell r="B13762"/>
          <cell r="C13762"/>
          <cell r="D13762"/>
          <cell r="E13762"/>
        </row>
        <row r="13763">
          <cell r="A13763"/>
          <cell r="B13763"/>
          <cell r="C13763"/>
          <cell r="D13763"/>
          <cell r="E13763"/>
        </row>
        <row r="13764">
          <cell r="A13764"/>
          <cell r="B13764"/>
          <cell r="C13764"/>
          <cell r="D13764"/>
          <cell r="E13764"/>
        </row>
        <row r="13765">
          <cell r="A13765"/>
          <cell r="B13765"/>
          <cell r="C13765"/>
          <cell r="D13765"/>
          <cell r="E13765"/>
        </row>
        <row r="13766">
          <cell r="A13766"/>
          <cell r="B13766"/>
          <cell r="C13766"/>
          <cell r="D13766"/>
          <cell r="E13766"/>
        </row>
        <row r="13767">
          <cell r="A13767"/>
          <cell r="B13767"/>
          <cell r="C13767"/>
          <cell r="D13767"/>
          <cell r="E13767"/>
        </row>
        <row r="13768">
          <cell r="A13768"/>
          <cell r="B13768"/>
          <cell r="C13768"/>
          <cell r="D13768"/>
          <cell r="E13768"/>
        </row>
        <row r="13769">
          <cell r="A13769"/>
          <cell r="B13769"/>
          <cell r="C13769"/>
          <cell r="D13769"/>
          <cell r="E13769"/>
        </row>
        <row r="13770">
          <cell r="A13770"/>
          <cell r="B13770"/>
          <cell r="C13770"/>
          <cell r="D13770"/>
          <cell r="E13770"/>
        </row>
        <row r="13771">
          <cell r="A13771"/>
          <cell r="B13771"/>
          <cell r="C13771"/>
          <cell r="D13771"/>
          <cell r="E13771"/>
        </row>
        <row r="13772">
          <cell r="A13772"/>
          <cell r="B13772"/>
          <cell r="C13772"/>
          <cell r="D13772"/>
          <cell r="E13772"/>
        </row>
        <row r="13773">
          <cell r="A13773"/>
          <cell r="B13773"/>
          <cell r="C13773"/>
          <cell r="D13773"/>
          <cell r="E13773"/>
        </row>
        <row r="13774">
          <cell r="A13774"/>
          <cell r="B13774"/>
          <cell r="C13774"/>
          <cell r="D13774"/>
          <cell r="E13774"/>
        </row>
        <row r="13775">
          <cell r="A13775"/>
          <cell r="B13775"/>
          <cell r="C13775"/>
          <cell r="D13775"/>
          <cell r="E13775"/>
        </row>
        <row r="13776">
          <cell r="A13776"/>
          <cell r="B13776"/>
          <cell r="C13776"/>
          <cell r="D13776"/>
          <cell r="E13776"/>
        </row>
        <row r="13777">
          <cell r="A13777"/>
          <cell r="B13777"/>
          <cell r="C13777"/>
          <cell r="D13777"/>
          <cell r="E13777"/>
        </row>
        <row r="13778">
          <cell r="A13778"/>
          <cell r="B13778"/>
          <cell r="C13778"/>
          <cell r="D13778"/>
          <cell r="E13778"/>
        </row>
        <row r="13779">
          <cell r="A13779"/>
          <cell r="B13779"/>
          <cell r="C13779"/>
          <cell r="D13779"/>
          <cell r="E13779"/>
        </row>
        <row r="13780">
          <cell r="A13780"/>
          <cell r="B13780"/>
          <cell r="C13780"/>
          <cell r="D13780"/>
          <cell r="E13780"/>
        </row>
        <row r="13781">
          <cell r="A13781"/>
          <cell r="B13781"/>
          <cell r="C13781"/>
          <cell r="D13781"/>
          <cell r="E13781"/>
        </row>
        <row r="13782">
          <cell r="A13782"/>
          <cell r="B13782"/>
          <cell r="C13782"/>
          <cell r="D13782"/>
          <cell r="E13782"/>
        </row>
        <row r="13783">
          <cell r="A13783"/>
          <cell r="B13783"/>
          <cell r="C13783"/>
          <cell r="D13783"/>
          <cell r="E13783"/>
        </row>
        <row r="13784">
          <cell r="A13784"/>
          <cell r="B13784"/>
          <cell r="C13784"/>
          <cell r="D13784"/>
          <cell r="E13784"/>
        </row>
        <row r="13785">
          <cell r="A13785"/>
          <cell r="B13785"/>
          <cell r="C13785"/>
          <cell r="D13785"/>
          <cell r="E13785"/>
        </row>
        <row r="13786">
          <cell r="A13786"/>
          <cell r="B13786"/>
          <cell r="C13786"/>
          <cell r="D13786"/>
          <cell r="E13786"/>
        </row>
        <row r="13787">
          <cell r="A13787"/>
          <cell r="B13787"/>
          <cell r="C13787"/>
          <cell r="D13787"/>
          <cell r="E13787"/>
        </row>
        <row r="13788">
          <cell r="A13788"/>
          <cell r="B13788"/>
          <cell r="C13788"/>
          <cell r="D13788"/>
          <cell r="E13788"/>
        </row>
        <row r="13789">
          <cell r="A13789"/>
          <cell r="B13789"/>
          <cell r="C13789"/>
          <cell r="D13789"/>
          <cell r="E13789"/>
        </row>
        <row r="13790">
          <cell r="A13790"/>
          <cell r="B13790"/>
          <cell r="C13790"/>
          <cell r="D13790"/>
          <cell r="E13790"/>
        </row>
        <row r="13791">
          <cell r="A13791"/>
          <cell r="B13791"/>
          <cell r="C13791"/>
          <cell r="D13791"/>
          <cell r="E13791"/>
        </row>
        <row r="13792">
          <cell r="A13792"/>
          <cell r="B13792"/>
          <cell r="C13792"/>
          <cell r="D13792"/>
          <cell r="E13792"/>
        </row>
        <row r="13793">
          <cell r="A13793"/>
          <cell r="B13793"/>
          <cell r="C13793"/>
          <cell r="D13793"/>
          <cell r="E13793"/>
        </row>
        <row r="13794">
          <cell r="A13794"/>
          <cell r="B13794"/>
          <cell r="C13794"/>
          <cell r="D13794"/>
          <cell r="E13794"/>
        </row>
        <row r="13795">
          <cell r="A13795"/>
          <cell r="B13795"/>
          <cell r="C13795"/>
          <cell r="D13795"/>
          <cell r="E13795"/>
        </row>
        <row r="13796">
          <cell r="A13796"/>
          <cell r="B13796"/>
          <cell r="C13796"/>
          <cell r="D13796"/>
          <cell r="E13796"/>
        </row>
        <row r="13797">
          <cell r="A13797"/>
          <cell r="B13797"/>
          <cell r="C13797"/>
          <cell r="D13797"/>
          <cell r="E13797"/>
        </row>
        <row r="13798">
          <cell r="A13798"/>
          <cell r="B13798"/>
          <cell r="C13798"/>
          <cell r="D13798"/>
          <cell r="E13798"/>
        </row>
        <row r="13799">
          <cell r="A13799"/>
          <cell r="B13799"/>
          <cell r="C13799"/>
          <cell r="D13799"/>
          <cell r="E13799"/>
        </row>
        <row r="13800">
          <cell r="A13800"/>
          <cell r="B13800"/>
          <cell r="C13800"/>
          <cell r="D13800"/>
          <cell r="E13800"/>
        </row>
        <row r="13801">
          <cell r="A13801"/>
          <cell r="B13801"/>
          <cell r="C13801"/>
          <cell r="D13801"/>
          <cell r="E13801"/>
        </row>
        <row r="13802">
          <cell r="A13802"/>
          <cell r="B13802"/>
          <cell r="C13802"/>
          <cell r="D13802"/>
          <cell r="E13802"/>
        </row>
        <row r="13803">
          <cell r="A13803"/>
          <cell r="B13803"/>
          <cell r="C13803"/>
          <cell r="D13803"/>
          <cell r="E13803"/>
        </row>
        <row r="13804">
          <cell r="A13804"/>
          <cell r="B13804"/>
          <cell r="C13804"/>
          <cell r="D13804"/>
          <cell r="E13804"/>
        </row>
        <row r="13805">
          <cell r="A13805"/>
          <cell r="B13805"/>
          <cell r="C13805"/>
          <cell r="D13805"/>
          <cell r="E13805"/>
        </row>
        <row r="13806">
          <cell r="A13806"/>
          <cell r="B13806"/>
          <cell r="C13806"/>
          <cell r="D13806"/>
          <cell r="E13806"/>
        </row>
        <row r="13807">
          <cell r="A13807"/>
          <cell r="B13807"/>
          <cell r="C13807"/>
          <cell r="D13807"/>
          <cell r="E13807"/>
        </row>
        <row r="13808">
          <cell r="A13808"/>
          <cell r="B13808"/>
          <cell r="C13808"/>
          <cell r="D13808"/>
          <cell r="E13808"/>
        </row>
        <row r="13809">
          <cell r="A13809"/>
          <cell r="B13809"/>
          <cell r="C13809"/>
          <cell r="D13809"/>
          <cell r="E13809"/>
        </row>
        <row r="13810">
          <cell r="A13810"/>
          <cell r="B13810"/>
          <cell r="C13810"/>
          <cell r="D13810"/>
          <cell r="E13810"/>
        </row>
        <row r="13811">
          <cell r="A13811"/>
          <cell r="B13811"/>
          <cell r="C13811"/>
          <cell r="D13811"/>
          <cell r="E13811"/>
        </row>
        <row r="13812">
          <cell r="A13812"/>
          <cell r="B13812"/>
          <cell r="C13812"/>
          <cell r="D13812"/>
          <cell r="E13812"/>
        </row>
        <row r="13813">
          <cell r="A13813"/>
          <cell r="B13813"/>
          <cell r="C13813"/>
          <cell r="D13813"/>
          <cell r="E13813"/>
        </row>
        <row r="13814">
          <cell r="A13814"/>
          <cell r="B13814"/>
          <cell r="C13814"/>
          <cell r="D13814"/>
          <cell r="E13814"/>
        </row>
        <row r="13815">
          <cell r="A13815"/>
          <cell r="B13815"/>
          <cell r="C13815"/>
          <cell r="D13815"/>
          <cell r="E13815"/>
        </row>
        <row r="13816">
          <cell r="A13816"/>
          <cell r="B13816"/>
          <cell r="C13816"/>
          <cell r="D13816"/>
          <cell r="E13816"/>
        </row>
        <row r="13817">
          <cell r="A13817"/>
          <cell r="B13817"/>
          <cell r="C13817"/>
          <cell r="D13817"/>
          <cell r="E13817"/>
        </row>
        <row r="13818">
          <cell r="A13818"/>
          <cell r="B13818"/>
          <cell r="C13818"/>
          <cell r="D13818"/>
          <cell r="E13818"/>
        </row>
        <row r="13819">
          <cell r="A13819"/>
          <cell r="B13819"/>
          <cell r="C13819"/>
          <cell r="D13819"/>
          <cell r="E13819"/>
        </row>
        <row r="13820">
          <cell r="A13820"/>
          <cell r="B13820"/>
          <cell r="C13820"/>
          <cell r="D13820"/>
          <cell r="E13820"/>
        </row>
        <row r="13821">
          <cell r="A13821"/>
          <cell r="B13821"/>
          <cell r="C13821"/>
          <cell r="D13821"/>
          <cell r="E13821"/>
        </row>
        <row r="13822">
          <cell r="A13822"/>
          <cell r="B13822"/>
          <cell r="C13822"/>
          <cell r="D13822"/>
          <cell r="E13822"/>
        </row>
        <row r="13823">
          <cell r="A13823"/>
          <cell r="B13823"/>
          <cell r="C13823"/>
          <cell r="D13823"/>
          <cell r="E13823"/>
        </row>
        <row r="13824">
          <cell r="A13824"/>
          <cell r="B13824"/>
          <cell r="C13824"/>
          <cell r="D13824"/>
          <cell r="E13824"/>
        </row>
        <row r="13825">
          <cell r="A13825"/>
          <cell r="B13825"/>
          <cell r="C13825"/>
          <cell r="D13825"/>
          <cell r="E13825"/>
        </row>
        <row r="13826">
          <cell r="A13826"/>
          <cell r="B13826"/>
          <cell r="C13826"/>
          <cell r="D13826"/>
          <cell r="E13826"/>
        </row>
        <row r="13827">
          <cell r="A13827"/>
          <cell r="B13827"/>
          <cell r="C13827"/>
          <cell r="D13827"/>
          <cell r="E13827"/>
        </row>
        <row r="13828">
          <cell r="A13828"/>
          <cell r="B13828"/>
          <cell r="C13828"/>
          <cell r="D13828"/>
          <cell r="E13828"/>
        </row>
        <row r="13829">
          <cell r="A13829"/>
          <cell r="B13829"/>
          <cell r="C13829"/>
          <cell r="D13829"/>
          <cell r="E13829"/>
        </row>
        <row r="13830">
          <cell r="A13830"/>
          <cell r="B13830"/>
          <cell r="C13830"/>
          <cell r="D13830"/>
          <cell r="E13830"/>
        </row>
        <row r="13831">
          <cell r="A13831"/>
          <cell r="B13831"/>
          <cell r="C13831"/>
          <cell r="D13831"/>
          <cell r="E13831"/>
        </row>
        <row r="13832">
          <cell r="A13832"/>
          <cell r="B13832"/>
          <cell r="C13832"/>
          <cell r="D13832"/>
          <cell r="E13832"/>
        </row>
        <row r="13833">
          <cell r="A13833"/>
          <cell r="B13833"/>
          <cell r="C13833"/>
          <cell r="D13833"/>
          <cell r="E13833"/>
        </row>
        <row r="13834">
          <cell r="A13834"/>
          <cell r="B13834"/>
          <cell r="C13834"/>
          <cell r="D13834"/>
          <cell r="E13834"/>
        </row>
        <row r="13835">
          <cell r="A13835"/>
          <cell r="B13835"/>
          <cell r="C13835"/>
          <cell r="D13835"/>
          <cell r="E13835"/>
        </row>
        <row r="13836">
          <cell r="A13836"/>
          <cell r="B13836"/>
          <cell r="C13836"/>
          <cell r="D13836"/>
          <cell r="E13836"/>
        </row>
        <row r="13837">
          <cell r="A13837"/>
          <cell r="B13837"/>
          <cell r="C13837"/>
          <cell r="D13837"/>
          <cell r="E13837"/>
        </row>
        <row r="13838">
          <cell r="A13838"/>
          <cell r="B13838"/>
          <cell r="C13838"/>
          <cell r="D13838"/>
          <cell r="E13838"/>
        </row>
        <row r="13839">
          <cell r="A13839"/>
          <cell r="B13839"/>
          <cell r="C13839"/>
          <cell r="D13839"/>
          <cell r="E13839"/>
        </row>
        <row r="13840">
          <cell r="A13840"/>
          <cell r="B13840"/>
          <cell r="C13840"/>
          <cell r="D13840"/>
          <cell r="E13840"/>
        </row>
        <row r="13841">
          <cell r="A13841"/>
          <cell r="B13841"/>
          <cell r="C13841"/>
          <cell r="D13841"/>
          <cell r="E13841"/>
        </row>
        <row r="13842">
          <cell r="A13842"/>
          <cell r="B13842"/>
          <cell r="C13842"/>
          <cell r="D13842"/>
          <cell r="E13842"/>
        </row>
        <row r="13843">
          <cell r="A13843"/>
          <cell r="B13843"/>
          <cell r="C13843"/>
          <cell r="D13843"/>
          <cell r="E13843"/>
        </row>
        <row r="13844">
          <cell r="A13844"/>
          <cell r="B13844"/>
          <cell r="C13844"/>
          <cell r="D13844"/>
          <cell r="E13844"/>
        </row>
        <row r="13845">
          <cell r="A13845"/>
          <cell r="B13845"/>
          <cell r="C13845"/>
          <cell r="D13845"/>
          <cell r="E13845"/>
        </row>
        <row r="13846">
          <cell r="A13846"/>
          <cell r="B13846"/>
          <cell r="C13846"/>
          <cell r="D13846"/>
          <cell r="E13846"/>
        </row>
        <row r="13847">
          <cell r="A13847"/>
          <cell r="B13847"/>
          <cell r="C13847"/>
          <cell r="D13847"/>
          <cell r="E13847"/>
        </row>
        <row r="13848">
          <cell r="A13848"/>
          <cell r="B13848"/>
          <cell r="C13848"/>
          <cell r="D13848"/>
          <cell r="E13848"/>
        </row>
        <row r="13849">
          <cell r="A13849"/>
          <cell r="B13849"/>
          <cell r="C13849"/>
          <cell r="D13849"/>
          <cell r="E13849"/>
        </row>
        <row r="13850">
          <cell r="A13850"/>
          <cell r="B13850"/>
          <cell r="C13850"/>
          <cell r="D13850"/>
          <cell r="E13850"/>
        </row>
        <row r="13851">
          <cell r="A13851"/>
          <cell r="B13851"/>
          <cell r="C13851"/>
          <cell r="D13851"/>
          <cell r="E13851"/>
        </row>
        <row r="13852">
          <cell r="A13852"/>
          <cell r="B13852"/>
          <cell r="C13852"/>
          <cell r="D13852"/>
          <cell r="E13852"/>
        </row>
        <row r="13853">
          <cell r="A13853"/>
          <cell r="B13853"/>
          <cell r="C13853"/>
          <cell r="D13853"/>
          <cell r="E13853"/>
        </row>
        <row r="13854">
          <cell r="A13854"/>
          <cell r="B13854"/>
          <cell r="C13854"/>
          <cell r="D13854"/>
          <cell r="E13854"/>
        </row>
        <row r="13855">
          <cell r="A13855"/>
          <cell r="B13855"/>
          <cell r="C13855"/>
          <cell r="D13855"/>
          <cell r="E13855"/>
        </row>
        <row r="13856">
          <cell r="A13856"/>
          <cell r="B13856"/>
          <cell r="C13856"/>
          <cell r="D13856"/>
          <cell r="E13856"/>
        </row>
        <row r="13857">
          <cell r="A13857"/>
          <cell r="B13857"/>
          <cell r="C13857"/>
          <cell r="D13857"/>
          <cell r="E13857"/>
        </row>
        <row r="13858">
          <cell r="A13858"/>
          <cell r="B13858"/>
          <cell r="C13858"/>
          <cell r="D13858"/>
          <cell r="E13858"/>
        </row>
        <row r="13859">
          <cell r="A13859"/>
          <cell r="B13859"/>
          <cell r="C13859"/>
          <cell r="D13859"/>
          <cell r="E13859"/>
        </row>
        <row r="13860">
          <cell r="A13860"/>
          <cell r="B13860"/>
          <cell r="C13860"/>
          <cell r="D13860"/>
          <cell r="E13860"/>
        </row>
        <row r="13861">
          <cell r="A13861"/>
          <cell r="B13861"/>
          <cell r="C13861"/>
          <cell r="D13861"/>
          <cell r="E13861"/>
        </row>
        <row r="13862">
          <cell r="A13862"/>
          <cell r="B13862"/>
          <cell r="C13862"/>
          <cell r="D13862"/>
          <cell r="E13862"/>
        </row>
        <row r="13863">
          <cell r="A13863"/>
          <cell r="B13863"/>
          <cell r="C13863"/>
          <cell r="D13863"/>
          <cell r="E13863"/>
        </row>
        <row r="13864">
          <cell r="A13864"/>
          <cell r="B13864"/>
          <cell r="C13864"/>
          <cell r="D13864"/>
          <cell r="E13864"/>
        </row>
        <row r="13865">
          <cell r="A13865"/>
          <cell r="B13865"/>
          <cell r="C13865"/>
          <cell r="D13865"/>
          <cell r="E13865"/>
        </row>
        <row r="13866">
          <cell r="A13866"/>
          <cell r="B13866"/>
          <cell r="C13866"/>
          <cell r="D13866"/>
          <cell r="E13866"/>
        </row>
        <row r="13867">
          <cell r="A13867"/>
          <cell r="B13867"/>
          <cell r="C13867"/>
          <cell r="D13867"/>
          <cell r="E13867"/>
        </row>
        <row r="13868">
          <cell r="A13868"/>
          <cell r="B13868"/>
          <cell r="C13868"/>
          <cell r="D13868"/>
          <cell r="E13868"/>
        </row>
        <row r="13869">
          <cell r="A13869"/>
          <cell r="B13869"/>
          <cell r="C13869"/>
          <cell r="D13869"/>
          <cell r="E13869"/>
        </row>
        <row r="13870">
          <cell r="A13870"/>
          <cell r="B13870"/>
          <cell r="C13870"/>
          <cell r="D13870"/>
          <cell r="E13870"/>
        </row>
        <row r="13871">
          <cell r="A13871"/>
          <cell r="B13871"/>
          <cell r="C13871"/>
          <cell r="D13871"/>
          <cell r="E13871"/>
        </row>
        <row r="13872">
          <cell r="A13872"/>
          <cell r="B13872"/>
          <cell r="C13872"/>
          <cell r="D13872"/>
          <cell r="E13872"/>
        </row>
        <row r="13873">
          <cell r="A13873"/>
          <cell r="B13873"/>
          <cell r="C13873"/>
          <cell r="D13873"/>
          <cell r="E13873"/>
        </row>
        <row r="13874">
          <cell r="A13874"/>
          <cell r="B13874"/>
          <cell r="C13874"/>
          <cell r="D13874"/>
          <cell r="E13874"/>
        </row>
        <row r="13875">
          <cell r="A13875"/>
          <cell r="B13875"/>
          <cell r="C13875"/>
          <cell r="D13875"/>
          <cell r="E13875"/>
        </row>
        <row r="13876">
          <cell r="A13876"/>
          <cell r="B13876"/>
          <cell r="C13876"/>
          <cell r="D13876"/>
          <cell r="E13876"/>
        </row>
        <row r="13877">
          <cell r="A13877"/>
          <cell r="B13877"/>
          <cell r="C13877"/>
          <cell r="D13877"/>
          <cell r="E13877"/>
        </row>
        <row r="13878">
          <cell r="A13878"/>
          <cell r="B13878"/>
          <cell r="C13878"/>
          <cell r="D13878"/>
          <cell r="E13878"/>
        </row>
        <row r="13879">
          <cell r="A13879"/>
          <cell r="B13879"/>
          <cell r="C13879"/>
          <cell r="D13879"/>
          <cell r="E13879"/>
        </row>
        <row r="13880">
          <cell r="A13880"/>
          <cell r="B13880"/>
          <cell r="C13880"/>
          <cell r="D13880"/>
          <cell r="E13880"/>
        </row>
        <row r="13881">
          <cell r="A13881"/>
          <cell r="B13881"/>
          <cell r="C13881"/>
          <cell r="D13881"/>
          <cell r="E13881"/>
        </row>
        <row r="13882">
          <cell r="A13882"/>
          <cell r="B13882"/>
          <cell r="C13882"/>
          <cell r="D13882"/>
          <cell r="E13882"/>
        </row>
        <row r="13883">
          <cell r="A13883"/>
          <cell r="B13883"/>
          <cell r="C13883"/>
          <cell r="D13883"/>
          <cell r="E13883"/>
        </row>
        <row r="13884">
          <cell r="A13884"/>
          <cell r="B13884"/>
          <cell r="C13884"/>
          <cell r="D13884"/>
          <cell r="E13884"/>
        </row>
        <row r="13885">
          <cell r="A13885"/>
          <cell r="B13885"/>
          <cell r="C13885"/>
          <cell r="D13885"/>
          <cell r="E13885"/>
        </row>
        <row r="13886">
          <cell r="A13886"/>
          <cell r="B13886"/>
          <cell r="C13886"/>
          <cell r="D13886"/>
          <cell r="E13886"/>
        </row>
        <row r="13887">
          <cell r="A13887"/>
          <cell r="B13887"/>
          <cell r="C13887"/>
          <cell r="D13887"/>
          <cell r="E13887"/>
        </row>
        <row r="13888">
          <cell r="A13888"/>
          <cell r="B13888"/>
          <cell r="C13888"/>
          <cell r="D13888"/>
          <cell r="E13888"/>
        </row>
        <row r="13889">
          <cell r="A13889"/>
          <cell r="B13889"/>
          <cell r="C13889"/>
          <cell r="D13889"/>
          <cell r="E13889"/>
        </row>
        <row r="13890">
          <cell r="A13890"/>
          <cell r="B13890"/>
          <cell r="C13890"/>
          <cell r="D13890"/>
          <cell r="E13890"/>
        </row>
        <row r="13891">
          <cell r="A13891"/>
          <cell r="B13891"/>
          <cell r="C13891"/>
          <cell r="D13891"/>
          <cell r="E13891"/>
        </row>
        <row r="13892">
          <cell r="A13892"/>
          <cell r="B13892"/>
          <cell r="C13892"/>
          <cell r="D13892"/>
          <cell r="E13892"/>
        </row>
        <row r="13893">
          <cell r="A13893"/>
          <cell r="B13893"/>
          <cell r="C13893"/>
          <cell r="D13893"/>
          <cell r="E13893"/>
        </row>
        <row r="13894">
          <cell r="A13894"/>
          <cell r="B13894"/>
          <cell r="C13894"/>
          <cell r="D13894"/>
          <cell r="E13894"/>
        </row>
        <row r="13895">
          <cell r="A13895"/>
          <cell r="B13895"/>
          <cell r="C13895"/>
          <cell r="D13895"/>
          <cell r="E13895"/>
        </row>
        <row r="13896">
          <cell r="A13896"/>
          <cell r="B13896"/>
          <cell r="C13896"/>
          <cell r="D13896"/>
          <cell r="E13896"/>
        </row>
        <row r="13897">
          <cell r="A13897"/>
          <cell r="B13897"/>
          <cell r="C13897"/>
          <cell r="D13897"/>
          <cell r="E13897"/>
        </row>
        <row r="13898">
          <cell r="A13898"/>
          <cell r="B13898"/>
          <cell r="C13898"/>
          <cell r="D13898"/>
          <cell r="E13898"/>
        </row>
        <row r="13899">
          <cell r="A13899"/>
          <cell r="B13899"/>
          <cell r="C13899"/>
          <cell r="D13899"/>
          <cell r="E13899"/>
        </row>
        <row r="13900">
          <cell r="A13900"/>
          <cell r="B13900"/>
          <cell r="C13900"/>
          <cell r="D13900"/>
          <cell r="E13900"/>
        </row>
        <row r="13901">
          <cell r="A13901"/>
          <cell r="B13901"/>
          <cell r="C13901"/>
          <cell r="D13901"/>
          <cell r="E13901"/>
        </row>
        <row r="13902">
          <cell r="A13902"/>
          <cell r="B13902"/>
          <cell r="C13902"/>
          <cell r="D13902"/>
          <cell r="E13902"/>
        </row>
        <row r="13903">
          <cell r="A13903"/>
          <cell r="B13903"/>
          <cell r="C13903"/>
          <cell r="D13903"/>
          <cell r="E13903"/>
        </row>
        <row r="13904">
          <cell r="A13904"/>
          <cell r="B13904"/>
          <cell r="C13904"/>
          <cell r="D13904"/>
          <cell r="E13904"/>
        </row>
        <row r="13905">
          <cell r="A13905"/>
          <cell r="B13905"/>
          <cell r="C13905"/>
          <cell r="D13905"/>
          <cell r="E13905"/>
        </row>
        <row r="13906">
          <cell r="A13906"/>
          <cell r="B13906"/>
          <cell r="C13906"/>
          <cell r="D13906"/>
          <cell r="E13906"/>
        </row>
        <row r="13907">
          <cell r="A13907"/>
          <cell r="B13907"/>
          <cell r="C13907"/>
          <cell r="D13907"/>
          <cell r="E13907"/>
        </row>
        <row r="13908">
          <cell r="A13908"/>
          <cell r="B13908"/>
          <cell r="C13908"/>
          <cell r="D13908"/>
          <cell r="E13908"/>
        </row>
        <row r="13909">
          <cell r="A13909"/>
          <cell r="B13909"/>
          <cell r="C13909"/>
          <cell r="D13909"/>
          <cell r="E13909"/>
        </row>
        <row r="13910">
          <cell r="A13910"/>
          <cell r="B13910"/>
          <cell r="C13910"/>
          <cell r="D13910"/>
          <cell r="E13910"/>
        </row>
        <row r="13911">
          <cell r="A13911"/>
          <cell r="B13911"/>
          <cell r="C13911"/>
          <cell r="D13911"/>
          <cell r="E13911"/>
        </row>
        <row r="13912">
          <cell r="A13912"/>
          <cell r="B13912"/>
          <cell r="C13912"/>
          <cell r="D13912"/>
          <cell r="E13912"/>
        </row>
        <row r="13913">
          <cell r="A13913"/>
          <cell r="B13913"/>
          <cell r="C13913"/>
          <cell r="D13913"/>
          <cell r="E13913"/>
        </row>
        <row r="13914">
          <cell r="A13914"/>
          <cell r="B13914"/>
          <cell r="C13914"/>
          <cell r="D13914"/>
          <cell r="E13914"/>
        </row>
        <row r="13915">
          <cell r="A13915"/>
          <cell r="B13915"/>
          <cell r="C13915"/>
          <cell r="D13915"/>
          <cell r="E13915"/>
        </row>
        <row r="13916">
          <cell r="A13916"/>
          <cell r="B13916"/>
          <cell r="C13916"/>
          <cell r="D13916"/>
          <cell r="E13916"/>
        </row>
        <row r="13917">
          <cell r="A13917"/>
          <cell r="B13917"/>
          <cell r="C13917"/>
          <cell r="D13917"/>
          <cell r="E13917"/>
        </row>
        <row r="13918">
          <cell r="A13918"/>
          <cell r="B13918"/>
          <cell r="C13918"/>
          <cell r="D13918"/>
          <cell r="E13918"/>
        </row>
        <row r="13919">
          <cell r="A13919"/>
          <cell r="B13919"/>
          <cell r="C13919"/>
          <cell r="D13919"/>
          <cell r="E13919"/>
        </row>
        <row r="13920">
          <cell r="A13920"/>
          <cell r="B13920"/>
          <cell r="C13920"/>
          <cell r="D13920"/>
          <cell r="E13920"/>
        </row>
        <row r="13921">
          <cell r="A13921"/>
          <cell r="B13921"/>
          <cell r="C13921"/>
          <cell r="D13921"/>
          <cell r="E13921"/>
        </row>
        <row r="13922">
          <cell r="A13922"/>
          <cell r="B13922"/>
          <cell r="C13922"/>
          <cell r="D13922"/>
          <cell r="E13922"/>
        </row>
        <row r="13923">
          <cell r="A13923"/>
          <cell r="B13923"/>
          <cell r="C13923"/>
          <cell r="D13923"/>
          <cell r="E13923"/>
        </row>
        <row r="13924">
          <cell r="A13924"/>
          <cell r="B13924"/>
          <cell r="C13924"/>
          <cell r="D13924"/>
          <cell r="E13924"/>
        </row>
        <row r="13925">
          <cell r="A13925"/>
          <cell r="B13925"/>
          <cell r="C13925"/>
          <cell r="D13925"/>
          <cell r="E13925"/>
        </row>
        <row r="13926">
          <cell r="A13926"/>
          <cell r="B13926"/>
          <cell r="C13926"/>
          <cell r="D13926"/>
          <cell r="E13926"/>
        </row>
        <row r="13927">
          <cell r="A13927"/>
          <cell r="B13927"/>
          <cell r="C13927"/>
          <cell r="D13927"/>
          <cell r="E13927"/>
        </row>
        <row r="13928">
          <cell r="A13928"/>
          <cell r="B13928"/>
          <cell r="C13928"/>
          <cell r="D13928"/>
          <cell r="E13928"/>
        </row>
        <row r="13929">
          <cell r="A13929"/>
          <cell r="B13929"/>
          <cell r="C13929"/>
          <cell r="D13929"/>
          <cell r="E13929"/>
        </row>
        <row r="13930">
          <cell r="A13930"/>
          <cell r="B13930"/>
          <cell r="C13930"/>
          <cell r="D13930"/>
          <cell r="E13930"/>
        </row>
        <row r="13931">
          <cell r="A13931"/>
          <cell r="B13931"/>
          <cell r="C13931"/>
          <cell r="D13931"/>
          <cell r="E13931"/>
        </row>
        <row r="13932">
          <cell r="A13932"/>
          <cell r="B13932"/>
          <cell r="C13932"/>
          <cell r="D13932"/>
          <cell r="E13932"/>
        </row>
        <row r="13933">
          <cell r="A13933"/>
          <cell r="B13933"/>
          <cell r="C13933"/>
          <cell r="D13933"/>
          <cell r="E13933"/>
        </row>
        <row r="13934">
          <cell r="A13934"/>
          <cell r="B13934"/>
          <cell r="C13934"/>
          <cell r="D13934"/>
          <cell r="E13934"/>
        </row>
        <row r="13935">
          <cell r="A13935"/>
          <cell r="B13935"/>
          <cell r="C13935"/>
          <cell r="D13935"/>
          <cell r="E13935"/>
        </row>
        <row r="13936">
          <cell r="A13936"/>
          <cell r="B13936"/>
          <cell r="C13936"/>
          <cell r="D13936"/>
          <cell r="E13936"/>
        </row>
        <row r="13937">
          <cell r="A13937"/>
          <cell r="B13937"/>
          <cell r="C13937"/>
          <cell r="D13937"/>
          <cell r="E13937"/>
        </row>
        <row r="13938">
          <cell r="A13938"/>
          <cell r="B13938"/>
          <cell r="C13938"/>
          <cell r="D13938"/>
          <cell r="E13938"/>
        </row>
        <row r="13939">
          <cell r="A13939"/>
          <cell r="B13939"/>
          <cell r="C13939"/>
          <cell r="D13939"/>
          <cell r="E13939"/>
        </row>
        <row r="13940">
          <cell r="A13940"/>
          <cell r="B13940"/>
          <cell r="C13940"/>
          <cell r="D13940"/>
          <cell r="E13940"/>
        </row>
        <row r="13941">
          <cell r="A13941"/>
          <cell r="B13941"/>
          <cell r="C13941"/>
          <cell r="D13941"/>
          <cell r="E13941"/>
        </row>
        <row r="13942">
          <cell r="A13942"/>
          <cell r="B13942"/>
          <cell r="C13942"/>
          <cell r="D13942"/>
          <cell r="E13942"/>
        </row>
        <row r="13943">
          <cell r="A13943"/>
          <cell r="B13943"/>
          <cell r="C13943"/>
          <cell r="D13943"/>
          <cell r="E13943"/>
        </row>
        <row r="13944">
          <cell r="A13944"/>
          <cell r="B13944"/>
          <cell r="C13944"/>
          <cell r="D13944"/>
          <cell r="E13944"/>
        </row>
        <row r="13945">
          <cell r="A13945"/>
          <cell r="B13945"/>
          <cell r="C13945"/>
          <cell r="D13945"/>
          <cell r="E13945"/>
        </row>
        <row r="13946">
          <cell r="A13946"/>
          <cell r="B13946"/>
          <cell r="C13946"/>
          <cell r="D13946"/>
          <cell r="E13946"/>
        </row>
        <row r="13947">
          <cell r="A13947"/>
          <cell r="B13947"/>
          <cell r="C13947"/>
          <cell r="D13947"/>
          <cell r="E13947"/>
        </row>
        <row r="13948">
          <cell r="A13948"/>
          <cell r="B13948"/>
          <cell r="C13948"/>
          <cell r="D13948"/>
          <cell r="E13948"/>
        </row>
        <row r="13949">
          <cell r="A13949"/>
          <cell r="B13949"/>
          <cell r="C13949"/>
          <cell r="D13949"/>
          <cell r="E13949"/>
        </row>
        <row r="13950">
          <cell r="A13950"/>
          <cell r="B13950"/>
          <cell r="C13950"/>
          <cell r="D13950"/>
          <cell r="E13950"/>
        </row>
        <row r="13951">
          <cell r="A13951"/>
          <cell r="B13951"/>
          <cell r="C13951"/>
          <cell r="D13951"/>
          <cell r="E13951"/>
        </row>
        <row r="13952">
          <cell r="A13952"/>
          <cell r="B13952"/>
          <cell r="C13952"/>
          <cell r="D13952"/>
          <cell r="E13952"/>
        </row>
        <row r="13953">
          <cell r="A13953"/>
          <cell r="B13953"/>
          <cell r="C13953"/>
          <cell r="D13953"/>
          <cell r="E13953"/>
        </row>
        <row r="13954">
          <cell r="A13954"/>
          <cell r="B13954"/>
          <cell r="C13954"/>
          <cell r="D13954"/>
          <cell r="E13954"/>
        </row>
        <row r="13955">
          <cell r="A13955"/>
          <cell r="B13955"/>
          <cell r="C13955"/>
          <cell r="D13955"/>
          <cell r="E13955"/>
        </row>
        <row r="13956">
          <cell r="A13956"/>
          <cell r="B13956"/>
          <cell r="C13956"/>
          <cell r="D13956"/>
          <cell r="E13956"/>
        </row>
        <row r="13957">
          <cell r="A13957"/>
          <cell r="B13957"/>
          <cell r="C13957"/>
          <cell r="D13957"/>
          <cell r="E13957"/>
        </row>
        <row r="13958">
          <cell r="A13958"/>
          <cell r="B13958"/>
          <cell r="C13958"/>
          <cell r="D13958"/>
          <cell r="E13958"/>
        </row>
        <row r="13959">
          <cell r="A13959"/>
          <cell r="B13959"/>
          <cell r="C13959"/>
          <cell r="D13959"/>
          <cell r="E13959"/>
        </row>
        <row r="13960">
          <cell r="A13960"/>
          <cell r="B13960"/>
          <cell r="C13960"/>
          <cell r="D13960"/>
          <cell r="E13960"/>
        </row>
        <row r="13961">
          <cell r="A13961"/>
          <cell r="B13961"/>
          <cell r="C13961"/>
          <cell r="D13961"/>
          <cell r="E13961"/>
        </row>
        <row r="13962">
          <cell r="A13962"/>
          <cell r="B13962"/>
          <cell r="C13962"/>
          <cell r="D13962"/>
          <cell r="E13962"/>
        </row>
        <row r="13963">
          <cell r="A13963"/>
          <cell r="B13963"/>
          <cell r="C13963"/>
          <cell r="D13963"/>
          <cell r="E13963"/>
        </row>
        <row r="13964">
          <cell r="A13964"/>
          <cell r="B13964"/>
          <cell r="C13964"/>
          <cell r="D13964"/>
          <cell r="E13964"/>
        </row>
        <row r="13965">
          <cell r="A13965"/>
          <cell r="B13965"/>
          <cell r="C13965"/>
          <cell r="D13965"/>
          <cell r="E13965"/>
        </row>
        <row r="13966">
          <cell r="A13966"/>
          <cell r="B13966"/>
          <cell r="C13966"/>
          <cell r="D13966"/>
          <cell r="E13966"/>
        </row>
        <row r="13967">
          <cell r="A13967"/>
          <cell r="B13967"/>
          <cell r="C13967"/>
          <cell r="D13967"/>
          <cell r="E13967"/>
        </row>
        <row r="13968">
          <cell r="A13968"/>
          <cell r="B13968"/>
          <cell r="C13968"/>
          <cell r="D13968"/>
          <cell r="E13968"/>
        </row>
        <row r="13969">
          <cell r="A13969"/>
          <cell r="B13969"/>
          <cell r="C13969"/>
          <cell r="D13969"/>
          <cell r="E13969"/>
        </row>
        <row r="13970">
          <cell r="A13970"/>
          <cell r="B13970"/>
          <cell r="C13970"/>
          <cell r="D13970"/>
          <cell r="E13970"/>
        </row>
        <row r="13971">
          <cell r="A13971"/>
          <cell r="B13971"/>
          <cell r="C13971"/>
          <cell r="D13971"/>
          <cell r="E13971"/>
        </row>
        <row r="13972">
          <cell r="A13972"/>
          <cell r="B13972"/>
          <cell r="C13972"/>
          <cell r="D13972"/>
          <cell r="E13972"/>
        </row>
        <row r="13973">
          <cell r="A13973"/>
          <cell r="B13973"/>
          <cell r="C13973"/>
          <cell r="D13973"/>
          <cell r="E13973"/>
        </row>
        <row r="13974">
          <cell r="A13974"/>
          <cell r="B13974"/>
          <cell r="C13974"/>
          <cell r="D13974"/>
          <cell r="E13974"/>
        </row>
        <row r="13975">
          <cell r="A13975"/>
          <cell r="B13975"/>
          <cell r="C13975"/>
          <cell r="D13975"/>
          <cell r="E13975"/>
        </row>
        <row r="13976">
          <cell r="A13976"/>
          <cell r="B13976"/>
          <cell r="C13976"/>
          <cell r="D13976"/>
          <cell r="E13976"/>
        </row>
        <row r="13977">
          <cell r="A13977"/>
          <cell r="B13977"/>
          <cell r="C13977"/>
          <cell r="D13977"/>
          <cell r="E13977"/>
        </row>
        <row r="13978">
          <cell r="A13978"/>
          <cell r="B13978"/>
          <cell r="C13978"/>
          <cell r="D13978"/>
          <cell r="E13978"/>
        </row>
        <row r="13979">
          <cell r="A13979"/>
          <cell r="B13979"/>
          <cell r="C13979"/>
          <cell r="D13979"/>
          <cell r="E13979"/>
        </row>
        <row r="13980">
          <cell r="A13980"/>
          <cell r="B13980"/>
          <cell r="C13980"/>
          <cell r="D13980"/>
          <cell r="E13980"/>
        </row>
        <row r="13981">
          <cell r="A13981"/>
          <cell r="B13981"/>
          <cell r="C13981"/>
          <cell r="D13981"/>
          <cell r="E13981"/>
        </row>
        <row r="13982">
          <cell r="A13982"/>
          <cell r="B13982"/>
          <cell r="C13982"/>
          <cell r="D13982"/>
          <cell r="E13982"/>
        </row>
        <row r="13983">
          <cell r="A13983"/>
          <cell r="B13983"/>
          <cell r="C13983"/>
          <cell r="D13983"/>
          <cell r="E13983"/>
        </row>
        <row r="13984">
          <cell r="A13984"/>
          <cell r="B13984"/>
          <cell r="C13984"/>
          <cell r="D13984"/>
          <cell r="E13984"/>
        </row>
        <row r="13985">
          <cell r="A13985"/>
          <cell r="B13985"/>
          <cell r="C13985"/>
          <cell r="D13985"/>
          <cell r="E13985"/>
        </row>
        <row r="13986">
          <cell r="A13986"/>
          <cell r="B13986"/>
          <cell r="C13986"/>
          <cell r="D13986"/>
          <cell r="E13986"/>
        </row>
        <row r="13987">
          <cell r="A13987"/>
          <cell r="B13987"/>
          <cell r="C13987"/>
          <cell r="D13987"/>
          <cell r="E13987"/>
        </row>
        <row r="13988">
          <cell r="A13988"/>
          <cell r="B13988"/>
          <cell r="C13988"/>
          <cell r="D13988"/>
          <cell r="E13988"/>
        </row>
        <row r="13989">
          <cell r="A13989"/>
          <cell r="B13989"/>
          <cell r="C13989"/>
          <cell r="D13989"/>
          <cell r="E13989"/>
        </row>
        <row r="13990">
          <cell r="A13990"/>
          <cell r="B13990"/>
          <cell r="C13990"/>
          <cell r="D13990"/>
          <cell r="E13990"/>
        </row>
        <row r="13991">
          <cell r="A13991"/>
          <cell r="B13991"/>
          <cell r="C13991"/>
          <cell r="D13991"/>
          <cell r="E13991"/>
        </row>
        <row r="13992">
          <cell r="A13992"/>
          <cell r="B13992"/>
          <cell r="C13992"/>
          <cell r="D13992"/>
          <cell r="E13992"/>
        </row>
        <row r="13993">
          <cell r="A13993"/>
          <cell r="B13993"/>
          <cell r="C13993"/>
          <cell r="D13993"/>
          <cell r="E13993"/>
        </row>
        <row r="13994">
          <cell r="A13994"/>
          <cell r="B13994"/>
          <cell r="C13994"/>
          <cell r="D13994"/>
          <cell r="E13994"/>
        </row>
        <row r="13995">
          <cell r="A13995"/>
          <cell r="B13995"/>
          <cell r="C13995"/>
          <cell r="D13995"/>
          <cell r="E13995"/>
        </row>
        <row r="13996">
          <cell r="A13996"/>
          <cell r="B13996"/>
          <cell r="C13996"/>
          <cell r="D13996"/>
          <cell r="E13996"/>
        </row>
        <row r="13997">
          <cell r="A13997"/>
          <cell r="B13997"/>
          <cell r="C13997"/>
          <cell r="D13997"/>
          <cell r="E13997"/>
        </row>
        <row r="13998">
          <cell r="A13998"/>
          <cell r="B13998"/>
          <cell r="C13998"/>
          <cell r="D13998"/>
          <cell r="E13998"/>
        </row>
        <row r="13999">
          <cell r="A13999"/>
          <cell r="B13999"/>
          <cell r="C13999"/>
          <cell r="D13999"/>
          <cell r="E13999"/>
        </row>
        <row r="14000">
          <cell r="A14000"/>
          <cell r="B14000"/>
          <cell r="C14000"/>
          <cell r="D14000"/>
          <cell r="E14000"/>
        </row>
        <row r="14001">
          <cell r="A14001"/>
          <cell r="B14001"/>
          <cell r="C14001"/>
          <cell r="D14001"/>
          <cell r="E14001"/>
        </row>
        <row r="14002">
          <cell r="A14002"/>
          <cell r="B14002"/>
          <cell r="C14002"/>
          <cell r="D14002"/>
          <cell r="E14002"/>
        </row>
        <row r="14003">
          <cell r="A14003"/>
          <cell r="B14003"/>
          <cell r="C14003"/>
          <cell r="D14003"/>
          <cell r="E14003"/>
        </row>
        <row r="14004">
          <cell r="A14004"/>
          <cell r="B14004"/>
          <cell r="C14004"/>
          <cell r="D14004"/>
          <cell r="E14004"/>
        </row>
        <row r="14005">
          <cell r="A14005"/>
          <cell r="B14005"/>
          <cell r="C14005"/>
          <cell r="D14005"/>
          <cell r="E14005"/>
        </row>
        <row r="14006">
          <cell r="A14006"/>
          <cell r="B14006"/>
          <cell r="C14006"/>
          <cell r="D14006"/>
          <cell r="E14006"/>
        </row>
        <row r="14007">
          <cell r="A14007"/>
          <cell r="B14007"/>
          <cell r="C14007"/>
          <cell r="D14007"/>
          <cell r="E14007"/>
        </row>
        <row r="14008">
          <cell r="A14008"/>
          <cell r="B14008"/>
          <cell r="C14008"/>
          <cell r="D14008"/>
          <cell r="E14008"/>
        </row>
        <row r="14009">
          <cell r="A14009"/>
          <cell r="B14009"/>
          <cell r="C14009"/>
          <cell r="D14009"/>
          <cell r="E14009"/>
        </row>
        <row r="14010">
          <cell r="A14010"/>
          <cell r="B14010"/>
          <cell r="C14010"/>
          <cell r="D14010"/>
          <cell r="E14010"/>
        </row>
        <row r="14011">
          <cell r="A14011"/>
          <cell r="B14011"/>
          <cell r="C14011"/>
          <cell r="D14011"/>
          <cell r="E14011"/>
        </row>
        <row r="14012">
          <cell r="A14012"/>
          <cell r="B14012"/>
          <cell r="C14012"/>
          <cell r="D14012"/>
          <cell r="E14012"/>
        </row>
        <row r="14013">
          <cell r="A14013"/>
          <cell r="B14013"/>
          <cell r="C14013"/>
          <cell r="D14013"/>
          <cell r="E14013"/>
        </row>
        <row r="14014">
          <cell r="A14014"/>
          <cell r="B14014"/>
          <cell r="C14014"/>
          <cell r="D14014"/>
          <cell r="E14014"/>
        </row>
        <row r="14015">
          <cell r="A14015"/>
          <cell r="B14015"/>
          <cell r="C14015"/>
          <cell r="D14015"/>
          <cell r="E14015"/>
        </row>
        <row r="14016">
          <cell r="A14016"/>
          <cell r="B14016"/>
          <cell r="C14016"/>
          <cell r="D14016"/>
          <cell r="E14016"/>
        </row>
        <row r="14017">
          <cell r="A14017"/>
          <cell r="B14017"/>
          <cell r="C14017"/>
          <cell r="D14017"/>
          <cell r="E14017"/>
        </row>
        <row r="14018">
          <cell r="A14018"/>
          <cell r="B14018"/>
          <cell r="C14018"/>
          <cell r="D14018"/>
          <cell r="E14018"/>
        </row>
        <row r="14019">
          <cell r="A14019"/>
          <cell r="B14019"/>
          <cell r="C14019"/>
          <cell r="D14019"/>
          <cell r="E14019"/>
        </row>
        <row r="14020">
          <cell r="A14020"/>
          <cell r="B14020"/>
          <cell r="C14020"/>
          <cell r="D14020"/>
          <cell r="E14020"/>
        </row>
        <row r="14021">
          <cell r="A14021"/>
          <cell r="B14021"/>
          <cell r="C14021"/>
          <cell r="D14021"/>
          <cell r="E14021"/>
        </row>
        <row r="14022">
          <cell r="A14022"/>
          <cell r="B14022"/>
          <cell r="C14022"/>
          <cell r="D14022"/>
          <cell r="E14022"/>
        </row>
        <row r="14023">
          <cell r="A14023"/>
          <cell r="B14023"/>
          <cell r="C14023"/>
          <cell r="D14023"/>
          <cell r="E14023"/>
        </row>
        <row r="14024">
          <cell r="A14024"/>
          <cell r="B14024"/>
          <cell r="C14024"/>
          <cell r="D14024"/>
          <cell r="E14024"/>
        </row>
        <row r="14025">
          <cell r="A14025"/>
          <cell r="B14025"/>
          <cell r="C14025"/>
          <cell r="D14025"/>
          <cell r="E14025"/>
        </row>
        <row r="14026">
          <cell r="A14026"/>
          <cell r="B14026"/>
          <cell r="C14026"/>
          <cell r="D14026"/>
          <cell r="E14026"/>
        </row>
        <row r="14027">
          <cell r="A14027"/>
          <cell r="B14027"/>
          <cell r="C14027"/>
          <cell r="D14027"/>
          <cell r="E14027"/>
        </row>
        <row r="14028">
          <cell r="A14028"/>
          <cell r="B14028"/>
          <cell r="C14028"/>
          <cell r="D14028"/>
          <cell r="E14028"/>
        </row>
        <row r="14029">
          <cell r="A14029"/>
          <cell r="B14029"/>
          <cell r="C14029"/>
          <cell r="D14029"/>
          <cell r="E14029"/>
        </row>
        <row r="14030">
          <cell r="A14030"/>
          <cell r="B14030"/>
          <cell r="C14030"/>
          <cell r="D14030"/>
          <cell r="E14030"/>
        </row>
        <row r="14031">
          <cell r="A14031"/>
          <cell r="B14031"/>
          <cell r="C14031"/>
          <cell r="D14031"/>
          <cell r="E14031"/>
        </row>
        <row r="14032">
          <cell r="A14032"/>
          <cell r="B14032"/>
          <cell r="C14032"/>
          <cell r="D14032"/>
          <cell r="E14032"/>
        </row>
        <row r="14033">
          <cell r="A14033"/>
          <cell r="B14033"/>
          <cell r="C14033"/>
          <cell r="D14033"/>
          <cell r="E14033"/>
        </row>
        <row r="14034">
          <cell r="A14034"/>
          <cell r="B14034"/>
          <cell r="C14034"/>
          <cell r="D14034"/>
          <cell r="E14034"/>
        </row>
        <row r="14035">
          <cell r="A14035"/>
          <cell r="B14035"/>
          <cell r="C14035"/>
          <cell r="D14035"/>
          <cell r="E14035"/>
        </row>
        <row r="14036">
          <cell r="A14036"/>
          <cell r="B14036"/>
          <cell r="C14036"/>
          <cell r="D14036"/>
          <cell r="E14036"/>
        </row>
        <row r="14037">
          <cell r="A14037"/>
          <cell r="B14037"/>
          <cell r="C14037"/>
          <cell r="D14037"/>
          <cell r="E14037"/>
        </row>
        <row r="14038">
          <cell r="A14038"/>
          <cell r="B14038"/>
          <cell r="C14038"/>
          <cell r="D14038"/>
          <cell r="E14038"/>
        </row>
        <row r="14039">
          <cell r="A14039"/>
          <cell r="B14039"/>
          <cell r="C14039"/>
          <cell r="D14039"/>
          <cell r="E14039"/>
        </row>
        <row r="14040">
          <cell r="A14040"/>
          <cell r="B14040"/>
          <cell r="C14040"/>
          <cell r="D14040"/>
          <cell r="E14040"/>
        </row>
        <row r="14041">
          <cell r="A14041"/>
          <cell r="B14041"/>
          <cell r="C14041"/>
          <cell r="D14041"/>
          <cell r="E14041"/>
        </row>
        <row r="14042">
          <cell r="A14042"/>
          <cell r="B14042"/>
          <cell r="C14042"/>
          <cell r="D14042"/>
          <cell r="E14042"/>
        </row>
        <row r="14043">
          <cell r="A14043"/>
          <cell r="B14043"/>
          <cell r="C14043"/>
          <cell r="D14043"/>
          <cell r="E14043"/>
        </row>
        <row r="14044">
          <cell r="A14044"/>
          <cell r="B14044"/>
          <cell r="C14044"/>
          <cell r="D14044"/>
          <cell r="E14044"/>
        </row>
        <row r="14045">
          <cell r="A14045"/>
          <cell r="B14045"/>
          <cell r="C14045"/>
          <cell r="D14045"/>
          <cell r="E14045"/>
        </row>
        <row r="14046">
          <cell r="A14046"/>
          <cell r="B14046"/>
          <cell r="C14046"/>
          <cell r="D14046"/>
          <cell r="E14046"/>
        </row>
        <row r="14047">
          <cell r="A14047"/>
          <cell r="B14047"/>
          <cell r="C14047"/>
          <cell r="D14047"/>
          <cell r="E14047"/>
        </row>
        <row r="14048">
          <cell r="A14048"/>
          <cell r="B14048"/>
          <cell r="C14048"/>
          <cell r="D14048"/>
          <cell r="E14048"/>
        </row>
        <row r="14049">
          <cell r="A14049"/>
          <cell r="B14049"/>
          <cell r="C14049"/>
          <cell r="D14049"/>
          <cell r="E14049"/>
        </row>
        <row r="14050">
          <cell r="A14050"/>
          <cell r="B14050"/>
          <cell r="C14050"/>
          <cell r="D14050"/>
          <cell r="E14050"/>
        </row>
        <row r="14051">
          <cell r="A14051"/>
          <cell r="B14051"/>
          <cell r="C14051"/>
          <cell r="D14051"/>
          <cell r="E14051"/>
        </row>
        <row r="14052">
          <cell r="A14052"/>
          <cell r="B14052"/>
          <cell r="C14052"/>
          <cell r="D14052"/>
          <cell r="E14052"/>
        </row>
        <row r="14053">
          <cell r="A14053"/>
          <cell r="B14053"/>
          <cell r="C14053"/>
          <cell r="D14053"/>
          <cell r="E14053"/>
        </row>
        <row r="14054">
          <cell r="A14054"/>
          <cell r="B14054"/>
          <cell r="C14054"/>
          <cell r="D14054"/>
          <cell r="E14054"/>
        </row>
        <row r="14055">
          <cell r="A14055"/>
          <cell r="B14055"/>
          <cell r="C14055"/>
          <cell r="D14055"/>
          <cell r="E14055"/>
        </row>
        <row r="14056">
          <cell r="A14056"/>
          <cell r="B14056"/>
          <cell r="C14056"/>
          <cell r="D14056"/>
          <cell r="E14056"/>
        </row>
        <row r="14057">
          <cell r="A14057"/>
          <cell r="B14057"/>
          <cell r="C14057"/>
          <cell r="D14057"/>
          <cell r="E14057"/>
        </row>
        <row r="14058">
          <cell r="A14058"/>
          <cell r="B14058"/>
          <cell r="C14058"/>
          <cell r="D14058"/>
          <cell r="E14058"/>
        </row>
        <row r="14059">
          <cell r="A14059"/>
          <cell r="B14059"/>
          <cell r="C14059"/>
          <cell r="D14059"/>
          <cell r="E14059"/>
        </row>
        <row r="14060">
          <cell r="A14060"/>
          <cell r="B14060"/>
          <cell r="C14060"/>
          <cell r="D14060"/>
          <cell r="E14060"/>
        </row>
        <row r="14061">
          <cell r="A14061"/>
          <cell r="B14061"/>
          <cell r="C14061"/>
          <cell r="D14061"/>
          <cell r="E14061"/>
        </row>
        <row r="14062">
          <cell r="A14062"/>
          <cell r="B14062"/>
          <cell r="C14062"/>
          <cell r="D14062"/>
          <cell r="E14062"/>
        </row>
        <row r="14063">
          <cell r="A14063"/>
          <cell r="B14063"/>
          <cell r="C14063"/>
          <cell r="D14063"/>
          <cell r="E14063"/>
        </row>
        <row r="14064">
          <cell r="A14064"/>
          <cell r="B14064"/>
          <cell r="C14064"/>
          <cell r="D14064"/>
          <cell r="E14064"/>
        </row>
        <row r="14065">
          <cell r="A14065"/>
          <cell r="B14065"/>
          <cell r="C14065"/>
          <cell r="D14065"/>
          <cell r="E14065"/>
        </row>
        <row r="14066">
          <cell r="A14066"/>
          <cell r="B14066"/>
          <cell r="C14066"/>
          <cell r="D14066"/>
          <cell r="E14066"/>
        </row>
        <row r="14067">
          <cell r="A14067"/>
          <cell r="B14067"/>
          <cell r="C14067"/>
          <cell r="D14067"/>
          <cell r="E14067"/>
        </row>
        <row r="14068">
          <cell r="A14068"/>
          <cell r="B14068"/>
          <cell r="C14068"/>
          <cell r="D14068"/>
          <cell r="E14068"/>
        </row>
        <row r="14069">
          <cell r="A14069"/>
          <cell r="B14069"/>
          <cell r="C14069"/>
          <cell r="D14069"/>
          <cell r="E14069"/>
        </row>
        <row r="14070">
          <cell r="A14070"/>
          <cell r="B14070"/>
          <cell r="C14070"/>
          <cell r="D14070"/>
          <cell r="E14070"/>
        </row>
        <row r="14071">
          <cell r="A14071"/>
          <cell r="B14071"/>
          <cell r="C14071"/>
          <cell r="D14071"/>
          <cell r="E14071"/>
        </row>
        <row r="14072">
          <cell r="A14072"/>
          <cell r="B14072"/>
          <cell r="C14072"/>
          <cell r="D14072"/>
          <cell r="E14072"/>
        </row>
        <row r="14073">
          <cell r="A14073"/>
          <cell r="B14073"/>
          <cell r="C14073"/>
          <cell r="D14073"/>
          <cell r="E14073"/>
        </row>
        <row r="14074">
          <cell r="A14074"/>
          <cell r="B14074"/>
          <cell r="C14074"/>
          <cell r="D14074"/>
          <cell r="E14074"/>
        </row>
        <row r="14075">
          <cell r="A14075"/>
          <cell r="B14075"/>
          <cell r="C14075"/>
          <cell r="D14075"/>
          <cell r="E14075"/>
        </row>
        <row r="14076">
          <cell r="A14076"/>
          <cell r="B14076"/>
          <cell r="C14076"/>
          <cell r="D14076"/>
          <cell r="E14076"/>
        </row>
        <row r="14077">
          <cell r="A14077"/>
          <cell r="B14077"/>
          <cell r="C14077"/>
          <cell r="D14077"/>
          <cell r="E14077"/>
        </row>
        <row r="14078">
          <cell r="A14078"/>
          <cell r="B14078"/>
          <cell r="C14078"/>
          <cell r="D14078"/>
          <cell r="E14078"/>
        </row>
        <row r="14079">
          <cell r="A14079"/>
          <cell r="B14079"/>
          <cell r="C14079"/>
          <cell r="D14079"/>
          <cell r="E14079"/>
        </row>
        <row r="14080">
          <cell r="A14080"/>
          <cell r="B14080"/>
          <cell r="C14080"/>
          <cell r="D14080"/>
          <cell r="E14080"/>
        </row>
        <row r="14081">
          <cell r="A14081"/>
          <cell r="B14081"/>
          <cell r="C14081"/>
          <cell r="D14081"/>
          <cell r="E14081"/>
        </row>
        <row r="14082">
          <cell r="A14082"/>
          <cell r="B14082"/>
          <cell r="C14082"/>
          <cell r="D14082"/>
          <cell r="E14082"/>
        </row>
        <row r="14083">
          <cell r="A14083"/>
          <cell r="B14083"/>
          <cell r="C14083"/>
          <cell r="D14083"/>
          <cell r="E14083"/>
        </row>
        <row r="14084">
          <cell r="A14084"/>
          <cell r="B14084"/>
          <cell r="C14084"/>
          <cell r="D14084"/>
          <cell r="E14084"/>
        </row>
        <row r="14085">
          <cell r="A14085"/>
          <cell r="B14085"/>
          <cell r="C14085"/>
          <cell r="D14085"/>
          <cell r="E14085"/>
        </row>
        <row r="14086">
          <cell r="A14086"/>
          <cell r="B14086"/>
          <cell r="C14086"/>
          <cell r="D14086"/>
          <cell r="E14086"/>
        </row>
        <row r="14087">
          <cell r="A14087"/>
          <cell r="B14087"/>
          <cell r="C14087"/>
          <cell r="D14087"/>
          <cell r="E14087"/>
        </row>
        <row r="14088">
          <cell r="A14088"/>
          <cell r="B14088"/>
          <cell r="C14088"/>
          <cell r="D14088"/>
          <cell r="E14088"/>
        </row>
        <row r="14089">
          <cell r="A14089"/>
          <cell r="B14089"/>
          <cell r="C14089"/>
          <cell r="D14089"/>
          <cell r="E14089"/>
        </row>
        <row r="14090">
          <cell r="A14090"/>
          <cell r="B14090"/>
          <cell r="C14090"/>
          <cell r="D14090"/>
          <cell r="E14090"/>
        </row>
        <row r="14091">
          <cell r="A14091"/>
          <cell r="B14091"/>
          <cell r="C14091"/>
          <cell r="D14091"/>
          <cell r="E14091"/>
        </row>
        <row r="14092">
          <cell r="A14092"/>
          <cell r="B14092"/>
          <cell r="C14092"/>
          <cell r="D14092"/>
          <cell r="E14092"/>
        </row>
        <row r="14093">
          <cell r="A14093"/>
          <cell r="B14093"/>
          <cell r="C14093"/>
          <cell r="D14093"/>
          <cell r="E14093"/>
        </row>
        <row r="14094">
          <cell r="A14094"/>
          <cell r="B14094"/>
          <cell r="C14094"/>
          <cell r="D14094"/>
          <cell r="E14094"/>
        </row>
        <row r="14095">
          <cell r="A14095"/>
          <cell r="B14095"/>
          <cell r="C14095"/>
          <cell r="D14095"/>
          <cell r="E14095"/>
        </row>
        <row r="14096">
          <cell r="A14096"/>
          <cell r="B14096"/>
          <cell r="C14096"/>
          <cell r="D14096"/>
          <cell r="E14096"/>
        </row>
        <row r="14097">
          <cell r="A14097"/>
          <cell r="B14097"/>
          <cell r="C14097"/>
          <cell r="D14097"/>
          <cell r="E14097"/>
        </row>
        <row r="14098">
          <cell r="A14098"/>
          <cell r="B14098"/>
          <cell r="C14098"/>
          <cell r="D14098"/>
          <cell r="E14098"/>
        </row>
        <row r="14099">
          <cell r="A14099"/>
          <cell r="B14099"/>
          <cell r="C14099"/>
          <cell r="D14099"/>
          <cell r="E14099"/>
        </row>
        <row r="14100">
          <cell r="A14100"/>
          <cell r="B14100"/>
          <cell r="C14100"/>
          <cell r="D14100"/>
          <cell r="E14100"/>
        </row>
        <row r="14101">
          <cell r="A14101"/>
          <cell r="B14101"/>
          <cell r="C14101"/>
          <cell r="D14101"/>
          <cell r="E14101"/>
        </row>
        <row r="14102">
          <cell r="A14102"/>
          <cell r="B14102"/>
          <cell r="C14102"/>
          <cell r="D14102"/>
          <cell r="E14102"/>
        </row>
        <row r="14103">
          <cell r="A14103"/>
          <cell r="B14103"/>
          <cell r="C14103"/>
          <cell r="D14103"/>
          <cell r="E14103"/>
        </row>
        <row r="14104">
          <cell r="A14104"/>
          <cell r="B14104"/>
          <cell r="C14104"/>
          <cell r="D14104"/>
          <cell r="E14104"/>
        </row>
        <row r="14105">
          <cell r="A14105"/>
          <cell r="B14105"/>
          <cell r="C14105"/>
          <cell r="D14105"/>
          <cell r="E14105"/>
        </row>
        <row r="14106">
          <cell r="A14106"/>
          <cell r="B14106"/>
          <cell r="C14106"/>
          <cell r="D14106"/>
          <cell r="E14106"/>
        </row>
        <row r="14107">
          <cell r="A14107"/>
          <cell r="B14107"/>
          <cell r="C14107"/>
          <cell r="D14107"/>
          <cell r="E14107"/>
        </row>
        <row r="14108">
          <cell r="A14108"/>
          <cell r="B14108"/>
          <cell r="C14108"/>
          <cell r="D14108"/>
          <cell r="E14108"/>
        </row>
        <row r="14109">
          <cell r="A14109"/>
          <cell r="B14109"/>
          <cell r="C14109"/>
          <cell r="D14109"/>
          <cell r="E14109"/>
        </row>
        <row r="14110">
          <cell r="A14110"/>
          <cell r="B14110"/>
          <cell r="C14110"/>
          <cell r="D14110"/>
          <cell r="E14110"/>
        </row>
        <row r="14111">
          <cell r="A14111"/>
          <cell r="B14111"/>
          <cell r="C14111"/>
          <cell r="D14111"/>
          <cell r="E14111"/>
        </row>
        <row r="14112">
          <cell r="A14112"/>
          <cell r="B14112"/>
          <cell r="C14112"/>
          <cell r="D14112"/>
          <cell r="E14112"/>
        </row>
        <row r="14113">
          <cell r="A14113"/>
          <cell r="B14113"/>
          <cell r="C14113"/>
          <cell r="D14113"/>
          <cell r="E14113"/>
        </row>
        <row r="14114">
          <cell r="A14114"/>
          <cell r="B14114"/>
          <cell r="C14114"/>
          <cell r="D14114"/>
          <cell r="E14114"/>
        </row>
        <row r="14115">
          <cell r="A14115"/>
          <cell r="B14115"/>
          <cell r="C14115"/>
          <cell r="D14115"/>
          <cell r="E14115"/>
        </row>
        <row r="14116">
          <cell r="A14116"/>
          <cell r="B14116"/>
          <cell r="C14116"/>
          <cell r="D14116"/>
          <cell r="E14116"/>
        </row>
        <row r="14117">
          <cell r="A14117"/>
          <cell r="B14117"/>
          <cell r="C14117"/>
          <cell r="D14117"/>
          <cell r="E14117"/>
        </row>
        <row r="14118">
          <cell r="A14118"/>
          <cell r="B14118"/>
          <cell r="C14118"/>
          <cell r="D14118"/>
          <cell r="E14118"/>
        </row>
        <row r="14119">
          <cell r="A14119"/>
          <cell r="B14119"/>
          <cell r="C14119"/>
          <cell r="D14119"/>
          <cell r="E14119"/>
        </row>
        <row r="14120">
          <cell r="A14120"/>
          <cell r="B14120"/>
          <cell r="C14120"/>
          <cell r="D14120"/>
          <cell r="E14120"/>
        </row>
        <row r="14121">
          <cell r="A14121"/>
          <cell r="B14121"/>
          <cell r="C14121"/>
          <cell r="D14121"/>
          <cell r="E14121"/>
        </row>
        <row r="14122">
          <cell r="A14122"/>
          <cell r="B14122"/>
          <cell r="C14122"/>
          <cell r="D14122"/>
          <cell r="E14122"/>
        </row>
        <row r="14123">
          <cell r="A14123"/>
          <cell r="B14123"/>
          <cell r="C14123"/>
          <cell r="D14123"/>
          <cell r="E14123"/>
        </row>
        <row r="14124">
          <cell r="A14124"/>
          <cell r="B14124"/>
          <cell r="C14124"/>
          <cell r="D14124"/>
          <cell r="E14124"/>
        </row>
        <row r="14125">
          <cell r="A14125"/>
          <cell r="B14125"/>
          <cell r="C14125"/>
          <cell r="D14125"/>
          <cell r="E14125"/>
        </row>
        <row r="14126">
          <cell r="A14126"/>
          <cell r="B14126"/>
          <cell r="C14126"/>
          <cell r="D14126"/>
          <cell r="E14126"/>
        </row>
        <row r="14127">
          <cell r="A14127"/>
          <cell r="B14127"/>
          <cell r="C14127"/>
          <cell r="D14127"/>
          <cell r="E14127"/>
        </row>
        <row r="14128">
          <cell r="A14128"/>
          <cell r="B14128"/>
          <cell r="C14128"/>
          <cell r="D14128"/>
          <cell r="E14128"/>
        </row>
        <row r="14129">
          <cell r="A14129"/>
          <cell r="B14129"/>
          <cell r="C14129"/>
          <cell r="D14129"/>
          <cell r="E14129"/>
        </row>
        <row r="14130">
          <cell r="A14130"/>
          <cell r="B14130"/>
          <cell r="C14130"/>
          <cell r="D14130"/>
          <cell r="E14130"/>
        </row>
        <row r="14131">
          <cell r="A14131"/>
          <cell r="B14131"/>
          <cell r="C14131"/>
          <cell r="D14131"/>
          <cell r="E14131"/>
        </row>
        <row r="14132">
          <cell r="A14132"/>
          <cell r="B14132"/>
          <cell r="C14132"/>
          <cell r="D14132"/>
          <cell r="E14132"/>
        </row>
        <row r="14133">
          <cell r="A14133"/>
          <cell r="B14133"/>
          <cell r="C14133"/>
          <cell r="D14133"/>
          <cell r="E14133"/>
        </row>
        <row r="14134">
          <cell r="A14134"/>
          <cell r="B14134"/>
          <cell r="C14134"/>
          <cell r="D14134"/>
          <cell r="E14134"/>
        </row>
        <row r="14135">
          <cell r="A14135"/>
          <cell r="B14135"/>
          <cell r="C14135"/>
          <cell r="D14135"/>
          <cell r="E14135"/>
        </row>
        <row r="14136">
          <cell r="A14136"/>
          <cell r="B14136"/>
          <cell r="C14136"/>
          <cell r="D14136"/>
          <cell r="E14136"/>
        </row>
        <row r="14137">
          <cell r="A14137"/>
          <cell r="B14137"/>
          <cell r="C14137"/>
          <cell r="D14137"/>
          <cell r="E14137"/>
        </row>
        <row r="14138">
          <cell r="A14138"/>
          <cell r="B14138"/>
          <cell r="C14138"/>
          <cell r="D14138"/>
          <cell r="E14138"/>
        </row>
        <row r="14139">
          <cell r="A14139"/>
          <cell r="B14139"/>
          <cell r="C14139"/>
          <cell r="D14139"/>
          <cell r="E14139"/>
        </row>
        <row r="14140">
          <cell r="A14140"/>
          <cell r="B14140"/>
          <cell r="C14140"/>
          <cell r="D14140"/>
          <cell r="E14140"/>
        </row>
        <row r="14141">
          <cell r="A14141"/>
          <cell r="B14141"/>
          <cell r="C14141"/>
          <cell r="D14141"/>
          <cell r="E14141"/>
        </row>
        <row r="14142">
          <cell r="A14142"/>
          <cell r="B14142"/>
          <cell r="C14142"/>
          <cell r="D14142"/>
          <cell r="E14142"/>
        </row>
        <row r="14143">
          <cell r="A14143"/>
          <cell r="B14143"/>
          <cell r="C14143"/>
          <cell r="D14143"/>
          <cell r="E14143"/>
        </row>
        <row r="14144">
          <cell r="A14144"/>
          <cell r="B14144"/>
          <cell r="C14144"/>
          <cell r="D14144"/>
          <cell r="E14144"/>
        </row>
        <row r="14145">
          <cell r="A14145"/>
          <cell r="B14145"/>
          <cell r="C14145"/>
          <cell r="D14145"/>
          <cell r="E14145"/>
        </row>
        <row r="14146">
          <cell r="A14146"/>
          <cell r="B14146"/>
          <cell r="C14146"/>
          <cell r="D14146"/>
          <cell r="E14146"/>
        </row>
        <row r="14147">
          <cell r="A14147"/>
          <cell r="B14147"/>
          <cell r="C14147"/>
          <cell r="D14147"/>
          <cell r="E14147"/>
        </row>
        <row r="14148">
          <cell r="A14148"/>
          <cell r="B14148"/>
          <cell r="C14148"/>
          <cell r="D14148"/>
          <cell r="E14148"/>
        </row>
        <row r="14149">
          <cell r="A14149"/>
          <cell r="B14149"/>
          <cell r="C14149"/>
          <cell r="D14149"/>
          <cell r="E14149"/>
        </row>
        <row r="14150">
          <cell r="A14150"/>
          <cell r="B14150"/>
          <cell r="C14150"/>
          <cell r="D14150"/>
          <cell r="E14150"/>
        </row>
        <row r="14151">
          <cell r="A14151"/>
          <cell r="B14151"/>
          <cell r="C14151"/>
          <cell r="D14151"/>
          <cell r="E14151"/>
        </row>
        <row r="14152">
          <cell r="A14152"/>
          <cell r="B14152"/>
          <cell r="C14152"/>
          <cell r="D14152"/>
          <cell r="E14152"/>
        </row>
        <row r="14153">
          <cell r="A14153"/>
          <cell r="B14153"/>
          <cell r="C14153"/>
          <cell r="D14153"/>
          <cell r="E14153"/>
        </row>
        <row r="14154">
          <cell r="A14154"/>
          <cell r="B14154"/>
          <cell r="C14154"/>
          <cell r="D14154"/>
          <cell r="E14154"/>
        </row>
        <row r="14155">
          <cell r="A14155"/>
          <cell r="B14155"/>
          <cell r="C14155"/>
          <cell r="D14155"/>
          <cell r="E14155"/>
        </row>
        <row r="14156">
          <cell r="A14156"/>
          <cell r="B14156"/>
          <cell r="C14156"/>
          <cell r="D14156"/>
          <cell r="E14156"/>
        </row>
        <row r="14157">
          <cell r="A14157"/>
          <cell r="B14157"/>
          <cell r="C14157"/>
          <cell r="D14157"/>
          <cell r="E14157"/>
        </row>
        <row r="14158">
          <cell r="A14158"/>
          <cell r="B14158"/>
          <cell r="C14158"/>
          <cell r="D14158"/>
          <cell r="E14158"/>
        </row>
        <row r="14159">
          <cell r="A14159"/>
          <cell r="B14159"/>
          <cell r="C14159"/>
          <cell r="D14159"/>
          <cell r="E14159"/>
        </row>
        <row r="14160">
          <cell r="A14160"/>
          <cell r="B14160"/>
          <cell r="C14160"/>
          <cell r="D14160"/>
          <cell r="E14160"/>
        </row>
        <row r="14161">
          <cell r="A14161"/>
          <cell r="B14161"/>
          <cell r="C14161"/>
          <cell r="D14161"/>
          <cell r="E14161"/>
        </row>
        <row r="14162">
          <cell r="A14162"/>
          <cell r="B14162"/>
          <cell r="C14162"/>
          <cell r="D14162"/>
          <cell r="E14162"/>
        </row>
        <row r="14163">
          <cell r="A14163"/>
          <cell r="B14163"/>
          <cell r="C14163"/>
          <cell r="D14163"/>
          <cell r="E14163"/>
        </row>
        <row r="14164">
          <cell r="A14164"/>
          <cell r="B14164"/>
          <cell r="C14164"/>
          <cell r="D14164"/>
          <cell r="E14164"/>
        </row>
        <row r="14165">
          <cell r="A14165"/>
          <cell r="B14165"/>
          <cell r="C14165"/>
          <cell r="D14165"/>
          <cell r="E14165"/>
        </row>
        <row r="14166">
          <cell r="A14166"/>
          <cell r="B14166"/>
          <cell r="C14166"/>
          <cell r="D14166"/>
          <cell r="E14166"/>
        </row>
        <row r="14167">
          <cell r="A14167"/>
          <cell r="B14167"/>
          <cell r="C14167"/>
          <cell r="D14167"/>
          <cell r="E14167"/>
        </row>
        <row r="14168">
          <cell r="A14168"/>
          <cell r="B14168"/>
          <cell r="C14168"/>
          <cell r="D14168"/>
          <cell r="E14168"/>
        </row>
        <row r="14169">
          <cell r="A14169"/>
          <cell r="B14169"/>
          <cell r="C14169"/>
          <cell r="D14169"/>
          <cell r="E14169"/>
        </row>
        <row r="14170">
          <cell r="A14170"/>
          <cell r="B14170"/>
          <cell r="C14170"/>
          <cell r="D14170"/>
          <cell r="E14170"/>
        </row>
        <row r="14171">
          <cell r="A14171"/>
          <cell r="B14171"/>
          <cell r="C14171"/>
          <cell r="D14171"/>
          <cell r="E14171"/>
        </row>
        <row r="14172">
          <cell r="A14172"/>
          <cell r="B14172"/>
          <cell r="C14172"/>
          <cell r="D14172"/>
          <cell r="E14172"/>
        </row>
        <row r="14173">
          <cell r="A14173"/>
          <cell r="B14173"/>
          <cell r="C14173"/>
          <cell r="D14173"/>
          <cell r="E14173"/>
        </row>
        <row r="14174">
          <cell r="A14174"/>
          <cell r="B14174"/>
          <cell r="C14174"/>
          <cell r="D14174"/>
          <cell r="E14174"/>
        </row>
        <row r="14175">
          <cell r="A14175"/>
          <cell r="B14175"/>
          <cell r="C14175"/>
          <cell r="D14175"/>
          <cell r="E14175"/>
        </row>
        <row r="14176">
          <cell r="A14176"/>
          <cell r="B14176"/>
          <cell r="C14176"/>
          <cell r="D14176"/>
          <cell r="E14176"/>
        </row>
        <row r="14177">
          <cell r="A14177"/>
          <cell r="B14177"/>
          <cell r="C14177"/>
          <cell r="D14177"/>
          <cell r="E14177"/>
        </row>
        <row r="14178">
          <cell r="A14178"/>
          <cell r="B14178"/>
          <cell r="C14178"/>
          <cell r="D14178"/>
          <cell r="E14178"/>
        </row>
        <row r="14179">
          <cell r="A14179"/>
          <cell r="B14179"/>
          <cell r="C14179"/>
          <cell r="D14179"/>
          <cell r="E14179"/>
        </row>
        <row r="14180">
          <cell r="A14180"/>
          <cell r="B14180"/>
          <cell r="C14180"/>
          <cell r="D14180"/>
          <cell r="E14180"/>
        </row>
        <row r="14181">
          <cell r="A14181"/>
          <cell r="B14181"/>
          <cell r="C14181"/>
          <cell r="D14181"/>
          <cell r="E14181"/>
        </row>
        <row r="14182">
          <cell r="A14182"/>
          <cell r="B14182"/>
          <cell r="C14182"/>
          <cell r="D14182"/>
          <cell r="E14182"/>
        </row>
        <row r="14183">
          <cell r="A14183"/>
          <cell r="B14183"/>
          <cell r="C14183"/>
          <cell r="D14183"/>
          <cell r="E14183"/>
        </row>
        <row r="14184">
          <cell r="A14184"/>
          <cell r="B14184"/>
          <cell r="C14184"/>
          <cell r="D14184"/>
          <cell r="E14184"/>
        </row>
        <row r="14185">
          <cell r="A14185"/>
          <cell r="B14185"/>
          <cell r="C14185"/>
          <cell r="D14185"/>
          <cell r="E14185"/>
        </row>
        <row r="14186">
          <cell r="A14186"/>
          <cell r="B14186"/>
          <cell r="C14186"/>
          <cell r="D14186"/>
          <cell r="E14186"/>
        </row>
        <row r="14187">
          <cell r="A14187"/>
          <cell r="B14187"/>
          <cell r="C14187"/>
          <cell r="D14187"/>
          <cell r="E14187"/>
        </row>
        <row r="14188">
          <cell r="A14188"/>
          <cell r="B14188"/>
          <cell r="C14188"/>
          <cell r="D14188"/>
          <cell r="E14188"/>
        </row>
        <row r="14189">
          <cell r="A14189"/>
          <cell r="B14189"/>
          <cell r="C14189"/>
          <cell r="D14189"/>
          <cell r="E14189"/>
        </row>
        <row r="14190">
          <cell r="A14190"/>
          <cell r="B14190"/>
          <cell r="C14190"/>
          <cell r="D14190"/>
          <cell r="E14190"/>
        </row>
        <row r="14191">
          <cell r="A14191"/>
          <cell r="B14191"/>
          <cell r="C14191"/>
          <cell r="D14191"/>
          <cell r="E14191"/>
        </row>
        <row r="14192">
          <cell r="A14192"/>
          <cell r="B14192"/>
          <cell r="C14192"/>
          <cell r="D14192"/>
          <cell r="E14192"/>
        </row>
        <row r="14193">
          <cell r="A14193"/>
          <cell r="B14193"/>
          <cell r="C14193"/>
          <cell r="D14193"/>
          <cell r="E14193"/>
        </row>
        <row r="14194">
          <cell r="A14194"/>
          <cell r="B14194"/>
          <cell r="C14194"/>
          <cell r="D14194"/>
          <cell r="E14194"/>
        </row>
        <row r="14195">
          <cell r="A14195"/>
          <cell r="B14195"/>
          <cell r="C14195"/>
          <cell r="D14195"/>
          <cell r="E14195"/>
        </row>
        <row r="14196">
          <cell r="A14196"/>
          <cell r="B14196"/>
          <cell r="C14196"/>
          <cell r="D14196"/>
          <cell r="E14196"/>
        </row>
        <row r="14197">
          <cell r="A14197"/>
          <cell r="B14197"/>
          <cell r="C14197"/>
          <cell r="D14197"/>
          <cell r="E14197"/>
        </row>
        <row r="14198">
          <cell r="A14198"/>
          <cell r="B14198"/>
          <cell r="C14198"/>
          <cell r="D14198"/>
          <cell r="E14198"/>
        </row>
        <row r="14199">
          <cell r="A14199"/>
          <cell r="B14199"/>
          <cell r="C14199"/>
          <cell r="D14199"/>
          <cell r="E14199"/>
        </row>
        <row r="14200">
          <cell r="A14200"/>
          <cell r="B14200"/>
          <cell r="C14200"/>
          <cell r="D14200"/>
          <cell r="E14200"/>
        </row>
        <row r="14201">
          <cell r="A14201"/>
          <cell r="B14201"/>
          <cell r="C14201"/>
          <cell r="D14201"/>
          <cell r="E14201"/>
        </row>
        <row r="14202">
          <cell r="A14202"/>
          <cell r="B14202"/>
          <cell r="C14202"/>
          <cell r="D14202"/>
          <cell r="E14202"/>
        </row>
        <row r="14203">
          <cell r="A14203"/>
          <cell r="B14203"/>
          <cell r="C14203"/>
          <cell r="D14203"/>
          <cell r="E14203"/>
        </row>
        <row r="14204">
          <cell r="A14204"/>
          <cell r="B14204"/>
          <cell r="C14204"/>
          <cell r="D14204"/>
          <cell r="E14204"/>
        </row>
        <row r="14205">
          <cell r="A14205"/>
          <cell r="B14205"/>
          <cell r="C14205"/>
          <cell r="D14205"/>
          <cell r="E14205"/>
        </row>
        <row r="14206">
          <cell r="A14206"/>
          <cell r="B14206"/>
          <cell r="C14206"/>
          <cell r="D14206"/>
          <cell r="E14206"/>
        </row>
        <row r="14207">
          <cell r="A14207"/>
          <cell r="B14207"/>
          <cell r="C14207"/>
          <cell r="D14207"/>
          <cell r="E14207"/>
        </row>
        <row r="14208">
          <cell r="A14208"/>
          <cell r="B14208"/>
          <cell r="C14208"/>
          <cell r="D14208"/>
          <cell r="E14208"/>
        </row>
        <row r="14209">
          <cell r="A14209"/>
          <cell r="B14209"/>
          <cell r="C14209"/>
          <cell r="D14209"/>
          <cell r="E14209"/>
        </row>
        <row r="14210">
          <cell r="A14210"/>
          <cell r="B14210"/>
          <cell r="C14210"/>
          <cell r="D14210"/>
          <cell r="E14210"/>
        </row>
        <row r="14211">
          <cell r="A14211"/>
          <cell r="B14211"/>
          <cell r="C14211"/>
          <cell r="D14211"/>
          <cell r="E14211"/>
        </row>
        <row r="14212">
          <cell r="A14212"/>
          <cell r="B14212"/>
          <cell r="C14212"/>
          <cell r="D14212"/>
          <cell r="E14212"/>
        </row>
        <row r="14213">
          <cell r="A14213"/>
          <cell r="B14213"/>
          <cell r="C14213"/>
          <cell r="D14213"/>
          <cell r="E14213"/>
        </row>
        <row r="14214">
          <cell r="A14214"/>
          <cell r="B14214"/>
          <cell r="C14214"/>
          <cell r="D14214"/>
          <cell r="E14214"/>
        </row>
        <row r="14215">
          <cell r="A14215"/>
          <cell r="B14215"/>
          <cell r="C14215"/>
          <cell r="D14215"/>
          <cell r="E14215"/>
        </row>
        <row r="14216">
          <cell r="A14216"/>
          <cell r="B14216"/>
          <cell r="C14216"/>
          <cell r="D14216"/>
          <cell r="E14216"/>
        </row>
        <row r="14217">
          <cell r="A14217"/>
          <cell r="B14217"/>
          <cell r="C14217"/>
          <cell r="D14217"/>
          <cell r="E14217"/>
        </row>
        <row r="14218">
          <cell r="A14218"/>
          <cell r="B14218"/>
          <cell r="C14218"/>
          <cell r="D14218"/>
          <cell r="E14218"/>
        </row>
        <row r="14219">
          <cell r="A14219"/>
          <cell r="B14219"/>
          <cell r="C14219"/>
          <cell r="D14219"/>
          <cell r="E14219"/>
        </row>
        <row r="14220">
          <cell r="A14220"/>
          <cell r="B14220"/>
          <cell r="C14220"/>
          <cell r="D14220"/>
          <cell r="E14220"/>
        </row>
        <row r="14221">
          <cell r="A14221"/>
          <cell r="B14221"/>
          <cell r="C14221"/>
          <cell r="D14221"/>
          <cell r="E14221"/>
        </row>
        <row r="14222">
          <cell r="A14222"/>
          <cell r="B14222"/>
          <cell r="C14222"/>
          <cell r="D14222"/>
          <cell r="E14222"/>
        </row>
        <row r="14223">
          <cell r="A14223"/>
          <cell r="B14223"/>
          <cell r="C14223"/>
          <cell r="D14223"/>
          <cell r="E14223"/>
        </row>
        <row r="14224">
          <cell r="A14224"/>
          <cell r="B14224"/>
          <cell r="C14224"/>
          <cell r="D14224"/>
          <cell r="E14224"/>
        </row>
        <row r="14225">
          <cell r="A14225"/>
          <cell r="B14225"/>
          <cell r="C14225"/>
          <cell r="D14225"/>
          <cell r="E14225"/>
        </row>
        <row r="14226">
          <cell r="A14226"/>
          <cell r="B14226"/>
          <cell r="C14226"/>
          <cell r="D14226"/>
          <cell r="E14226"/>
        </row>
        <row r="14227">
          <cell r="A14227"/>
          <cell r="B14227"/>
          <cell r="C14227"/>
          <cell r="D14227"/>
          <cell r="E14227"/>
        </row>
        <row r="14228">
          <cell r="A14228"/>
          <cell r="B14228"/>
          <cell r="C14228"/>
          <cell r="D14228"/>
          <cell r="E14228"/>
        </row>
        <row r="14229">
          <cell r="A14229"/>
          <cell r="B14229"/>
          <cell r="C14229"/>
          <cell r="D14229"/>
          <cell r="E14229"/>
        </row>
        <row r="14230">
          <cell r="A14230"/>
          <cell r="B14230"/>
          <cell r="C14230"/>
          <cell r="D14230"/>
          <cell r="E14230"/>
        </row>
        <row r="14231">
          <cell r="A14231"/>
          <cell r="B14231"/>
          <cell r="C14231"/>
          <cell r="D14231"/>
          <cell r="E14231"/>
        </row>
        <row r="14232">
          <cell r="A14232"/>
          <cell r="B14232"/>
          <cell r="C14232"/>
          <cell r="D14232"/>
          <cell r="E14232"/>
        </row>
        <row r="14233">
          <cell r="A14233"/>
          <cell r="B14233"/>
          <cell r="C14233"/>
          <cell r="D14233"/>
          <cell r="E14233"/>
        </row>
        <row r="14234">
          <cell r="A14234"/>
          <cell r="B14234"/>
          <cell r="C14234"/>
          <cell r="D14234"/>
          <cell r="E14234"/>
        </row>
        <row r="14235">
          <cell r="A14235"/>
          <cell r="B14235"/>
          <cell r="C14235"/>
          <cell r="D14235"/>
          <cell r="E14235"/>
        </row>
        <row r="14236">
          <cell r="A14236"/>
          <cell r="B14236"/>
          <cell r="C14236"/>
          <cell r="D14236"/>
          <cell r="E14236"/>
        </row>
        <row r="14237">
          <cell r="A14237"/>
          <cell r="B14237"/>
          <cell r="C14237"/>
          <cell r="D14237"/>
          <cell r="E14237"/>
        </row>
        <row r="14238">
          <cell r="A14238"/>
          <cell r="B14238"/>
          <cell r="C14238"/>
          <cell r="D14238"/>
          <cell r="E14238"/>
        </row>
        <row r="14239">
          <cell r="A14239"/>
          <cell r="B14239"/>
          <cell r="C14239"/>
          <cell r="D14239"/>
          <cell r="E14239"/>
        </row>
        <row r="14240">
          <cell r="A14240"/>
          <cell r="B14240"/>
          <cell r="C14240"/>
          <cell r="D14240"/>
          <cell r="E14240"/>
        </row>
        <row r="14241">
          <cell r="A14241"/>
          <cell r="B14241"/>
          <cell r="C14241"/>
          <cell r="D14241"/>
          <cell r="E14241"/>
        </row>
        <row r="14242">
          <cell r="A14242"/>
          <cell r="B14242"/>
          <cell r="C14242"/>
          <cell r="D14242"/>
          <cell r="E14242"/>
        </row>
        <row r="14243">
          <cell r="A14243"/>
          <cell r="B14243"/>
          <cell r="C14243"/>
          <cell r="D14243"/>
          <cell r="E14243"/>
        </row>
        <row r="14244">
          <cell r="A14244"/>
          <cell r="B14244"/>
          <cell r="C14244"/>
          <cell r="D14244"/>
          <cell r="E14244"/>
        </row>
        <row r="14245">
          <cell r="A14245"/>
          <cell r="B14245"/>
          <cell r="C14245"/>
          <cell r="D14245"/>
          <cell r="E14245"/>
        </row>
        <row r="14246">
          <cell r="A14246"/>
          <cell r="B14246"/>
          <cell r="C14246"/>
          <cell r="D14246"/>
          <cell r="E14246"/>
        </row>
        <row r="14247">
          <cell r="A14247"/>
          <cell r="B14247"/>
          <cell r="C14247"/>
          <cell r="D14247"/>
          <cell r="E14247"/>
        </row>
        <row r="14248">
          <cell r="A14248"/>
          <cell r="B14248"/>
          <cell r="C14248"/>
          <cell r="D14248"/>
          <cell r="E14248"/>
        </row>
        <row r="14249">
          <cell r="A14249"/>
          <cell r="B14249"/>
          <cell r="C14249"/>
          <cell r="D14249"/>
          <cell r="E14249"/>
        </row>
        <row r="14250">
          <cell r="A14250"/>
          <cell r="B14250"/>
          <cell r="C14250"/>
          <cell r="D14250"/>
          <cell r="E14250"/>
        </row>
        <row r="14251">
          <cell r="A14251"/>
          <cell r="B14251"/>
          <cell r="C14251"/>
          <cell r="D14251"/>
          <cell r="E14251"/>
        </row>
        <row r="14252">
          <cell r="A14252"/>
          <cell r="B14252"/>
          <cell r="C14252"/>
          <cell r="D14252"/>
          <cell r="E14252"/>
        </row>
        <row r="14253">
          <cell r="A14253"/>
          <cell r="B14253"/>
          <cell r="C14253"/>
          <cell r="D14253"/>
          <cell r="E14253"/>
        </row>
        <row r="14254">
          <cell r="A14254"/>
          <cell r="B14254"/>
          <cell r="C14254"/>
          <cell r="D14254"/>
          <cell r="E14254"/>
        </row>
        <row r="14255">
          <cell r="A14255"/>
          <cell r="B14255"/>
          <cell r="C14255"/>
          <cell r="D14255"/>
          <cell r="E14255"/>
        </row>
        <row r="14256">
          <cell r="A14256"/>
          <cell r="B14256"/>
          <cell r="C14256"/>
          <cell r="D14256"/>
          <cell r="E14256"/>
        </row>
        <row r="14257">
          <cell r="A14257"/>
          <cell r="B14257"/>
          <cell r="C14257"/>
          <cell r="D14257"/>
          <cell r="E14257"/>
        </row>
        <row r="14258">
          <cell r="A14258"/>
          <cell r="B14258"/>
          <cell r="C14258"/>
          <cell r="D14258"/>
          <cell r="E14258"/>
        </row>
        <row r="14259">
          <cell r="A14259"/>
          <cell r="B14259"/>
          <cell r="C14259"/>
          <cell r="D14259"/>
          <cell r="E14259"/>
        </row>
        <row r="14260">
          <cell r="A14260"/>
          <cell r="B14260"/>
          <cell r="C14260"/>
          <cell r="D14260"/>
          <cell r="E14260"/>
        </row>
        <row r="14261">
          <cell r="A14261"/>
          <cell r="B14261"/>
          <cell r="C14261"/>
          <cell r="D14261"/>
          <cell r="E14261"/>
        </row>
        <row r="14262">
          <cell r="A14262"/>
          <cell r="B14262"/>
          <cell r="C14262"/>
          <cell r="D14262"/>
          <cell r="E14262"/>
        </row>
        <row r="14263">
          <cell r="A14263"/>
          <cell r="B14263"/>
          <cell r="C14263"/>
          <cell r="D14263"/>
          <cell r="E14263"/>
        </row>
        <row r="14264">
          <cell r="A14264"/>
          <cell r="B14264"/>
          <cell r="C14264"/>
          <cell r="D14264"/>
          <cell r="E14264"/>
        </row>
        <row r="14265">
          <cell r="A14265"/>
          <cell r="B14265"/>
          <cell r="C14265"/>
          <cell r="D14265"/>
          <cell r="E14265"/>
        </row>
        <row r="14266">
          <cell r="A14266"/>
          <cell r="B14266"/>
          <cell r="C14266"/>
          <cell r="D14266"/>
          <cell r="E14266"/>
        </row>
        <row r="14267">
          <cell r="A14267"/>
          <cell r="B14267"/>
          <cell r="C14267"/>
          <cell r="D14267"/>
          <cell r="E14267"/>
        </row>
        <row r="14268">
          <cell r="A14268"/>
          <cell r="B14268"/>
          <cell r="C14268"/>
          <cell r="D14268"/>
          <cell r="E14268"/>
        </row>
        <row r="14269">
          <cell r="A14269"/>
          <cell r="B14269"/>
          <cell r="C14269"/>
          <cell r="D14269"/>
          <cell r="E14269"/>
        </row>
        <row r="14270">
          <cell r="A14270"/>
          <cell r="B14270"/>
          <cell r="C14270"/>
          <cell r="D14270"/>
          <cell r="E14270"/>
        </row>
        <row r="14271">
          <cell r="A14271"/>
          <cell r="B14271"/>
          <cell r="C14271"/>
          <cell r="D14271"/>
          <cell r="E14271"/>
        </row>
        <row r="14272">
          <cell r="A14272"/>
          <cell r="B14272"/>
          <cell r="C14272"/>
          <cell r="D14272"/>
          <cell r="E14272"/>
        </row>
        <row r="14273">
          <cell r="A14273"/>
          <cell r="B14273"/>
          <cell r="C14273"/>
          <cell r="D14273"/>
          <cell r="E14273"/>
        </row>
        <row r="14274">
          <cell r="A14274"/>
          <cell r="B14274"/>
          <cell r="C14274"/>
          <cell r="D14274"/>
          <cell r="E14274"/>
        </row>
        <row r="14275">
          <cell r="A14275"/>
          <cell r="B14275"/>
          <cell r="C14275"/>
          <cell r="D14275"/>
          <cell r="E14275"/>
        </row>
        <row r="14276">
          <cell r="A14276"/>
          <cell r="B14276"/>
          <cell r="C14276"/>
          <cell r="D14276"/>
          <cell r="E14276"/>
        </row>
        <row r="14277">
          <cell r="A14277"/>
          <cell r="B14277"/>
          <cell r="C14277"/>
          <cell r="D14277"/>
          <cell r="E14277"/>
        </row>
        <row r="14278">
          <cell r="A14278"/>
          <cell r="B14278"/>
          <cell r="C14278"/>
          <cell r="D14278"/>
          <cell r="E14278"/>
        </row>
        <row r="14279">
          <cell r="A14279"/>
          <cell r="B14279"/>
          <cell r="C14279"/>
          <cell r="D14279"/>
          <cell r="E14279"/>
        </row>
        <row r="14280">
          <cell r="A14280"/>
          <cell r="B14280"/>
          <cell r="C14280"/>
          <cell r="D14280"/>
          <cell r="E14280"/>
        </row>
        <row r="14281">
          <cell r="A14281"/>
          <cell r="B14281"/>
          <cell r="C14281"/>
          <cell r="D14281"/>
          <cell r="E14281"/>
        </row>
        <row r="14282">
          <cell r="A14282"/>
          <cell r="B14282"/>
          <cell r="C14282"/>
          <cell r="D14282"/>
          <cell r="E14282"/>
        </row>
        <row r="14283">
          <cell r="A14283"/>
          <cell r="B14283"/>
          <cell r="C14283"/>
          <cell r="D14283"/>
          <cell r="E14283"/>
        </row>
        <row r="14284">
          <cell r="A14284"/>
          <cell r="B14284"/>
          <cell r="C14284"/>
          <cell r="D14284"/>
          <cell r="E14284"/>
        </row>
        <row r="14285">
          <cell r="A14285"/>
          <cell r="B14285"/>
          <cell r="C14285"/>
          <cell r="D14285"/>
          <cell r="E14285"/>
        </row>
        <row r="14286">
          <cell r="A14286"/>
          <cell r="B14286"/>
          <cell r="C14286"/>
          <cell r="D14286"/>
          <cell r="E14286"/>
        </row>
        <row r="14287">
          <cell r="A14287"/>
          <cell r="B14287"/>
          <cell r="C14287"/>
          <cell r="D14287"/>
          <cell r="E14287"/>
        </row>
        <row r="14288">
          <cell r="A14288"/>
          <cell r="B14288"/>
          <cell r="C14288"/>
          <cell r="D14288"/>
          <cell r="E14288"/>
        </row>
        <row r="14289">
          <cell r="A14289"/>
          <cell r="B14289"/>
          <cell r="C14289"/>
          <cell r="D14289"/>
          <cell r="E14289"/>
        </row>
        <row r="14290">
          <cell r="A14290"/>
          <cell r="B14290"/>
          <cell r="C14290"/>
          <cell r="D14290"/>
          <cell r="E14290"/>
        </row>
        <row r="14291">
          <cell r="A14291"/>
          <cell r="B14291"/>
          <cell r="C14291"/>
          <cell r="D14291"/>
          <cell r="E14291"/>
        </row>
        <row r="14292">
          <cell r="A14292"/>
          <cell r="B14292"/>
          <cell r="C14292"/>
          <cell r="D14292"/>
          <cell r="E14292"/>
        </row>
        <row r="14293">
          <cell r="A14293"/>
          <cell r="B14293"/>
          <cell r="C14293"/>
          <cell r="D14293"/>
          <cell r="E14293"/>
        </row>
        <row r="14294">
          <cell r="A14294"/>
          <cell r="B14294"/>
          <cell r="C14294"/>
          <cell r="D14294"/>
          <cell r="E14294"/>
        </row>
        <row r="14295">
          <cell r="A14295"/>
          <cell r="B14295"/>
          <cell r="C14295"/>
          <cell r="D14295"/>
          <cell r="E14295"/>
        </row>
        <row r="14296">
          <cell r="A14296"/>
          <cell r="B14296"/>
          <cell r="C14296"/>
          <cell r="D14296"/>
          <cell r="E14296"/>
        </row>
        <row r="14297">
          <cell r="A14297"/>
          <cell r="B14297"/>
          <cell r="C14297"/>
          <cell r="D14297"/>
          <cell r="E14297"/>
        </row>
        <row r="14298">
          <cell r="A14298"/>
          <cell r="B14298"/>
          <cell r="C14298"/>
          <cell r="D14298"/>
          <cell r="E14298"/>
        </row>
        <row r="14299">
          <cell r="A14299"/>
          <cell r="B14299"/>
          <cell r="C14299"/>
          <cell r="D14299"/>
          <cell r="E14299"/>
        </row>
        <row r="14300">
          <cell r="A14300"/>
          <cell r="B14300"/>
          <cell r="C14300"/>
          <cell r="D14300"/>
          <cell r="E14300"/>
        </row>
        <row r="14301">
          <cell r="A14301"/>
          <cell r="B14301"/>
          <cell r="C14301"/>
          <cell r="D14301"/>
          <cell r="E14301"/>
        </row>
        <row r="14302">
          <cell r="A14302"/>
          <cell r="B14302"/>
          <cell r="C14302"/>
          <cell r="D14302"/>
          <cell r="E14302"/>
        </row>
        <row r="14303">
          <cell r="A14303"/>
          <cell r="B14303"/>
          <cell r="C14303"/>
          <cell r="D14303"/>
          <cell r="E14303"/>
        </row>
        <row r="14304">
          <cell r="A14304"/>
          <cell r="B14304"/>
          <cell r="C14304"/>
          <cell r="D14304"/>
          <cell r="E14304"/>
        </row>
        <row r="14305">
          <cell r="A14305"/>
          <cell r="B14305"/>
          <cell r="C14305"/>
          <cell r="D14305"/>
          <cell r="E14305"/>
        </row>
        <row r="14306">
          <cell r="A14306"/>
          <cell r="B14306"/>
          <cell r="C14306"/>
          <cell r="D14306"/>
          <cell r="E14306"/>
        </row>
        <row r="14307">
          <cell r="A14307"/>
          <cell r="B14307"/>
          <cell r="C14307"/>
          <cell r="D14307"/>
          <cell r="E14307"/>
        </row>
        <row r="14308">
          <cell r="A14308"/>
          <cell r="B14308"/>
          <cell r="C14308"/>
          <cell r="D14308"/>
          <cell r="E14308"/>
        </row>
        <row r="14309">
          <cell r="A14309"/>
          <cell r="B14309"/>
          <cell r="C14309"/>
          <cell r="D14309"/>
          <cell r="E14309"/>
        </row>
        <row r="14310">
          <cell r="A14310"/>
          <cell r="B14310"/>
          <cell r="C14310"/>
          <cell r="D14310"/>
          <cell r="E14310"/>
        </row>
        <row r="14311">
          <cell r="A14311"/>
          <cell r="B14311"/>
          <cell r="C14311"/>
          <cell r="D14311"/>
          <cell r="E14311"/>
        </row>
        <row r="14312">
          <cell r="A14312"/>
          <cell r="B14312"/>
          <cell r="C14312"/>
          <cell r="D14312"/>
          <cell r="E14312"/>
        </row>
        <row r="14313">
          <cell r="A14313"/>
          <cell r="B14313"/>
          <cell r="C14313"/>
          <cell r="D14313"/>
          <cell r="E14313"/>
        </row>
        <row r="14314">
          <cell r="A14314"/>
          <cell r="B14314"/>
          <cell r="C14314"/>
          <cell r="D14314"/>
          <cell r="E14314"/>
        </row>
        <row r="14315">
          <cell r="A14315"/>
          <cell r="B14315"/>
          <cell r="C14315"/>
          <cell r="D14315"/>
          <cell r="E14315"/>
        </row>
        <row r="14316">
          <cell r="A14316"/>
          <cell r="B14316"/>
          <cell r="C14316"/>
          <cell r="D14316"/>
          <cell r="E14316"/>
        </row>
        <row r="14317">
          <cell r="A14317"/>
          <cell r="B14317"/>
          <cell r="C14317"/>
          <cell r="D14317"/>
          <cell r="E14317"/>
        </row>
        <row r="14318">
          <cell r="A14318"/>
          <cell r="B14318"/>
          <cell r="C14318"/>
          <cell r="D14318"/>
          <cell r="E14318"/>
        </row>
        <row r="14319">
          <cell r="A14319"/>
          <cell r="B14319"/>
          <cell r="C14319"/>
          <cell r="D14319"/>
          <cell r="E14319"/>
        </row>
        <row r="14320">
          <cell r="A14320"/>
          <cell r="B14320"/>
          <cell r="C14320"/>
          <cell r="D14320"/>
          <cell r="E14320"/>
        </row>
        <row r="14321">
          <cell r="A14321"/>
          <cell r="B14321"/>
          <cell r="C14321"/>
          <cell r="D14321"/>
          <cell r="E14321"/>
        </row>
        <row r="14322">
          <cell r="A14322"/>
          <cell r="B14322"/>
          <cell r="C14322"/>
          <cell r="D14322"/>
          <cell r="E14322"/>
        </row>
        <row r="14323">
          <cell r="A14323"/>
          <cell r="B14323"/>
          <cell r="C14323"/>
          <cell r="D14323"/>
          <cell r="E14323"/>
        </row>
        <row r="14324">
          <cell r="A14324"/>
          <cell r="B14324"/>
          <cell r="C14324"/>
          <cell r="D14324"/>
          <cell r="E14324"/>
        </row>
        <row r="14325">
          <cell r="A14325"/>
          <cell r="B14325"/>
          <cell r="C14325"/>
          <cell r="D14325"/>
          <cell r="E14325"/>
        </row>
        <row r="14326">
          <cell r="A14326"/>
          <cell r="B14326"/>
          <cell r="C14326"/>
          <cell r="D14326"/>
          <cell r="E14326"/>
        </row>
        <row r="14327">
          <cell r="A14327"/>
          <cell r="B14327"/>
          <cell r="C14327"/>
          <cell r="D14327"/>
          <cell r="E14327"/>
        </row>
        <row r="14328">
          <cell r="A14328"/>
          <cell r="B14328"/>
          <cell r="C14328"/>
          <cell r="D14328"/>
          <cell r="E14328"/>
        </row>
        <row r="14329">
          <cell r="A14329"/>
          <cell r="B14329"/>
          <cell r="C14329"/>
          <cell r="D14329"/>
          <cell r="E14329"/>
        </row>
        <row r="14330">
          <cell r="A14330"/>
          <cell r="B14330"/>
          <cell r="C14330"/>
          <cell r="D14330"/>
          <cell r="E14330"/>
        </row>
        <row r="14331">
          <cell r="A14331"/>
          <cell r="B14331"/>
          <cell r="C14331"/>
          <cell r="D14331"/>
          <cell r="E14331"/>
        </row>
        <row r="14332">
          <cell r="A14332"/>
          <cell r="B14332"/>
          <cell r="C14332"/>
          <cell r="D14332"/>
          <cell r="E14332"/>
        </row>
        <row r="14333">
          <cell r="A14333"/>
          <cell r="B14333"/>
          <cell r="C14333"/>
          <cell r="D14333"/>
          <cell r="E14333"/>
        </row>
        <row r="14334">
          <cell r="A14334"/>
          <cell r="B14334"/>
          <cell r="C14334"/>
          <cell r="D14334"/>
          <cell r="E14334"/>
        </row>
        <row r="14335">
          <cell r="A14335"/>
          <cell r="B14335"/>
          <cell r="C14335"/>
          <cell r="D14335"/>
          <cell r="E14335"/>
        </row>
        <row r="14336">
          <cell r="A14336"/>
          <cell r="B14336"/>
          <cell r="C14336"/>
          <cell r="D14336"/>
          <cell r="E14336"/>
        </row>
        <row r="14337">
          <cell r="A14337"/>
          <cell r="B14337"/>
          <cell r="C14337"/>
          <cell r="D14337"/>
          <cell r="E14337"/>
        </row>
        <row r="14338">
          <cell r="A14338"/>
          <cell r="B14338"/>
          <cell r="C14338"/>
          <cell r="D14338"/>
          <cell r="E14338"/>
        </row>
        <row r="14339">
          <cell r="A14339"/>
          <cell r="B14339"/>
          <cell r="C14339"/>
          <cell r="D14339"/>
          <cell r="E14339"/>
        </row>
        <row r="14340">
          <cell r="A14340"/>
          <cell r="B14340"/>
          <cell r="C14340"/>
          <cell r="D14340"/>
          <cell r="E14340"/>
        </row>
        <row r="14341">
          <cell r="A14341"/>
          <cell r="B14341"/>
          <cell r="C14341"/>
          <cell r="D14341"/>
          <cell r="E14341"/>
        </row>
        <row r="14342">
          <cell r="A14342"/>
          <cell r="B14342"/>
          <cell r="C14342"/>
          <cell r="D14342"/>
          <cell r="E14342"/>
        </row>
        <row r="14343">
          <cell r="A14343"/>
          <cell r="B14343"/>
          <cell r="C14343"/>
          <cell r="D14343"/>
          <cell r="E14343"/>
        </row>
        <row r="14344">
          <cell r="A14344"/>
          <cell r="B14344"/>
          <cell r="C14344"/>
          <cell r="D14344"/>
          <cell r="E14344"/>
        </row>
        <row r="14345">
          <cell r="A14345"/>
          <cell r="B14345"/>
          <cell r="C14345"/>
          <cell r="D14345"/>
          <cell r="E14345"/>
        </row>
        <row r="14346">
          <cell r="A14346"/>
          <cell r="B14346"/>
          <cell r="C14346"/>
          <cell r="D14346"/>
          <cell r="E14346"/>
        </row>
        <row r="14347">
          <cell r="A14347"/>
          <cell r="B14347"/>
          <cell r="C14347"/>
          <cell r="D14347"/>
          <cell r="E14347"/>
        </row>
        <row r="14348">
          <cell r="A14348"/>
          <cell r="B14348"/>
          <cell r="C14348"/>
          <cell r="D14348"/>
          <cell r="E14348"/>
        </row>
        <row r="14349">
          <cell r="A14349"/>
          <cell r="B14349"/>
          <cell r="C14349"/>
          <cell r="D14349"/>
          <cell r="E14349"/>
        </row>
        <row r="14350">
          <cell r="A14350"/>
          <cell r="B14350"/>
          <cell r="C14350"/>
          <cell r="D14350"/>
          <cell r="E14350"/>
        </row>
        <row r="14351">
          <cell r="A14351"/>
          <cell r="B14351"/>
          <cell r="C14351"/>
          <cell r="D14351"/>
          <cell r="E14351"/>
        </row>
        <row r="14352">
          <cell r="A14352"/>
          <cell r="B14352"/>
          <cell r="C14352"/>
          <cell r="D14352"/>
          <cell r="E14352"/>
        </row>
        <row r="14353">
          <cell r="A14353"/>
          <cell r="B14353"/>
          <cell r="C14353"/>
          <cell r="D14353"/>
          <cell r="E14353"/>
        </row>
        <row r="14354">
          <cell r="A14354"/>
          <cell r="B14354"/>
          <cell r="C14354"/>
          <cell r="D14354"/>
          <cell r="E14354"/>
        </row>
        <row r="14355">
          <cell r="A14355"/>
          <cell r="B14355"/>
          <cell r="C14355"/>
          <cell r="D14355"/>
          <cell r="E14355"/>
        </row>
        <row r="14356">
          <cell r="A14356"/>
          <cell r="B14356"/>
          <cell r="C14356"/>
          <cell r="D14356"/>
          <cell r="E14356"/>
        </row>
        <row r="14357">
          <cell r="A14357"/>
          <cell r="B14357"/>
          <cell r="C14357"/>
          <cell r="D14357"/>
          <cell r="E14357"/>
        </row>
        <row r="14358">
          <cell r="A14358"/>
          <cell r="B14358"/>
          <cell r="C14358"/>
          <cell r="D14358"/>
          <cell r="E14358"/>
        </row>
        <row r="14359">
          <cell r="A14359"/>
          <cell r="B14359"/>
          <cell r="C14359"/>
          <cell r="D14359"/>
          <cell r="E14359"/>
        </row>
        <row r="14360">
          <cell r="A14360"/>
          <cell r="B14360"/>
          <cell r="C14360"/>
          <cell r="D14360"/>
          <cell r="E14360"/>
        </row>
        <row r="14361">
          <cell r="A14361"/>
          <cell r="B14361"/>
          <cell r="C14361"/>
          <cell r="D14361"/>
          <cell r="E14361"/>
        </row>
        <row r="14362">
          <cell r="A14362"/>
          <cell r="B14362"/>
          <cell r="C14362"/>
          <cell r="D14362"/>
          <cell r="E14362"/>
        </row>
        <row r="14363">
          <cell r="A14363"/>
          <cell r="B14363"/>
          <cell r="C14363"/>
          <cell r="D14363"/>
          <cell r="E14363"/>
        </row>
        <row r="14364">
          <cell r="A14364"/>
          <cell r="B14364"/>
          <cell r="C14364"/>
          <cell r="D14364"/>
          <cell r="E14364"/>
        </row>
        <row r="14365">
          <cell r="A14365"/>
          <cell r="B14365"/>
          <cell r="C14365"/>
          <cell r="D14365"/>
          <cell r="E14365"/>
        </row>
        <row r="14366">
          <cell r="A14366"/>
          <cell r="B14366"/>
          <cell r="C14366"/>
          <cell r="D14366"/>
          <cell r="E14366"/>
        </row>
        <row r="14367">
          <cell r="A14367"/>
          <cell r="B14367"/>
          <cell r="C14367"/>
          <cell r="D14367"/>
          <cell r="E14367"/>
        </row>
        <row r="14368">
          <cell r="A14368"/>
          <cell r="B14368"/>
          <cell r="C14368"/>
          <cell r="D14368"/>
          <cell r="E14368"/>
        </row>
        <row r="14369">
          <cell r="A14369"/>
          <cell r="B14369"/>
          <cell r="C14369"/>
          <cell r="D14369"/>
          <cell r="E14369"/>
        </row>
        <row r="14370">
          <cell r="A14370"/>
          <cell r="B14370"/>
          <cell r="C14370"/>
          <cell r="D14370"/>
          <cell r="E14370"/>
        </row>
        <row r="14371">
          <cell r="A14371"/>
          <cell r="B14371"/>
          <cell r="C14371"/>
          <cell r="D14371"/>
          <cell r="E14371"/>
        </row>
        <row r="14372">
          <cell r="A14372"/>
          <cell r="B14372"/>
          <cell r="C14372"/>
          <cell r="D14372"/>
          <cell r="E14372"/>
        </row>
        <row r="14373">
          <cell r="A14373"/>
          <cell r="B14373"/>
          <cell r="C14373"/>
          <cell r="D14373"/>
          <cell r="E14373"/>
        </row>
        <row r="14374">
          <cell r="A14374"/>
          <cell r="B14374"/>
          <cell r="C14374"/>
          <cell r="D14374"/>
          <cell r="E14374"/>
        </row>
        <row r="14375">
          <cell r="A14375"/>
          <cell r="B14375"/>
          <cell r="C14375"/>
          <cell r="D14375"/>
          <cell r="E14375"/>
        </row>
        <row r="14376">
          <cell r="A14376"/>
          <cell r="B14376"/>
          <cell r="C14376"/>
          <cell r="D14376"/>
          <cell r="E14376"/>
        </row>
        <row r="14377">
          <cell r="A14377"/>
          <cell r="B14377"/>
          <cell r="C14377"/>
          <cell r="D14377"/>
          <cell r="E14377"/>
        </row>
        <row r="14378">
          <cell r="A14378"/>
          <cell r="B14378"/>
          <cell r="C14378"/>
          <cell r="D14378"/>
          <cell r="E14378"/>
        </row>
        <row r="14379">
          <cell r="A14379"/>
          <cell r="B14379"/>
          <cell r="C14379"/>
          <cell r="D14379"/>
          <cell r="E14379"/>
        </row>
        <row r="14380">
          <cell r="A14380"/>
          <cell r="B14380"/>
          <cell r="C14380"/>
          <cell r="D14380"/>
          <cell r="E14380"/>
        </row>
        <row r="14381">
          <cell r="A14381"/>
          <cell r="B14381"/>
          <cell r="C14381"/>
          <cell r="D14381"/>
          <cell r="E14381"/>
        </row>
        <row r="14382">
          <cell r="A14382"/>
          <cell r="B14382"/>
          <cell r="C14382"/>
          <cell r="D14382"/>
          <cell r="E14382"/>
        </row>
        <row r="14383">
          <cell r="A14383"/>
          <cell r="B14383"/>
          <cell r="C14383"/>
          <cell r="D14383"/>
          <cell r="E14383"/>
        </row>
        <row r="14384">
          <cell r="A14384"/>
          <cell r="B14384"/>
          <cell r="C14384"/>
          <cell r="D14384"/>
          <cell r="E14384"/>
        </row>
        <row r="14385">
          <cell r="A14385"/>
          <cell r="B14385"/>
          <cell r="C14385"/>
          <cell r="D14385"/>
          <cell r="E14385"/>
        </row>
        <row r="14386">
          <cell r="A14386"/>
          <cell r="B14386"/>
          <cell r="C14386"/>
          <cell r="D14386"/>
          <cell r="E14386"/>
        </row>
        <row r="14387">
          <cell r="A14387"/>
          <cell r="B14387"/>
          <cell r="C14387"/>
          <cell r="D14387"/>
          <cell r="E14387"/>
        </row>
        <row r="14388">
          <cell r="A14388"/>
          <cell r="B14388"/>
          <cell r="C14388"/>
          <cell r="D14388"/>
          <cell r="E14388"/>
        </row>
        <row r="14389">
          <cell r="A14389"/>
          <cell r="B14389"/>
          <cell r="C14389"/>
          <cell r="D14389"/>
          <cell r="E14389"/>
        </row>
        <row r="14390">
          <cell r="A14390"/>
          <cell r="B14390"/>
          <cell r="C14390"/>
          <cell r="D14390"/>
          <cell r="E14390"/>
        </row>
        <row r="14391">
          <cell r="A14391"/>
          <cell r="B14391"/>
          <cell r="C14391"/>
          <cell r="D14391"/>
          <cell r="E14391"/>
        </row>
        <row r="14392">
          <cell r="A14392"/>
          <cell r="B14392"/>
          <cell r="C14392"/>
          <cell r="D14392"/>
          <cell r="E14392"/>
        </row>
        <row r="14393">
          <cell r="A14393"/>
          <cell r="B14393"/>
          <cell r="C14393"/>
          <cell r="D14393"/>
          <cell r="E14393"/>
        </row>
        <row r="14394">
          <cell r="A14394"/>
          <cell r="B14394"/>
          <cell r="C14394"/>
          <cell r="D14394"/>
          <cell r="E14394"/>
        </row>
        <row r="14395">
          <cell r="A14395"/>
          <cell r="B14395"/>
          <cell r="C14395"/>
          <cell r="D14395"/>
          <cell r="E14395"/>
        </row>
        <row r="14396">
          <cell r="A14396"/>
          <cell r="B14396"/>
          <cell r="C14396"/>
          <cell r="D14396"/>
          <cell r="E14396"/>
        </row>
        <row r="14397">
          <cell r="A14397"/>
          <cell r="B14397"/>
          <cell r="C14397"/>
          <cell r="D14397"/>
          <cell r="E14397"/>
        </row>
        <row r="14398">
          <cell r="A14398"/>
          <cell r="B14398"/>
          <cell r="C14398"/>
          <cell r="D14398"/>
          <cell r="E14398"/>
        </row>
        <row r="14399">
          <cell r="A14399"/>
          <cell r="B14399"/>
          <cell r="C14399"/>
          <cell r="D14399"/>
          <cell r="E14399"/>
        </row>
        <row r="14400">
          <cell r="A14400"/>
          <cell r="B14400"/>
          <cell r="C14400"/>
          <cell r="D14400"/>
          <cell r="E14400"/>
        </row>
        <row r="14401">
          <cell r="A14401"/>
          <cell r="B14401"/>
          <cell r="C14401"/>
          <cell r="D14401"/>
          <cell r="E14401"/>
        </row>
        <row r="14402">
          <cell r="A14402"/>
          <cell r="B14402"/>
          <cell r="C14402"/>
          <cell r="D14402"/>
          <cell r="E14402"/>
        </row>
        <row r="14403">
          <cell r="A14403"/>
          <cell r="B14403"/>
          <cell r="C14403"/>
          <cell r="D14403"/>
          <cell r="E14403"/>
        </row>
        <row r="14404">
          <cell r="A14404"/>
          <cell r="B14404"/>
          <cell r="C14404"/>
          <cell r="D14404"/>
          <cell r="E14404"/>
        </row>
        <row r="14405">
          <cell r="A14405"/>
          <cell r="B14405"/>
          <cell r="C14405"/>
          <cell r="D14405"/>
          <cell r="E14405"/>
        </row>
        <row r="14406">
          <cell r="A14406"/>
          <cell r="B14406"/>
          <cell r="C14406"/>
          <cell r="D14406"/>
          <cell r="E14406"/>
        </row>
        <row r="14407">
          <cell r="A14407"/>
          <cell r="B14407"/>
          <cell r="C14407"/>
          <cell r="D14407"/>
          <cell r="E14407"/>
        </row>
        <row r="14408">
          <cell r="A14408"/>
          <cell r="B14408"/>
          <cell r="C14408"/>
          <cell r="D14408"/>
          <cell r="E14408"/>
        </row>
        <row r="14409">
          <cell r="A14409"/>
          <cell r="B14409"/>
          <cell r="C14409"/>
          <cell r="D14409"/>
          <cell r="E14409"/>
        </row>
        <row r="14410">
          <cell r="A14410"/>
          <cell r="B14410"/>
          <cell r="C14410"/>
          <cell r="D14410"/>
          <cell r="E14410"/>
        </row>
        <row r="14411">
          <cell r="A14411"/>
          <cell r="B14411"/>
          <cell r="C14411"/>
          <cell r="D14411"/>
          <cell r="E14411"/>
        </row>
        <row r="14412">
          <cell r="A14412"/>
          <cell r="B14412"/>
          <cell r="C14412"/>
          <cell r="D14412"/>
          <cell r="E14412"/>
        </row>
        <row r="14413">
          <cell r="A14413"/>
          <cell r="B14413"/>
          <cell r="C14413"/>
          <cell r="D14413"/>
          <cell r="E14413"/>
        </row>
        <row r="14414">
          <cell r="A14414"/>
          <cell r="B14414"/>
          <cell r="C14414"/>
          <cell r="D14414"/>
          <cell r="E14414"/>
        </row>
        <row r="14415">
          <cell r="A14415"/>
          <cell r="B14415"/>
          <cell r="C14415"/>
          <cell r="D14415"/>
          <cell r="E14415"/>
        </row>
        <row r="14416">
          <cell r="A14416"/>
          <cell r="B14416"/>
          <cell r="C14416"/>
          <cell r="D14416"/>
          <cell r="E14416"/>
        </row>
        <row r="14417">
          <cell r="A14417"/>
          <cell r="B14417"/>
          <cell r="C14417"/>
          <cell r="D14417"/>
          <cell r="E14417"/>
        </row>
        <row r="14418">
          <cell r="A14418"/>
          <cell r="B14418"/>
          <cell r="C14418"/>
          <cell r="D14418"/>
          <cell r="E14418"/>
        </row>
        <row r="14419">
          <cell r="A14419"/>
          <cell r="B14419"/>
          <cell r="C14419"/>
          <cell r="D14419"/>
          <cell r="E14419"/>
        </row>
        <row r="14420">
          <cell r="A14420"/>
          <cell r="B14420"/>
          <cell r="C14420"/>
          <cell r="D14420"/>
          <cell r="E14420"/>
        </row>
        <row r="14421">
          <cell r="A14421"/>
          <cell r="B14421"/>
          <cell r="C14421"/>
          <cell r="D14421"/>
          <cell r="E14421"/>
        </row>
        <row r="14422">
          <cell r="A14422"/>
          <cell r="B14422"/>
          <cell r="C14422"/>
          <cell r="D14422"/>
          <cell r="E14422"/>
        </row>
        <row r="14423">
          <cell r="A14423"/>
          <cell r="B14423"/>
          <cell r="C14423"/>
          <cell r="D14423"/>
          <cell r="E14423"/>
        </row>
        <row r="14424">
          <cell r="A14424"/>
          <cell r="B14424"/>
          <cell r="C14424"/>
          <cell r="D14424"/>
          <cell r="E14424"/>
        </row>
        <row r="14425">
          <cell r="A14425"/>
          <cell r="B14425"/>
          <cell r="C14425"/>
          <cell r="D14425"/>
          <cell r="E14425"/>
        </row>
        <row r="14426">
          <cell r="A14426"/>
          <cell r="B14426"/>
          <cell r="C14426"/>
          <cell r="D14426"/>
          <cell r="E14426"/>
        </row>
        <row r="14427">
          <cell r="A14427"/>
          <cell r="B14427"/>
          <cell r="C14427"/>
          <cell r="D14427"/>
          <cell r="E14427"/>
        </row>
        <row r="14428">
          <cell r="A14428"/>
          <cell r="B14428"/>
          <cell r="C14428"/>
          <cell r="D14428"/>
          <cell r="E14428"/>
        </row>
        <row r="14429">
          <cell r="A14429"/>
          <cell r="B14429"/>
          <cell r="C14429"/>
          <cell r="D14429"/>
          <cell r="E14429"/>
        </row>
        <row r="14430">
          <cell r="A14430"/>
          <cell r="B14430"/>
          <cell r="C14430"/>
          <cell r="D14430"/>
          <cell r="E14430"/>
        </row>
        <row r="14431">
          <cell r="A14431"/>
          <cell r="B14431"/>
          <cell r="C14431"/>
          <cell r="D14431"/>
          <cell r="E14431"/>
        </row>
        <row r="14432">
          <cell r="A14432"/>
          <cell r="B14432"/>
          <cell r="C14432"/>
          <cell r="D14432"/>
          <cell r="E14432"/>
        </row>
        <row r="14433">
          <cell r="A14433"/>
          <cell r="B14433"/>
          <cell r="C14433"/>
          <cell r="D14433"/>
          <cell r="E14433"/>
        </row>
        <row r="14434">
          <cell r="A14434"/>
          <cell r="B14434"/>
          <cell r="C14434"/>
          <cell r="D14434"/>
          <cell r="E14434"/>
        </row>
        <row r="14435">
          <cell r="A14435"/>
          <cell r="B14435"/>
          <cell r="C14435"/>
          <cell r="D14435"/>
          <cell r="E14435"/>
        </row>
        <row r="14436">
          <cell r="A14436"/>
          <cell r="B14436"/>
          <cell r="C14436"/>
          <cell r="D14436"/>
          <cell r="E14436"/>
        </row>
        <row r="14437">
          <cell r="A14437"/>
          <cell r="B14437"/>
          <cell r="C14437"/>
          <cell r="D14437"/>
          <cell r="E14437"/>
        </row>
        <row r="14438">
          <cell r="A14438"/>
          <cell r="B14438"/>
          <cell r="C14438"/>
          <cell r="D14438"/>
          <cell r="E14438"/>
        </row>
        <row r="14439">
          <cell r="A14439"/>
          <cell r="B14439"/>
          <cell r="C14439"/>
          <cell r="D14439"/>
          <cell r="E14439"/>
        </row>
        <row r="14440">
          <cell r="A14440"/>
          <cell r="B14440"/>
          <cell r="C14440"/>
          <cell r="D14440"/>
          <cell r="E14440"/>
        </row>
        <row r="14441">
          <cell r="A14441"/>
          <cell r="B14441"/>
          <cell r="C14441"/>
          <cell r="D14441"/>
          <cell r="E14441"/>
        </row>
        <row r="14442">
          <cell r="A14442"/>
          <cell r="B14442"/>
          <cell r="C14442"/>
          <cell r="D14442"/>
          <cell r="E14442"/>
        </row>
        <row r="14443">
          <cell r="A14443"/>
          <cell r="B14443"/>
          <cell r="C14443"/>
          <cell r="D14443"/>
          <cell r="E14443"/>
        </row>
        <row r="14444">
          <cell r="A14444"/>
          <cell r="B14444"/>
          <cell r="C14444"/>
          <cell r="D14444"/>
          <cell r="E14444"/>
        </row>
        <row r="14445">
          <cell r="A14445"/>
          <cell r="B14445"/>
          <cell r="C14445"/>
          <cell r="D14445"/>
          <cell r="E14445"/>
        </row>
        <row r="14446">
          <cell r="A14446"/>
          <cell r="B14446"/>
          <cell r="C14446"/>
          <cell r="D14446"/>
          <cell r="E14446"/>
        </row>
        <row r="14447">
          <cell r="A14447"/>
          <cell r="B14447"/>
          <cell r="C14447"/>
          <cell r="D14447"/>
          <cell r="E14447"/>
        </row>
        <row r="14448">
          <cell r="A14448"/>
          <cell r="B14448"/>
          <cell r="C14448"/>
          <cell r="D14448"/>
          <cell r="E14448"/>
        </row>
        <row r="14449">
          <cell r="A14449"/>
          <cell r="B14449"/>
          <cell r="C14449"/>
          <cell r="D14449"/>
          <cell r="E14449"/>
        </row>
        <row r="14450">
          <cell r="A14450"/>
          <cell r="B14450"/>
          <cell r="C14450"/>
          <cell r="D14450"/>
          <cell r="E14450"/>
        </row>
        <row r="14451">
          <cell r="A14451"/>
          <cell r="B14451"/>
          <cell r="C14451"/>
          <cell r="D14451"/>
          <cell r="E14451"/>
        </row>
        <row r="14452">
          <cell r="A14452"/>
          <cell r="B14452"/>
          <cell r="C14452"/>
          <cell r="D14452"/>
          <cell r="E14452"/>
        </row>
        <row r="14453">
          <cell r="A14453"/>
          <cell r="B14453"/>
          <cell r="C14453"/>
          <cell r="D14453"/>
          <cell r="E14453"/>
        </row>
        <row r="14454">
          <cell r="A14454"/>
          <cell r="B14454"/>
          <cell r="C14454"/>
          <cell r="D14454"/>
          <cell r="E14454"/>
        </row>
        <row r="14455">
          <cell r="A14455"/>
          <cell r="B14455"/>
          <cell r="C14455"/>
          <cell r="D14455"/>
          <cell r="E14455"/>
        </row>
        <row r="14456">
          <cell r="A14456"/>
          <cell r="B14456"/>
          <cell r="C14456"/>
          <cell r="D14456"/>
          <cell r="E14456"/>
        </row>
        <row r="14457">
          <cell r="A14457"/>
          <cell r="B14457"/>
          <cell r="C14457"/>
          <cell r="D14457"/>
          <cell r="E14457"/>
        </row>
        <row r="14458">
          <cell r="A14458"/>
          <cell r="B14458"/>
          <cell r="C14458"/>
          <cell r="D14458"/>
          <cell r="E14458"/>
        </row>
        <row r="14459">
          <cell r="A14459"/>
          <cell r="B14459"/>
          <cell r="C14459"/>
          <cell r="D14459"/>
          <cell r="E14459"/>
        </row>
        <row r="14460">
          <cell r="A14460"/>
          <cell r="B14460"/>
          <cell r="C14460"/>
          <cell r="D14460"/>
          <cell r="E14460"/>
        </row>
        <row r="14461">
          <cell r="A14461"/>
          <cell r="B14461"/>
          <cell r="C14461"/>
          <cell r="D14461"/>
          <cell r="E14461"/>
        </row>
        <row r="14462">
          <cell r="A14462"/>
          <cell r="B14462"/>
          <cell r="C14462"/>
          <cell r="D14462"/>
          <cell r="E14462"/>
        </row>
        <row r="14463">
          <cell r="A14463"/>
          <cell r="B14463"/>
          <cell r="C14463"/>
          <cell r="D14463"/>
          <cell r="E14463"/>
        </row>
        <row r="14464">
          <cell r="A14464"/>
          <cell r="B14464"/>
          <cell r="C14464"/>
          <cell r="D14464"/>
          <cell r="E14464"/>
        </row>
        <row r="14465">
          <cell r="A14465"/>
          <cell r="B14465"/>
          <cell r="C14465"/>
          <cell r="D14465"/>
          <cell r="E14465"/>
        </row>
        <row r="14466">
          <cell r="A14466"/>
          <cell r="B14466"/>
          <cell r="C14466"/>
          <cell r="D14466"/>
          <cell r="E14466"/>
        </row>
        <row r="14467">
          <cell r="A14467"/>
          <cell r="B14467"/>
          <cell r="C14467"/>
          <cell r="D14467"/>
          <cell r="E14467"/>
        </row>
        <row r="14468">
          <cell r="A14468"/>
          <cell r="B14468"/>
          <cell r="C14468"/>
          <cell r="D14468"/>
          <cell r="E14468"/>
        </row>
        <row r="14469">
          <cell r="A14469"/>
          <cell r="B14469"/>
          <cell r="C14469"/>
          <cell r="D14469"/>
          <cell r="E14469"/>
        </row>
        <row r="14470">
          <cell r="A14470"/>
          <cell r="B14470"/>
          <cell r="C14470"/>
          <cell r="D14470"/>
          <cell r="E14470"/>
        </row>
        <row r="14471">
          <cell r="A14471"/>
          <cell r="B14471"/>
          <cell r="C14471"/>
          <cell r="D14471"/>
          <cell r="E14471"/>
        </row>
        <row r="14472">
          <cell r="A14472"/>
          <cell r="B14472"/>
          <cell r="C14472"/>
          <cell r="D14472"/>
          <cell r="E14472"/>
        </row>
        <row r="14473">
          <cell r="A14473"/>
          <cell r="B14473"/>
          <cell r="C14473"/>
          <cell r="D14473"/>
          <cell r="E14473"/>
        </row>
        <row r="14474">
          <cell r="A14474"/>
          <cell r="B14474"/>
          <cell r="C14474"/>
          <cell r="D14474"/>
          <cell r="E14474"/>
        </row>
        <row r="14475">
          <cell r="A14475"/>
          <cell r="B14475"/>
          <cell r="C14475"/>
          <cell r="D14475"/>
          <cell r="E14475"/>
        </row>
        <row r="14476">
          <cell r="A14476"/>
          <cell r="B14476"/>
          <cell r="C14476"/>
          <cell r="D14476"/>
          <cell r="E14476"/>
        </row>
        <row r="14477">
          <cell r="A14477"/>
          <cell r="B14477"/>
          <cell r="C14477"/>
          <cell r="D14477"/>
          <cell r="E14477"/>
        </row>
        <row r="14478">
          <cell r="A14478"/>
          <cell r="B14478"/>
          <cell r="C14478"/>
          <cell r="D14478"/>
          <cell r="E14478"/>
        </row>
        <row r="14479">
          <cell r="A14479"/>
          <cell r="B14479"/>
          <cell r="C14479"/>
          <cell r="D14479"/>
          <cell r="E14479"/>
        </row>
        <row r="14480">
          <cell r="A14480"/>
          <cell r="B14480"/>
          <cell r="C14480"/>
          <cell r="D14480"/>
          <cell r="E14480"/>
        </row>
        <row r="14481">
          <cell r="A14481"/>
          <cell r="B14481"/>
          <cell r="C14481"/>
          <cell r="D14481"/>
          <cell r="E14481"/>
        </row>
        <row r="14482">
          <cell r="A14482"/>
          <cell r="B14482"/>
          <cell r="C14482"/>
          <cell r="D14482"/>
          <cell r="E14482"/>
        </row>
        <row r="14483">
          <cell r="A14483"/>
          <cell r="B14483"/>
          <cell r="C14483"/>
          <cell r="D14483"/>
          <cell r="E14483"/>
        </row>
        <row r="14484">
          <cell r="A14484"/>
          <cell r="B14484"/>
          <cell r="C14484"/>
          <cell r="D14484"/>
          <cell r="E14484"/>
        </row>
        <row r="14485">
          <cell r="A14485"/>
          <cell r="B14485"/>
          <cell r="C14485"/>
          <cell r="D14485"/>
          <cell r="E14485"/>
        </row>
        <row r="14486">
          <cell r="A14486"/>
          <cell r="B14486"/>
          <cell r="C14486"/>
          <cell r="D14486"/>
          <cell r="E14486"/>
        </row>
        <row r="14487">
          <cell r="A14487"/>
          <cell r="B14487"/>
          <cell r="C14487"/>
          <cell r="D14487"/>
          <cell r="E14487"/>
        </row>
        <row r="14488">
          <cell r="A14488"/>
          <cell r="B14488"/>
          <cell r="C14488"/>
          <cell r="D14488"/>
          <cell r="E14488"/>
        </row>
        <row r="14489">
          <cell r="A14489"/>
          <cell r="B14489"/>
          <cell r="C14489"/>
          <cell r="D14489"/>
          <cell r="E14489"/>
        </row>
        <row r="14490">
          <cell r="A14490"/>
          <cell r="B14490"/>
          <cell r="C14490"/>
          <cell r="D14490"/>
          <cell r="E14490"/>
        </row>
        <row r="14491">
          <cell r="A14491"/>
          <cell r="B14491"/>
          <cell r="C14491"/>
          <cell r="D14491"/>
          <cell r="E14491"/>
        </row>
        <row r="14492">
          <cell r="A14492"/>
          <cell r="B14492"/>
          <cell r="C14492"/>
          <cell r="D14492"/>
          <cell r="E14492"/>
        </row>
        <row r="14493">
          <cell r="A14493"/>
          <cell r="B14493"/>
          <cell r="C14493"/>
          <cell r="D14493"/>
          <cell r="E14493"/>
        </row>
        <row r="14494">
          <cell r="A14494"/>
          <cell r="B14494"/>
          <cell r="C14494"/>
          <cell r="D14494"/>
          <cell r="E14494"/>
        </row>
        <row r="14495">
          <cell r="A14495"/>
          <cell r="B14495"/>
          <cell r="C14495"/>
          <cell r="D14495"/>
          <cell r="E14495"/>
        </row>
        <row r="14496">
          <cell r="A14496"/>
          <cell r="B14496"/>
          <cell r="C14496"/>
          <cell r="D14496"/>
          <cell r="E14496"/>
        </row>
        <row r="14497">
          <cell r="A14497"/>
          <cell r="B14497"/>
          <cell r="C14497"/>
          <cell r="D14497"/>
          <cell r="E14497"/>
        </row>
        <row r="14498">
          <cell r="A14498"/>
          <cell r="B14498"/>
          <cell r="C14498"/>
          <cell r="D14498"/>
          <cell r="E14498"/>
        </row>
        <row r="14499">
          <cell r="A14499"/>
          <cell r="B14499"/>
          <cell r="C14499"/>
          <cell r="D14499"/>
          <cell r="E14499"/>
        </row>
        <row r="14500">
          <cell r="A14500"/>
          <cell r="B14500"/>
          <cell r="C14500"/>
          <cell r="D14500"/>
          <cell r="E14500"/>
        </row>
        <row r="14501">
          <cell r="A14501"/>
          <cell r="B14501"/>
          <cell r="C14501"/>
          <cell r="D14501"/>
          <cell r="E14501"/>
        </row>
        <row r="14502">
          <cell r="A14502"/>
          <cell r="B14502"/>
          <cell r="C14502"/>
          <cell r="D14502"/>
          <cell r="E14502"/>
        </row>
        <row r="14503">
          <cell r="A14503"/>
          <cell r="B14503"/>
          <cell r="C14503"/>
          <cell r="D14503"/>
          <cell r="E14503"/>
        </row>
        <row r="14504">
          <cell r="A14504"/>
          <cell r="B14504"/>
          <cell r="C14504"/>
          <cell r="D14504"/>
          <cell r="E14504"/>
        </row>
        <row r="14505">
          <cell r="A14505"/>
          <cell r="B14505"/>
          <cell r="C14505"/>
          <cell r="D14505"/>
          <cell r="E14505"/>
        </row>
        <row r="14506">
          <cell r="A14506"/>
          <cell r="B14506"/>
          <cell r="C14506"/>
          <cell r="D14506"/>
          <cell r="E14506"/>
        </row>
        <row r="14507">
          <cell r="A14507"/>
          <cell r="B14507"/>
          <cell r="C14507"/>
          <cell r="D14507"/>
          <cell r="E14507"/>
        </row>
        <row r="14508">
          <cell r="A14508"/>
          <cell r="B14508"/>
          <cell r="C14508"/>
          <cell r="D14508"/>
          <cell r="E14508"/>
        </row>
        <row r="14509">
          <cell r="A14509"/>
          <cell r="B14509"/>
          <cell r="C14509"/>
          <cell r="D14509"/>
          <cell r="E14509"/>
        </row>
        <row r="14510">
          <cell r="A14510"/>
          <cell r="B14510"/>
          <cell r="C14510"/>
          <cell r="D14510"/>
          <cell r="E14510"/>
        </row>
        <row r="14511">
          <cell r="A14511"/>
          <cell r="B14511"/>
          <cell r="C14511"/>
          <cell r="D14511"/>
          <cell r="E14511"/>
        </row>
        <row r="14512">
          <cell r="A14512"/>
          <cell r="B14512"/>
          <cell r="C14512"/>
          <cell r="D14512"/>
          <cell r="E14512"/>
        </row>
        <row r="14513">
          <cell r="A14513"/>
          <cell r="B14513"/>
          <cell r="C14513"/>
          <cell r="D14513"/>
          <cell r="E14513"/>
        </row>
        <row r="14514">
          <cell r="A14514"/>
          <cell r="B14514"/>
          <cell r="C14514"/>
          <cell r="D14514"/>
          <cell r="E14514"/>
        </row>
        <row r="14515">
          <cell r="A14515"/>
          <cell r="B14515"/>
          <cell r="C14515"/>
          <cell r="D14515"/>
          <cell r="E14515"/>
        </row>
        <row r="14516">
          <cell r="A14516"/>
          <cell r="B14516"/>
          <cell r="C14516"/>
          <cell r="D14516"/>
          <cell r="E14516"/>
        </row>
        <row r="14517">
          <cell r="A14517"/>
          <cell r="B14517"/>
          <cell r="C14517"/>
          <cell r="D14517"/>
          <cell r="E14517"/>
        </row>
        <row r="14518">
          <cell r="A14518"/>
          <cell r="B14518"/>
          <cell r="C14518"/>
          <cell r="D14518"/>
          <cell r="E14518"/>
        </row>
        <row r="14519">
          <cell r="A14519"/>
          <cell r="B14519"/>
          <cell r="C14519"/>
          <cell r="D14519"/>
          <cell r="E14519"/>
        </row>
        <row r="14520">
          <cell r="A14520"/>
          <cell r="B14520"/>
          <cell r="C14520"/>
          <cell r="D14520"/>
          <cell r="E14520"/>
        </row>
        <row r="14521">
          <cell r="A14521"/>
          <cell r="B14521"/>
          <cell r="C14521"/>
          <cell r="D14521"/>
          <cell r="E14521"/>
        </row>
        <row r="14522">
          <cell r="A14522"/>
          <cell r="B14522"/>
          <cell r="C14522"/>
          <cell r="D14522"/>
          <cell r="E14522"/>
        </row>
        <row r="14523">
          <cell r="A14523"/>
          <cell r="B14523"/>
          <cell r="C14523"/>
          <cell r="D14523"/>
          <cell r="E14523"/>
        </row>
        <row r="14524">
          <cell r="A14524"/>
          <cell r="B14524"/>
          <cell r="C14524"/>
          <cell r="D14524"/>
          <cell r="E14524"/>
        </row>
        <row r="14525">
          <cell r="A14525"/>
          <cell r="B14525"/>
          <cell r="C14525"/>
          <cell r="D14525"/>
          <cell r="E14525"/>
        </row>
        <row r="14526">
          <cell r="A14526"/>
          <cell r="B14526"/>
          <cell r="C14526"/>
          <cell r="D14526"/>
          <cell r="E14526"/>
        </row>
        <row r="14527">
          <cell r="A14527"/>
          <cell r="B14527"/>
          <cell r="C14527"/>
          <cell r="D14527"/>
          <cell r="E14527"/>
        </row>
        <row r="14528">
          <cell r="A14528"/>
          <cell r="B14528"/>
          <cell r="C14528"/>
          <cell r="D14528"/>
          <cell r="E14528"/>
        </row>
        <row r="14529">
          <cell r="A14529"/>
          <cell r="B14529"/>
          <cell r="C14529"/>
          <cell r="D14529"/>
          <cell r="E14529"/>
        </row>
        <row r="14530">
          <cell r="A14530"/>
          <cell r="B14530"/>
          <cell r="C14530"/>
          <cell r="D14530"/>
          <cell r="E14530"/>
        </row>
        <row r="14531">
          <cell r="A14531"/>
          <cell r="B14531"/>
          <cell r="C14531"/>
          <cell r="D14531"/>
          <cell r="E14531"/>
        </row>
        <row r="14532">
          <cell r="A14532"/>
          <cell r="B14532"/>
          <cell r="C14532"/>
          <cell r="D14532"/>
          <cell r="E14532"/>
        </row>
        <row r="14533">
          <cell r="A14533"/>
          <cell r="B14533"/>
          <cell r="C14533"/>
          <cell r="D14533"/>
          <cell r="E14533"/>
        </row>
        <row r="14534">
          <cell r="A14534"/>
          <cell r="B14534"/>
          <cell r="C14534"/>
          <cell r="D14534"/>
          <cell r="E14534"/>
        </row>
        <row r="14535">
          <cell r="A14535"/>
          <cell r="B14535"/>
          <cell r="C14535"/>
          <cell r="D14535"/>
          <cell r="E14535"/>
        </row>
        <row r="14536">
          <cell r="A14536"/>
          <cell r="B14536"/>
          <cell r="C14536"/>
          <cell r="D14536"/>
          <cell r="E14536"/>
        </row>
        <row r="14537">
          <cell r="A14537"/>
          <cell r="B14537"/>
          <cell r="C14537"/>
          <cell r="D14537"/>
          <cell r="E14537"/>
        </row>
        <row r="14538">
          <cell r="A14538"/>
          <cell r="B14538"/>
          <cell r="C14538"/>
          <cell r="D14538"/>
          <cell r="E14538"/>
        </row>
        <row r="14539">
          <cell r="A14539"/>
          <cell r="B14539"/>
          <cell r="C14539"/>
          <cell r="D14539"/>
          <cell r="E14539"/>
        </row>
        <row r="14540">
          <cell r="A14540"/>
          <cell r="B14540"/>
          <cell r="C14540"/>
          <cell r="D14540"/>
          <cell r="E14540"/>
        </row>
        <row r="14541">
          <cell r="A14541"/>
          <cell r="B14541"/>
          <cell r="C14541"/>
          <cell r="D14541"/>
          <cell r="E14541"/>
        </row>
        <row r="14542">
          <cell r="A14542"/>
          <cell r="B14542"/>
          <cell r="C14542"/>
          <cell r="D14542"/>
          <cell r="E14542"/>
        </row>
        <row r="14543">
          <cell r="A14543"/>
          <cell r="B14543"/>
          <cell r="C14543"/>
          <cell r="D14543"/>
          <cell r="E14543"/>
        </row>
        <row r="14544">
          <cell r="A14544"/>
          <cell r="B14544"/>
          <cell r="C14544"/>
          <cell r="D14544"/>
          <cell r="E14544"/>
        </row>
        <row r="14545">
          <cell r="A14545"/>
          <cell r="B14545"/>
          <cell r="C14545"/>
          <cell r="D14545"/>
          <cell r="E14545"/>
        </row>
        <row r="14546">
          <cell r="A14546"/>
          <cell r="B14546"/>
          <cell r="C14546"/>
          <cell r="D14546"/>
          <cell r="E14546"/>
        </row>
        <row r="14547">
          <cell r="A14547"/>
          <cell r="B14547"/>
          <cell r="C14547"/>
          <cell r="D14547"/>
          <cell r="E14547"/>
        </row>
        <row r="14548">
          <cell r="A14548"/>
          <cell r="B14548"/>
          <cell r="C14548"/>
          <cell r="D14548"/>
          <cell r="E14548"/>
        </row>
        <row r="14549">
          <cell r="A14549"/>
          <cell r="B14549"/>
          <cell r="C14549"/>
          <cell r="D14549"/>
          <cell r="E14549"/>
        </row>
        <row r="14550">
          <cell r="A14550"/>
          <cell r="B14550"/>
          <cell r="C14550"/>
          <cell r="D14550"/>
          <cell r="E14550"/>
        </row>
        <row r="14551">
          <cell r="A14551"/>
          <cell r="B14551"/>
          <cell r="C14551"/>
          <cell r="D14551"/>
          <cell r="E14551"/>
        </row>
        <row r="14552">
          <cell r="A14552"/>
          <cell r="B14552"/>
          <cell r="C14552"/>
          <cell r="D14552"/>
          <cell r="E14552"/>
        </row>
        <row r="14553">
          <cell r="A14553"/>
          <cell r="B14553"/>
          <cell r="C14553"/>
          <cell r="D14553"/>
          <cell r="E14553"/>
        </row>
        <row r="14554">
          <cell r="A14554"/>
          <cell r="B14554"/>
          <cell r="C14554"/>
          <cell r="D14554"/>
          <cell r="E14554"/>
        </row>
        <row r="14555">
          <cell r="A14555"/>
          <cell r="B14555"/>
          <cell r="C14555"/>
          <cell r="D14555"/>
          <cell r="E14555"/>
        </row>
        <row r="14556">
          <cell r="A14556"/>
          <cell r="B14556"/>
          <cell r="C14556"/>
          <cell r="D14556"/>
          <cell r="E14556"/>
        </row>
        <row r="14557">
          <cell r="A14557"/>
          <cell r="B14557"/>
          <cell r="C14557"/>
          <cell r="D14557"/>
          <cell r="E14557"/>
        </row>
        <row r="14558">
          <cell r="A14558"/>
          <cell r="B14558"/>
          <cell r="C14558"/>
          <cell r="D14558"/>
          <cell r="E14558"/>
        </row>
        <row r="14559">
          <cell r="A14559"/>
          <cell r="B14559"/>
          <cell r="C14559"/>
          <cell r="D14559"/>
          <cell r="E14559"/>
        </row>
        <row r="14560">
          <cell r="A14560"/>
          <cell r="B14560"/>
          <cell r="C14560"/>
          <cell r="D14560"/>
          <cell r="E14560"/>
        </row>
        <row r="14561">
          <cell r="A14561"/>
          <cell r="B14561"/>
          <cell r="C14561"/>
          <cell r="D14561"/>
          <cell r="E14561"/>
        </row>
        <row r="14562">
          <cell r="A14562"/>
          <cell r="B14562"/>
          <cell r="C14562"/>
          <cell r="D14562"/>
          <cell r="E14562"/>
        </row>
        <row r="14563">
          <cell r="A14563"/>
          <cell r="B14563"/>
          <cell r="C14563"/>
          <cell r="D14563"/>
          <cell r="E14563"/>
        </row>
        <row r="14564">
          <cell r="A14564"/>
          <cell r="B14564"/>
          <cell r="C14564"/>
          <cell r="D14564"/>
          <cell r="E14564"/>
        </row>
        <row r="14565">
          <cell r="A14565"/>
          <cell r="B14565"/>
          <cell r="C14565"/>
          <cell r="D14565"/>
          <cell r="E14565"/>
        </row>
        <row r="14566">
          <cell r="A14566"/>
          <cell r="B14566"/>
          <cell r="C14566"/>
          <cell r="D14566"/>
          <cell r="E14566"/>
        </row>
        <row r="14567">
          <cell r="A14567"/>
          <cell r="B14567"/>
          <cell r="C14567"/>
          <cell r="D14567"/>
          <cell r="E14567"/>
        </row>
        <row r="14568">
          <cell r="A14568"/>
          <cell r="B14568"/>
          <cell r="C14568"/>
          <cell r="D14568"/>
          <cell r="E14568"/>
        </row>
        <row r="14569">
          <cell r="A14569"/>
          <cell r="B14569"/>
          <cell r="C14569"/>
          <cell r="D14569"/>
          <cell r="E14569"/>
        </row>
        <row r="14570">
          <cell r="A14570"/>
          <cell r="B14570"/>
          <cell r="C14570"/>
          <cell r="D14570"/>
          <cell r="E14570"/>
        </row>
        <row r="14571">
          <cell r="A14571"/>
          <cell r="B14571"/>
          <cell r="C14571"/>
          <cell r="D14571"/>
          <cell r="E14571"/>
        </row>
        <row r="14572">
          <cell r="A14572"/>
          <cell r="B14572"/>
          <cell r="C14572"/>
          <cell r="D14572"/>
          <cell r="E14572"/>
        </row>
        <row r="14573">
          <cell r="A14573"/>
          <cell r="B14573"/>
          <cell r="C14573"/>
          <cell r="D14573"/>
          <cell r="E14573"/>
        </row>
        <row r="14574">
          <cell r="A14574"/>
          <cell r="B14574"/>
          <cell r="C14574"/>
          <cell r="D14574"/>
          <cell r="E14574"/>
        </row>
        <row r="14575">
          <cell r="A14575"/>
          <cell r="B14575"/>
          <cell r="C14575"/>
          <cell r="D14575"/>
          <cell r="E14575"/>
        </row>
        <row r="14576">
          <cell r="A14576"/>
          <cell r="B14576"/>
          <cell r="C14576"/>
          <cell r="D14576"/>
          <cell r="E14576"/>
        </row>
        <row r="14577">
          <cell r="A14577"/>
          <cell r="B14577"/>
          <cell r="C14577"/>
          <cell r="D14577"/>
          <cell r="E14577"/>
        </row>
        <row r="14578">
          <cell r="A14578"/>
          <cell r="B14578"/>
          <cell r="C14578"/>
          <cell r="D14578"/>
          <cell r="E14578"/>
        </row>
        <row r="14579">
          <cell r="A14579"/>
          <cell r="B14579"/>
          <cell r="C14579"/>
          <cell r="D14579"/>
          <cell r="E14579"/>
        </row>
        <row r="14580">
          <cell r="A14580"/>
          <cell r="B14580"/>
          <cell r="C14580"/>
          <cell r="D14580"/>
          <cell r="E14580"/>
        </row>
        <row r="14581">
          <cell r="A14581"/>
          <cell r="B14581"/>
          <cell r="C14581"/>
          <cell r="D14581"/>
          <cell r="E14581"/>
        </row>
        <row r="14582">
          <cell r="A14582"/>
          <cell r="B14582"/>
          <cell r="C14582"/>
          <cell r="D14582"/>
          <cell r="E14582"/>
        </row>
        <row r="14583">
          <cell r="A14583"/>
          <cell r="B14583"/>
          <cell r="C14583"/>
          <cell r="D14583"/>
          <cell r="E14583"/>
        </row>
        <row r="14584">
          <cell r="A14584"/>
          <cell r="B14584"/>
          <cell r="C14584"/>
          <cell r="D14584"/>
          <cell r="E14584"/>
        </row>
        <row r="14585">
          <cell r="A14585"/>
          <cell r="B14585"/>
          <cell r="C14585"/>
          <cell r="D14585"/>
          <cell r="E14585"/>
        </row>
        <row r="14586">
          <cell r="A14586"/>
          <cell r="B14586"/>
          <cell r="C14586"/>
          <cell r="D14586"/>
          <cell r="E14586"/>
        </row>
        <row r="14587">
          <cell r="A14587"/>
          <cell r="B14587"/>
          <cell r="C14587"/>
          <cell r="D14587"/>
          <cell r="E14587"/>
        </row>
        <row r="14588">
          <cell r="A14588"/>
          <cell r="B14588"/>
          <cell r="C14588"/>
          <cell r="D14588"/>
          <cell r="E14588"/>
        </row>
        <row r="14589">
          <cell r="A14589"/>
          <cell r="B14589"/>
          <cell r="C14589"/>
          <cell r="D14589"/>
          <cell r="E14589"/>
        </row>
        <row r="14590">
          <cell r="A14590"/>
          <cell r="B14590"/>
          <cell r="C14590"/>
          <cell r="D14590"/>
          <cell r="E14590"/>
        </row>
        <row r="14591">
          <cell r="A14591"/>
          <cell r="B14591"/>
          <cell r="C14591"/>
          <cell r="D14591"/>
          <cell r="E14591"/>
        </row>
        <row r="14592">
          <cell r="A14592"/>
          <cell r="B14592"/>
          <cell r="C14592"/>
          <cell r="D14592"/>
          <cell r="E14592"/>
        </row>
        <row r="14593">
          <cell r="A14593"/>
          <cell r="B14593"/>
          <cell r="C14593"/>
          <cell r="D14593"/>
          <cell r="E14593"/>
        </row>
        <row r="14594">
          <cell r="A14594"/>
          <cell r="B14594"/>
          <cell r="C14594"/>
          <cell r="D14594"/>
          <cell r="E14594"/>
        </row>
        <row r="14595">
          <cell r="A14595"/>
          <cell r="B14595"/>
          <cell r="C14595"/>
          <cell r="D14595"/>
          <cell r="E14595"/>
        </row>
        <row r="14596">
          <cell r="A14596"/>
          <cell r="B14596"/>
          <cell r="C14596"/>
          <cell r="D14596"/>
          <cell r="E14596"/>
        </row>
        <row r="14597">
          <cell r="A14597"/>
          <cell r="B14597"/>
          <cell r="C14597"/>
          <cell r="D14597"/>
          <cell r="E14597"/>
        </row>
        <row r="14598">
          <cell r="A14598"/>
          <cell r="B14598"/>
          <cell r="C14598"/>
          <cell r="D14598"/>
          <cell r="E14598"/>
        </row>
        <row r="14599">
          <cell r="A14599"/>
          <cell r="B14599"/>
          <cell r="C14599"/>
          <cell r="D14599"/>
          <cell r="E14599"/>
        </row>
        <row r="14600">
          <cell r="A14600"/>
          <cell r="B14600"/>
          <cell r="C14600"/>
          <cell r="D14600"/>
          <cell r="E14600"/>
        </row>
        <row r="14601">
          <cell r="A14601"/>
          <cell r="B14601"/>
          <cell r="C14601"/>
          <cell r="D14601"/>
          <cell r="E14601"/>
        </row>
        <row r="14602">
          <cell r="A14602"/>
          <cell r="B14602"/>
          <cell r="C14602"/>
          <cell r="D14602"/>
          <cell r="E14602"/>
        </row>
        <row r="14603">
          <cell r="A14603"/>
          <cell r="B14603"/>
          <cell r="C14603"/>
          <cell r="D14603"/>
          <cell r="E14603"/>
        </row>
        <row r="14604">
          <cell r="A14604"/>
          <cell r="B14604"/>
          <cell r="C14604"/>
          <cell r="D14604"/>
          <cell r="E14604"/>
        </row>
        <row r="14605">
          <cell r="A14605"/>
          <cell r="B14605"/>
          <cell r="C14605"/>
          <cell r="D14605"/>
          <cell r="E14605"/>
        </row>
        <row r="14606">
          <cell r="A14606"/>
          <cell r="B14606"/>
          <cell r="C14606"/>
          <cell r="D14606"/>
          <cell r="E14606"/>
        </row>
        <row r="14607">
          <cell r="A14607"/>
          <cell r="B14607"/>
          <cell r="C14607"/>
          <cell r="D14607"/>
          <cell r="E14607"/>
        </row>
        <row r="14608">
          <cell r="A14608"/>
          <cell r="B14608"/>
          <cell r="C14608"/>
          <cell r="D14608"/>
          <cell r="E14608"/>
        </row>
        <row r="14609">
          <cell r="A14609"/>
          <cell r="B14609"/>
          <cell r="C14609"/>
          <cell r="D14609"/>
          <cell r="E14609"/>
        </row>
        <row r="14610">
          <cell r="A14610"/>
          <cell r="B14610"/>
          <cell r="C14610"/>
          <cell r="D14610"/>
          <cell r="E14610"/>
        </row>
        <row r="14611">
          <cell r="A14611"/>
          <cell r="B14611"/>
          <cell r="C14611"/>
          <cell r="D14611"/>
          <cell r="E14611"/>
        </row>
        <row r="14612">
          <cell r="A14612"/>
          <cell r="B14612"/>
          <cell r="C14612"/>
          <cell r="D14612"/>
          <cell r="E14612"/>
        </row>
        <row r="14613">
          <cell r="A14613"/>
          <cell r="B14613"/>
          <cell r="C14613"/>
          <cell r="D14613"/>
          <cell r="E14613"/>
        </row>
        <row r="14614">
          <cell r="A14614"/>
          <cell r="B14614"/>
          <cell r="C14614"/>
          <cell r="D14614"/>
          <cell r="E14614"/>
        </row>
        <row r="14615">
          <cell r="A14615"/>
          <cell r="B14615"/>
          <cell r="C14615"/>
          <cell r="D14615"/>
          <cell r="E14615"/>
        </row>
        <row r="14616">
          <cell r="A14616"/>
          <cell r="B14616"/>
          <cell r="C14616"/>
          <cell r="D14616"/>
          <cell r="E14616"/>
        </row>
        <row r="14617">
          <cell r="A14617"/>
          <cell r="B14617"/>
          <cell r="C14617"/>
          <cell r="D14617"/>
          <cell r="E14617"/>
        </row>
        <row r="14618">
          <cell r="A14618"/>
          <cell r="B14618"/>
          <cell r="C14618"/>
          <cell r="D14618"/>
          <cell r="E14618"/>
        </row>
        <row r="14619">
          <cell r="A14619"/>
          <cell r="B14619"/>
          <cell r="C14619"/>
          <cell r="D14619"/>
          <cell r="E14619"/>
        </row>
        <row r="14620">
          <cell r="A14620"/>
          <cell r="B14620"/>
          <cell r="C14620"/>
          <cell r="D14620"/>
          <cell r="E14620"/>
        </row>
        <row r="14621">
          <cell r="A14621"/>
          <cell r="B14621"/>
          <cell r="C14621"/>
          <cell r="D14621"/>
          <cell r="E14621"/>
        </row>
        <row r="14622">
          <cell r="A14622"/>
          <cell r="B14622"/>
          <cell r="C14622"/>
          <cell r="D14622"/>
          <cell r="E14622"/>
        </row>
        <row r="14623">
          <cell r="A14623"/>
          <cell r="B14623"/>
          <cell r="C14623"/>
          <cell r="D14623"/>
          <cell r="E14623"/>
        </row>
        <row r="14624">
          <cell r="A14624"/>
          <cell r="B14624"/>
          <cell r="C14624"/>
          <cell r="D14624"/>
          <cell r="E14624"/>
        </row>
        <row r="14625">
          <cell r="A14625"/>
          <cell r="B14625"/>
          <cell r="C14625"/>
          <cell r="D14625"/>
          <cell r="E14625"/>
        </row>
        <row r="14626">
          <cell r="A14626"/>
          <cell r="B14626"/>
          <cell r="C14626"/>
          <cell r="D14626"/>
          <cell r="E14626"/>
        </row>
        <row r="14627">
          <cell r="A14627"/>
          <cell r="B14627"/>
          <cell r="C14627"/>
          <cell r="D14627"/>
          <cell r="E14627"/>
        </row>
        <row r="14628">
          <cell r="A14628"/>
          <cell r="B14628"/>
          <cell r="C14628"/>
          <cell r="D14628"/>
          <cell r="E14628"/>
        </row>
        <row r="14629">
          <cell r="A14629"/>
          <cell r="B14629"/>
          <cell r="C14629"/>
          <cell r="D14629"/>
          <cell r="E14629"/>
        </row>
        <row r="14630">
          <cell r="A14630"/>
          <cell r="B14630"/>
          <cell r="C14630"/>
          <cell r="D14630"/>
          <cell r="E14630"/>
        </row>
        <row r="14631">
          <cell r="A14631"/>
          <cell r="B14631"/>
          <cell r="C14631"/>
          <cell r="D14631"/>
          <cell r="E14631"/>
        </row>
        <row r="14632">
          <cell r="A14632"/>
          <cell r="B14632"/>
          <cell r="C14632"/>
          <cell r="D14632"/>
          <cell r="E14632"/>
        </row>
        <row r="14633">
          <cell r="A14633"/>
          <cell r="B14633"/>
          <cell r="C14633"/>
          <cell r="D14633"/>
          <cell r="E14633"/>
        </row>
        <row r="14634">
          <cell r="A14634"/>
          <cell r="B14634"/>
          <cell r="C14634"/>
          <cell r="D14634"/>
          <cell r="E14634"/>
        </row>
        <row r="14635">
          <cell r="A14635"/>
          <cell r="B14635"/>
          <cell r="C14635"/>
          <cell r="D14635"/>
          <cell r="E14635"/>
        </row>
        <row r="14636">
          <cell r="A14636"/>
          <cell r="B14636"/>
          <cell r="C14636"/>
          <cell r="D14636"/>
          <cell r="E14636"/>
        </row>
        <row r="14637">
          <cell r="A14637"/>
          <cell r="B14637"/>
          <cell r="C14637"/>
          <cell r="D14637"/>
          <cell r="E14637"/>
        </row>
        <row r="14638">
          <cell r="A14638"/>
          <cell r="B14638"/>
          <cell r="C14638"/>
          <cell r="D14638"/>
          <cell r="E14638"/>
        </row>
        <row r="14639">
          <cell r="A14639"/>
          <cell r="B14639"/>
          <cell r="C14639"/>
          <cell r="D14639"/>
          <cell r="E14639"/>
        </row>
        <row r="14640">
          <cell r="A14640"/>
          <cell r="B14640"/>
          <cell r="C14640"/>
          <cell r="D14640"/>
          <cell r="E14640"/>
        </row>
        <row r="14641">
          <cell r="A14641"/>
          <cell r="B14641"/>
          <cell r="C14641"/>
          <cell r="D14641"/>
          <cell r="E14641"/>
        </row>
        <row r="14642">
          <cell r="A14642"/>
          <cell r="B14642"/>
          <cell r="C14642"/>
          <cell r="D14642"/>
          <cell r="E14642"/>
        </row>
        <row r="14643">
          <cell r="A14643"/>
          <cell r="B14643"/>
          <cell r="C14643"/>
          <cell r="D14643"/>
          <cell r="E14643"/>
        </row>
        <row r="14644">
          <cell r="A14644"/>
          <cell r="B14644"/>
          <cell r="C14644"/>
          <cell r="D14644"/>
          <cell r="E14644"/>
        </row>
        <row r="14645">
          <cell r="A14645"/>
          <cell r="B14645"/>
          <cell r="C14645"/>
          <cell r="D14645"/>
          <cell r="E14645"/>
        </row>
        <row r="14646">
          <cell r="A14646"/>
          <cell r="B14646"/>
          <cell r="C14646"/>
          <cell r="D14646"/>
          <cell r="E14646"/>
        </row>
        <row r="14647">
          <cell r="A14647"/>
          <cell r="B14647"/>
          <cell r="C14647"/>
          <cell r="D14647"/>
          <cell r="E14647"/>
        </row>
        <row r="14648">
          <cell r="A14648"/>
          <cell r="B14648"/>
          <cell r="C14648"/>
          <cell r="D14648"/>
          <cell r="E14648"/>
        </row>
        <row r="14649">
          <cell r="A14649"/>
          <cell r="B14649"/>
          <cell r="C14649"/>
          <cell r="D14649"/>
          <cell r="E14649"/>
        </row>
        <row r="14650">
          <cell r="A14650"/>
          <cell r="B14650"/>
          <cell r="C14650"/>
          <cell r="D14650"/>
          <cell r="E14650"/>
        </row>
        <row r="14651">
          <cell r="A14651"/>
          <cell r="B14651"/>
          <cell r="C14651"/>
          <cell r="D14651"/>
          <cell r="E14651"/>
        </row>
        <row r="14652">
          <cell r="A14652"/>
          <cell r="B14652"/>
          <cell r="C14652"/>
          <cell r="D14652"/>
          <cell r="E14652"/>
        </row>
        <row r="14653">
          <cell r="A14653"/>
          <cell r="B14653"/>
          <cell r="C14653"/>
          <cell r="D14653"/>
          <cell r="E14653"/>
        </row>
        <row r="14654">
          <cell r="A14654"/>
          <cell r="B14654"/>
          <cell r="C14654"/>
          <cell r="D14654"/>
          <cell r="E14654"/>
        </row>
        <row r="14655">
          <cell r="A14655"/>
          <cell r="B14655"/>
          <cell r="C14655"/>
          <cell r="D14655"/>
          <cell r="E14655"/>
        </row>
        <row r="14656">
          <cell r="A14656"/>
          <cell r="B14656"/>
          <cell r="C14656"/>
          <cell r="D14656"/>
          <cell r="E14656"/>
        </row>
        <row r="14657">
          <cell r="A14657"/>
          <cell r="B14657"/>
          <cell r="C14657"/>
          <cell r="D14657"/>
          <cell r="E14657"/>
        </row>
        <row r="14658">
          <cell r="A14658"/>
          <cell r="B14658"/>
          <cell r="C14658"/>
          <cell r="D14658"/>
          <cell r="E14658"/>
        </row>
        <row r="14659">
          <cell r="A14659"/>
          <cell r="B14659"/>
          <cell r="C14659"/>
          <cell r="D14659"/>
          <cell r="E14659"/>
        </row>
        <row r="14660">
          <cell r="A14660"/>
          <cell r="B14660"/>
          <cell r="C14660"/>
          <cell r="D14660"/>
          <cell r="E14660"/>
        </row>
        <row r="14661">
          <cell r="A14661"/>
          <cell r="B14661"/>
          <cell r="C14661"/>
          <cell r="D14661"/>
          <cell r="E14661"/>
        </row>
        <row r="14662">
          <cell r="A14662"/>
          <cell r="B14662"/>
          <cell r="C14662"/>
          <cell r="D14662"/>
          <cell r="E14662"/>
        </row>
        <row r="14663">
          <cell r="A14663"/>
          <cell r="B14663"/>
          <cell r="C14663"/>
          <cell r="D14663"/>
          <cell r="E14663"/>
        </row>
        <row r="14664">
          <cell r="A14664"/>
          <cell r="B14664"/>
          <cell r="C14664"/>
          <cell r="D14664"/>
          <cell r="E14664"/>
        </row>
        <row r="14665">
          <cell r="A14665"/>
          <cell r="B14665"/>
          <cell r="C14665"/>
          <cell r="D14665"/>
          <cell r="E14665"/>
        </row>
        <row r="14666">
          <cell r="A14666"/>
          <cell r="B14666"/>
          <cell r="C14666"/>
          <cell r="D14666"/>
          <cell r="E14666"/>
        </row>
        <row r="14667">
          <cell r="A14667"/>
          <cell r="B14667"/>
          <cell r="C14667"/>
          <cell r="D14667"/>
          <cell r="E14667"/>
        </row>
        <row r="14668">
          <cell r="A14668"/>
          <cell r="B14668"/>
          <cell r="C14668"/>
          <cell r="D14668"/>
          <cell r="E14668"/>
        </row>
        <row r="14669">
          <cell r="A14669"/>
          <cell r="B14669"/>
          <cell r="C14669"/>
          <cell r="D14669"/>
          <cell r="E14669"/>
        </row>
        <row r="14670">
          <cell r="A14670"/>
          <cell r="B14670"/>
          <cell r="C14670"/>
          <cell r="D14670"/>
          <cell r="E14670"/>
        </row>
        <row r="14671">
          <cell r="A14671"/>
          <cell r="B14671"/>
          <cell r="C14671"/>
          <cell r="D14671"/>
          <cell r="E14671"/>
        </row>
        <row r="14672">
          <cell r="A14672"/>
          <cell r="B14672"/>
          <cell r="C14672"/>
          <cell r="D14672"/>
          <cell r="E14672"/>
        </row>
        <row r="14673">
          <cell r="A14673"/>
          <cell r="B14673"/>
          <cell r="C14673"/>
          <cell r="D14673"/>
          <cell r="E14673"/>
        </row>
        <row r="14674">
          <cell r="A14674"/>
          <cell r="B14674"/>
          <cell r="C14674"/>
          <cell r="D14674"/>
          <cell r="E14674"/>
        </row>
        <row r="14675">
          <cell r="A14675"/>
          <cell r="B14675"/>
          <cell r="C14675"/>
          <cell r="D14675"/>
          <cell r="E14675"/>
        </row>
        <row r="14676">
          <cell r="A14676"/>
          <cell r="B14676"/>
          <cell r="C14676"/>
          <cell r="D14676"/>
          <cell r="E14676"/>
        </row>
        <row r="14677">
          <cell r="A14677"/>
          <cell r="B14677"/>
          <cell r="C14677"/>
          <cell r="D14677"/>
          <cell r="E14677"/>
        </row>
        <row r="14678">
          <cell r="A14678"/>
          <cell r="B14678"/>
          <cell r="C14678"/>
          <cell r="D14678"/>
          <cell r="E14678"/>
        </row>
        <row r="14679">
          <cell r="A14679"/>
          <cell r="B14679"/>
          <cell r="C14679"/>
          <cell r="D14679"/>
          <cell r="E14679"/>
        </row>
        <row r="14680">
          <cell r="A14680"/>
          <cell r="B14680"/>
          <cell r="C14680"/>
          <cell r="D14680"/>
          <cell r="E14680"/>
        </row>
        <row r="14681">
          <cell r="A14681"/>
          <cell r="B14681"/>
          <cell r="C14681"/>
          <cell r="D14681"/>
          <cell r="E14681"/>
        </row>
        <row r="14682">
          <cell r="A14682"/>
          <cell r="B14682"/>
          <cell r="C14682"/>
          <cell r="D14682"/>
          <cell r="E14682"/>
        </row>
        <row r="14683">
          <cell r="A14683"/>
          <cell r="B14683"/>
          <cell r="C14683"/>
          <cell r="D14683"/>
          <cell r="E14683"/>
        </row>
        <row r="14684">
          <cell r="A14684"/>
          <cell r="B14684"/>
          <cell r="C14684"/>
          <cell r="D14684"/>
          <cell r="E14684"/>
        </row>
        <row r="14685">
          <cell r="A14685"/>
          <cell r="B14685"/>
          <cell r="C14685"/>
          <cell r="D14685"/>
          <cell r="E14685"/>
        </row>
        <row r="14686">
          <cell r="A14686"/>
          <cell r="B14686"/>
          <cell r="C14686"/>
          <cell r="D14686"/>
          <cell r="E14686"/>
        </row>
        <row r="14687">
          <cell r="A14687"/>
          <cell r="B14687"/>
          <cell r="C14687"/>
          <cell r="D14687"/>
          <cell r="E14687"/>
        </row>
        <row r="14688">
          <cell r="A14688"/>
          <cell r="B14688"/>
          <cell r="C14688"/>
          <cell r="D14688"/>
          <cell r="E14688"/>
        </row>
        <row r="14689">
          <cell r="A14689"/>
          <cell r="B14689"/>
          <cell r="C14689"/>
          <cell r="D14689"/>
          <cell r="E14689"/>
        </row>
        <row r="14690">
          <cell r="A14690"/>
          <cell r="B14690"/>
          <cell r="C14690"/>
          <cell r="D14690"/>
          <cell r="E14690"/>
        </row>
        <row r="14691">
          <cell r="A14691"/>
          <cell r="B14691"/>
          <cell r="C14691"/>
          <cell r="D14691"/>
          <cell r="E14691"/>
        </row>
        <row r="14692">
          <cell r="A14692"/>
          <cell r="B14692"/>
          <cell r="C14692"/>
          <cell r="D14692"/>
          <cell r="E14692"/>
        </row>
        <row r="14693">
          <cell r="A14693"/>
          <cell r="B14693"/>
          <cell r="C14693"/>
          <cell r="D14693"/>
          <cell r="E14693"/>
        </row>
        <row r="14694">
          <cell r="A14694"/>
          <cell r="B14694"/>
          <cell r="C14694"/>
          <cell r="D14694"/>
          <cell r="E14694"/>
        </row>
        <row r="14695">
          <cell r="A14695"/>
          <cell r="B14695"/>
          <cell r="C14695"/>
          <cell r="D14695"/>
          <cell r="E14695"/>
        </row>
        <row r="14696">
          <cell r="A14696"/>
          <cell r="B14696"/>
          <cell r="C14696"/>
          <cell r="D14696"/>
          <cell r="E14696"/>
        </row>
        <row r="14697">
          <cell r="A14697"/>
          <cell r="B14697"/>
          <cell r="C14697"/>
          <cell r="D14697"/>
          <cell r="E14697"/>
        </row>
        <row r="14698">
          <cell r="A14698"/>
          <cell r="B14698"/>
          <cell r="C14698"/>
          <cell r="D14698"/>
          <cell r="E14698"/>
        </row>
        <row r="14699">
          <cell r="A14699"/>
          <cell r="B14699"/>
          <cell r="C14699"/>
          <cell r="D14699"/>
          <cell r="E14699"/>
        </row>
        <row r="14700">
          <cell r="A14700"/>
          <cell r="B14700"/>
          <cell r="C14700"/>
          <cell r="D14700"/>
          <cell r="E14700"/>
        </row>
        <row r="14701">
          <cell r="A14701"/>
          <cell r="B14701"/>
          <cell r="C14701"/>
          <cell r="D14701"/>
          <cell r="E14701"/>
        </row>
        <row r="14702">
          <cell r="A14702"/>
          <cell r="B14702"/>
          <cell r="C14702"/>
          <cell r="D14702"/>
          <cell r="E14702"/>
        </row>
        <row r="14703">
          <cell r="A14703"/>
          <cell r="B14703"/>
          <cell r="C14703"/>
          <cell r="D14703"/>
          <cell r="E14703"/>
        </row>
        <row r="14704">
          <cell r="A14704"/>
          <cell r="B14704"/>
          <cell r="C14704"/>
          <cell r="D14704"/>
          <cell r="E14704"/>
        </row>
        <row r="14705">
          <cell r="A14705"/>
          <cell r="B14705"/>
          <cell r="C14705"/>
          <cell r="D14705"/>
          <cell r="E14705"/>
        </row>
        <row r="14706">
          <cell r="A14706"/>
          <cell r="B14706"/>
          <cell r="C14706"/>
          <cell r="D14706"/>
          <cell r="E14706"/>
        </row>
        <row r="14707">
          <cell r="A14707"/>
          <cell r="B14707"/>
          <cell r="C14707"/>
          <cell r="D14707"/>
          <cell r="E14707"/>
        </row>
        <row r="14708">
          <cell r="A14708"/>
          <cell r="B14708"/>
          <cell r="C14708"/>
          <cell r="D14708"/>
          <cell r="E14708"/>
        </row>
        <row r="14709">
          <cell r="A14709"/>
          <cell r="B14709"/>
          <cell r="C14709"/>
          <cell r="D14709"/>
          <cell r="E14709"/>
        </row>
        <row r="14710">
          <cell r="A14710"/>
          <cell r="B14710"/>
          <cell r="C14710"/>
          <cell r="D14710"/>
          <cell r="E14710"/>
        </row>
        <row r="14711">
          <cell r="A14711"/>
          <cell r="B14711"/>
          <cell r="C14711"/>
          <cell r="D14711"/>
          <cell r="E14711"/>
        </row>
        <row r="14712">
          <cell r="A14712"/>
          <cell r="B14712"/>
          <cell r="C14712"/>
          <cell r="D14712"/>
          <cell r="E14712"/>
        </row>
        <row r="14713">
          <cell r="A14713"/>
          <cell r="B14713"/>
          <cell r="C14713"/>
          <cell r="D14713"/>
          <cell r="E14713"/>
        </row>
        <row r="14714">
          <cell r="A14714"/>
          <cell r="B14714"/>
          <cell r="C14714"/>
          <cell r="D14714"/>
          <cell r="E14714"/>
        </row>
        <row r="14715">
          <cell r="A14715"/>
          <cell r="B14715"/>
          <cell r="C14715"/>
          <cell r="D14715"/>
          <cell r="E14715"/>
        </row>
        <row r="14716">
          <cell r="A14716"/>
          <cell r="B14716"/>
          <cell r="C14716"/>
          <cell r="D14716"/>
          <cell r="E14716"/>
        </row>
        <row r="14717">
          <cell r="A14717"/>
          <cell r="B14717"/>
          <cell r="C14717"/>
          <cell r="D14717"/>
          <cell r="E14717"/>
        </row>
        <row r="14718">
          <cell r="A14718"/>
          <cell r="B14718"/>
          <cell r="C14718"/>
          <cell r="D14718"/>
          <cell r="E14718"/>
        </row>
        <row r="14719">
          <cell r="A14719"/>
          <cell r="B14719"/>
          <cell r="C14719"/>
          <cell r="D14719"/>
          <cell r="E14719"/>
        </row>
        <row r="14720">
          <cell r="A14720"/>
          <cell r="B14720"/>
          <cell r="C14720"/>
          <cell r="D14720"/>
          <cell r="E14720"/>
        </row>
        <row r="14721">
          <cell r="A14721"/>
          <cell r="B14721"/>
          <cell r="C14721"/>
          <cell r="D14721"/>
          <cell r="E14721"/>
        </row>
        <row r="14722">
          <cell r="A14722"/>
          <cell r="B14722"/>
          <cell r="C14722"/>
          <cell r="D14722"/>
          <cell r="E14722"/>
        </row>
        <row r="14723">
          <cell r="A14723"/>
          <cell r="B14723"/>
          <cell r="C14723"/>
          <cell r="D14723"/>
          <cell r="E14723"/>
        </row>
        <row r="14724">
          <cell r="A14724"/>
          <cell r="B14724"/>
          <cell r="C14724"/>
          <cell r="D14724"/>
          <cell r="E14724"/>
        </row>
        <row r="14725">
          <cell r="A14725"/>
          <cell r="B14725"/>
          <cell r="C14725"/>
          <cell r="D14725"/>
          <cell r="E14725"/>
        </row>
        <row r="14726">
          <cell r="A14726"/>
          <cell r="B14726"/>
          <cell r="C14726"/>
          <cell r="D14726"/>
          <cell r="E14726"/>
        </row>
        <row r="14727">
          <cell r="A14727"/>
          <cell r="B14727"/>
          <cell r="C14727"/>
          <cell r="D14727"/>
          <cell r="E14727"/>
        </row>
        <row r="14728">
          <cell r="A14728"/>
          <cell r="B14728"/>
          <cell r="C14728"/>
          <cell r="D14728"/>
          <cell r="E14728"/>
        </row>
        <row r="14729">
          <cell r="A14729"/>
          <cell r="B14729"/>
          <cell r="C14729"/>
          <cell r="D14729"/>
          <cell r="E14729"/>
        </row>
        <row r="14730">
          <cell r="A14730"/>
          <cell r="B14730"/>
          <cell r="C14730"/>
          <cell r="D14730"/>
          <cell r="E14730"/>
        </row>
        <row r="14731">
          <cell r="A14731"/>
          <cell r="B14731"/>
          <cell r="C14731"/>
          <cell r="D14731"/>
          <cell r="E14731"/>
        </row>
        <row r="14732">
          <cell r="A14732"/>
          <cell r="B14732"/>
          <cell r="C14732"/>
          <cell r="D14732"/>
          <cell r="E14732"/>
        </row>
        <row r="14733">
          <cell r="A14733"/>
          <cell r="B14733"/>
          <cell r="C14733"/>
          <cell r="D14733"/>
          <cell r="E14733"/>
        </row>
        <row r="14734">
          <cell r="A14734"/>
          <cell r="B14734"/>
          <cell r="C14734"/>
          <cell r="D14734"/>
          <cell r="E14734"/>
        </row>
        <row r="14735">
          <cell r="A14735"/>
          <cell r="B14735"/>
          <cell r="C14735"/>
          <cell r="D14735"/>
          <cell r="E14735"/>
        </row>
        <row r="14736">
          <cell r="A14736"/>
          <cell r="B14736"/>
          <cell r="C14736"/>
          <cell r="D14736"/>
          <cell r="E14736"/>
        </row>
        <row r="14737">
          <cell r="A14737"/>
          <cell r="B14737"/>
          <cell r="C14737"/>
          <cell r="D14737"/>
          <cell r="E14737"/>
        </row>
        <row r="14738">
          <cell r="A14738"/>
          <cell r="B14738"/>
          <cell r="C14738"/>
          <cell r="D14738"/>
          <cell r="E14738"/>
        </row>
        <row r="14739">
          <cell r="A14739"/>
          <cell r="B14739"/>
          <cell r="C14739"/>
          <cell r="D14739"/>
          <cell r="E14739"/>
        </row>
        <row r="14740">
          <cell r="A14740"/>
          <cell r="B14740"/>
          <cell r="C14740"/>
          <cell r="D14740"/>
          <cell r="E14740"/>
        </row>
        <row r="14741">
          <cell r="A14741"/>
          <cell r="B14741"/>
          <cell r="C14741"/>
          <cell r="D14741"/>
          <cell r="E14741"/>
        </row>
        <row r="14742">
          <cell r="A14742"/>
          <cell r="B14742"/>
          <cell r="C14742"/>
          <cell r="D14742"/>
          <cell r="E14742"/>
        </row>
        <row r="14743">
          <cell r="A14743"/>
          <cell r="B14743"/>
          <cell r="C14743"/>
          <cell r="D14743"/>
          <cell r="E14743"/>
        </row>
        <row r="14744">
          <cell r="A14744"/>
          <cell r="B14744"/>
          <cell r="C14744"/>
          <cell r="D14744"/>
          <cell r="E14744"/>
        </row>
        <row r="14745">
          <cell r="A14745"/>
          <cell r="B14745"/>
          <cell r="C14745"/>
          <cell r="D14745"/>
          <cell r="E14745"/>
        </row>
        <row r="14746">
          <cell r="A14746"/>
          <cell r="B14746"/>
          <cell r="C14746"/>
          <cell r="D14746"/>
          <cell r="E14746"/>
        </row>
        <row r="14747">
          <cell r="A14747"/>
          <cell r="B14747"/>
          <cell r="C14747"/>
          <cell r="D14747"/>
          <cell r="E14747"/>
        </row>
        <row r="14748">
          <cell r="A14748"/>
          <cell r="B14748"/>
          <cell r="C14748"/>
          <cell r="D14748"/>
          <cell r="E14748"/>
        </row>
        <row r="14749">
          <cell r="A14749"/>
          <cell r="B14749"/>
          <cell r="C14749"/>
          <cell r="D14749"/>
          <cell r="E14749"/>
        </row>
        <row r="14750">
          <cell r="A14750"/>
          <cell r="B14750"/>
          <cell r="C14750"/>
          <cell r="D14750"/>
          <cell r="E14750"/>
        </row>
        <row r="14751">
          <cell r="A14751"/>
          <cell r="B14751"/>
          <cell r="C14751"/>
          <cell r="D14751"/>
          <cell r="E14751"/>
        </row>
        <row r="14752">
          <cell r="A14752"/>
          <cell r="B14752"/>
          <cell r="C14752"/>
          <cell r="D14752"/>
          <cell r="E14752"/>
        </row>
        <row r="14753">
          <cell r="A14753"/>
          <cell r="B14753"/>
          <cell r="C14753"/>
          <cell r="D14753"/>
          <cell r="E14753"/>
        </row>
        <row r="14754">
          <cell r="A14754"/>
          <cell r="B14754"/>
          <cell r="C14754"/>
          <cell r="D14754"/>
          <cell r="E14754"/>
        </row>
        <row r="14755">
          <cell r="A14755"/>
          <cell r="B14755"/>
          <cell r="C14755"/>
          <cell r="D14755"/>
          <cell r="E14755"/>
        </row>
        <row r="14756">
          <cell r="A14756"/>
          <cell r="B14756"/>
          <cell r="C14756"/>
          <cell r="D14756"/>
          <cell r="E14756"/>
        </row>
        <row r="14757">
          <cell r="A14757"/>
          <cell r="B14757"/>
          <cell r="C14757"/>
          <cell r="D14757"/>
          <cell r="E14757"/>
        </row>
        <row r="14758">
          <cell r="A14758"/>
          <cell r="B14758"/>
          <cell r="C14758"/>
          <cell r="D14758"/>
          <cell r="E14758"/>
        </row>
        <row r="14759">
          <cell r="A14759"/>
          <cell r="B14759"/>
          <cell r="C14759"/>
          <cell r="D14759"/>
          <cell r="E14759"/>
        </row>
        <row r="14760">
          <cell r="A14760"/>
          <cell r="B14760"/>
          <cell r="C14760"/>
          <cell r="D14760"/>
          <cell r="E14760"/>
        </row>
        <row r="14761">
          <cell r="A14761"/>
          <cell r="B14761"/>
          <cell r="C14761"/>
          <cell r="D14761"/>
          <cell r="E14761"/>
        </row>
        <row r="14762">
          <cell r="A14762"/>
          <cell r="B14762"/>
          <cell r="C14762"/>
          <cell r="D14762"/>
          <cell r="E14762"/>
        </row>
        <row r="14763">
          <cell r="A14763"/>
          <cell r="B14763"/>
          <cell r="C14763"/>
          <cell r="D14763"/>
          <cell r="E14763"/>
        </row>
        <row r="14764">
          <cell r="A14764"/>
          <cell r="B14764"/>
          <cell r="C14764"/>
          <cell r="D14764"/>
          <cell r="E14764"/>
        </row>
        <row r="14765">
          <cell r="A14765"/>
          <cell r="B14765"/>
          <cell r="C14765"/>
          <cell r="D14765"/>
          <cell r="E14765"/>
        </row>
        <row r="14766">
          <cell r="A14766"/>
          <cell r="B14766"/>
          <cell r="C14766"/>
          <cell r="D14766"/>
          <cell r="E14766"/>
        </row>
        <row r="14767">
          <cell r="A14767"/>
          <cell r="B14767"/>
          <cell r="C14767"/>
          <cell r="D14767"/>
          <cell r="E14767"/>
        </row>
        <row r="14768">
          <cell r="A14768"/>
          <cell r="B14768"/>
          <cell r="C14768"/>
          <cell r="D14768"/>
          <cell r="E14768"/>
        </row>
        <row r="14769">
          <cell r="A14769"/>
          <cell r="B14769"/>
          <cell r="C14769"/>
          <cell r="D14769"/>
          <cell r="E14769"/>
        </row>
        <row r="14770">
          <cell r="A14770"/>
          <cell r="B14770"/>
          <cell r="C14770"/>
          <cell r="D14770"/>
          <cell r="E14770"/>
        </row>
        <row r="14771">
          <cell r="A14771"/>
          <cell r="B14771"/>
          <cell r="C14771"/>
          <cell r="D14771"/>
          <cell r="E14771"/>
        </row>
        <row r="14772">
          <cell r="A14772"/>
          <cell r="B14772"/>
          <cell r="C14772"/>
          <cell r="D14772"/>
          <cell r="E14772"/>
        </row>
        <row r="14773">
          <cell r="A14773"/>
          <cell r="B14773"/>
          <cell r="C14773"/>
          <cell r="D14773"/>
          <cell r="E14773"/>
        </row>
        <row r="14774">
          <cell r="A14774"/>
          <cell r="B14774"/>
          <cell r="C14774"/>
          <cell r="D14774"/>
          <cell r="E14774"/>
        </row>
        <row r="14775">
          <cell r="A14775"/>
          <cell r="B14775"/>
          <cell r="C14775"/>
          <cell r="D14775"/>
          <cell r="E14775"/>
        </row>
        <row r="14776">
          <cell r="A14776"/>
          <cell r="B14776"/>
          <cell r="C14776"/>
          <cell r="D14776"/>
          <cell r="E14776"/>
        </row>
        <row r="14777">
          <cell r="A14777"/>
          <cell r="B14777"/>
          <cell r="C14777"/>
          <cell r="D14777"/>
          <cell r="E14777"/>
        </row>
        <row r="14778">
          <cell r="A14778"/>
          <cell r="B14778"/>
          <cell r="C14778"/>
          <cell r="D14778"/>
          <cell r="E14778"/>
        </row>
        <row r="14779">
          <cell r="A14779"/>
          <cell r="B14779"/>
          <cell r="C14779"/>
          <cell r="D14779"/>
          <cell r="E14779"/>
        </row>
        <row r="14780">
          <cell r="A14780"/>
          <cell r="B14780"/>
          <cell r="C14780"/>
          <cell r="D14780"/>
          <cell r="E14780"/>
        </row>
        <row r="14781">
          <cell r="A14781"/>
          <cell r="B14781"/>
          <cell r="C14781"/>
          <cell r="D14781"/>
          <cell r="E14781"/>
        </row>
        <row r="14782">
          <cell r="A14782"/>
          <cell r="B14782"/>
          <cell r="C14782"/>
          <cell r="D14782"/>
          <cell r="E14782"/>
        </row>
        <row r="14783">
          <cell r="A14783"/>
          <cell r="B14783"/>
          <cell r="C14783"/>
          <cell r="D14783"/>
          <cell r="E14783"/>
        </row>
        <row r="14784">
          <cell r="A14784"/>
          <cell r="B14784"/>
          <cell r="C14784"/>
          <cell r="D14784"/>
          <cell r="E14784"/>
        </row>
        <row r="14785">
          <cell r="A14785"/>
          <cell r="B14785"/>
          <cell r="C14785"/>
          <cell r="D14785"/>
          <cell r="E14785"/>
        </row>
        <row r="14786">
          <cell r="A14786"/>
          <cell r="B14786"/>
          <cell r="C14786"/>
          <cell r="D14786"/>
          <cell r="E14786"/>
        </row>
        <row r="14787">
          <cell r="A14787"/>
          <cell r="B14787"/>
          <cell r="C14787"/>
          <cell r="D14787"/>
          <cell r="E14787"/>
        </row>
        <row r="14788">
          <cell r="A14788"/>
          <cell r="B14788"/>
          <cell r="C14788"/>
          <cell r="D14788"/>
          <cell r="E14788"/>
        </row>
        <row r="14789">
          <cell r="A14789"/>
          <cell r="B14789"/>
          <cell r="C14789"/>
          <cell r="D14789"/>
          <cell r="E14789"/>
        </row>
        <row r="14790">
          <cell r="A14790"/>
          <cell r="B14790"/>
          <cell r="C14790"/>
          <cell r="D14790"/>
          <cell r="E14790"/>
        </row>
        <row r="14791">
          <cell r="A14791"/>
          <cell r="B14791"/>
          <cell r="C14791"/>
          <cell r="D14791"/>
          <cell r="E14791"/>
        </row>
        <row r="14792">
          <cell r="A14792"/>
          <cell r="B14792"/>
          <cell r="C14792"/>
          <cell r="D14792"/>
          <cell r="E14792"/>
        </row>
        <row r="14793">
          <cell r="A14793"/>
          <cell r="B14793"/>
          <cell r="C14793"/>
          <cell r="D14793"/>
          <cell r="E14793"/>
        </row>
        <row r="14794">
          <cell r="A14794"/>
          <cell r="B14794"/>
          <cell r="C14794"/>
          <cell r="D14794"/>
          <cell r="E14794"/>
        </row>
        <row r="14795">
          <cell r="A14795"/>
          <cell r="B14795"/>
          <cell r="C14795"/>
          <cell r="D14795"/>
          <cell r="E14795"/>
        </row>
        <row r="14796">
          <cell r="A14796"/>
          <cell r="B14796"/>
          <cell r="C14796"/>
          <cell r="D14796"/>
          <cell r="E14796"/>
        </row>
        <row r="14797">
          <cell r="A14797"/>
          <cell r="B14797"/>
          <cell r="C14797"/>
          <cell r="D14797"/>
          <cell r="E14797"/>
        </row>
        <row r="14798">
          <cell r="A14798"/>
          <cell r="B14798"/>
          <cell r="C14798"/>
          <cell r="D14798"/>
          <cell r="E14798"/>
        </row>
        <row r="14799">
          <cell r="A14799"/>
          <cell r="B14799"/>
          <cell r="C14799"/>
          <cell r="D14799"/>
          <cell r="E14799"/>
        </row>
        <row r="14800">
          <cell r="A14800"/>
          <cell r="B14800"/>
          <cell r="C14800"/>
          <cell r="D14800"/>
          <cell r="E14800"/>
        </row>
        <row r="14801">
          <cell r="A14801"/>
          <cell r="B14801"/>
          <cell r="C14801"/>
          <cell r="D14801"/>
          <cell r="E14801"/>
        </row>
        <row r="14802">
          <cell r="A14802"/>
          <cell r="B14802"/>
          <cell r="C14802"/>
          <cell r="D14802"/>
          <cell r="E14802"/>
        </row>
        <row r="14803">
          <cell r="A14803"/>
          <cell r="B14803"/>
          <cell r="C14803"/>
          <cell r="D14803"/>
          <cell r="E14803"/>
        </row>
        <row r="14804">
          <cell r="A14804"/>
          <cell r="B14804"/>
          <cell r="C14804"/>
          <cell r="D14804"/>
          <cell r="E14804"/>
        </row>
        <row r="14805">
          <cell r="A14805"/>
          <cell r="B14805"/>
          <cell r="C14805"/>
          <cell r="D14805"/>
          <cell r="E14805"/>
        </row>
        <row r="14806">
          <cell r="A14806"/>
          <cell r="B14806"/>
          <cell r="C14806"/>
          <cell r="D14806"/>
          <cell r="E14806"/>
        </row>
        <row r="14807">
          <cell r="A14807"/>
          <cell r="B14807"/>
          <cell r="C14807"/>
          <cell r="D14807"/>
          <cell r="E14807"/>
        </row>
        <row r="14808">
          <cell r="A14808"/>
          <cell r="B14808"/>
          <cell r="C14808"/>
          <cell r="D14808"/>
          <cell r="E14808"/>
        </row>
        <row r="14809">
          <cell r="A14809"/>
          <cell r="B14809"/>
          <cell r="C14809"/>
          <cell r="D14809"/>
          <cell r="E14809"/>
        </row>
        <row r="14810">
          <cell r="A14810"/>
          <cell r="B14810"/>
          <cell r="C14810"/>
          <cell r="D14810"/>
          <cell r="E14810"/>
        </row>
        <row r="14811">
          <cell r="A14811"/>
          <cell r="B14811"/>
          <cell r="C14811"/>
          <cell r="D14811"/>
          <cell r="E14811"/>
        </row>
        <row r="14812">
          <cell r="A14812"/>
          <cell r="B14812"/>
          <cell r="C14812"/>
          <cell r="D14812"/>
          <cell r="E14812"/>
        </row>
        <row r="14813">
          <cell r="A14813"/>
          <cell r="B14813"/>
          <cell r="C14813"/>
          <cell r="D14813"/>
          <cell r="E14813"/>
        </row>
        <row r="14814">
          <cell r="A14814"/>
          <cell r="B14814"/>
          <cell r="C14814"/>
          <cell r="D14814"/>
          <cell r="E14814"/>
        </row>
        <row r="14815">
          <cell r="A14815"/>
          <cell r="B14815"/>
          <cell r="C14815"/>
          <cell r="D14815"/>
          <cell r="E14815"/>
        </row>
        <row r="14816">
          <cell r="A14816"/>
          <cell r="B14816"/>
          <cell r="C14816"/>
          <cell r="D14816"/>
          <cell r="E14816"/>
        </row>
        <row r="14817">
          <cell r="A14817"/>
          <cell r="B14817"/>
          <cell r="C14817"/>
          <cell r="D14817"/>
          <cell r="E14817"/>
        </row>
        <row r="14818">
          <cell r="A14818"/>
          <cell r="B14818"/>
          <cell r="C14818"/>
          <cell r="D14818"/>
          <cell r="E14818"/>
        </row>
        <row r="14819">
          <cell r="A14819"/>
          <cell r="B14819"/>
          <cell r="C14819"/>
          <cell r="D14819"/>
          <cell r="E14819"/>
        </row>
        <row r="14820">
          <cell r="A14820"/>
          <cell r="B14820"/>
          <cell r="C14820"/>
          <cell r="D14820"/>
          <cell r="E14820"/>
        </row>
        <row r="14821">
          <cell r="A14821"/>
          <cell r="B14821"/>
          <cell r="C14821"/>
          <cell r="D14821"/>
          <cell r="E14821"/>
        </row>
        <row r="14822">
          <cell r="A14822"/>
          <cell r="B14822"/>
          <cell r="C14822"/>
          <cell r="D14822"/>
          <cell r="E14822"/>
        </row>
        <row r="14823">
          <cell r="A14823"/>
          <cell r="B14823"/>
          <cell r="C14823"/>
          <cell r="D14823"/>
          <cell r="E14823"/>
        </row>
        <row r="14824">
          <cell r="A14824"/>
          <cell r="B14824"/>
          <cell r="C14824"/>
          <cell r="D14824"/>
          <cell r="E14824"/>
        </row>
        <row r="14825">
          <cell r="A14825"/>
          <cell r="B14825"/>
          <cell r="C14825"/>
          <cell r="D14825"/>
          <cell r="E14825"/>
        </row>
        <row r="14826">
          <cell r="A14826"/>
          <cell r="B14826"/>
          <cell r="C14826"/>
          <cell r="D14826"/>
          <cell r="E14826"/>
        </row>
        <row r="14827">
          <cell r="A14827"/>
          <cell r="B14827"/>
          <cell r="C14827"/>
          <cell r="D14827"/>
          <cell r="E14827"/>
        </row>
        <row r="14828">
          <cell r="A14828"/>
          <cell r="B14828"/>
          <cell r="C14828"/>
          <cell r="D14828"/>
          <cell r="E14828"/>
        </row>
        <row r="14829">
          <cell r="A14829"/>
          <cell r="B14829"/>
          <cell r="C14829"/>
          <cell r="D14829"/>
          <cell r="E14829"/>
        </row>
        <row r="14830">
          <cell r="A14830"/>
          <cell r="B14830"/>
          <cell r="C14830"/>
          <cell r="D14830"/>
          <cell r="E14830"/>
        </row>
        <row r="14831">
          <cell r="A14831"/>
          <cell r="B14831"/>
          <cell r="C14831"/>
          <cell r="D14831"/>
          <cell r="E14831"/>
        </row>
        <row r="14832">
          <cell r="A14832"/>
          <cell r="B14832"/>
          <cell r="C14832"/>
          <cell r="D14832"/>
          <cell r="E14832"/>
        </row>
        <row r="14833">
          <cell r="A14833"/>
          <cell r="B14833"/>
          <cell r="C14833"/>
          <cell r="D14833"/>
          <cell r="E14833"/>
        </row>
        <row r="14834">
          <cell r="A14834"/>
          <cell r="B14834"/>
          <cell r="C14834"/>
          <cell r="D14834"/>
          <cell r="E14834"/>
        </row>
        <row r="14835">
          <cell r="A14835"/>
          <cell r="B14835"/>
          <cell r="C14835"/>
          <cell r="D14835"/>
          <cell r="E14835"/>
        </row>
        <row r="14836">
          <cell r="A14836"/>
          <cell r="B14836"/>
          <cell r="C14836"/>
          <cell r="D14836"/>
          <cell r="E14836"/>
        </row>
        <row r="14837">
          <cell r="A14837"/>
          <cell r="B14837"/>
          <cell r="C14837"/>
          <cell r="D14837"/>
          <cell r="E14837"/>
        </row>
        <row r="14838">
          <cell r="A14838"/>
          <cell r="B14838"/>
          <cell r="C14838"/>
          <cell r="D14838"/>
          <cell r="E14838"/>
        </row>
        <row r="14839">
          <cell r="A14839"/>
          <cell r="B14839"/>
          <cell r="C14839"/>
          <cell r="D14839"/>
          <cell r="E14839"/>
        </row>
        <row r="14840">
          <cell r="A14840"/>
          <cell r="B14840"/>
          <cell r="C14840"/>
          <cell r="D14840"/>
          <cell r="E14840"/>
        </row>
        <row r="14841">
          <cell r="A14841"/>
          <cell r="B14841"/>
          <cell r="C14841"/>
          <cell r="D14841"/>
          <cell r="E14841"/>
        </row>
        <row r="14842">
          <cell r="A14842"/>
          <cell r="B14842"/>
          <cell r="C14842"/>
          <cell r="D14842"/>
          <cell r="E14842"/>
        </row>
        <row r="14843">
          <cell r="A14843"/>
          <cell r="B14843"/>
          <cell r="C14843"/>
          <cell r="D14843"/>
          <cell r="E14843"/>
        </row>
        <row r="14844">
          <cell r="A14844"/>
          <cell r="B14844"/>
          <cell r="C14844"/>
          <cell r="D14844"/>
          <cell r="E14844"/>
        </row>
        <row r="14845">
          <cell r="A14845"/>
          <cell r="B14845"/>
          <cell r="C14845"/>
          <cell r="D14845"/>
          <cell r="E14845"/>
        </row>
        <row r="14846">
          <cell r="A14846"/>
          <cell r="B14846"/>
          <cell r="C14846"/>
          <cell r="D14846"/>
          <cell r="E14846"/>
        </row>
        <row r="14847">
          <cell r="A14847"/>
          <cell r="B14847"/>
          <cell r="C14847"/>
          <cell r="D14847"/>
          <cell r="E14847"/>
        </row>
        <row r="14848">
          <cell r="A14848"/>
          <cell r="B14848"/>
          <cell r="C14848"/>
          <cell r="D14848"/>
          <cell r="E14848"/>
        </row>
        <row r="14849">
          <cell r="A14849"/>
          <cell r="B14849"/>
          <cell r="C14849"/>
          <cell r="D14849"/>
          <cell r="E14849"/>
        </row>
        <row r="14850">
          <cell r="A14850"/>
          <cell r="B14850"/>
          <cell r="C14850"/>
          <cell r="D14850"/>
          <cell r="E14850"/>
        </row>
        <row r="14851">
          <cell r="A14851"/>
          <cell r="B14851"/>
          <cell r="C14851"/>
          <cell r="D14851"/>
          <cell r="E14851"/>
        </row>
        <row r="14852">
          <cell r="A14852"/>
          <cell r="B14852"/>
          <cell r="C14852"/>
          <cell r="D14852"/>
          <cell r="E14852"/>
        </row>
        <row r="14853">
          <cell r="A14853"/>
          <cell r="B14853"/>
          <cell r="C14853"/>
          <cell r="D14853"/>
          <cell r="E14853"/>
        </row>
        <row r="14854">
          <cell r="A14854"/>
          <cell r="B14854"/>
          <cell r="C14854"/>
          <cell r="D14854"/>
          <cell r="E14854"/>
        </row>
        <row r="14855">
          <cell r="A14855"/>
          <cell r="B14855"/>
          <cell r="C14855"/>
          <cell r="D14855"/>
          <cell r="E14855"/>
        </row>
        <row r="14856">
          <cell r="A14856"/>
          <cell r="B14856"/>
          <cell r="C14856"/>
          <cell r="D14856"/>
          <cell r="E14856"/>
        </row>
        <row r="14857">
          <cell r="A14857"/>
          <cell r="B14857"/>
          <cell r="C14857"/>
          <cell r="D14857"/>
          <cell r="E14857"/>
        </row>
        <row r="14858">
          <cell r="A14858"/>
          <cell r="B14858"/>
          <cell r="C14858"/>
          <cell r="D14858"/>
          <cell r="E14858"/>
        </row>
        <row r="14859">
          <cell r="A14859"/>
          <cell r="B14859"/>
          <cell r="C14859"/>
          <cell r="D14859"/>
          <cell r="E14859"/>
        </row>
        <row r="14860">
          <cell r="A14860"/>
          <cell r="B14860"/>
          <cell r="C14860"/>
          <cell r="D14860"/>
          <cell r="E14860"/>
        </row>
        <row r="14861">
          <cell r="A14861"/>
          <cell r="B14861"/>
          <cell r="C14861"/>
          <cell r="D14861"/>
          <cell r="E14861"/>
        </row>
        <row r="14862">
          <cell r="A14862"/>
          <cell r="B14862"/>
          <cell r="C14862"/>
          <cell r="D14862"/>
          <cell r="E14862"/>
        </row>
        <row r="14863">
          <cell r="A14863"/>
          <cell r="B14863"/>
          <cell r="C14863"/>
          <cell r="D14863"/>
          <cell r="E14863"/>
        </row>
        <row r="14864">
          <cell r="A14864"/>
          <cell r="B14864"/>
          <cell r="C14864"/>
          <cell r="D14864"/>
          <cell r="E14864"/>
        </row>
        <row r="14865">
          <cell r="A14865"/>
          <cell r="B14865"/>
          <cell r="C14865"/>
          <cell r="D14865"/>
          <cell r="E14865"/>
        </row>
        <row r="14866">
          <cell r="A14866"/>
          <cell r="B14866"/>
          <cell r="C14866"/>
          <cell r="D14866"/>
          <cell r="E14866"/>
        </row>
        <row r="14867">
          <cell r="A14867"/>
          <cell r="B14867"/>
          <cell r="C14867"/>
          <cell r="D14867"/>
          <cell r="E14867"/>
        </row>
        <row r="14868">
          <cell r="A14868"/>
          <cell r="B14868"/>
          <cell r="C14868"/>
          <cell r="D14868"/>
          <cell r="E14868"/>
        </row>
        <row r="14869">
          <cell r="A14869"/>
          <cell r="B14869"/>
          <cell r="C14869"/>
          <cell r="D14869"/>
          <cell r="E14869"/>
        </row>
        <row r="14870">
          <cell r="A14870"/>
          <cell r="B14870"/>
          <cell r="C14870"/>
          <cell r="D14870"/>
          <cell r="E14870"/>
        </row>
        <row r="14871">
          <cell r="A14871"/>
          <cell r="B14871"/>
          <cell r="C14871"/>
          <cell r="D14871"/>
          <cell r="E14871"/>
        </row>
        <row r="14872">
          <cell r="A14872"/>
          <cell r="B14872"/>
          <cell r="C14872"/>
          <cell r="D14872"/>
          <cell r="E14872"/>
        </row>
        <row r="14873">
          <cell r="A14873"/>
          <cell r="B14873"/>
          <cell r="C14873"/>
          <cell r="D14873"/>
          <cell r="E14873"/>
        </row>
        <row r="14874">
          <cell r="A14874"/>
          <cell r="B14874"/>
          <cell r="C14874"/>
          <cell r="D14874"/>
          <cell r="E14874"/>
        </row>
        <row r="14875">
          <cell r="A14875"/>
          <cell r="B14875"/>
          <cell r="C14875"/>
          <cell r="D14875"/>
          <cell r="E14875"/>
        </row>
        <row r="14876">
          <cell r="A14876"/>
          <cell r="B14876"/>
          <cell r="C14876"/>
          <cell r="D14876"/>
          <cell r="E14876"/>
        </row>
        <row r="14877">
          <cell r="A14877"/>
          <cell r="B14877"/>
          <cell r="C14877"/>
          <cell r="D14877"/>
          <cell r="E14877"/>
        </row>
        <row r="14878">
          <cell r="A14878"/>
          <cell r="B14878"/>
          <cell r="C14878"/>
          <cell r="D14878"/>
          <cell r="E14878"/>
        </row>
        <row r="14879">
          <cell r="A14879"/>
          <cell r="B14879"/>
          <cell r="C14879"/>
          <cell r="D14879"/>
          <cell r="E14879"/>
        </row>
        <row r="14880">
          <cell r="A14880"/>
          <cell r="B14880"/>
          <cell r="C14880"/>
          <cell r="D14880"/>
          <cell r="E14880"/>
        </row>
        <row r="14881">
          <cell r="A14881"/>
          <cell r="B14881"/>
          <cell r="C14881"/>
          <cell r="D14881"/>
          <cell r="E14881"/>
        </row>
        <row r="14882">
          <cell r="A14882"/>
          <cell r="B14882"/>
          <cell r="C14882"/>
          <cell r="D14882"/>
          <cell r="E14882"/>
        </row>
        <row r="14883">
          <cell r="A14883"/>
          <cell r="B14883"/>
          <cell r="C14883"/>
          <cell r="D14883"/>
          <cell r="E14883"/>
        </row>
        <row r="14884">
          <cell r="A14884"/>
          <cell r="B14884"/>
          <cell r="C14884"/>
          <cell r="D14884"/>
          <cell r="E14884"/>
        </row>
        <row r="14885">
          <cell r="A14885"/>
          <cell r="B14885"/>
          <cell r="C14885"/>
          <cell r="D14885"/>
          <cell r="E14885"/>
        </row>
        <row r="14886">
          <cell r="A14886"/>
          <cell r="B14886"/>
          <cell r="C14886"/>
          <cell r="D14886"/>
          <cell r="E14886"/>
        </row>
        <row r="14887">
          <cell r="A14887"/>
          <cell r="B14887"/>
          <cell r="C14887"/>
          <cell r="D14887"/>
          <cell r="E14887"/>
        </row>
        <row r="14888">
          <cell r="A14888"/>
          <cell r="B14888"/>
          <cell r="C14888"/>
          <cell r="D14888"/>
          <cell r="E14888"/>
        </row>
        <row r="14889">
          <cell r="A14889"/>
          <cell r="B14889"/>
          <cell r="C14889"/>
          <cell r="D14889"/>
          <cell r="E14889"/>
        </row>
        <row r="14890">
          <cell r="A14890"/>
          <cell r="B14890"/>
          <cell r="C14890"/>
          <cell r="D14890"/>
          <cell r="E14890"/>
        </row>
        <row r="14891">
          <cell r="A14891"/>
          <cell r="B14891"/>
          <cell r="C14891"/>
          <cell r="D14891"/>
          <cell r="E14891"/>
        </row>
        <row r="14892">
          <cell r="A14892"/>
          <cell r="B14892"/>
          <cell r="C14892"/>
          <cell r="D14892"/>
          <cell r="E14892"/>
        </row>
        <row r="14893">
          <cell r="A14893"/>
          <cell r="B14893"/>
          <cell r="C14893"/>
          <cell r="D14893"/>
          <cell r="E14893"/>
        </row>
        <row r="14894">
          <cell r="A14894"/>
          <cell r="B14894"/>
          <cell r="C14894"/>
          <cell r="D14894"/>
          <cell r="E14894"/>
        </row>
        <row r="14895">
          <cell r="A14895"/>
          <cell r="B14895"/>
          <cell r="C14895"/>
          <cell r="D14895"/>
          <cell r="E14895"/>
        </row>
        <row r="14896">
          <cell r="A14896"/>
          <cell r="B14896"/>
          <cell r="C14896"/>
          <cell r="D14896"/>
          <cell r="E14896"/>
        </row>
        <row r="14897">
          <cell r="A14897"/>
          <cell r="B14897"/>
          <cell r="C14897"/>
          <cell r="D14897"/>
          <cell r="E14897"/>
        </row>
        <row r="14898">
          <cell r="A14898"/>
          <cell r="B14898"/>
          <cell r="C14898"/>
          <cell r="D14898"/>
          <cell r="E14898"/>
        </row>
        <row r="14899">
          <cell r="A14899"/>
          <cell r="B14899"/>
          <cell r="C14899"/>
          <cell r="D14899"/>
          <cell r="E14899"/>
        </row>
        <row r="14900">
          <cell r="A14900"/>
          <cell r="B14900"/>
          <cell r="C14900"/>
          <cell r="D14900"/>
          <cell r="E14900"/>
        </row>
        <row r="14901">
          <cell r="A14901"/>
          <cell r="B14901"/>
          <cell r="C14901"/>
          <cell r="D14901"/>
          <cell r="E14901"/>
        </row>
        <row r="14902">
          <cell r="A14902"/>
          <cell r="B14902"/>
          <cell r="C14902"/>
          <cell r="D14902"/>
          <cell r="E14902"/>
        </row>
        <row r="14903">
          <cell r="A14903"/>
          <cell r="B14903"/>
          <cell r="C14903"/>
          <cell r="D14903"/>
          <cell r="E14903"/>
        </row>
        <row r="14904">
          <cell r="A14904"/>
          <cell r="B14904"/>
          <cell r="C14904"/>
          <cell r="D14904"/>
          <cell r="E14904"/>
        </row>
        <row r="14905">
          <cell r="A14905"/>
          <cell r="B14905"/>
          <cell r="C14905"/>
          <cell r="D14905"/>
          <cell r="E14905"/>
        </row>
        <row r="14906">
          <cell r="A14906"/>
          <cell r="B14906"/>
          <cell r="C14906"/>
          <cell r="D14906"/>
          <cell r="E14906"/>
        </row>
        <row r="14907">
          <cell r="A14907"/>
          <cell r="B14907"/>
          <cell r="C14907"/>
          <cell r="D14907"/>
          <cell r="E14907"/>
        </row>
        <row r="14908">
          <cell r="A14908"/>
          <cell r="B14908"/>
          <cell r="C14908"/>
          <cell r="D14908"/>
          <cell r="E14908"/>
        </row>
        <row r="14909">
          <cell r="A14909"/>
          <cell r="B14909"/>
          <cell r="C14909"/>
          <cell r="D14909"/>
          <cell r="E14909"/>
        </row>
        <row r="14910">
          <cell r="A14910"/>
          <cell r="B14910"/>
          <cell r="C14910"/>
          <cell r="D14910"/>
          <cell r="E14910"/>
        </row>
        <row r="14911">
          <cell r="A14911"/>
          <cell r="B14911"/>
          <cell r="C14911"/>
          <cell r="D14911"/>
          <cell r="E14911"/>
        </row>
        <row r="14912">
          <cell r="A14912"/>
          <cell r="B14912"/>
          <cell r="C14912"/>
          <cell r="D14912"/>
          <cell r="E14912"/>
        </row>
        <row r="14913">
          <cell r="A14913"/>
          <cell r="B14913"/>
          <cell r="C14913"/>
          <cell r="D14913"/>
          <cell r="E14913"/>
        </row>
        <row r="14914">
          <cell r="A14914"/>
          <cell r="B14914"/>
          <cell r="C14914"/>
          <cell r="D14914"/>
          <cell r="E14914"/>
        </row>
        <row r="14915">
          <cell r="A14915"/>
          <cell r="B14915"/>
          <cell r="C14915"/>
          <cell r="D14915"/>
          <cell r="E14915"/>
        </row>
        <row r="14916">
          <cell r="A14916"/>
          <cell r="B14916"/>
          <cell r="C14916"/>
          <cell r="D14916"/>
          <cell r="E14916"/>
        </row>
        <row r="14917">
          <cell r="A14917"/>
          <cell r="B14917"/>
          <cell r="C14917"/>
          <cell r="D14917"/>
          <cell r="E14917"/>
        </row>
        <row r="14918">
          <cell r="A14918"/>
          <cell r="B14918"/>
          <cell r="C14918"/>
          <cell r="D14918"/>
          <cell r="E14918"/>
        </row>
        <row r="14919">
          <cell r="A14919"/>
          <cell r="B14919"/>
          <cell r="C14919"/>
          <cell r="D14919"/>
          <cell r="E14919"/>
        </row>
        <row r="14920">
          <cell r="A14920"/>
          <cell r="B14920"/>
          <cell r="C14920"/>
          <cell r="D14920"/>
          <cell r="E14920"/>
        </row>
        <row r="14921">
          <cell r="A14921"/>
          <cell r="B14921"/>
          <cell r="C14921"/>
          <cell r="D14921"/>
          <cell r="E14921"/>
        </row>
        <row r="14922">
          <cell r="A14922"/>
          <cell r="B14922"/>
          <cell r="C14922"/>
          <cell r="D14922"/>
          <cell r="E14922"/>
        </row>
        <row r="14923">
          <cell r="A14923"/>
          <cell r="B14923"/>
          <cell r="C14923"/>
          <cell r="D14923"/>
          <cell r="E14923"/>
        </row>
        <row r="14924">
          <cell r="A14924"/>
          <cell r="B14924"/>
          <cell r="C14924"/>
          <cell r="D14924"/>
          <cell r="E14924"/>
        </row>
        <row r="14925">
          <cell r="A14925"/>
          <cell r="B14925"/>
          <cell r="C14925"/>
          <cell r="D14925"/>
          <cell r="E14925"/>
        </row>
        <row r="14926">
          <cell r="A14926"/>
          <cell r="B14926"/>
          <cell r="C14926"/>
          <cell r="D14926"/>
          <cell r="E14926"/>
        </row>
        <row r="14927">
          <cell r="A14927"/>
          <cell r="B14927"/>
          <cell r="C14927"/>
          <cell r="D14927"/>
          <cell r="E14927"/>
        </row>
        <row r="14928">
          <cell r="A14928"/>
          <cell r="B14928"/>
          <cell r="C14928"/>
          <cell r="D14928"/>
          <cell r="E14928"/>
        </row>
        <row r="14929">
          <cell r="A14929"/>
          <cell r="B14929"/>
          <cell r="C14929"/>
          <cell r="D14929"/>
          <cell r="E14929"/>
        </row>
        <row r="14930">
          <cell r="A14930"/>
          <cell r="B14930"/>
          <cell r="C14930"/>
          <cell r="D14930"/>
          <cell r="E14930"/>
        </row>
        <row r="14931">
          <cell r="A14931"/>
          <cell r="B14931"/>
          <cell r="C14931"/>
          <cell r="D14931"/>
          <cell r="E14931"/>
        </row>
        <row r="14932">
          <cell r="A14932"/>
          <cell r="B14932"/>
          <cell r="C14932"/>
          <cell r="D14932"/>
          <cell r="E14932"/>
        </row>
        <row r="14933">
          <cell r="A14933"/>
          <cell r="B14933"/>
          <cell r="C14933"/>
          <cell r="D14933"/>
          <cell r="E14933"/>
        </row>
        <row r="14934">
          <cell r="A14934"/>
          <cell r="B14934"/>
          <cell r="C14934"/>
          <cell r="D14934"/>
          <cell r="E14934"/>
        </row>
        <row r="14935">
          <cell r="A14935"/>
          <cell r="B14935"/>
          <cell r="C14935"/>
          <cell r="D14935"/>
          <cell r="E14935"/>
        </row>
        <row r="14936">
          <cell r="A14936"/>
          <cell r="B14936"/>
          <cell r="C14936"/>
          <cell r="D14936"/>
          <cell r="E14936"/>
        </row>
        <row r="14937">
          <cell r="A14937"/>
          <cell r="B14937"/>
          <cell r="C14937"/>
          <cell r="D14937"/>
          <cell r="E14937"/>
        </row>
        <row r="14938">
          <cell r="A14938"/>
          <cell r="B14938"/>
          <cell r="C14938"/>
          <cell r="D14938"/>
          <cell r="E14938"/>
        </row>
        <row r="14939">
          <cell r="A14939"/>
          <cell r="B14939"/>
          <cell r="C14939"/>
          <cell r="D14939"/>
          <cell r="E14939"/>
        </row>
        <row r="14940">
          <cell r="A14940"/>
          <cell r="B14940"/>
          <cell r="C14940"/>
          <cell r="D14940"/>
          <cell r="E14940"/>
        </row>
        <row r="14941">
          <cell r="A14941"/>
          <cell r="B14941"/>
          <cell r="C14941"/>
          <cell r="D14941"/>
          <cell r="E14941"/>
        </row>
        <row r="14942">
          <cell r="A14942"/>
          <cell r="B14942"/>
          <cell r="C14942"/>
          <cell r="D14942"/>
          <cell r="E14942"/>
        </row>
        <row r="14943">
          <cell r="A14943"/>
          <cell r="B14943"/>
          <cell r="C14943"/>
          <cell r="D14943"/>
          <cell r="E14943"/>
        </row>
        <row r="14944">
          <cell r="A14944"/>
          <cell r="B14944"/>
          <cell r="C14944"/>
          <cell r="D14944"/>
          <cell r="E14944"/>
        </row>
        <row r="14945">
          <cell r="A14945"/>
          <cell r="B14945"/>
          <cell r="C14945"/>
          <cell r="D14945"/>
          <cell r="E14945"/>
        </row>
        <row r="14946">
          <cell r="A14946"/>
          <cell r="B14946"/>
          <cell r="C14946"/>
          <cell r="D14946"/>
          <cell r="E14946"/>
        </row>
        <row r="14947">
          <cell r="A14947"/>
          <cell r="B14947"/>
          <cell r="C14947"/>
          <cell r="D14947"/>
          <cell r="E14947"/>
        </row>
        <row r="14948">
          <cell r="A14948"/>
          <cell r="B14948"/>
          <cell r="C14948"/>
          <cell r="D14948"/>
          <cell r="E14948"/>
        </row>
        <row r="14949">
          <cell r="A14949"/>
          <cell r="B14949"/>
          <cell r="C14949"/>
          <cell r="D14949"/>
          <cell r="E14949"/>
        </row>
        <row r="14950">
          <cell r="A14950"/>
          <cell r="B14950"/>
          <cell r="C14950"/>
          <cell r="D14950"/>
          <cell r="E14950"/>
        </row>
        <row r="14951">
          <cell r="A14951"/>
          <cell r="B14951"/>
          <cell r="C14951"/>
          <cell r="D14951"/>
          <cell r="E14951"/>
        </row>
        <row r="14952">
          <cell r="A14952"/>
          <cell r="B14952"/>
          <cell r="C14952"/>
          <cell r="D14952"/>
          <cell r="E14952"/>
        </row>
        <row r="14953">
          <cell r="A14953"/>
          <cell r="B14953"/>
          <cell r="C14953"/>
          <cell r="D14953"/>
          <cell r="E14953"/>
        </row>
        <row r="14954">
          <cell r="A14954"/>
          <cell r="B14954"/>
          <cell r="C14954"/>
          <cell r="D14954"/>
          <cell r="E14954"/>
        </row>
        <row r="14955">
          <cell r="A14955"/>
          <cell r="B14955"/>
          <cell r="C14955"/>
          <cell r="D14955"/>
          <cell r="E14955"/>
        </row>
        <row r="14956">
          <cell r="A14956"/>
          <cell r="B14956"/>
          <cell r="C14956"/>
          <cell r="D14956"/>
          <cell r="E14956"/>
        </row>
        <row r="14957">
          <cell r="A14957"/>
          <cell r="B14957"/>
          <cell r="C14957"/>
          <cell r="D14957"/>
          <cell r="E14957"/>
        </row>
        <row r="14958">
          <cell r="A14958"/>
          <cell r="B14958"/>
          <cell r="C14958"/>
          <cell r="D14958"/>
          <cell r="E14958"/>
        </row>
        <row r="14959">
          <cell r="A14959"/>
          <cell r="B14959"/>
          <cell r="C14959"/>
          <cell r="D14959"/>
          <cell r="E14959"/>
        </row>
        <row r="14960">
          <cell r="A14960"/>
          <cell r="B14960"/>
          <cell r="C14960"/>
          <cell r="D14960"/>
          <cell r="E14960"/>
        </row>
        <row r="14961">
          <cell r="A14961"/>
          <cell r="B14961"/>
          <cell r="C14961"/>
          <cell r="D14961"/>
          <cell r="E14961"/>
        </row>
        <row r="14962">
          <cell r="A14962"/>
          <cell r="B14962"/>
          <cell r="C14962"/>
          <cell r="D14962"/>
          <cell r="E14962"/>
        </row>
        <row r="14963">
          <cell r="A14963"/>
          <cell r="B14963"/>
          <cell r="C14963"/>
          <cell r="D14963"/>
          <cell r="E14963"/>
        </row>
        <row r="14964">
          <cell r="A14964"/>
          <cell r="B14964"/>
          <cell r="C14964"/>
          <cell r="D14964"/>
          <cell r="E14964"/>
        </row>
        <row r="14965">
          <cell r="A14965"/>
          <cell r="B14965"/>
          <cell r="C14965"/>
          <cell r="D14965"/>
          <cell r="E14965"/>
        </row>
        <row r="14966">
          <cell r="A14966"/>
          <cell r="B14966"/>
          <cell r="C14966"/>
          <cell r="D14966"/>
          <cell r="E14966"/>
        </row>
        <row r="14967">
          <cell r="A14967"/>
          <cell r="B14967"/>
          <cell r="C14967"/>
          <cell r="D14967"/>
          <cell r="E14967"/>
        </row>
        <row r="14968">
          <cell r="A14968"/>
          <cell r="B14968"/>
          <cell r="C14968"/>
          <cell r="D14968"/>
          <cell r="E14968"/>
        </row>
        <row r="14969">
          <cell r="A14969"/>
          <cell r="B14969"/>
          <cell r="C14969"/>
          <cell r="D14969"/>
          <cell r="E14969"/>
        </row>
        <row r="14970">
          <cell r="A14970"/>
          <cell r="B14970"/>
          <cell r="C14970"/>
          <cell r="D14970"/>
          <cell r="E14970"/>
        </row>
        <row r="14971">
          <cell r="A14971"/>
          <cell r="B14971"/>
          <cell r="C14971"/>
          <cell r="D14971"/>
          <cell r="E14971"/>
        </row>
        <row r="14972">
          <cell r="A14972"/>
          <cell r="B14972"/>
          <cell r="C14972"/>
          <cell r="D14972"/>
          <cell r="E14972"/>
        </row>
        <row r="14973">
          <cell r="A14973"/>
          <cell r="B14973"/>
          <cell r="C14973"/>
          <cell r="D14973"/>
          <cell r="E14973"/>
        </row>
        <row r="14974">
          <cell r="A14974"/>
          <cell r="B14974"/>
          <cell r="C14974"/>
          <cell r="D14974"/>
          <cell r="E14974"/>
        </row>
        <row r="14975">
          <cell r="A14975"/>
          <cell r="B14975"/>
          <cell r="C14975"/>
          <cell r="D14975"/>
          <cell r="E14975"/>
        </row>
        <row r="14976">
          <cell r="A14976"/>
          <cell r="B14976"/>
          <cell r="C14976"/>
          <cell r="D14976"/>
          <cell r="E14976"/>
        </row>
        <row r="14977">
          <cell r="A14977"/>
          <cell r="B14977"/>
          <cell r="C14977"/>
          <cell r="D14977"/>
          <cell r="E14977"/>
        </row>
        <row r="14978">
          <cell r="A14978"/>
          <cell r="B14978"/>
          <cell r="C14978"/>
          <cell r="D14978"/>
          <cell r="E14978"/>
        </row>
        <row r="14979">
          <cell r="A14979"/>
          <cell r="B14979"/>
          <cell r="C14979"/>
          <cell r="D14979"/>
          <cell r="E14979"/>
        </row>
        <row r="14980">
          <cell r="A14980"/>
          <cell r="B14980"/>
          <cell r="C14980"/>
          <cell r="D14980"/>
          <cell r="E14980"/>
        </row>
        <row r="14981">
          <cell r="A14981"/>
          <cell r="B14981"/>
          <cell r="C14981"/>
          <cell r="D14981"/>
          <cell r="E14981"/>
        </row>
        <row r="14982">
          <cell r="A14982"/>
          <cell r="B14982"/>
          <cell r="C14982"/>
          <cell r="D14982"/>
          <cell r="E14982"/>
        </row>
        <row r="14983">
          <cell r="A14983"/>
          <cell r="B14983"/>
          <cell r="C14983"/>
          <cell r="D14983"/>
          <cell r="E14983"/>
        </row>
        <row r="14984">
          <cell r="A14984"/>
          <cell r="B14984"/>
          <cell r="C14984"/>
          <cell r="D14984"/>
          <cell r="E14984"/>
        </row>
        <row r="14985">
          <cell r="A14985"/>
          <cell r="B14985"/>
          <cell r="C14985"/>
          <cell r="D14985"/>
          <cell r="E14985"/>
        </row>
        <row r="14986">
          <cell r="A14986"/>
          <cell r="B14986"/>
          <cell r="C14986"/>
          <cell r="D14986"/>
          <cell r="E14986"/>
        </row>
        <row r="14987">
          <cell r="A14987"/>
          <cell r="B14987"/>
          <cell r="C14987"/>
          <cell r="D14987"/>
          <cell r="E14987"/>
        </row>
        <row r="14988">
          <cell r="A14988"/>
          <cell r="B14988"/>
          <cell r="C14988"/>
          <cell r="D14988"/>
          <cell r="E14988"/>
        </row>
        <row r="14989">
          <cell r="A14989"/>
          <cell r="B14989"/>
          <cell r="C14989"/>
          <cell r="D14989"/>
          <cell r="E14989"/>
        </row>
        <row r="14990">
          <cell r="A14990"/>
          <cell r="B14990"/>
          <cell r="C14990"/>
          <cell r="D14990"/>
          <cell r="E14990"/>
        </row>
        <row r="14991">
          <cell r="A14991"/>
          <cell r="B14991"/>
          <cell r="C14991"/>
          <cell r="D14991"/>
          <cell r="E14991"/>
        </row>
        <row r="14992">
          <cell r="A14992"/>
          <cell r="B14992"/>
          <cell r="C14992"/>
          <cell r="D14992"/>
          <cell r="E14992"/>
        </row>
        <row r="14993">
          <cell r="A14993"/>
          <cell r="B14993"/>
          <cell r="C14993"/>
          <cell r="D14993"/>
          <cell r="E14993"/>
        </row>
        <row r="14994">
          <cell r="A14994"/>
          <cell r="B14994"/>
          <cell r="C14994"/>
          <cell r="D14994"/>
          <cell r="E14994"/>
        </row>
        <row r="14995">
          <cell r="A14995"/>
          <cell r="B14995"/>
          <cell r="C14995"/>
          <cell r="D14995"/>
          <cell r="E14995"/>
        </row>
        <row r="14996">
          <cell r="A14996"/>
          <cell r="B14996"/>
          <cell r="C14996"/>
          <cell r="D14996"/>
          <cell r="E14996"/>
        </row>
        <row r="14997">
          <cell r="A14997"/>
          <cell r="B14997"/>
          <cell r="C14997"/>
          <cell r="D14997"/>
          <cell r="E14997"/>
        </row>
        <row r="14998">
          <cell r="A14998"/>
          <cell r="B14998"/>
          <cell r="C14998"/>
          <cell r="D14998"/>
          <cell r="E14998"/>
        </row>
        <row r="14999">
          <cell r="A14999"/>
          <cell r="B14999"/>
          <cell r="C14999"/>
          <cell r="D14999"/>
          <cell r="E14999"/>
        </row>
        <row r="15000">
          <cell r="A15000"/>
          <cell r="B15000"/>
          <cell r="C15000"/>
          <cell r="D15000"/>
          <cell r="E15000"/>
        </row>
        <row r="15001">
          <cell r="A15001"/>
          <cell r="B15001"/>
          <cell r="C15001"/>
          <cell r="D15001"/>
          <cell r="E15001"/>
        </row>
        <row r="15002">
          <cell r="A15002"/>
          <cell r="B15002"/>
          <cell r="C15002"/>
          <cell r="D15002"/>
          <cell r="E15002"/>
        </row>
        <row r="15003">
          <cell r="A15003"/>
          <cell r="B15003"/>
          <cell r="C15003"/>
          <cell r="D15003"/>
          <cell r="E15003"/>
        </row>
        <row r="15004">
          <cell r="A15004"/>
          <cell r="B15004"/>
          <cell r="C15004"/>
          <cell r="D15004"/>
          <cell r="E15004"/>
        </row>
        <row r="15005">
          <cell r="A15005"/>
          <cell r="B15005"/>
          <cell r="C15005"/>
          <cell r="D15005"/>
          <cell r="E15005"/>
        </row>
        <row r="15006">
          <cell r="A15006"/>
          <cell r="B15006"/>
          <cell r="C15006"/>
          <cell r="D15006"/>
          <cell r="E15006"/>
        </row>
        <row r="15007">
          <cell r="A15007"/>
          <cell r="B15007"/>
          <cell r="C15007"/>
          <cell r="D15007"/>
          <cell r="E15007"/>
        </row>
        <row r="15008">
          <cell r="A15008"/>
          <cell r="B15008"/>
          <cell r="C15008"/>
          <cell r="D15008"/>
          <cell r="E15008"/>
        </row>
        <row r="15009">
          <cell r="A15009"/>
          <cell r="B15009"/>
          <cell r="C15009"/>
          <cell r="D15009"/>
          <cell r="E15009"/>
        </row>
        <row r="15010">
          <cell r="A15010"/>
          <cell r="B15010"/>
          <cell r="C15010"/>
          <cell r="D15010"/>
          <cell r="E15010"/>
        </row>
        <row r="15011">
          <cell r="A15011"/>
          <cell r="B15011"/>
          <cell r="C15011"/>
          <cell r="D15011"/>
          <cell r="E15011"/>
        </row>
        <row r="15012">
          <cell r="A15012"/>
          <cell r="B15012"/>
          <cell r="C15012"/>
          <cell r="D15012"/>
          <cell r="E15012"/>
        </row>
        <row r="15013">
          <cell r="A15013"/>
          <cell r="B15013"/>
          <cell r="C15013"/>
          <cell r="D15013"/>
          <cell r="E15013"/>
        </row>
        <row r="15014">
          <cell r="A15014"/>
          <cell r="B15014"/>
          <cell r="C15014"/>
          <cell r="D15014"/>
          <cell r="E15014"/>
        </row>
        <row r="15015">
          <cell r="A15015"/>
          <cell r="B15015"/>
          <cell r="C15015"/>
          <cell r="D15015"/>
          <cell r="E15015"/>
        </row>
        <row r="15016">
          <cell r="A15016"/>
          <cell r="B15016"/>
          <cell r="C15016"/>
          <cell r="D15016"/>
          <cell r="E15016"/>
        </row>
        <row r="15017">
          <cell r="A15017"/>
          <cell r="B15017"/>
          <cell r="C15017"/>
          <cell r="D15017"/>
          <cell r="E15017"/>
        </row>
        <row r="15018">
          <cell r="A15018"/>
          <cell r="B15018"/>
          <cell r="C15018"/>
          <cell r="D15018"/>
          <cell r="E15018"/>
        </row>
        <row r="15019">
          <cell r="A15019"/>
          <cell r="B15019"/>
          <cell r="C15019"/>
          <cell r="D15019"/>
          <cell r="E15019"/>
        </row>
        <row r="15020">
          <cell r="A15020"/>
          <cell r="B15020"/>
          <cell r="C15020"/>
          <cell r="D15020"/>
          <cell r="E15020"/>
        </row>
        <row r="15021">
          <cell r="A15021"/>
          <cell r="B15021"/>
          <cell r="C15021"/>
          <cell r="D15021"/>
          <cell r="E15021"/>
        </row>
        <row r="15022">
          <cell r="A15022"/>
          <cell r="B15022"/>
          <cell r="C15022"/>
          <cell r="D15022"/>
          <cell r="E15022"/>
        </row>
        <row r="15023">
          <cell r="A15023"/>
          <cell r="B15023"/>
          <cell r="C15023"/>
          <cell r="D15023"/>
          <cell r="E15023"/>
        </row>
        <row r="15024">
          <cell r="A15024"/>
          <cell r="B15024"/>
          <cell r="C15024"/>
          <cell r="D15024"/>
          <cell r="E15024"/>
        </row>
        <row r="15025">
          <cell r="A15025"/>
          <cell r="B15025"/>
          <cell r="C15025"/>
          <cell r="D15025"/>
          <cell r="E15025"/>
        </row>
        <row r="15026">
          <cell r="A15026"/>
          <cell r="B15026"/>
          <cell r="C15026"/>
          <cell r="D15026"/>
          <cell r="E15026"/>
        </row>
        <row r="15027">
          <cell r="A15027"/>
          <cell r="B15027"/>
          <cell r="C15027"/>
          <cell r="D15027"/>
          <cell r="E15027"/>
        </row>
        <row r="15028">
          <cell r="A15028"/>
          <cell r="B15028"/>
          <cell r="C15028"/>
          <cell r="D15028"/>
          <cell r="E15028"/>
        </row>
        <row r="15029">
          <cell r="A15029"/>
          <cell r="B15029"/>
          <cell r="C15029"/>
          <cell r="D15029"/>
          <cell r="E15029"/>
        </row>
        <row r="15030">
          <cell r="A15030"/>
          <cell r="B15030"/>
          <cell r="C15030"/>
          <cell r="D15030"/>
          <cell r="E15030"/>
        </row>
        <row r="15031">
          <cell r="A15031"/>
          <cell r="B15031"/>
          <cell r="C15031"/>
          <cell r="D15031"/>
          <cell r="E15031"/>
        </row>
        <row r="15032">
          <cell r="A15032"/>
          <cell r="B15032"/>
          <cell r="C15032"/>
          <cell r="D15032"/>
          <cell r="E15032"/>
        </row>
        <row r="15033">
          <cell r="A15033"/>
          <cell r="B15033"/>
          <cell r="C15033"/>
          <cell r="D15033"/>
          <cell r="E15033"/>
        </row>
        <row r="15034">
          <cell r="A15034"/>
          <cell r="B15034"/>
          <cell r="C15034"/>
          <cell r="D15034"/>
          <cell r="E15034"/>
        </row>
        <row r="15035">
          <cell r="A15035"/>
          <cell r="B15035"/>
          <cell r="C15035"/>
          <cell r="D15035"/>
          <cell r="E15035"/>
        </row>
        <row r="15036">
          <cell r="A15036"/>
          <cell r="B15036"/>
          <cell r="C15036"/>
          <cell r="D15036"/>
          <cell r="E15036"/>
        </row>
        <row r="15037">
          <cell r="A15037"/>
          <cell r="B15037"/>
          <cell r="C15037"/>
          <cell r="D15037"/>
          <cell r="E15037"/>
        </row>
        <row r="15038">
          <cell r="A15038"/>
          <cell r="B15038"/>
          <cell r="C15038"/>
          <cell r="D15038"/>
          <cell r="E15038"/>
        </row>
        <row r="15039">
          <cell r="A15039"/>
          <cell r="B15039"/>
          <cell r="C15039"/>
          <cell r="D15039"/>
          <cell r="E15039"/>
        </row>
        <row r="15040">
          <cell r="A15040"/>
          <cell r="B15040"/>
          <cell r="C15040"/>
          <cell r="D15040"/>
          <cell r="E15040"/>
        </row>
        <row r="15041">
          <cell r="A15041"/>
          <cell r="B15041"/>
          <cell r="C15041"/>
          <cell r="D15041"/>
          <cell r="E15041"/>
        </row>
        <row r="15042">
          <cell r="A15042"/>
          <cell r="B15042"/>
          <cell r="C15042"/>
          <cell r="D15042"/>
          <cell r="E15042"/>
        </row>
        <row r="15043">
          <cell r="A15043"/>
          <cell r="B15043"/>
          <cell r="C15043"/>
          <cell r="D15043"/>
          <cell r="E15043"/>
        </row>
        <row r="15044">
          <cell r="A15044"/>
          <cell r="B15044"/>
          <cell r="C15044"/>
          <cell r="D15044"/>
          <cell r="E15044"/>
        </row>
        <row r="15045">
          <cell r="A15045"/>
          <cell r="B15045"/>
          <cell r="C15045"/>
          <cell r="D15045"/>
          <cell r="E15045"/>
        </row>
        <row r="15046">
          <cell r="A15046"/>
          <cell r="B15046"/>
          <cell r="C15046"/>
          <cell r="D15046"/>
          <cell r="E15046"/>
        </row>
        <row r="15047">
          <cell r="A15047"/>
          <cell r="B15047"/>
          <cell r="C15047"/>
          <cell r="D15047"/>
          <cell r="E15047"/>
        </row>
        <row r="15048">
          <cell r="A15048"/>
          <cell r="B15048"/>
          <cell r="C15048"/>
          <cell r="D15048"/>
          <cell r="E15048"/>
        </row>
        <row r="15049">
          <cell r="A15049"/>
          <cell r="B15049"/>
          <cell r="C15049"/>
          <cell r="D15049"/>
          <cell r="E15049"/>
        </row>
        <row r="15050">
          <cell r="A15050"/>
          <cell r="B15050"/>
          <cell r="C15050"/>
          <cell r="D15050"/>
          <cell r="E15050"/>
        </row>
        <row r="15051">
          <cell r="A15051"/>
          <cell r="B15051"/>
          <cell r="C15051"/>
          <cell r="D15051"/>
          <cell r="E15051"/>
        </row>
        <row r="15052">
          <cell r="A15052"/>
          <cell r="B15052"/>
          <cell r="C15052"/>
          <cell r="D15052"/>
          <cell r="E15052"/>
        </row>
        <row r="15053">
          <cell r="A15053"/>
          <cell r="B15053"/>
          <cell r="C15053"/>
          <cell r="D15053"/>
          <cell r="E15053"/>
        </row>
        <row r="15054">
          <cell r="A15054"/>
          <cell r="B15054"/>
          <cell r="C15054"/>
          <cell r="D15054"/>
          <cell r="E15054"/>
        </row>
        <row r="15055">
          <cell r="A15055"/>
          <cell r="B15055"/>
          <cell r="C15055"/>
          <cell r="D15055"/>
          <cell r="E15055"/>
        </row>
        <row r="15056">
          <cell r="A15056"/>
          <cell r="B15056"/>
          <cell r="C15056"/>
          <cell r="D15056"/>
          <cell r="E15056"/>
        </row>
        <row r="15057">
          <cell r="A15057"/>
          <cell r="B15057"/>
          <cell r="C15057"/>
          <cell r="D15057"/>
          <cell r="E15057"/>
        </row>
        <row r="15058">
          <cell r="A15058"/>
          <cell r="B15058"/>
          <cell r="C15058"/>
          <cell r="D15058"/>
          <cell r="E15058"/>
        </row>
        <row r="15059">
          <cell r="A15059"/>
          <cell r="B15059"/>
          <cell r="C15059"/>
          <cell r="D15059"/>
          <cell r="E15059"/>
        </row>
        <row r="15060">
          <cell r="A15060"/>
          <cell r="B15060"/>
          <cell r="C15060"/>
          <cell r="D15060"/>
          <cell r="E15060"/>
        </row>
        <row r="15061">
          <cell r="A15061"/>
          <cell r="B15061"/>
          <cell r="C15061"/>
          <cell r="D15061"/>
          <cell r="E15061"/>
        </row>
        <row r="15062">
          <cell r="A15062"/>
          <cell r="B15062"/>
          <cell r="C15062"/>
          <cell r="D15062"/>
          <cell r="E15062"/>
        </row>
        <row r="15063">
          <cell r="A15063"/>
          <cell r="B15063"/>
          <cell r="C15063"/>
          <cell r="D15063"/>
          <cell r="E15063"/>
        </row>
        <row r="15064">
          <cell r="A15064"/>
          <cell r="B15064"/>
          <cell r="C15064"/>
          <cell r="D15064"/>
          <cell r="E15064"/>
        </row>
        <row r="15065">
          <cell r="A15065"/>
          <cell r="B15065"/>
          <cell r="C15065"/>
          <cell r="D15065"/>
          <cell r="E15065"/>
        </row>
        <row r="15066">
          <cell r="A15066"/>
          <cell r="B15066"/>
          <cell r="C15066"/>
          <cell r="D15066"/>
          <cell r="E15066"/>
        </row>
        <row r="15067">
          <cell r="A15067"/>
          <cell r="B15067"/>
          <cell r="C15067"/>
          <cell r="D15067"/>
          <cell r="E15067"/>
        </row>
        <row r="15068">
          <cell r="A15068"/>
          <cell r="B15068"/>
          <cell r="C15068"/>
          <cell r="D15068"/>
          <cell r="E15068"/>
        </row>
        <row r="15069">
          <cell r="A15069"/>
          <cell r="B15069"/>
          <cell r="C15069"/>
          <cell r="D15069"/>
          <cell r="E15069"/>
        </row>
        <row r="15070">
          <cell r="A15070"/>
          <cell r="B15070"/>
          <cell r="C15070"/>
          <cell r="D15070"/>
          <cell r="E15070"/>
        </row>
        <row r="15071">
          <cell r="A15071"/>
          <cell r="B15071"/>
          <cell r="C15071"/>
          <cell r="D15071"/>
          <cell r="E15071"/>
        </row>
        <row r="15072">
          <cell r="A15072"/>
          <cell r="B15072"/>
          <cell r="C15072"/>
          <cell r="D15072"/>
          <cell r="E15072"/>
        </row>
        <row r="15073">
          <cell r="A15073"/>
          <cell r="B15073"/>
          <cell r="C15073"/>
          <cell r="D15073"/>
          <cell r="E15073"/>
        </row>
        <row r="15074">
          <cell r="A15074"/>
          <cell r="B15074"/>
          <cell r="C15074"/>
          <cell r="D15074"/>
          <cell r="E15074"/>
        </row>
        <row r="15075">
          <cell r="A15075"/>
          <cell r="B15075"/>
          <cell r="C15075"/>
          <cell r="D15075"/>
          <cell r="E15075"/>
        </row>
        <row r="15076">
          <cell r="A15076"/>
          <cell r="B15076"/>
          <cell r="C15076"/>
          <cell r="D15076"/>
          <cell r="E15076"/>
        </row>
        <row r="15077">
          <cell r="A15077"/>
          <cell r="B15077"/>
          <cell r="C15077"/>
          <cell r="D15077"/>
          <cell r="E15077"/>
        </row>
        <row r="15078">
          <cell r="A15078"/>
          <cell r="B15078"/>
          <cell r="C15078"/>
          <cell r="D15078"/>
          <cell r="E15078"/>
        </row>
        <row r="15079">
          <cell r="A15079"/>
          <cell r="B15079"/>
          <cell r="C15079"/>
          <cell r="D15079"/>
          <cell r="E15079"/>
        </row>
        <row r="15080">
          <cell r="A15080"/>
          <cell r="B15080"/>
          <cell r="C15080"/>
          <cell r="D15080"/>
          <cell r="E15080"/>
        </row>
        <row r="15081">
          <cell r="A15081"/>
          <cell r="B15081"/>
          <cell r="C15081"/>
          <cell r="D15081"/>
          <cell r="E15081"/>
        </row>
        <row r="15082">
          <cell r="A15082"/>
          <cell r="B15082"/>
          <cell r="C15082"/>
          <cell r="D15082"/>
          <cell r="E15082"/>
        </row>
        <row r="15083">
          <cell r="A15083"/>
          <cell r="B15083"/>
          <cell r="C15083"/>
          <cell r="D15083"/>
          <cell r="E15083"/>
        </row>
        <row r="15084">
          <cell r="A15084"/>
          <cell r="B15084"/>
          <cell r="C15084"/>
          <cell r="D15084"/>
          <cell r="E15084"/>
        </row>
        <row r="15085">
          <cell r="A15085"/>
          <cell r="B15085"/>
          <cell r="C15085"/>
          <cell r="D15085"/>
          <cell r="E15085"/>
        </row>
        <row r="15086">
          <cell r="A15086"/>
          <cell r="B15086"/>
          <cell r="C15086"/>
          <cell r="D15086"/>
          <cell r="E15086"/>
        </row>
        <row r="15087">
          <cell r="A15087"/>
          <cell r="B15087"/>
          <cell r="C15087"/>
          <cell r="D15087"/>
          <cell r="E15087"/>
        </row>
        <row r="15088">
          <cell r="A15088"/>
          <cell r="B15088"/>
          <cell r="C15088"/>
          <cell r="D15088"/>
          <cell r="E15088"/>
        </row>
        <row r="15089">
          <cell r="A15089"/>
          <cell r="B15089"/>
          <cell r="C15089"/>
          <cell r="D15089"/>
          <cell r="E15089"/>
        </row>
        <row r="15090">
          <cell r="A15090"/>
          <cell r="B15090"/>
          <cell r="C15090"/>
          <cell r="D15090"/>
          <cell r="E15090"/>
        </row>
        <row r="15091">
          <cell r="A15091"/>
          <cell r="B15091"/>
          <cell r="C15091"/>
          <cell r="D15091"/>
          <cell r="E15091"/>
        </row>
        <row r="15092">
          <cell r="A15092"/>
          <cell r="B15092"/>
          <cell r="C15092"/>
          <cell r="D15092"/>
          <cell r="E15092"/>
        </row>
        <row r="15093">
          <cell r="A15093"/>
          <cell r="B15093"/>
          <cell r="C15093"/>
          <cell r="D15093"/>
          <cell r="E15093"/>
        </row>
        <row r="15094">
          <cell r="A15094"/>
          <cell r="B15094"/>
          <cell r="C15094"/>
          <cell r="D15094"/>
          <cell r="E15094"/>
        </row>
        <row r="15095">
          <cell r="A15095"/>
          <cell r="B15095"/>
          <cell r="C15095"/>
          <cell r="D15095"/>
          <cell r="E15095"/>
        </row>
        <row r="15096">
          <cell r="A15096"/>
          <cell r="B15096"/>
          <cell r="C15096"/>
          <cell r="D15096"/>
          <cell r="E15096"/>
        </row>
        <row r="15097">
          <cell r="A15097"/>
          <cell r="B15097"/>
          <cell r="C15097"/>
          <cell r="D15097"/>
          <cell r="E15097"/>
        </row>
        <row r="15098">
          <cell r="A15098"/>
          <cell r="B15098"/>
          <cell r="C15098"/>
          <cell r="D15098"/>
          <cell r="E15098"/>
        </row>
        <row r="15099">
          <cell r="A15099"/>
          <cell r="B15099"/>
          <cell r="C15099"/>
          <cell r="D15099"/>
          <cell r="E15099"/>
        </row>
        <row r="15100">
          <cell r="A15100"/>
          <cell r="B15100"/>
          <cell r="C15100"/>
          <cell r="D15100"/>
          <cell r="E15100"/>
        </row>
        <row r="15101">
          <cell r="A15101"/>
          <cell r="B15101"/>
          <cell r="C15101"/>
          <cell r="D15101"/>
          <cell r="E15101"/>
        </row>
        <row r="15102">
          <cell r="A15102"/>
          <cell r="B15102"/>
          <cell r="C15102"/>
          <cell r="D15102"/>
          <cell r="E15102"/>
        </row>
        <row r="15103">
          <cell r="A15103"/>
          <cell r="B15103"/>
          <cell r="C15103"/>
          <cell r="D15103"/>
          <cell r="E15103"/>
        </row>
        <row r="15104">
          <cell r="A15104"/>
          <cell r="B15104"/>
          <cell r="C15104"/>
          <cell r="D15104"/>
          <cell r="E15104"/>
        </row>
        <row r="15105">
          <cell r="A15105"/>
          <cell r="B15105"/>
          <cell r="C15105"/>
          <cell r="D15105"/>
          <cell r="E15105"/>
        </row>
        <row r="15106">
          <cell r="A15106"/>
          <cell r="B15106"/>
          <cell r="C15106"/>
          <cell r="D15106"/>
          <cell r="E15106"/>
        </row>
        <row r="15107">
          <cell r="A15107"/>
          <cell r="B15107"/>
          <cell r="C15107"/>
          <cell r="D15107"/>
          <cell r="E15107"/>
        </row>
        <row r="15108">
          <cell r="A15108"/>
          <cell r="B15108"/>
          <cell r="C15108"/>
          <cell r="D15108"/>
          <cell r="E15108"/>
        </row>
        <row r="15109">
          <cell r="A15109"/>
          <cell r="B15109"/>
          <cell r="C15109"/>
          <cell r="D15109"/>
          <cell r="E15109"/>
        </row>
        <row r="15110">
          <cell r="A15110"/>
          <cell r="B15110"/>
          <cell r="C15110"/>
          <cell r="D15110"/>
          <cell r="E15110"/>
        </row>
        <row r="15111">
          <cell r="A15111"/>
          <cell r="B15111"/>
          <cell r="C15111"/>
          <cell r="D15111"/>
          <cell r="E15111"/>
        </row>
        <row r="15112">
          <cell r="A15112"/>
          <cell r="B15112"/>
          <cell r="C15112"/>
          <cell r="D15112"/>
          <cell r="E15112"/>
        </row>
        <row r="15113">
          <cell r="A15113"/>
          <cell r="B15113"/>
          <cell r="C15113"/>
          <cell r="D15113"/>
          <cell r="E15113"/>
        </row>
        <row r="15114">
          <cell r="A15114"/>
          <cell r="B15114"/>
          <cell r="C15114"/>
          <cell r="D15114"/>
          <cell r="E15114"/>
        </row>
        <row r="15115">
          <cell r="A15115"/>
          <cell r="B15115"/>
          <cell r="C15115"/>
          <cell r="D15115"/>
          <cell r="E15115"/>
        </row>
        <row r="15116">
          <cell r="A15116"/>
          <cell r="B15116"/>
          <cell r="C15116"/>
          <cell r="D15116"/>
          <cell r="E15116"/>
        </row>
        <row r="15117">
          <cell r="A15117"/>
          <cell r="B15117"/>
          <cell r="C15117"/>
          <cell r="D15117"/>
          <cell r="E15117"/>
        </row>
        <row r="15118">
          <cell r="A15118"/>
          <cell r="B15118"/>
          <cell r="C15118"/>
          <cell r="D15118"/>
          <cell r="E15118"/>
        </row>
        <row r="15119">
          <cell r="A15119"/>
          <cell r="B15119"/>
          <cell r="C15119"/>
          <cell r="D15119"/>
          <cell r="E15119"/>
        </row>
        <row r="15120">
          <cell r="A15120"/>
          <cell r="B15120"/>
          <cell r="C15120"/>
          <cell r="D15120"/>
          <cell r="E15120"/>
        </row>
        <row r="15121">
          <cell r="A15121"/>
          <cell r="B15121"/>
          <cell r="C15121"/>
          <cell r="D15121"/>
          <cell r="E15121"/>
        </row>
        <row r="15122">
          <cell r="A15122"/>
          <cell r="B15122"/>
          <cell r="C15122"/>
          <cell r="D15122"/>
          <cell r="E15122"/>
        </row>
        <row r="15123">
          <cell r="A15123"/>
          <cell r="B15123"/>
          <cell r="C15123"/>
          <cell r="D15123"/>
          <cell r="E15123"/>
        </row>
        <row r="15124">
          <cell r="A15124"/>
          <cell r="B15124"/>
          <cell r="C15124"/>
          <cell r="D15124"/>
          <cell r="E15124"/>
        </row>
        <row r="15125">
          <cell r="A15125"/>
          <cell r="B15125"/>
          <cell r="C15125"/>
          <cell r="D15125"/>
          <cell r="E15125"/>
        </row>
        <row r="15126">
          <cell r="A15126"/>
          <cell r="B15126"/>
          <cell r="C15126"/>
          <cell r="D15126"/>
          <cell r="E15126"/>
        </row>
        <row r="15127">
          <cell r="A15127"/>
          <cell r="B15127"/>
          <cell r="C15127"/>
          <cell r="D15127"/>
          <cell r="E15127"/>
        </row>
        <row r="15128">
          <cell r="A15128"/>
          <cell r="B15128"/>
          <cell r="C15128"/>
          <cell r="D15128"/>
          <cell r="E15128"/>
        </row>
        <row r="15129">
          <cell r="A15129"/>
          <cell r="B15129"/>
          <cell r="C15129"/>
          <cell r="D15129"/>
          <cell r="E15129"/>
        </row>
        <row r="15130">
          <cell r="A15130"/>
          <cell r="B15130"/>
          <cell r="C15130"/>
          <cell r="D15130"/>
          <cell r="E15130"/>
        </row>
        <row r="15131">
          <cell r="A15131"/>
          <cell r="B15131"/>
          <cell r="C15131"/>
          <cell r="D15131"/>
          <cell r="E15131"/>
        </row>
        <row r="15132">
          <cell r="A15132"/>
          <cell r="B15132"/>
          <cell r="C15132"/>
          <cell r="D15132"/>
          <cell r="E15132"/>
        </row>
        <row r="15133">
          <cell r="A15133"/>
          <cell r="B15133"/>
          <cell r="C15133"/>
          <cell r="D15133"/>
          <cell r="E15133"/>
        </row>
        <row r="15134">
          <cell r="A15134"/>
          <cell r="B15134"/>
          <cell r="C15134"/>
          <cell r="D15134"/>
          <cell r="E15134"/>
        </row>
        <row r="15135">
          <cell r="A15135"/>
          <cell r="B15135"/>
          <cell r="C15135"/>
          <cell r="D15135"/>
          <cell r="E15135"/>
        </row>
        <row r="15136">
          <cell r="A15136"/>
          <cell r="B15136"/>
          <cell r="C15136"/>
          <cell r="D15136"/>
          <cell r="E15136"/>
        </row>
        <row r="15137">
          <cell r="A15137"/>
          <cell r="B15137"/>
          <cell r="C15137"/>
          <cell r="D15137"/>
          <cell r="E15137"/>
        </row>
        <row r="15138">
          <cell r="A15138"/>
          <cell r="B15138"/>
          <cell r="C15138"/>
          <cell r="D15138"/>
          <cell r="E15138"/>
        </row>
        <row r="15139">
          <cell r="A15139"/>
          <cell r="B15139"/>
          <cell r="C15139"/>
          <cell r="D15139"/>
          <cell r="E15139"/>
        </row>
        <row r="15140">
          <cell r="A15140"/>
          <cell r="B15140"/>
          <cell r="C15140"/>
          <cell r="D15140"/>
          <cell r="E15140"/>
        </row>
        <row r="15141">
          <cell r="A15141"/>
          <cell r="B15141"/>
          <cell r="C15141"/>
          <cell r="D15141"/>
          <cell r="E15141"/>
        </row>
        <row r="15142">
          <cell r="A15142"/>
          <cell r="B15142"/>
          <cell r="C15142"/>
          <cell r="D15142"/>
          <cell r="E15142"/>
        </row>
        <row r="15143">
          <cell r="A15143"/>
          <cell r="B15143"/>
          <cell r="C15143"/>
          <cell r="D15143"/>
          <cell r="E15143"/>
        </row>
        <row r="15144">
          <cell r="A15144"/>
          <cell r="B15144"/>
          <cell r="C15144"/>
          <cell r="D15144"/>
          <cell r="E15144"/>
        </row>
        <row r="15145">
          <cell r="A15145"/>
          <cell r="B15145"/>
          <cell r="C15145"/>
          <cell r="D15145"/>
          <cell r="E15145"/>
        </row>
        <row r="15146">
          <cell r="A15146"/>
          <cell r="B15146"/>
          <cell r="C15146"/>
          <cell r="D15146"/>
          <cell r="E15146"/>
        </row>
        <row r="15147">
          <cell r="A15147"/>
          <cell r="B15147"/>
          <cell r="C15147"/>
          <cell r="D15147"/>
          <cell r="E15147"/>
        </row>
        <row r="15148">
          <cell r="A15148"/>
          <cell r="B15148"/>
          <cell r="C15148"/>
          <cell r="D15148"/>
          <cell r="E15148"/>
        </row>
        <row r="15149">
          <cell r="A15149"/>
          <cell r="B15149"/>
          <cell r="C15149"/>
          <cell r="D15149"/>
          <cell r="E15149"/>
        </row>
        <row r="15150">
          <cell r="A15150"/>
          <cell r="B15150"/>
          <cell r="C15150"/>
          <cell r="D15150"/>
          <cell r="E15150"/>
        </row>
        <row r="15151">
          <cell r="A15151"/>
          <cell r="B15151"/>
          <cell r="C15151"/>
          <cell r="D15151"/>
          <cell r="E15151"/>
        </row>
        <row r="15152">
          <cell r="A15152"/>
          <cell r="B15152"/>
          <cell r="C15152"/>
          <cell r="D15152"/>
          <cell r="E15152"/>
        </row>
        <row r="15153">
          <cell r="A15153"/>
          <cell r="B15153"/>
          <cell r="C15153"/>
          <cell r="D15153"/>
          <cell r="E15153"/>
        </row>
        <row r="15154">
          <cell r="A15154"/>
          <cell r="B15154"/>
          <cell r="C15154"/>
          <cell r="D15154"/>
          <cell r="E15154"/>
        </row>
        <row r="15155">
          <cell r="A15155"/>
          <cell r="B15155"/>
          <cell r="C15155"/>
          <cell r="D15155"/>
          <cell r="E15155"/>
        </row>
        <row r="15156">
          <cell r="A15156"/>
          <cell r="B15156"/>
          <cell r="C15156"/>
          <cell r="D15156"/>
          <cell r="E15156"/>
        </row>
        <row r="15157">
          <cell r="A15157"/>
          <cell r="B15157"/>
          <cell r="C15157"/>
          <cell r="D15157"/>
          <cell r="E15157"/>
        </row>
        <row r="15158">
          <cell r="A15158"/>
          <cell r="B15158"/>
          <cell r="C15158"/>
          <cell r="D15158"/>
          <cell r="E15158"/>
        </row>
        <row r="15159">
          <cell r="A15159"/>
          <cell r="B15159"/>
          <cell r="C15159"/>
          <cell r="D15159"/>
          <cell r="E15159"/>
        </row>
        <row r="15160">
          <cell r="A15160"/>
          <cell r="B15160"/>
          <cell r="C15160"/>
          <cell r="D15160"/>
          <cell r="E15160"/>
        </row>
        <row r="15161">
          <cell r="A15161"/>
          <cell r="B15161"/>
          <cell r="C15161"/>
          <cell r="D15161"/>
          <cell r="E15161"/>
        </row>
        <row r="15162">
          <cell r="A15162"/>
          <cell r="B15162"/>
          <cell r="C15162"/>
          <cell r="D15162"/>
          <cell r="E15162"/>
        </row>
        <row r="15163">
          <cell r="A15163"/>
          <cell r="B15163"/>
          <cell r="C15163"/>
          <cell r="D15163"/>
          <cell r="E15163"/>
        </row>
        <row r="15164">
          <cell r="A15164"/>
          <cell r="B15164"/>
          <cell r="C15164"/>
          <cell r="D15164"/>
          <cell r="E15164"/>
        </row>
        <row r="15165">
          <cell r="A15165"/>
          <cell r="B15165"/>
          <cell r="C15165"/>
          <cell r="D15165"/>
          <cell r="E15165"/>
        </row>
        <row r="15166">
          <cell r="A15166"/>
          <cell r="B15166"/>
          <cell r="C15166"/>
          <cell r="D15166"/>
          <cell r="E15166"/>
        </row>
        <row r="15167">
          <cell r="A15167"/>
          <cell r="B15167"/>
          <cell r="C15167"/>
          <cell r="D15167"/>
          <cell r="E15167"/>
        </row>
        <row r="15168">
          <cell r="A15168"/>
          <cell r="B15168"/>
          <cell r="C15168"/>
          <cell r="D15168"/>
          <cell r="E15168"/>
        </row>
        <row r="15169">
          <cell r="A15169"/>
          <cell r="B15169"/>
          <cell r="C15169"/>
          <cell r="D15169"/>
          <cell r="E15169"/>
        </row>
        <row r="15170">
          <cell r="A15170"/>
          <cell r="B15170"/>
          <cell r="C15170"/>
          <cell r="D15170"/>
          <cell r="E15170"/>
        </row>
        <row r="15171">
          <cell r="A15171"/>
          <cell r="B15171"/>
          <cell r="C15171"/>
          <cell r="D15171"/>
          <cell r="E15171"/>
        </row>
        <row r="15172">
          <cell r="A15172"/>
          <cell r="B15172"/>
          <cell r="C15172"/>
          <cell r="D15172"/>
          <cell r="E15172"/>
        </row>
        <row r="15173">
          <cell r="A15173"/>
          <cell r="B15173"/>
          <cell r="C15173"/>
          <cell r="D15173"/>
          <cell r="E15173"/>
        </row>
        <row r="15174">
          <cell r="A15174"/>
          <cell r="B15174"/>
          <cell r="C15174"/>
          <cell r="D15174"/>
          <cell r="E15174"/>
        </row>
        <row r="15175">
          <cell r="A15175"/>
          <cell r="B15175"/>
          <cell r="C15175"/>
          <cell r="D15175"/>
          <cell r="E15175"/>
        </row>
        <row r="15176">
          <cell r="A15176"/>
          <cell r="B15176"/>
          <cell r="C15176"/>
          <cell r="D15176"/>
          <cell r="E15176"/>
        </row>
        <row r="15177">
          <cell r="A15177"/>
          <cell r="B15177"/>
          <cell r="C15177"/>
          <cell r="D15177"/>
          <cell r="E15177"/>
        </row>
        <row r="15178">
          <cell r="A15178"/>
          <cell r="B15178"/>
          <cell r="C15178"/>
          <cell r="D15178"/>
          <cell r="E15178"/>
        </row>
        <row r="15179">
          <cell r="A15179"/>
          <cell r="B15179"/>
          <cell r="C15179"/>
          <cell r="D15179"/>
          <cell r="E15179"/>
        </row>
        <row r="15180">
          <cell r="A15180"/>
          <cell r="B15180"/>
          <cell r="C15180"/>
          <cell r="D15180"/>
          <cell r="E15180"/>
        </row>
        <row r="15181">
          <cell r="A15181"/>
          <cell r="B15181"/>
          <cell r="C15181"/>
          <cell r="D15181"/>
          <cell r="E15181"/>
        </row>
        <row r="15182">
          <cell r="A15182"/>
          <cell r="B15182"/>
          <cell r="C15182"/>
          <cell r="D15182"/>
          <cell r="E15182"/>
        </row>
        <row r="15183">
          <cell r="A15183"/>
          <cell r="B15183"/>
          <cell r="C15183"/>
          <cell r="D15183"/>
          <cell r="E15183"/>
        </row>
        <row r="15184">
          <cell r="A15184"/>
          <cell r="B15184"/>
          <cell r="C15184"/>
          <cell r="D15184"/>
          <cell r="E15184"/>
        </row>
        <row r="15185">
          <cell r="A15185"/>
          <cell r="B15185"/>
          <cell r="C15185"/>
          <cell r="D15185"/>
          <cell r="E15185"/>
        </row>
        <row r="15186">
          <cell r="A15186"/>
          <cell r="B15186"/>
          <cell r="C15186"/>
          <cell r="D15186"/>
          <cell r="E15186"/>
        </row>
        <row r="15187">
          <cell r="A15187"/>
          <cell r="B15187"/>
          <cell r="C15187"/>
          <cell r="D15187"/>
          <cell r="E15187"/>
        </row>
        <row r="15188">
          <cell r="A15188"/>
          <cell r="B15188"/>
          <cell r="C15188"/>
          <cell r="D15188"/>
          <cell r="E15188"/>
        </row>
        <row r="15189">
          <cell r="A15189"/>
          <cell r="B15189"/>
          <cell r="C15189"/>
          <cell r="D15189"/>
          <cell r="E15189"/>
        </row>
        <row r="15190">
          <cell r="A15190"/>
          <cell r="B15190"/>
          <cell r="C15190"/>
          <cell r="D15190"/>
          <cell r="E15190"/>
        </row>
        <row r="15191">
          <cell r="A15191"/>
          <cell r="B15191"/>
          <cell r="C15191"/>
          <cell r="D15191"/>
          <cell r="E15191"/>
        </row>
        <row r="15192">
          <cell r="A15192"/>
          <cell r="B15192"/>
          <cell r="C15192"/>
          <cell r="D15192"/>
          <cell r="E15192"/>
        </row>
        <row r="15193">
          <cell r="A15193"/>
          <cell r="B15193"/>
          <cell r="C15193"/>
          <cell r="D15193"/>
          <cell r="E15193"/>
        </row>
        <row r="15194">
          <cell r="A15194"/>
          <cell r="B15194"/>
          <cell r="C15194"/>
          <cell r="D15194"/>
          <cell r="E15194"/>
        </row>
        <row r="15195">
          <cell r="A15195"/>
          <cell r="B15195"/>
          <cell r="C15195"/>
          <cell r="D15195"/>
          <cell r="E15195"/>
        </row>
        <row r="15196">
          <cell r="A15196"/>
          <cell r="B15196"/>
          <cell r="C15196"/>
          <cell r="D15196"/>
          <cell r="E15196"/>
        </row>
        <row r="15197">
          <cell r="A15197"/>
          <cell r="B15197"/>
          <cell r="C15197"/>
          <cell r="D15197"/>
          <cell r="E15197"/>
        </row>
        <row r="15198">
          <cell r="A15198"/>
          <cell r="B15198"/>
          <cell r="C15198"/>
          <cell r="D15198"/>
          <cell r="E15198"/>
        </row>
        <row r="15199">
          <cell r="A15199"/>
          <cell r="B15199"/>
          <cell r="C15199"/>
          <cell r="D15199"/>
          <cell r="E15199"/>
        </row>
        <row r="15200">
          <cell r="A15200"/>
          <cell r="B15200"/>
          <cell r="C15200"/>
          <cell r="D15200"/>
          <cell r="E15200"/>
        </row>
        <row r="15201">
          <cell r="A15201"/>
          <cell r="B15201"/>
          <cell r="C15201"/>
          <cell r="D15201"/>
          <cell r="E15201"/>
        </row>
        <row r="15202">
          <cell r="A15202"/>
          <cell r="B15202"/>
          <cell r="C15202"/>
          <cell r="D15202"/>
          <cell r="E15202"/>
        </row>
        <row r="15203">
          <cell r="A15203"/>
          <cell r="B15203"/>
          <cell r="C15203"/>
          <cell r="D15203"/>
          <cell r="E15203"/>
        </row>
        <row r="15204">
          <cell r="A15204"/>
          <cell r="B15204"/>
          <cell r="C15204"/>
          <cell r="D15204"/>
          <cell r="E15204"/>
        </row>
        <row r="15205">
          <cell r="A15205"/>
          <cell r="B15205"/>
          <cell r="C15205"/>
          <cell r="D15205"/>
          <cell r="E15205"/>
        </row>
        <row r="15206">
          <cell r="A15206"/>
          <cell r="B15206"/>
          <cell r="C15206"/>
          <cell r="D15206"/>
          <cell r="E15206"/>
        </row>
        <row r="15207">
          <cell r="A15207"/>
          <cell r="B15207"/>
          <cell r="C15207"/>
          <cell r="D15207"/>
          <cell r="E15207"/>
        </row>
        <row r="15208">
          <cell r="A15208"/>
          <cell r="B15208"/>
          <cell r="C15208"/>
          <cell r="D15208"/>
          <cell r="E15208"/>
        </row>
        <row r="15209">
          <cell r="A15209"/>
          <cell r="B15209"/>
          <cell r="C15209"/>
          <cell r="D15209"/>
          <cell r="E15209"/>
        </row>
        <row r="15210">
          <cell r="A15210"/>
          <cell r="B15210"/>
          <cell r="C15210"/>
          <cell r="D15210"/>
          <cell r="E15210"/>
        </row>
        <row r="15211">
          <cell r="A15211"/>
          <cell r="B15211"/>
          <cell r="C15211"/>
          <cell r="D15211"/>
          <cell r="E15211"/>
        </row>
        <row r="15212">
          <cell r="A15212"/>
          <cell r="B15212"/>
          <cell r="C15212"/>
          <cell r="D15212"/>
          <cell r="E15212"/>
        </row>
        <row r="15213">
          <cell r="A15213"/>
          <cell r="B15213"/>
          <cell r="C15213"/>
          <cell r="D15213"/>
          <cell r="E15213"/>
        </row>
        <row r="15214">
          <cell r="A15214"/>
          <cell r="B15214"/>
          <cell r="C15214"/>
          <cell r="D15214"/>
          <cell r="E15214"/>
        </row>
        <row r="15215">
          <cell r="A15215"/>
          <cell r="B15215"/>
          <cell r="C15215"/>
          <cell r="D15215"/>
          <cell r="E15215"/>
        </row>
        <row r="15216">
          <cell r="A15216"/>
          <cell r="B15216"/>
          <cell r="C15216"/>
          <cell r="D15216"/>
          <cell r="E15216"/>
        </row>
        <row r="15217">
          <cell r="A15217"/>
          <cell r="B15217"/>
          <cell r="C15217"/>
          <cell r="D15217"/>
          <cell r="E15217"/>
        </row>
        <row r="15218">
          <cell r="A15218"/>
          <cell r="B15218"/>
          <cell r="C15218"/>
          <cell r="D15218"/>
          <cell r="E15218"/>
        </row>
        <row r="15219">
          <cell r="A15219"/>
          <cell r="B15219"/>
          <cell r="C15219"/>
          <cell r="D15219"/>
          <cell r="E15219"/>
        </row>
        <row r="15220">
          <cell r="A15220"/>
          <cell r="B15220"/>
          <cell r="C15220"/>
          <cell r="D15220"/>
          <cell r="E15220"/>
        </row>
        <row r="15221">
          <cell r="A15221"/>
          <cell r="B15221"/>
          <cell r="C15221"/>
          <cell r="D15221"/>
          <cell r="E15221"/>
        </row>
        <row r="15222">
          <cell r="A15222"/>
          <cell r="B15222"/>
          <cell r="C15222"/>
          <cell r="D15222"/>
          <cell r="E15222"/>
        </row>
        <row r="15223">
          <cell r="A15223"/>
          <cell r="B15223"/>
          <cell r="C15223"/>
          <cell r="D15223"/>
          <cell r="E15223"/>
        </row>
        <row r="15224">
          <cell r="A15224"/>
          <cell r="B15224"/>
          <cell r="C15224"/>
          <cell r="D15224"/>
          <cell r="E15224"/>
        </row>
        <row r="15225">
          <cell r="A15225"/>
          <cell r="B15225"/>
          <cell r="C15225"/>
          <cell r="D15225"/>
          <cell r="E15225"/>
        </row>
        <row r="15226">
          <cell r="A15226"/>
          <cell r="B15226"/>
          <cell r="C15226"/>
          <cell r="D15226"/>
          <cell r="E15226"/>
        </row>
        <row r="15227">
          <cell r="A15227"/>
          <cell r="B15227"/>
          <cell r="C15227"/>
          <cell r="D15227"/>
          <cell r="E15227"/>
        </row>
        <row r="15228">
          <cell r="A15228"/>
          <cell r="B15228"/>
          <cell r="C15228"/>
          <cell r="D15228"/>
          <cell r="E15228"/>
        </row>
        <row r="15229">
          <cell r="A15229"/>
          <cell r="B15229"/>
          <cell r="C15229"/>
          <cell r="D15229"/>
          <cell r="E15229"/>
        </row>
        <row r="15230">
          <cell r="A15230"/>
          <cell r="B15230"/>
          <cell r="C15230"/>
          <cell r="D15230"/>
          <cell r="E15230"/>
        </row>
        <row r="15231">
          <cell r="A15231"/>
          <cell r="B15231"/>
          <cell r="C15231"/>
          <cell r="D15231"/>
          <cell r="E15231"/>
        </row>
        <row r="15232">
          <cell r="A15232"/>
          <cell r="B15232"/>
          <cell r="C15232"/>
          <cell r="D15232"/>
          <cell r="E15232"/>
        </row>
        <row r="15233">
          <cell r="A15233"/>
          <cell r="B15233"/>
          <cell r="C15233"/>
          <cell r="D15233"/>
          <cell r="E15233"/>
        </row>
        <row r="15234">
          <cell r="A15234"/>
          <cell r="B15234"/>
          <cell r="C15234"/>
          <cell r="D15234"/>
          <cell r="E15234"/>
        </row>
        <row r="15235">
          <cell r="A15235"/>
          <cell r="B15235"/>
          <cell r="C15235"/>
          <cell r="D15235"/>
          <cell r="E15235"/>
        </row>
        <row r="15236">
          <cell r="A15236"/>
          <cell r="B15236"/>
          <cell r="C15236"/>
          <cell r="D15236"/>
          <cell r="E15236"/>
        </row>
        <row r="15237">
          <cell r="A15237"/>
          <cell r="B15237"/>
          <cell r="C15237"/>
          <cell r="D15237"/>
          <cell r="E15237"/>
        </row>
        <row r="15238">
          <cell r="A15238"/>
          <cell r="B15238"/>
          <cell r="C15238"/>
          <cell r="D15238"/>
          <cell r="E15238"/>
        </row>
        <row r="15239">
          <cell r="A15239"/>
          <cell r="B15239"/>
          <cell r="C15239"/>
          <cell r="D15239"/>
          <cell r="E15239"/>
        </row>
        <row r="15240">
          <cell r="A15240"/>
          <cell r="B15240"/>
          <cell r="C15240"/>
          <cell r="D15240"/>
          <cell r="E15240"/>
        </row>
        <row r="15241">
          <cell r="A15241"/>
          <cell r="B15241"/>
          <cell r="C15241"/>
          <cell r="D15241"/>
          <cell r="E15241"/>
        </row>
        <row r="15242">
          <cell r="A15242"/>
          <cell r="B15242"/>
          <cell r="C15242"/>
          <cell r="D15242"/>
          <cell r="E15242"/>
        </row>
        <row r="15243">
          <cell r="A15243"/>
          <cell r="B15243"/>
          <cell r="C15243"/>
          <cell r="D15243"/>
          <cell r="E15243"/>
        </row>
        <row r="15244">
          <cell r="A15244"/>
          <cell r="B15244"/>
          <cell r="C15244"/>
          <cell r="D15244"/>
          <cell r="E15244"/>
        </row>
        <row r="15245">
          <cell r="A15245"/>
          <cell r="B15245"/>
          <cell r="C15245"/>
          <cell r="D15245"/>
          <cell r="E15245"/>
        </row>
        <row r="15246">
          <cell r="A15246"/>
          <cell r="B15246"/>
          <cell r="C15246"/>
          <cell r="D15246"/>
          <cell r="E15246"/>
        </row>
        <row r="15247">
          <cell r="A15247"/>
          <cell r="B15247"/>
          <cell r="C15247"/>
          <cell r="D15247"/>
          <cell r="E15247"/>
        </row>
        <row r="15248">
          <cell r="A15248"/>
          <cell r="B15248"/>
          <cell r="C15248"/>
          <cell r="D15248"/>
          <cell r="E15248"/>
        </row>
        <row r="15249">
          <cell r="A15249"/>
          <cell r="B15249"/>
          <cell r="C15249"/>
          <cell r="D15249"/>
          <cell r="E15249"/>
        </row>
        <row r="15250">
          <cell r="A15250"/>
          <cell r="B15250"/>
          <cell r="C15250"/>
          <cell r="D15250"/>
          <cell r="E15250"/>
        </row>
        <row r="15251">
          <cell r="A15251"/>
          <cell r="B15251"/>
          <cell r="C15251"/>
          <cell r="D15251"/>
          <cell r="E15251"/>
        </row>
        <row r="15252">
          <cell r="A15252"/>
          <cell r="B15252"/>
          <cell r="C15252"/>
          <cell r="D15252"/>
          <cell r="E15252"/>
        </row>
        <row r="15253">
          <cell r="A15253"/>
          <cell r="B15253"/>
          <cell r="C15253"/>
          <cell r="D15253"/>
          <cell r="E15253"/>
        </row>
        <row r="15254">
          <cell r="A15254"/>
          <cell r="B15254"/>
          <cell r="C15254"/>
          <cell r="D15254"/>
          <cell r="E15254"/>
        </row>
        <row r="15255">
          <cell r="A15255"/>
          <cell r="B15255"/>
          <cell r="C15255"/>
          <cell r="D15255"/>
          <cell r="E15255"/>
        </row>
        <row r="15256">
          <cell r="A15256"/>
          <cell r="B15256"/>
          <cell r="C15256"/>
          <cell r="D15256"/>
          <cell r="E15256"/>
        </row>
        <row r="15257">
          <cell r="A15257"/>
          <cell r="B15257"/>
          <cell r="C15257"/>
          <cell r="D15257"/>
          <cell r="E15257"/>
        </row>
        <row r="15258">
          <cell r="A15258"/>
          <cell r="B15258"/>
          <cell r="C15258"/>
          <cell r="D15258"/>
          <cell r="E15258"/>
        </row>
        <row r="15259">
          <cell r="A15259"/>
          <cell r="B15259"/>
          <cell r="C15259"/>
          <cell r="D15259"/>
          <cell r="E15259"/>
        </row>
        <row r="15260">
          <cell r="A15260"/>
          <cell r="B15260"/>
          <cell r="C15260"/>
          <cell r="D15260"/>
          <cell r="E15260"/>
        </row>
        <row r="15261">
          <cell r="A15261"/>
          <cell r="B15261"/>
          <cell r="C15261"/>
          <cell r="D15261"/>
          <cell r="E15261"/>
        </row>
        <row r="15262">
          <cell r="A15262"/>
          <cell r="B15262"/>
          <cell r="C15262"/>
          <cell r="D15262"/>
          <cell r="E15262"/>
        </row>
        <row r="15263">
          <cell r="A15263"/>
          <cell r="B15263"/>
          <cell r="C15263"/>
          <cell r="D15263"/>
          <cell r="E15263"/>
        </row>
        <row r="15264">
          <cell r="A15264"/>
          <cell r="B15264"/>
          <cell r="C15264"/>
          <cell r="D15264"/>
          <cell r="E15264"/>
        </row>
        <row r="15265">
          <cell r="A15265"/>
          <cell r="B15265"/>
          <cell r="C15265"/>
          <cell r="D15265"/>
          <cell r="E15265"/>
        </row>
        <row r="15266">
          <cell r="A15266"/>
          <cell r="B15266"/>
          <cell r="C15266"/>
          <cell r="D15266"/>
          <cell r="E15266"/>
        </row>
        <row r="15267">
          <cell r="A15267"/>
          <cell r="B15267"/>
          <cell r="C15267"/>
          <cell r="D15267"/>
          <cell r="E15267"/>
        </row>
        <row r="15268">
          <cell r="A15268"/>
          <cell r="B15268"/>
          <cell r="C15268"/>
          <cell r="D15268"/>
          <cell r="E15268"/>
        </row>
        <row r="15269">
          <cell r="A15269"/>
          <cell r="B15269"/>
          <cell r="C15269"/>
          <cell r="D15269"/>
          <cell r="E15269"/>
        </row>
        <row r="15270">
          <cell r="A15270"/>
          <cell r="B15270"/>
          <cell r="C15270"/>
          <cell r="D15270"/>
          <cell r="E15270"/>
        </row>
        <row r="15271">
          <cell r="A15271"/>
          <cell r="B15271"/>
          <cell r="C15271"/>
          <cell r="D15271"/>
          <cell r="E15271"/>
        </row>
        <row r="15272">
          <cell r="A15272"/>
          <cell r="B15272"/>
          <cell r="C15272"/>
          <cell r="D15272"/>
          <cell r="E15272"/>
        </row>
        <row r="15273">
          <cell r="A15273"/>
          <cell r="B15273"/>
          <cell r="C15273"/>
          <cell r="D15273"/>
          <cell r="E15273"/>
        </row>
        <row r="15274">
          <cell r="A15274"/>
          <cell r="B15274"/>
          <cell r="C15274"/>
          <cell r="D15274"/>
          <cell r="E15274"/>
        </row>
        <row r="15275">
          <cell r="A15275"/>
          <cell r="B15275"/>
          <cell r="C15275"/>
          <cell r="D15275"/>
          <cell r="E15275"/>
        </row>
        <row r="15276">
          <cell r="A15276"/>
          <cell r="B15276"/>
          <cell r="C15276"/>
          <cell r="D15276"/>
          <cell r="E15276"/>
        </row>
        <row r="15277">
          <cell r="A15277"/>
          <cell r="B15277"/>
          <cell r="C15277"/>
          <cell r="D15277"/>
          <cell r="E15277"/>
        </row>
        <row r="15278">
          <cell r="A15278"/>
          <cell r="B15278"/>
          <cell r="C15278"/>
          <cell r="D15278"/>
          <cell r="E15278"/>
        </row>
        <row r="15279">
          <cell r="A15279"/>
          <cell r="B15279"/>
          <cell r="C15279"/>
          <cell r="D15279"/>
          <cell r="E15279"/>
        </row>
        <row r="15280">
          <cell r="A15280"/>
          <cell r="B15280"/>
          <cell r="C15280"/>
          <cell r="D15280"/>
          <cell r="E15280"/>
        </row>
        <row r="15281">
          <cell r="A15281"/>
          <cell r="B15281"/>
          <cell r="C15281"/>
          <cell r="D15281"/>
          <cell r="E15281"/>
        </row>
        <row r="15282">
          <cell r="A15282"/>
          <cell r="B15282"/>
          <cell r="C15282"/>
          <cell r="D15282"/>
          <cell r="E15282"/>
        </row>
        <row r="15283">
          <cell r="A15283"/>
          <cell r="B15283"/>
          <cell r="C15283"/>
          <cell r="D15283"/>
          <cell r="E15283"/>
        </row>
        <row r="15284">
          <cell r="A15284"/>
          <cell r="B15284"/>
          <cell r="C15284"/>
          <cell r="D15284"/>
          <cell r="E15284"/>
        </row>
        <row r="15285">
          <cell r="A15285"/>
          <cell r="B15285"/>
          <cell r="C15285"/>
          <cell r="D15285"/>
          <cell r="E15285"/>
        </row>
        <row r="15286">
          <cell r="A15286"/>
          <cell r="B15286"/>
          <cell r="C15286"/>
          <cell r="D15286"/>
          <cell r="E15286"/>
        </row>
        <row r="15287">
          <cell r="A15287"/>
          <cell r="B15287"/>
          <cell r="C15287"/>
          <cell r="D15287"/>
          <cell r="E15287"/>
        </row>
        <row r="15288">
          <cell r="A15288"/>
          <cell r="B15288"/>
          <cell r="C15288"/>
          <cell r="D15288"/>
          <cell r="E15288"/>
        </row>
        <row r="15289">
          <cell r="A15289"/>
          <cell r="B15289"/>
          <cell r="C15289"/>
          <cell r="D15289"/>
          <cell r="E15289"/>
        </row>
        <row r="15290">
          <cell r="A15290"/>
          <cell r="B15290"/>
          <cell r="C15290"/>
          <cell r="D15290"/>
          <cell r="E15290"/>
        </row>
        <row r="15291">
          <cell r="A15291"/>
          <cell r="B15291"/>
          <cell r="C15291"/>
          <cell r="D15291"/>
          <cell r="E15291"/>
        </row>
        <row r="15292">
          <cell r="A15292"/>
          <cell r="B15292"/>
          <cell r="C15292"/>
          <cell r="D15292"/>
          <cell r="E15292"/>
        </row>
        <row r="15293">
          <cell r="A15293"/>
          <cell r="B15293"/>
          <cell r="C15293"/>
          <cell r="D15293"/>
          <cell r="E15293"/>
        </row>
        <row r="15294">
          <cell r="A15294"/>
          <cell r="B15294"/>
          <cell r="C15294"/>
          <cell r="D15294"/>
          <cell r="E15294"/>
        </row>
        <row r="15295">
          <cell r="A15295"/>
          <cell r="B15295"/>
          <cell r="C15295"/>
          <cell r="D15295"/>
          <cell r="E15295"/>
        </row>
        <row r="15296">
          <cell r="A15296"/>
          <cell r="B15296"/>
          <cell r="C15296"/>
          <cell r="D15296"/>
          <cell r="E15296"/>
        </row>
        <row r="15297">
          <cell r="A15297"/>
          <cell r="B15297"/>
          <cell r="C15297"/>
          <cell r="D15297"/>
          <cell r="E15297"/>
        </row>
        <row r="15298">
          <cell r="A15298"/>
          <cell r="B15298"/>
          <cell r="C15298"/>
          <cell r="D15298"/>
          <cell r="E15298"/>
        </row>
        <row r="15299">
          <cell r="A15299"/>
          <cell r="B15299"/>
          <cell r="C15299"/>
          <cell r="D15299"/>
          <cell r="E15299"/>
        </row>
        <row r="15300">
          <cell r="A15300"/>
          <cell r="B15300"/>
          <cell r="C15300"/>
          <cell r="D15300"/>
          <cell r="E15300"/>
        </row>
        <row r="15301">
          <cell r="A15301"/>
          <cell r="B15301"/>
          <cell r="C15301"/>
          <cell r="D15301"/>
          <cell r="E15301"/>
        </row>
        <row r="15302">
          <cell r="A15302"/>
          <cell r="B15302"/>
          <cell r="C15302"/>
          <cell r="D15302"/>
          <cell r="E15302"/>
        </row>
        <row r="15303">
          <cell r="A15303"/>
          <cell r="B15303"/>
          <cell r="C15303"/>
          <cell r="D15303"/>
          <cell r="E15303"/>
        </row>
        <row r="15304">
          <cell r="A15304"/>
          <cell r="B15304"/>
          <cell r="C15304"/>
          <cell r="D15304"/>
          <cell r="E15304"/>
        </row>
        <row r="15305">
          <cell r="A15305"/>
          <cell r="B15305"/>
          <cell r="C15305"/>
          <cell r="D15305"/>
          <cell r="E15305"/>
        </row>
        <row r="15306">
          <cell r="A15306"/>
          <cell r="B15306"/>
          <cell r="C15306"/>
          <cell r="D15306"/>
          <cell r="E15306"/>
        </row>
        <row r="15307">
          <cell r="A15307"/>
          <cell r="B15307"/>
          <cell r="C15307"/>
          <cell r="D15307"/>
          <cell r="E15307"/>
        </row>
        <row r="15308">
          <cell r="A15308"/>
          <cell r="B15308"/>
          <cell r="C15308"/>
          <cell r="D15308"/>
          <cell r="E15308"/>
        </row>
        <row r="15309">
          <cell r="A15309"/>
          <cell r="B15309"/>
          <cell r="C15309"/>
          <cell r="D15309"/>
          <cell r="E15309"/>
        </row>
        <row r="15310">
          <cell r="A15310"/>
          <cell r="B15310"/>
          <cell r="C15310"/>
          <cell r="D15310"/>
          <cell r="E15310"/>
        </row>
        <row r="15311">
          <cell r="A15311"/>
          <cell r="B15311"/>
          <cell r="C15311"/>
          <cell r="D15311"/>
          <cell r="E15311"/>
        </row>
        <row r="15312">
          <cell r="A15312"/>
          <cell r="B15312"/>
          <cell r="C15312"/>
          <cell r="D15312"/>
          <cell r="E15312"/>
        </row>
        <row r="15313">
          <cell r="A15313"/>
          <cell r="B15313"/>
          <cell r="C15313"/>
          <cell r="D15313"/>
          <cell r="E15313"/>
        </row>
        <row r="15314">
          <cell r="A15314"/>
          <cell r="B15314"/>
          <cell r="C15314"/>
          <cell r="D15314"/>
          <cell r="E15314"/>
        </row>
        <row r="15315">
          <cell r="A15315"/>
          <cell r="B15315"/>
          <cell r="C15315"/>
          <cell r="D15315"/>
          <cell r="E15315"/>
        </row>
        <row r="15316">
          <cell r="A15316"/>
          <cell r="B15316"/>
          <cell r="C15316"/>
          <cell r="D15316"/>
          <cell r="E15316"/>
        </row>
        <row r="15317">
          <cell r="A15317"/>
          <cell r="B15317"/>
          <cell r="C15317"/>
          <cell r="D15317"/>
          <cell r="E15317"/>
        </row>
        <row r="15318">
          <cell r="A15318"/>
          <cell r="B15318"/>
          <cell r="C15318"/>
          <cell r="D15318"/>
          <cell r="E15318"/>
        </row>
        <row r="15319">
          <cell r="A15319"/>
          <cell r="B15319"/>
          <cell r="C15319"/>
          <cell r="D15319"/>
          <cell r="E15319"/>
        </row>
        <row r="15320">
          <cell r="A15320"/>
          <cell r="B15320"/>
          <cell r="C15320"/>
          <cell r="D15320"/>
          <cell r="E15320"/>
        </row>
        <row r="15321">
          <cell r="A15321"/>
          <cell r="B15321"/>
          <cell r="C15321"/>
          <cell r="D15321"/>
          <cell r="E15321"/>
        </row>
        <row r="15322">
          <cell r="A15322"/>
          <cell r="B15322"/>
          <cell r="C15322"/>
          <cell r="D15322"/>
          <cell r="E15322"/>
        </row>
        <row r="15323">
          <cell r="A15323"/>
          <cell r="B15323"/>
          <cell r="C15323"/>
          <cell r="D15323"/>
          <cell r="E15323"/>
        </row>
        <row r="15324">
          <cell r="A15324"/>
          <cell r="B15324"/>
          <cell r="C15324"/>
          <cell r="D15324"/>
          <cell r="E15324"/>
        </row>
        <row r="15325">
          <cell r="A15325"/>
          <cell r="B15325"/>
          <cell r="C15325"/>
          <cell r="D15325"/>
          <cell r="E15325"/>
        </row>
        <row r="15326">
          <cell r="A15326"/>
          <cell r="B15326"/>
          <cell r="C15326"/>
          <cell r="D15326"/>
          <cell r="E15326"/>
        </row>
        <row r="15327">
          <cell r="A15327"/>
          <cell r="B15327"/>
          <cell r="C15327"/>
          <cell r="D15327"/>
          <cell r="E15327"/>
        </row>
        <row r="15328">
          <cell r="A15328"/>
          <cell r="B15328"/>
          <cell r="C15328"/>
          <cell r="D15328"/>
          <cell r="E15328"/>
        </row>
        <row r="15329">
          <cell r="A15329"/>
          <cell r="B15329"/>
          <cell r="C15329"/>
          <cell r="D15329"/>
          <cell r="E15329"/>
        </row>
        <row r="15330">
          <cell r="A15330"/>
          <cell r="B15330"/>
          <cell r="C15330"/>
          <cell r="D15330"/>
          <cell r="E15330"/>
        </row>
        <row r="15331">
          <cell r="A15331"/>
          <cell r="B15331"/>
          <cell r="C15331"/>
          <cell r="D15331"/>
          <cell r="E15331"/>
        </row>
        <row r="15332">
          <cell r="A15332"/>
          <cell r="B15332"/>
          <cell r="C15332"/>
          <cell r="D15332"/>
          <cell r="E15332"/>
        </row>
        <row r="15333">
          <cell r="A15333"/>
          <cell r="B15333"/>
          <cell r="C15333"/>
          <cell r="D15333"/>
          <cell r="E15333"/>
        </row>
        <row r="15334">
          <cell r="A15334"/>
          <cell r="B15334"/>
          <cell r="C15334"/>
          <cell r="D15334"/>
          <cell r="E15334"/>
        </row>
        <row r="15335">
          <cell r="A15335"/>
          <cell r="B15335"/>
          <cell r="C15335"/>
          <cell r="D15335"/>
          <cell r="E15335"/>
        </row>
        <row r="15336">
          <cell r="A15336"/>
          <cell r="B15336"/>
          <cell r="C15336"/>
          <cell r="D15336"/>
          <cell r="E15336"/>
        </row>
        <row r="15337">
          <cell r="A15337"/>
          <cell r="B15337"/>
          <cell r="C15337"/>
          <cell r="D15337"/>
          <cell r="E15337"/>
        </row>
        <row r="15338">
          <cell r="A15338"/>
          <cell r="B15338"/>
          <cell r="C15338"/>
          <cell r="D15338"/>
          <cell r="E15338"/>
        </row>
        <row r="15339">
          <cell r="A15339"/>
          <cell r="B15339"/>
          <cell r="C15339"/>
          <cell r="D15339"/>
          <cell r="E15339"/>
        </row>
        <row r="15340">
          <cell r="A15340"/>
          <cell r="B15340"/>
          <cell r="C15340"/>
          <cell r="D15340"/>
          <cell r="E15340"/>
        </row>
        <row r="15341">
          <cell r="A15341"/>
          <cell r="B15341"/>
          <cell r="C15341"/>
          <cell r="D15341"/>
          <cell r="E15341"/>
        </row>
        <row r="15342">
          <cell r="A15342"/>
          <cell r="B15342"/>
          <cell r="C15342"/>
          <cell r="D15342"/>
          <cell r="E15342"/>
        </row>
        <row r="15343">
          <cell r="A15343"/>
          <cell r="B15343"/>
          <cell r="C15343"/>
          <cell r="D15343"/>
          <cell r="E15343"/>
        </row>
        <row r="15344">
          <cell r="A15344"/>
          <cell r="B15344"/>
          <cell r="C15344"/>
          <cell r="D15344"/>
          <cell r="E15344"/>
        </row>
        <row r="15345">
          <cell r="A15345"/>
          <cell r="B15345"/>
          <cell r="C15345"/>
          <cell r="D15345"/>
          <cell r="E15345"/>
        </row>
        <row r="15346">
          <cell r="A15346"/>
          <cell r="B15346"/>
          <cell r="C15346"/>
          <cell r="D15346"/>
          <cell r="E15346"/>
        </row>
        <row r="15347">
          <cell r="A15347"/>
          <cell r="B15347"/>
          <cell r="C15347"/>
          <cell r="D15347"/>
          <cell r="E15347"/>
        </row>
        <row r="15348">
          <cell r="A15348"/>
          <cell r="B15348"/>
          <cell r="C15348"/>
          <cell r="D15348"/>
          <cell r="E15348"/>
        </row>
        <row r="15349">
          <cell r="A15349"/>
          <cell r="B15349"/>
          <cell r="C15349"/>
          <cell r="D15349"/>
          <cell r="E15349"/>
        </row>
        <row r="15350">
          <cell r="A15350"/>
          <cell r="B15350"/>
          <cell r="C15350"/>
          <cell r="D15350"/>
          <cell r="E15350"/>
        </row>
        <row r="15351">
          <cell r="A15351"/>
          <cell r="B15351"/>
          <cell r="C15351"/>
          <cell r="D15351"/>
          <cell r="E15351"/>
        </row>
        <row r="15352">
          <cell r="A15352"/>
          <cell r="B15352"/>
          <cell r="C15352"/>
          <cell r="D15352"/>
          <cell r="E15352"/>
        </row>
        <row r="15353">
          <cell r="A15353"/>
          <cell r="B15353"/>
          <cell r="C15353"/>
          <cell r="D15353"/>
          <cell r="E15353"/>
        </row>
        <row r="15354">
          <cell r="A15354"/>
          <cell r="B15354"/>
          <cell r="C15354"/>
          <cell r="D15354"/>
          <cell r="E15354"/>
        </row>
        <row r="15355">
          <cell r="A15355"/>
          <cell r="B15355"/>
          <cell r="C15355"/>
          <cell r="D15355"/>
          <cell r="E15355"/>
        </row>
        <row r="15356">
          <cell r="A15356"/>
          <cell r="B15356"/>
          <cell r="C15356"/>
          <cell r="D15356"/>
          <cell r="E15356"/>
        </row>
        <row r="15357">
          <cell r="A15357"/>
          <cell r="B15357"/>
          <cell r="C15357"/>
          <cell r="D15357"/>
          <cell r="E15357"/>
        </row>
        <row r="15358">
          <cell r="A15358"/>
          <cell r="B15358"/>
          <cell r="C15358"/>
          <cell r="D15358"/>
          <cell r="E15358"/>
        </row>
        <row r="15359">
          <cell r="A15359"/>
          <cell r="B15359"/>
          <cell r="C15359"/>
          <cell r="D15359"/>
          <cell r="E15359"/>
        </row>
        <row r="15360">
          <cell r="A15360"/>
          <cell r="B15360"/>
          <cell r="C15360"/>
          <cell r="D15360"/>
          <cell r="E15360"/>
        </row>
        <row r="15361">
          <cell r="A15361"/>
          <cell r="B15361"/>
          <cell r="C15361"/>
          <cell r="D15361"/>
          <cell r="E15361"/>
        </row>
        <row r="15362">
          <cell r="A15362"/>
          <cell r="B15362"/>
          <cell r="C15362"/>
          <cell r="D15362"/>
          <cell r="E15362"/>
        </row>
        <row r="15363">
          <cell r="A15363"/>
          <cell r="B15363"/>
          <cell r="C15363"/>
          <cell r="D15363"/>
          <cell r="E15363"/>
        </row>
        <row r="15364">
          <cell r="A15364"/>
          <cell r="B15364"/>
          <cell r="C15364"/>
          <cell r="D15364"/>
          <cell r="E15364"/>
        </row>
        <row r="15365">
          <cell r="A15365"/>
          <cell r="B15365"/>
          <cell r="C15365"/>
          <cell r="D15365"/>
          <cell r="E15365"/>
        </row>
        <row r="15366">
          <cell r="A15366"/>
          <cell r="B15366"/>
          <cell r="C15366"/>
          <cell r="D15366"/>
          <cell r="E15366"/>
        </row>
        <row r="15367">
          <cell r="A15367"/>
          <cell r="B15367"/>
          <cell r="C15367"/>
          <cell r="D15367"/>
          <cell r="E15367"/>
        </row>
        <row r="15368">
          <cell r="A15368"/>
          <cell r="B15368"/>
          <cell r="C15368"/>
          <cell r="D15368"/>
          <cell r="E15368"/>
        </row>
        <row r="15369">
          <cell r="A15369"/>
          <cell r="B15369"/>
          <cell r="C15369"/>
          <cell r="D15369"/>
          <cell r="E15369"/>
        </row>
        <row r="15370">
          <cell r="A15370"/>
          <cell r="B15370"/>
          <cell r="C15370"/>
          <cell r="D15370"/>
          <cell r="E15370"/>
        </row>
        <row r="15371">
          <cell r="A15371"/>
          <cell r="B15371"/>
          <cell r="C15371"/>
          <cell r="D15371"/>
          <cell r="E15371"/>
        </row>
        <row r="15372">
          <cell r="A15372"/>
          <cell r="B15372"/>
          <cell r="C15372"/>
          <cell r="D15372"/>
          <cell r="E15372"/>
        </row>
        <row r="15373">
          <cell r="A15373"/>
          <cell r="B15373"/>
          <cell r="C15373"/>
          <cell r="D15373"/>
          <cell r="E15373"/>
        </row>
        <row r="15374">
          <cell r="A15374"/>
          <cell r="B15374"/>
          <cell r="C15374"/>
          <cell r="D15374"/>
          <cell r="E15374"/>
        </row>
        <row r="15375">
          <cell r="A15375"/>
          <cell r="B15375"/>
          <cell r="C15375"/>
          <cell r="D15375"/>
          <cell r="E15375"/>
        </row>
        <row r="15376">
          <cell r="A15376"/>
          <cell r="B15376"/>
          <cell r="C15376"/>
          <cell r="D15376"/>
          <cell r="E15376"/>
        </row>
        <row r="15377">
          <cell r="A15377"/>
          <cell r="B15377"/>
          <cell r="C15377"/>
          <cell r="D15377"/>
          <cell r="E15377"/>
        </row>
        <row r="15378">
          <cell r="A15378"/>
          <cell r="B15378"/>
          <cell r="C15378"/>
          <cell r="D15378"/>
          <cell r="E15378"/>
        </row>
        <row r="15379">
          <cell r="A15379"/>
          <cell r="B15379"/>
          <cell r="C15379"/>
          <cell r="D15379"/>
          <cell r="E15379"/>
        </row>
        <row r="15380">
          <cell r="A15380"/>
          <cell r="B15380"/>
          <cell r="C15380"/>
          <cell r="D15380"/>
          <cell r="E15380"/>
        </row>
        <row r="15381">
          <cell r="A15381"/>
          <cell r="B15381"/>
          <cell r="C15381"/>
          <cell r="D15381"/>
          <cell r="E15381"/>
        </row>
        <row r="15382">
          <cell r="A15382"/>
          <cell r="B15382"/>
          <cell r="C15382"/>
          <cell r="D15382"/>
          <cell r="E15382"/>
        </row>
        <row r="15383">
          <cell r="A15383"/>
          <cell r="B15383"/>
          <cell r="C15383"/>
          <cell r="D15383"/>
          <cell r="E15383"/>
        </row>
        <row r="15384">
          <cell r="A15384"/>
          <cell r="B15384"/>
          <cell r="C15384"/>
          <cell r="D15384"/>
          <cell r="E15384"/>
        </row>
        <row r="15385">
          <cell r="A15385"/>
          <cell r="B15385"/>
          <cell r="C15385"/>
          <cell r="D15385"/>
          <cell r="E15385"/>
        </row>
        <row r="15386">
          <cell r="A15386"/>
          <cell r="B15386"/>
          <cell r="C15386"/>
          <cell r="D15386"/>
          <cell r="E15386"/>
        </row>
        <row r="15387">
          <cell r="A15387"/>
          <cell r="B15387"/>
          <cell r="C15387"/>
          <cell r="D15387"/>
          <cell r="E15387"/>
        </row>
        <row r="15388">
          <cell r="A15388"/>
          <cell r="B15388"/>
          <cell r="C15388"/>
          <cell r="D15388"/>
          <cell r="E15388"/>
        </row>
        <row r="15389">
          <cell r="A15389"/>
          <cell r="B15389"/>
          <cell r="C15389"/>
          <cell r="D15389"/>
          <cell r="E15389"/>
        </row>
        <row r="15390">
          <cell r="A15390"/>
          <cell r="B15390"/>
          <cell r="C15390"/>
          <cell r="D15390"/>
          <cell r="E15390"/>
        </row>
        <row r="15391">
          <cell r="A15391"/>
          <cell r="B15391"/>
          <cell r="C15391"/>
          <cell r="D15391"/>
          <cell r="E15391"/>
        </row>
        <row r="15392">
          <cell r="A15392"/>
          <cell r="B15392"/>
          <cell r="C15392"/>
          <cell r="D15392"/>
          <cell r="E15392"/>
        </row>
        <row r="15393">
          <cell r="A15393"/>
          <cell r="B15393"/>
          <cell r="C15393"/>
          <cell r="D15393"/>
          <cell r="E15393"/>
        </row>
        <row r="15394">
          <cell r="A15394"/>
          <cell r="B15394"/>
          <cell r="C15394"/>
          <cell r="D15394"/>
          <cell r="E15394"/>
        </row>
        <row r="15395">
          <cell r="A15395"/>
          <cell r="B15395"/>
          <cell r="C15395"/>
          <cell r="D15395"/>
          <cell r="E15395"/>
        </row>
        <row r="15396">
          <cell r="A15396"/>
          <cell r="B15396"/>
          <cell r="C15396"/>
          <cell r="D15396"/>
          <cell r="E15396"/>
        </row>
        <row r="15397">
          <cell r="A15397"/>
          <cell r="B15397"/>
          <cell r="C15397"/>
          <cell r="D15397"/>
          <cell r="E15397"/>
        </row>
        <row r="15398">
          <cell r="A15398"/>
          <cell r="B15398"/>
          <cell r="C15398"/>
          <cell r="D15398"/>
          <cell r="E15398"/>
        </row>
        <row r="15399">
          <cell r="A15399"/>
          <cell r="B15399"/>
          <cell r="C15399"/>
          <cell r="D15399"/>
          <cell r="E15399"/>
        </row>
        <row r="15400">
          <cell r="A15400"/>
          <cell r="B15400"/>
          <cell r="C15400"/>
          <cell r="D15400"/>
          <cell r="E15400"/>
        </row>
        <row r="15401">
          <cell r="A15401"/>
          <cell r="B15401"/>
          <cell r="C15401"/>
          <cell r="D15401"/>
          <cell r="E15401"/>
        </row>
        <row r="15402">
          <cell r="A15402"/>
          <cell r="B15402"/>
          <cell r="C15402"/>
          <cell r="D15402"/>
          <cell r="E15402"/>
        </row>
        <row r="15403">
          <cell r="A15403"/>
          <cell r="B15403"/>
          <cell r="C15403"/>
          <cell r="D15403"/>
          <cell r="E15403"/>
        </row>
        <row r="15404">
          <cell r="A15404"/>
          <cell r="B15404"/>
          <cell r="C15404"/>
          <cell r="D15404"/>
          <cell r="E15404"/>
        </row>
        <row r="15405">
          <cell r="A15405"/>
          <cell r="B15405"/>
          <cell r="C15405"/>
          <cell r="D15405"/>
          <cell r="E15405"/>
        </row>
        <row r="15406">
          <cell r="A15406"/>
          <cell r="B15406"/>
          <cell r="C15406"/>
          <cell r="D15406"/>
          <cell r="E15406"/>
        </row>
        <row r="15407">
          <cell r="A15407"/>
          <cell r="B15407"/>
          <cell r="C15407"/>
          <cell r="D15407"/>
          <cell r="E15407"/>
        </row>
        <row r="15408">
          <cell r="A15408"/>
          <cell r="B15408"/>
          <cell r="C15408"/>
          <cell r="D15408"/>
          <cell r="E15408"/>
        </row>
        <row r="15409">
          <cell r="A15409"/>
          <cell r="B15409"/>
          <cell r="C15409"/>
          <cell r="D15409"/>
          <cell r="E15409"/>
        </row>
        <row r="15410">
          <cell r="A15410"/>
          <cell r="B15410"/>
          <cell r="C15410"/>
          <cell r="D15410"/>
          <cell r="E15410"/>
        </row>
        <row r="15411">
          <cell r="A15411"/>
          <cell r="B15411"/>
          <cell r="C15411"/>
          <cell r="D15411"/>
          <cell r="E15411"/>
        </row>
        <row r="15412">
          <cell r="A15412"/>
          <cell r="B15412"/>
          <cell r="C15412"/>
          <cell r="D15412"/>
          <cell r="E15412"/>
        </row>
        <row r="15413">
          <cell r="A15413"/>
          <cell r="B15413"/>
          <cell r="C15413"/>
          <cell r="D15413"/>
          <cell r="E15413"/>
        </row>
        <row r="15414">
          <cell r="A15414"/>
          <cell r="B15414"/>
          <cell r="C15414"/>
          <cell r="D15414"/>
          <cell r="E15414"/>
        </row>
        <row r="15415">
          <cell r="A15415"/>
          <cell r="B15415"/>
          <cell r="C15415"/>
          <cell r="D15415"/>
          <cell r="E15415"/>
        </row>
        <row r="15416">
          <cell r="A15416"/>
          <cell r="B15416"/>
          <cell r="C15416"/>
          <cell r="D15416"/>
          <cell r="E15416"/>
        </row>
        <row r="15417">
          <cell r="A15417"/>
          <cell r="B15417"/>
          <cell r="C15417"/>
          <cell r="D15417"/>
          <cell r="E15417"/>
        </row>
        <row r="15418">
          <cell r="A15418"/>
          <cell r="B15418"/>
          <cell r="C15418"/>
          <cell r="D15418"/>
          <cell r="E15418"/>
        </row>
        <row r="15419">
          <cell r="A15419"/>
          <cell r="B15419"/>
          <cell r="C15419"/>
          <cell r="D15419"/>
          <cell r="E15419"/>
        </row>
        <row r="15420">
          <cell r="A15420"/>
          <cell r="B15420"/>
          <cell r="C15420"/>
          <cell r="D15420"/>
          <cell r="E15420"/>
        </row>
        <row r="15421">
          <cell r="A15421"/>
          <cell r="B15421"/>
          <cell r="C15421"/>
          <cell r="D15421"/>
          <cell r="E15421"/>
        </row>
        <row r="15422">
          <cell r="A15422"/>
          <cell r="B15422"/>
          <cell r="C15422"/>
          <cell r="D15422"/>
          <cell r="E15422"/>
        </row>
        <row r="15423">
          <cell r="A15423"/>
          <cell r="B15423"/>
          <cell r="C15423"/>
          <cell r="D15423"/>
          <cell r="E15423"/>
        </row>
        <row r="15424">
          <cell r="A15424"/>
          <cell r="B15424"/>
          <cell r="C15424"/>
          <cell r="D15424"/>
          <cell r="E15424"/>
        </row>
        <row r="15425">
          <cell r="A15425"/>
          <cell r="B15425"/>
          <cell r="C15425"/>
          <cell r="D15425"/>
          <cell r="E15425"/>
        </row>
        <row r="15426">
          <cell r="A15426"/>
          <cell r="B15426"/>
          <cell r="C15426"/>
          <cell r="D15426"/>
          <cell r="E15426"/>
        </row>
        <row r="15427">
          <cell r="A15427"/>
          <cell r="B15427"/>
          <cell r="C15427"/>
          <cell r="D15427"/>
          <cell r="E15427"/>
        </row>
        <row r="15428">
          <cell r="A15428"/>
          <cell r="B15428"/>
          <cell r="C15428"/>
          <cell r="D15428"/>
          <cell r="E15428"/>
        </row>
        <row r="15429">
          <cell r="A15429"/>
          <cell r="B15429"/>
          <cell r="C15429"/>
          <cell r="D15429"/>
          <cell r="E15429"/>
        </row>
        <row r="15430">
          <cell r="A15430"/>
          <cell r="B15430"/>
          <cell r="C15430"/>
          <cell r="D15430"/>
          <cell r="E15430"/>
        </row>
        <row r="15431">
          <cell r="A15431"/>
          <cell r="B15431"/>
          <cell r="C15431"/>
          <cell r="D15431"/>
          <cell r="E15431"/>
        </row>
        <row r="15432">
          <cell r="A15432"/>
          <cell r="B15432"/>
          <cell r="C15432"/>
          <cell r="D15432"/>
          <cell r="E15432"/>
        </row>
        <row r="15433">
          <cell r="A15433"/>
          <cell r="B15433"/>
          <cell r="C15433"/>
          <cell r="D15433"/>
          <cell r="E15433"/>
        </row>
        <row r="15434">
          <cell r="A15434"/>
          <cell r="B15434"/>
          <cell r="C15434"/>
          <cell r="D15434"/>
          <cell r="E15434"/>
        </row>
        <row r="15435">
          <cell r="A15435"/>
          <cell r="B15435"/>
          <cell r="C15435"/>
          <cell r="D15435"/>
          <cell r="E15435"/>
        </row>
        <row r="15436">
          <cell r="A15436"/>
          <cell r="B15436"/>
          <cell r="C15436"/>
          <cell r="D15436"/>
          <cell r="E15436"/>
        </row>
        <row r="15437">
          <cell r="A15437"/>
          <cell r="B15437"/>
          <cell r="C15437"/>
          <cell r="D15437"/>
          <cell r="E15437"/>
        </row>
        <row r="15438">
          <cell r="A15438"/>
          <cell r="B15438"/>
          <cell r="C15438"/>
          <cell r="D15438"/>
          <cell r="E15438"/>
        </row>
        <row r="15439">
          <cell r="A15439"/>
          <cell r="B15439"/>
          <cell r="C15439"/>
          <cell r="D15439"/>
          <cell r="E15439"/>
        </row>
        <row r="15440">
          <cell r="A15440"/>
          <cell r="B15440"/>
          <cell r="C15440"/>
          <cell r="D15440"/>
          <cell r="E15440"/>
        </row>
        <row r="15441">
          <cell r="A15441"/>
          <cell r="B15441"/>
          <cell r="C15441"/>
          <cell r="D15441"/>
          <cell r="E15441"/>
        </row>
        <row r="15442">
          <cell r="A15442"/>
          <cell r="B15442"/>
          <cell r="C15442"/>
          <cell r="D15442"/>
          <cell r="E15442"/>
        </row>
        <row r="15443">
          <cell r="A15443"/>
          <cell r="B15443"/>
          <cell r="C15443"/>
          <cell r="D15443"/>
          <cell r="E15443"/>
        </row>
        <row r="15444">
          <cell r="A15444"/>
          <cell r="B15444"/>
          <cell r="C15444"/>
          <cell r="D15444"/>
          <cell r="E15444"/>
        </row>
        <row r="15445">
          <cell r="A15445"/>
          <cell r="B15445"/>
          <cell r="C15445"/>
          <cell r="D15445"/>
          <cell r="E15445"/>
        </row>
        <row r="15446">
          <cell r="A15446"/>
          <cell r="B15446"/>
          <cell r="C15446"/>
          <cell r="D15446"/>
          <cell r="E15446"/>
        </row>
        <row r="15447">
          <cell r="A15447"/>
          <cell r="B15447"/>
          <cell r="C15447"/>
          <cell r="D15447"/>
          <cell r="E15447"/>
        </row>
        <row r="15448">
          <cell r="A15448"/>
          <cell r="B15448"/>
          <cell r="C15448"/>
          <cell r="D15448"/>
          <cell r="E15448"/>
        </row>
        <row r="15449">
          <cell r="A15449"/>
          <cell r="B15449"/>
          <cell r="C15449"/>
          <cell r="D15449"/>
          <cell r="E15449"/>
        </row>
        <row r="15450">
          <cell r="A15450"/>
          <cell r="B15450"/>
          <cell r="C15450"/>
          <cell r="D15450"/>
          <cell r="E15450"/>
        </row>
        <row r="15451">
          <cell r="A15451"/>
          <cell r="B15451"/>
          <cell r="C15451"/>
          <cell r="D15451"/>
          <cell r="E15451"/>
        </row>
        <row r="15452">
          <cell r="A15452"/>
          <cell r="B15452"/>
          <cell r="C15452"/>
          <cell r="D15452"/>
          <cell r="E15452"/>
        </row>
        <row r="15453">
          <cell r="A15453"/>
          <cell r="B15453"/>
          <cell r="C15453"/>
          <cell r="D15453"/>
          <cell r="E15453"/>
        </row>
        <row r="15454">
          <cell r="A15454"/>
          <cell r="B15454"/>
          <cell r="C15454"/>
          <cell r="D15454"/>
          <cell r="E15454"/>
        </row>
        <row r="15455">
          <cell r="A15455"/>
          <cell r="B15455"/>
          <cell r="C15455"/>
          <cell r="D15455"/>
          <cell r="E15455"/>
        </row>
        <row r="15456">
          <cell r="A15456"/>
          <cell r="B15456"/>
          <cell r="C15456"/>
          <cell r="D15456"/>
          <cell r="E15456"/>
        </row>
        <row r="15457">
          <cell r="A15457"/>
          <cell r="B15457"/>
          <cell r="C15457"/>
          <cell r="D15457"/>
          <cell r="E15457"/>
        </row>
        <row r="15458">
          <cell r="A15458"/>
          <cell r="B15458"/>
          <cell r="C15458"/>
          <cell r="D15458"/>
          <cell r="E15458"/>
        </row>
        <row r="15459">
          <cell r="A15459"/>
          <cell r="B15459"/>
          <cell r="C15459"/>
          <cell r="D15459"/>
          <cell r="E15459"/>
        </row>
        <row r="15460">
          <cell r="A15460"/>
          <cell r="B15460"/>
          <cell r="C15460"/>
          <cell r="D15460"/>
          <cell r="E15460"/>
        </row>
        <row r="15461">
          <cell r="A15461"/>
          <cell r="B15461"/>
          <cell r="C15461"/>
          <cell r="D15461"/>
          <cell r="E15461"/>
        </row>
        <row r="15462">
          <cell r="A15462"/>
          <cell r="B15462"/>
          <cell r="C15462"/>
          <cell r="D15462"/>
          <cell r="E15462"/>
        </row>
        <row r="15463">
          <cell r="A15463"/>
          <cell r="B15463"/>
          <cell r="C15463"/>
          <cell r="D15463"/>
          <cell r="E15463"/>
        </row>
        <row r="15464">
          <cell r="A15464"/>
          <cell r="B15464"/>
          <cell r="C15464"/>
          <cell r="D15464"/>
          <cell r="E15464"/>
        </row>
        <row r="15465">
          <cell r="A15465"/>
          <cell r="B15465"/>
          <cell r="C15465"/>
          <cell r="D15465"/>
          <cell r="E15465"/>
        </row>
        <row r="15466">
          <cell r="A15466"/>
          <cell r="B15466"/>
          <cell r="C15466"/>
          <cell r="D15466"/>
          <cell r="E15466"/>
        </row>
        <row r="15467">
          <cell r="A15467"/>
          <cell r="B15467"/>
          <cell r="C15467"/>
          <cell r="D15467"/>
          <cell r="E15467"/>
        </row>
        <row r="15468">
          <cell r="A15468"/>
          <cell r="B15468"/>
          <cell r="C15468"/>
          <cell r="D15468"/>
          <cell r="E15468"/>
        </row>
        <row r="15469">
          <cell r="A15469"/>
          <cell r="B15469"/>
          <cell r="C15469"/>
          <cell r="D15469"/>
          <cell r="E15469"/>
        </row>
        <row r="15470">
          <cell r="A15470"/>
          <cell r="B15470"/>
          <cell r="C15470"/>
          <cell r="D15470"/>
          <cell r="E15470"/>
        </row>
        <row r="15471">
          <cell r="A15471"/>
          <cell r="B15471"/>
          <cell r="C15471"/>
          <cell r="D15471"/>
          <cell r="E15471"/>
        </row>
        <row r="15472">
          <cell r="A15472"/>
          <cell r="B15472"/>
          <cell r="C15472"/>
          <cell r="D15472"/>
          <cell r="E15472"/>
        </row>
        <row r="15473">
          <cell r="A15473"/>
          <cell r="B15473"/>
          <cell r="C15473"/>
          <cell r="D15473"/>
          <cell r="E15473"/>
        </row>
        <row r="15474">
          <cell r="A15474"/>
          <cell r="B15474"/>
          <cell r="C15474"/>
          <cell r="D15474"/>
          <cell r="E15474"/>
        </row>
        <row r="15475">
          <cell r="A15475"/>
          <cell r="B15475"/>
          <cell r="C15475"/>
          <cell r="D15475"/>
          <cell r="E15475"/>
        </row>
        <row r="15476">
          <cell r="A15476"/>
          <cell r="B15476"/>
          <cell r="C15476"/>
          <cell r="D15476"/>
          <cell r="E15476"/>
        </row>
        <row r="15477">
          <cell r="A15477"/>
          <cell r="B15477"/>
          <cell r="C15477"/>
          <cell r="D15477"/>
          <cell r="E15477"/>
        </row>
        <row r="15478">
          <cell r="A15478"/>
          <cell r="B15478"/>
          <cell r="C15478"/>
          <cell r="D15478"/>
          <cell r="E15478"/>
        </row>
        <row r="15479">
          <cell r="A15479"/>
          <cell r="B15479"/>
          <cell r="C15479"/>
          <cell r="D15479"/>
          <cell r="E15479"/>
        </row>
        <row r="15480">
          <cell r="A15480"/>
          <cell r="B15480"/>
          <cell r="C15480"/>
          <cell r="D15480"/>
          <cell r="E15480"/>
        </row>
        <row r="15481">
          <cell r="A15481"/>
          <cell r="B15481"/>
          <cell r="C15481"/>
          <cell r="D15481"/>
          <cell r="E15481"/>
        </row>
        <row r="15482">
          <cell r="A15482"/>
          <cell r="B15482"/>
          <cell r="C15482"/>
          <cell r="D15482"/>
          <cell r="E15482"/>
        </row>
        <row r="15483">
          <cell r="A15483"/>
          <cell r="B15483"/>
          <cell r="C15483"/>
          <cell r="D15483"/>
          <cell r="E15483"/>
        </row>
        <row r="15484">
          <cell r="A15484"/>
          <cell r="B15484"/>
          <cell r="C15484"/>
          <cell r="D15484"/>
          <cell r="E15484"/>
        </row>
        <row r="15485">
          <cell r="A15485"/>
          <cell r="B15485"/>
          <cell r="C15485"/>
          <cell r="D15485"/>
          <cell r="E15485"/>
        </row>
        <row r="15486">
          <cell r="A15486"/>
          <cell r="B15486"/>
          <cell r="C15486"/>
          <cell r="D15486"/>
          <cell r="E15486"/>
        </row>
        <row r="15487">
          <cell r="A15487"/>
          <cell r="B15487"/>
          <cell r="C15487"/>
          <cell r="D15487"/>
          <cell r="E15487"/>
        </row>
        <row r="15488">
          <cell r="A15488"/>
          <cell r="B15488"/>
          <cell r="C15488"/>
          <cell r="D15488"/>
          <cell r="E15488"/>
        </row>
        <row r="15489">
          <cell r="A15489"/>
          <cell r="B15489"/>
          <cell r="C15489"/>
          <cell r="D15489"/>
          <cell r="E15489"/>
        </row>
        <row r="15490">
          <cell r="A15490"/>
          <cell r="B15490"/>
          <cell r="C15490"/>
          <cell r="D15490"/>
          <cell r="E15490"/>
        </row>
        <row r="15491">
          <cell r="A15491"/>
          <cell r="B15491"/>
          <cell r="C15491"/>
          <cell r="D15491"/>
          <cell r="E15491"/>
        </row>
        <row r="15492">
          <cell r="A15492"/>
          <cell r="B15492"/>
          <cell r="C15492"/>
          <cell r="D15492"/>
          <cell r="E15492"/>
        </row>
        <row r="15493">
          <cell r="A15493"/>
          <cell r="B15493"/>
          <cell r="C15493"/>
          <cell r="D15493"/>
          <cell r="E15493"/>
        </row>
        <row r="15494">
          <cell r="A15494"/>
          <cell r="B15494"/>
          <cell r="C15494"/>
          <cell r="D15494"/>
          <cell r="E15494"/>
        </row>
        <row r="15495">
          <cell r="A15495"/>
          <cell r="B15495"/>
          <cell r="C15495"/>
          <cell r="D15495"/>
          <cell r="E15495"/>
        </row>
        <row r="15496">
          <cell r="A15496"/>
          <cell r="B15496"/>
          <cell r="C15496"/>
          <cell r="D15496"/>
          <cell r="E15496"/>
        </row>
        <row r="15497">
          <cell r="A15497"/>
          <cell r="B15497"/>
          <cell r="C15497"/>
          <cell r="D15497"/>
          <cell r="E15497"/>
        </row>
        <row r="15498">
          <cell r="A15498"/>
          <cell r="B15498"/>
          <cell r="C15498"/>
          <cell r="D15498"/>
          <cell r="E15498"/>
        </row>
        <row r="15499">
          <cell r="A15499"/>
          <cell r="B15499"/>
          <cell r="C15499"/>
          <cell r="D15499"/>
          <cell r="E15499"/>
        </row>
        <row r="15500">
          <cell r="A15500"/>
          <cell r="B15500"/>
          <cell r="C15500"/>
          <cell r="D15500"/>
          <cell r="E15500"/>
        </row>
        <row r="15501">
          <cell r="A15501"/>
          <cell r="B15501"/>
          <cell r="C15501"/>
          <cell r="D15501"/>
          <cell r="E15501"/>
        </row>
        <row r="15502">
          <cell r="A15502"/>
          <cell r="B15502"/>
          <cell r="C15502"/>
          <cell r="D15502"/>
          <cell r="E15502"/>
        </row>
        <row r="15503">
          <cell r="A15503"/>
          <cell r="B15503"/>
          <cell r="C15503"/>
          <cell r="D15503"/>
          <cell r="E15503"/>
        </row>
        <row r="15504">
          <cell r="A15504"/>
          <cell r="B15504"/>
          <cell r="C15504"/>
          <cell r="D15504"/>
          <cell r="E15504"/>
        </row>
        <row r="15505">
          <cell r="A15505"/>
          <cell r="B15505"/>
          <cell r="C15505"/>
          <cell r="D15505"/>
          <cell r="E15505"/>
        </row>
        <row r="15506">
          <cell r="A15506"/>
          <cell r="B15506"/>
          <cell r="C15506"/>
          <cell r="D15506"/>
          <cell r="E15506"/>
        </row>
        <row r="15507">
          <cell r="A15507"/>
          <cell r="B15507"/>
          <cell r="C15507"/>
          <cell r="D15507"/>
          <cell r="E15507"/>
        </row>
        <row r="15508">
          <cell r="A15508"/>
          <cell r="B15508"/>
          <cell r="C15508"/>
          <cell r="D15508"/>
          <cell r="E15508"/>
        </row>
        <row r="15509">
          <cell r="A15509"/>
          <cell r="B15509"/>
          <cell r="C15509"/>
          <cell r="D15509"/>
          <cell r="E15509"/>
        </row>
        <row r="15510">
          <cell r="A15510"/>
          <cell r="B15510"/>
          <cell r="C15510"/>
          <cell r="D15510"/>
          <cell r="E15510"/>
        </row>
        <row r="15511">
          <cell r="A15511"/>
          <cell r="B15511"/>
          <cell r="C15511"/>
          <cell r="D15511"/>
          <cell r="E15511"/>
        </row>
        <row r="15512">
          <cell r="A15512"/>
          <cell r="B15512"/>
          <cell r="C15512"/>
          <cell r="D15512"/>
          <cell r="E15512"/>
        </row>
        <row r="15513">
          <cell r="A15513"/>
          <cell r="B15513"/>
          <cell r="C15513"/>
          <cell r="D15513"/>
          <cell r="E15513"/>
        </row>
        <row r="15514">
          <cell r="A15514"/>
          <cell r="B15514"/>
          <cell r="C15514"/>
          <cell r="D15514"/>
          <cell r="E15514"/>
        </row>
        <row r="15515">
          <cell r="A15515"/>
          <cell r="B15515"/>
          <cell r="C15515"/>
          <cell r="D15515"/>
          <cell r="E15515"/>
        </row>
        <row r="15516">
          <cell r="A15516"/>
          <cell r="B15516"/>
          <cell r="C15516"/>
          <cell r="D15516"/>
          <cell r="E15516"/>
        </row>
        <row r="15517">
          <cell r="A15517"/>
          <cell r="B15517"/>
          <cell r="C15517"/>
          <cell r="D15517"/>
          <cell r="E15517"/>
        </row>
        <row r="15518">
          <cell r="A15518"/>
          <cell r="B15518"/>
          <cell r="C15518"/>
          <cell r="D15518"/>
          <cell r="E15518"/>
        </row>
        <row r="15519">
          <cell r="A15519"/>
          <cell r="B15519"/>
          <cell r="C15519"/>
          <cell r="D15519"/>
          <cell r="E15519"/>
        </row>
        <row r="15520">
          <cell r="A15520"/>
          <cell r="B15520"/>
          <cell r="C15520"/>
          <cell r="D15520"/>
          <cell r="E15520"/>
        </row>
        <row r="15521">
          <cell r="A15521"/>
          <cell r="B15521"/>
          <cell r="C15521"/>
          <cell r="D15521"/>
          <cell r="E15521"/>
        </row>
        <row r="15522">
          <cell r="A15522"/>
          <cell r="B15522"/>
          <cell r="C15522"/>
          <cell r="D15522"/>
          <cell r="E15522"/>
        </row>
        <row r="15523">
          <cell r="A15523"/>
          <cell r="B15523"/>
          <cell r="C15523"/>
          <cell r="D15523"/>
          <cell r="E15523"/>
        </row>
        <row r="15524">
          <cell r="A15524"/>
          <cell r="B15524"/>
          <cell r="C15524"/>
          <cell r="D15524"/>
          <cell r="E15524"/>
        </row>
        <row r="15525">
          <cell r="A15525"/>
          <cell r="B15525"/>
          <cell r="C15525"/>
          <cell r="D15525"/>
          <cell r="E15525"/>
        </row>
        <row r="15526">
          <cell r="A15526"/>
          <cell r="B15526"/>
          <cell r="C15526"/>
          <cell r="D15526"/>
          <cell r="E15526"/>
        </row>
        <row r="15527">
          <cell r="A15527"/>
          <cell r="B15527"/>
          <cell r="C15527"/>
          <cell r="D15527"/>
          <cell r="E15527"/>
        </row>
        <row r="15528">
          <cell r="A15528"/>
          <cell r="B15528"/>
          <cell r="C15528"/>
          <cell r="D15528"/>
          <cell r="E15528"/>
        </row>
        <row r="15529">
          <cell r="A15529"/>
          <cell r="B15529"/>
          <cell r="C15529"/>
          <cell r="D15529"/>
          <cell r="E15529"/>
        </row>
        <row r="15530">
          <cell r="A15530"/>
          <cell r="B15530"/>
          <cell r="C15530"/>
          <cell r="D15530"/>
          <cell r="E15530"/>
        </row>
        <row r="15531">
          <cell r="A15531"/>
          <cell r="B15531"/>
          <cell r="C15531"/>
          <cell r="D15531"/>
          <cell r="E15531"/>
        </row>
        <row r="15532">
          <cell r="A15532"/>
          <cell r="B15532"/>
          <cell r="C15532"/>
          <cell r="D15532"/>
          <cell r="E15532"/>
        </row>
        <row r="15533">
          <cell r="A15533"/>
          <cell r="B15533"/>
          <cell r="C15533"/>
          <cell r="D15533"/>
          <cell r="E15533"/>
        </row>
        <row r="15534">
          <cell r="A15534"/>
          <cell r="B15534"/>
          <cell r="C15534"/>
          <cell r="D15534"/>
          <cell r="E15534"/>
        </row>
        <row r="15535">
          <cell r="A15535"/>
          <cell r="B15535"/>
          <cell r="C15535"/>
          <cell r="D15535"/>
          <cell r="E15535"/>
        </row>
        <row r="15536">
          <cell r="A15536"/>
          <cell r="B15536"/>
          <cell r="C15536"/>
          <cell r="D15536"/>
          <cell r="E15536"/>
        </row>
        <row r="15537">
          <cell r="A15537"/>
          <cell r="B15537"/>
          <cell r="C15537"/>
          <cell r="D15537"/>
          <cell r="E15537"/>
        </row>
        <row r="15538">
          <cell r="A15538"/>
          <cell r="B15538"/>
          <cell r="C15538"/>
          <cell r="D15538"/>
          <cell r="E15538"/>
        </row>
        <row r="15539">
          <cell r="A15539"/>
          <cell r="B15539"/>
          <cell r="C15539"/>
          <cell r="D15539"/>
          <cell r="E15539"/>
        </row>
        <row r="15540">
          <cell r="A15540"/>
          <cell r="B15540"/>
          <cell r="C15540"/>
          <cell r="D15540"/>
          <cell r="E15540"/>
        </row>
        <row r="15541">
          <cell r="A15541"/>
          <cell r="B15541"/>
          <cell r="C15541"/>
          <cell r="D15541"/>
          <cell r="E15541"/>
        </row>
        <row r="15542">
          <cell r="A15542"/>
          <cell r="B15542"/>
          <cell r="C15542"/>
          <cell r="D15542"/>
          <cell r="E15542"/>
        </row>
        <row r="15543">
          <cell r="A15543"/>
          <cell r="B15543"/>
          <cell r="C15543"/>
          <cell r="D15543"/>
          <cell r="E15543"/>
        </row>
        <row r="15544">
          <cell r="A15544"/>
          <cell r="B15544"/>
          <cell r="C15544"/>
          <cell r="D15544"/>
          <cell r="E15544"/>
        </row>
        <row r="15545">
          <cell r="A15545"/>
          <cell r="B15545"/>
          <cell r="C15545"/>
          <cell r="D15545"/>
          <cell r="E15545"/>
        </row>
        <row r="15546">
          <cell r="A15546"/>
          <cell r="B15546"/>
          <cell r="C15546"/>
          <cell r="D15546"/>
          <cell r="E15546"/>
        </row>
        <row r="15547">
          <cell r="A15547"/>
          <cell r="B15547"/>
          <cell r="C15547"/>
          <cell r="D15547"/>
          <cell r="E15547"/>
        </row>
        <row r="15548">
          <cell r="A15548"/>
          <cell r="B15548"/>
          <cell r="C15548"/>
          <cell r="D15548"/>
          <cell r="E15548"/>
        </row>
        <row r="15549">
          <cell r="A15549"/>
          <cell r="B15549"/>
          <cell r="C15549"/>
          <cell r="D15549"/>
          <cell r="E15549"/>
        </row>
        <row r="15550">
          <cell r="A15550"/>
          <cell r="B15550"/>
          <cell r="C15550"/>
          <cell r="D15550"/>
          <cell r="E15550"/>
        </row>
        <row r="15551">
          <cell r="A15551"/>
          <cell r="B15551"/>
          <cell r="C15551"/>
          <cell r="D15551"/>
          <cell r="E15551"/>
        </row>
        <row r="15552">
          <cell r="A15552"/>
          <cell r="B15552"/>
          <cell r="C15552"/>
          <cell r="D15552"/>
          <cell r="E15552"/>
        </row>
        <row r="15553">
          <cell r="A15553"/>
          <cell r="B15553"/>
          <cell r="C15553"/>
          <cell r="D15553"/>
          <cell r="E15553"/>
        </row>
        <row r="15554">
          <cell r="A15554"/>
          <cell r="B15554"/>
          <cell r="C15554"/>
          <cell r="D15554"/>
          <cell r="E15554"/>
        </row>
        <row r="15555">
          <cell r="A15555"/>
          <cell r="B15555"/>
          <cell r="C15555"/>
          <cell r="D15555"/>
          <cell r="E15555"/>
        </row>
        <row r="15556">
          <cell r="A15556"/>
          <cell r="B15556"/>
          <cell r="C15556"/>
          <cell r="D15556"/>
          <cell r="E15556"/>
        </row>
        <row r="15557">
          <cell r="A15557"/>
          <cell r="B15557"/>
          <cell r="C15557"/>
          <cell r="D15557"/>
          <cell r="E15557"/>
        </row>
        <row r="15558">
          <cell r="A15558"/>
          <cell r="B15558"/>
          <cell r="C15558"/>
          <cell r="D15558"/>
          <cell r="E15558"/>
        </row>
        <row r="15559">
          <cell r="A15559"/>
          <cell r="B15559"/>
          <cell r="C15559"/>
          <cell r="D15559"/>
          <cell r="E15559"/>
        </row>
        <row r="15560">
          <cell r="A15560"/>
          <cell r="B15560"/>
          <cell r="C15560"/>
          <cell r="D15560"/>
          <cell r="E15560"/>
        </row>
        <row r="15561">
          <cell r="A15561"/>
          <cell r="B15561"/>
          <cell r="C15561"/>
          <cell r="D15561"/>
          <cell r="E15561"/>
        </row>
        <row r="15562">
          <cell r="A15562"/>
          <cell r="B15562"/>
          <cell r="C15562"/>
          <cell r="D15562"/>
          <cell r="E15562"/>
        </row>
        <row r="15563">
          <cell r="A15563"/>
          <cell r="B15563"/>
          <cell r="C15563"/>
          <cell r="D15563"/>
          <cell r="E15563"/>
        </row>
        <row r="15564">
          <cell r="A15564"/>
          <cell r="B15564"/>
          <cell r="C15564"/>
          <cell r="D15564"/>
          <cell r="E15564"/>
        </row>
        <row r="15565">
          <cell r="A15565"/>
          <cell r="B15565"/>
          <cell r="C15565"/>
          <cell r="D15565"/>
          <cell r="E15565"/>
        </row>
        <row r="15566">
          <cell r="A15566"/>
          <cell r="B15566"/>
          <cell r="C15566"/>
          <cell r="D15566"/>
          <cell r="E15566"/>
        </row>
        <row r="15567">
          <cell r="A15567"/>
          <cell r="B15567"/>
          <cell r="C15567"/>
          <cell r="D15567"/>
          <cell r="E15567"/>
        </row>
        <row r="15568">
          <cell r="A15568"/>
          <cell r="B15568"/>
          <cell r="C15568"/>
          <cell r="D15568"/>
          <cell r="E15568"/>
        </row>
        <row r="15569">
          <cell r="A15569"/>
          <cell r="B15569"/>
          <cell r="C15569"/>
          <cell r="D15569"/>
          <cell r="E15569"/>
        </row>
        <row r="15570">
          <cell r="A15570"/>
          <cell r="B15570"/>
          <cell r="C15570"/>
          <cell r="D15570"/>
          <cell r="E15570"/>
        </row>
        <row r="15571">
          <cell r="A15571"/>
          <cell r="B15571"/>
          <cell r="C15571"/>
          <cell r="D15571"/>
          <cell r="E15571"/>
        </row>
        <row r="15572">
          <cell r="A15572"/>
          <cell r="B15572"/>
          <cell r="C15572"/>
          <cell r="D15572"/>
          <cell r="E15572"/>
        </row>
        <row r="15573">
          <cell r="A15573"/>
          <cell r="B15573"/>
          <cell r="C15573"/>
          <cell r="D15573"/>
          <cell r="E15573"/>
        </row>
        <row r="15574">
          <cell r="A15574"/>
          <cell r="B15574"/>
          <cell r="C15574"/>
          <cell r="D15574"/>
          <cell r="E15574"/>
        </row>
        <row r="15575">
          <cell r="A15575"/>
          <cell r="B15575"/>
          <cell r="C15575"/>
          <cell r="D15575"/>
          <cell r="E15575"/>
        </row>
        <row r="15576">
          <cell r="A15576"/>
          <cell r="B15576"/>
          <cell r="C15576"/>
          <cell r="D15576"/>
          <cell r="E15576"/>
        </row>
        <row r="15577">
          <cell r="A15577"/>
          <cell r="B15577"/>
          <cell r="C15577"/>
          <cell r="D15577"/>
          <cell r="E15577"/>
        </row>
        <row r="15578">
          <cell r="A15578"/>
          <cell r="B15578"/>
          <cell r="C15578"/>
          <cell r="D15578"/>
          <cell r="E15578"/>
        </row>
        <row r="15579">
          <cell r="A15579"/>
          <cell r="B15579"/>
          <cell r="C15579"/>
          <cell r="D15579"/>
          <cell r="E15579"/>
        </row>
        <row r="15580">
          <cell r="A15580"/>
          <cell r="B15580"/>
          <cell r="C15580"/>
          <cell r="D15580"/>
          <cell r="E15580"/>
        </row>
        <row r="15581">
          <cell r="A15581"/>
          <cell r="B15581"/>
          <cell r="C15581"/>
          <cell r="D15581"/>
          <cell r="E15581"/>
        </row>
        <row r="15582">
          <cell r="A15582"/>
          <cell r="B15582"/>
          <cell r="C15582"/>
          <cell r="D15582"/>
          <cell r="E15582"/>
        </row>
        <row r="15583">
          <cell r="A15583"/>
          <cell r="B15583"/>
          <cell r="C15583"/>
          <cell r="D15583"/>
          <cell r="E15583"/>
        </row>
        <row r="15584">
          <cell r="A15584"/>
          <cell r="B15584"/>
          <cell r="C15584"/>
          <cell r="D15584"/>
          <cell r="E15584"/>
        </row>
        <row r="15585">
          <cell r="A15585"/>
          <cell r="B15585"/>
          <cell r="C15585"/>
          <cell r="D15585"/>
          <cell r="E15585"/>
        </row>
        <row r="15586">
          <cell r="A15586"/>
          <cell r="B15586"/>
          <cell r="C15586"/>
          <cell r="D15586"/>
          <cell r="E15586"/>
        </row>
        <row r="15587">
          <cell r="A15587"/>
          <cell r="B15587"/>
          <cell r="C15587"/>
          <cell r="D15587"/>
          <cell r="E15587"/>
        </row>
        <row r="15588">
          <cell r="A15588"/>
          <cell r="B15588"/>
          <cell r="C15588"/>
          <cell r="D15588"/>
          <cell r="E15588"/>
        </row>
        <row r="15589">
          <cell r="A15589"/>
          <cell r="B15589"/>
          <cell r="C15589"/>
          <cell r="D15589"/>
          <cell r="E15589"/>
        </row>
        <row r="15590">
          <cell r="A15590"/>
          <cell r="B15590"/>
          <cell r="C15590"/>
          <cell r="D15590"/>
          <cell r="E15590"/>
        </row>
        <row r="15591">
          <cell r="A15591"/>
          <cell r="B15591"/>
          <cell r="C15591"/>
          <cell r="D15591"/>
          <cell r="E15591"/>
        </row>
        <row r="15592">
          <cell r="A15592"/>
          <cell r="B15592"/>
          <cell r="C15592"/>
          <cell r="D15592"/>
          <cell r="E15592"/>
        </row>
        <row r="15593">
          <cell r="A15593"/>
          <cell r="B15593"/>
          <cell r="C15593"/>
          <cell r="D15593"/>
          <cell r="E15593"/>
        </row>
        <row r="15594">
          <cell r="A15594"/>
          <cell r="B15594"/>
          <cell r="C15594"/>
          <cell r="D15594"/>
          <cell r="E15594"/>
        </row>
        <row r="15595">
          <cell r="A15595"/>
          <cell r="B15595"/>
          <cell r="C15595"/>
          <cell r="D15595"/>
          <cell r="E15595"/>
        </row>
        <row r="15596">
          <cell r="A15596"/>
          <cell r="B15596"/>
          <cell r="C15596"/>
          <cell r="D15596"/>
          <cell r="E15596"/>
        </row>
        <row r="15597">
          <cell r="A15597"/>
          <cell r="B15597"/>
          <cell r="C15597"/>
          <cell r="D15597"/>
          <cell r="E15597"/>
        </row>
        <row r="15598">
          <cell r="A15598"/>
          <cell r="B15598"/>
          <cell r="C15598"/>
          <cell r="D15598"/>
          <cell r="E15598"/>
        </row>
        <row r="15599">
          <cell r="A15599"/>
          <cell r="B15599"/>
          <cell r="C15599"/>
          <cell r="D15599"/>
          <cell r="E15599"/>
        </row>
        <row r="15600">
          <cell r="A15600"/>
          <cell r="B15600"/>
          <cell r="C15600"/>
          <cell r="D15600"/>
          <cell r="E15600"/>
        </row>
        <row r="15601">
          <cell r="A15601"/>
          <cell r="B15601"/>
          <cell r="C15601"/>
          <cell r="D15601"/>
          <cell r="E15601"/>
        </row>
        <row r="15602">
          <cell r="A15602"/>
          <cell r="B15602"/>
          <cell r="C15602"/>
          <cell r="D15602"/>
          <cell r="E15602"/>
        </row>
        <row r="15603">
          <cell r="A15603"/>
          <cell r="B15603"/>
          <cell r="C15603"/>
          <cell r="D15603"/>
          <cell r="E15603"/>
        </row>
        <row r="15604">
          <cell r="A15604"/>
          <cell r="B15604"/>
          <cell r="C15604"/>
          <cell r="D15604"/>
          <cell r="E15604"/>
        </row>
        <row r="15605">
          <cell r="A15605"/>
          <cell r="B15605"/>
          <cell r="C15605"/>
          <cell r="D15605"/>
          <cell r="E15605"/>
        </row>
        <row r="15606">
          <cell r="A15606"/>
          <cell r="B15606"/>
          <cell r="C15606"/>
          <cell r="D15606"/>
          <cell r="E15606"/>
        </row>
        <row r="15607">
          <cell r="A15607"/>
          <cell r="B15607"/>
          <cell r="C15607"/>
          <cell r="D15607"/>
          <cell r="E15607"/>
        </row>
        <row r="15608">
          <cell r="A15608"/>
          <cell r="B15608"/>
          <cell r="C15608"/>
          <cell r="D15608"/>
          <cell r="E15608"/>
        </row>
        <row r="15609">
          <cell r="A15609"/>
          <cell r="B15609"/>
          <cell r="C15609"/>
          <cell r="D15609"/>
          <cell r="E15609"/>
        </row>
        <row r="15610">
          <cell r="A15610"/>
          <cell r="B15610"/>
          <cell r="C15610"/>
          <cell r="D15610"/>
          <cell r="E15610"/>
        </row>
        <row r="15611">
          <cell r="A15611"/>
          <cell r="B15611"/>
          <cell r="C15611"/>
          <cell r="D15611"/>
          <cell r="E15611"/>
        </row>
        <row r="15612">
          <cell r="A15612"/>
          <cell r="B15612"/>
          <cell r="C15612"/>
          <cell r="D15612"/>
          <cell r="E15612"/>
        </row>
        <row r="15613">
          <cell r="A15613"/>
          <cell r="B15613"/>
          <cell r="C15613"/>
          <cell r="D15613"/>
          <cell r="E15613"/>
        </row>
        <row r="15614">
          <cell r="A15614"/>
          <cell r="B15614"/>
          <cell r="C15614"/>
          <cell r="D15614"/>
          <cell r="E15614"/>
        </row>
        <row r="15615">
          <cell r="A15615"/>
          <cell r="B15615"/>
          <cell r="C15615"/>
          <cell r="D15615"/>
          <cell r="E15615"/>
        </row>
        <row r="15616">
          <cell r="A15616"/>
          <cell r="B15616"/>
          <cell r="C15616"/>
          <cell r="D15616"/>
          <cell r="E15616"/>
        </row>
        <row r="15617">
          <cell r="A15617"/>
          <cell r="B15617"/>
          <cell r="C15617"/>
          <cell r="D15617"/>
          <cell r="E15617"/>
        </row>
        <row r="15618">
          <cell r="A15618"/>
          <cell r="B15618"/>
          <cell r="C15618"/>
          <cell r="D15618"/>
          <cell r="E15618"/>
        </row>
        <row r="15619">
          <cell r="A15619"/>
          <cell r="B15619"/>
          <cell r="C15619"/>
          <cell r="D15619"/>
          <cell r="E15619"/>
        </row>
        <row r="15620">
          <cell r="A15620"/>
          <cell r="B15620"/>
          <cell r="C15620"/>
          <cell r="D15620"/>
          <cell r="E15620"/>
        </row>
        <row r="15621">
          <cell r="A15621"/>
          <cell r="B15621"/>
          <cell r="C15621"/>
          <cell r="D15621"/>
          <cell r="E15621"/>
        </row>
        <row r="15622">
          <cell r="A15622"/>
          <cell r="B15622"/>
          <cell r="C15622"/>
          <cell r="D15622"/>
          <cell r="E15622"/>
        </row>
        <row r="15623">
          <cell r="A15623"/>
          <cell r="B15623"/>
          <cell r="C15623"/>
          <cell r="D15623"/>
          <cell r="E15623"/>
        </row>
        <row r="15624">
          <cell r="A15624"/>
          <cell r="B15624"/>
          <cell r="C15624"/>
          <cell r="D15624"/>
          <cell r="E15624"/>
        </row>
        <row r="15625">
          <cell r="A15625"/>
          <cell r="B15625"/>
          <cell r="C15625"/>
          <cell r="D15625"/>
          <cell r="E15625"/>
        </row>
        <row r="15626">
          <cell r="A15626"/>
          <cell r="B15626"/>
          <cell r="C15626"/>
          <cell r="D15626"/>
          <cell r="E15626"/>
        </row>
        <row r="15627">
          <cell r="A15627"/>
          <cell r="B15627"/>
          <cell r="C15627"/>
          <cell r="D15627"/>
          <cell r="E15627"/>
        </row>
        <row r="15628">
          <cell r="A15628"/>
          <cell r="B15628"/>
          <cell r="C15628"/>
          <cell r="D15628"/>
          <cell r="E15628"/>
        </row>
        <row r="15629">
          <cell r="A15629"/>
          <cell r="B15629"/>
          <cell r="C15629"/>
          <cell r="D15629"/>
          <cell r="E15629"/>
        </row>
        <row r="15630">
          <cell r="A15630"/>
          <cell r="B15630"/>
          <cell r="C15630"/>
          <cell r="D15630"/>
          <cell r="E15630"/>
        </row>
        <row r="15631">
          <cell r="A15631"/>
          <cell r="B15631"/>
          <cell r="C15631"/>
          <cell r="D15631"/>
          <cell r="E15631"/>
        </row>
        <row r="15632">
          <cell r="A15632"/>
          <cell r="B15632"/>
          <cell r="C15632"/>
          <cell r="D15632"/>
          <cell r="E15632"/>
        </row>
        <row r="15633">
          <cell r="A15633"/>
          <cell r="B15633"/>
          <cell r="C15633"/>
          <cell r="D15633"/>
          <cell r="E15633"/>
        </row>
        <row r="15634">
          <cell r="A15634"/>
          <cell r="B15634"/>
          <cell r="C15634"/>
          <cell r="D15634"/>
          <cell r="E15634"/>
        </row>
        <row r="15635">
          <cell r="A15635"/>
          <cell r="B15635"/>
          <cell r="C15635"/>
          <cell r="D15635"/>
          <cell r="E15635"/>
        </row>
        <row r="15636">
          <cell r="A15636"/>
          <cell r="B15636"/>
          <cell r="C15636"/>
          <cell r="D15636"/>
          <cell r="E15636"/>
        </row>
        <row r="15637">
          <cell r="A15637"/>
          <cell r="B15637"/>
          <cell r="C15637"/>
          <cell r="D15637"/>
          <cell r="E15637"/>
        </row>
        <row r="15638">
          <cell r="A15638"/>
          <cell r="B15638"/>
          <cell r="C15638"/>
          <cell r="D15638"/>
          <cell r="E15638"/>
        </row>
        <row r="15639">
          <cell r="A15639"/>
          <cell r="B15639"/>
          <cell r="C15639"/>
          <cell r="D15639"/>
          <cell r="E15639"/>
        </row>
        <row r="15640">
          <cell r="A15640"/>
          <cell r="B15640"/>
          <cell r="C15640"/>
          <cell r="D15640"/>
          <cell r="E15640"/>
        </row>
        <row r="15641">
          <cell r="A15641"/>
          <cell r="B15641"/>
          <cell r="C15641"/>
          <cell r="D15641"/>
          <cell r="E15641"/>
        </row>
        <row r="15642">
          <cell r="A15642"/>
          <cell r="B15642"/>
          <cell r="C15642"/>
          <cell r="D15642"/>
          <cell r="E15642"/>
        </row>
        <row r="15643">
          <cell r="A15643"/>
          <cell r="B15643"/>
          <cell r="C15643"/>
          <cell r="D15643"/>
          <cell r="E15643"/>
        </row>
        <row r="15644">
          <cell r="A15644"/>
          <cell r="B15644"/>
          <cell r="C15644"/>
          <cell r="D15644"/>
          <cell r="E15644"/>
        </row>
        <row r="15645">
          <cell r="A15645"/>
          <cell r="B15645"/>
          <cell r="C15645"/>
          <cell r="D15645"/>
          <cell r="E15645"/>
        </row>
        <row r="15646">
          <cell r="A15646"/>
          <cell r="B15646"/>
          <cell r="C15646"/>
          <cell r="D15646"/>
          <cell r="E15646"/>
        </row>
        <row r="15647">
          <cell r="A15647"/>
          <cell r="B15647"/>
          <cell r="C15647"/>
          <cell r="D15647"/>
          <cell r="E15647"/>
        </row>
        <row r="15648">
          <cell r="A15648"/>
          <cell r="B15648"/>
          <cell r="C15648"/>
          <cell r="D15648"/>
          <cell r="E15648"/>
        </row>
        <row r="15649">
          <cell r="A15649"/>
          <cell r="B15649"/>
          <cell r="C15649"/>
          <cell r="D15649"/>
          <cell r="E15649"/>
        </row>
        <row r="15650">
          <cell r="A15650"/>
          <cell r="B15650"/>
          <cell r="C15650"/>
          <cell r="D15650"/>
          <cell r="E15650"/>
        </row>
        <row r="15651">
          <cell r="A15651"/>
          <cell r="B15651"/>
          <cell r="C15651"/>
          <cell r="D15651"/>
          <cell r="E15651"/>
        </row>
        <row r="15652">
          <cell r="A15652"/>
          <cell r="B15652"/>
          <cell r="C15652"/>
          <cell r="D15652"/>
          <cell r="E15652"/>
        </row>
        <row r="15653">
          <cell r="A15653"/>
          <cell r="B15653"/>
          <cell r="C15653"/>
          <cell r="D15653"/>
          <cell r="E15653"/>
        </row>
        <row r="15654">
          <cell r="A15654"/>
          <cell r="B15654"/>
          <cell r="C15654"/>
          <cell r="D15654"/>
          <cell r="E15654"/>
        </row>
        <row r="15655">
          <cell r="A15655"/>
          <cell r="B15655"/>
          <cell r="C15655"/>
          <cell r="D15655"/>
          <cell r="E15655"/>
        </row>
        <row r="15656">
          <cell r="A15656"/>
          <cell r="B15656"/>
          <cell r="C15656"/>
          <cell r="D15656"/>
          <cell r="E15656"/>
        </row>
        <row r="15657">
          <cell r="A15657"/>
          <cell r="B15657"/>
          <cell r="C15657"/>
          <cell r="D15657"/>
          <cell r="E15657"/>
        </row>
        <row r="15658">
          <cell r="A15658"/>
          <cell r="B15658"/>
          <cell r="C15658"/>
          <cell r="D15658"/>
          <cell r="E15658"/>
        </row>
        <row r="15659">
          <cell r="A15659"/>
          <cell r="B15659"/>
          <cell r="C15659"/>
          <cell r="D15659"/>
          <cell r="E15659"/>
        </row>
        <row r="15660">
          <cell r="A15660"/>
          <cell r="B15660"/>
          <cell r="C15660"/>
          <cell r="D15660"/>
          <cell r="E15660"/>
        </row>
        <row r="15661">
          <cell r="A15661"/>
          <cell r="B15661"/>
          <cell r="C15661"/>
          <cell r="D15661"/>
          <cell r="E15661"/>
        </row>
        <row r="15662">
          <cell r="A15662"/>
          <cell r="B15662"/>
          <cell r="C15662"/>
          <cell r="D15662"/>
          <cell r="E15662"/>
        </row>
        <row r="15663">
          <cell r="A15663"/>
          <cell r="B15663"/>
          <cell r="C15663"/>
          <cell r="D15663"/>
          <cell r="E15663"/>
        </row>
        <row r="15664">
          <cell r="A15664"/>
          <cell r="B15664"/>
          <cell r="C15664"/>
          <cell r="D15664"/>
          <cell r="E15664"/>
        </row>
        <row r="15665">
          <cell r="A15665"/>
          <cell r="B15665"/>
          <cell r="C15665"/>
          <cell r="D15665"/>
          <cell r="E15665"/>
        </row>
        <row r="15666">
          <cell r="A15666"/>
          <cell r="B15666"/>
          <cell r="C15666"/>
          <cell r="D15666"/>
          <cell r="E15666"/>
        </row>
        <row r="15667">
          <cell r="A15667"/>
          <cell r="B15667"/>
          <cell r="C15667"/>
          <cell r="D15667"/>
          <cell r="E15667"/>
        </row>
        <row r="15668">
          <cell r="A15668"/>
          <cell r="B15668"/>
          <cell r="C15668"/>
          <cell r="D15668"/>
          <cell r="E15668"/>
        </row>
        <row r="15669">
          <cell r="A15669"/>
          <cell r="B15669"/>
          <cell r="C15669"/>
          <cell r="D15669"/>
          <cell r="E15669"/>
        </row>
        <row r="15670">
          <cell r="A15670"/>
          <cell r="B15670"/>
          <cell r="C15670"/>
          <cell r="D15670"/>
          <cell r="E15670"/>
        </row>
        <row r="15671">
          <cell r="A15671"/>
          <cell r="B15671"/>
          <cell r="C15671"/>
          <cell r="D15671"/>
          <cell r="E15671"/>
        </row>
        <row r="15672">
          <cell r="A15672"/>
          <cell r="B15672"/>
          <cell r="C15672"/>
          <cell r="D15672"/>
          <cell r="E15672"/>
        </row>
        <row r="15673">
          <cell r="A15673"/>
          <cell r="B15673"/>
          <cell r="C15673"/>
          <cell r="D15673"/>
          <cell r="E15673"/>
        </row>
        <row r="15674">
          <cell r="A15674"/>
          <cell r="B15674"/>
          <cell r="C15674"/>
          <cell r="D15674"/>
          <cell r="E15674"/>
        </row>
        <row r="15675">
          <cell r="A15675"/>
          <cell r="B15675"/>
          <cell r="C15675"/>
          <cell r="D15675"/>
          <cell r="E15675"/>
        </row>
        <row r="15676">
          <cell r="A15676"/>
          <cell r="B15676"/>
          <cell r="C15676"/>
          <cell r="D15676"/>
          <cell r="E15676"/>
        </row>
        <row r="15677">
          <cell r="A15677"/>
          <cell r="B15677"/>
          <cell r="C15677"/>
          <cell r="D15677"/>
          <cell r="E15677"/>
        </row>
        <row r="15678">
          <cell r="A15678"/>
          <cell r="B15678"/>
          <cell r="C15678"/>
          <cell r="D15678"/>
          <cell r="E15678"/>
        </row>
        <row r="15679">
          <cell r="A15679"/>
          <cell r="B15679"/>
          <cell r="C15679"/>
          <cell r="D15679"/>
          <cell r="E15679"/>
        </row>
        <row r="15680">
          <cell r="A15680"/>
          <cell r="B15680"/>
          <cell r="C15680"/>
          <cell r="D15680"/>
          <cell r="E15680"/>
        </row>
        <row r="15681">
          <cell r="A15681"/>
          <cell r="B15681"/>
          <cell r="C15681"/>
          <cell r="D15681"/>
          <cell r="E15681"/>
        </row>
        <row r="15682">
          <cell r="A15682"/>
          <cell r="B15682"/>
          <cell r="C15682"/>
          <cell r="D15682"/>
          <cell r="E15682"/>
        </row>
        <row r="15683">
          <cell r="A15683"/>
          <cell r="B15683"/>
          <cell r="C15683"/>
          <cell r="D15683"/>
          <cell r="E15683"/>
        </row>
        <row r="15684">
          <cell r="A15684"/>
          <cell r="B15684"/>
          <cell r="C15684"/>
          <cell r="D15684"/>
          <cell r="E15684"/>
        </row>
        <row r="15685">
          <cell r="A15685"/>
          <cell r="B15685"/>
          <cell r="C15685"/>
          <cell r="D15685"/>
          <cell r="E15685"/>
        </row>
        <row r="15686">
          <cell r="A15686"/>
          <cell r="B15686"/>
          <cell r="C15686"/>
          <cell r="D15686"/>
          <cell r="E15686"/>
        </row>
        <row r="15687">
          <cell r="A15687"/>
          <cell r="B15687"/>
          <cell r="C15687"/>
          <cell r="D15687"/>
          <cell r="E15687"/>
        </row>
        <row r="15688">
          <cell r="A15688"/>
          <cell r="B15688"/>
          <cell r="C15688"/>
          <cell r="D15688"/>
          <cell r="E15688"/>
        </row>
        <row r="15689">
          <cell r="A15689"/>
          <cell r="B15689"/>
          <cell r="C15689"/>
          <cell r="D15689"/>
          <cell r="E15689"/>
        </row>
        <row r="15690">
          <cell r="A15690"/>
          <cell r="B15690"/>
          <cell r="C15690"/>
          <cell r="D15690"/>
          <cell r="E15690"/>
        </row>
        <row r="15691">
          <cell r="A15691"/>
          <cell r="B15691"/>
          <cell r="C15691"/>
          <cell r="D15691"/>
          <cell r="E15691"/>
        </row>
        <row r="15692">
          <cell r="A15692"/>
          <cell r="B15692"/>
          <cell r="C15692"/>
          <cell r="D15692"/>
          <cell r="E15692"/>
        </row>
        <row r="15693">
          <cell r="A15693"/>
          <cell r="B15693"/>
          <cell r="C15693"/>
          <cell r="D15693"/>
          <cell r="E15693"/>
        </row>
        <row r="15694">
          <cell r="A15694"/>
          <cell r="B15694"/>
          <cell r="C15694"/>
          <cell r="D15694"/>
          <cell r="E15694"/>
        </row>
        <row r="15695">
          <cell r="A15695"/>
          <cell r="B15695"/>
          <cell r="C15695"/>
          <cell r="D15695"/>
          <cell r="E15695"/>
        </row>
        <row r="15696">
          <cell r="A15696"/>
          <cell r="B15696"/>
          <cell r="C15696"/>
          <cell r="D15696"/>
          <cell r="E15696"/>
        </row>
        <row r="15697">
          <cell r="A15697"/>
          <cell r="B15697"/>
          <cell r="C15697"/>
          <cell r="D15697"/>
          <cell r="E15697"/>
        </row>
        <row r="15698">
          <cell r="A15698"/>
          <cell r="B15698"/>
          <cell r="C15698"/>
          <cell r="D15698"/>
          <cell r="E15698"/>
        </row>
        <row r="15699">
          <cell r="A15699"/>
          <cell r="B15699"/>
          <cell r="C15699"/>
          <cell r="D15699"/>
          <cell r="E15699"/>
        </row>
        <row r="15700">
          <cell r="A15700"/>
          <cell r="B15700"/>
          <cell r="C15700"/>
          <cell r="D15700"/>
          <cell r="E15700"/>
        </row>
        <row r="15701">
          <cell r="A15701"/>
          <cell r="B15701"/>
          <cell r="C15701"/>
          <cell r="D15701"/>
          <cell r="E15701"/>
        </row>
        <row r="15702">
          <cell r="A15702"/>
          <cell r="B15702"/>
          <cell r="C15702"/>
          <cell r="D15702"/>
          <cell r="E15702"/>
        </row>
        <row r="15703">
          <cell r="A15703"/>
          <cell r="B15703"/>
          <cell r="C15703"/>
          <cell r="D15703"/>
          <cell r="E15703"/>
        </row>
        <row r="15704">
          <cell r="A15704"/>
          <cell r="B15704"/>
          <cell r="C15704"/>
          <cell r="D15704"/>
          <cell r="E15704"/>
        </row>
        <row r="15705">
          <cell r="A15705"/>
          <cell r="B15705"/>
          <cell r="C15705"/>
          <cell r="D15705"/>
          <cell r="E15705"/>
        </row>
        <row r="15706">
          <cell r="A15706"/>
          <cell r="B15706"/>
          <cell r="C15706"/>
          <cell r="D15706"/>
          <cell r="E15706"/>
        </row>
        <row r="15707">
          <cell r="A15707"/>
          <cell r="B15707"/>
          <cell r="C15707"/>
          <cell r="D15707"/>
          <cell r="E15707"/>
        </row>
        <row r="15708">
          <cell r="A15708"/>
          <cell r="B15708"/>
          <cell r="C15708"/>
          <cell r="D15708"/>
          <cell r="E15708"/>
        </row>
        <row r="15709">
          <cell r="A15709"/>
          <cell r="B15709"/>
          <cell r="C15709"/>
          <cell r="D15709"/>
          <cell r="E15709"/>
        </row>
        <row r="15710">
          <cell r="A15710"/>
          <cell r="B15710"/>
          <cell r="C15710"/>
          <cell r="D15710"/>
          <cell r="E15710"/>
        </row>
        <row r="15711">
          <cell r="A15711"/>
          <cell r="B15711"/>
          <cell r="C15711"/>
          <cell r="D15711"/>
          <cell r="E15711"/>
        </row>
        <row r="15712">
          <cell r="A15712"/>
          <cell r="B15712"/>
          <cell r="C15712"/>
          <cell r="D15712"/>
          <cell r="E15712"/>
        </row>
        <row r="15713">
          <cell r="A15713"/>
          <cell r="B15713"/>
          <cell r="C15713"/>
          <cell r="D15713"/>
          <cell r="E15713"/>
        </row>
        <row r="15714">
          <cell r="A15714"/>
          <cell r="B15714"/>
          <cell r="C15714"/>
          <cell r="D15714"/>
          <cell r="E15714"/>
        </row>
        <row r="15715">
          <cell r="A15715"/>
          <cell r="B15715"/>
          <cell r="C15715"/>
          <cell r="D15715"/>
          <cell r="E15715"/>
        </row>
        <row r="15716">
          <cell r="A15716"/>
          <cell r="B15716"/>
          <cell r="C15716"/>
          <cell r="D15716"/>
          <cell r="E15716"/>
        </row>
        <row r="15717">
          <cell r="A15717"/>
          <cell r="B15717"/>
          <cell r="C15717"/>
          <cell r="D15717"/>
          <cell r="E15717"/>
        </row>
        <row r="15718">
          <cell r="A15718"/>
          <cell r="B15718"/>
          <cell r="C15718"/>
          <cell r="D15718"/>
          <cell r="E15718"/>
        </row>
        <row r="15719">
          <cell r="A15719"/>
          <cell r="B15719"/>
          <cell r="C15719"/>
          <cell r="D15719"/>
          <cell r="E15719"/>
        </row>
        <row r="15720">
          <cell r="A15720"/>
          <cell r="B15720"/>
          <cell r="C15720"/>
          <cell r="D15720"/>
          <cell r="E15720"/>
        </row>
        <row r="15721">
          <cell r="A15721"/>
          <cell r="B15721"/>
          <cell r="C15721"/>
          <cell r="D15721"/>
          <cell r="E15721"/>
        </row>
        <row r="15722">
          <cell r="A15722"/>
          <cell r="B15722"/>
          <cell r="C15722"/>
          <cell r="D15722"/>
          <cell r="E15722"/>
        </row>
        <row r="15723">
          <cell r="A15723"/>
          <cell r="B15723"/>
          <cell r="C15723"/>
          <cell r="D15723"/>
          <cell r="E15723"/>
        </row>
        <row r="15724">
          <cell r="A15724"/>
          <cell r="B15724"/>
          <cell r="C15724"/>
          <cell r="D15724"/>
          <cell r="E15724"/>
        </row>
        <row r="15725">
          <cell r="A15725"/>
          <cell r="B15725"/>
          <cell r="C15725"/>
          <cell r="D15725"/>
          <cell r="E15725"/>
        </row>
        <row r="15726">
          <cell r="A15726"/>
          <cell r="B15726"/>
          <cell r="C15726"/>
          <cell r="D15726"/>
          <cell r="E15726"/>
        </row>
        <row r="15727">
          <cell r="A15727"/>
          <cell r="B15727"/>
          <cell r="C15727"/>
          <cell r="D15727"/>
          <cell r="E15727"/>
        </row>
        <row r="15728">
          <cell r="A15728"/>
          <cell r="B15728"/>
          <cell r="C15728"/>
          <cell r="D15728"/>
          <cell r="E15728"/>
        </row>
        <row r="15729">
          <cell r="A15729"/>
          <cell r="B15729"/>
          <cell r="C15729"/>
          <cell r="D15729"/>
          <cell r="E15729"/>
        </row>
        <row r="15730">
          <cell r="A15730"/>
          <cell r="B15730"/>
          <cell r="C15730"/>
          <cell r="D15730"/>
          <cell r="E15730"/>
        </row>
        <row r="15731">
          <cell r="A15731"/>
          <cell r="B15731"/>
          <cell r="C15731"/>
          <cell r="D15731"/>
          <cell r="E15731"/>
        </row>
        <row r="15732">
          <cell r="A15732"/>
          <cell r="B15732"/>
          <cell r="C15732"/>
          <cell r="D15732"/>
          <cell r="E15732"/>
        </row>
        <row r="15733">
          <cell r="A15733"/>
          <cell r="B15733"/>
          <cell r="C15733"/>
          <cell r="D15733"/>
          <cell r="E15733"/>
        </row>
        <row r="15734">
          <cell r="A15734"/>
          <cell r="B15734"/>
          <cell r="C15734"/>
          <cell r="D15734"/>
          <cell r="E15734"/>
        </row>
        <row r="15735">
          <cell r="A15735"/>
          <cell r="B15735"/>
          <cell r="C15735"/>
          <cell r="D15735"/>
          <cell r="E15735"/>
        </row>
        <row r="15736">
          <cell r="A15736"/>
          <cell r="B15736"/>
          <cell r="C15736"/>
          <cell r="D15736"/>
          <cell r="E15736"/>
        </row>
        <row r="15737">
          <cell r="A15737"/>
          <cell r="B15737"/>
          <cell r="C15737"/>
          <cell r="D15737"/>
          <cell r="E15737"/>
        </row>
        <row r="15738">
          <cell r="A15738"/>
          <cell r="B15738"/>
          <cell r="C15738"/>
          <cell r="D15738"/>
          <cell r="E15738"/>
        </row>
        <row r="15739">
          <cell r="A15739"/>
          <cell r="B15739"/>
          <cell r="C15739"/>
          <cell r="D15739"/>
          <cell r="E15739"/>
        </row>
        <row r="15740">
          <cell r="A15740"/>
          <cell r="B15740"/>
          <cell r="C15740"/>
          <cell r="D15740"/>
          <cell r="E15740"/>
        </row>
        <row r="15741">
          <cell r="A15741"/>
          <cell r="B15741"/>
          <cell r="C15741"/>
          <cell r="D15741"/>
          <cell r="E15741"/>
        </row>
        <row r="15742">
          <cell r="A15742"/>
          <cell r="B15742"/>
          <cell r="C15742"/>
          <cell r="D15742"/>
          <cell r="E15742"/>
        </row>
        <row r="15743">
          <cell r="A15743"/>
          <cell r="B15743"/>
          <cell r="C15743"/>
          <cell r="D15743"/>
          <cell r="E15743"/>
        </row>
        <row r="15744">
          <cell r="A15744"/>
          <cell r="B15744"/>
          <cell r="C15744"/>
          <cell r="D15744"/>
          <cell r="E15744"/>
        </row>
        <row r="15745">
          <cell r="A15745"/>
          <cell r="B15745"/>
          <cell r="C15745"/>
          <cell r="D15745"/>
          <cell r="E15745"/>
        </row>
        <row r="15746">
          <cell r="A15746"/>
          <cell r="B15746"/>
          <cell r="C15746"/>
          <cell r="D15746"/>
          <cell r="E15746"/>
        </row>
        <row r="15747">
          <cell r="A15747"/>
          <cell r="B15747"/>
          <cell r="C15747"/>
          <cell r="D15747"/>
          <cell r="E15747"/>
        </row>
        <row r="15748">
          <cell r="A15748"/>
          <cell r="B15748"/>
          <cell r="C15748"/>
          <cell r="D15748"/>
          <cell r="E15748"/>
        </row>
        <row r="15749">
          <cell r="A15749"/>
          <cell r="B15749"/>
          <cell r="C15749"/>
          <cell r="D15749"/>
          <cell r="E15749"/>
        </row>
        <row r="15750">
          <cell r="A15750"/>
          <cell r="B15750"/>
          <cell r="C15750"/>
          <cell r="D15750"/>
          <cell r="E15750"/>
        </row>
        <row r="15751">
          <cell r="A15751"/>
          <cell r="B15751"/>
          <cell r="C15751"/>
          <cell r="D15751"/>
          <cell r="E15751"/>
        </row>
        <row r="15752">
          <cell r="A15752"/>
          <cell r="B15752"/>
          <cell r="C15752"/>
          <cell r="D15752"/>
          <cell r="E15752"/>
        </row>
        <row r="15753">
          <cell r="A15753"/>
          <cell r="B15753"/>
          <cell r="C15753"/>
          <cell r="D15753"/>
          <cell r="E15753"/>
        </row>
        <row r="15754">
          <cell r="A15754"/>
          <cell r="B15754"/>
          <cell r="C15754"/>
          <cell r="D15754"/>
          <cell r="E15754"/>
        </row>
        <row r="15755">
          <cell r="A15755"/>
          <cell r="B15755"/>
          <cell r="C15755"/>
          <cell r="D15755"/>
          <cell r="E15755"/>
        </row>
        <row r="15756">
          <cell r="A15756"/>
          <cell r="B15756"/>
          <cell r="C15756"/>
          <cell r="D15756"/>
          <cell r="E15756"/>
        </row>
        <row r="15757">
          <cell r="A15757"/>
          <cell r="B15757"/>
          <cell r="C15757"/>
          <cell r="D15757"/>
          <cell r="E15757"/>
        </row>
        <row r="15758">
          <cell r="A15758"/>
          <cell r="B15758"/>
          <cell r="C15758"/>
          <cell r="D15758"/>
          <cell r="E15758"/>
        </row>
        <row r="15759">
          <cell r="A15759"/>
          <cell r="B15759"/>
          <cell r="C15759"/>
          <cell r="D15759"/>
          <cell r="E15759"/>
        </row>
        <row r="15760">
          <cell r="A15760"/>
          <cell r="B15760"/>
          <cell r="C15760"/>
          <cell r="D15760"/>
          <cell r="E15760"/>
        </row>
        <row r="15761">
          <cell r="A15761"/>
          <cell r="B15761"/>
          <cell r="C15761"/>
          <cell r="D15761"/>
          <cell r="E15761"/>
        </row>
        <row r="15762">
          <cell r="A15762"/>
          <cell r="B15762"/>
          <cell r="C15762"/>
          <cell r="D15762"/>
          <cell r="E15762"/>
        </row>
        <row r="15763">
          <cell r="A15763"/>
          <cell r="B15763"/>
          <cell r="C15763"/>
          <cell r="D15763"/>
          <cell r="E15763"/>
        </row>
        <row r="15764">
          <cell r="A15764"/>
          <cell r="B15764"/>
          <cell r="C15764"/>
          <cell r="D15764"/>
          <cell r="E15764"/>
        </row>
        <row r="15765">
          <cell r="A15765"/>
          <cell r="B15765"/>
          <cell r="C15765"/>
          <cell r="D15765"/>
          <cell r="E15765"/>
        </row>
        <row r="15766">
          <cell r="A15766"/>
          <cell r="B15766"/>
          <cell r="C15766"/>
          <cell r="D15766"/>
          <cell r="E15766"/>
        </row>
        <row r="15767">
          <cell r="A15767"/>
          <cell r="B15767"/>
          <cell r="C15767"/>
          <cell r="D15767"/>
          <cell r="E15767"/>
        </row>
        <row r="15768">
          <cell r="A15768"/>
          <cell r="B15768"/>
          <cell r="C15768"/>
          <cell r="D15768"/>
          <cell r="E15768"/>
        </row>
        <row r="15769">
          <cell r="A15769"/>
          <cell r="B15769"/>
          <cell r="C15769"/>
          <cell r="D15769"/>
          <cell r="E15769"/>
        </row>
        <row r="15770">
          <cell r="A15770"/>
          <cell r="B15770"/>
          <cell r="C15770"/>
          <cell r="D15770"/>
          <cell r="E15770"/>
        </row>
        <row r="15771">
          <cell r="A15771"/>
          <cell r="B15771"/>
          <cell r="C15771"/>
          <cell r="D15771"/>
          <cell r="E15771"/>
        </row>
        <row r="15772">
          <cell r="A15772"/>
          <cell r="B15772"/>
          <cell r="C15772"/>
          <cell r="D15772"/>
          <cell r="E15772"/>
        </row>
        <row r="15773">
          <cell r="A15773"/>
          <cell r="B15773"/>
          <cell r="C15773"/>
          <cell r="D15773"/>
          <cell r="E15773"/>
        </row>
        <row r="15774">
          <cell r="A15774"/>
          <cell r="B15774"/>
          <cell r="C15774"/>
          <cell r="D15774"/>
          <cell r="E15774"/>
        </row>
        <row r="15775">
          <cell r="A15775"/>
          <cell r="B15775"/>
          <cell r="C15775"/>
          <cell r="D15775"/>
          <cell r="E15775"/>
        </row>
        <row r="15776">
          <cell r="A15776"/>
          <cell r="B15776"/>
          <cell r="C15776"/>
          <cell r="D15776"/>
          <cell r="E15776"/>
        </row>
        <row r="15777">
          <cell r="A15777"/>
          <cell r="B15777"/>
          <cell r="C15777"/>
          <cell r="D15777"/>
          <cell r="E15777"/>
        </row>
        <row r="15778">
          <cell r="A15778"/>
          <cell r="B15778"/>
          <cell r="C15778"/>
          <cell r="D15778"/>
          <cell r="E15778"/>
        </row>
        <row r="15779">
          <cell r="A15779"/>
          <cell r="B15779"/>
          <cell r="C15779"/>
          <cell r="D15779"/>
          <cell r="E15779"/>
        </row>
        <row r="15780">
          <cell r="A15780"/>
          <cell r="B15780"/>
          <cell r="C15780"/>
          <cell r="D15780"/>
          <cell r="E15780"/>
        </row>
        <row r="15781">
          <cell r="A15781"/>
          <cell r="B15781"/>
          <cell r="C15781"/>
          <cell r="D15781"/>
          <cell r="E15781"/>
        </row>
        <row r="15782">
          <cell r="A15782"/>
          <cell r="B15782"/>
          <cell r="C15782"/>
          <cell r="D15782"/>
          <cell r="E15782"/>
        </row>
        <row r="15783">
          <cell r="A15783"/>
          <cell r="B15783"/>
          <cell r="C15783"/>
          <cell r="D15783"/>
          <cell r="E15783"/>
        </row>
        <row r="15784">
          <cell r="A15784"/>
          <cell r="B15784"/>
          <cell r="C15784"/>
          <cell r="D15784"/>
          <cell r="E15784"/>
        </row>
        <row r="15785">
          <cell r="A15785"/>
          <cell r="B15785"/>
          <cell r="C15785"/>
          <cell r="D15785"/>
          <cell r="E15785"/>
        </row>
        <row r="15786">
          <cell r="A15786"/>
          <cell r="B15786"/>
          <cell r="C15786"/>
          <cell r="D15786"/>
          <cell r="E15786"/>
        </row>
        <row r="15787">
          <cell r="A15787"/>
          <cell r="B15787"/>
          <cell r="C15787"/>
          <cell r="D15787"/>
          <cell r="E15787"/>
        </row>
        <row r="15788">
          <cell r="A15788"/>
          <cell r="B15788"/>
          <cell r="C15788"/>
          <cell r="D15788"/>
          <cell r="E15788"/>
        </row>
        <row r="15789">
          <cell r="A15789"/>
          <cell r="B15789"/>
          <cell r="C15789"/>
          <cell r="D15789"/>
          <cell r="E15789"/>
        </row>
        <row r="15790">
          <cell r="A15790"/>
          <cell r="B15790"/>
          <cell r="C15790"/>
          <cell r="D15790"/>
          <cell r="E15790"/>
        </row>
        <row r="15791">
          <cell r="A15791"/>
          <cell r="B15791"/>
          <cell r="C15791"/>
          <cell r="D15791"/>
          <cell r="E15791"/>
        </row>
        <row r="15792">
          <cell r="A15792"/>
          <cell r="B15792"/>
          <cell r="C15792"/>
          <cell r="D15792"/>
          <cell r="E15792"/>
        </row>
        <row r="15793">
          <cell r="A15793"/>
          <cell r="B15793"/>
          <cell r="C15793"/>
          <cell r="D15793"/>
          <cell r="E15793"/>
        </row>
        <row r="15794">
          <cell r="A15794"/>
          <cell r="B15794"/>
          <cell r="C15794"/>
          <cell r="D15794"/>
          <cell r="E15794"/>
        </row>
        <row r="15795">
          <cell r="A15795"/>
          <cell r="B15795"/>
          <cell r="C15795"/>
          <cell r="D15795"/>
          <cell r="E15795"/>
        </row>
        <row r="15796">
          <cell r="A15796"/>
          <cell r="B15796"/>
          <cell r="C15796"/>
          <cell r="D15796"/>
          <cell r="E15796"/>
        </row>
        <row r="15797">
          <cell r="A15797"/>
          <cell r="B15797"/>
          <cell r="C15797"/>
          <cell r="D15797"/>
          <cell r="E15797"/>
        </row>
        <row r="15798">
          <cell r="A15798"/>
          <cell r="B15798"/>
          <cell r="C15798"/>
          <cell r="D15798"/>
          <cell r="E15798"/>
        </row>
        <row r="15799">
          <cell r="A15799"/>
          <cell r="B15799"/>
          <cell r="C15799"/>
          <cell r="D15799"/>
          <cell r="E15799"/>
        </row>
        <row r="15800">
          <cell r="A15800"/>
          <cell r="B15800"/>
          <cell r="C15800"/>
          <cell r="D15800"/>
          <cell r="E15800"/>
        </row>
        <row r="15801">
          <cell r="A15801"/>
          <cell r="B15801"/>
          <cell r="C15801"/>
          <cell r="D15801"/>
          <cell r="E15801"/>
        </row>
        <row r="15802">
          <cell r="A15802"/>
          <cell r="B15802"/>
          <cell r="C15802"/>
          <cell r="D15802"/>
          <cell r="E15802"/>
        </row>
        <row r="15803">
          <cell r="A15803"/>
          <cell r="B15803"/>
          <cell r="C15803"/>
          <cell r="D15803"/>
          <cell r="E15803"/>
        </row>
        <row r="15804">
          <cell r="A15804"/>
          <cell r="B15804"/>
          <cell r="C15804"/>
          <cell r="D15804"/>
          <cell r="E15804"/>
        </row>
        <row r="15805">
          <cell r="A15805"/>
          <cell r="B15805"/>
          <cell r="C15805"/>
          <cell r="D15805"/>
          <cell r="E15805"/>
        </row>
        <row r="15806">
          <cell r="A15806"/>
          <cell r="B15806"/>
          <cell r="C15806"/>
          <cell r="D15806"/>
          <cell r="E15806"/>
        </row>
        <row r="15807">
          <cell r="A15807"/>
          <cell r="B15807"/>
          <cell r="C15807"/>
          <cell r="D15807"/>
          <cell r="E15807"/>
        </row>
        <row r="15808">
          <cell r="A15808"/>
          <cell r="B15808"/>
          <cell r="C15808"/>
          <cell r="D15808"/>
          <cell r="E15808"/>
        </row>
        <row r="15809">
          <cell r="A15809"/>
          <cell r="B15809"/>
          <cell r="C15809"/>
          <cell r="D15809"/>
          <cell r="E15809"/>
        </row>
        <row r="15810">
          <cell r="A15810"/>
          <cell r="B15810"/>
          <cell r="C15810"/>
          <cell r="D15810"/>
          <cell r="E15810"/>
        </row>
        <row r="15811">
          <cell r="A15811"/>
          <cell r="B15811"/>
          <cell r="C15811"/>
          <cell r="D15811"/>
          <cell r="E15811"/>
        </row>
        <row r="15812">
          <cell r="A15812"/>
          <cell r="B15812"/>
          <cell r="C15812"/>
          <cell r="D15812"/>
          <cell r="E15812"/>
        </row>
        <row r="15813">
          <cell r="A15813"/>
          <cell r="B15813"/>
          <cell r="C15813"/>
          <cell r="D15813"/>
          <cell r="E15813"/>
        </row>
        <row r="15814">
          <cell r="A15814"/>
          <cell r="B15814"/>
          <cell r="C15814"/>
          <cell r="D15814"/>
          <cell r="E15814"/>
        </row>
        <row r="15815">
          <cell r="A15815"/>
          <cell r="B15815"/>
          <cell r="C15815"/>
          <cell r="D15815"/>
          <cell r="E15815"/>
        </row>
        <row r="15816">
          <cell r="A15816"/>
          <cell r="B15816"/>
          <cell r="C15816"/>
          <cell r="D15816"/>
          <cell r="E15816"/>
        </row>
        <row r="15817">
          <cell r="A15817"/>
          <cell r="B15817"/>
          <cell r="C15817"/>
          <cell r="D15817"/>
          <cell r="E15817"/>
        </row>
        <row r="15818">
          <cell r="A15818"/>
          <cell r="B15818"/>
          <cell r="C15818"/>
          <cell r="D15818"/>
          <cell r="E15818"/>
        </row>
        <row r="15819">
          <cell r="A15819"/>
          <cell r="B15819"/>
          <cell r="C15819"/>
          <cell r="D15819"/>
          <cell r="E15819"/>
        </row>
        <row r="15820">
          <cell r="A15820"/>
          <cell r="B15820"/>
          <cell r="C15820"/>
          <cell r="D15820"/>
          <cell r="E15820"/>
        </row>
        <row r="15821">
          <cell r="A15821"/>
          <cell r="B15821"/>
          <cell r="C15821"/>
          <cell r="D15821"/>
          <cell r="E15821"/>
        </row>
        <row r="15822">
          <cell r="A15822"/>
          <cell r="B15822"/>
          <cell r="C15822"/>
          <cell r="D15822"/>
          <cell r="E15822"/>
        </row>
        <row r="15823">
          <cell r="A15823"/>
          <cell r="B15823"/>
          <cell r="C15823"/>
          <cell r="D15823"/>
          <cell r="E15823"/>
        </row>
        <row r="15824">
          <cell r="A15824"/>
          <cell r="B15824"/>
          <cell r="C15824"/>
          <cell r="D15824"/>
          <cell r="E15824"/>
        </row>
        <row r="15825">
          <cell r="A15825"/>
          <cell r="B15825"/>
          <cell r="C15825"/>
          <cell r="D15825"/>
          <cell r="E15825"/>
        </row>
        <row r="15826">
          <cell r="A15826"/>
          <cell r="B15826"/>
          <cell r="C15826"/>
          <cell r="D15826"/>
          <cell r="E15826"/>
        </row>
        <row r="15827">
          <cell r="A15827"/>
          <cell r="B15827"/>
          <cell r="C15827"/>
          <cell r="D15827"/>
          <cell r="E15827"/>
        </row>
        <row r="15828">
          <cell r="A15828"/>
          <cell r="B15828"/>
          <cell r="C15828"/>
          <cell r="D15828"/>
          <cell r="E15828"/>
        </row>
        <row r="15829">
          <cell r="A15829"/>
          <cell r="B15829"/>
          <cell r="C15829"/>
          <cell r="D15829"/>
          <cell r="E15829"/>
        </row>
        <row r="15830">
          <cell r="A15830"/>
          <cell r="B15830"/>
          <cell r="C15830"/>
          <cell r="D15830"/>
          <cell r="E15830"/>
        </row>
        <row r="15831">
          <cell r="A15831"/>
          <cell r="B15831"/>
          <cell r="C15831"/>
          <cell r="D15831"/>
          <cell r="E15831"/>
        </row>
        <row r="15832">
          <cell r="A15832"/>
          <cell r="B15832"/>
          <cell r="C15832"/>
          <cell r="D15832"/>
          <cell r="E15832"/>
        </row>
        <row r="15833">
          <cell r="A15833"/>
          <cell r="B15833"/>
          <cell r="C15833"/>
          <cell r="D15833"/>
          <cell r="E15833"/>
        </row>
        <row r="15834">
          <cell r="A15834"/>
          <cell r="B15834"/>
          <cell r="C15834"/>
          <cell r="D15834"/>
          <cell r="E15834"/>
        </row>
        <row r="15835">
          <cell r="A15835"/>
          <cell r="B15835"/>
          <cell r="C15835"/>
          <cell r="D15835"/>
          <cell r="E15835"/>
        </row>
        <row r="15836">
          <cell r="A15836"/>
          <cell r="B15836"/>
          <cell r="C15836"/>
          <cell r="D15836"/>
          <cell r="E15836"/>
        </row>
        <row r="15837">
          <cell r="A15837"/>
          <cell r="B15837"/>
          <cell r="C15837"/>
          <cell r="D15837"/>
          <cell r="E15837"/>
        </row>
        <row r="15838">
          <cell r="A15838"/>
          <cell r="B15838"/>
          <cell r="C15838"/>
          <cell r="D15838"/>
          <cell r="E15838"/>
        </row>
        <row r="15839">
          <cell r="A15839"/>
          <cell r="B15839"/>
          <cell r="C15839"/>
          <cell r="D15839"/>
          <cell r="E15839"/>
        </row>
        <row r="15840">
          <cell r="A15840"/>
          <cell r="B15840"/>
          <cell r="C15840"/>
          <cell r="D15840"/>
          <cell r="E15840"/>
        </row>
        <row r="15841">
          <cell r="A15841"/>
          <cell r="B15841"/>
          <cell r="C15841"/>
          <cell r="D15841"/>
          <cell r="E15841"/>
        </row>
        <row r="15842">
          <cell r="A15842"/>
          <cell r="B15842"/>
          <cell r="C15842"/>
          <cell r="D15842"/>
          <cell r="E15842"/>
        </row>
        <row r="15843">
          <cell r="A15843"/>
          <cell r="B15843"/>
          <cell r="C15843"/>
          <cell r="D15843"/>
          <cell r="E15843"/>
        </row>
        <row r="15844">
          <cell r="A15844"/>
          <cell r="B15844"/>
          <cell r="C15844"/>
          <cell r="D15844"/>
          <cell r="E15844"/>
        </row>
        <row r="15845">
          <cell r="A15845"/>
          <cell r="B15845"/>
          <cell r="C15845"/>
          <cell r="D15845"/>
          <cell r="E15845"/>
        </row>
        <row r="15846">
          <cell r="A15846"/>
          <cell r="B15846"/>
          <cell r="C15846"/>
          <cell r="D15846"/>
          <cell r="E15846"/>
        </row>
        <row r="15847">
          <cell r="A15847"/>
          <cell r="B15847"/>
          <cell r="C15847"/>
          <cell r="D15847"/>
          <cell r="E15847"/>
        </row>
        <row r="15848">
          <cell r="A15848"/>
          <cell r="B15848"/>
          <cell r="C15848"/>
          <cell r="D15848"/>
          <cell r="E15848"/>
        </row>
        <row r="15849">
          <cell r="A15849"/>
          <cell r="B15849"/>
          <cell r="C15849"/>
          <cell r="D15849"/>
          <cell r="E15849"/>
        </row>
        <row r="15850">
          <cell r="A15850"/>
          <cell r="B15850"/>
          <cell r="C15850"/>
          <cell r="D15850"/>
          <cell r="E15850"/>
        </row>
        <row r="15851">
          <cell r="A15851"/>
          <cell r="B15851"/>
          <cell r="C15851"/>
          <cell r="D15851"/>
          <cell r="E15851"/>
        </row>
        <row r="15852">
          <cell r="A15852"/>
          <cell r="B15852"/>
          <cell r="C15852"/>
          <cell r="D15852"/>
          <cell r="E15852"/>
        </row>
        <row r="15853">
          <cell r="A15853"/>
          <cell r="B15853"/>
          <cell r="C15853"/>
          <cell r="D15853"/>
          <cell r="E15853"/>
        </row>
        <row r="15854">
          <cell r="A15854"/>
          <cell r="B15854"/>
          <cell r="C15854"/>
          <cell r="D15854"/>
          <cell r="E15854"/>
        </row>
        <row r="15855">
          <cell r="A15855"/>
          <cell r="B15855"/>
          <cell r="C15855"/>
          <cell r="D15855"/>
          <cell r="E15855"/>
        </row>
        <row r="15856">
          <cell r="A15856"/>
          <cell r="B15856"/>
          <cell r="C15856"/>
          <cell r="D15856"/>
          <cell r="E15856"/>
        </row>
        <row r="15857">
          <cell r="A15857"/>
          <cell r="B15857"/>
          <cell r="C15857"/>
          <cell r="D15857"/>
          <cell r="E15857"/>
        </row>
        <row r="15858">
          <cell r="A15858"/>
          <cell r="B15858"/>
          <cell r="C15858"/>
          <cell r="D15858"/>
          <cell r="E15858"/>
        </row>
        <row r="15859">
          <cell r="A15859"/>
          <cell r="B15859"/>
          <cell r="C15859"/>
          <cell r="D15859"/>
          <cell r="E15859"/>
        </row>
        <row r="15860">
          <cell r="A15860"/>
          <cell r="B15860"/>
          <cell r="C15860"/>
          <cell r="D15860"/>
          <cell r="E15860"/>
        </row>
        <row r="15861">
          <cell r="A15861"/>
          <cell r="B15861"/>
          <cell r="C15861"/>
          <cell r="D15861"/>
          <cell r="E15861"/>
        </row>
        <row r="15862">
          <cell r="A15862"/>
          <cell r="B15862"/>
          <cell r="C15862"/>
          <cell r="D15862"/>
          <cell r="E15862"/>
        </row>
        <row r="15863">
          <cell r="A15863"/>
          <cell r="B15863"/>
          <cell r="C15863"/>
          <cell r="D15863"/>
          <cell r="E15863"/>
        </row>
        <row r="15864">
          <cell r="A15864"/>
          <cell r="B15864"/>
          <cell r="C15864"/>
          <cell r="D15864"/>
          <cell r="E15864"/>
        </row>
        <row r="15865">
          <cell r="A15865"/>
          <cell r="B15865"/>
          <cell r="C15865"/>
          <cell r="D15865"/>
          <cell r="E15865"/>
        </row>
        <row r="15866">
          <cell r="A15866"/>
          <cell r="B15866"/>
          <cell r="C15866"/>
          <cell r="D15866"/>
          <cell r="E15866"/>
        </row>
        <row r="15867">
          <cell r="A15867"/>
          <cell r="B15867"/>
          <cell r="C15867"/>
          <cell r="D15867"/>
          <cell r="E15867"/>
        </row>
        <row r="15868">
          <cell r="A15868"/>
          <cell r="B15868"/>
          <cell r="C15868"/>
          <cell r="D15868"/>
          <cell r="E15868"/>
        </row>
        <row r="15869">
          <cell r="A15869"/>
          <cell r="B15869"/>
          <cell r="C15869"/>
          <cell r="D15869"/>
          <cell r="E15869"/>
        </row>
        <row r="15870">
          <cell r="A15870"/>
          <cell r="B15870"/>
          <cell r="C15870"/>
          <cell r="D15870"/>
          <cell r="E15870"/>
        </row>
        <row r="15871">
          <cell r="A15871"/>
          <cell r="B15871"/>
          <cell r="C15871"/>
          <cell r="D15871"/>
          <cell r="E15871"/>
        </row>
        <row r="15872">
          <cell r="A15872"/>
          <cell r="B15872"/>
          <cell r="C15872"/>
          <cell r="D15872"/>
          <cell r="E15872"/>
        </row>
        <row r="15873">
          <cell r="A15873"/>
          <cell r="B15873"/>
          <cell r="C15873"/>
          <cell r="D15873"/>
          <cell r="E15873"/>
        </row>
        <row r="15874">
          <cell r="A15874"/>
          <cell r="B15874"/>
          <cell r="C15874"/>
          <cell r="D15874"/>
          <cell r="E15874"/>
        </row>
        <row r="15875">
          <cell r="A15875"/>
          <cell r="B15875"/>
          <cell r="C15875"/>
          <cell r="D15875"/>
          <cell r="E15875"/>
        </row>
        <row r="15876">
          <cell r="A15876"/>
          <cell r="B15876"/>
          <cell r="C15876"/>
          <cell r="D15876"/>
          <cell r="E15876"/>
        </row>
        <row r="15877">
          <cell r="A15877"/>
          <cell r="B15877"/>
          <cell r="C15877"/>
          <cell r="D15877"/>
          <cell r="E15877"/>
        </row>
        <row r="15878">
          <cell r="A15878"/>
          <cell r="B15878"/>
          <cell r="C15878"/>
          <cell r="D15878"/>
          <cell r="E15878"/>
        </row>
        <row r="15879">
          <cell r="A15879"/>
          <cell r="B15879"/>
          <cell r="C15879"/>
          <cell r="D15879"/>
          <cell r="E15879"/>
        </row>
        <row r="15880">
          <cell r="A15880"/>
          <cell r="B15880"/>
          <cell r="C15880"/>
          <cell r="D15880"/>
          <cell r="E15880"/>
        </row>
        <row r="15881">
          <cell r="A15881"/>
          <cell r="B15881"/>
          <cell r="C15881"/>
          <cell r="D15881"/>
          <cell r="E15881"/>
        </row>
        <row r="15882">
          <cell r="A15882"/>
          <cell r="B15882"/>
          <cell r="C15882"/>
          <cell r="D15882"/>
          <cell r="E15882"/>
        </row>
        <row r="15883">
          <cell r="A15883"/>
          <cell r="B15883"/>
          <cell r="C15883"/>
          <cell r="D15883"/>
          <cell r="E15883"/>
        </row>
        <row r="15884">
          <cell r="A15884"/>
          <cell r="B15884"/>
          <cell r="C15884"/>
          <cell r="D15884"/>
          <cell r="E15884"/>
        </row>
        <row r="15885">
          <cell r="A15885"/>
          <cell r="B15885"/>
          <cell r="C15885"/>
          <cell r="D15885"/>
          <cell r="E15885"/>
        </row>
        <row r="15886">
          <cell r="A15886"/>
          <cell r="B15886"/>
          <cell r="C15886"/>
          <cell r="D15886"/>
          <cell r="E15886"/>
        </row>
        <row r="15887">
          <cell r="A15887"/>
          <cell r="B15887"/>
          <cell r="C15887"/>
          <cell r="D15887"/>
          <cell r="E15887"/>
        </row>
        <row r="15888">
          <cell r="A15888"/>
          <cell r="B15888"/>
          <cell r="C15888"/>
          <cell r="D15888"/>
          <cell r="E15888"/>
        </row>
        <row r="15889">
          <cell r="A15889"/>
          <cell r="B15889"/>
          <cell r="C15889"/>
          <cell r="D15889"/>
          <cell r="E15889"/>
        </row>
        <row r="15890">
          <cell r="A15890"/>
          <cell r="B15890"/>
          <cell r="C15890"/>
          <cell r="D15890"/>
          <cell r="E15890"/>
        </row>
        <row r="15891">
          <cell r="A15891"/>
          <cell r="B15891"/>
          <cell r="C15891"/>
          <cell r="D15891"/>
          <cell r="E15891"/>
        </row>
        <row r="15892">
          <cell r="A15892"/>
          <cell r="B15892"/>
          <cell r="C15892"/>
          <cell r="D15892"/>
          <cell r="E15892"/>
        </row>
        <row r="15893">
          <cell r="A15893"/>
          <cell r="B15893"/>
          <cell r="C15893"/>
          <cell r="D15893"/>
          <cell r="E15893"/>
        </row>
        <row r="15894">
          <cell r="A15894"/>
          <cell r="B15894"/>
          <cell r="C15894"/>
          <cell r="D15894"/>
          <cell r="E15894"/>
        </row>
        <row r="15895">
          <cell r="A15895"/>
          <cell r="B15895"/>
          <cell r="C15895"/>
          <cell r="D15895"/>
          <cell r="E15895"/>
        </row>
        <row r="15896">
          <cell r="A15896"/>
          <cell r="B15896"/>
          <cell r="C15896"/>
          <cell r="D15896"/>
          <cell r="E15896"/>
        </row>
        <row r="15897">
          <cell r="A15897"/>
          <cell r="B15897"/>
          <cell r="C15897"/>
          <cell r="D15897"/>
          <cell r="E15897"/>
        </row>
        <row r="15898">
          <cell r="A15898"/>
          <cell r="B15898"/>
          <cell r="C15898"/>
          <cell r="D15898"/>
          <cell r="E15898"/>
        </row>
        <row r="15899">
          <cell r="A15899"/>
          <cell r="B15899"/>
          <cell r="C15899"/>
          <cell r="D15899"/>
          <cell r="E15899"/>
        </row>
        <row r="15900">
          <cell r="A15900"/>
          <cell r="B15900"/>
          <cell r="C15900"/>
          <cell r="D15900"/>
          <cell r="E15900"/>
        </row>
        <row r="15901">
          <cell r="A15901"/>
          <cell r="B15901"/>
          <cell r="C15901"/>
          <cell r="D15901"/>
          <cell r="E15901"/>
        </row>
        <row r="15902">
          <cell r="A15902"/>
          <cell r="B15902"/>
          <cell r="C15902"/>
          <cell r="D15902"/>
          <cell r="E15902"/>
        </row>
        <row r="15903">
          <cell r="A15903"/>
          <cell r="B15903"/>
          <cell r="C15903"/>
          <cell r="D15903"/>
          <cell r="E15903"/>
        </row>
        <row r="15904">
          <cell r="A15904"/>
          <cell r="B15904"/>
          <cell r="C15904"/>
          <cell r="D15904"/>
          <cell r="E15904"/>
        </row>
        <row r="15905">
          <cell r="A15905"/>
          <cell r="B15905"/>
          <cell r="C15905"/>
          <cell r="D15905"/>
          <cell r="E15905"/>
        </row>
        <row r="15906">
          <cell r="A15906"/>
          <cell r="B15906"/>
          <cell r="C15906"/>
          <cell r="D15906"/>
          <cell r="E15906"/>
        </row>
        <row r="15907">
          <cell r="A15907"/>
          <cell r="B15907"/>
          <cell r="C15907"/>
          <cell r="D15907"/>
          <cell r="E15907"/>
        </row>
        <row r="15908">
          <cell r="A15908"/>
          <cell r="B15908"/>
          <cell r="C15908"/>
          <cell r="D15908"/>
          <cell r="E15908"/>
        </row>
        <row r="15909">
          <cell r="A15909"/>
          <cell r="B15909"/>
          <cell r="C15909"/>
          <cell r="D15909"/>
          <cell r="E15909"/>
        </row>
        <row r="15910">
          <cell r="A15910"/>
          <cell r="B15910"/>
          <cell r="C15910"/>
          <cell r="D15910"/>
          <cell r="E15910"/>
        </row>
        <row r="15911">
          <cell r="A15911"/>
          <cell r="B15911"/>
          <cell r="C15911"/>
          <cell r="D15911"/>
          <cell r="E15911"/>
        </row>
        <row r="15912">
          <cell r="A15912"/>
          <cell r="B15912"/>
          <cell r="C15912"/>
          <cell r="D15912"/>
          <cell r="E15912"/>
        </row>
        <row r="15913">
          <cell r="A15913"/>
          <cell r="B15913"/>
          <cell r="C15913"/>
          <cell r="D15913"/>
          <cell r="E15913"/>
        </row>
        <row r="15914">
          <cell r="A15914"/>
          <cell r="B15914"/>
          <cell r="C15914"/>
          <cell r="D15914"/>
          <cell r="E15914"/>
        </row>
        <row r="15915">
          <cell r="A15915"/>
          <cell r="B15915"/>
          <cell r="C15915"/>
          <cell r="D15915"/>
          <cell r="E15915"/>
        </row>
        <row r="15916">
          <cell r="A15916"/>
          <cell r="B15916"/>
          <cell r="C15916"/>
          <cell r="D15916"/>
          <cell r="E15916"/>
        </row>
        <row r="15917">
          <cell r="A15917"/>
          <cell r="B15917"/>
          <cell r="C15917"/>
          <cell r="D15917"/>
          <cell r="E15917"/>
        </row>
        <row r="15918">
          <cell r="A15918"/>
          <cell r="B15918"/>
          <cell r="C15918"/>
          <cell r="D15918"/>
          <cell r="E15918"/>
        </row>
        <row r="15919">
          <cell r="A15919"/>
          <cell r="B15919"/>
          <cell r="C15919"/>
          <cell r="D15919"/>
          <cell r="E15919"/>
        </row>
        <row r="15920">
          <cell r="A15920"/>
          <cell r="B15920"/>
          <cell r="C15920"/>
          <cell r="D15920"/>
          <cell r="E15920"/>
        </row>
        <row r="15921">
          <cell r="A15921"/>
          <cell r="B15921"/>
          <cell r="C15921"/>
          <cell r="D15921"/>
          <cell r="E15921"/>
        </row>
        <row r="15922">
          <cell r="A15922"/>
          <cell r="B15922"/>
          <cell r="C15922"/>
          <cell r="D15922"/>
          <cell r="E15922"/>
        </row>
        <row r="15923">
          <cell r="A15923"/>
          <cell r="B15923"/>
          <cell r="C15923"/>
          <cell r="D15923"/>
          <cell r="E15923"/>
        </row>
        <row r="15924">
          <cell r="A15924"/>
          <cell r="B15924"/>
          <cell r="C15924"/>
          <cell r="D15924"/>
          <cell r="E15924"/>
        </row>
        <row r="15925">
          <cell r="A15925"/>
          <cell r="B15925"/>
          <cell r="C15925"/>
          <cell r="D15925"/>
          <cell r="E15925"/>
        </row>
        <row r="15926">
          <cell r="A15926"/>
          <cell r="B15926"/>
          <cell r="C15926"/>
          <cell r="D15926"/>
          <cell r="E15926"/>
        </row>
        <row r="15927">
          <cell r="A15927"/>
          <cell r="B15927"/>
          <cell r="C15927"/>
          <cell r="D15927"/>
          <cell r="E15927"/>
        </row>
        <row r="15928">
          <cell r="A15928"/>
          <cell r="B15928"/>
          <cell r="C15928"/>
          <cell r="D15928"/>
          <cell r="E15928"/>
        </row>
        <row r="15929">
          <cell r="A15929"/>
          <cell r="B15929"/>
          <cell r="C15929"/>
          <cell r="D15929"/>
          <cell r="E15929"/>
        </row>
        <row r="15930">
          <cell r="A15930"/>
          <cell r="B15930"/>
          <cell r="C15930"/>
          <cell r="D15930"/>
          <cell r="E15930"/>
        </row>
        <row r="15931">
          <cell r="A15931"/>
          <cell r="B15931"/>
          <cell r="C15931"/>
          <cell r="D15931"/>
          <cell r="E15931"/>
        </row>
        <row r="15932">
          <cell r="A15932"/>
          <cell r="B15932"/>
          <cell r="C15932"/>
          <cell r="D15932"/>
          <cell r="E15932"/>
        </row>
        <row r="15933">
          <cell r="A15933"/>
          <cell r="B15933"/>
          <cell r="C15933"/>
          <cell r="D15933"/>
          <cell r="E15933"/>
        </row>
        <row r="15934">
          <cell r="A15934"/>
          <cell r="B15934"/>
          <cell r="C15934"/>
          <cell r="D15934"/>
          <cell r="E15934"/>
        </row>
        <row r="15935">
          <cell r="A15935"/>
          <cell r="B15935"/>
          <cell r="C15935"/>
          <cell r="D15935"/>
          <cell r="E15935"/>
        </row>
        <row r="15936">
          <cell r="A15936"/>
          <cell r="B15936"/>
          <cell r="C15936"/>
          <cell r="D15936"/>
          <cell r="E15936"/>
        </row>
        <row r="15937">
          <cell r="A15937"/>
          <cell r="B15937"/>
          <cell r="C15937"/>
          <cell r="D15937"/>
          <cell r="E15937"/>
        </row>
        <row r="15938">
          <cell r="A15938"/>
          <cell r="B15938"/>
          <cell r="C15938"/>
          <cell r="D15938"/>
          <cell r="E15938"/>
        </row>
        <row r="15939">
          <cell r="A15939"/>
          <cell r="B15939"/>
          <cell r="C15939"/>
          <cell r="D15939"/>
          <cell r="E15939"/>
        </row>
        <row r="15940">
          <cell r="A15940"/>
          <cell r="B15940"/>
          <cell r="C15940"/>
          <cell r="D15940"/>
          <cell r="E15940"/>
        </row>
        <row r="15941">
          <cell r="A15941"/>
          <cell r="B15941"/>
          <cell r="C15941"/>
          <cell r="D15941"/>
          <cell r="E15941"/>
        </row>
        <row r="15942">
          <cell r="A15942"/>
          <cell r="B15942"/>
          <cell r="C15942"/>
          <cell r="D15942"/>
          <cell r="E15942"/>
        </row>
        <row r="15943">
          <cell r="A15943"/>
          <cell r="B15943"/>
          <cell r="C15943"/>
          <cell r="D15943"/>
          <cell r="E15943"/>
        </row>
        <row r="15944">
          <cell r="A15944"/>
          <cell r="B15944"/>
          <cell r="C15944"/>
          <cell r="D15944"/>
          <cell r="E15944"/>
        </row>
        <row r="15945">
          <cell r="A15945"/>
          <cell r="B15945"/>
          <cell r="C15945"/>
          <cell r="D15945"/>
          <cell r="E15945"/>
        </row>
        <row r="15946">
          <cell r="A15946"/>
          <cell r="B15946"/>
          <cell r="C15946"/>
          <cell r="D15946"/>
          <cell r="E15946"/>
        </row>
        <row r="15947">
          <cell r="A15947"/>
          <cell r="B15947"/>
          <cell r="C15947"/>
          <cell r="D15947"/>
          <cell r="E15947"/>
        </row>
        <row r="15948">
          <cell r="A15948"/>
          <cell r="B15948"/>
          <cell r="C15948"/>
          <cell r="D15948"/>
          <cell r="E15948"/>
        </row>
        <row r="15949">
          <cell r="A15949"/>
          <cell r="B15949"/>
          <cell r="C15949"/>
          <cell r="D15949"/>
          <cell r="E15949"/>
        </row>
        <row r="15950">
          <cell r="A15950"/>
          <cell r="B15950"/>
          <cell r="C15950"/>
          <cell r="D15950"/>
          <cell r="E15950"/>
        </row>
        <row r="15951">
          <cell r="A15951"/>
          <cell r="B15951"/>
          <cell r="C15951"/>
          <cell r="D15951"/>
          <cell r="E15951"/>
        </row>
        <row r="15952">
          <cell r="A15952"/>
          <cell r="B15952"/>
          <cell r="C15952"/>
          <cell r="D15952"/>
          <cell r="E15952"/>
        </row>
        <row r="15953">
          <cell r="A15953"/>
          <cell r="B15953"/>
          <cell r="C15953"/>
          <cell r="D15953"/>
          <cell r="E15953"/>
        </row>
        <row r="15954">
          <cell r="A15954"/>
          <cell r="B15954"/>
          <cell r="C15954"/>
          <cell r="D15954"/>
          <cell r="E15954"/>
        </row>
        <row r="15955">
          <cell r="A15955"/>
          <cell r="B15955"/>
          <cell r="C15955"/>
          <cell r="D15955"/>
          <cell r="E15955"/>
        </row>
        <row r="15956">
          <cell r="A15956"/>
          <cell r="B15956"/>
          <cell r="C15956"/>
          <cell r="D15956"/>
          <cell r="E15956"/>
        </row>
        <row r="15957">
          <cell r="A15957"/>
          <cell r="B15957"/>
          <cell r="C15957"/>
          <cell r="D15957"/>
          <cell r="E15957"/>
        </row>
        <row r="15958">
          <cell r="A15958"/>
          <cell r="B15958"/>
          <cell r="C15958"/>
          <cell r="D15958"/>
          <cell r="E15958"/>
        </row>
        <row r="15959">
          <cell r="A15959"/>
          <cell r="B15959"/>
          <cell r="C15959"/>
          <cell r="D15959"/>
          <cell r="E15959"/>
        </row>
        <row r="15960">
          <cell r="A15960"/>
          <cell r="B15960"/>
          <cell r="C15960"/>
          <cell r="D15960"/>
          <cell r="E15960"/>
        </row>
        <row r="15961">
          <cell r="A15961"/>
          <cell r="B15961"/>
          <cell r="C15961"/>
          <cell r="D15961"/>
          <cell r="E15961"/>
        </row>
        <row r="15962">
          <cell r="A15962"/>
          <cell r="B15962"/>
          <cell r="C15962"/>
          <cell r="D15962"/>
          <cell r="E15962"/>
        </row>
        <row r="15963">
          <cell r="A15963"/>
          <cell r="B15963"/>
          <cell r="C15963"/>
          <cell r="D15963"/>
          <cell r="E15963"/>
        </row>
        <row r="15964">
          <cell r="A15964"/>
          <cell r="B15964"/>
          <cell r="C15964"/>
          <cell r="D15964"/>
          <cell r="E15964"/>
        </row>
        <row r="15965">
          <cell r="A15965"/>
          <cell r="B15965"/>
          <cell r="C15965"/>
          <cell r="D15965"/>
          <cell r="E15965"/>
        </row>
        <row r="15966">
          <cell r="A15966"/>
          <cell r="B15966"/>
          <cell r="C15966"/>
          <cell r="D15966"/>
          <cell r="E15966"/>
        </row>
        <row r="15967">
          <cell r="A15967"/>
          <cell r="B15967"/>
          <cell r="C15967"/>
          <cell r="D15967"/>
          <cell r="E15967"/>
        </row>
        <row r="15968">
          <cell r="A15968"/>
          <cell r="B15968"/>
          <cell r="C15968"/>
          <cell r="D15968"/>
          <cell r="E15968"/>
        </row>
        <row r="15969">
          <cell r="A15969"/>
          <cell r="B15969"/>
          <cell r="C15969"/>
          <cell r="D15969"/>
          <cell r="E15969"/>
        </row>
        <row r="15970">
          <cell r="A15970"/>
          <cell r="B15970"/>
          <cell r="C15970"/>
          <cell r="D15970"/>
          <cell r="E15970"/>
        </row>
        <row r="15971">
          <cell r="A15971"/>
          <cell r="B15971"/>
          <cell r="C15971"/>
          <cell r="D15971"/>
          <cell r="E15971"/>
        </row>
        <row r="15972">
          <cell r="A15972"/>
          <cell r="B15972"/>
          <cell r="C15972"/>
          <cell r="D15972"/>
          <cell r="E15972"/>
        </row>
        <row r="15973">
          <cell r="A15973"/>
          <cell r="B15973"/>
          <cell r="C15973"/>
          <cell r="D15973"/>
          <cell r="E15973"/>
        </row>
        <row r="15974">
          <cell r="A15974"/>
          <cell r="B15974"/>
          <cell r="C15974"/>
          <cell r="D15974"/>
          <cell r="E15974"/>
        </row>
        <row r="15975">
          <cell r="A15975"/>
          <cell r="B15975"/>
          <cell r="C15975"/>
          <cell r="D15975"/>
          <cell r="E15975"/>
        </row>
        <row r="15976">
          <cell r="A15976"/>
          <cell r="B15976"/>
          <cell r="C15976"/>
          <cell r="D15976"/>
          <cell r="E15976"/>
        </row>
        <row r="15977">
          <cell r="A15977"/>
          <cell r="B15977"/>
          <cell r="C15977"/>
          <cell r="D15977"/>
          <cell r="E15977"/>
        </row>
        <row r="15978">
          <cell r="A15978"/>
          <cell r="B15978"/>
          <cell r="C15978"/>
          <cell r="D15978"/>
          <cell r="E15978"/>
        </row>
        <row r="15979">
          <cell r="A15979"/>
          <cell r="B15979"/>
          <cell r="C15979"/>
          <cell r="D15979"/>
          <cell r="E15979"/>
        </row>
        <row r="15980">
          <cell r="A15980"/>
          <cell r="B15980"/>
          <cell r="C15980"/>
          <cell r="D15980"/>
          <cell r="E15980"/>
        </row>
        <row r="15981">
          <cell r="A15981"/>
          <cell r="B15981"/>
          <cell r="C15981"/>
          <cell r="D15981"/>
          <cell r="E15981"/>
        </row>
        <row r="15982">
          <cell r="A15982"/>
          <cell r="B15982"/>
          <cell r="C15982"/>
          <cell r="D15982"/>
          <cell r="E15982"/>
        </row>
        <row r="15983">
          <cell r="A15983"/>
          <cell r="B15983"/>
          <cell r="C15983"/>
          <cell r="D15983"/>
          <cell r="E15983"/>
        </row>
        <row r="15984">
          <cell r="A15984"/>
          <cell r="B15984"/>
          <cell r="C15984"/>
          <cell r="D15984"/>
          <cell r="E15984"/>
        </row>
        <row r="15985">
          <cell r="A15985"/>
          <cell r="B15985"/>
          <cell r="C15985"/>
          <cell r="D15985"/>
          <cell r="E15985"/>
        </row>
        <row r="15986">
          <cell r="A15986"/>
          <cell r="B15986"/>
          <cell r="C15986"/>
          <cell r="D15986"/>
          <cell r="E15986"/>
        </row>
        <row r="15987">
          <cell r="A15987"/>
          <cell r="B15987"/>
          <cell r="C15987"/>
          <cell r="D15987"/>
          <cell r="E15987"/>
        </row>
        <row r="15988">
          <cell r="A15988"/>
          <cell r="B15988"/>
          <cell r="C15988"/>
          <cell r="D15988"/>
          <cell r="E15988"/>
        </row>
        <row r="15989">
          <cell r="A15989"/>
          <cell r="B15989"/>
          <cell r="C15989"/>
          <cell r="D15989"/>
          <cell r="E15989"/>
        </row>
        <row r="15990">
          <cell r="A15990"/>
          <cell r="B15990"/>
          <cell r="C15990"/>
          <cell r="D15990"/>
          <cell r="E15990"/>
        </row>
        <row r="15991">
          <cell r="A15991"/>
          <cell r="B15991"/>
          <cell r="C15991"/>
          <cell r="D15991"/>
          <cell r="E15991"/>
        </row>
        <row r="15992">
          <cell r="A15992"/>
          <cell r="B15992"/>
          <cell r="C15992"/>
          <cell r="D15992"/>
          <cell r="E15992"/>
        </row>
        <row r="15993">
          <cell r="A15993"/>
          <cell r="B15993"/>
          <cell r="C15993"/>
          <cell r="D15993"/>
          <cell r="E15993"/>
        </row>
        <row r="15994">
          <cell r="A15994"/>
          <cell r="B15994"/>
          <cell r="C15994"/>
          <cell r="D15994"/>
          <cell r="E15994"/>
        </row>
        <row r="15995">
          <cell r="A15995"/>
          <cell r="B15995"/>
          <cell r="C15995"/>
          <cell r="D15995"/>
          <cell r="E15995"/>
        </row>
        <row r="15996">
          <cell r="A15996"/>
          <cell r="B15996"/>
          <cell r="C15996"/>
          <cell r="D15996"/>
          <cell r="E15996"/>
        </row>
        <row r="15997">
          <cell r="A15997"/>
          <cell r="B15997"/>
          <cell r="C15997"/>
          <cell r="D15997"/>
          <cell r="E15997"/>
        </row>
        <row r="15998">
          <cell r="A15998"/>
          <cell r="B15998"/>
          <cell r="C15998"/>
          <cell r="D15998"/>
          <cell r="E15998"/>
        </row>
        <row r="15999">
          <cell r="A15999"/>
          <cell r="B15999"/>
          <cell r="C15999"/>
          <cell r="D15999"/>
          <cell r="E15999"/>
        </row>
        <row r="16000">
          <cell r="A16000"/>
          <cell r="B16000"/>
          <cell r="C16000"/>
          <cell r="D16000"/>
          <cell r="E16000"/>
        </row>
        <row r="16001">
          <cell r="A16001"/>
          <cell r="B16001"/>
          <cell r="C16001"/>
          <cell r="D16001"/>
          <cell r="E16001"/>
        </row>
        <row r="16002">
          <cell r="A16002"/>
          <cell r="B16002"/>
          <cell r="C16002"/>
          <cell r="D16002"/>
          <cell r="E16002"/>
        </row>
        <row r="16003">
          <cell r="A16003"/>
          <cell r="B16003"/>
          <cell r="C16003"/>
          <cell r="D16003"/>
          <cell r="E16003"/>
        </row>
        <row r="16004">
          <cell r="A16004"/>
          <cell r="B16004"/>
          <cell r="C16004"/>
          <cell r="D16004"/>
          <cell r="E16004"/>
        </row>
        <row r="16005">
          <cell r="A16005"/>
          <cell r="B16005"/>
          <cell r="C16005"/>
          <cell r="D16005"/>
          <cell r="E16005"/>
        </row>
        <row r="16006">
          <cell r="A16006"/>
          <cell r="B16006"/>
          <cell r="C16006"/>
          <cell r="D16006"/>
          <cell r="E16006"/>
        </row>
        <row r="16007">
          <cell r="A16007"/>
          <cell r="B16007"/>
          <cell r="C16007"/>
          <cell r="D16007"/>
          <cell r="E16007"/>
        </row>
        <row r="16008">
          <cell r="A16008"/>
          <cell r="B16008"/>
          <cell r="C16008"/>
          <cell r="D16008"/>
          <cell r="E16008"/>
        </row>
        <row r="16009">
          <cell r="A16009"/>
          <cell r="B16009"/>
          <cell r="C16009"/>
          <cell r="D16009"/>
          <cell r="E16009"/>
        </row>
        <row r="16010">
          <cell r="A16010"/>
          <cell r="B16010"/>
          <cell r="C16010"/>
          <cell r="D16010"/>
          <cell r="E16010"/>
        </row>
        <row r="16011">
          <cell r="A16011"/>
          <cell r="B16011"/>
          <cell r="C16011"/>
          <cell r="D16011"/>
          <cell r="E16011"/>
        </row>
        <row r="16012">
          <cell r="A16012"/>
          <cell r="B16012"/>
          <cell r="C16012"/>
          <cell r="D16012"/>
          <cell r="E16012"/>
        </row>
        <row r="16013">
          <cell r="A16013"/>
          <cell r="B16013"/>
          <cell r="C16013"/>
          <cell r="D16013"/>
          <cell r="E16013"/>
        </row>
        <row r="16014">
          <cell r="A16014"/>
          <cell r="B16014"/>
          <cell r="C16014"/>
          <cell r="D16014"/>
          <cell r="E16014"/>
        </row>
        <row r="16015">
          <cell r="A16015"/>
          <cell r="B16015"/>
          <cell r="C16015"/>
          <cell r="D16015"/>
          <cell r="E16015"/>
        </row>
        <row r="16016">
          <cell r="A16016"/>
          <cell r="B16016"/>
          <cell r="C16016"/>
          <cell r="D16016"/>
          <cell r="E16016"/>
        </row>
        <row r="16017">
          <cell r="A16017"/>
          <cell r="B16017"/>
          <cell r="C16017"/>
          <cell r="D16017"/>
          <cell r="E16017"/>
        </row>
        <row r="16018">
          <cell r="A16018"/>
          <cell r="B16018"/>
          <cell r="C16018"/>
          <cell r="D16018"/>
          <cell r="E16018"/>
        </row>
        <row r="16019">
          <cell r="A16019"/>
          <cell r="B16019"/>
          <cell r="C16019"/>
          <cell r="D16019"/>
          <cell r="E16019"/>
        </row>
        <row r="16020">
          <cell r="A16020"/>
          <cell r="B16020"/>
          <cell r="C16020"/>
          <cell r="D16020"/>
          <cell r="E16020"/>
        </row>
        <row r="16021">
          <cell r="A16021"/>
          <cell r="B16021"/>
          <cell r="C16021"/>
          <cell r="D16021"/>
          <cell r="E16021"/>
        </row>
        <row r="16022">
          <cell r="A16022"/>
          <cell r="B16022"/>
          <cell r="C16022"/>
          <cell r="D16022"/>
          <cell r="E16022"/>
        </row>
        <row r="16023">
          <cell r="A16023"/>
          <cell r="B16023"/>
          <cell r="C16023"/>
          <cell r="D16023"/>
          <cell r="E16023"/>
        </row>
        <row r="16024">
          <cell r="A16024"/>
          <cell r="B16024"/>
          <cell r="C16024"/>
          <cell r="D16024"/>
          <cell r="E16024"/>
        </row>
        <row r="16025">
          <cell r="A16025"/>
          <cell r="B16025"/>
          <cell r="C16025"/>
          <cell r="D16025"/>
          <cell r="E16025"/>
        </row>
        <row r="16026">
          <cell r="A16026"/>
          <cell r="B16026"/>
          <cell r="C16026"/>
          <cell r="D16026"/>
          <cell r="E16026"/>
        </row>
        <row r="16027">
          <cell r="A16027"/>
          <cell r="B16027"/>
          <cell r="C16027"/>
          <cell r="D16027"/>
          <cell r="E16027"/>
        </row>
        <row r="16028">
          <cell r="A16028"/>
          <cell r="B16028"/>
          <cell r="C16028"/>
          <cell r="D16028"/>
          <cell r="E16028"/>
        </row>
        <row r="16029">
          <cell r="A16029"/>
          <cell r="B16029"/>
          <cell r="C16029"/>
          <cell r="D16029"/>
          <cell r="E16029"/>
        </row>
        <row r="16030">
          <cell r="A16030"/>
          <cell r="B16030"/>
          <cell r="C16030"/>
          <cell r="D16030"/>
          <cell r="E16030"/>
        </row>
        <row r="16031">
          <cell r="A16031"/>
          <cell r="B16031"/>
          <cell r="C16031"/>
          <cell r="D16031"/>
          <cell r="E16031"/>
        </row>
        <row r="16032">
          <cell r="A16032"/>
          <cell r="B16032"/>
          <cell r="C16032"/>
          <cell r="D16032"/>
          <cell r="E16032"/>
        </row>
        <row r="16033">
          <cell r="A16033"/>
          <cell r="B16033"/>
          <cell r="C16033"/>
          <cell r="D16033"/>
          <cell r="E16033"/>
        </row>
        <row r="16034">
          <cell r="A16034"/>
          <cell r="B16034"/>
          <cell r="C16034"/>
          <cell r="D16034"/>
          <cell r="E16034"/>
        </row>
        <row r="16035">
          <cell r="A16035"/>
          <cell r="B16035"/>
          <cell r="C16035"/>
          <cell r="D16035"/>
          <cell r="E16035"/>
        </row>
        <row r="16036">
          <cell r="A16036"/>
          <cell r="B16036"/>
          <cell r="C16036"/>
          <cell r="D16036"/>
          <cell r="E16036"/>
        </row>
        <row r="16037">
          <cell r="A16037"/>
          <cell r="B16037"/>
          <cell r="C16037"/>
          <cell r="D16037"/>
          <cell r="E16037"/>
        </row>
        <row r="16038">
          <cell r="A16038"/>
          <cell r="B16038"/>
          <cell r="C16038"/>
          <cell r="D16038"/>
          <cell r="E16038"/>
        </row>
        <row r="16039">
          <cell r="A16039"/>
          <cell r="B16039"/>
          <cell r="C16039"/>
          <cell r="D16039"/>
          <cell r="E16039"/>
        </row>
        <row r="16040">
          <cell r="A16040"/>
          <cell r="B16040"/>
          <cell r="C16040"/>
          <cell r="D16040"/>
          <cell r="E16040"/>
        </row>
        <row r="16041">
          <cell r="A16041"/>
          <cell r="B16041"/>
          <cell r="C16041"/>
          <cell r="D16041"/>
          <cell r="E16041"/>
        </row>
        <row r="16042">
          <cell r="A16042"/>
          <cell r="B16042"/>
          <cell r="C16042"/>
          <cell r="D16042"/>
          <cell r="E16042"/>
        </row>
        <row r="16043">
          <cell r="A16043"/>
          <cell r="B16043"/>
          <cell r="C16043"/>
          <cell r="D16043"/>
          <cell r="E16043"/>
        </row>
        <row r="16044">
          <cell r="A16044"/>
          <cell r="B16044"/>
          <cell r="C16044"/>
          <cell r="D16044"/>
          <cell r="E16044"/>
        </row>
        <row r="16045">
          <cell r="A16045"/>
          <cell r="B16045"/>
          <cell r="C16045"/>
          <cell r="D16045"/>
          <cell r="E16045"/>
        </row>
        <row r="16046">
          <cell r="A16046"/>
          <cell r="B16046"/>
          <cell r="C16046"/>
          <cell r="D16046"/>
          <cell r="E16046"/>
        </row>
        <row r="16047">
          <cell r="A16047"/>
          <cell r="B16047"/>
          <cell r="C16047"/>
          <cell r="D16047"/>
          <cell r="E16047"/>
        </row>
        <row r="16048">
          <cell r="A16048"/>
          <cell r="B16048"/>
          <cell r="C16048"/>
          <cell r="D16048"/>
          <cell r="E16048"/>
        </row>
        <row r="16049">
          <cell r="A16049"/>
          <cell r="B16049"/>
          <cell r="C16049"/>
          <cell r="D16049"/>
          <cell r="E16049"/>
        </row>
        <row r="16050">
          <cell r="A16050"/>
          <cell r="B16050"/>
          <cell r="C16050"/>
          <cell r="D16050"/>
          <cell r="E16050"/>
        </row>
        <row r="16051">
          <cell r="A16051"/>
          <cell r="B16051"/>
          <cell r="C16051"/>
          <cell r="D16051"/>
          <cell r="E16051"/>
        </row>
        <row r="16052">
          <cell r="A16052"/>
          <cell r="B16052"/>
          <cell r="C16052"/>
          <cell r="D16052"/>
          <cell r="E16052"/>
        </row>
        <row r="16053">
          <cell r="A16053"/>
          <cell r="B16053"/>
          <cell r="C16053"/>
          <cell r="D16053"/>
          <cell r="E16053"/>
        </row>
        <row r="16054">
          <cell r="A16054"/>
          <cell r="B16054"/>
          <cell r="C16054"/>
          <cell r="D16054"/>
          <cell r="E16054"/>
        </row>
        <row r="16055">
          <cell r="A16055"/>
          <cell r="B16055"/>
          <cell r="C16055"/>
          <cell r="D16055"/>
          <cell r="E16055"/>
        </row>
        <row r="16056">
          <cell r="A16056"/>
          <cell r="B16056"/>
          <cell r="C16056"/>
          <cell r="D16056"/>
          <cell r="E16056"/>
        </row>
        <row r="16057">
          <cell r="A16057"/>
          <cell r="B16057"/>
          <cell r="C16057"/>
          <cell r="D16057"/>
          <cell r="E16057"/>
        </row>
        <row r="16058">
          <cell r="A16058"/>
          <cell r="B16058"/>
          <cell r="C16058"/>
          <cell r="D16058"/>
          <cell r="E16058"/>
        </row>
        <row r="16059">
          <cell r="A16059"/>
          <cell r="B16059"/>
          <cell r="C16059"/>
          <cell r="D16059"/>
          <cell r="E16059"/>
        </row>
        <row r="16060">
          <cell r="A16060"/>
          <cell r="B16060"/>
          <cell r="C16060"/>
          <cell r="D16060"/>
          <cell r="E16060"/>
        </row>
        <row r="16061">
          <cell r="A16061"/>
          <cell r="B16061"/>
          <cell r="C16061"/>
          <cell r="D16061"/>
          <cell r="E16061"/>
        </row>
        <row r="16062">
          <cell r="A16062"/>
          <cell r="B16062"/>
          <cell r="C16062"/>
          <cell r="D16062"/>
          <cell r="E16062"/>
        </row>
        <row r="16063">
          <cell r="A16063"/>
          <cell r="B16063"/>
          <cell r="C16063"/>
          <cell r="D16063"/>
          <cell r="E16063"/>
        </row>
        <row r="16064">
          <cell r="A16064"/>
          <cell r="B16064"/>
          <cell r="C16064"/>
          <cell r="D16064"/>
          <cell r="E16064"/>
        </row>
        <row r="16065">
          <cell r="A16065"/>
          <cell r="B16065"/>
          <cell r="C16065"/>
          <cell r="D16065"/>
          <cell r="E16065"/>
        </row>
        <row r="16066">
          <cell r="A16066"/>
          <cell r="B16066"/>
          <cell r="C16066"/>
          <cell r="D16066"/>
          <cell r="E16066"/>
        </row>
        <row r="16067">
          <cell r="A16067"/>
          <cell r="B16067"/>
          <cell r="C16067"/>
          <cell r="D16067"/>
          <cell r="E16067"/>
        </row>
        <row r="16068">
          <cell r="A16068"/>
          <cell r="B16068"/>
          <cell r="C16068"/>
          <cell r="D16068"/>
          <cell r="E16068"/>
        </row>
        <row r="16069">
          <cell r="A16069"/>
          <cell r="B16069"/>
          <cell r="C16069"/>
          <cell r="D16069"/>
          <cell r="E16069"/>
        </row>
        <row r="16070">
          <cell r="A16070"/>
          <cell r="B16070"/>
          <cell r="C16070"/>
          <cell r="D16070"/>
          <cell r="E16070"/>
        </row>
        <row r="16071">
          <cell r="A16071"/>
          <cell r="B16071"/>
          <cell r="C16071"/>
          <cell r="D16071"/>
          <cell r="E16071"/>
        </row>
        <row r="16072">
          <cell r="A16072"/>
          <cell r="B16072"/>
          <cell r="C16072"/>
          <cell r="D16072"/>
          <cell r="E16072"/>
        </row>
        <row r="16073">
          <cell r="A16073"/>
          <cell r="B16073"/>
          <cell r="C16073"/>
          <cell r="D16073"/>
          <cell r="E16073"/>
        </row>
        <row r="16074">
          <cell r="A16074"/>
          <cell r="B16074"/>
          <cell r="C16074"/>
          <cell r="D16074"/>
          <cell r="E16074"/>
        </row>
        <row r="16075">
          <cell r="A16075"/>
          <cell r="B16075"/>
          <cell r="C16075"/>
          <cell r="D16075"/>
          <cell r="E16075"/>
        </row>
        <row r="16076">
          <cell r="A16076"/>
          <cell r="B16076"/>
          <cell r="C16076"/>
          <cell r="D16076"/>
          <cell r="E16076"/>
        </row>
        <row r="16077">
          <cell r="A16077"/>
          <cell r="B16077"/>
          <cell r="C16077"/>
          <cell r="D16077"/>
          <cell r="E16077"/>
        </row>
        <row r="16078">
          <cell r="A16078"/>
          <cell r="B16078"/>
          <cell r="C16078"/>
          <cell r="D16078"/>
          <cell r="E16078"/>
        </row>
        <row r="16079">
          <cell r="A16079"/>
          <cell r="B16079"/>
          <cell r="C16079"/>
          <cell r="D16079"/>
          <cell r="E16079"/>
        </row>
        <row r="16080">
          <cell r="A16080"/>
          <cell r="B16080"/>
          <cell r="C16080"/>
          <cell r="D16080"/>
          <cell r="E16080"/>
        </row>
        <row r="16081">
          <cell r="A16081"/>
          <cell r="B16081"/>
          <cell r="C16081"/>
          <cell r="D16081"/>
          <cell r="E16081"/>
        </row>
        <row r="16082">
          <cell r="A16082"/>
          <cell r="B16082"/>
          <cell r="C16082"/>
          <cell r="D16082"/>
          <cell r="E16082"/>
        </row>
        <row r="16083">
          <cell r="A16083"/>
          <cell r="B16083"/>
          <cell r="C16083"/>
          <cell r="D16083"/>
          <cell r="E16083"/>
        </row>
        <row r="16084">
          <cell r="A16084"/>
          <cell r="B16084"/>
          <cell r="C16084"/>
          <cell r="D16084"/>
          <cell r="E16084"/>
        </row>
        <row r="16085">
          <cell r="A16085"/>
          <cell r="B16085"/>
          <cell r="C16085"/>
          <cell r="D16085"/>
          <cell r="E16085"/>
        </row>
        <row r="16086">
          <cell r="A16086"/>
          <cell r="B16086"/>
          <cell r="C16086"/>
          <cell r="D16086"/>
          <cell r="E16086"/>
        </row>
        <row r="16087">
          <cell r="A16087"/>
          <cell r="B16087"/>
          <cell r="C16087"/>
          <cell r="D16087"/>
          <cell r="E16087"/>
        </row>
        <row r="16088">
          <cell r="A16088"/>
          <cell r="B16088"/>
          <cell r="C16088"/>
          <cell r="D16088"/>
          <cell r="E16088"/>
        </row>
        <row r="16089">
          <cell r="A16089"/>
          <cell r="B16089"/>
          <cell r="C16089"/>
          <cell r="D16089"/>
          <cell r="E16089"/>
        </row>
        <row r="16090">
          <cell r="A16090"/>
          <cell r="B16090"/>
          <cell r="C16090"/>
          <cell r="D16090"/>
          <cell r="E16090"/>
        </row>
        <row r="16091">
          <cell r="A16091"/>
          <cell r="B16091"/>
          <cell r="C16091"/>
          <cell r="D16091"/>
          <cell r="E16091"/>
        </row>
        <row r="16092">
          <cell r="A16092"/>
          <cell r="B16092"/>
          <cell r="C16092"/>
          <cell r="D16092"/>
          <cell r="E16092"/>
        </row>
        <row r="16093">
          <cell r="A16093"/>
          <cell r="B16093"/>
          <cell r="C16093"/>
          <cell r="D16093"/>
          <cell r="E16093"/>
        </row>
        <row r="16094">
          <cell r="A16094"/>
          <cell r="B16094"/>
          <cell r="C16094"/>
          <cell r="D16094"/>
          <cell r="E16094"/>
        </row>
        <row r="16095">
          <cell r="A16095"/>
          <cell r="B16095"/>
          <cell r="C16095"/>
          <cell r="D16095"/>
          <cell r="E16095"/>
        </row>
        <row r="16096">
          <cell r="A16096"/>
          <cell r="B16096"/>
          <cell r="C16096"/>
          <cell r="D16096"/>
          <cell r="E16096"/>
        </row>
        <row r="16097">
          <cell r="A16097"/>
          <cell r="B16097"/>
          <cell r="C16097"/>
          <cell r="D16097"/>
          <cell r="E16097"/>
        </row>
        <row r="16098">
          <cell r="A16098"/>
          <cell r="B16098"/>
          <cell r="C16098"/>
          <cell r="D16098"/>
          <cell r="E16098"/>
        </row>
        <row r="16099">
          <cell r="A16099"/>
          <cell r="B16099"/>
          <cell r="C16099"/>
          <cell r="D16099"/>
          <cell r="E16099"/>
        </row>
        <row r="16100">
          <cell r="A16100"/>
          <cell r="B16100"/>
          <cell r="C16100"/>
          <cell r="D16100"/>
          <cell r="E16100"/>
        </row>
        <row r="16101">
          <cell r="A16101"/>
          <cell r="B16101"/>
          <cell r="C16101"/>
          <cell r="D16101"/>
          <cell r="E16101"/>
        </row>
        <row r="16102">
          <cell r="A16102"/>
          <cell r="B16102"/>
          <cell r="C16102"/>
          <cell r="D16102"/>
          <cell r="E16102"/>
        </row>
        <row r="16103">
          <cell r="A16103"/>
          <cell r="B16103"/>
          <cell r="C16103"/>
          <cell r="D16103"/>
          <cell r="E16103"/>
        </row>
        <row r="16104">
          <cell r="A16104"/>
          <cell r="B16104"/>
          <cell r="C16104"/>
          <cell r="D16104"/>
          <cell r="E16104"/>
        </row>
        <row r="16105">
          <cell r="A16105"/>
          <cell r="B16105"/>
          <cell r="C16105"/>
          <cell r="D16105"/>
          <cell r="E16105"/>
        </row>
        <row r="16106">
          <cell r="A16106"/>
          <cell r="B16106"/>
          <cell r="C16106"/>
          <cell r="D16106"/>
          <cell r="E16106"/>
        </row>
        <row r="16107">
          <cell r="A16107"/>
          <cell r="B16107"/>
          <cell r="C16107"/>
          <cell r="D16107"/>
          <cell r="E16107"/>
        </row>
        <row r="16108">
          <cell r="A16108"/>
          <cell r="B16108"/>
          <cell r="C16108"/>
          <cell r="D16108"/>
          <cell r="E16108"/>
        </row>
        <row r="16109">
          <cell r="A16109"/>
          <cell r="B16109"/>
          <cell r="C16109"/>
          <cell r="D16109"/>
          <cell r="E16109"/>
        </row>
        <row r="16110">
          <cell r="A16110"/>
          <cell r="B16110"/>
          <cell r="C16110"/>
          <cell r="D16110"/>
          <cell r="E16110"/>
        </row>
        <row r="16111">
          <cell r="A16111"/>
          <cell r="B16111"/>
          <cell r="C16111"/>
          <cell r="D16111"/>
          <cell r="E16111"/>
        </row>
        <row r="16112">
          <cell r="A16112"/>
          <cell r="B16112"/>
          <cell r="C16112"/>
          <cell r="D16112"/>
          <cell r="E16112"/>
        </row>
        <row r="16113">
          <cell r="A16113"/>
          <cell r="B16113"/>
          <cell r="C16113"/>
          <cell r="D16113"/>
          <cell r="E16113"/>
        </row>
        <row r="16114">
          <cell r="A16114"/>
          <cell r="B16114"/>
          <cell r="C16114"/>
          <cell r="D16114"/>
          <cell r="E16114"/>
        </row>
        <row r="16115">
          <cell r="A16115"/>
          <cell r="B16115"/>
          <cell r="C16115"/>
          <cell r="D16115"/>
          <cell r="E16115"/>
        </row>
        <row r="16116">
          <cell r="A16116"/>
          <cell r="B16116"/>
          <cell r="C16116"/>
          <cell r="D16116"/>
          <cell r="E16116"/>
        </row>
        <row r="16117">
          <cell r="A16117"/>
          <cell r="B16117"/>
          <cell r="C16117"/>
          <cell r="D16117"/>
          <cell r="E16117"/>
        </row>
        <row r="16118">
          <cell r="A16118"/>
          <cell r="B16118"/>
          <cell r="C16118"/>
          <cell r="D16118"/>
          <cell r="E16118"/>
        </row>
        <row r="16119">
          <cell r="A16119"/>
          <cell r="B16119"/>
          <cell r="C16119"/>
          <cell r="D16119"/>
          <cell r="E16119"/>
        </row>
        <row r="16120">
          <cell r="A16120"/>
          <cell r="B16120"/>
          <cell r="C16120"/>
          <cell r="D16120"/>
          <cell r="E16120"/>
        </row>
        <row r="16121">
          <cell r="A16121"/>
          <cell r="B16121"/>
          <cell r="C16121"/>
          <cell r="D16121"/>
          <cell r="E16121"/>
        </row>
        <row r="16122">
          <cell r="A16122"/>
          <cell r="B16122"/>
          <cell r="C16122"/>
          <cell r="D16122"/>
          <cell r="E16122"/>
        </row>
        <row r="16123">
          <cell r="A16123"/>
          <cell r="B16123"/>
          <cell r="C16123"/>
          <cell r="D16123"/>
          <cell r="E16123"/>
        </row>
        <row r="16124">
          <cell r="A16124"/>
          <cell r="B16124"/>
          <cell r="C16124"/>
          <cell r="D16124"/>
          <cell r="E16124"/>
        </row>
        <row r="16125">
          <cell r="A16125"/>
          <cell r="B16125"/>
          <cell r="C16125"/>
          <cell r="D16125"/>
          <cell r="E16125"/>
        </row>
        <row r="16126">
          <cell r="A16126"/>
          <cell r="B16126"/>
          <cell r="C16126"/>
          <cell r="D16126"/>
          <cell r="E16126"/>
        </row>
        <row r="16127">
          <cell r="A16127"/>
          <cell r="B16127"/>
          <cell r="C16127"/>
          <cell r="D16127"/>
          <cell r="E16127"/>
        </row>
        <row r="16128">
          <cell r="A16128"/>
          <cell r="B16128"/>
          <cell r="C16128"/>
          <cell r="D16128"/>
          <cell r="E16128"/>
        </row>
        <row r="16129">
          <cell r="A16129"/>
          <cell r="B16129"/>
          <cell r="C16129"/>
          <cell r="D16129"/>
          <cell r="E16129"/>
        </row>
        <row r="16130">
          <cell r="A16130"/>
          <cell r="B16130"/>
          <cell r="C16130"/>
          <cell r="D16130"/>
          <cell r="E16130"/>
        </row>
        <row r="16131">
          <cell r="A16131"/>
          <cell r="B16131"/>
          <cell r="C16131"/>
          <cell r="D16131"/>
          <cell r="E16131"/>
        </row>
        <row r="16132">
          <cell r="A16132"/>
          <cell r="B16132"/>
          <cell r="C16132"/>
          <cell r="D16132"/>
          <cell r="E16132"/>
        </row>
        <row r="16133">
          <cell r="A16133"/>
          <cell r="B16133"/>
          <cell r="C16133"/>
          <cell r="D16133"/>
          <cell r="E16133"/>
        </row>
        <row r="16134">
          <cell r="A16134"/>
          <cell r="B16134"/>
          <cell r="C16134"/>
          <cell r="D16134"/>
          <cell r="E16134"/>
        </row>
        <row r="16135">
          <cell r="A16135"/>
          <cell r="B16135"/>
          <cell r="C16135"/>
          <cell r="D16135"/>
          <cell r="E16135"/>
        </row>
        <row r="16136">
          <cell r="A16136"/>
          <cell r="B16136"/>
          <cell r="C16136"/>
          <cell r="D16136"/>
          <cell r="E16136"/>
        </row>
        <row r="16137">
          <cell r="A16137"/>
          <cell r="B16137"/>
          <cell r="C16137"/>
          <cell r="D16137"/>
          <cell r="E16137"/>
        </row>
        <row r="16138">
          <cell r="A16138"/>
          <cell r="B16138"/>
          <cell r="C16138"/>
          <cell r="D16138"/>
          <cell r="E16138"/>
        </row>
        <row r="16139">
          <cell r="A16139"/>
          <cell r="B16139"/>
          <cell r="C16139"/>
          <cell r="D16139"/>
          <cell r="E16139"/>
        </row>
        <row r="16140">
          <cell r="A16140"/>
          <cell r="B16140"/>
          <cell r="C16140"/>
          <cell r="D16140"/>
          <cell r="E16140"/>
        </row>
        <row r="16141">
          <cell r="A16141"/>
          <cell r="B16141"/>
          <cell r="C16141"/>
          <cell r="D16141"/>
          <cell r="E16141"/>
        </row>
        <row r="16142">
          <cell r="A16142"/>
          <cell r="B16142"/>
          <cell r="C16142"/>
          <cell r="D16142"/>
          <cell r="E16142"/>
        </row>
        <row r="16143">
          <cell r="A16143"/>
          <cell r="B16143"/>
          <cell r="C16143"/>
          <cell r="D16143"/>
          <cell r="E16143"/>
        </row>
        <row r="16144">
          <cell r="A16144"/>
          <cell r="B16144"/>
          <cell r="C16144"/>
          <cell r="D16144"/>
          <cell r="E16144"/>
        </row>
        <row r="16145">
          <cell r="A16145"/>
          <cell r="B16145"/>
          <cell r="C16145"/>
          <cell r="D16145"/>
          <cell r="E16145"/>
        </row>
        <row r="16146">
          <cell r="A16146"/>
          <cell r="B16146"/>
          <cell r="C16146"/>
          <cell r="D16146"/>
          <cell r="E16146"/>
        </row>
        <row r="16147">
          <cell r="A16147"/>
          <cell r="B16147"/>
          <cell r="C16147"/>
          <cell r="D16147"/>
          <cell r="E16147"/>
        </row>
        <row r="16148">
          <cell r="A16148"/>
          <cell r="B16148"/>
          <cell r="C16148"/>
          <cell r="D16148"/>
          <cell r="E16148"/>
        </row>
        <row r="16149">
          <cell r="A16149"/>
          <cell r="B16149"/>
          <cell r="C16149"/>
          <cell r="D16149"/>
          <cell r="E16149"/>
        </row>
        <row r="16150">
          <cell r="A16150"/>
          <cell r="B16150"/>
          <cell r="C16150"/>
          <cell r="D16150"/>
          <cell r="E16150"/>
        </row>
        <row r="16151">
          <cell r="A16151"/>
          <cell r="B16151"/>
          <cell r="C16151"/>
          <cell r="D16151"/>
          <cell r="E16151"/>
        </row>
        <row r="16152">
          <cell r="A16152"/>
          <cell r="B16152"/>
          <cell r="C16152"/>
          <cell r="D16152"/>
          <cell r="E16152"/>
        </row>
        <row r="16153">
          <cell r="A16153"/>
          <cell r="B16153"/>
          <cell r="C16153"/>
          <cell r="D16153"/>
          <cell r="E16153"/>
        </row>
        <row r="16154">
          <cell r="A16154"/>
          <cell r="B16154"/>
          <cell r="C16154"/>
          <cell r="D16154"/>
          <cell r="E16154"/>
        </row>
        <row r="16155">
          <cell r="A16155"/>
          <cell r="B16155"/>
          <cell r="C16155"/>
          <cell r="D16155"/>
          <cell r="E16155"/>
        </row>
        <row r="16156">
          <cell r="A16156"/>
          <cell r="B16156"/>
          <cell r="C16156"/>
          <cell r="D16156"/>
          <cell r="E16156"/>
        </row>
        <row r="16157">
          <cell r="A16157"/>
          <cell r="B16157"/>
          <cell r="C16157"/>
          <cell r="D16157"/>
          <cell r="E16157"/>
        </row>
        <row r="16158">
          <cell r="A16158"/>
          <cell r="B16158"/>
          <cell r="C16158"/>
          <cell r="D16158"/>
          <cell r="E16158"/>
        </row>
        <row r="16159">
          <cell r="A16159"/>
          <cell r="B16159"/>
          <cell r="C16159"/>
          <cell r="D16159"/>
          <cell r="E16159"/>
        </row>
        <row r="16160">
          <cell r="A16160"/>
          <cell r="B16160"/>
          <cell r="C16160"/>
          <cell r="D16160"/>
          <cell r="E16160"/>
        </row>
        <row r="16161">
          <cell r="A16161"/>
          <cell r="B16161"/>
          <cell r="C16161"/>
          <cell r="D16161"/>
          <cell r="E16161"/>
        </row>
        <row r="16162">
          <cell r="A16162"/>
          <cell r="B16162"/>
          <cell r="C16162"/>
          <cell r="D16162"/>
          <cell r="E16162"/>
        </row>
        <row r="16163">
          <cell r="A16163"/>
          <cell r="B16163"/>
          <cell r="C16163"/>
          <cell r="D16163"/>
          <cell r="E16163"/>
        </row>
        <row r="16164">
          <cell r="A16164"/>
          <cell r="B16164"/>
          <cell r="C16164"/>
          <cell r="D16164"/>
          <cell r="E16164"/>
        </row>
        <row r="16165">
          <cell r="A16165"/>
          <cell r="B16165"/>
          <cell r="C16165"/>
          <cell r="D16165"/>
          <cell r="E16165"/>
        </row>
        <row r="16166">
          <cell r="A16166"/>
          <cell r="B16166"/>
          <cell r="C16166"/>
          <cell r="D16166"/>
          <cell r="E16166"/>
        </row>
        <row r="16167">
          <cell r="A16167"/>
          <cell r="B16167"/>
          <cell r="C16167"/>
          <cell r="D16167"/>
          <cell r="E16167"/>
        </row>
        <row r="16168">
          <cell r="A16168"/>
          <cell r="B16168"/>
          <cell r="C16168"/>
          <cell r="D16168"/>
          <cell r="E16168"/>
        </row>
        <row r="16169">
          <cell r="A16169"/>
          <cell r="B16169"/>
          <cell r="C16169"/>
          <cell r="D16169"/>
          <cell r="E16169"/>
        </row>
        <row r="16170">
          <cell r="A16170"/>
          <cell r="B16170"/>
          <cell r="C16170"/>
          <cell r="D16170"/>
          <cell r="E16170"/>
        </row>
        <row r="16171">
          <cell r="A16171"/>
          <cell r="B16171"/>
          <cell r="C16171"/>
          <cell r="D16171"/>
          <cell r="E16171"/>
        </row>
        <row r="16172">
          <cell r="A16172"/>
          <cell r="B16172"/>
          <cell r="C16172"/>
          <cell r="D16172"/>
          <cell r="E16172"/>
        </row>
        <row r="16173">
          <cell r="A16173"/>
          <cell r="B16173"/>
          <cell r="C16173"/>
          <cell r="D16173"/>
          <cell r="E16173"/>
        </row>
        <row r="16174">
          <cell r="A16174"/>
          <cell r="B16174"/>
          <cell r="C16174"/>
          <cell r="D16174"/>
          <cell r="E16174"/>
        </row>
        <row r="16175">
          <cell r="A16175"/>
          <cell r="B16175"/>
          <cell r="C16175"/>
          <cell r="D16175"/>
          <cell r="E16175"/>
        </row>
        <row r="16176">
          <cell r="A16176"/>
          <cell r="B16176"/>
          <cell r="C16176"/>
          <cell r="D16176"/>
          <cell r="E16176"/>
        </row>
        <row r="16177">
          <cell r="A16177"/>
          <cell r="B16177"/>
          <cell r="C16177"/>
          <cell r="D16177"/>
          <cell r="E16177"/>
        </row>
        <row r="16178">
          <cell r="A16178"/>
          <cell r="B16178"/>
          <cell r="C16178"/>
          <cell r="D16178"/>
          <cell r="E16178"/>
        </row>
        <row r="16179">
          <cell r="A16179"/>
          <cell r="B16179"/>
          <cell r="C16179"/>
          <cell r="D16179"/>
          <cell r="E16179"/>
        </row>
        <row r="16180">
          <cell r="A16180"/>
          <cell r="B16180"/>
          <cell r="C16180"/>
          <cell r="D16180"/>
          <cell r="E16180"/>
        </row>
        <row r="16181">
          <cell r="A16181"/>
          <cell r="B16181"/>
          <cell r="C16181"/>
          <cell r="D16181"/>
          <cell r="E16181"/>
        </row>
        <row r="16182">
          <cell r="A16182"/>
          <cell r="B16182"/>
          <cell r="C16182"/>
          <cell r="D16182"/>
          <cell r="E16182"/>
        </row>
        <row r="16183">
          <cell r="A16183"/>
          <cell r="B16183"/>
          <cell r="C16183"/>
          <cell r="D16183"/>
          <cell r="E16183"/>
        </row>
        <row r="16184">
          <cell r="A16184"/>
          <cell r="B16184"/>
          <cell r="C16184"/>
          <cell r="D16184"/>
          <cell r="E16184"/>
        </row>
        <row r="16185">
          <cell r="A16185"/>
          <cell r="B16185"/>
          <cell r="C16185"/>
          <cell r="D16185"/>
          <cell r="E16185"/>
        </row>
        <row r="16186">
          <cell r="A16186"/>
          <cell r="B16186"/>
          <cell r="C16186"/>
          <cell r="D16186"/>
          <cell r="E16186"/>
        </row>
        <row r="16187">
          <cell r="A16187"/>
          <cell r="B16187"/>
          <cell r="C16187"/>
          <cell r="D16187"/>
          <cell r="E16187"/>
        </row>
        <row r="16188">
          <cell r="A16188"/>
          <cell r="B16188"/>
          <cell r="C16188"/>
          <cell r="D16188"/>
          <cell r="E16188"/>
        </row>
        <row r="16189">
          <cell r="A16189"/>
          <cell r="B16189"/>
          <cell r="C16189"/>
          <cell r="D16189"/>
          <cell r="E16189"/>
        </row>
        <row r="16190">
          <cell r="A16190"/>
          <cell r="B16190"/>
          <cell r="C16190"/>
          <cell r="D16190"/>
          <cell r="E16190"/>
        </row>
        <row r="16191">
          <cell r="A16191"/>
          <cell r="B16191"/>
          <cell r="C16191"/>
          <cell r="D16191"/>
          <cell r="E16191"/>
        </row>
        <row r="16192">
          <cell r="A16192"/>
          <cell r="B16192"/>
          <cell r="C16192"/>
          <cell r="D16192"/>
          <cell r="E16192"/>
        </row>
        <row r="16193">
          <cell r="A16193"/>
          <cell r="B16193"/>
          <cell r="C16193"/>
          <cell r="D16193"/>
          <cell r="E16193"/>
        </row>
        <row r="16194">
          <cell r="A16194"/>
          <cell r="B16194"/>
          <cell r="C16194"/>
          <cell r="D16194"/>
          <cell r="E16194"/>
        </row>
        <row r="16195">
          <cell r="A16195"/>
          <cell r="B16195"/>
          <cell r="C16195"/>
          <cell r="D16195"/>
          <cell r="E16195"/>
        </row>
        <row r="16196">
          <cell r="A16196"/>
          <cell r="B16196"/>
          <cell r="C16196"/>
          <cell r="D16196"/>
          <cell r="E16196"/>
        </row>
        <row r="16197">
          <cell r="A16197"/>
          <cell r="B16197"/>
          <cell r="C16197"/>
          <cell r="D16197"/>
          <cell r="E16197"/>
        </row>
        <row r="16198">
          <cell r="A16198"/>
          <cell r="B16198"/>
          <cell r="C16198"/>
          <cell r="D16198"/>
          <cell r="E16198"/>
        </row>
        <row r="16199">
          <cell r="A16199"/>
          <cell r="B16199"/>
          <cell r="C16199"/>
          <cell r="D16199"/>
          <cell r="E16199"/>
        </row>
        <row r="16200">
          <cell r="A16200"/>
          <cell r="B16200"/>
          <cell r="C16200"/>
          <cell r="D16200"/>
          <cell r="E16200"/>
        </row>
        <row r="16201">
          <cell r="A16201"/>
          <cell r="B16201"/>
          <cell r="C16201"/>
          <cell r="D16201"/>
          <cell r="E16201"/>
        </row>
        <row r="16202">
          <cell r="A16202"/>
          <cell r="B16202"/>
          <cell r="C16202"/>
          <cell r="D16202"/>
          <cell r="E16202"/>
        </row>
        <row r="16203">
          <cell r="A16203"/>
          <cell r="B16203"/>
          <cell r="C16203"/>
          <cell r="D16203"/>
          <cell r="E16203"/>
        </row>
        <row r="16204">
          <cell r="A16204"/>
          <cell r="B16204"/>
          <cell r="C16204"/>
          <cell r="D16204"/>
          <cell r="E16204"/>
        </row>
        <row r="16205">
          <cell r="A16205"/>
          <cell r="B16205"/>
          <cell r="C16205"/>
          <cell r="D16205"/>
          <cell r="E16205"/>
        </row>
        <row r="16206">
          <cell r="A16206"/>
          <cell r="B16206"/>
          <cell r="C16206"/>
          <cell r="D16206"/>
          <cell r="E16206"/>
        </row>
        <row r="16207">
          <cell r="A16207"/>
          <cell r="B16207"/>
          <cell r="C16207"/>
          <cell r="D16207"/>
          <cell r="E16207"/>
        </row>
        <row r="16208">
          <cell r="A16208"/>
          <cell r="B16208"/>
          <cell r="C16208"/>
          <cell r="D16208"/>
          <cell r="E16208"/>
        </row>
        <row r="16209">
          <cell r="A16209"/>
          <cell r="B16209"/>
          <cell r="C16209"/>
          <cell r="D16209"/>
          <cell r="E16209"/>
        </row>
        <row r="16210">
          <cell r="A16210"/>
          <cell r="B16210"/>
          <cell r="C16210"/>
          <cell r="D16210"/>
          <cell r="E16210"/>
        </row>
        <row r="16211">
          <cell r="A16211"/>
          <cell r="B16211"/>
          <cell r="C16211"/>
          <cell r="D16211"/>
          <cell r="E16211"/>
        </row>
        <row r="16212">
          <cell r="A16212"/>
          <cell r="B16212"/>
          <cell r="C16212"/>
          <cell r="D16212"/>
          <cell r="E16212"/>
        </row>
        <row r="16213">
          <cell r="A16213"/>
          <cell r="B16213"/>
          <cell r="C16213"/>
          <cell r="D16213"/>
          <cell r="E16213"/>
        </row>
        <row r="16214">
          <cell r="A16214"/>
          <cell r="B16214"/>
          <cell r="C16214"/>
          <cell r="D16214"/>
          <cell r="E16214"/>
        </row>
        <row r="16215">
          <cell r="A16215"/>
          <cell r="B16215"/>
          <cell r="C16215"/>
          <cell r="D16215"/>
          <cell r="E16215"/>
        </row>
        <row r="16216">
          <cell r="A16216"/>
          <cell r="B16216"/>
          <cell r="C16216"/>
          <cell r="D16216"/>
          <cell r="E16216"/>
        </row>
        <row r="16217">
          <cell r="A16217"/>
          <cell r="B16217"/>
          <cell r="C16217"/>
          <cell r="D16217"/>
          <cell r="E16217"/>
        </row>
        <row r="16218">
          <cell r="A16218"/>
          <cell r="B16218"/>
          <cell r="C16218"/>
          <cell r="D16218"/>
          <cell r="E16218"/>
        </row>
        <row r="16219">
          <cell r="A16219"/>
          <cell r="B16219"/>
          <cell r="C16219"/>
          <cell r="D16219"/>
          <cell r="E16219"/>
        </row>
        <row r="16220">
          <cell r="A16220"/>
          <cell r="B16220"/>
          <cell r="C16220"/>
          <cell r="D16220"/>
          <cell r="E16220"/>
        </row>
        <row r="16221">
          <cell r="A16221"/>
          <cell r="B16221"/>
          <cell r="C16221"/>
          <cell r="D16221"/>
          <cell r="E16221"/>
        </row>
        <row r="16222">
          <cell r="A16222"/>
          <cell r="B16222"/>
          <cell r="C16222"/>
          <cell r="D16222"/>
          <cell r="E16222"/>
        </row>
        <row r="16223">
          <cell r="A16223"/>
          <cell r="B16223"/>
          <cell r="C16223"/>
          <cell r="D16223"/>
          <cell r="E16223"/>
        </row>
        <row r="16224">
          <cell r="A16224"/>
          <cell r="B16224"/>
          <cell r="C16224"/>
          <cell r="D16224"/>
          <cell r="E16224"/>
        </row>
        <row r="16225">
          <cell r="A16225"/>
          <cell r="B16225"/>
          <cell r="C16225"/>
          <cell r="D16225"/>
          <cell r="E16225"/>
        </row>
        <row r="16226">
          <cell r="A16226"/>
          <cell r="B16226"/>
          <cell r="C16226"/>
          <cell r="D16226"/>
          <cell r="E16226"/>
        </row>
        <row r="16227">
          <cell r="A16227"/>
          <cell r="B16227"/>
          <cell r="C16227"/>
          <cell r="D16227"/>
          <cell r="E16227"/>
        </row>
        <row r="16228">
          <cell r="A16228"/>
          <cell r="B16228"/>
          <cell r="C16228"/>
          <cell r="D16228"/>
          <cell r="E16228"/>
        </row>
        <row r="16229">
          <cell r="A16229"/>
          <cell r="B16229"/>
          <cell r="C16229"/>
          <cell r="D16229"/>
          <cell r="E16229"/>
        </row>
        <row r="16230">
          <cell r="A16230"/>
          <cell r="B16230"/>
          <cell r="C16230"/>
          <cell r="D16230"/>
          <cell r="E16230"/>
        </row>
        <row r="16231">
          <cell r="A16231"/>
          <cell r="B16231"/>
          <cell r="C16231"/>
          <cell r="D16231"/>
          <cell r="E16231"/>
        </row>
        <row r="16232">
          <cell r="A16232"/>
          <cell r="B16232"/>
          <cell r="C16232"/>
          <cell r="D16232"/>
          <cell r="E16232"/>
        </row>
        <row r="16233">
          <cell r="A16233"/>
          <cell r="B16233"/>
          <cell r="C16233"/>
          <cell r="D16233"/>
          <cell r="E16233"/>
        </row>
        <row r="16234">
          <cell r="A16234"/>
          <cell r="B16234"/>
          <cell r="C16234"/>
          <cell r="D16234"/>
          <cell r="E16234"/>
        </row>
        <row r="16235">
          <cell r="A16235"/>
          <cell r="B16235"/>
          <cell r="C16235"/>
          <cell r="D16235"/>
          <cell r="E16235"/>
        </row>
        <row r="16236">
          <cell r="A16236"/>
          <cell r="B16236"/>
          <cell r="C16236"/>
          <cell r="D16236"/>
          <cell r="E16236"/>
        </row>
        <row r="16237">
          <cell r="A16237"/>
          <cell r="B16237"/>
          <cell r="C16237"/>
          <cell r="D16237"/>
          <cell r="E16237"/>
        </row>
        <row r="16238">
          <cell r="A16238"/>
          <cell r="B16238"/>
          <cell r="C16238"/>
          <cell r="D16238"/>
          <cell r="E16238"/>
        </row>
        <row r="16239">
          <cell r="A16239"/>
          <cell r="B16239"/>
          <cell r="C16239"/>
          <cell r="D16239"/>
          <cell r="E16239"/>
        </row>
        <row r="16240">
          <cell r="A16240"/>
          <cell r="B16240"/>
          <cell r="C16240"/>
          <cell r="D16240"/>
          <cell r="E16240"/>
        </row>
        <row r="16241">
          <cell r="A16241"/>
          <cell r="B16241"/>
          <cell r="C16241"/>
          <cell r="D16241"/>
          <cell r="E16241"/>
        </row>
        <row r="16242">
          <cell r="A16242"/>
          <cell r="B16242"/>
          <cell r="C16242"/>
          <cell r="D16242"/>
          <cell r="E16242"/>
        </row>
        <row r="16243">
          <cell r="A16243"/>
          <cell r="B16243"/>
          <cell r="C16243"/>
          <cell r="D16243"/>
          <cell r="E16243"/>
        </row>
        <row r="16244">
          <cell r="A16244"/>
          <cell r="B16244"/>
          <cell r="C16244"/>
          <cell r="D16244"/>
          <cell r="E16244"/>
        </row>
        <row r="16245">
          <cell r="A16245"/>
          <cell r="B16245"/>
          <cell r="C16245"/>
          <cell r="D16245"/>
          <cell r="E16245"/>
        </row>
        <row r="16246">
          <cell r="A16246"/>
          <cell r="B16246"/>
          <cell r="C16246"/>
          <cell r="D16246"/>
          <cell r="E16246"/>
        </row>
        <row r="16247">
          <cell r="A16247"/>
          <cell r="B16247"/>
          <cell r="C16247"/>
          <cell r="D16247"/>
          <cell r="E16247"/>
        </row>
        <row r="16248">
          <cell r="A16248"/>
          <cell r="B16248"/>
          <cell r="C16248"/>
          <cell r="D16248"/>
          <cell r="E16248"/>
        </row>
        <row r="16249">
          <cell r="A16249"/>
          <cell r="B16249"/>
          <cell r="C16249"/>
          <cell r="D16249"/>
          <cell r="E16249"/>
        </row>
        <row r="16250">
          <cell r="A16250"/>
          <cell r="B16250"/>
          <cell r="C16250"/>
          <cell r="D16250"/>
          <cell r="E16250"/>
        </row>
        <row r="16251">
          <cell r="A16251"/>
          <cell r="B16251"/>
          <cell r="C16251"/>
          <cell r="D16251"/>
          <cell r="E16251"/>
        </row>
        <row r="16252">
          <cell r="A16252"/>
          <cell r="B16252"/>
          <cell r="C16252"/>
          <cell r="D16252"/>
          <cell r="E16252"/>
        </row>
        <row r="16253">
          <cell r="A16253"/>
          <cell r="B16253"/>
          <cell r="C16253"/>
          <cell r="D16253"/>
          <cell r="E16253"/>
        </row>
        <row r="16254">
          <cell r="A16254"/>
          <cell r="B16254"/>
          <cell r="C16254"/>
          <cell r="D16254"/>
          <cell r="E16254"/>
        </row>
        <row r="16255">
          <cell r="A16255"/>
          <cell r="B16255"/>
          <cell r="C16255"/>
          <cell r="D16255"/>
          <cell r="E16255"/>
        </row>
        <row r="16256">
          <cell r="A16256"/>
          <cell r="B16256"/>
          <cell r="C16256"/>
          <cell r="D16256"/>
          <cell r="E16256"/>
        </row>
        <row r="16257">
          <cell r="A16257"/>
          <cell r="B16257"/>
          <cell r="C16257"/>
          <cell r="D16257"/>
          <cell r="E16257"/>
        </row>
        <row r="16258">
          <cell r="A16258"/>
          <cell r="B16258"/>
          <cell r="C16258"/>
          <cell r="D16258"/>
          <cell r="E16258"/>
        </row>
        <row r="16259">
          <cell r="A16259"/>
          <cell r="B16259"/>
          <cell r="C16259"/>
          <cell r="D16259"/>
          <cell r="E16259"/>
        </row>
        <row r="16260">
          <cell r="A16260"/>
          <cell r="B16260"/>
          <cell r="C16260"/>
          <cell r="D16260"/>
          <cell r="E16260"/>
        </row>
        <row r="16261">
          <cell r="A16261"/>
          <cell r="B16261"/>
          <cell r="C16261"/>
          <cell r="D16261"/>
          <cell r="E16261"/>
        </row>
        <row r="16262">
          <cell r="A16262"/>
          <cell r="B16262"/>
          <cell r="C16262"/>
          <cell r="D16262"/>
          <cell r="E16262"/>
        </row>
        <row r="16263">
          <cell r="A16263"/>
          <cell r="B16263"/>
          <cell r="C16263"/>
          <cell r="D16263"/>
          <cell r="E16263"/>
        </row>
        <row r="16264">
          <cell r="A16264"/>
          <cell r="B16264"/>
          <cell r="C16264"/>
          <cell r="D16264"/>
          <cell r="E16264"/>
        </row>
        <row r="16265">
          <cell r="A16265"/>
          <cell r="B16265"/>
          <cell r="C16265"/>
          <cell r="D16265"/>
          <cell r="E16265"/>
        </row>
        <row r="16266">
          <cell r="A16266"/>
          <cell r="B16266"/>
          <cell r="C16266"/>
          <cell r="D16266"/>
          <cell r="E16266"/>
        </row>
        <row r="16267">
          <cell r="A16267"/>
          <cell r="B16267"/>
          <cell r="C16267"/>
          <cell r="D16267"/>
          <cell r="E16267"/>
        </row>
        <row r="16268">
          <cell r="A16268"/>
          <cell r="B16268"/>
          <cell r="C16268"/>
          <cell r="D16268"/>
          <cell r="E16268"/>
        </row>
        <row r="16269">
          <cell r="A16269"/>
          <cell r="B16269"/>
          <cell r="C16269"/>
          <cell r="D16269"/>
          <cell r="E16269"/>
        </row>
        <row r="16270">
          <cell r="A16270"/>
          <cell r="B16270"/>
          <cell r="C16270"/>
          <cell r="D16270"/>
          <cell r="E16270"/>
        </row>
        <row r="16271">
          <cell r="A16271"/>
          <cell r="B16271"/>
          <cell r="C16271"/>
          <cell r="D16271"/>
          <cell r="E16271"/>
        </row>
        <row r="16272">
          <cell r="A16272"/>
          <cell r="B16272"/>
          <cell r="C16272"/>
          <cell r="D16272"/>
          <cell r="E16272"/>
        </row>
        <row r="16273">
          <cell r="A16273"/>
          <cell r="B16273"/>
          <cell r="C16273"/>
          <cell r="D16273"/>
          <cell r="E16273"/>
        </row>
        <row r="16274">
          <cell r="A16274"/>
          <cell r="B16274"/>
          <cell r="C16274"/>
          <cell r="D16274"/>
          <cell r="E16274"/>
        </row>
        <row r="16275">
          <cell r="A16275"/>
          <cell r="B16275"/>
          <cell r="C16275"/>
          <cell r="D16275"/>
          <cell r="E16275"/>
        </row>
        <row r="16276">
          <cell r="A16276"/>
          <cell r="B16276"/>
          <cell r="C16276"/>
          <cell r="D16276"/>
          <cell r="E16276"/>
        </row>
        <row r="16277">
          <cell r="A16277"/>
          <cell r="B16277"/>
          <cell r="C16277"/>
          <cell r="D16277"/>
          <cell r="E16277"/>
        </row>
        <row r="16278">
          <cell r="A16278"/>
          <cell r="B16278"/>
          <cell r="C16278"/>
          <cell r="D16278"/>
          <cell r="E16278"/>
        </row>
        <row r="16279">
          <cell r="A16279"/>
          <cell r="B16279"/>
          <cell r="C16279"/>
          <cell r="D16279"/>
          <cell r="E16279"/>
        </row>
        <row r="16280">
          <cell r="A16280"/>
          <cell r="B16280"/>
          <cell r="C16280"/>
          <cell r="D16280"/>
          <cell r="E16280"/>
        </row>
        <row r="16281">
          <cell r="A16281"/>
          <cell r="B16281"/>
          <cell r="C16281"/>
          <cell r="D16281"/>
          <cell r="E16281"/>
        </row>
        <row r="16282">
          <cell r="A16282"/>
          <cell r="B16282"/>
          <cell r="C16282"/>
          <cell r="D16282"/>
          <cell r="E16282"/>
        </row>
        <row r="16283">
          <cell r="A16283"/>
          <cell r="B16283"/>
          <cell r="C16283"/>
          <cell r="D16283"/>
          <cell r="E16283"/>
        </row>
        <row r="16284">
          <cell r="A16284"/>
          <cell r="B16284"/>
          <cell r="C16284"/>
          <cell r="D16284"/>
          <cell r="E16284"/>
        </row>
        <row r="16285">
          <cell r="A16285"/>
          <cell r="B16285"/>
          <cell r="C16285"/>
          <cell r="D16285"/>
          <cell r="E16285"/>
        </row>
        <row r="16286">
          <cell r="A16286"/>
          <cell r="B16286"/>
          <cell r="C16286"/>
          <cell r="D16286"/>
          <cell r="E16286"/>
        </row>
        <row r="16287">
          <cell r="A16287"/>
          <cell r="B16287"/>
          <cell r="C16287"/>
          <cell r="D16287"/>
          <cell r="E16287"/>
        </row>
        <row r="16288">
          <cell r="A16288"/>
          <cell r="B16288"/>
          <cell r="C16288"/>
          <cell r="D16288"/>
          <cell r="E16288"/>
        </row>
        <row r="16289">
          <cell r="A16289"/>
          <cell r="B16289"/>
          <cell r="C16289"/>
          <cell r="D16289"/>
          <cell r="E16289"/>
        </row>
        <row r="16290">
          <cell r="A16290"/>
          <cell r="B16290"/>
          <cell r="C16290"/>
          <cell r="D16290"/>
          <cell r="E16290"/>
        </row>
        <row r="16291">
          <cell r="A16291"/>
          <cell r="B16291"/>
          <cell r="C16291"/>
          <cell r="D16291"/>
          <cell r="E16291"/>
        </row>
        <row r="16292">
          <cell r="A16292"/>
          <cell r="B16292"/>
          <cell r="C16292"/>
          <cell r="D16292"/>
          <cell r="E16292"/>
        </row>
        <row r="16293">
          <cell r="A16293"/>
          <cell r="B16293"/>
          <cell r="C16293"/>
          <cell r="D16293"/>
          <cell r="E16293"/>
        </row>
        <row r="16294">
          <cell r="A16294"/>
          <cell r="B16294"/>
          <cell r="C16294"/>
          <cell r="D16294"/>
          <cell r="E16294"/>
        </row>
        <row r="16295">
          <cell r="A16295"/>
          <cell r="B16295"/>
          <cell r="C16295"/>
          <cell r="D16295"/>
          <cell r="E16295"/>
        </row>
        <row r="16296">
          <cell r="A16296"/>
          <cell r="B16296"/>
          <cell r="C16296"/>
          <cell r="D16296"/>
          <cell r="E16296"/>
        </row>
        <row r="16297">
          <cell r="A16297"/>
          <cell r="B16297"/>
          <cell r="C16297"/>
          <cell r="D16297"/>
          <cell r="E16297"/>
        </row>
        <row r="16298">
          <cell r="A16298"/>
          <cell r="B16298"/>
          <cell r="C16298"/>
          <cell r="D16298"/>
          <cell r="E16298"/>
        </row>
        <row r="16299">
          <cell r="A16299"/>
          <cell r="B16299"/>
          <cell r="C16299"/>
          <cell r="D16299"/>
          <cell r="E16299"/>
        </row>
        <row r="16300">
          <cell r="A16300"/>
          <cell r="B16300"/>
          <cell r="C16300"/>
          <cell r="D16300"/>
          <cell r="E16300"/>
        </row>
        <row r="16301">
          <cell r="A16301"/>
          <cell r="B16301"/>
          <cell r="C16301"/>
          <cell r="D16301"/>
          <cell r="E16301"/>
        </row>
        <row r="16302">
          <cell r="A16302"/>
          <cell r="B16302"/>
          <cell r="C16302"/>
          <cell r="D16302"/>
          <cell r="E16302"/>
        </row>
        <row r="16303">
          <cell r="A16303"/>
          <cell r="B16303"/>
          <cell r="C16303"/>
          <cell r="D16303"/>
          <cell r="E16303"/>
        </row>
        <row r="16304">
          <cell r="A16304"/>
          <cell r="B16304"/>
          <cell r="C16304"/>
          <cell r="D16304"/>
          <cell r="E16304"/>
        </row>
        <row r="16305">
          <cell r="A16305"/>
          <cell r="B16305"/>
          <cell r="C16305"/>
          <cell r="D16305"/>
          <cell r="E16305"/>
        </row>
        <row r="16306">
          <cell r="A16306"/>
          <cell r="B16306"/>
          <cell r="C16306"/>
          <cell r="D16306"/>
          <cell r="E16306"/>
        </row>
        <row r="16307">
          <cell r="A16307"/>
          <cell r="B16307"/>
          <cell r="C16307"/>
          <cell r="D16307"/>
          <cell r="E16307"/>
        </row>
        <row r="16308">
          <cell r="A16308"/>
          <cell r="B16308"/>
          <cell r="C16308"/>
          <cell r="D16308"/>
          <cell r="E16308"/>
        </row>
        <row r="16309">
          <cell r="A16309"/>
          <cell r="B16309"/>
          <cell r="C16309"/>
          <cell r="D16309"/>
          <cell r="E16309"/>
        </row>
        <row r="16310">
          <cell r="A16310"/>
          <cell r="B16310"/>
          <cell r="C16310"/>
          <cell r="D16310"/>
          <cell r="E16310"/>
        </row>
        <row r="16311">
          <cell r="A16311"/>
          <cell r="B16311"/>
          <cell r="C16311"/>
          <cell r="D16311"/>
          <cell r="E16311"/>
        </row>
        <row r="16312">
          <cell r="A16312"/>
          <cell r="B16312"/>
          <cell r="C16312"/>
          <cell r="D16312"/>
          <cell r="E16312"/>
        </row>
        <row r="16313">
          <cell r="A16313"/>
          <cell r="B16313"/>
          <cell r="C16313"/>
          <cell r="D16313"/>
          <cell r="E16313"/>
        </row>
        <row r="16314">
          <cell r="A16314"/>
          <cell r="B16314"/>
          <cell r="C16314"/>
          <cell r="D16314"/>
          <cell r="E16314"/>
        </row>
        <row r="16315">
          <cell r="A16315"/>
          <cell r="B16315"/>
          <cell r="C16315"/>
          <cell r="D16315"/>
          <cell r="E16315"/>
        </row>
        <row r="16316">
          <cell r="A16316"/>
          <cell r="B16316"/>
          <cell r="C16316"/>
          <cell r="D16316"/>
          <cell r="E16316"/>
        </row>
        <row r="16317">
          <cell r="A16317"/>
          <cell r="B16317"/>
          <cell r="C16317"/>
          <cell r="D16317"/>
          <cell r="E16317"/>
        </row>
        <row r="16318">
          <cell r="A16318"/>
          <cell r="B16318"/>
          <cell r="C16318"/>
          <cell r="D16318"/>
          <cell r="E16318"/>
        </row>
        <row r="16319">
          <cell r="A16319"/>
          <cell r="B16319"/>
          <cell r="C16319"/>
          <cell r="D16319"/>
          <cell r="E16319"/>
        </row>
        <row r="16320">
          <cell r="A16320"/>
          <cell r="B16320"/>
          <cell r="C16320"/>
          <cell r="D16320"/>
          <cell r="E16320"/>
        </row>
        <row r="16321">
          <cell r="A16321"/>
          <cell r="B16321"/>
          <cell r="C16321"/>
          <cell r="D16321"/>
          <cell r="E16321"/>
        </row>
        <row r="16322">
          <cell r="A16322"/>
          <cell r="B16322"/>
          <cell r="C16322"/>
          <cell r="D16322"/>
          <cell r="E16322"/>
        </row>
        <row r="16323">
          <cell r="A16323"/>
          <cell r="B16323"/>
          <cell r="C16323"/>
          <cell r="D16323"/>
          <cell r="E16323"/>
        </row>
        <row r="16324">
          <cell r="A16324"/>
          <cell r="B16324"/>
          <cell r="C16324"/>
          <cell r="D16324"/>
          <cell r="E16324"/>
        </row>
        <row r="16325">
          <cell r="A16325"/>
          <cell r="B16325"/>
          <cell r="C16325"/>
          <cell r="D16325"/>
          <cell r="E16325"/>
        </row>
        <row r="16326">
          <cell r="A16326"/>
          <cell r="B16326"/>
          <cell r="C16326"/>
          <cell r="D16326"/>
          <cell r="E16326"/>
        </row>
        <row r="16327">
          <cell r="A16327"/>
          <cell r="B16327"/>
          <cell r="C16327"/>
          <cell r="D16327"/>
          <cell r="E16327"/>
        </row>
        <row r="16328">
          <cell r="A16328"/>
          <cell r="B16328"/>
          <cell r="C16328"/>
          <cell r="D16328"/>
          <cell r="E16328"/>
        </row>
        <row r="16329">
          <cell r="A16329"/>
          <cell r="B16329"/>
          <cell r="C16329"/>
          <cell r="D16329"/>
          <cell r="E16329"/>
        </row>
        <row r="16330">
          <cell r="A16330"/>
          <cell r="B16330"/>
          <cell r="C16330"/>
          <cell r="D16330"/>
          <cell r="E16330"/>
        </row>
        <row r="16331">
          <cell r="A16331"/>
          <cell r="B16331"/>
          <cell r="C16331"/>
          <cell r="D16331"/>
          <cell r="E16331"/>
        </row>
        <row r="16332">
          <cell r="A16332"/>
          <cell r="B16332"/>
          <cell r="C16332"/>
          <cell r="D16332"/>
          <cell r="E16332"/>
        </row>
        <row r="16333">
          <cell r="A16333"/>
          <cell r="B16333"/>
          <cell r="C16333"/>
          <cell r="D16333"/>
          <cell r="E16333"/>
        </row>
        <row r="16334">
          <cell r="A16334"/>
          <cell r="B16334"/>
          <cell r="C16334"/>
          <cell r="D16334"/>
          <cell r="E16334"/>
        </row>
        <row r="16335">
          <cell r="A16335"/>
          <cell r="B16335"/>
          <cell r="C16335"/>
          <cell r="D16335"/>
          <cell r="E16335"/>
        </row>
        <row r="16336">
          <cell r="A16336"/>
          <cell r="B16336"/>
          <cell r="C16336"/>
          <cell r="D16336"/>
          <cell r="E16336"/>
        </row>
        <row r="16337">
          <cell r="A16337"/>
          <cell r="B16337"/>
          <cell r="C16337"/>
          <cell r="D16337"/>
          <cell r="E16337"/>
        </row>
        <row r="16338">
          <cell r="A16338"/>
          <cell r="B16338"/>
          <cell r="C16338"/>
          <cell r="D16338"/>
          <cell r="E16338"/>
        </row>
        <row r="16339">
          <cell r="A16339"/>
          <cell r="B16339"/>
          <cell r="C16339"/>
          <cell r="D16339"/>
          <cell r="E16339"/>
        </row>
        <row r="16340">
          <cell r="A16340"/>
          <cell r="B16340"/>
          <cell r="C16340"/>
          <cell r="D16340"/>
          <cell r="E16340"/>
        </row>
        <row r="16341">
          <cell r="A16341"/>
          <cell r="B16341"/>
          <cell r="C16341"/>
          <cell r="D16341"/>
          <cell r="E16341"/>
        </row>
        <row r="16342">
          <cell r="A16342"/>
          <cell r="B16342"/>
          <cell r="C16342"/>
          <cell r="D16342"/>
          <cell r="E16342"/>
        </row>
        <row r="16343">
          <cell r="A16343"/>
          <cell r="B16343"/>
          <cell r="C16343"/>
          <cell r="D16343"/>
          <cell r="E16343"/>
        </row>
        <row r="16344">
          <cell r="A16344"/>
          <cell r="B16344"/>
          <cell r="C16344"/>
          <cell r="D16344"/>
          <cell r="E16344"/>
        </row>
        <row r="16345">
          <cell r="A16345"/>
          <cell r="B16345"/>
          <cell r="C16345"/>
          <cell r="D16345"/>
          <cell r="E16345"/>
        </row>
        <row r="16346">
          <cell r="A16346"/>
          <cell r="B16346"/>
          <cell r="C16346"/>
          <cell r="D16346"/>
          <cell r="E16346"/>
        </row>
        <row r="16347">
          <cell r="A16347"/>
          <cell r="B16347"/>
          <cell r="C16347"/>
          <cell r="D16347"/>
          <cell r="E16347"/>
        </row>
        <row r="16348">
          <cell r="A16348"/>
          <cell r="B16348"/>
          <cell r="C16348"/>
          <cell r="D16348"/>
          <cell r="E16348"/>
        </row>
        <row r="16349">
          <cell r="A16349"/>
          <cell r="B16349"/>
          <cell r="C16349"/>
          <cell r="D16349"/>
          <cell r="E16349"/>
        </row>
        <row r="16350">
          <cell r="A16350"/>
          <cell r="B16350"/>
          <cell r="C16350"/>
          <cell r="D16350"/>
          <cell r="E16350"/>
        </row>
        <row r="16351">
          <cell r="A16351"/>
          <cell r="B16351"/>
          <cell r="C16351"/>
          <cell r="D16351"/>
          <cell r="E16351"/>
        </row>
        <row r="16352">
          <cell r="A16352"/>
          <cell r="B16352"/>
          <cell r="C16352"/>
          <cell r="D16352"/>
          <cell r="E16352"/>
        </row>
        <row r="16353">
          <cell r="A16353"/>
          <cell r="B16353"/>
          <cell r="C16353"/>
          <cell r="D16353"/>
          <cell r="E16353"/>
        </row>
        <row r="16354">
          <cell r="A16354"/>
          <cell r="B16354"/>
          <cell r="C16354"/>
          <cell r="D16354"/>
          <cell r="E16354"/>
        </row>
        <row r="16355">
          <cell r="A16355"/>
          <cell r="B16355"/>
          <cell r="C16355"/>
          <cell r="D16355"/>
          <cell r="E16355"/>
        </row>
        <row r="16356">
          <cell r="A16356"/>
          <cell r="B16356"/>
          <cell r="C16356"/>
          <cell r="D16356"/>
          <cell r="E16356"/>
        </row>
        <row r="16357">
          <cell r="A16357"/>
          <cell r="B16357"/>
          <cell r="C16357"/>
          <cell r="D16357"/>
          <cell r="E16357"/>
        </row>
        <row r="16358">
          <cell r="A16358"/>
          <cell r="B16358"/>
          <cell r="C16358"/>
          <cell r="D16358"/>
          <cell r="E16358"/>
        </row>
        <row r="16359">
          <cell r="A16359"/>
          <cell r="B16359"/>
          <cell r="C16359"/>
          <cell r="D16359"/>
          <cell r="E16359"/>
        </row>
        <row r="16360">
          <cell r="A16360"/>
          <cell r="B16360"/>
          <cell r="C16360"/>
          <cell r="D16360"/>
          <cell r="E16360"/>
        </row>
        <row r="16361">
          <cell r="A16361"/>
          <cell r="B16361"/>
          <cell r="C16361"/>
          <cell r="D16361"/>
          <cell r="E16361"/>
        </row>
        <row r="16362">
          <cell r="A16362"/>
          <cell r="B16362"/>
          <cell r="C16362"/>
          <cell r="D16362"/>
          <cell r="E16362"/>
        </row>
        <row r="16363">
          <cell r="A16363"/>
          <cell r="B16363"/>
          <cell r="C16363"/>
          <cell r="D16363"/>
          <cell r="E16363"/>
        </row>
        <row r="16364">
          <cell r="A16364"/>
          <cell r="B16364"/>
          <cell r="C16364"/>
          <cell r="D16364"/>
          <cell r="E16364"/>
        </row>
        <row r="16365">
          <cell r="A16365"/>
          <cell r="B16365"/>
          <cell r="C16365"/>
          <cell r="D16365"/>
          <cell r="E16365"/>
        </row>
        <row r="16366">
          <cell r="A16366"/>
          <cell r="B16366"/>
          <cell r="C16366"/>
          <cell r="D16366"/>
          <cell r="E16366"/>
        </row>
        <row r="16367">
          <cell r="A16367"/>
          <cell r="B16367"/>
          <cell r="C16367"/>
          <cell r="D16367"/>
          <cell r="E16367"/>
        </row>
        <row r="16368">
          <cell r="A16368"/>
          <cell r="B16368"/>
          <cell r="C16368"/>
          <cell r="D16368"/>
          <cell r="E16368"/>
        </row>
        <row r="16369">
          <cell r="A16369"/>
          <cell r="B16369"/>
          <cell r="C16369"/>
          <cell r="D16369"/>
          <cell r="E16369"/>
        </row>
        <row r="16370">
          <cell r="A16370"/>
          <cell r="B16370"/>
          <cell r="C16370"/>
          <cell r="D16370"/>
          <cell r="E16370"/>
        </row>
        <row r="16371">
          <cell r="A16371"/>
          <cell r="B16371"/>
          <cell r="C16371"/>
          <cell r="D16371"/>
          <cell r="E16371"/>
        </row>
        <row r="16372">
          <cell r="A16372"/>
          <cell r="B16372"/>
          <cell r="C16372"/>
          <cell r="D16372"/>
          <cell r="E16372"/>
        </row>
        <row r="16373">
          <cell r="A16373"/>
          <cell r="B16373"/>
          <cell r="C16373"/>
          <cell r="D16373"/>
          <cell r="E16373"/>
        </row>
        <row r="16374">
          <cell r="A16374"/>
          <cell r="B16374"/>
          <cell r="C16374"/>
          <cell r="D16374"/>
          <cell r="E16374"/>
        </row>
        <row r="16375">
          <cell r="A16375"/>
          <cell r="B16375"/>
          <cell r="C16375"/>
          <cell r="D16375"/>
          <cell r="E16375"/>
        </row>
        <row r="16376">
          <cell r="A16376"/>
          <cell r="B16376"/>
          <cell r="C16376"/>
          <cell r="D16376"/>
          <cell r="E16376"/>
        </row>
        <row r="16377">
          <cell r="A16377"/>
          <cell r="B16377"/>
          <cell r="C16377"/>
          <cell r="D16377"/>
          <cell r="E16377"/>
        </row>
        <row r="16378">
          <cell r="A16378"/>
          <cell r="B16378"/>
          <cell r="C16378"/>
          <cell r="D16378"/>
          <cell r="E16378"/>
        </row>
        <row r="16379">
          <cell r="A16379"/>
          <cell r="B16379"/>
          <cell r="C16379"/>
          <cell r="D16379"/>
          <cell r="E16379"/>
        </row>
        <row r="16380">
          <cell r="A16380"/>
          <cell r="B16380"/>
          <cell r="C16380"/>
          <cell r="D16380"/>
          <cell r="E16380"/>
        </row>
        <row r="16381">
          <cell r="A16381"/>
          <cell r="B16381"/>
          <cell r="C16381"/>
          <cell r="D16381"/>
          <cell r="E16381"/>
        </row>
        <row r="16382">
          <cell r="A16382"/>
          <cell r="B16382"/>
          <cell r="C16382"/>
          <cell r="D16382"/>
          <cell r="E16382"/>
        </row>
        <row r="16383">
          <cell r="A16383"/>
          <cell r="B16383"/>
          <cell r="C16383"/>
          <cell r="D16383"/>
          <cell r="E16383"/>
        </row>
        <row r="16384">
          <cell r="A16384"/>
          <cell r="B16384"/>
          <cell r="C16384"/>
          <cell r="D16384"/>
          <cell r="E16384"/>
        </row>
        <row r="16385">
          <cell r="A16385"/>
          <cell r="B16385"/>
          <cell r="C16385"/>
          <cell r="D16385"/>
          <cell r="E16385"/>
        </row>
        <row r="16386">
          <cell r="A16386"/>
          <cell r="B16386"/>
          <cell r="C16386"/>
          <cell r="D16386"/>
          <cell r="E16386"/>
        </row>
        <row r="16387">
          <cell r="A16387"/>
          <cell r="B16387"/>
          <cell r="C16387"/>
          <cell r="D16387"/>
          <cell r="E16387"/>
        </row>
        <row r="16388">
          <cell r="A16388"/>
          <cell r="B16388"/>
          <cell r="C16388"/>
          <cell r="D16388"/>
          <cell r="E16388"/>
        </row>
        <row r="16389">
          <cell r="A16389"/>
          <cell r="B16389"/>
          <cell r="C16389"/>
          <cell r="D16389"/>
          <cell r="E16389"/>
        </row>
        <row r="16390">
          <cell r="A16390"/>
          <cell r="B16390"/>
          <cell r="C16390"/>
          <cell r="D16390"/>
          <cell r="E16390"/>
        </row>
        <row r="16391">
          <cell r="A16391"/>
          <cell r="B16391"/>
          <cell r="C16391"/>
          <cell r="D16391"/>
          <cell r="E16391"/>
        </row>
        <row r="16392">
          <cell r="A16392"/>
          <cell r="B16392"/>
          <cell r="C16392"/>
          <cell r="D16392"/>
          <cell r="E16392"/>
        </row>
        <row r="16393">
          <cell r="A16393"/>
          <cell r="B16393"/>
          <cell r="C16393"/>
          <cell r="D16393"/>
          <cell r="E16393"/>
        </row>
        <row r="16394">
          <cell r="A16394"/>
          <cell r="B16394"/>
          <cell r="C16394"/>
          <cell r="D16394"/>
          <cell r="E16394"/>
        </row>
        <row r="16395">
          <cell r="A16395"/>
          <cell r="B16395"/>
          <cell r="C16395"/>
          <cell r="D16395"/>
          <cell r="E16395"/>
        </row>
        <row r="16396">
          <cell r="A16396"/>
          <cell r="B16396"/>
          <cell r="C16396"/>
          <cell r="D16396"/>
          <cell r="E16396"/>
        </row>
        <row r="16397">
          <cell r="A16397"/>
          <cell r="B16397"/>
          <cell r="C16397"/>
          <cell r="D16397"/>
          <cell r="E16397"/>
        </row>
        <row r="16398">
          <cell r="A16398"/>
          <cell r="B16398"/>
          <cell r="C16398"/>
          <cell r="D16398"/>
          <cell r="E16398"/>
        </row>
        <row r="16399">
          <cell r="A16399"/>
          <cell r="B16399"/>
          <cell r="C16399"/>
          <cell r="D16399"/>
          <cell r="E16399"/>
        </row>
        <row r="16400">
          <cell r="A16400"/>
          <cell r="B16400"/>
          <cell r="C16400"/>
          <cell r="D16400"/>
          <cell r="E16400"/>
        </row>
        <row r="16401">
          <cell r="A16401"/>
          <cell r="B16401"/>
          <cell r="C16401"/>
          <cell r="D16401"/>
          <cell r="E16401"/>
        </row>
        <row r="16402">
          <cell r="A16402"/>
          <cell r="B16402"/>
          <cell r="C16402"/>
          <cell r="D16402"/>
          <cell r="E16402"/>
        </row>
        <row r="16403">
          <cell r="A16403"/>
          <cell r="B16403"/>
          <cell r="C16403"/>
          <cell r="D16403"/>
          <cell r="E16403"/>
        </row>
        <row r="16404">
          <cell r="A16404"/>
          <cell r="B16404"/>
          <cell r="C16404"/>
          <cell r="D16404"/>
          <cell r="E16404"/>
        </row>
        <row r="16405">
          <cell r="A16405"/>
          <cell r="B16405"/>
          <cell r="C16405"/>
          <cell r="D16405"/>
          <cell r="E16405"/>
        </row>
        <row r="16406">
          <cell r="A16406"/>
          <cell r="B16406"/>
          <cell r="C16406"/>
          <cell r="D16406"/>
          <cell r="E16406"/>
        </row>
        <row r="16407">
          <cell r="A16407"/>
          <cell r="B16407"/>
          <cell r="C16407"/>
          <cell r="D16407"/>
          <cell r="E16407"/>
        </row>
        <row r="16408">
          <cell r="A16408"/>
          <cell r="B16408"/>
          <cell r="C16408"/>
          <cell r="D16408"/>
          <cell r="E16408"/>
        </row>
        <row r="16409">
          <cell r="A16409"/>
          <cell r="B16409"/>
          <cell r="C16409"/>
          <cell r="D16409"/>
          <cell r="E16409"/>
        </row>
        <row r="16410">
          <cell r="A16410"/>
          <cell r="B16410"/>
          <cell r="C16410"/>
          <cell r="D16410"/>
          <cell r="E16410"/>
        </row>
        <row r="16411">
          <cell r="A16411"/>
          <cell r="B16411"/>
          <cell r="C16411"/>
          <cell r="D16411"/>
          <cell r="E16411"/>
        </row>
        <row r="16412">
          <cell r="A16412"/>
          <cell r="B16412"/>
          <cell r="C16412"/>
          <cell r="D16412"/>
          <cell r="E16412"/>
        </row>
        <row r="16413">
          <cell r="A16413"/>
          <cell r="B16413"/>
          <cell r="C16413"/>
          <cell r="D16413"/>
          <cell r="E16413"/>
        </row>
        <row r="16414">
          <cell r="A16414"/>
          <cell r="B16414"/>
          <cell r="C16414"/>
          <cell r="D16414"/>
          <cell r="E16414"/>
        </row>
        <row r="16415">
          <cell r="A16415"/>
          <cell r="B16415"/>
          <cell r="C16415"/>
          <cell r="D16415"/>
          <cell r="E16415"/>
        </row>
        <row r="16416">
          <cell r="A16416"/>
          <cell r="B16416"/>
          <cell r="C16416"/>
          <cell r="D16416"/>
          <cell r="E16416"/>
        </row>
        <row r="16417">
          <cell r="A16417"/>
          <cell r="B16417"/>
          <cell r="C16417"/>
          <cell r="D16417"/>
          <cell r="E16417"/>
        </row>
        <row r="16418">
          <cell r="A16418"/>
          <cell r="B16418"/>
          <cell r="C16418"/>
          <cell r="D16418"/>
          <cell r="E16418"/>
        </row>
        <row r="16419">
          <cell r="A16419"/>
          <cell r="B16419"/>
          <cell r="C16419"/>
          <cell r="D16419"/>
          <cell r="E16419"/>
        </row>
        <row r="16420">
          <cell r="A16420"/>
          <cell r="B16420"/>
          <cell r="C16420"/>
          <cell r="D16420"/>
          <cell r="E16420"/>
        </row>
        <row r="16421">
          <cell r="A16421"/>
          <cell r="B16421"/>
          <cell r="C16421"/>
          <cell r="D16421"/>
          <cell r="E16421"/>
        </row>
        <row r="16422">
          <cell r="A16422"/>
          <cell r="B16422"/>
          <cell r="C16422"/>
          <cell r="D16422"/>
          <cell r="E16422"/>
        </row>
        <row r="16423">
          <cell r="A16423"/>
          <cell r="B16423"/>
          <cell r="C16423"/>
          <cell r="D16423"/>
          <cell r="E16423"/>
        </row>
        <row r="16424">
          <cell r="A16424"/>
          <cell r="B16424"/>
          <cell r="C16424"/>
          <cell r="D16424"/>
          <cell r="E16424"/>
        </row>
        <row r="16425">
          <cell r="A16425"/>
          <cell r="B16425"/>
          <cell r="C16425"/>
          <cell r="D16425"/>
          <cell r="E16425"/>
        </row>
        <row r="16426">
          <cell r="A16426"/>
          <cell r="B16426"/>
          <cell r="C16426"/>
          <cell r="D16426"/>
          <cell r="E16426"/>
        </row>
        <row r="16427">
          <cell r="A16427"/>
          <cell r="B16427"/>
          <cell r="C16427"/>
          <cell r="D16427"/>
          <cell r="E16427"/>
        </row>
        <row r="16428">
          <cell r="A16428"/>
          <cell r="B16428"/>
          <cell r="C16428"/>
          <cell r="D16428"/>
          <cell r="E16428"/>
        </row>
        <row r="16429">
          <cell r="A16429"/>
          <cell r="B16429"/>
          <cell r="C16429"/>
          <cell r="D16429"/>
          <cell r="E16429"/>
        </row>
        <row r="16430">
          <cell r="A16430"/>
          <cell r="B16430"/>
          <cell r="C16430"/>
          <cell r="D16430"/>
          <cell r="E16430"/>
        </row>
        <row r="16431">
          <cell r="A16431"/>
          <cell r="B16431"/>
          <cell r="C16431"/>
          <cell r="D16431"/>
          <cell r="E16431"/>
        </row>
        <row r="16432">
          <cell r="A16432"/>
          <cell r="B16432"/>
          <cell r="C16432"/>
          <cell r="D16432"/>
          <cell r="E16432"/>
        </row>
        <row r="16433">
          <cell r="A16433"/>
          <cell r="B16433"/>
          <cell r="C16433"/>
          <cell r="D16433"/>
          <cell r="E16433"/>
        </row>
        <row r="16434">
          <cell r="A16434"/>
          <cell r="B16434"/>
          <cell r="C16434"/>
          <cell r="D16434"/>
          <cell r="E16434"/>
        </row>
        <row r="16435">
          <cell r="A16435"/>
          <cell r="B16435"/>
          <cell r="C16435"/>
          <cell r="D16435"/>
          <cell r="E16435"/>
        </row>
        <row r="16436">
          <cell r="A16436"/>
          <cell r="B16436"/>
          <cell r="C16436"/>
          <cell r="D16436"/>
          <cell r="E16436"/>
        </row>
        <row r="16437">
          <cell r="A16437"/>
          <cell r="B16437"/>
          <cell r="C16437"/>
          <cell r="D16437"/>
          <cell r="E16437"/>
        </row>
        <row r="16438">
          <cell r="A16438"/>
          <cell r="B16438"/>
          <cell r="C16438"/>
          <cell r="D16438"/>
          <cell r="E16438"/>
        </row>
        <row r="16439">
          <cell r="A16439"/>
          <cell r="B16439"/>
          <cell r="C16439"/>
          <cell r="D16439"/>
          <cell r="E16439"/>
        </row>
        <row r="16440">
          <cell r="A16440"/>
          <cell r="B16440"/>
          <cell r="C16440"/>
          <cell r="D16440"/>
          <cell r="E16440"/>
        </row>
        <row r="16441">
          <cell r="A16441"/>
          <cell r="B16441"/>
          <cell r="C16441"/>
          <cell r="D16441"/>
          <cell r="E16441"/>
        </row>
        <row r="16442">
          <cell r="A16442"/>
          <cell r="B16442"/>
          <cell r="C16442"/>
          <cell r="D16442"/>
          <cell r="E16442"/>
        </row>
        <row r="16443">
          <cell r="A16443"/>
          <cell r="B16443"/>
          <cell r="C16443"/>
          <cell r="D16443"/>
          <cell r="E16443"/>
        </row>
        <row r="16444">
          <cell r="A16444"/>
          <cell r="B16444"/>
          <cell r="C16444"/>
          <cell r="D16444"/>
          <cell r="E16444"/>
        </row>
        <row r="16445">
          <cell r="A16445"/>
          <cell r="B16445"/>
          <cell r="C16445"/>
          <cell r="D16445"/>
          <cell r="E16445"/>
        </row>
        <row r="16446">
          <cell r="A16446"/>
          <cell r="B16446"/>
          <cell r="C16446"/>
          <cell r="D16446"/>
          <cell r="E16446"/>
        </row>
        <row r="16447">
          <cell r="A16447"/>
          <cell r="B16447"/>
          <cell r="C16447"/>
          <cell r="D16447"/>
          <cell r="E16447"/>
        </row>
        <row r="16448">
          <cell r="A16448"/>
          <cell r="B16448"/>
          <cell r="C16448"/>
          <cell r="D16448"/>
          <cell r="E16448"/>
        </row>
        <row r="16449">
          <cell r="A16449"/>
          <cell r="B16449"/>
          <cell r="C16449"/>
          <cell r="D16449"/>
          <cell r="E16449"/>
        </row>
        <row r="16450">
          <cell r="A16450"/>
          <cell r="B16450"/>
          <cell r="C16450"/>
          <cell r="D16450"/>
          <cell r="E16450"/>
        </row>
        <row r="16451">
          <cell r="A16451"/>
          <cell r="B16451"/>
          <cell r="C16451"/>
          <cell r="D16451"/>
          <cell r="E16451"/>
        </row>
        <row r="16452">
          <cell r="A16452"/>
          <cell r="B16452"/>
          <cell r="C16452"/>
          <cell r="D16452"/>
          <cell r="E16452"/>
        </row>
        <row r="16453">
          <cell r="A16453"/>
          <cell r="B16453"/>
          <cell r="C16453"/>
          <cell r="D16453"/>
          <cell r="E16453"/>
        </row>
        <row r="16454">
          <cell r="A16454"/>
          <cell r="B16454"/>
          <cell r="C16454"/>
          <cell r="D16454"/>
          <cell r="E16454"/>
        </row>
        <row r="16455">
          <cell r="A16455"/>
          <cell r="B16455"/>
          <cell r="C16455"/>
          <cell r="D16455"/>
          <cell r="E16455"/>
        </row>
        <row r="16456">
          <cell r="A16456"/>
          <cell r="B16456"/>
          <cell r="C16456"/>
          <cell r="D16456"/>
          <cell r="E16456"/>
        </row>
        <row r="16457">
          <cell r="A16457"/>
          <cell r="B16457"/>
          <cell r="C16457"/>
          <cell r="D16457"/>
          <cell r="E16457"/>
        </row>
        <row r="16458">
          <cell r="A16458"/>
          <cell r="B16458"/>
          <cell r="C16458"/>
          <cell r="D16458"/>
          <cell r="E16458"/>
        </row>
        <row r="16459">
          <cell r="A16459"/>
          <cell r="B16459"/>
          <cell r="C16459"/>
          <cell r="D16459"/>
          <cell r="E16459"/>
        </row>
        <row r="16460">
          <cell r="A16460"/>
          <cell r="B16460"/>
          <cell r="C16460"/>
          <cell r="D16460"/>
          <cell r="E16460"/>
        </row>
        <row r="16461">
          <cell r="A16461"/>
          <cell r="B16461"/>
          <cell r="C16461"/>
          <cell r="D16461"/>
          <cell r="E16461"/>
        </row>
        <row r="16462">
          <cell r="A16462"/>
          <cell r="B16462"/>
          <cell r="C16462"/>
          <cell r="D16462"/>
          <cell r="E16462"/>
        </row>
        <row r="16463">
          <cell r="A16463"/>
          <cell r="B16463"/>
          <cell r="C16463"/>
          <cell r="D16463"/>
          <cell r="E16463"/>
        </row>
        <row r="16464">
          <cell r="A16464"/>
          <cell r="B16464"/>
          <cell r="C16464"/>
          <cell r="D16464"/>
          <cell r="E16464"/>
        </row>
        <row r="16465">
          <cell r="A16465"/>
          <cell r="B16465"/>
          <cell r="C16465"/>
          <cell r="D16465"/>
          <cell r="E16465"/>
        </row>
        <row r="16466">
          <cell r="A16466"/>
          <cell r="B16466"/>
          <cell r="C16466"/>
          <cell r="D16466"/>
          <cell r="E16466"/>
        </row>
        <row r="16467">
          <cell r="A16467"/>
          <cell r="B16467"/>
          <cell r="C16467"/>
          <cell r="D16467"/>
          <cell r="E16467"/>
        </row>
        <row r="16468">
          <cell r="A16468"/>
          <cell r="B16468"/>
          <cell r="C16468"/>
          <cell r="D16468"/>
          <cell r="E16468"/>
        </row>
        <row r="16469">
          <cell r="A16469"/>
          <cell r="B16469"/>
          <cell r="C16469"/>
          <cell r="D16469"/>
          <cell r="E16469"/>
        </row>
        <row r="16470">
          <cell r="A16470"/>
          <cell r="B16470"/>
          <cell r="C16470"/>
          <cell r="D16470"/>
          <cell r="E16470"/>
        </row>
        <row r="16471">
          <cell r="A16471"/>
          <cell r="B16471"/>
          <cell r="C16471"/>
          <cell r="D16471"/>
          <cell r="E16471"/>
        </row>
        <row r="16472">
          <cell r="A16472"/>
          <cell r="B16472"/>
          <cell r="C16472"/>
          <cell r="D16472"/>
          <cell r="E16472"/>
        </row>
        <row r="16473">
          <cell r="A16473"/>
          <cell r="B16473"/>
          <cell r="C16473"/>
          <cell r="D16473"/>
          <cell r="E16473"/>
        </row>
        <row r="16474">
          <cell r="A16474"/>
          <cell r="B16474"/>
          <cell r="C16474"/>
          <cell r="D16474"/>
          <cell r="E16474"/>
        </row>
        <row r="16475">
          <cell r="A16475"/>
          <cell r="B16475"/>
          <cell r="C16475"/>
          <cell r="D16475"/>
          <cell r="E16475"/>
        </row>
        <row r="16476">
          <cell r="A16476"/>
          <cell r="B16476"/>
          <cell r="C16476"/>
          <cell r="D16476"/>
          <cell r="E16476"/>
        </row>
        <row r="16477">
          <cell r="A16477"/>
          <cell r="B16477"/>
          <cell r="C16477"/>
          <cell r="D16477"/>
          <cell r="E16477"/>
        </row>
        <row r="16478">
          <cell r="A16478"/>
          <cell r="B16478"/>
          <cell r="C16478"/>
          <cell r="D16478"/>
          <cell r="E16478"/>
        </row>
        <row r="16479">
          <cell r="A16479"/>
          <cell r="B16479"/>
          <cell r="C16479"/>
          <cell r="D16479"/>
          <cell r="E16479"/>
        </row>
        <row r="16480">
          <cell r="A16480"/>
          <cell r="B16480"/>
          <cell r="C16480"/>
          <cell r="D16480"/>
          <cell r="E16480"/>
        </row>
        <row r="16481">
          <cell r="A16481"/>
          <cell r="B16481"/>
          <cell r="C16481"/>
          <cell r="D16481"/>
          <cell r="E16481"/>
        </row>
        <row r="16482">
          <cell r="A16482"/>
          <cell r="B16482"/>
          <cell r="C16482"/>
          <cell r="D16482"/>
          <cell r="E16482"/>
        </row>
        <row r="16483">
          <cell r="A16483"/>
          <cell r="B16483"/>
          <cell r="C16483"/>
          <cell r="D16483"/>
          <cell r="E16483"/>
        </row>
        <row r="16484">
          <cell r="A16484"/>
          <cell r="B16484"/>
          <cell r="C16484"/>
          <cell r="D16484"/>
          <cell r="E16484"/>
        </row>
        <row r="16485">
          <cell r="A16485"/>
          <cell r="B16485"/>
          <cell r="C16485"/>
          <cell r="D16485"/>
          <cell r="E16485"/>
        </row>
        <row r="16486">
          <cell r="A16486"/>
          <cell r="B16486"/>
          <cell r="C16486"/>
          <cell r="D16486"/>
          <cell r="E16486"/>
        </row>
        <row r="16487">
          <cell r="A16487"/>
          <cell r="B16487"/>
          <cell r="C16487"/>
          <cell r="D16487"/>
          <cell r="E16487"/>
        </row>
        <row r="16488">
          <cell r="A16488"/>
          <cell r="B16488"/>
          <cell r="C16488"/>
          <cell r="D16488"/>
          <cell r="E16488"/>
        </row>
        <row r="16489">
          <cell r="A16489"/>
          <cell r="B16489"/>
          <cell r="C16489"/>
          <cell r="D16489"/>
          <cell r="E16489"/>
        </row>
        <row r="16490">
          <cell r="A16490"/>
          <cell r="B16490"/>
          <cell r="C16490"/>
          <cell r="D16490"/>
          <cell r="E16490"/>
        </row>
        <row r="16491">
          <cell r="A16491"/>
          <cell r="B16491"/>
          <cell r="C16491"/>
          <cell r="D16491"/>
          <cell r="E16491"/>
        </row>
        <row r="16492">
          <cell r="A16492"/>
          <cell r="B16492"/>
          <cell r="C16492"/>
          <cell r="D16492"/>
          <cell r="E16492"/>
        </row>
        <row r="16493">
          <cell r="A16493"/>
          <cell r="B16493"/>
          <cell r="C16493"/>
          <cell r="D16493"/>
          <cell r="E16493"/>
        </row>
        <row r="16494">
          <cell r="A16494"/>
          <cell r="B16494"/>
          <cell r="C16494"/>
          <cell r="D16494"/>
          <cell r="E16494"/>
        </row>
        <row r="16495">
          <cell r="A16495"/>
          <cell r="B16495"/>
          <cell r="C16495"/>
          <cell r="D16495"/>
          <cell r="E16495"/>
        </row>
        <row r="16496">
          <cell r="A16496"/>
          <cell r="B16496"/>
          <cell r="C16496"/>
          <cell r="D16496"/>
          <cell r="E16496"/>
        </row>
        <row r="16497">
          <cell r="A16497"/>
          <cell r="B16497"/>
          <cell r="C16497"/>
          <cell r="D16497"/>
          <cell r="E16497"/>
        </row>
        <row r="16498">
          <cell r="A16498"/>
          <cell r="B16498"/>
          <cell r="C16498"/>
          <cell r="D16498"/>
          <cell r="E16498"/>
        </row>
        <row r="16499">
          <cell r="A16499"/>
          <cell r="B16499"/>
          <cell r="C16499"/>
          <cell r="D16499"/>
          <cell r="E16499"/>
        </row>
        <row r="16500">
          <cell r="A16500"/>
          <cell r="B16500"/>
          <cell r="C16500"/>
          <cell r="D16500"/>
          <cell r="E16500"/>
        </row>
        <row r="16501">
          <cell r="A16501"/>
          <cell r="B16501"/>
          <cell r="C16501"/>
          <cell r="D16501"/>
          <cell r="E16501"/>
        </row>
        <row r="16502">
          <cell r="A16502"/>
          <cell r="B16502"/>
          <cell r="C16502"/>
          <cell r="D16502"/>
          <cell r="E16502"/>
        </row>
        <row r="16503">
          <cell r="A16503"/>
          <cell r="B16503"/>
          <cell r="C16503"/>
          <cell r="D16503"/>
          <cell r="E16503"/>
        </row>
        <row r="16504">
          <cell r="A16504"/>
          <cell r="B16504"/>
          <cell r="C16504"/>
          <cell r="D16504"/>
          <cell r="E16504"/>
        </row>
        <row r="16505">
          <cell r="A16505"/>
          <cell r="B16505"/>
          <cell r="C16505"/>
          <cell r="D16505"/>
          <cell r="E16505"/>
        </row>
        <row r="16506">
          <cell r="A16506"/>
          <cell r="B16506"/>
          <cell r="C16506"/>
          <cell r="D16506"/>
          <cell r="E16506"/>
        </row>
        <row r="16507">
          <cell r="A16507"/>
          <cell r="B16507"/>
          <cell r="C16507"/>
          <cell r="D16507"/>
          <cell r="E16507"/>
        </row>
        <row r="16508">
          <cell r="A16508"/>
          <cell r="B16508"/>
          <cell r="C16508"/>
          <cell r="D16508"/>
          <cell r="E16508"/>
        </row>
        <row r="16509">
          <cell r="A16509"/>
          <cell r="B16509"/>
          <cell r="C16509"/>
          <cell r="D16509"/>
          <cell r="E16509"/>
        </row>
        <row r="16510">
          <cell r="A16510"/>
          <cell r="B16510"/>
          <cell r="C16510"/>
          <cell r="D16510"/>
          <cell r="E16510"/>
        </row>
        <row r="16511">
          <cell r="A16511"/>
          <cell r="B16511"/>
          <cell r="C16511"/>
          <cell r="D16511"/>
          <cell r="E16511"/>
        </row>
        <row r="16512">
          <cell r="A16512"/>
          <cell r="B16512"/>
          <cell r="C16512"/>
          <cell r="D16512"/>
          <cell r="E16512"/>
        </row>
        <row r="16513">
          <cell r="A16513"/>
          <cell r="B16513"/>
          <cell r="C16513"/>
          <cell r="D16513"/>
          <cell r="E16513"/>
        </row>
        <row r="16514">
          <cell r="A16514"/>
          <cell r="B16514"/>
          <cell r="C16514"/>
          <cell r="D16514"/>
          <cell r="E16514"/>
        </row>
        <row r="16515">
          <cell r="A16515"/>
          <cell r="B16515"/>
          <cell r="C16515"/>
          <cell r="D16515"/>
          <cell r="E16515"/>
        </row>
        <row r="16516">
          <cell r="A16516"/>
          <cell r="B16516"/>
          <cell r="C16516"/>
          <cell r="D16516"/>
          <cell r="E16516"/>
        </row>
        <row r="16517">
          <cell r="A16517"/>
          <cell r="B16517"/>
          <cell r="C16517"/>
          <cell r="D16517"/>
          <cell r="E16517"/>
        </row>
        <row r="16518">
          <cell r="A16518"/>
          <cell r="B16518"/>
          <cell r="C16518"/>
          <cell r="D16518"/>
          <cell r="E16518"/>
        </row>
        <row r="16519">
          <cell r="A16519"/>
          <cell r="B16519"/>
          <cell r="C16519"/>
          <cell r="D16519"/>
          <cell r="E16519"/>
        </row>
        <row r="16520">
          <cell r="A16520"/>
          <cell r="B16520"/>
          <cell r="C16520"/>
          <cell r="D16520"/>
          <cell r="E16520"/>
        </row>
        <row r="16521">
          <cell r="A16521"/>
          <cell r="B16521"/>
          <cell r="C16521"/>
          <cell r="D16521"/>
          <cell r="E16521"/>
        </row>
        <row r="16522">
          <cell r="A16522"/>
          <cell r="B16522"/>
          <cell r="C16522"/>
          <cell r="D16522"/>
          <cell r="E16522"/>
        </row>
        <row r="16523">
          <cell r="A16523"/>
          <cell r="B16523"/>
          <cell r="C16523"/>
          <cell r="D16523"/>
          <cell r="E16523"/>
        </row>
        <row r="16524">
          <cell r="A16524"/>
          <cell r="B16524"/>
          <cell r="C16524"/>
          <cell r="D16524"/>
          <cell r="E16524"/>
        </row>
        <row r="16525">
          <cell r="A16525"/>
          <cell r="B16525"/>
          <cell r="C16525"/>
          <cell r="D16525"/>
          <cell r="E16525"/>
        </row>
        <row r="16526">
          <cell r="A16526"/>
          <cell r="B16526"/>
          <cell r="C16526"/>
          <cell r="D16526"/>
          <cell r="E16526"/>
        </row>
        <row r="16527">
          <cell r="A16527"/>
          <cell r="B16527"/>
          <cell r="C16527"/>
          <cell r="D16527"/>
          <cell r="E16527"/>
        </row>
        <row r="16528">
          <cell r="A16528"/>
          <cell r="B16528"/>
          <cell r="C16528"/>
          <cell r="D16528"/>
          <cell r="E16528"/>
        </row>
        <row r="16529">
          <cell r="A16529"/>
          <cell r="B16529"/>
          <cell r="C16529"/>
          <cell r="D16529"/>
          <cell r="E16529"/>
        </row>
        <row r="16530">
          <cell r="A16530"/>
          <cell r="B16530"/>
          <cell r="C16530"/>
          <cell r="D16530"/>
          <cell r="E16530"/>
        </row>
        <row r="16531">
          <cell r="A16531"/>
          <cell r="B16531"/>
          <cell r="C16531"/>
          <cell r="D16531"/>
          <cell r="E16531"/>
        </row>
        <row r="16532">
          <cell r="A16532"/>
          <cell r="B16532"/>
          <cell r="C16532"/>
          <cell r="D16532"/>
          <cell r="E16532"/>
        </row>
        <row r="16533">
          <cell r="A16533"/>
          <cell r="B16533"/>
          <cell r="C16533"/>
          <cell r="D16533"/>
          <cell r="E16533"/>
        </row>
        <row r="16534">
          <cell r="A16534"/>
          <cell r="B16534"/>
          <cell r="C16534"/>
          <cell r="D16534"/>
          <cell r="E16534"/>
        </row>
        <row r="16535">
          <cell r="A16535"/>
          <cell r="B16535"/>
          <cell r="C16535"/>
          <cell r="D16535"/>
          <cell r="E16535"/>
        </row>
        <row r="16536">
          <cell r="A16536"/>
          <cell r="B16536"/>
          <cell r="C16536"/>
          <cell r="D16536"/>
          <cell r="E16536"/>
        </row>
        <row r="16537">
          <cell r="A16537"/>
          <cell r="B16537"/>
          <cell r="C16537"/>
          <cell r="D16537"/>
          <cell r="E16537"/>
        </row>
        <row r="16538">
          <cell r="A16538"/>
          <cell r="B16538"/>
          <cell r="C16538"/>
          <cell r="D16538"/>
          <cell r="E16538"/>
        </row>
        <row r="16539">
          <cell r="A16539"/>
          <cell r="B16539"/>
          <cell r="C16539"/>
          <cell r="D16539"/>
          <cell r="E16539"/>
        </row>
        <row r="16540">
          <cell r="A16540"/>
          <cell r="B16540"/>
          <cell r="C16540"/>
          <cell r="D16540"/>
          <cell r="E16540"/>
        </row>
        <row r="16541">
          <cell r="A16541"/>
          <cell r="B16541"/>
          <cell r="C16541"/>
          <cell r="D16541"/>
          <cell r="E16541"/>
        </row>
        <row r="16542">
          <cell r="A16542"/>
          <cell r="B16542"/>
          <cell r="C16542"/>
          <cell r="D16542"/>
          <cell r="E16542"/>
        </row>
        <row r="16543">
          <cell r="A16543"/>
          <cell r="B16543"/>
          <cell r="C16543"/>
          <cell r="D16543"/>
          <cell r="E16543"/>
        </row>
        <row r="16544">
          <cell r="A16544"/>
          <cell r="B16544"/>
          <cell r="C16544"/>
          <cell r="D16544"/>
          <cell r="E16544"/>
        </row>
        <row r="16545">
          <cell r="A16545"/>
          <cell r="B16545"/>
          <cell r="C16545"/>
          <cell r="D16545"/>
          <cell r="E16545"/>
        </row>
        <row r="16546">
          <cell r="A16546"/>
          <cell r="B16546"/>
          <cell r="C16546"/>
          <cell r="D16546"/>
          <cell r="E16546"/>
        </row>
        <row r="16547">
          <cell r="A16547"/>
          <cell r="B16547"/>
          <cell r="C16547"/>
          <cell r="D16547"/>
          <cell r="E16547"/>
        </row>
        <row r="16548">
          <cell r="A16548"/>
          <cell r="B16548"/>
          <cell r="C16548"/>
          <cell r="D16548"/>
          <cell r="E16548"/>
        </row>
        <row r="16549">
          <cell r="A16549"/>
          <cell r="B16549"/>
          <cell r="C16549"/>
          <cell r="D16549"/>
          <cell r="E16549"/>
        </row>
        <row r="16550">
          <cell r="A16550"/>
          <cell r="B16550"/>
          <cell r="C16550"/>
          <cell r="D16550"/>
          <cell r="E16550"/>
        </row>
        <row r="16551">
          <cell r="A16551"/>
          <cell r="B16551"/>
          <cell r="C16551"/>
          <cell r="D16551"/>
          <cell r="E16551"/>
        </row>
        <row r="16552">
          <cell r="A16552"/>
          <cell r="B16552"/>
          <cell r="C16552"/>
          <cell r="D16552"/>
          <cell r="E16552"/>
        </row>
        <row r="16553">
          <cell r="A16553"/>
          <cell r="B16553"/>
          <cell r="C16553"/>
          <cell r="D16553"/>
          <cell r="E16553"/>
        </row>
        <row r="16554">
          <cell r="A16554"/>
          <cell r="B16554"/>
          <cell r="C16554"/>
          <cell r="D16554"/>
          <cell r="E16554"/>
        </row>
        <row r="16555">
          <cell r="A16555"/>
          <cell r="B16555"/>
          <cell r="C16555"/>
          <cell r="D16555"/>
          <cell r="E16555"/>
        </row>
        <row r="16556">
          <cell r="A16556"/>
          <cell r="B16556"/>
          <cell r="C16556"/>
          <cell r="D16556"/>
          <cell r="E16556"/>
        </row>
        <row r="16557">
          <cell r="A16557"/>
          <cell r="B16557"/>
          <cell r="C16557"/>
          <cell r="D16557"/>
          <cell r="E16557"/>
        </row>
        <row r="16558">
          <cell r="A16558"/>
          <cell r="B16558"/>
          <cell r="C16558"/>
          <cell r="D16558"/>
          <cell r="E16558"/>
        </row>
        <row r="16559">
          <cell r="A16559"/>
          <cell r="B16559"/>
          <cell r="C16559"/>
          <cell r="D16559"/>
          <cell r="E16559"/>
        </row>
        <row r="16560">
          <cell r="A16560"/>
          <cell r="B16560"/>
          <cell r="C16560"/>
          <cell r="D16560"/>
          <cell r="E16560"/>
        </row>
        <row r="16561">
          <cell r="A16561"/>
          <cell r="B16561"/>
          <cell r="C16561"/>
          <cell r="D16561"/>
          <cell r="E16561"/>
        </row>
        <row r="16562">
          <cell r="A16562"/>
          <cell r="B16562"/>
          <cell r="C16562"/>
          <cell r="D16562"/>
          <cell r="E16562"/>
        </row>
        <row r="16563">
          <cell r="A16563"/>
          <cell r="B16563"/>
          <cell r="C16563"/>
          <cell r="D16563"/>
          <cell r="E16563"/>
        </row>
        <row r="16564">
          <cell r="A16564"/>
          <cell r="B16564"/>
          <cell r="C16564"/>
          <cell r="D16564"/>
          <cell r="E16564"/>
        </row>
        <row r="16565">
          <cell r="A16565"/>
          <cell r="B16565"/>
          <cell r="C16565"/>
          <cell r="D16565"/>
          <cell r="E16565"/>
        </row>
        <row r="16566">
          <cell r="A16566"/>
          <cell r="B16566"/>
          <cell r="C16566"/>
          <cell r="D16566"/>
          <cell r="E16566"/>
        </row>
        <row r="16567">
          <cell r="A16567"/>
          <cell r="B16567"/>
          <cell r="C16567"/>
          <cell r="D16567"/>
          <cell r="E16567"/>
        </row>
        <row r="16568">
          <cell r="A16568"/>
          <cell r="B16568"/>
          <cell r="C16568"/>
          <cell r="D16568"/>
          <cell r="E16568"/>
        </row>
        <row r="16569">
          <cell r="A16569"/>
          <cell r="B16569"/>
          <cell r="C16569"/>
          <cell r="D16569"/>
          <cell r="E16569"/>
        </row>
        <row r="16570">
          <cell r="A16570"/>
          <cell r="B16570"/>
          <cell r="C16570"/>
          <cell r="D16570"/>
          <cell r="E16570"/>
        </row>
        <row r="16571">
          <cell r="A16571"/>
          <cell r="B16571"/>
          <cell r="C16571"/>
          <cell r="D16571"/>
          <cell r="E16571"/>
        </row>
        <row r="16572">
          <cell r="A16572"/>
          <cell r="B16572"/>
          <cell r="C16572"/>
          <cell r="D16572"/>
          <cell r="E16572"/>
        </row>
        <row r="16573">
          <cell r="A16573"/>
          <cell r="B16573"/>
          <cell r="C16573"/>
          <cell r="D16573"/>
          <cell r="E16573"/>
        </row>
        <row r="16574">
          <cell r="A16574"/>
          <cell r="B16574"/>
          <cell r="C16574"/>
          <cell r="D16574"/>
          <cell r="E16574"/>
        </row>
        <row r="16575">
          <cell r="A16575"/>
          <cell r="B16575"/>
          <cell r="C16575"/>
          <cell r="D16575"/>
          <cell r="E16575"/>
        </row>
        <row r="16576">
          <cell r="A16576"/>
          <cell r="B16576"/>
          <cell r="C16576"/>
          <cell r="D16576"/>
          <cell r="E16576"/>
        </row>
        <row r="16577">
          <cell r="A16577"/>
          <cell r="B16577"/>
          <cell r="C16577"/>
          <cell r="D16577"/>
          <cell r="E16577"/>
        </row>
        <row r="16578">
          <cell r="A16578"/>
          <cell r="B16578"/>
          <cell r="C16578"/>
          <cell r="D16578"/>
          <cell r="E16578"/>
        </row>
        <row r="16579">
          <cell r="A16579"/>
          <cell r="B16579"/>
          <cell r="C16579"/>
          <cell r="D16579"/>
          <cell r="E16579"/>
        </row>
        <row r="16580">
          <cell r="A16580"/>
          <cell r="B16580"/>
          <cell r="C16580"/>
          <cell r="D16580"/>
          <cell r="E16580"/>
        </row>
        <row r="16581">
          <cell r="A16581"/>
          <cell r="B16581"/>
          <cell r="C16581"/>
          <cell r="D16581"/>
          <cell r="E16581"/>
        </row>
        <row r="16582">
          <cell r="A16582"/>
          <cell r="B16582"/>
          <cell r="C16582"/>
          <cell r="D16582"/>
          <cell r="E16582"/>
        </row>
        <row r="16583">
          <cell r="A16583"/>
          <cell r="B16583"/>
          <cell r="C16583"/>
          <cell r="D16583"/>
          <cell r="E16583"/>
        </row>
        <row r="16584">
          <cell r="A16584"/>
          <cell r="B16584"/>
          <cell r="C16584"/>
          <cell r="D16584"/>
          <cell r="E16584"/>
        </row>
        <row r="16585">
          <cell r="A16585"/>
          <cell r="B16585"/>
          <cell r="C16585"/>
          <cell r="D16585"/>
          <cell r="E16585"/>
        </row>
        <row r="16586">
          <cell r="A16586"/>
          <cell r="B16586"/>
          <cell r="C16586"/>
          <cell r="D16586"/>
          <cell r="E16586"/>
        </row>
        <row r="16587">
          <cell r="A16587"/>
          <cell r="B16587"/>
          <cell r="C16587"/>
          <cell r="D16587"/>
          <cell r="E16587"/>
        </row>
        <row r="16588">
          <cell r="A16588"/>
          <cell r="B16588"/>
          <cell r="C16588"/>
          <cell r="D16588"/>
          <cell r="E16588"/>
        </row>
        <row r="16589">
          <cell r="A16589"/>
          <cell r="B16589"/>
          <cell r="C16589"/>
          <cell r="D16589"/>
          <cell r="E16589"/>
        </row>
        <row r="16590">
          <cell r="A16590"/>
          <cell r="B16590"/>
          <cell r="C16590"/>
          <cell r="D16590"/>
          <cell r="E16590"/>
        </row>
        <row r="16591">
          <cell r="A16591"/>
          <cell r="B16591"/>
          <cell r="C16591"/>
          <cell r="D16591"/>
          <cell r="E16591"/>
        </row>
        <row r="16592">
          <cell r="A16592"/>
          <cell r="B16592"/>
          <cell r="C16592"/>
          <cell r="D16592"/>
          <cell r="E16592"/>
        </row>
        <row r="16593">
          <cell r="A16593"/>
          <cell r="B16593"/>
          <cell r="C16593"/>
          <cell r="D16593"/>
          <cell r="E16593"/>
        </row>
        <row r="16594">
          <cell r="A16594"/>
          <cell r="B16594"/>
          <cell r="C16594"/>
          <cell r="D16594"/>
          <cell r="E16594"/>
        </row>
        <row r="16595">
          <cell r="A16595"/>
          <cell r="B16595"/>
          <cell r="C16595"/>
          <cell r="D16595"/>
          <cell r="E16595"/>
        </row>
        <row r="16596">
          <cell r="A16596"/>
          <cell r="B16596"/>
          <cell r="C16596"/>
          <cell r="D16596"/>
          <cell r="E16596"/>
        </row>
        <row r="16597">
          <cell r="A16597"/>
          <cell r="B16597"/>
          <cell r="C16597"/>
          <cell r="D16597"/>
          <cell r="E16597"/>
        </row>
        <row r="16598">
          <cell r="A16598"/>
          <cell r="B16598"/>
          <cell r="C16598"/>
          <cell r="D16598"/>
          <cell r="E16598"/>
        </row>
        <row r="16599">
          <cell r="A16599"/>
          <cell r="B16599"/>
          <cell r="C16599"/>
          <cell r="D16599"/>
          <cell r="E16599"/>
        </row>
        <row r="16600">
          <cell r="A16600"/>
          <cell r="B16600"/>
          <cell r="C16600"/>
          <cell r="D16600"/>
          <cell r="E16600"/>
        </row>
        <row r="16601">
          <cell r="A16601"/>
          <cell r="B16601"/>
          <cell r="C16601"/>
          <cell r="D16601"/>
          <cell r="E16601"/>
        </row>
        <row r="16602">
          <cell r="A16602"/>
          <cell r="B16602"/>
          <cell r="C16602"/>
          <cell r="D16602"/>
          <cell r="E16602"/>
        </row>
        <row r="16603">
          <cell r="A16603"/>
          <cell r="B16603"/>
          <cell r="C16603"/>
          <cell r="D16603"/>
          <cell r="E16603"/>
        </row>
        <row r="16604">
          <cell r="A16604"/>
          <cell r="B16604"/>
          <cell r="C16604"/>
          <cell r="D16604"/>
          <cell r="E16604"/>
        </row>
        <row r="16605">
          <cell r="A16605"/>
          <cell r="B16605"/>
          <cell r="C16605"/>
          <cell r="D16605"/>
          <cell r="E16605"/>
        </row>
        <row r="16606">
          <cell r="A16606"/>
          <cell r="B16606"/>
          <cell r="C16606"/>
          <cell r="D16606"/>
          <cell r="E16606"/>
        </row>
        <row r="16607">
          <cell r="A16607"/>
          <cell r="B16607"/>
          <cell r="C16607"/>
          <cell r="D16607"/>
          <cell r="E16607"/>
        </row>
        <row r="16608">
          <cell r="A16608"/>
          <cell r="B16608"/>
          <cell r="C16608"/>
          <cell r="D16608"/>
          <cell r="E16608"/>
        </row>
        <row r="16609">
          <cell r="A16609"/>
          <cell r="B16609"/>
          <cell r="C16609"/>
          <cell r="D16609"/>
          <cell r="E16609"/>
        </row>
        <row r="16610">
          <cell r="A16610"/>
          <cell r="B16610"/>
          <cell r="C16610"/>
          <cell r="D16610"/>
          <cell r="E16610"/>
        </row>
        <row r="16611">
          <cell r="A16611"/>
          <cell r="B16611"/>
          <cell r="C16611"/>
          <cell r="D16611"/>
          <cell r="E16611"/>
        </row>
        <row r="16612">
          <cell r="A16612"/>
          <cell r="B16612"/>
          <cell r="C16612"/>
          <cell r="D16612"/>
          <cell r="E16612"/>
        </row>
        <row r="16613">
          <cell r="A16613"/>
          <cell r="B16613"/>
          <cell r="C16613"/>
          <cell r="D16613"/>
          <cell r="E16613"/>
        </row>
        <row r="16614">
          <cell r="A16614"/>
          <cell r="B16614"/>
          <cell r="C16614"/>
          <cell r="D16614"/>
          <cell r="E16614"/>
        </row>
        <row r="16615">
          <cell r="A16615"/>
          <cell r="B16615"/>
          <cell r="C16615"/>
          <cell r="D16615"/>
          <cell r="E16615"/>
        </row>
        <row r="16616">
          <cell r="A16616"/>
          <cell r="B16616"/>
          <cell r="C16616"/>
          <cell r="D16616"/>
          <cell r="E16616"/>
        </row>
        <row r="16617">
          <cell r="A16617"/>
          <cell r="B16617"/>
          <cell r="C16617"/>
          <cell r="D16617"/>
          <cell r="E16617"/>
        </row>
        <row r="16618">
          <cell r="A16618"/>
          <cell r="B16618"/>
          <cell r="C16618"/>
          <cell r="D16618"/>
          <cell r="E16618"/>
        </row>
        <row r="16619">
          <cell r="A16619"/>
          <cell r="B16619"/>
          <cell r="C16619"/>
          <cell r="D16619"/>
          <cell r="E16619"/>
        </row>
        <row r="16620">
          <cell r="A16620"/>
          <cell r="B16620"/>
          <cell r="C16620"/>
          <cell r="D16620"/>
          <cell r="E16620"/>
        </row>
        <row r="16621">
          <cell r="A16621"/>
          <cell r="B16621"/>
          <cell r="C16621"/>
          <cell r="D16621"/>
          <cell r="E16621"/>
        </row>
        <row r="16622">
          <cell r="A16622"/>
          <cell r="B16622"/>
          <cell r="C16622"/>
          <cell r="D16622"/>
          <cell r="E16622"/>
        </row>
        <row r="16623">
          <cell r="A16623"/>
          <cell r="B16623"/>
          <cell r="C16623"/>
          <cell r="D16623"/>
          <cell r="E16623"/>
        </row>
        <row r="16624">
          <cell r="A16624"/>
          <cell r="B16624"/>
          <cell r="C16624"/>
          <cell r="D16624"/>
          <cell r="E16624"/>
        </row>
        <row r="16625">
          <cell r="A16625"/>
          <cell r="B16625"/>
          <cell r="C16625"/>
          <cell r="D16625"/>
          <cell r="E16625"/>
        </row>
        <row r="16626">
          <cell r="A16626"/>
          <cell r="B16626"/>
          <cell r="C16626"/>
          <cell r="D16626"/>
          <cell r="E16626"/>
        </row>
        <row r="16627">
          <cell r="A16627"/>
          <cell r="B16627"/>
          <cell r="C16627"/>
          <cell r="D16627"/>
          <cell r="E16627"/>
        </row>
        <row r="16628">
          <cell r="A16628"/>
          <cell r="B16628"/>
          <cell r="C16628"/>
          <cell r="D16628"/>
          <cell r="E16628"/>
        </row>
        <row r="16629">
          <cell r="A16629"/>
          <cell r="B16629"/>
          <cell r="C16629"/>
          <cell r="D16629"/>
          <cell r="E16629"/>
        </row>
        <row r="16630">
          <cell r="A16630"/>
          <cell r="B16630"/>
          <cell r="C16630"/>
          <cell r="D16630"/>
          <cell r="E16630"/>
        </row>
        <row r="16631">
          <cell r="A16631"/>
          <cell r="B16631"/>
          <cell r="C16631"/>
          <cell r="D16631"/>
          <cell r="E16631"/>
        </row>
        <row r="16632">
          <cell r="A16632"/>
          <cell r="B16632"/>
          <cell r="C16632"/>
          <cell r="D16632"/>
          <cell r="E16632"/>
        </row>
        <row r="16633">
          <cell r="A16633"/>
          <cell r="B16633"/>
          <cell r="C16633"/>
          <cell r="D16633"/>
          <cell r="E16633"/>
        </row>
        <row r="16634">
          <cell r="A16634"/>
          <cell r="B16634"/>
          <cell r="C16634"/>
          <cell r="D16634"/>
          <cell r="E16634"/>
        </row>
        <row r="16635">
          <cell r="A16635"/>
          <cell r="B16635"/>
          <cell r="C16635"/>
          <cell r="D16635"/>
          <cell r="E16635"/>
        </row>
        <row r="16636">
          <cell r="A16636"/>
          <cell r="B16636"/>
          <cell r="C16636"/>
          <cell r="D16636"/>
          <cell r="E16636"/>
        </row>
        <row r="16637">
          <cell r="A16637"/>
          <cell r="B16637"/>
          <cell r="C16637"/>
          <cell r="D16637"/>
          <cell r="E16637"/>
        </row>
        <row r="16638">
          <cell r="A16638"/>
          <cell r="B16638"/>
          <cell r="C16638"/>
          <cell r="D16638"/>
          <cell r="E16638"/>
        </row>
        <row r="16639">
          <cell r="A16639"/>
          <cell r="B16639"/>
          <cell r="C16639"/>
          <cell r="D16639"/>
          <cell r="E16639"/>
        </row>
        <row r="16640">
          <cell r="A16640"/>
          <cell r="B16640"/>
          <cell r="C16640"/>
          <cell r="D16640"/>
          <cell r="E16640"/>
        </row>
        <row r="16641">
          <cell r="A16641"/>
          <cell r="B16641"/>
          <cell r="C16641"/>
          <cell r="D16641"/>
          <cell r="E16641"/>
        </row>
        <row r="16642">
          <cell r="A16642"/>
          <cell r="B16642"/>
          <cell r="C16642"/>
          <cell r="D16642"/>
          <cell r="E16642"/>
        </row>
        <row r="16643">
          <cell r="A16643"/>
          <cell r="B16643"/>
          <cell r="C16643"/>
          <cell r="D16643"/>
          <cell r="E16643"/>
        </row>
        <row r="16644">
          <cell r="A16644"/>
          <cell r="B16644"/>
          <cell r="C16644"/>
          <cell r="D16644"/>
          <cell r="E16644"/>
        </row>
        <row r="16645">
          <cell r="A16645"/>
          <cell r="B16645"/>
          <cell r="C16645"/>
          <cell r="D16645"/>
          <cell r="E16645"/>
        </row>
        <row r="16646">
          <cell r="A16646"/>
          <cell r="B16646"/>
          <cell r="C16646"/>
          <cell r="D16646"/>
          <cell r="E16646"/>
        </row>
        <row r="16647">
          <cell r="A16647"/>
          <cell r="B16647"/>
          <cell r="C16647"/>
          <cell r="D16647"/>
          <cell r="E16647"/>
        </row>
        <row r="16648">
          <cell r="A16648"/>
          <cell r="B16648"/>
          <cell r="C16648"/>
          <cell r="D16648"/>
          <cell r="E16648"/>
        </row>
        <row r="16649">
          <cell r="A16649"/>
          <cell r="B16649"/>
          <cell r="C16649"/>
          <cell r="D16649"/>
          <cell r="E16649"/>
        </row>
        <row r="16650">
          <cell r="A16650"/>
          <cell r="B16650"/>
          <cell r="C16650"/>
          <cell r="D16650"/>
          <cell r="E16650"/>
        </row>
        <row r="16651">
          <cell r="A16651"/>
          <cell r="B16651"/>
          <cell r="C16651"/>
          <cell r="D16651"/>
          <cell r="E16651"/>
        </row>
        <row r="16652">
          <cell r="A16652"/>
          <cell r="B16652"/>
          <cell r="C16652"/>
          <cell r="D16652"/>
          <cell r="E16652"/>
        </row>
        <row r="16653">
          <cell r="A16653"/>
          <cell r="B16653"/>
          <cell r="C16653"/>
          <cell r="D16653"/>
          <cell r="E16653"/>
        </row>
        <row r="16654">
          <cell r="A16654"/>
          <cell r="B16654"/>
          <cell r="C16654"/>
          <cell r="D16654"/>
          <cell r="E16654"/>
        </row>
        <row r="16655">
          <cell r="A16655"/>
          <cell r="B16655"/>
          <cell r="C16655"/>
          <cell r="D16655"/>
          <cell r="E16655"/>
        </row>
        <row r="16656">
          <cell r="A16656"/>
          <cell r="B16656"/>
          <cell r="C16656"/>
          <cell r="D16656"/>
          <cell r="E16656"/>
        </row>
        <row r="16657">
          <cell r="A16657"/>
          <cell r="B16657"/>
          <cell r="C16657"/>
          <cell r="D16657"/>
          <cell r="E16657"/>
        </row>
        <row r="16658">
          <cell r="A16658"/>
          <cell r="B16658"/>
          <cell r="C16658"/>
          <cell r="D16658"/>
          <cell r="E16658"/>
        </row>
        <row r="16659">
          <cell r="A16659"/>
          <cell r="B16659"/>
          <cell r="C16659"/>
          <cell r="D16659"/>
          <cell r="E16659"/>
        </row>
        <row r="16660">
          <cell r="A16660"/>
          <cell r="B16660"/>
          <cell r="C16660"/>
          <cell r="D16660"/>
          <cell r="E16660"/>
        </row>
        <row r="16661">
          <cell r="A16661"/>
          <cell r="B16661"/>
          <cell r="C16661"/>
          <cell r="D16661"/>
          <cell r="E16661"/>
        </row>
        <row r="16662">
          <cell r="A16662"/>
          <cell r="B16662"/>
          <cell r="C16662"/>
          <cell r="D16662"/>
          <cell r="E16662"/>
        </row>
        <row r="16663">
          <cell r="A16663"/>
          <cell r="B16663"/>
          <cell r="C16663"/>
          <cell r="D16663"/>
          <cell r="E16663"/>
        </row>
        <row r="16664">
          <cell r="A16664"/>
          <cell r="B16664"/>
          <cell r="C16664"/>
          <cell r="D16664"/>
          <cell r="E16664"/>
        </row>
        <row r="16665">
          <cell r="A16665"/>
          <cell r="B16665"/>
          <cell r="C16665"/>
          <cell r="D16665"/>
          <cell r="E16665"/>
        </row>
        <row r="16666">
          <cell r="A16666"/>
          <cell r="B16666"/>
          <cell r="C16666"/>
          <cell r="D16666"/>
          <cell r="E16666"/>
        </row>
        <row r="16667">
          <cell r="A16667"/>
          <cell r="B16667"/>
          <cell r="C16667"/>
          <cell r="D16667"/>
          <cell r="E16667"/>
        </row>
        <row r="16668">
          <cell r="A16668"/>
          <cell r="B16668"/>
          <cell r="C16668"/>
          <cell r="D16668"/>
          <cell r="E16668"/>
        </row>
        <row r="16669">
          <cell r="A16669"/>
          <cell r="B16669"/>
          <cell r="C16669"/>
          <cell r="D16669"/>
          <cell r="E16669"/>
        </row>
        <row r="16670">
          <cell r="A16670"/>
          <cell r="B16670"/>
          <cell r="C16670"/>
          <cell r="D16670"/>
          <cell r="E16670"/>
        </row>
        <row r="16671">
          <cell r="A16671"/>
          <cell r="B16671"/>
          <cell r="C16671"/>
          <cell r="D16671"/>
          <cell r="E16671"/>
        </row>
        <row r="16672">
          <cell r="A16672"/>
          <cell r="B16672"/>
          <cell r="C16672"/>
          <cell r="D16672"/>
          <cell r="E16672"/>
        </row>
        <row r="16673">
          <cell r="A16673"/>
          <cell r="B16673"/>
          <cell r="C16673"/>
          <cell r="D16673"/>
          <cell r="E16673"/>
        </row>
        <row r="16674">
          <cell r="A16674"/>
          <cell r="B16674"/>
          <cell r="C16674"/>
          <cell r="D16674"/>
          <cell r="E16674"/>
        </row>
        <row r="16675">
          <cell r="A16675"/>
          <cell r="B16675"/>
          <cell r="C16675"/>
          <cell r="D16675"/>
          <cell r="E16675"/>
        </row>
        <row r="16676">
          <cell r="A16676"/>
          <cell r="B16676"/>
          <cell r="C16676"/>
          <cell r="D16676"/>
          <cell r="E16676"/>
        </row>
        <row r="16677">
          <cell r="A16677"/>
          <cell r="B16677"/>
          <cell r="C16677"/>
          <cell r="D16677"/>
          <cell r="E16677"/>
        </row>
        <row r="16678">
          <cell r="A16678"/>
          <cell r="B16678"/>
          <cell r="C16678"/>
          <cell r="D16678"/>
          <cell r="E16678"/>
        </row>
        <row r="16679">
          <cell r="A16679"/>
          <cell r="B16679"/>
          <cell r="C16679"/>
          <cell r="D16679"/>
          <cell r="E16679"/>
        </row>
        <row r="16680">
          <cell r="A16680"/>
          <cell r="B16680"/>
          <cell r="C16680"/>
          <cell r="D16680"/>
          <cell r="E16680"/>
        </row>
        <row r="16681">
          <cell r="A16681"/>
          <cell r="B16681"/>
          <cell r="C16681"/>
          <cell r="D16681"/>
          <cell r="E16681"/>
        </row>
        <row r="16682">
          <cell r="A16682"/>
          <cell r="B16682"/>
          <cell r="C16682"/>
          <cell r="D16682"/>
          <cell r="E16682"/>
        </row>
        <row r="16683">
          <cell r="A16683"/>
          <cell r="B16683"/>
          <cell r="C16683"/>
          <cell r="D16683"/>
          <cell r="E16683"/>
        </row>
        <row r="16684">
          <cell r="A16684"/>
          <cell r="B16684"/>
          <cell r="C16684"/>
          <cell r="D16684"/>
          <cell r="E16684"/>
        </row>
        <row r="16685">
          <cell r="A16685"/>
          <cell r="B16685"/>
          <cell r="C16685"/>
          <cell r="D16685"/>
          <cell r="E16685"/>
        </row>
        <row r="16686">
          <cell r="A16686"/>
          <cell r="B16686"/>
          <cell r="C16686"/>
          <cell r="D16686"/>
          <cell r="E16686"/>
        </row>
        <row r="16687">
          <cell r="A16687"/>
          <cell r="B16687"/>
          <cell r="C16687"/>
          <cell r="D16687"/>
          <cell r="E16687"/>
        </row>
        <row r="16688">
          <cell r="A16688"/>
          <cell r="B16688"/>
          <cell r="C16688"/>
          <cell r="D16688"/>
          <cell r="E16688"/>
        </row>
        <row r="16689">
          <cell r="A16689"/>
          <cell r="B16689"/>
          <cell r="C16689"/>
          <cell r="D16689"/>
          <cell r="E16689"/>
        </row>
        <row r="16690">
          <cell r="A16690"/>
          <cell r="B16690"/>
          <cell r="C16690"/>
          <cell r="D16690"/>
          <cell r="E16690"/>
        </row>
        <row r="16691">
          <cell r="A16691"/>
          <cell r="B16691"/>
          <cell r="C16691"/>
          <cell r="D16691"/>
          <cell r="E16691"/>
        </row>
        <row r="16692">
          <cell r="A16692"/>
          <cell r="B16692"/>
          <cell r="C16692"/>
          <cell r="D16692"/>
          <cell r="E16692"/>
        </row>
        <row r="16693">
          <cell r="A16693"/>
          <cell r="B16693"/>
          <cell r="C16693"/>
          <cell r="D16693"/>
          <cell r="E16693"/>
        </row>
        <row r="16694">
          <cell r="A16694"/>
          <cell r="B16694"/>
          <cell r="C16694"/>
          <cell r="D16694"/>
          <cell r="E16694"/>
        </row>
        <row r="16695">
          <cell r="A16695"/>
          <cell r="B16695"/>
          <cell r="C16695"/>
          <cell r="D16695"/>
          <cell r="E16695"/>
        </row>
        <row r="16696">
          <cell r="A16696"/>
          <cell r="B16696"/>
          <cell r="C16696"/>
          <cell r="D16696"/>
          <cell r="E16696"/>
        </row>
        <row r="16697">
          <cell r="A16697"/>
          <cell r="B16697"/>
          <cell r="C16697"/>
          <cell r="D16697"/>
          <cell r="E16697"/>
        </row>
        <row r="16698">
          <cell r="A16698"/>
          <cell r="B16698"/>
          <cell r="C16698"/>
          <cell r="D16698"/>
          <cell r="E16698"/>
        </row>
        <row r="16699">
          <cell r="A16699"/>
          <cell r="B16699"/>
          <cell r="C16699"/>
          <cell r="D16699"/>
          <cell r="E16699"/>
        </row>
        <row r="16700">
          <cell r="A16700"/>
          <cell r="B16700"/>
          <cell r="C16700"/>
          <cell r="D16700"/>
          <cell r="E16700"/>
        </row>
        <row r="16701">
          <cell r="A16701"/>
          <cell r="B16701"/>
          <cell r="C16701"/>
          <cell r="D16701"/>
          <cell r="E16701"/>
        </row>
        <row r="16702">
          <cell r="A16702"/>
          <cell r="B16702"/>
          <cell r="C16702"/>
          <cell r="D16702"/>
          <cell r="E16702"/>
        </row>
        <row r="16703">
          <cell r="A16703"/>
          <cell r="B16703"/>
          <cell r="C16703"/>
          <cell r="D16703"/>
          <cell r="E16703"/>
        </row>
        <row r="16704">
          <cell r="A16704"/>
          <cell r="B16704"/>
          <cell r="C16704"/>
          <cell r="D16704"/>
          <cell r="E16704"/>
        </row>
        <row r="16705">
          <cell r="A16705"/>
          <cell r="B16705"/>
          <cell r="C16705"/>
          <cell r="D16705"/>
          <cell r="E16705"/>
        </row>
        <row r="16706">
          <cell r="A16706"/>
          <cell r="B16706"/>
          <cell r="C16706"/>
          <cell r="D16706"/>
          <cell r="E16706"/>
        </row>
        <row r="16707">
          <cell r="A16707"/>
          <cell r="B16707"/>
          <cell r="C16707"/>
          <cell r="D16707"/>
          <cell r="E16707"/>
        </row>
        <row r="16708">
          <cell r="A16708"/>
          <cell r="B16708"/>
          <cell r="C16708"/>
          <cell r="D16708"/>
          <cell r="E16708"/>
        </row>
        <row r="16709">
          <cell r="A16709"/>
          <cell r="B16709"/>
          <cell r="C16709"/>
          <cell r="D16709"/>
          <cell r="E16709"/>
        </row>
        <row r="16710">
          <cell r="A16710"/>
          <cell r="B16710"/>
          <cell r="C16710"/>
          <cell r="D16710"/>
          <cell r="E16710"/>
        </row>
        <row r="16711">
          <cell r="A16711"/>
          <cell r="B16711"/>
          <cell r="C16711"/>
          <cell r="D16711"/>
          <cell r="E16711"/>
        </row>
        <row r="16712">
          <cell r="A16712"/>
          <cell r="B16712"/>
          <cell r="C16712"/>
          <cell r="D16712"/>
          <cell r="E16712"/>
        </row>
        <row r="16713">
          <cell r="A16713"/>
          <cell r="B16713"/>
          <cell r="C16713"/>
          <cell r="D16713"/>
          <cell r="E16713"/>
        </row>
        <row r="16714">
          <cell r="A16714"/>
          <cell r="B16714"/>
          <cell r="C16714"/>
          <cell r="D16714"/>
          <cell r="E16714"/>
        </row>
        <row r="16715">
          <cell r="A16715"/>
          <cell r="B16715"/>
          <cell r="C16715"/>
          <cell r="D16715"/>
          <cell r="E16715"/>
        </row>
        <row r="16716">
          <cell r="A16716"/>
          <cell r="B16716"/>
          <cell r="C16716"/>
          <cell r="D16716"/>
          <cell r="E16716"/>
        </row>
        <row r="16717">
          <cell r="A16717"/>
          <cell r="B16717"/>
          <cell r="C16717"/>
          <cell r="D16717"/>
          <cell r="E16717"/>
        </row>
        <row r="16718">
          <cell r="A16718"/>
          <cell r="B16718"/>
          <cell r="C16718"/>
          <cell r="D16718"/>
          <cell r="E16718"/>
        </row>
        <row r="16719">
          <cell r="A16719"/>
          <cell r="B16719"/>
          <cell r="C16719"/>
          <cell r="D16719"/>
          <cell r="E16719"/>
        </row>
        <row r="16720">
          <cell r="A16720"/>
          <cell r="B16720"/>
          <cell r="C16720"/>
          <cell r="D16720"/>
          <cell r="E16720"/>
        </row>
        <row r="16721">
          <cell r="A16721"/>
          <cell r="B16721"/>
          <cell r="C16721"/>
          <cell r="D16721"/>
          <cell r="E16721"/>
        </row>
        <row r="16722">
          <cell r="A16722"/>
          <cell r="B16722"/>
          <cell r="C16722"/>
          <cell r="D16722"/>
          <cell r="E16722"/>
        </row>
        <row r="16723">
          <cell r="A16723"/>
          <cell r="B16723"/>
          <cell r="C16723"/>
          <cell r="D16723"/>
          <cell r="E16723"/>
        </row>
        <row r="16724">
          <cell r="A16724"/>
          <cell r="B16724"/>
          <cell r="C16724"/>
          <cell r="D16724"/>
          <cell r="E16724"/>
        </row>
        <row r="16725">
          <cell r="A16725"/>
          <cell r="B16725"/>
          <cell r="C16725"/>
          <cell r="D16725"/>
          <cell r="E16725"/>
        </row>
        <row r="16726">
          <cell r="A16726"/>
          <cell r="B16726"/>
          <cell r="C16726"/>
          <cell r="D16726"/>
          <cell r="E16726"/>
        </row>
        <row r="16727">
          <cell r="A16727"/>
          <cell r="B16727"/>
          <cell r="C16727"/>
          <cell r="D16727"/>
          <cell r="E16727"/>
        </row>
        <row r="16728">
          <cell r="A16728"/>
          <cell r="B16728"/>
          <cell r="C16728"/>
          <cell r="D16728"/>
          <cell r="E16728"/>
        </row>
        <row r="16729">
          <cell r="A16729"/>
          <cell r="B16729"/>
          <cell r="C16729"/>
          <cell r="D16729"/>
          <cell r="E16729"/>
        </row>
        <row r="16730">
          <cell r="A16730"/>
          <cell r="B16730"/>
          <cell r="C16730"/>
          <cell r="D16730"/>
          <cell r="E16730"/>
        </row>
        <row r="16731">
          <cell r="A16731"/>
          <cell r="B16731"/>
          <cell r="C16731"/>
          <cell r="D16731"/>
          <cell r="E16731"/>
        </row>
        <row r="16732">
          <cell r="A16732"/>
          <cell r="B16732"/>
          <cell r="C16732"/>
          <cell r="D16732"/>
          <cell r="E16732"/>
        </row>
        <row r="16733">
          <cell r="A16733"/>
          <cell r="B16733"/>
          <cell r="C16733"/>
          <cell r="D16733"/>
          <cell r="E16733"/>
        </row>
        <row r="16734">
          <cell r="A16734"/>
          <cell r="B16734"/>
          <cell r="C16734"/>
          <cell r="D16734"/>
          <cell r="E16734"/>
        </row>
        <row r="16735">
          <cell r="A16735"/>
          <cell r="B16735"/>
          <cell r="C16735"/>
          <cell r="D16735"/>
          <cell r="E16735"/>
        </row>
        <row r="16736">
          <cell r="A16736"/>
          <cell r="B16736"/>
          <cell r="C16736"/>
          <cell r="D16736"/>
          <cell r="E16736"/>
        </row>
        <row r="16737">
          <cell r="A16737"/>
          <cell r="B16737"/>
          <cell r="C16737"/>
          <cell r="D16737"/>
          <cell r="E16737"/>
        </row>
        <row r="16738">
          <cell r="A16738"/>
          <cell r="B16738"/>
          <cell r="C16738"/>
          <cell r="D16738"/>
          <cell r="E16738"/>
        </row>
        <row r="16739">
          <cell r="A16739"/>
          <cell r="B16739"/>
          <cell r="C16739"/>
          <cell r="D16739"/>
          <cell r="E16739"/>
        </row>
        <row r="16740">
          <cell r="A16740"/>
          <cell r="B16740"/>
          <cell r="C16740"/>
          <cell r="D16740"/>
          <cell r="E16740"/>
        </row>
        <row r="16741">
          <cell r="A16741"/>
          <cell r="B16741"/>
          <cell r="C16741"/>
          <cell r="D16741"/>
          <cell r="E16741"/>
        </row>
        <row r="16742">
          <cell r="A16742"/>
          <cell r="B16742"/>
          <cell r="C16742"/>
          <cell r="D16742"/>
          <cell r="E16742"/>
        </row>
        <row r="16743">
          <cell r="A16743"/>
          <cell r="B16743"/>
          <cell r="C16743"/>
          <cell r="D16743"/>
          <cell r="E16743"/>
        </row>
        <row r="16744">
          <cell r="A16744"/>
          <cell r="B16744"/>
          <cell r="C16744"/>
          <cell r="D16744"/>
          <cell r="E16744"/>
        </row>
        <row r="16745">
          <cell r="A16745"/>
          <cell r="B16745"/>
          <cell r="C16745"/>
          <cell r="D16745"/>
          <cell r="E16745"/>
        </row>
        <row r="16746">
          <cell r="A16746"/>
          <cell r="B16746"/>
          <cell r="C16746"/>
          <cell r="D16746"/>
          <cell r="E16746"/>
        </row>
        <row r="16747">
          <cell r="A16747"/>
          <cell r="B16747"/>
          <cell r="C16747"/>
          <cell r="D16747"/>
          <cell r="E16747"/>
        </row>
        <row r="16748">
          <cell r="A16748"/>
          <cell r="B16748"/>
          <cell r="C16748"/>
          <cell r="D16748"/>
          <cell r="E16748"/>
        </row>
        <row r="16749">
          <cell r="A16749"/>
          <cell r="B16749"/>
          <cell r="C16749"/>
          <cell r="D16749"/>
          <cell r="E16749"/>
        </row>
        <row r="16750">
          <cell r="A16750"/>
          <cell r="B16750"/>
          <cell r="C16750"/>
          <cell r="D16750"/>
          <cell r="E16750"/>
        </row>
        <row r="16751">
          <cell r="A16751"/>
          <cell r="B16751"/>
          <cell r="C16751"/>
          <cell r="D16751"/>
          <cell r="E16751"/>
        </row>
        <row r="16752">
          <cell r="A16752"/>
          <cell r="B16752"/>
          <cell r="C16752"/>
          <cell r="D16752"/>
          <cell r="E16752"/>
        </row>
        <row r="16753">
          <cell r="A16753"/>
          <cell r="B16753"/>
          <cell r="C16753"/>
          <cell r="D16753"/>
          <cell r="E16753"/>
        </row>
        <row r="16754">
          <cell r="A16754"/>
          <cell r="B16754"/>
          <cell r="C16754"/>
          <cell r="D16754"/>
          <cell r="E16754"/>
        </row>
        <row r="16755">
          <cell r="A16755"/>
          <cell r="B16755"/>
          <cell r="C16755"/>
          <cell r="D16755"/>
          <cell r="E16755"/>
        </row>
        <row r="16756">
          <cell r="A16756"/>
          <cell r="B16756"/>
          <cell r="C16756"/>
          <cell r="D16756"/>
          <cell r="E16756"/>
        </row>
        <row r="16757">
          <cell r="A16757"/>
          <cell r="B16757"/>
          <cell r="C16757"/>
          <cell r="D16757"/>
          <cell r="E16757"/>
        </row>
        <row r="16758">
          <cell r="A16758"/>
          <cell r="B16758"/>
          <cell r="C16758"/>
          <cell r="D16758"/>
          <cell r="E16758"/>
        </row>
        <row r="16759">
          <cell r="A16759"/>
          <cell r="B16759"/>
          <cell r="C16759"/>
          <cell r="D16759"/>
          <cell r="E16759"/>
        </row>
        <row r="16760">
          <cell r="A16760"/>
          <cell r="B16760"/>
          <cell r="C16760"/>
          <cell r="D16760"/>
          <cell r="E16760"/>
        </row>
        <row r="16761">
          <cell r="A16761"/>
          <cell r="B16761"/>
          <cell r="C16761"/>
          <cell r="D16761"/>
          <cell r="E16761"/>
        </row>
        <row r="16762">
          <cell r="A16762"/>
          <cell r="B16762"/>
          <cell r="C16762"/>
          <cell r="D16762"/>
          <cell r="E16762"/>
        </row>
        <row r="16763">
          <cell r="A16763"/>
          <cell r="B16763"/>
          <cell r="C16763"/>
          <cell r="D16763"/>
          <cell r="E16763"/>
        </row>
        <row r="16764">
          <cell r="A16764"/>
          <cell r="B16764"/>
          <cell r="C16764"/>
          <cell r="D16764"/>
          <cell r="E16764"/>
        </row>
        <row r="16765">
          <cell r="A16765"/>
          <cell r="B16765"/>
          <cell r="C16765"/>
          <cell r="D16765"/>
          <cell r="E16765"/>
        </row>
        <row r="16766">
          <cell r="A16766"/>
          <cell r="B16766"/>
          <cell r="C16766"/>
          <cell r="D16766"/>
          <cell r="E16766"/>
        </row>
        <row r="16767">
          <cell r="A16767"/>
          <cell r="B16767"/>
          <cell r="C16767"/>
          <cell r="D16767"/>
          <cell r="E16767"/>
        </row>
        <row r="16768">
          <cell r="A16768"/>
          <cell r="B16768"/>
          <cell r="C16768"/>
          <cell r="D16768"/>
          <cell r="E16768"/>
        </row>
        <row r="16769">
          <cell r="A16769"/>
          <cell r="B16769"/>
          <cell r="C16769"/>
          <cell r="D16769"/>
          <cell r="E16769"/>
        </row>
        <row r="16770">
          <cell r="A16770"/>
          <cell r="B16770"/>
          <cell r="C16770"/>
          <cell r="D16770"/>
          <cell r="E16770"/>
        </row>
        <row r="16771">
          <cell r="A16771"/>
          <cell r="B16771"/>
          <cell r="C16771"/>
          <cell r="D16771"/>
          <cell r="E16771"/>
        </row>
        <row r="16772">
          <cell r="A16772"/>
          <cell r="B16772"/>
          <cell r="C16772"/>
          <cell r="D16772"/>
          <cell r="E16772"/>
        </row>
        <row r="16773">
          <cell r="A16773"/>
          <cell r="B16773"/>
          <cell r="C16773"/>
          <cell r="D16773"/>
          <cell r="E16773"/>
        </row>
        <row r="16774">
          <cell r="A16774"/>
          <cell r="B16774"/>
          <cell r="C16774"/>
          <cell r="D16774"/>
          <cell r="E16774"/>
        </row>
        <row r="16775">
          <cell r="A16775"/>
          <cell r="B16775"/>
          <cell r="C16775"/>
          <cell r="D16775"/>
          <cell r="E16775"/>
        </row>
        <row r="16776">
          <cell r="A16776"/>
          <cell r="B16776"/>
          <cell r="C16776"/>
          <cell r="D16776"/>
          <cell r="E16776"/>
        </row>
        <row r="16777">
          <cell r="A16777"/>
          <cell r="B16777"/>
          <cell r="C16777"/>
          <cell r="D16777"/>
          <cell r="E16777"/>
        </row>
        <row r="16778">
          <cell r="A16778"/>
          <cell r="B16778"/>
          <cell r="C16778"/>
          <cell r="D16778"/>
          <cell r="E16778"/>
        </row>
        <row r="16779">
          <cell r="A16779"/>
          <cell r="B16779"/>
          <cell r="C16779"/>
          <cell r="D16779"/>
          <cell r="E16779"/>
        </row>
        <row r="16780">
          <cell r="A16780"/>
          <cell r="B16780"/>
          <cell r="C16780"/>
          <cell r="D16780"/>
          <cell r="E16780"/>
        </row>
        <row r="16781">
          <cell r="A16781"/>
          <cell r="B16781"/>
          <cell r="C16781"/>
          <cell r="D16781"/>
          <cell r="E16781"/>
        </row>
        <row r="16782">
          <cell r="A16782"/>
          <cell r="B16782"/>
          <cell r="C16782"/>
          <cell r="D16782"/>
          <cell r="E16782"/>
        </row>
        <row r="16783">
          <cell r="A16783"/>
          <cell r="B16783"/>
          <cell r="C16783"/>
          <cell r="D16783"/>
          <cell r="E16783"/>
        </row>
        <row r="16784">
          <cell r="A16784"/>
          <cell r="B16784"/>
          <cell r="C16784"/>
          <cell r="D16784"/>
          <cell r="E16784"/>
        </row>
        <row r="16785">
          <cell r="A16785"/>
          <cell r="B16785"/>
          <cell r="C16785"/>
          <cell r="D16785"/>
          <cell r="E16785"/>
        </row>
        <row r="16786">
          <cell r="A16786"/>
          <cell r="B16786"/>
          <cell r="C16786"/>
          <cell r="D16786"/>
          <cell r="E16786"/>
        </row>
        <row r="16787">
          <cell r="A16787"/>
          <cell r="B16787"/>
          <cell r="C16787"/>
          <cell r="D16787"/>
          <cell r="E16787"/>
        </row>
        <row r="16788">
          <cell r="A16788"/>
          <cell r="B16788"/>
          <cell r="C16788"/>
          <cell r="D16788"/>
          <cell r="E16788"/>
        </row>
        <row r="16789">
          <cell r="A16789"/>
          <cell r="B16789"/>
          <cell r="C16789"/>
          <cell r="D16789"/>
          <cell r="E16789"/>
        </row>
        <row r="16790">
          <cell r="A16790"/>
          <cell r="B16790"/>
          <cell r="C16790"/>
          <cell r="D16790"/>
          <cell r="E16790"/>
        </row>
        <row r="16791">
          <cell r="A16791"/>
          <cell r="B16791"/>
          <cell r="C16791"/>
          <cell r="D16791"/>
          <cell r="E16791"/>
        </row>
        <row r="16792">
          <cell r="A16792"/>
          <cell r="B16792"/>
          <cell r="C16792"/>
          <cell r="D16792"/>
          <cell r="E16792"/>
        </row>
        <row r="16793">
          <cell r="A16793"/>
          <cell r="B16793"/>
          <cell r="C16793"/>
          <cell r="D16793"/>
          <cell r="E16793"/>
        </row>
        <row r="16794">
          <cell r="A16794"/>
          <cell r="B16794"/>
          <cell r="C16794"/>
          <cell r="D16794"/>
          <cell r="E16794"/>
        </row>
        <row r="16795">
          <cell r="A16795"/>
          <cell r="B16795"/>
          <cell r="C16795"/>
          <cell r="D16795"/>
          <cell r="E16795"/>
        </row>
        <row r="16796">
          <cell r="A16796"/>
          <cell r="B16796"/>
          <cell r="C16796"/>
          <cell r="D16796"/>
          <cell r="E16796"/>
        </row>
        <row r="16797">
          <cell r="A16797"/>
          <cell r="B16797"/>
          <cell r="C16797"/>
          <cell r="D16797"/>
          <cell r="E16797"/>
        </row>
        <row r="16798">
          <cell r="A16798"/>
          <cell r="B16798"/>
          <cell r="C16798"/>
          <cell r="D16798"/>
          <cell r="E16798"/>
        </row>
        <row r="16799">
          <cell r="A16799"/>
          <cell r="B16799"/>
          <cell r="C16799"/>
          <cell r="D16799"/>
          <cell r="E16799"/>
        </row>
        <row r="16800">
          <cell r="A16800"/>
          <cell r="B16800"/>
          <cell r="C16800"/>
          <cell r="D16800"/>
          <cell r="E16800"/>
        </row>
        <row r="16801">
          <cell r="A16801"/>
          <cell r="B16801"/>
          <cell r="C16801"/>
          <cell r="D16801"/>
          <cell r="E16801"/>
        </row>
        <row r="16802">
          <cell r="A16802"/>
          <cell r="B16802"/>
          <cell r="C16802"/>
          <cell r="D16802"/>
          <cell r="E16802"/>
        </row>
        <row r="16803">
          <cell r="A16803"/>
          <cell r="B16803"/>
          <cell r="C16803"/>
          <cell r="D16803"/>
          <cell r="E16803"/>
        </row>
        <row r="16804">
          <cell r="A16804"/>
          <cell r="B16804"/>
          <cell r="C16804"/>
          <cell r="D16804"/>
          <cell r="E16804"/>
        </row>
        <row r="16805">
          <cell r="A16805"/>
          <cell r="B16805"/>
          <cell r="C16805"/>
          <cell r="D16805"/>
          <cell r="E16805"/>
        </row>
        <row r="16806">
          <cell r="A16806"/>
          <cell r="B16806"/>
          <cell r="C16806"/>
          <cell r="D16806"/>
          <cell r="E16806"/>
        </row>
        <row r="16807">
          <cell r="A16807"/>
          <cell r="B16807"/>
          <cell r="C16807"/>
          <cell r="D16807"/>
          <cell r="E16807"/>
        </row>
        <row r="16808">
          <cell r="A16808"/>
          <cell r="B16808"/>
          <cell r="C16808"/>
          <cell r="D16808"/>
          <cell r="E16808"/>
        </row>
        <row r="16809">
          <cell r="A16809"/>
          <cell r="B16809"/>
          <cell r="C16809"/>
          <cell r="D16809"/>
          <cell r="E16809"/>
        </row>
        <row r="16810">
          <cell r="A16810"/>
          <cell r="B16810"/>
          <cell r="C16810"/>
          <cell r="D16810"/>
          <cell r="E16810"/>
        </row>
        <row r="16811">
          <cell r="A16811"/>
          <cell r="B16811"/>
          <cell r="C16811"/>
          <cell r="D16811"/>
          <cell r="E16811"/>
        </row>
        <row r="16812">
          <cell r="A16812"/>
          <cell r="B16812"/>
          <cell r="C16812"/>
          <cell r="D16812"/>
          <cell r="E16812"/>
        </row>
        <row r="16813">
          <cell r="A16813"/>
          <cell r="B16813"/>
          <cell r="C16813"/>
          <cell r="D16813"/>
          <cell r="E16813"/>
        </row>
        <row r="16814">
          <cell r="A16814"/>
          <cell r="B16814"/>
          <cell r="C16814"/>
          <cell r="D16814"/>
          <cell r="E16814"/>
        </row>
        <row r="16815">
          <cell r="A16815"/>
          <cell r="B16815"/>
          <cell r="C16815"/>
          <cell r="D16815"/>
          <cell r="E16815"/>
        </row>
        <row r="16816">
          <cell r="A16816"/>
          <cell r="B16816"/>
          <cell r="C16816"/>
          <cell r="D16816"/>
          <cell r="E16816"/>
        </row>
        <row r="16817">
          <cell r="A16817"/>
          <cell r="B16817"/>
          <cell r="C16817"/>
          <cell r="D16817"/>
          <cell r="E16817"/>
        </row>
        <row r="16818">
          <cell r="A16818"/>
          <cell r="B16818"/>
          <cell r="C16818"/>
          <cell r="D16818"/>
          <cell r="E16818"/>
        </row>
        <row r="16819">
          <cell r="A16819"/>
          <cell r="B16819"/>
          <cell r="C16819"/>
          <cell r="D16819"/>
          <cell r="E16819"/>
        </row>
        <row r="16820">
          <cell r="A16820"/>
          <cell r="B16820"/>
          <cell r="C16820"/>
          <cell r="D16820"/>
          <cell r="E16820"/>
        </row>
        <row r="16821">
          <cell r="A16821"/>
          <cell r="B16821"/>
          <cell r="C16821"/>
          <cell r="D16821"/>
          <cell r="E16821"/>
        </row>
        <row r="16822">
          <cell r="A16822"/>
          <cell r="B16822"/>
          <cell r="C16822"/>
          <cell r="D16822"/>
          <cell r="E16822"/>
        </row>
        <row r="16823">
          <cell r="A16823"/>
          <cell r="B16823"/>
          <cell r="C16823"/>
          <cell r="D16823"/>
          <cell r="E16823"/>
        </row>
        <row r="16824">
          <cell r="A16824"/>
          <cell r="B16824"/>
          <cell r="C16824"/>
          <cell r="D16824"/>
          <cell r="E16824"/>
        </row>
        <row r="16825">
          <cell r="A16825"/>
          <cell r="B16825"/>
          <cell r="C16825"/>
          <cell r="D16825"/>
          <cell r="E16825"/>
        </row>
        <row r="16826">
          <cell r="A16826"/>
          <cell r="B16826"/>
          <cell r="C16826"/>
          <cell r="D16826"/>
          <cell r="E16826"/>
        </row>
        <row r="16827">
          <cell r="A16827"/>
          <cell r="B16827"/>
          <cell r="C16827"/>
          <cell r="D16827"/>
          <cell r="E16827"/>
        </row>
        <row r="16828">
          <cell r="A16828"/>
          <cell r="B16828"/>
          <cell r="C16828"/>
          <cell r="D16828"/>
          <cell r="E16828"/>
        </row>
        <row r="16829">
          <cell r="A16829"/>
          <cell r="B16829"/>
          <cell r="C16829"/>
          <cell r="D16829"/>
          <cell r="E16829"/>
        </row>
        <row r="16830">
          <cell r="A16830"/>
          <cell r="B16830"/>
          <cell r="C16830"/>
          <cell r="D16830"/>
          <cell r="E16830"/>
        </row>
        <row r="16831">
          <cell r="A16831"/>
          <cell r="B16831"/>
          <cell r="C16831"/>
          <cell r="D16831"/>
          <cell r="E16831"/>
        </row>
        <row r="16832">
          <cell r="A16832"/>
          <cell r="B16832"/>
          <cell r="C16832"/>
          <cell r="D16832"/>
          <cell r="E16832"/>
        </row>
        <row r="16833">
          <cell r="A16833"/>
          <cell r="B16833"/>
          <cell r="C16833"/>
          <cell r="D16833"/>
          <cell r="E16833"/>
        </row>
        <row r="16834">
          <cell r="A16834"/>
          <cell r="B16834"/>
          <cell r="C16834"/>
          <cell r="D16834"/>
          <cell r="E16834"/>
        </row>
        <row r="16835">
          <cell r="A16835"/>
          <cell r="B16835"/>
          <cell r="C16835"/>
          <cell r="D16835"/>
          <cell r="E16835"/>
        </row>
        <row r="16836">
          <cell r="A16836"/>
          <cell r="B16836"/>
          <cell r="C16836"/>
          <cell r="D16836"/>
          <cell r="E16836"/>
        </row>
        <row r="16837">
          <cell r="A16837"/>
          <cell r="B16837"/>
          <cell r="C16837"/>
          <cell r="D16837"/>
          <cell r="E16837"/>
        </row>
        <row r="16838">
          <cell r="A16838"/>
          <cell r="B16838"/>
          <cell r="C16838"/>
          <cell r="D16838"/>
          <cell r="E16838"/>
        </row>
        <row r="16839">
          <cell r="A16839"/>
          <cell r="B16839"/>
          <cell r="C16839"/>
          <cell r="D16839"/>
          <cell r="E16839"/>
        </row>
        <row r="16840">
          <cell r="A16840"/>
          <cell r="B16840"/>
          <cell r="C16840"/>
          <cell r="D16840"/>
          <cell r="E16840"/>
        </row>
        <row r="16841">
          <cell r="A16841"/>
          <cell r="B16841"/>
          <cell r="C16841"/>
          <cell r="D16841"/>
          <cell r="E16841"/>
        </row>
        <row r="16842">
          <cell r="A16842"/>
          <cell r="B16842"/>
          <cell r="C16842"/>
          <cell r="D16842"/>
          <cell r="E16842"/>
        </row>
        <row r="16843">
          <cell r="A16843"/>
          <cell r="B16843"/>
          <cell r="C16843"/>
          <cell r="D16843"/>
          <cell r="E16843"/>
        </row>
        <row r="16844">
          <cell r="A16844"/>
          <cell r="B16844"/>
          <cell r="C16844"/>
          <cell r="D16844"/>
          <cell r="E16844"/>
        </row>
        <row r="16845">
          <cell r="A16845"/>
          <cell r="B16845"/>
          <cell r="C16845"/>
          <cell r="D16845"/>
          <cell r="E16845"/>
        </row>
        <row r="16846">
          <cell r="A16846"/>
          <cell r="B16846"/>
          <cell r="C16846"/>
          <cell r="D16846"/>
          <cell r="E16846"/>
        </row>
        <row r="16847">
          <cell r="A16847"/>
          <cell r="B16847"/>
          <cell r="C16847"/>
          <cell r="D16847"/>
          <cell r="E16847"/>
        </row>
        <row r="16848">
          <cell r="A16848"/>
          <cell r="B16848"/>
          <cell r="C16848"/>
          <cell r="D16848"/>
          <cell r="E16848"/>
        </row>
        <row r="16849">
          <cell r="A16849"/>
          <cell r="B16849"/>
          <cell r="C16849"/>
          <cell r="D16849"/>
          <cell r="E16849"/>
        </row>
        <row r="16850">
          <cell r="A16850"/>
          <cell r="B16850"/>
          <cell r="C16850"/>
          <cell r="D16850"/>
          <cell r="E16850"/>
        </row>
        <row r="16851">
          <cell r="A16851"/>
          <cell r="B16851"/>
          <cell r="C16851"/>
          <cell r="D16851"/>
          <cell r="E16851"/>
        </row>
        <row r="16852">
          <cell r="A16852"/>
          <cell r="B16852"/>
          <cell r="C16852"/>
          <cell r="D16852"/>
          <cell r="E16852"/>
        </row>
        <row r="16853">
          <cell r="A16853"/>
          <cell r="B16853"/>
          <cell r="C16853"/>
          <cell r="D16853"/>
          <cell r="E16853"/>
        </row>
        <row r="16854">
          <cell r="A16854"/>
          <cell r="B16854"/>
          <cell r="C16854"/>
          <cell r="D16854"/>
          <cell r="E16854"/>
        </row>
        <row r="16855">
          <cell r="A16855"/>
          <cell r="B16855"/>
          <cell r="C16855"/>
          <cell r="D16855"/>
          <cell r="E16855"/>
        </row>
        <row r="16856">
          <cell r="A16856"/>
          <cell r="B16856"/>
          <cell r="C16856"/>
          <cell r="D16856"/>
          <cell r="E16856"/>
        </row>
        <row r="16857">
          <cell r="A16857"/>
          <cell r="B16857"/>
          <cell r="C16857"/>
          <cell r="D16857"/>
          <cell r="E16857"/>
        </row>
        <row r="16858">
          <cell r="A16858"/>
          <cell r="B16858"/>
          <cell r="C16858"/>
          <cell r="D16858"/>
          <cell r="E16858"/>
        </row>
        <row r="16859">
          <cell r="A16859"/>
          <cell r="B16859"/>
          <cell r="C16859"/>
          <cell r="D16859"/>
          <cell r="E16859"/>
        </row>
        <row r="16860">
          <cell r="A16860"/>
          <cell r="B16860"/>
          <cell r="C16860"/>
          <cell r="D16860"/>
          <cell r="E16860"/>
        </row>
        <row r="16861">
          <cell r="A16861"/>
          <cell r="B16861"/>
          <cell r="C16861"/>
          <cell r="D16861"/>
          <cell r="E16861"/>
        </row>
        <row r="16862">
          <cell r="A16862"/>
          <cell r="B16862"/>
          <cell r="C16862"/>
          <cell r="D16862"/>
          <cell r="E16862"/>
        </row>
        <row r="16863">
          <cell r="A16863"/>
          <cell r="B16863"/>
          <cell r="C16863"/>
          <cell r="D16863"/>
          <cell r="E16863"/>
        </row>
        <row r="16864">
          <cell r="A16864"/>
          <cell r="B16864"/>
          <cell r="C16864"/>
          <cell r="D16864"/>
          <cell r="E16864"/>
        </row>
        <row r="16865">
          <cell r="A16865"/>
          <cell r="B16865"/>
          <cell r="C16865"/>
          <cell r="D16865"/>
          <cell r="E16865"/>
        </row>
        <row r="16866">
          <cell r="A16866"/>
          <cell r="B16866"/>
          <cell r="C16866"/>
          <cell r="D16866"/>
          <cell r="E16866"/>
        </row>
        <row r="16867">
          <cell r="A16867"/>
          <cell r="B16867"/>
          <cell r="C16867"/>
          <cell r="D16867"/>
          <cell r="E16867"/>
        </row>
        <row r="16868">
          <cell r="A16868"/>
          <cell r="B16868"/>
          <cell r="C16868"/>
          <cell r="D16868"/>
          <cell r="E16868"/>
        </row>
        <row r="16869">
          <cell r="A16869"/>
          <cell r="B16869"/>
          <cell r="C16869"/>
          <cell r="D16869"/>
          <cell r="E16869"/>
        </row>
        <row r="16870">
          <cell r="A16870"/>
          <cell r="B16870"/>
          <cell r="C16870"/>
          <cell r="D16870"/>
          <cell r="E16870"/>
        </row>
        <row r="16871">
          <cell r="A16871"/>
          <cell r="B16871"/>
          <cell r="C16871"/>
          <cell r="D16871"/>
          <cell r="E16871"/>
        </row>
        <row r="16872">
          <cell r="A16872"/>
          <cell r="B16872"/>
          <cell r="C16872"/>
          <cell r="D16872"/>
          <cell r="E16872"/>
        </row>
        <row r="16873">
          <cell r="A16873"/>
          <cell r="B16873"/>
          <cell r="C16873"/>
          <cell r="D16873"/>
          <cell r="E16873"/>
        </row>
        <row r="16874">
          <cell r="A16874"/>
          <cell r="B16874"/>
          <cell r="C16874"/>
          <cell r="D16874"/>
          <cell r="E16874"/>
        </row>
        <row r="16875">
          <cell r="A16875"/>
          <cell r="B16875"/>
          <cell r="C16875"/>
          <cell r="D16875"/>
          <cell r="E16875"/>
        </row>
        <row r="16876">
          <cell r="A16876"/>
          <cell r="B16876"/>
          <cell r="C16876"/>
          <cell r="D16876"/>
          <cell r="E16876"/>
        </row>
        <row r="16877">
          <cell r="A16877"/>
          <cell r="B16877"/>
          <cell r="C16877"/>
          <cell r="D16877"/>
          <cell r="E16877"/>
        </row>
        <row r="16878">
          <cell r="A16878"/>
          <cell r="B16878"/>
          <cell r="C16878"/>
          <cell r="D16878"/>
          <cell r="E16878"/>
        </row>
        <row r="16879">
          <cell r="A16879"/>
          <cell r="B16879"/>
          <cell r="C16879"/>
          <cell r="D16879"/>
          <cell r="E16879"/>
        </row>
        <row r="16880">
          <cell r="A16880"/>
          <cell r="B16880"/>
          <cell r="C16880"/>
          <cell r="D16880"/>
          <cell r="E16880"/>
        </row>
        <row r="16881">
          <cell r="A16881"/>
          <cell r="B16881"/>
          <cell r="C16881"/>
          <cell r="D16881"/>
          <cell r="E16881"/>
        </row>
        <row r="16882">
          <cell r="A16882"/>
          <cell r="B16882"/>
          <cell r="C16882"/>
          <cell r="D16882"/>
          <cell r="E16882"/>
        </row>
        <row r="16883">
          <cell r="A16883"/>
          <cell r="B16883"/>
          <cell r="C16883"/>
          <cell r="D16883"/>
          <cell r="E16883"/>
        </row>
        <row r="16884">
          <cell r="A16884"/>
          <cell r="B16884"/>
          <cell r="C16884"/>
          <cell r="D16884"/>
          <cell r="E16884"/>
        </row>
        <row r="16885">
          <cell r="A16885"/>
          <cell r="B16885"/>
          <cell r="C16885"/>
          <cell r="D16885"/>
          <cell r="E16885"/>
        </row>
        <row r="16886">
          <cell r="A16886"/>
          <cell r="B16886"/>
          <cell r="C16886"/>
          <cell r="D16886"/>
          <cell r="E16886"/>
        </row>
        <row r="16887">
          <cell r="A16887"/>
          <cell r="B16887"/>
          <cell r="C16887"/>
          <cell r="D16887"/>
          <cell r="E16887"/>
        </row>
        <row r="16888">
          <cell r="A16888"/>
          <cell r="B16888"/>
          <cell r="C16888"/>
          <cell r="D16888"/>
          <cell r="E16888"/>
        </row>
        <row r="16889">
          <cell r="A16889"/>
          <cell r="B16889"/>
          <cell r="C16889"/>
          <cell r="D16889"/>
          <cell r="E16889"/>
        </row>
        <row r="16890">
          <cell r="A16890"/>
          <cell r="B16890"/>
          <cell r="C16890"/>
          <cell r="D16890"/>
          <cell r="E16890"/>
        </row>
        <row r="16891">
          <cell r="A16891"/>
          <cell r="B16891"/>
          <cell r="C16891"/>
          <cell r="D16891"/>
          <cell r="E16891"/>
        </row>
        <row r="16892">
          <cell r="A16892"/>
          <cell r="B16892"/>
          <cell r="C16892"/>
          <cell r="D16892"/>
          <cell r="E16892"/>
        </row>
        <row r="16893">
          <cell r="A16893"/>
          <cell r="B16893"/>
          <cell r="C16893"/>
          <cell r="D16893"/>
          <cell r="E16893"/>
        </row>
        <row r="16894">
          <cell r="A16894"/>
          <cell r="B16894"/>
          <cell r="C16894"/>
          <cell r="D16894"/>
          <cell r="E16894"/>
        </row>
        <row r="16895">
          <cell r="A16895"/>
          <cell r="B16895"/>
          <cell r="C16895"/>
          <cell r="D16895"/>
          <cell r="E16895"/>
        </row>
        <row r="16896">
          <cell r="A16896"/>
          <cell r="B16896"/>
          <cell r="C16896"/>
          <cell r="D16896"/>
          <cell r="E16896"/>
        </row>
        <row r="16897">
          <cell r="A16897"/>
          <cell r="B16897"/>
          <cell r="C16897"/>
          <cell r="D16897"/>
          <cell r="E16897"/>
        </row>
        <row r="16898">
          <cell r="A16898"/>
          <cell r="B16898"/>
          <cell r="C16898"/>
          <cell r="D16898"/>
          <cell r="E16898"/>
        </row>
        <row r="16899">
          <cell r="A16899"/>
          <cell r="B16899"/>
          <cell r="C16899"/>
          <cell r="D16899"/>
          <cell r="E16899"/>
        </row>
        <row r="16900">
          <cell r="A16900"/>
          <cell r="B16900"/>
          <cell r="C16900"/>
          <cell r="D16900"/>
          <cell r="E16900"/>
        </row>
        <row r="16901">
          <cell r="A16901"/>
          <cell r="B16901"/>
          <cell r="C16901"/>
          <cell r="D16901"/>
          <cell r="E16901"/>
        </row>
        <row r="16902">
          <cell r="A16902"/>
          <cell r="B16902"/>
          <cell r="C16902"/>
          <cell r="D16902"/>
          <cell r="E16902"/>
        </row>
        <row r="16903">
          <cell r="A16903"/>
          <cell r="B16903"/>
          <cell r="C16903"/>
          <cell r="D16903"/>
          <cell r="E16903"/>
        </row>
        <row r="16904">
          <cell r="A16904"/>
          <cell r="B16904"/>
          <cell r="C16904"/>
          <cell r="D16904"/>
          <cell r="E16904"/>
        </row>
        <row r="16905">
          <cell r="A16905"/>
          <cell r="B16905"/>
          <cell r="C16905"/>
          <cell r="D16905"/>
          <cell r="E16905"/>
        </row>
        <row r="16906">
          <cell r="A16906"/>
          <cell r="B16906"/>
          <cell r="C16906"/>
          <cell r="D16906"/>
          <cell r="E16906"/>
        </row>
        <row r="16907">
          <cell r="A16907"/>
          <cell r="B16907"/>
          <cell r="C16907"/>
          <cell r="D16907"/>
          <cell r="E16907"/>
        </row>
        <row r="16908">
          <cell r="A16908"/>
          <cell r="B16908"/>
          <cell r="C16908"/>
          <cell r="D16908"/>
          <cell r="E16908"/>
        </row>
        <row r="16909">
          <cell r="A16909"/>
          <cell r="B16909"/>
          <cell r="C16909"/>
          <cell r="D16909"/>
          <cell r="E16909"/>
        </row>
        <row r="16910">
          <cell r="A16910"/>
          <cell r="B16910"/>
          <cell r="C16910"/>
          <cell r="D16910"/>
          <cell r="E16910"/>
        </row>
        <row r="16911">
          <cell r="A16911"/>
          <cell r="B16911"/>
          <cell r="C16911"/>
          <cell r="D16911"/>
          <cell r="E16911"/>
        </row>
        <row r="16912">
          <cell r="A16912"/>
          <cell r="B16912"/>
          <cell r="C16912"/>
          <cell r="D16912"/>
          <cell r="E16912"/>
        </row>
        <row r="16913">
          <cell r="A16913"/>
          <cell r="B16913"/>
          <cell r="C16913"/>
          <cell r="D16913"/>
          <cell r="E16913"/>
        </row>
        <row r="16914">
          <cell r="A16914"/>
          <cell r="B16914"/>
          <cell r="C16914"/>
          <cell r="D16914"/>
          <cell r="E16914"/>
        </row>
        <row r="16915">
          <cell r="A16915"/>
          <cell r="B16915"/>
          <cell r="C16915"/>
          <cell r="D16915"/>
          <cell r="E16915"/>
        </row>
        <row r="16916">
          <cell r="A16916"/>
          <cell r="B16916"/>
          <cell r="C16916"/>
          <cell r="D16916"/>
          <cell r="E16916"/>
        </row>
        <row r="16917">
          <cell r="A16917"/>
          <cell r="B16917"/>
          <cell r="C16917"/>
          <cell r="D16917"/>
          <cell r="E16917"/>
        </row>
        <row r="16918">
          <cell r="A16918"/>
          <cell r="B16918"/>
          <cell r="C16918"/>
          <cell r="D16918"/>
          <cell r="E16918"/>
        </row>
        <row r="16919">
          <cell r="A16919"/>
          <cell r="B16919"/>
          <cell r="C16919"/>
          <cell r="D16919"/>
          <cell r="E16919"/>
        </row>
        <row r="16920">
          <cell r="A16920"/>
          <cell r="B16920"/>
          <cell r="C16920"/>
          <cell r="D16920"/>
          <cell r="E16920"/>
        </row>
        <row r="16921">
          <cell r="A16921"/>
          <cell r="B16921"/>
          <cell r="C16921"/>
          <cell r="D16921"/>
          <cell r="E16921"/>
        </row>
        <row r="16922">
          <cell r="A16922"/>
          <cell r="B16922"/>
          <cell r="C16922"/>
          <cell r="D16922"/>
          <cell r="E16922"/>
        </row>
        <row r="16923">
          <cell r="A16923"/>
          <cell r="B16923"/>
          <cell r="C16923"/>
          <cell r="D16923"/>
          <cell r="E16923"/>
        </row>
        <row r="16924">
          <cell r="A16924"/>
          <cell r="B16924"/>
          <cell r="C16924"/>
          <cell r="D16924"/>
          <cell r="E16924"/>
        </row>
        <row r="16925">
          <cell r="A16925"/>
          <cell r="B16925"/>
          <cell r="C16925"/>
          <cell r="D16925"/>
          <cell r="E16925"/>
        </row>
        <row r="16926">
          <cell r="A16926"/>
          <cell r="B16926"/>
          <cell r="C16926"/>
          <cell r="D16926"/>
          <cell r="E16926"/>
        </row>
        <row r="16927">
          <cell r="A16927"/>
          <cell r="B16927"/>
          <cell r="C16927"/>
          <cell r="D16927"/>
          <cell r="E16927"/>
        </row>
        <row r="16928">
          <cell r="A16928"/>
          <cell r="B16928"/>
          <cell r="C16928"/>
          <cell r="D16928"/>
          <cell r="E16928"/>
        </row>
        <row r="16929">
          <cell r="A16929"/>
          <cell r="B16929"/>
          <cell r="C16929"/>
          <cell r="D16929"/>
          <cell r="E16929"/>
        </row>
        <row r="16930">
          <cell r="A16930"/>
          <cell r="B16930"/>
          <cell r="C16930"/>
          <cell r="D16930"/>
          <cell r="E16930"/>
        </row>
        <row r="16931">
          <cell r="A16931"/>
          <cell r="B16931"/>
          <cell r="C16931"/>
          <cell r="D16931"/>
          <cell r="E16931"/>
        </row>
        <row r="16932">
          <cell r="A16932"/>
          <cell r="B16932"/>
          <cell r="C16932"/>
          <cell r="D16932"/>
          <cell r="E16932"/>
        </row>
        <row r="16933">
          <cell r="A16933"/>
          <cell r="B16933"/>
          <cell r="C16933"/>
          <cell r="D16933"/>
          <cell r="E16933"/>
        </row>
        <row r="16934">
          <cell r="A16934"/>
          <cell r="B16934"/>
          <cell r="C16934"/>
          <cell r="D16934"/>
          <cell r="E16934"/>
        </row>
        <row r="16935">
          <cell r="A16935"/>
          <cell r="B16935"/>
          <cell r="C16935"/>
          <cell r="D16935"/>
          <cell r="E16935"/>
        </row>
        <row r="16936">
          <cell r="A16936"/>
          <cell r="B16936"/>
          <cell r="C16936"/>
          <cell r="D16936"/>
          <cell r="E16936"/>
        </row>
        <row r="16937">
          <cell r="A16937"/>
          <cell r="B16937"/>
          <cell r="C16937"/>
          <cell r="D16937"/>
          <cell r="E16937"/>
        </row>
        <row r="16938">
          <cell r="A16938"/>
          <cell r="B16938"/>
          <cell r="C16938"/>
          <cell r="D16938"/>
          <cell r="E16938"/>
        </row>
        <row r="16939">
          <cell r="A16939"/>
          <cell r="B16939"/>
          <cell r="C16939"/>
          <cell r="D16939"/>
          <cell r="E16939"/>
        </row>
        <row r="16940">
          <cell r="A16940"/>
          <cell r="B16940"/>
          <cell r="C16940"/>
          <cell r="D16940"/>
          <cell r="E16940"/>
        </row>
        <row r="16941">
          <cell r="A16941"/>
          <cell r="B16941"/>
          <cell r="C16941"/>
          <cell r="D16941"/>
          <cell r="E16941"/>
        </row>
        <row r="16942">
          <cell r="A16942"/>
          <cell r="B16942"/>
          <cell r="C16942"/>
          <cell r="D16942"/>
          <cell r="E16942"/>
        </row>
        <row r="16943">
          <cell r="A16943"/>
          <cell r="B16943"/>
          <cell r="C16943"/>
          <cell r="D16943"/>
          <cell r="E16943"/>
        </row>
        <row r="16944">
          <cell r="A16944"/>
          <cell r="B16944"/>
          <cell r="C16944"/>
          <cell r="D16944"/>
          <cell r="E16944"/>
        </row>
        <row r="16945">
          <cell r="A16945"/>
          <cell r="B16945"/>
          <cell r="C16945"/>
          <cell r="D16945"/>
          <cell r="E16945"/>
        </row>
        <row r="16946">
          <cell r="A16946"/>
          <cell r="B16946"/>
          <cell r="C16946"/>
          <cell r="D16946"/>
          <cell r="E16946"/>
        </row>
        <row r="16947">
          <cell r="A16947"/>
          <cell r="B16947"/>
          <cell r="C16947"/>
          <cell r="D16947"/>
          <cell r="E16947"/>
        </row>
        <row r="16948">
          <cell r="A16948"/>
          <cell r="B16948"/>
          <cell r="C16948"/>
          <cell r="D16948"/>
          <cell r="E16948"/>
        </row>
        <row r="16949">
          <cell r="A16949"/>
          <cell r="B16949"/>
          <cell r="C16949"/>
          <cell r="D16949"/>
          <cell r="E16949"/>
        </row>
        <row r="16950">
          <cell r="A16950"/>
          <cell r="B16950"/>
          <cell r="C16950"/>
          <cell r="D16950"/>
          <cell r="E16950"/>
        </row>
        <row r="16951">
          <cell r="A16951"/>
          <cell r="B16951"/>
          <cell r="C16951"/>
          <cell r="D16951"/>
          <cell r="E16951"/>
        </row>
        <row r="16952">
          <cell r="A16952"/>
          <cell r="B16952"/>
          <cell r="C16952"/>
          <cell r="D16952"/>
          <cell r="E16952"/>
        </row>
        <row r="16953">
          <cell r="A16953"/>
          <cell r="B16953"/>
          <cell r="C16953"/>
          <cell r="D16953"/>
          <cell r="E16953"/>
        </row>
        <row r="16954">
          <cell r="A16954"/>
          <cell r="B16954"/>
          <cell r="C16954"/>
          <cell r="D16954"/>
          <cell r="E16954"/>
        </row>
        <row r="16955">
          <cell r="A16955"/>
          <cell r="B16955"/>
          <cell r="C16955"/>
          <cell r="D16955"/>
          <cell r="E16955"/>
        </row>
        <row r="16956">
          <cell r="A16956"/>
          <cell r="B16956"/>
          <cell r="C16956"/>
          <cell r="D16956"/>
          <cell r="E16956"/>
        </row>
        <row r="16957">
          <cell r="A16957"/>
          <cell r="B16957"/>
          <cell r="C16957"/>
          <cell r="D16957"/>
          <cell r="E16957"/>
        </row>
        <row r="16958">
          <cell r="A16958"/>
          <cell r="B16958"/>
          <cell r="C16958"/>
          <cell r="D16958"/>
          <cell r="E16958"/>
        </row>
        <row r="16959">
          <cell r="A16959"/>
          <cell r="B16959"/>
          <cell r="C16959"/>
          <cell r="D16959"/>
          <cell r="E16959"/>
        </row>
        <row r="16960">
          <cell r="A16960"/>
          <cell r="B16960"/>
          <cell r="C16960"/>
          <cell r="D16960"/>
          <cell r="E16960"/>
        </row>
        <row r="16961">
          <cell r="A16961"/>
          <cell r="B16961"/>
          <cell r="C16961"/>
          <cell r="D16961"/>
          <cell r="E16961"/>
        </row>
        <row r="16962">
          <cell r="A16962"/>
          <cell r="B16962"/>
          <cell r="C16962"/>
          <cell r="D16962"/>
          <cell r="E16962"/>
        </row>
        <row r="16963">
          <cell r="A16963"/>
          <cell r="B16963"/>
          <cell r="C16963"/>
          <cell r="D16963"/>
          <cell r="E16963"/>
        </row>
        <row r="16964">
          <cell r="A16964"/>
          <cell r="B16964"/>
          <cell r="C16964"/>
          <cell r="D16964"/>
          <cell r="E16964"/>
        </row>
        <row r="16965">
          <cell r="A16965"/>
          <cell r="B16965"/>
          <cell r="C16965"/>
          <cell r="D16965"/>
          <cell r="E16965"/>
        </row>
        <row r="16966">
          <cell r="A16966"/>
          <cell r="B16966"/>
          <cell r="C16966"/>
          <cell r="D16966"/>
          <cell r="E16966"/>
        </row>
        <row r="16967">
          <cell r="A16967"/>
          <cell r="B16967"/>
          <cell r="C16967"/>
          <cell r="D16967"/>
          <cell r="E16967"/>
        </row>
        <row r="16968">
          <cell r="A16968"/>
          <cell r="B16968"/>
          <cell r="C16968"/>
          <cell r="D16968"/>
          <cell r="E16968"/>
        </row>
        <row r="16969">
          <cell r="A16969"/>
          <cell r="B16969"/>
          <cell r="C16969"/>
          <cell r="D16969"/>
          <cell r="E16969"/>
        </row>
        <row r="16970">
          <cell r="A16970"/>
          <cell r="B16970"/>
          <cell r="C16970"/>
          <cell r="D16970"/>
          <cell r="E16970"/>
        </row>
        <row r="16971">
          <cell r="A16971"/>
          <cell r="B16971"/>
          <cell r="C16971"/>
          <cell r="D16971"/>
          <cell r="E16971"/>
        </row>
        <row r="16972">
          <cell r="A16972"/>
          <cell r="B16972"/>
          <cell r="C16972"/>
          <cell r="D16972"/>
          <cell r="E16972"/>
        </row>
        <row r="16973">
          <cell r="A16973"/>
          <cell r="B16973"/>
          <cell r="C16973"/>
          <cell r="D16973"/>
          <cell r="E16973"/>
        </row>
        <row r="16974">
          <cell r="A16974"/>
          <cell r="B16974"/>
          <cell r="C16974"/>
          <cell r="D16974"/>
          <cell r="E16974"/>
        </row>
        <row r="16975">
          <cell r="A16975"/>
          <cell r="B16975"/>
          <cell r="C16975"/>
          <cell r="D16975"/>
          <cell r="E16975"/>
        </row>
        <row r="16976">
          <cell r="A16976"/>
          <cell r="B16976"/>
          <cell r="C16976"/>
          <cell r="D16976"/>
          <cell r="E16976"/>
        </row>
        <row r="16977">
          <cell r="A16977"/>
          <cell r="B16977"/>
          <cell r="C16977"/>
          <cell r="D16977"/>
          <cell r="E16977"/>
        </row>
        <row r="16978">
          <cell r="A16978"/>
          <cell r="B16978"/>
          <cell r="C16978"/>
          <cell r="D16978"/>
          <cell r="E16978"/>
        </row>
        <row r="16979">
          <cell r="A16979"/>
          <cell r="B16979"/>
          <cell r="C16979"/>
          <cell r="D16979"/>
          <cell r="E16979"/>
        </row>
        <row r="16980">
          <cell r="A16980"/>
          <cell r="B16980"/>
          <cell r="C16980"/>
          <cell r="D16980"/>
          <cell r="E16980"/>
        </row>
        <row r="16981">
          <cell r="A16981"/>
          <cell r="B16981"/>
          <cell r="C16981"/>
          <cell r="D16981"/>
          <cell r="E16981"/>
        </row>
        <row r="16982">
          <cell r="A16982"/>
          <cell r="B16982"/>
          <cell r="C16982"/>
          <cell r="D16982"/>
          <cell r="E16982"/>
        </row>
        <row r="16983">
          <cell r="A16983"/>
          <cell r="B16983"/>
          <cell r="C16983"/>
          <cell r="D16983"/>
          <cell r="E16983"/>
        </row>
        <row r="16984">
          <cell r="A16984"/>
          <cell r="B16984"/>
          <cell r="C16984"/>
          <cell r="D16984"/>
          <cell r="E16984"/>
        </row>
        <row r="16985">
          <cell r="A16985"/>
          <cell r="B16985"/>
          <cell r="C16985"/>
          <cell r="D16985"/>
          <cell r="E16985"/>
        </row>
        <row r="16986">
          <cell r="A16986"/>
          <cell r="B16986"/>
          <cell r="C16986"/>
          <cell r="D16986"/>
          <cell r="E16986"/>
        </row>
        <row r="16987">
          <cell r="A16987"/>
          <cell r="B16987"/>
          <cell r="C16987"/>
          <cell r="D16987"/>
          <cell r="E16987"/>
        </row>
        <row r="16988">
          <cell r="A16988"/>
          <cell r="B16988"/>
          <cell r="C16988"/>
          <cell r="D16988"/>
          <cell r="E16988"/>
        </row>
        <row r="16989">
          <cell r="A16989"/>
          <cell r="B16989"/>
          <cell r="C16989"/>
          <cell r="D16989"/>
          <cell r="E16989"/>
        </row>
        <row r="16990">
          <cell r="A16990"/>
          <cell r="B16990"/>
          <cell r="C16990"/>
          <cell r="D16990"/>
          <cell r="E16990"/>
        </row>
        <row r="16991">
          <cell r="A16991"/>
          <cell r="B16991"/>
          <cell r="C16991"/>
          <cell r="D16991"/>
          <cell r="E16991"/>
        </row>
        <row r="16992">
          <cell r="A16992"/>
          <cell r="B16992"/>
          <cell r="C16992"/>
          <cell r="D16992"/>
          <cell r="E16992"/>
        </row>
        <row r="16993">
          <cell r="A16993"/>
          <cell r="B16993"/>
          <cell r="C16993"/>
          <cell r="D16993"/>
          <cell r="E16993"/>
        </row>
        <row r="16994">
          <cell r="A16994"/>
          <cell r="B16994"/>
          <cell r="C16994"/>
          <cell r="D16994"/>
          <cell r="E16994"/>
        </row>
        <row r="16995">
          <cell r="A16995"/>
          <cell r="B16995"/>
          <cell r="C16995"/>
          <cell r="D16995"/>
          <cell r="E16995"/>
        </row>
        <row r="16996">
          <cell r="A16996"/>
          <cell r="B16996"/>
          <cell r="C16996"/>
          <cell r="D16996"/>
          <cell r="E16996"/>
        </row>
        <row r="16997">
          <cell r="A16997"/>
          <cell r="B16997"/>
          <cell r="C16997"/>
          <cell r="D16997"/>
          <cell r="E16997"/>
        </row>
        <row r="16998">
          <cell r="A16998"/>
          <cell r="B16998"/>
          <cell r="C16998"/>
          <cell r="D16998"/>
          <cell r="E16998"/>
        </row>
        <row r="16999">
          <cell r="A16999"/>
          <cell r="B16999"/>
          <cell r="C16999"/>
          <cell r="D16999"/>
          <cell r="E16999"/>
        </row>
        <row r="17000">
          <cell r="A17000"/>
          <cell r="B17000"/>
          <cell r="C17000"/>
          <cell r="D17000"/>
          <cell r="E17000"/>
        </row>
        <row r="17001">
          <cell r="A17001"/>
          <cell r="B17001"/>
          <cell r="C17001"/>
          <cell r="D17001"/>
          <cell r="E17001"/>
        </row>
        <row r="17002">
          <cell r="A17002"/>
          <cell r="B17002"/>
          <cell r="C17002"/>
          <cell r="D17002"/>
          <cell r="E17002"/>
        </row>
        <row r="17003">
          <cell r="A17003"/>
          <cell r="B17003"/>
          <cell r="C17003"/>
          <cell r="D17003"/>
          <cell r="E17003"/>
        </row>
        <row r="17004">
          <cell r="A17004"/>
          <cell r="B17004"/>
          <cell r="C17004"/>
          <cell r="D17004"/>
          <cell r="E17004"/>
        </row>
        <row r="17005">
          <cell r="A17005"/>
          <cell r="B17005"/>
          <cell r="C17005"/>
          <cell r="D17005"/>
          <cell r="E17005"/>
        </row>
        <row r="17006">
          <cell r="A17006"/>
          <cell r="B17006"/>
          <cell r="C17006"/>
          <cell r="D17006"/>
          <cell r="E17006"/>
        </row>
        <row r="17007">
          <cell r="A17007"/>
          <cell r="B17007"/>
          <cell r="C17007"/>
          <cell r="D17007"/>
          <cell r="E17007"/>
        </row>
        <row r="17008">
          <cell r="A17008"/>
          <cell r="B17008"/>
          <cell r="C17008"/>
          <cell r="D17008"/>
          <cell r="E17008"/>
        </row>
        <row r="17009">
          <cell r="A17009"/>
          <cell r="B17009"/>
          <cell r="C17009"/>
          <cell r="D17009"/>
          <cell r="E17009"/>
        </row>
        <row r="17010">
          <cell r="A17010"/>
          <cell r="B17010"/>
          <cell r="C17010"/>
          <cell r="D17010"/>
          <cell r="E17010"/>
        </row>
        <row r="17011">
          <cell r="A17011"/>
          <cell r="B17011"/>
          <cell r="C17011"/>
          <cell r="D17011"/>
          <cell r="E17011"/>
        </row>
        <row r="17012">
          <cell r="A17012"/>
          <cell r="B17012"/>
          <cell r="C17012"/>
          <cell r="D17012"/>
          <cell r="E17012"/>
        </row>
        <row r="17013">
          <cell r="A17013"/>
          <cell r="B17013"/>
          <cell r="C17013"/>
          <cell r="D17013"/>
          <cell r="E17013"/>
        </row>
        <row r="17014">
          <cell r="A17014"/>
          <cell r="B17014"/>
          <cell r="C17014"/>
          <cell r="D17014"/>
          <cell r="E17014"/>
        </row>
        <row r="17015">
          <cell r="A17015"/>
          <cell r="B17015"/>
          <cell r="C17015"/>
          <cell r="D17015"/>
          <cell r="E17015"/>
        </row>
        <row r="17016">
          <cell r="A17016"/>
          <cell r="B17016"/>
          <cell r="C17016"/>
          <cell r="D17016"/>
          <cell r="E17016"/>
        </row>
        <row r="17017">
          <cell r="A17017"/>
          <cell r="B17017"/>
          <cell r="C17017"/>
          <cell r="D17017"/>
          <cell r="E17017"/>
        </row>
        <row r="17018">
          <cell r="A17018"/>
          <cell r="B17018"/>
          <cell r="C17018"/>
          <cell r="D17018"/>
          <cell r="E17018"/>
        </row>
        <row r="17019">
          <cell r="A17019"/>
          <cell r="B17019"/>
          <cell r="C17019"/>
          <cell r="D17019"/>
          <cell r="E17019"/>
        </row>
        <row r="17020">
          <cell r="A17020"/>
          <cell r="B17020"/>
          <cell r="C17020"/>
          <cell r="D17020"/>
          <cell r="E17020"/>
        </row>
        <row r="17021">
          <cell r="A17021"/>
          <cell r="B17021"/>
          <cell r="C17021"/>
          <cell r="D17021"/>
          <cell r="E17021"/>
        </row>
        <row r="17022">
          <cell r="A17022"/>
          <cell r="B17022"/>
          <cell r="C17022"/>
          <cell r="D17022"/>
          <cell r="E17022"/>
        </row>
        <row r="17023">
          <cell r="A17023"/>
          <cell r="B17023"/>
          <cell r="C17023"/>
          <cell r="D17023"/>
          <cell r="E17023"/>
        </row>
        <row r="17024">
          <cell r="A17024"/>
          <cell r="B17024"/>
          <cell r="C17024"/>
          <cell r="D17024"/>
          <cell r="E17024"/>
        </row>
        <row r="17025">
          <cell r="A17025"/>
          <cell r="B17025"/>
          <cell r="C17025"/>
          <cell r="D17025"/>
          <cell r="E17025"/>
        </row>
        <row r="17026">
          <cell r="A17026"/>
          <cell r="B17026"/>
          <cell r="C17026"/>
          <cell r="D17026"/>
          <cell r="E17026"/>
        </row>
        <row r="17027">
          <cell r="A17027"/>
          <cell r="B17027"/>
          <cell r="C17027"/>
          <cell r="D17027"/>
          <cell r="E17027"/>
        </row>
        <row r="17028">
          <cell r="A17028"/>
          <cell r="B17028"/>
          <cell r="C17028"/>
          <cell r="D17028"/>
          <cell r="E17028"/>
        </row>
        <row r="17029">
          <cell r="A17029"/>
          <cell r="B17029"/>
          <cell r="C17029"/>
          <cell r="D17029"/>
          <cell r="E17029"/>
        </row>
        <row r="17030">
          <cell r="A17030"/>
          <cell r="B17030"/>
          <cell r="C17030"/>
          <cell r="D17030"/>
          <cell r="E17030"/>
        </row>
        <row r="17031">
          <cell r="A17031"/>
          <cell r="B17031"/>
          <cell r="C17031"/>
          <cell r="D17031"/>
          <cell r="E17031"/>
        </row>
        <row r="17032">
          <cell r="A17032"/>
          <cell r="B17032"/>
          <cell r="C17032"/>
          <cell r="D17032"/>
          <cell r="E17032"/>
        </row>
        <row r="17033">
          <cell r="A17033"/>
          <cell r="B17033"/>
          <cell r="C17033"/>
          <cell r="D17033"/>
          <cell r="E17033"/>
        </row>
        <row r="17034">
          <cell r="A17034"/>
          <cell r="B17034"/>
          <cell r="C17034"/>
          <cell r="D17034"/>
          <cell r="E17034"/>
        </row>
        <row r="17035">
          <cell r="A17035"/>
          <cell r="B17035"/>
          <cell r="C17035"/>
          <cell r="D17035"/>
          <cell r="E17035"/>
        </row>
        <row r="17036">
          <cell r="A17036"/>
          <cell r="B17036"/>
          <cell r="C17036"/>
          <cell r="D17036"/>
          <cell r="E17036"/>
        </row>
        <row r="17037">
          <cell r="A17037"/>
          <cell r="B17037"/>
          <cell r="C17037"/>
          <cell r="D17037"/>
          <cell r="E17037"/>
        </row>
        <row r="17038">
          <cell r="A17038"/>
          <cell r="B17038"/>
          <cell r="C17038"/>
          <cell r="D17038"/>
          <cell r="E17038"/>
        </row>
        <row r="17039">
          <cell r="A17039"/>
          <cell r="B17039"/>
          <cell r="C17039"/>
          <cell r="D17039"/>
          <cell r="E17039"/>
        </row>
        <row r="17040">
          <cell r="A17040"/>
          <cell r="B17040"/>
          <cell r="C17040"/>
          <cell r="D17040"/>
          <cell r="E17040"/>
        </row>
        <row r="17041">
          <cell r="A17041"/>
          <cell r="B17041"/>
          <cell r="C17041"/>
          <cell r="D17041"/>
          <cell r="E17041"/>
        </row>
        <row r="17042">
          <cell r="A17042"/>
          <cell r="B17042"/>
          <cell r="C17042"/>
          <cell r="D17042"/>
          <cell r="E17042"/>
        </row>
        <row r="17043">
          <cell r="A17043"/>
          <cell r="B17043"/>
          <cell r="C17043"/>
          <cell r="D17043"/>
          <cell r="E17043"/>
        </row>
        <row r="17044">
          <cell r="A17044"/>
          <cell r="B17044"/>
          <cell r="C17044"/>
          <cell r="D17044"/>
          <cell r="E17044"/>
        </row>
        <row r="17045">
          <cell r="A17045"/>
          <cell r="B17045"/>
          <cell r="C17045"/>
          <cell r="D17045"/>
          <cell r="E17045"/>
        </row>
        <row r="17046">
          <cell r="A17046"/>
          <cell r="B17046"/>
          <cell r="C17046"/>
          <cell r="D17046"/>
          <cell r="E17046"/>
        </row>
        <row r="17047">
          <cell r="A17047"/>
          <cell r="B17047"/>
          <cell r="C17047"/>
          <cell r="D17047"/>
          <cell r="E17047"/>
        </row>
        <row r="17048">
          <cell r="A17048"/>
          <cell r="B17048"/>
          <cell r="C17048"/>
          <cell r="D17048"/>
          <cell r="E17048"/>
        </row>
        <row r="17049">
          <cell r="A17049"/>
          <cell r="B17049"/>
          <cell r="C17049"/>
          <cell r="D17049"/>
          <cell r="E17049"/>
        </row>
        <row r="17050">
          <cell r="A17050"/>
          <cell r="B17050"/>
          <cell r="C17050"/>
          <cell r="D17050"/>
          <cell r="E17050"/>
        </row>
        <row r="17051">
          <cell r="A17051"/>
          <cell r="B17051"/>
          <cell r="C17051"/>
          <cell r="D17051"/>
          <cell r="E17051"/>
        </row>
        <row r="17052">
          <cell r="A17052"/>
          <cell r="B17052"/>
          <cell r="C17052"/>
          <cell r="D17052"/>
          <cell r="E17052"/>
        </row>
        <row r="17053">
          <cell r="A17053"/>
          <cell r="B17053"/>
          <cell r="C17053"/>
          <cell r="D17053"/>
          <cell r="E17053"/>
        </row>
        <row r="17054">
          <cell r="A17054"/>
          <cell r="B17054"/>
          <cell r="C17054"/>
          <cell r="D17054"/>
          <cell r="E17054"/>
        </row>
        <row r="17055">
          <cell r="A17055"/>
          <cell r="B17055"/>
          <cell r="C17055"/>
          <cell r="D17055"/>
          <cell r="E17055"/>
        </row>
        <row r="17056">
          <cell r="A17056"/>
          <cell r="B17056"/>
          <cell r="C17056"/>
          <cell r="D17056"/>
          <cell r="E17056"/>
        </row>
        <row r="17057">
          <cell r="A17057"/>
          <cell r="B17057"/>
          <cell r="C17057"/>
          <cell r="D17057"/>
          <cell r="E17057"/>
        </row>
        <row r="17058">
          <cell r="A17058"/>
          <cell r="B17058"/>
          <cell r="C17058"/>
          <cell r="D17058"/>
          <cell r="E17058"/>
        </row>
        <row r="17059">
          <cell r="A17059"/>
          <cell r="B17059"/>
          <cell r="C17059"/>
          <cell r="D17059"/>
          <cell r="E17059"/>
        </row>
        <row r="17060">
          <cell r="A17060"/>
          <cell r="B17060"/>
          <cell r="C17060"/>
          <cell r="D17060"/>
          <cell r="E17060"/>
        </row>
        <row r="17061">
          <cell r="A17061"/>
          <cell r="B17061"/>
          <cell r="C17061"/>
          <cell r="D17061"/>
          <cell r="E17061"/>
        </row>
        <row r="17062">
          <cell r="A17062"/>
          <cell r="B17062"/>
          <cell r="C17062"/>
          <cell r="D17062"/>
          <cell r="E17062"/>
        </row>
        <row r="17063">
          <cell r="A17063"/>
          <cell r="B17063"/>
          <cell r="C17063"/>
          <cell r="D17063"/>
          <cell r="E17063"/>
        </row>
        <row r="17064">
          <cell r="A17064"/>
          <cell r="B17064"/>
          <cell r="C17064"/>
          <cell r="D17064"/>
          <cell r="E17064"/>
        </row>
        <row r="17065">
          <cell r="A17065"/>
          <cell r="B17065"/>
          <cell r="C17065"/>
          <cell r="D17065"/>
          <cell r="E17065"/>
        </row>
        <row r="17066">
          <cell r="A17066"/>
          <cell r="B17066"/>
          <cell r="C17066"/>
          <cell r="D17066"/>
          <cell r="E17066"/>
        </row>
        <row r="17067">
          <cell r="A17067"/>
          <cell r="B17067"/>
          <cell r="C17067"/>
          <cell r="D17067"/>
          <cell r="E17067"/>
        </row>
        <row r="17068">
          <cell r="A17068"/>
          <cell r="B17068"/>
          <cell r="C17068"/>
          <cell r="D17068"/>
          <cell r="E17068"/>
        </row>
        <row r="17069">
          <cell r="A17069"/>
          <cell r="B17069"/>
          <cell r="C17069"/>
          <cell r="D17069"/>
          <cell r="E17069"/>
        </row>
        <row r="17070">
          <cell r="A17070"/>
          <cell r="B17070"/>
          <cell r="C17070"/>
          <cell r="D17070"/>
          <cell r="E17070"/>
        </row>
        <row r="17071">
          <cell r="A17071"/>
          <cell r="B17071"/>
          <cell r="C17071"/>
          <cell r="D17071"/>
          <cell r="E17071"/>
        </row>
        <row r="17072">
          <cell r="A17072"/>
          <cell r="B17072"/>
          <cell r="C17072"/>
          <cell r="D17072"/>
          <cell r="E17072"/>
        </row>
        <row r="17073">
          <cell r="A17073"/>
          <cell r="B17073"/>
          <cell r="C17073"/>
          <cell r="D17073"/>
          <cell r="E17073"/>
        </row>
        <row r="17074">
          <cell r="A17074"/>
          <cell r="B17074"/>
          <cell r="C17074"/>
          <cell r="D17074"/>
          <cell r="E17074"/>
        </row>
        <row r="17075">
          <cell r="A17075"/>
          <cell r="B17075"/>
          <cell r="C17075"/>
          <cell r="D17075"/>
          <cell r="E17075"/>
        </row>
        <row r="17076">
          <cell r="A17076"/>
          <cell r="B17076"/>
          <cell r="C17076"/>
          <cell r="D17076"/>
          <cell r="E17076"/>
        </row>
        <row r="17077">
          <cell r="A17077"/>
          <cell r="B17077"/>
          <cell r="C17077"/>
          <cell r="D17077"/>
          <cell r="E17077"/>
        </row>
        <row r="17078">
          <cell r="A17078"/>
          <cell r="B17078"/>
          <cell r="C17078"/>
          <cell r="D17078"/>
          <cell r="E17078"/>
        </row>
        <row r="17079">
          <cell r="A17079"/>
          <cell r="B17079"/>
          <cell r="C17079"/>
          <cell r="D17079"/>
          <cell r="E17079"/>
        </row>
        <row r="17080">
          <cell r="A17080"/>
          <cell r="B17080"/>
          <cell r="C17080"/>
          <cell r="D17080"/>
          <cell r="E17080"/>
        </row>
        <row r="17081">
          <cell r="A17081"/>
          <cell r="B17081"/>
          <cell r="C17081"/>
          <cell r="D17081"/>
          <cell r="E17081"/>
        </row>
        <row r="17082">
          <cell r="A17082"/>
          <cell r="B17082"/>
          <cell r="C17082"/>
          <cell r="D17082"/>
          <cell r="E17082"/>
        </row>
        <row r="17083">
          <cell r="A17083"/>
          <cell r="B17083"/>
          <cell r="C17083"/>
          <cell r="D17083"/>
          <cell r="E17083"/>
        </row>
        <row r="17084">
          <cell r="A17084"/>
          <cell r="B17084"/>
          <cell r="C17084"/>
          <cell r="D17084"/>
          <cell r="E17084"/>
        </row>
        <row r="17085">
          <cell r="A17085"/>
          <cell r="B17085"/>
          <cell r="C17085"/>
          <cell r="D17085"/>
          <cell r="E17085"/>
        </row>
        <row r="17086">
          <cell r="A17086"/>
          <cell r="B17086"/>
          <cell r="C17086"/>
          <cell r="D17086"/>
          <cell r="E17086"/>
        </row>
        <row r="17087">
          <cell r="A17087"/>
          <cell r="B17087"/>
          <cell r="C17087"/>
          <cell r="D17087"/>
          <cell r="E17087"/>
        </row>
        <row r="17088">
          <cell r="A17088"/>
          <cell r="B17088"/>
          <cell r="C17088"/>
          <cell r="D17088"/>
          <cell r="E17088"/>
        </row>
        <row r="17089">
          <cell r="A17089"/>
          <cell r="B17089"/>
          <cell r="C17089"/>
          <cell r="D17089"/>
          <cell r="E17089"/>
        </row>
        <row r="17090">
          <cell r="A17090"/>
          <cell r="B17090"/>
          <cell r="C17090"/>
          <cell r="D17090"/>
          <cell r="E17090"/>
        </row>
        <row r="17091">
          <cell r="A17091"/>
          <cell r="B17091"/>
          <cell r="C17091"/>
          <cell r="D17091"/>
          <cell r="E17091"/>
        </row>
        <row r="17092">
          <cell r="A17092"/>
          <cell r="B17092"/>
          <cell r="C17092"/>
          <cell r="D17092"/>
          <cell r="E17092"/>
        </row>
        <row r="17093">
          <cell r="A17093"/>
          <cell r="B17093"/>
          <cell r="C17093"/>
          <cell r="D17093"/>
          <cell r="E17093"/>
        </row>
        <row r="17094">
          <cell r="A17094"/>
          <cell r="B17094"/>
          <cell r="C17094"/>
          <cell r="D17094"/>
          <cell r="E17094"/>
        </row>
        <row r="17095">
          <cell r="A17095"/>
          <cell r="B17095"/>
          <cell r="C17095"/>
          <cell r="D17095"/>
          <cell r="E17095"/>
        </row>
        <row r="17096">
          <cell r="A17096"/>
          <cell r="B17096"/>
          <cell r="C17096"/>
          <cell r="D17096"/>
          <cell r="E17096"/>
        </row>
        <row r="17097">
          <cell r="A17097"/>
          <cell r="B17097"/>
          <cell r="C17097"/>
          <cell r="D17097"/>
          <cell r="E17097"/>
        </row>
        <row r="17098">
          <cell r="A17098"/>
          <cell r="B17098"/>
          <cell r="C17098"/>
          <cell r="D17098"/>
          <cell r="E17098"/>
        </row>
        <row r="17099">
          <cell r="A17099"/>
          <cell r="B17099"/>
          <cell r="C17099"/>
          <cell r="D17099"/>
          <cell r="E17099"/>
        </row>
        <row r="17100">
          <cell r="A17100"/>
          <cell r="B17100"/>
          <cell r="C17100"/>
          <cell r="D17100"/>
          <cell r="E17100"/>
        </row>
        <row r="17101">
          <cell r="A17101"/>
          <cell r="B17101"/>
          <cell r="C17101"/>
          <cell r="D17101"/>
          <cell r="E17101"/>
        </row>
        <row r="17102">
          <cell r="A17102"/>
          <cell r="B17102"/>
          <cell r="C17102"/>
          <cell r="D17102"/>
          <cell r="E17102"/>
        </row>
        <row r="17103">
          <cell r="A17103"/>
          <cell r="B17103"/>
          <cell r="C17103"/>
          <cell r="D17103"/>
          <cell r="E17103"/>
        </row>
        <row r="17104">
          <cell r="A17104"/>
          <cell r="B17104"/>
          <cell r="C17104"/>
          <cell r="D17104"/>
          <cell r="E17104"/>
        </row>
        <row r="17105">
          <cell r="A17105"/>
          <cell r="B17105"/>
          <cell r="C17105"/>
          <cell r="D17105"/>
          <cell r="E17105"/>
        </row>
        <row r="17106">
          <cell r="A17106"/>
          <cell r="B17106"/>
          <cell r="C17106"/>
          <cell r="D17106"/>
          <cell r="E17106"/>
        </row>
        <row r="17107">
          <cell r="A17107"/>
          <cell r="B17107"/>
          <cell r="C17107"/>
          <cell r="D17107"/>
          <cell r="E17107"/>
        </row>
        <row r="17108">
          <cell r="A17108"/>
          <cell r="B17108"/>
          <cell r="C17108"/>
          <cell r="D17108"/>
          <cell r="E17108"/>
        </row>
        <row r="17109">
          <cell r="A17109"/>
          <cell r="B17109"/>
          <cell r="C17109"/>
          <cell r="D17109"/>
          <cell r="E17109"/>
        </row>
        <row r="17110">
          <cell r="A17110"/>
          <cell r="B17110"/>
          <cell r="C17110"/>
          <cell r="D17110"/>
          <cell r="E17110"/>
        </row>
        <row r="17111">
          <cell r="A17111"/>
          <cell r="B17111"/>
          <cell r="C17111"/>
          <cell r="D17111"/>
          <cell r="E17111"/>
        </row>
        <row r="17112">
          <cell r="A17112"/>
          <cell r="B17112"/>
          <cell r="C17112"/>
          <cell r="D17112"/>
          <cell r="E17112"/>
        </row>
        <row r="17113">
          <cell r="A17113"/>
          <cell r="B17113"/>
          <cell r="C17113"/>
          <cell r="D17113"/>
          <cell r="E17113"/>
        </row>
        <row r="17114">
          <cell r="A17114"/>
          <cell r="B17114"/>
          <cell r="C17114"/>
          <cell r="D17114"/>
          <cell r="E17114"/>
        </row>
        <row r="17115">
          <cell r="A17115"/>
          <cell r="B17115"/>
          <cell r="C17115"/>
          <cell r="D17115"/>
          <cell r="E17115"/>
        </row>
        <row r="17116">
          <cell r="A17116"/>
          <cell r="B17116"/>
          <cell r="C17116"/>
          <cell r="D17116"/>
          <cell r="E17116"/>
        </row>
        <row r="17117">
          <cell r="A17117"/>
          <cell r="B17117"/>
          <cell r="C17117"/>
          <cell r="D17117"/>
          <cell r="E17117"/>
        </row>
        <row r="17118">
          <cell r="A17118"/>
          <cell r="B17118"/>
          <cell r="C17118"/>
          <cell r="D17118"/>
          <cell r="E17118"/>
        </row>
        <row r="17119">
          <cell r="A17119"/>
          <cell r="B17119"/>
          <cell r="C17119"/>
          <cell r="D17119"/>
          <cell r="E17119"/>
        </row>
        <row r="17120">
          <cell r="A17120"/>
          <cell r="B17120"/>
          <cell r="C17120"/>
          <cell r="D17120"/>
          <cell r="E17120"/>
        </row>
        <row r="17121">
          <cell r="A17121"/>
          <cell r="B17121"/>
          <cell r="C17121"/>
          <cell r="D17121"/>
          <cell r="E17121"/>
        </row>
        <row r="17122">
          <cell r="A17122"/>
          <cell r="B17122"/>
          <cell r="C17122"/>
          <cell r="D17122"/>
          <cell r="E17122"/>
        </row>
        <row r="17123">
          <cell r="A17123"/>
          <cell r="B17123"/>
          <cell r="C17123"/>
          <cell r="D17123"/>
          <cell r="E17123"/>
        </row>
        <row r="17124">
          <cell r="A17124"/>
          <cell r="B17124"/>
          <cell r="C17124"/>
          <cell r="D17124"/>
          <cell r="E17124"/>
        </row>
        <row r="17125">
          <cell r="A17125"/>
          <cell r="B17125"/>
          <cell r="C17125"/>
          <cell r="D17125"/>
          <cell r="E17125"/>
        </row>
        <row r="17126">
          <cell r="A17126"/>
          <cell r="B17126"/>
          <cell r="C17126"/>
          <cell r="D17126"/>
          <cell r="E17126"/>
        </row>
        <row r="17127">
          <cell r="A17127"/>
          <cell r="B17127"/>
          <cell r="C17127"/>
          <cell r="D17127"/>
          <cell r="E17127"/>
        </row>
        <row r="17128">
          <cell r="A17128"/>
          <cell r="B17128"/>
          <cell r="C17128"/>
          <cell r="D17128"/>
          <cell r="E17128"/>
        </row>
        <row r="17129">
          <cell r="A17129"/>
          <cell r="B17129"/>
          <cell r="C17129"/>
          <cell r="D17129"/>
          <cell r="E17129"/>
        </row>
        <row r="17130">
          <cell r="A17130"/>
          <cell r="B17130"/>
          <cell r="C17130"/>
          <cell r="D17130"/>
          <cell r="E17130"/>
        </row>
        <row r="17131">
          <cell r="A17131"/>
          <cell r="B17131"/>
          <cell r="C17131"/>
          <cell r="D17131"/>
          <cell r="E17131"/>
        </row>
        <row r="17132">
          <cell r="A17132"/>
          <cell r="B17132"/>
          <cell r="C17132"/>
          <cell r="D17132"/>
          <cell r="E17132"/>
        </row>
        <row r="17133">
          <cell r="A17133"/>
          <cell r="B17133"/>
          <cell r="C17133"/>
          <cell r="D17133"/>
          <cell r="E17133"/>
        </row>
        <row r="17134">
          <cell r="A17134"/>
          <cell r="B17134"/>
          <cell r="C17134"/>
          <cell r="D17134"/>
          <cell r="E17134"/>
        </row>
        <row r="17135">
          <cell r="A17135"/>
          <cell r="B17135"/>
          <cell r="C17135"/>
          <cell r="D17135"/>
          <cell r="E17135"/>
        </row>
        <row r="17136">
          <cell r="A17136"/>
          <cell r="B17136"/>
          <cell r="C17136"/>
          <cell r="D17136"/>
          <cell r="E17136"/>
        </row>
        <row r="17137">
          <cell r="A17137"/>
          <cell r="B17137"/>
          <cell r="C17137"/>
          <cell r="D17137"/>
          <cell r="E17137"/>
        </row>
        <row r="17138">
          <cell r="A17138"/>
          <cell r="B17138"/>
          <cell r="C17138"/>
          <cell r="D17138"/>
          <cell r="E17138"/>
        </row>
        <row r="17139">
          <cell r="A17139"/>
          <cell r="B17139"/>
          <cell r="C17139"/>
          <cell r="D17139"/>
          <cell r="E17139"/>
        </row>
        <row r="17140">
          <cell r="A17140"/>
          <cell r="B17140"/>
          <cell r="C17140"/>
          <cell r="D17140"/>
          <cell r="E17140"/>
        </row>
        <row r="17141">
          <cell r="A17141"/>
          <cell r="B17141"/>
          <cell r="C17141"/>
          <cell r="D17141"/>
          <cell r="E17141"/>
        </row>
        <row r="17142">
          <cell r="A17142"/>
          <cell r="B17142"/>
          <cell r="C17142"/>
          <cell r="D17142"/>
          <cell r="E17142"/>
        </row>
        <row r="17143">
          <cell r="A17143"/>
          <cell r="B17143"/>
          <cell r="C17143"/>
          <cell r="D17143"/>
          <cell r="E17143"/>
        </row>
        <row r="17144">
          <cell r="A17144"/>
          <cell r="B17144"/>
          <cell r="C17144"/>
          <cell r="D17144"/>
          <cell r="E17144"/>
        </row>
        <row r="17145">
          <cell r="A17145"/>
          <cell r="B17145"/>
          <cell r="C17145"/>
          <cell r="D17145"/>
          <cell r="E17145"/>
        </row>
        <row r="17146">
          <cell r="A17146"/>
          <cell r="B17146"/>
          <cell r="C17146"/>
          <cell r="D17146"/>
          <cell r="E17146"/>
        </row>
        <row r="17147">
          <cell r="A17147"/>
          <cell r="B17147"/>
          <cell r="C17147"/>
          <cell r="D17147"/>
          <cell r="E17147"/>
        </row>
        <row r="17148">
          <cell r="A17148"/>
          <cell r="B17148"/>
          <cell r="C17148"/>
          <cell r="D17148"/>
          <cell r="E17148"/>
        </row>
        <row r="17149">
          <cell r="A17149"/>
          <cell r="B17149"/>
          <cell r="C17149"/>
          <cell r="D17149"/>
          <cell r="E17149"/>
        </row>
        <row r="17150">
          <cell r="A17150"/>
          <cell r="B17150"/>
          <cell r="C17150"/>
          <cell r="D17150"/>
          <cell r="E17150"/>
        </row>
        <row r="17151">
          <cell r="A17151"/>
          <cell r="B17151"/>
          <cell r="C17151"/>
          <cell r="D17151"/>
          <cell r="E17151"/>
        </row>
        <row r="17152">
          <cell r="A17152"/>
          <cell r="B17152"/>
          <cell r="C17152"/>
          <cell r="D17152"/>
          <cell r="E17152"/>
        </row>
        <row r="17153">
          <cell r="A17153"/>
          <cell r="B17153"/>
          <cell r="C17153"/>
          <cell r="D17153"/>
          <cell r="E17153"/>
        </row>
        <row r="17154">
          <cell r="A17154"/>
          <cell r="B17154"/>
          <cell r="C17154"/>
          <cell r="D17154"/>
          <cell r="E17154"/>
        </row>
        <row r="17155">
          <cell r="A17155"/>
          <cell r="B17155"/>
          <cell r="C17155"/>
          <cell r="D17155"/>
          <cell r="E17155"/>
        </row>
        <row r="17156">
          <cell r="A17156"/>
          <cell r="B17156"/>
          <cell r="C17156"/>
          <cell r="D17156"/>
          <cell r="E17156"/>
        </row>
        <row r="17157">
          <cell r="A17157"/>
          <cell r="B17157"/>
          <cell r="C17157"/>
          <cell r="D17157"/>
          <cell r="E17157"/>
        </row>
        <row r="17158">
          <cell r="A17158"/>
          <cell r="B17158"/>
          <cell r="C17158"/>
          <cell r="D17158"/>
          <cell r="E17158"/>
        </row>
        <row r="17159">
          <cell r="A17159"/>
          <cell r="B17159"/>
          <cell r="C17159"/>
          <cell r="D17159"/>
          <cell r="E17159"/>
        </row>
        <row r="17160">
          <cell r="A17160"/>
          <cell r="B17160"/>
          <cell r="C17160"/>
          <cell r="D17160"/>
          <cell r="E17160"/>
        </row>
        <row r="17161">
          <cell r="A17161"/>
          <cell r="B17161"/>
          <cell r="C17161"/>
          <cell r="D17161"/>
          <cell r="E17161"/>
        </row>
        <row r="17162">
          <cell r="A17162"/>
          <cell r="B17162"/>
          <cell r="C17162"/>
          <cell r="D17162"/>
          <cell r="E17162"/>
        </row>
        <row r="17163">
          <cell r="A17163"/>
          <cell r="B17163"/>
          <cell r="C17163"/>
          <cell r="D17163"/>
          <cell r="E17163"/>
        </row>
        <row r="17164">
          <cell r="A17164"/>
          <cell r="B17164"/>
          <cell r="C17164"/>
          <cell r="D17164"/>
          <cell r="E17164"/>
        </row>
        <row r="17165">
          <cell r="A17165"/>
          <cell r="B17165"/>
          <cell r="C17165"/>
          <cell r="D17165"/>
          <cell r="E17165"/>
        </row>
        <row r="17166">
          <cell r="A17166"/>
          <cell r="B17166"/>
          <cell r="C17166"/>
          <cell r="D17166"/>
          <cell r="E17166"/>
        </row>
        <row r="17167">
          <cell r="A17167"/>
          <cell r="B17167"/>
          <cell r="C17167"/>
          <cell r="D17167"/>
          <cell r="E17167"/>
        </row>
        <row r="17168">
          <cell r="A17168"/>
          <cell r="B17168"/>
          <cell r="C17168"/>
          <cell r="D17168"/>
          <cell r="E17168"/>
        </row>
        <row r="17169">
          <cell r="A17169"/>
          <cell r="B17169"/>
          <cell r="C17169"/>
          <cell r="D17169"/>
          <cell r="E17169"/>
        </row>
        <row r="17170">
          <cell r="A17170"/>
          <cell r="B17170"/>
          <cell r="C17170"/>
          <cell r="D17170"/>
          <cell r="E17170"/>
        </row>
        <row r="17171">
          <cell r="A17171"/>
          <cell r="B17171"/>
          <cell r="C17171"/>
          <cell r="D17171"/>
          <cell r="E17171"/>
        </row>
        <row r="17172">
          <cell r="A17172"/>
          <cell r="B17172"/>
          <cell r="C17172"/>
          <cell r="D17172"/>
          <cell r="E17172"/>
        </row>
        <row r="17173">
          <cell r="A17173"/>
          <cell r="B17173"/>
          <cell r="C17173"/>
          <cell r="D17173"/>
          <cell r="E17173"/>
        </row>
        <row r="17174">
          <cell r="A17174"/>
          <cell r="B17174"/>
          <cell r="C17174"/>
          <cell r="D17174"/>
          <cell r="E17174"/>
        </row>
        <row r="17175">
          <cell r="A17175"/>
          <cell r="B17175"/>
          <cell r="C17175"/>
          <cell r="D17175"/>
          <cell r="E17175"/>
        </row>
        <row r="17176">
          <cell r="A17176"/>
          <cell r="B17176"/>
          <cell r="C17176"/>
          <cell r="D17176"/>
          <cell r="E17176"/>
        </row>
        <row r="17177">
          <cell r="A17177"/>
          <cell r="B17177"/>
          <cell r="C17177"/>
          <cell r="D17177"/>
          <cell r="E17177"/>
        </row>
        <row r="17178">
          <cell r="A17178"/>
          <cell r="B17178"/>
          <cell r="C17178"/>
          <cell r="D17178"/>
          <cell r="E17178"/>
        </row>
        <row r="17179">
          <cell r="A17179"/>
          <cell r="B17179"/>
          <cell r="C17179"/>
          <cell r="D17179"/>
          <cell r="E17179"/>
        </row>
        <row r="17180">
          <cell r="A17180"/>
          <cell r="B17180"/>
          <cell r="C17180"/>
          <cell r="D17180"/>
          <cell r="E17180"/>
        </row>
        <row r="17181">
          <cell r="A17181"/>
          <cell r="B17181"/>
          <cell r="C17181"/>
          <cell r="D17181"/>
          <cell r="E17181"/>
        </row>
        <row r="17182">
          <cell r="A17182"/>
          <cell r="B17182"/>
          <cell r="C17182"/>
          <cell r="D17182"/>
          <cell r="E17182"/>
        </row>
        <row r="17183">
          <cell r="A17183"/>
          <cell r="B17183"/>
          <cell r="C17183"/>
          <cell r="D17183"/>
          <cell r="E17183"/>
        </row>
        <row r="17184">
          <cell r="A17184"/>
          <cell r="B17184"/>
          <cell r="C17184"/>
          <cell r="D17184"/>
          <cell r="E17184"/>
        </row>
        <row r="17185">
          <cell r="A17185"/>
          <cell r="B17185"/>
          <cell r="C17185"/>
          <cell r="D17185"/>
          <cell r="E17185"/>
        </row>
        <row r="17186">
          <cell r="A17186"/>
          <cell r="B17186"/>
          <cell r="C17186"/>
          <cell r="D17186"/>
          <cell r="E17186"/>
        </row>
        <row r="17187">
          <cell r="A17187"/>
          <cell r="B17187"/>
          <cell r="C17187"/>
          <cell r="D17187"/>
          <cell r="E17187"/>
        </row>
        <row r="17188">
          <cell r="A17188"/>
          <cell r="B17188"/>
          <cell r="C17188"/>
          <cell r="D17188"/>
          <cell r="E17188"/>
        </row>
        <row r="17189">
          <cell r="A17189"/>
          <cell r="B17189"/>
          <cell r="C17189"/>
          <cell r="D17189"/>
          <cell r="E17189"/>
        </row>
        <row r="17190">
          <cell r="A17190"/>
          <cell r="B17190"/>
          <cell r="C17190"/>
          <cell r="D17190"/>
          <cell r="E17190"/>
        </row>
        <row r="17191">
          <cell r="A17191"/>
          <cell r="B17191"/>
          <cell r="C17191"/>
          <cell r="D17191"/>
          <cell r="E17191"/>
        </row>
        <row r="17192">
          <cell r="A17192"/>
          <cell r="B17192"/>
          <cell r="C17192"/>
          <cell r="D17192"/>
          <cell r="E17192"/>
        </row>
        <row r="17193">
          <cell r="A17193"/>
          <cell r="B17193"/>
          <cell r="C17193"/>
          <cell r="D17193"/>
          <cell r="E17193"/>
        </row>
        <row r="17194">
          <cell r="A17194"/>
          <cell r="B17194"/>
          <cell r="C17194"/>
          <cell r="D17194"/>
          <cell r="E17194"/>
        </row>
        <row r="17195">
          <cell r="A17195"/>
          <cell r="B17195"/>
          <cell r="C17195"/>
          <cell r="D17195"/>
          <cell r="E17195"/>
        </row>
        <row r="17196">
          <cell r="A17196"/>
          <cell r="B17196"/>
          <cell r="C17196"/>
          <cell r="D17196"/>
          <cell r="E17196"/>
        </row>
        <row r="17197">
          <cell r="A17197"/>
          <cell r="B17197"/>
          <cell r="C17197"/>
          <cell r="D17197"/>
          <cell r="E17197"/>
        </row>
        <row r="17198">
          <cell r="A17198"/>
          <cell r="B17198"/>
          <cell r="C17198"/>
          <cell r="D17198"/>
          <cell r="E17198"/>
        </row>
        <row r="17199">
          <cell r="A17199"/>
          <cell r="B17199"/>
          <cell r="C17199"/>
          <cell r="D17199"/>
          <cell r="E17199"/>
        </row>
        <row r="17200">
          <cell r="A17200"/>
          <cell r="B17200"/>
          <cell r="C17200"/>
          <cell r="D17200"/>
          <cell r="E17200"/>
        </row>
        <row r="17201">
          <cell r="A17201"/>
          <cell r="B17201"/>
          <cell r="C17201"/>
          <cell r="D17201"/>
          <cell r="E17201"/>
        </row>
        <row r="17202">
          <cell r="A17202"/>
          <cell r="B17202"/>
          <cell r="C17202"/>
          <cell r="D17202"/>
          <cell r="E17202"/>
        </row>
        <row r="17203">
          <cell r="A17203"/>
          <cell r="B17203"/>
          <cell r="C17203"/>
          <cell r="D17203"/>
          <cell r="E17203"/>
        </row>
        <row r="17204">
          <cell r="A17204"/>
          <cell r="B17204"/>
          <cell r="C17204"/>
          <cell r="D17204"/>
          <cell r="E17204"/>
        </row>
        <row r="17205">
          <cell r="A17205"/>
          <cell r="B17205"/>
          <cell r="C17205"/>
          <cell r="D17205"/>
          <cell r="E17205"/>
        </row>
        <row r="17206">
          <cell r="A17206"/>
          <cell r="B17206"/>
          <cell r="C17206"/>
          <cell r="D17206"/>
          <cell r="E17206"/>
        </row>
        <row r="17207">
          <cell r="A17207"/>
          <cell r="B17207"/>
          <cell r="C17207"/>
          <cell r="D17207"/>
          <cell r="E17207"/>
        </row>
        <row r="17208">
          <cell r="A17208"/>
          <cell r="B17208"/>
          <cell r="C17208"/>
          <cell r="D17208"/>
          <cell r="E17208"/>
        </row>
        <row r="17209">
          <cell r="A17209"/>
          <cell r="B17209"/>
          <cell r="C17209"/>
          <cell r="D17209"/>
          <cell r="E17209"/>
        </row>
        <row r="17210">
          <cell r="A17210"/>
          <cell r="B17210"/>
          <cell r="C17210"/>
          <cell r="D17210"/>
          <cell r="E17210"/>
        </row>
        <row r="17211">
          <cell r="A17211"/>
          <cell r="B17211"/>
          <cell r="C17211"/>
          <cell r="D17211"/>
          <cell r="E17211"/>
        </row>
        <row r="17212">
          <cell r="A17212"/>
          <cell r="B17212"/>
          <cell r="C17212"/>
          <cell r="D17212"/>
          <cell r="E17212"/>
        </row>
        <row r="17213">
          <cell r="A17213"/>
          <cell r="B17213"/>
          <cell r="C17213"/>
          <cell r="D17213"/>
          <cell r="E17213"/>
        </row>
        <row r="17214">
          <cell r="A17214"/>
          <cell r="B17214"/>
          <cell r="C17214"/>
          <cell r="D17214"/>
          <cell r="E17214"/>
        </row>
        <row r="17215">
          <cell r="A17215"/>
          <cell r="B17215"/>
          <cell r="C17215"/>
          <cell r="D17215"/>
          <cell r="E17215"/>
        </row>
        <row r="17216">
          <cell r="A17216"/>
          <cell r="B17216"/>
          <cell r="C17216"/>
          <cell r="D17216"/>
          <cell r="E17216"/>
        </row>
        <row r="17217">
          <cell r="A17217"/>
          <cell r="B17217"/>
          <cell r="C17217"/>
          <cell r="D17217"/>
          <cell r="E17217"/>
        </row>
        <row r="17218">
          <cell r="A17218"/>
          <cell r="B17218"/>
          <cell r="C17218"/>
          <cell r="D17218"/>
          <cell r="E17218"/>
        </row>
        <row r="17219">
          <cell r="A17219"/>
          <cell r="B17219"/>
          <cell r="C17219"/>
          <cell r="D17219"/>
          <cell r="E17219"/>
        </row>
        <row r="17220">
          <cell r="A17220"/>
          <cell r="B17220"/>
          <cell r="C17220"/>
          <cell r="D17220"/>
          <cell r="E17220"/>
        </row>
        <row r="17221">
          <cell r="A17221"/>
          <cell r="B17221"/>
          <cell r="C17221"/>
          <cell r="D17221"/>
          <cell r="E17221"/>
        </row>
        <row r="17222">
          <cell r="A17222"/>
          <cell r="B17222"/>
          <cell r="C17222"/>
          <cell r="D17222"/>
          <cell r="E17222"/>
        </row>
        <row r="17223">
          <cell r="A17223"/>
          <cell r="B17223"/>
          <cell r="C17223"/>
          <cell r="D17223"/>
          <cell r="E17223"/>
        </row>
        <row r="17224">
          <cell r="A17224"/>
          <cell r="B17224"/>
          <cell r="C17224"/>
          <cell r="D17224"/>
          <cell r="E17224"/>
        </row>
        <row r="17225">
          <cell r="A17225"/>
          <cell r="B17225"/>
          <cell r="C17225"/>
          <cell r="D17225"/>
          <cell r="E17225"/>
        </row>
        <row r="17226">
          <cell r="A17226"/>
          <cell r="B17226"/>
          <cell r="C17226"/>
          <cell r="D17226"/>
          <cell r="E17226"/>
        </row>
        <row r="17227">
          <cell r="A17227"/>
          <cell r="B17227"/>
          <cell r="C17227"/>
          <cell r="D17227"/>
          <cell r="E17227"/>
        </row>
        <row r="17228">
          <cell r="A17228"/>
          <cell r="B17228"/>
          <cell r="C17228"/>
          <cell r="D17228"/>
          <cell r="E17228"/>
        </row>
        <row r="17229">
          <cell r="A17229"/>
          <cell r="B17229"/>
          <cell r="C17229"/>
          <cell r="D17229"/>
          <cell r="E17229"/>
        </row>
        <row r="17230">
          <cell r="A17230"/>
          <cell r="B17230"/>
          <cell r="C17230"/>
          <cell r="D17230"/>
          <cell r="E17230"/>
        </row>
        <row r="17231">
          <cell r="A17231"/>
          <cell r="B17231"/>
          <cell r="C17231"/>
          <cell r="D17231"/>
          <cell r="E17231"/>
        </row>
        <row r="17232">
          <cell r="A17232"/>
          <cell r="B17232"/>
          <cell r="C17232"/>
          <cell r="D17232"/>
          <cell r="E17232"/>
        </row>
        <row r="17233">
          <cell r="A17233"/>
          <cell r="B17233"/>
          <cell r="C17233"/>
          <cell r="D17233"/>
          <cell r="E17233"/>
        </row>
        <row r="17234">
          <cell r="A17234"/>
          <cell r="B17234"/>
          <cell r="C17234"/>
          <cell r="D17234"/>
          <cell r="E17234"/>
        </row>
        <row r="17235">
          <cell r="A17235"/>
          <cell r="B17235"/>
          <cell r="C17235"/>
          <cell r="D17235"/>
          <cell r="E17235"/>
        </row>
        <row r="17236">
          <cell r="A17236"/>
          <cell r="B17236"/>
          <cell r="C17236"/>
          <cell r="D17236"/>
          <cell r="E17236"/>
        </row>
        <row r="17237">
          <cell r="A17237"/>
          <cell r="B17237"/>
          <cell r="C17237"/>
          <cell r="D17237"/>
          <cell r="E17237"/>
        </row>
        <row r="17238">
          <cell r="A17238"/>
          <cell r="B17238"/>
          <cell r="C17238"/>
          <cell r="D17238"/>
          <cell r="E17238"/>
        </row>
        <row r="17239">
          <cell r="A17239"/>
          <cell r="B17239"/>
          <cell r="C17239"/>
          <cell r="D17239"/>
          <cell r="E17239"/>
        </row>
        <row r="17240">
          <cell r="A17240"/>
          <cell r="B17240"/>
          <cell r="C17240"/>
          <cell r="D17240"/>
          <cell r="E17240"/>
        </row>
        <row r="17241">
          <cell r="A17241"/>
          <cell r="B17241"/>
          <cell r="C17241"/>
          <cell r="D17241"/>
          <cell r="E17241"/>
        </row>
        <row r="17242">
          <cell r="A17242"/>
          <cell r="B17242"/>
          <cell r="C17242"/>
          <cell r="D17242"/>
          <cell r="E17242"/>
        </row>
        <row r="17243">
          <cell r="A17243"/>
          <cell r="B17243"/>
          <cell r="C17243"/>
          <cell r="D17243"/>
          <cell r="E17243"/>
        </row>
        <row r="17244">
          <cell r="A17244"/>
          <cell r="B17244"/>
          <cell r="C17244"/>
          <cell r="D17244"/>
          <cell r="E17244"/>
        </row>
        <row r="17245">
          <cell r="A17245"/>
          <cell r="B17245"/>
          <cell r="C17245"/>
          <cell r="D17245"/>
          <cell r="E17245"/>
        </row>
        <row r="17246">
          <cell r="A17246"/>
          <cell r="B17246"/>
          <cell r="C17246"/>
          <cell r="D17246"/>
          <cell r="E17246"/>
        </row>
        <row r="17247">
          <cell r="A17247"/>
          <cell r="B17247"/>
          <cell r="C17247"/>
          <cell r="D17247"/>
          <cell r="E17247"/>
        </row>
        <row r="17248">
          <cell r="A17248"/>
          <cell r="B17248"/>
          <cell r="C17248"/>
          <cell r="D17248"/>
          <cell r="E17248"/>
        </row>
        <row r="17249">
          <cell r="A17249"/>
          <cell r="B17249"/>
          <cell r="C17249"/>
          <cell r="D17249"/>
          <cell r="E17249"/>
        </row>
        <row r="17250">
          <cell r="A17250"/>
          <cell r="B17250"/>
          <cell r="C17250"/>
          <cell r="D17250"/>
          <cell r="E17250"/>
        </row>
        <row r="17251">
          <cell r="A17251"/>
          <cell r="B17251"/>
          <cell r="C17251"/>
          <cell r="D17251"/>
          <cell r="E17251"/>
        </row>
        <row r="17252">
          <cell r="A17252"/>
          <cell r="B17252"/>
          <cell r="C17252"/>
          <cell r="D17252"/>
          <cell r="E17252"/>
        </row>
        <row r="17253">
          <cell r="A17253"/>
          <cell r="B17253"/>
          <cell r="C17253"/>
          <cell r="D17253"/>
          <cell r="E17253"/>
        </row>
        <row r="17254">
          <cell r="A17254"/>
          <cell r="B17254"/>
          <cell r="C17254"/>
          <cell r="D17254"/>
          <cell r="E17254"/>
        </row>
        <row r="17255">
          <cell r="A17255"/>
          <cell r="B17255"/>
          <cell r="C17255"/>
          <cell r="D17255"/>
          <cell r="E17255"/>
        </row>
        <row r="17256">
          <cell r="A17256"/>
          <cell r="B17256"/>
          <cell r="C17256"/>
          <cell r="D17256"/>
          <cell r="E17256"/>
        </row>
        <row r="17257">
          <cell r="A17257"/>
          <cell r="B17257"/>
          <cell r="C17257"/>
          <cell r="D17257"/>
          <cell r="E17257"/>
        </row>
        <row r="17258">
          <cell r="A17258"/>
          <cell r="B17258"/>
          <cell r="C17258"/>
          <cell r="D17258"/>
          <cell r="E17258"/>
        </row>
        <row r="17259">
          <cell r="A17259"/>
          <cell r="B17259"/>
          <cell r="C17259"/>
          <cell r="D17259"/>
          <cell r="E17259"/>
        </row>
        <row r="17260">
          <cell r="A17260"/>
          <cell r="B17260"/>
          <cell r="C17260"/>
          <cell r="D17260"/>
          <cell r="E17260"/>
        </row>
        <row r="17261">
          <cell r="A17261"/>
          <cell r="B17261"/>
          <cell r="C17261"/>
          <cell r="D17261"/>
          <cell r="E17261"/>
        </row>
        <row r="17262">
          <cell r="A17262"/>
          <cell r="B17262"/>
          <cell r="C17262"/>
          <cell r="D17262"/>
          <cell r="E17262"/>
        </row>
        <row r="17263">
          <cell r="A17263"/>
          <cell r="B17263"/>
          <cell r="C17263"/>
          <cell r="D17263"/>
          <cell r="E17263"/>
        </row>
        <row r="17264">
          <cell r="A17264"/>
          <cell r="B17264"/>
          <cell r="C17264"/>
          <cell r="D17264"/>
          <cell r="E17264"/>
        </row>
        <row r="17265">
          <cell r="A17265"/>
          <cell r="B17265"/>
          <cell r="C17265"/>
          <cell r="D17265"/>
          <cell r="E17265"/>
        </row>
        <row r="17266">
          <cell r="A17266"/>
          <cell r="B17266"/>
          <cell r="C17266"/>
          <cell r="D17266"/>
          <cell r="E17266"/>
        </row>
        <row r="17267">
          <cell r="A17267"/>
          <cell r="B17267"/>
          <cell r="C17267"/>
          <cell r="D17267"/>
          <cell r="E17267"/>
        </row>
        <row r="17268">
          <cell r="A17268"/>
          <cell r="B17268"/>
          <cell r="C17268"/>
          <cell r="D17268"/>
          <cell r="E17268"/>
        </row>
        <row r="17269">
          <cell r="A17269"/>
          <cell r="B17269"/>
          <cell r="C17269"/>
          <cell r="D17269"/>
          <cell r="E17269"/>
        </row>
        <row r="17270">
          <cell r="A17270"/>
          <cell r="B17270"/>
          <cell r="C17270"/>
          <cell r="D17270"/>
          <cell r="E17270"/>
        </row>
        <row r="17271">
          <cell r="A17271"/>
          <cell r="B17271"/>
          <cell r="C17271"/>
          <cell r="D17271"/>
          <cell r="E17271"/>
        </row>
        <row r="17272">
          <cell r="A17272"/>
          <cell r="B17272"/>
          <cell r="C17272"/>
          <cell r="D17272"/>
          <cell r="E17272"/>
        </row>
        <row r="17273">
          <cell r="A17273"/>
          <cell r="B17273"/>
          <cell r="C17273"/>
          <cell r="D17273"/>
          <cell r="E17273"/>
        </row>
        <row r="17274">
          <cell r="A17274"/>
          <cell r="B17274"/>
          <cell r="C17274"/>
          <cell r="D17274"/>
          <cell r="E17274"/>
        </row>
        <row r="17275">
          <cell r="A17275"/>
          <cell r="B17275"/>
          <cell r="C17275"/>
          <cell r="D17275"/>
          <cell r="E17275"/>
        </row>
        <row r="17276">
          <cell r="A17276"/>
          <cell r="B17276"/>
          <cell r="C17276"/>
          <cell r="D17276"/>
          <cell r="E17276"/>
        </row>
        <row r="17277">
          <cell r="A17277"/>
          <cell r="B17277"/>
          <cell r="C17277"/>
          <cell r="D17277"/>
          <cell r="E17277"/>
        </row>
        <row r="17278">
          <cell r="A17278"/>
          <cell r="B17278"/>
          <cell r="C17278"/>
          <cell r="D17278"/>
          <cell r="E17278"/>
        </row>
        <row r="17279">
          <cell r="A17279"/>
          <cell r="B17279"/>
          <cell r="C17279"/>
          <cell r="D17279"/>
          <cell r="E17279"/>
        </row>
        <row r="17280">
          <cell r="A17280"/>
          <cell r="B17280"/>
          <cell r="C17280"/>
          <cell r="D17280"/>
          <cell r="E17280"/>
        </row>
        <row r="17281">
          <cell r="A17281"/>
          <cell r="B17281"/>
          <cell r="C17281"/>
          <cell r="D17281"/>
          <cell r="E17281"/>
        </row>
        <row r="17282">
          <cell r="A17282"/>
          <cell r="B17282"/>
          <cell r="C17282"/>
          <cell r="D17282"/>
          <cell r="E17282"/>
        </row>
        <row r="17283">
          <cell r="A17283"/>
          <cell r="B17283"/>
          <cell r="C17283"/>
          <cell r="D17283"/>
          <cell r="E17283"/>
        </row>
        <row r="17284">
          <cell r="A17284"/>
          <cell r="B17284"/>
          <cell r="C17284"/>
          <cell r="D17284"/>
          <cell r="E17284"/>
        </row>
        <row r="17285">
          <cell r="A17285"/>
          <cell r="B17285"/>
          <cell r="C17285"/>
          <cell r="D17285"/>
          <cell r="E17285"/>
        </row>
        <row r="17286">
          <cell r="A17286"/>
          <cell r="B17286"/>
          <cell r="C17286"/>
          <cell r="D17286"/>
          <cell r="E17286"/>
        </row>
        <row r="17287">
          <cell r="A17287"/>
          <cell r="B17287"/>
          <cell r="C17287"/>
          <cell r="D17287"/>
          <cell r="E17287"/>
        </row>
        <row r="17288">
          <cell r="A17288"/>
          <cell r="B17288"/>
          <cell r="C17288"/>
          <cell r="D17288"/>
          <cell r="E17288"/>
        </row>
        <row r="17289">
          <cell r="A17289"/>
          <cell r="B17289"/>
          <cell r="C17289"/>
          <cell r="D17289"/>
          <cell r="E17289"/>
        </row>
        <row r="17290">
          <cell r="A17290"/>
          <cell r="B17290"/>
          <cell r="C17290"/>
          <cell r="D17290"/>
          <cell r="E17290"/>
        </row>
        <row r="17291">
          <cell r="A17291"/>
          <cell r="B17291"/>
          <cell r="C17291"/>
          <cell r="D17291"/>
          <cell r="E17291"/>
        </row>
        <row r="17292">
          <cell r="A17292"/>
          <cell r="B17292"/>
          <cell r="C17292"/>
          <cell r="D17292"/>
          <cell r="E17292"/>
        </row>
        <row r="17293">
          <cell r="A17293"/>
          <cell r="B17293"/>
          <cell r="C17293"/>
          <cell r="D17293"/>
          <cell r="E17293"/>
        </row>
        <row r="17294">
          <cell r="A17294"/>
          <cell r="B17294"/>
          <cell r="C17294"/>
          <cell r="D17294"/>
          <cell r="E17294"/>
        </row>
        <row r="17295">
          <cell r="A17295"/>
          <cell r="B17295"/>
          <cell r="C17295"/>
          <cell r="D17295"/>
          <cell r="E17295"/>
        </row>
        <row r="17296">
          <cell r="A17296"/>
          <cell r="B17296"/>
          <cell r="C17296"/>
          <cell r="D17296"/>
          <cell r="E17296"/>
        </row>
        <row r="17297">
          <cell r="A17297"/>
          <cell r="B17297"/>
          <cell r="C17297"/>
          <cell r="D17297"/>
          <cell r="E17297"/>
        </row>
        <row r="17298">
          <cell r="A17298"/>
          <cell r="B17298"/>
          <cell r="C17298"/>
          <cell r="D17298"/>
          <cell r="E17298"/>
        </row>
        <row r="17299">
          <cell r="A17299"/>
          <cell r="B17299"/>
          <cell r="C17299"/>
          <cell r="D17299"/>
          <cell r="E17299"/>
        </row>
        <row r="17300">
          <cell r="A17300"/>
          <cell r="B17300"/>
          <cell r="C17300"/>
          <cell r="D17300"/>
          <cell r="E17300"/>
        </row>
        <row r="17301">
          <cell r="A17301"/>
          <cell r="B17301"/>
          <cell r="C17301"/>
          <cell r="D17301"/>
          <cell r="E17301"/>
        </row>
        <row r="17302">
          <cell r="A17302"/>
          <cell r="B17302"/>
          <cell r="C17302"/>
          <cell r="D17302"/>
          <cell r="E17302"/>
        </row>
        <row r="17303">
          <cell r="A17303"/>
          <cell r="B17303"/>
          <cell r="C17303"/>
          <cell r="D17303"/>
          <cell r="E17303"/>
        </row>
        <row r="17304">
          <cell r="A17304"/>
          <cell r="B17304"/>
          <cell r="C17304"/>
          <cell r="D17304"/>
          <cell r="E17304"/>
        </row>
        <row r="17305">
          <cell r="A17305"/>
          <cell r="B17305"/>
          <cell r="C17305"/>
          <cell r="D17305"/>
          <cell r="E17305"/>
        </row>
        <row r="17306">
          <cell r="A17306"/>
          <cell r="B17306"/>
          <cell r="C17306"/>
          <cell r="D17306"/>
          <cell r="E17306"/>
        </row>
        <row r="17307">
          <cell r="A17307"/>
          <cell r="B17307"/>
          <cell r="C17307"/>
          <cell r="D17307"/>
          <cell r="E17307"/>
        </row>
        <row r="17308">
          <cell r="A17308"/>
          <cell r="B17308"/>
          <cell r="C17308"/>
          <cell r="D17308"/>
          <cell r="E17308"/>
        </row>
        <row r="17309">
          <cell r="A17309"/>
          <cell r="B17309"/>
          <cell r="C17309"/>
          <cell r="D17309"/>
          <cell r="E17309"/>
        </row>
        <row r="17310">
          <cell r="A17310"/>
          <cell r="B17310"/>
          <cell r="C17310"/>
          <cell r="D17310"/>
          <cell r="E17310"/>
        </row>
        <row r="17311">
          <cell r="A17311"/>
          <cell r="B17311"/>
          <cell r="C17311"/>
          <cell r="D17311"/>
          <cell r="E17311"/>
        </row>
        <row r="17312">
          <cell r="A17312"/>
          <cell r="B17312"/>
          <cell r="C17312"/>
          <cell r="D17312"/>
          <cell r="E17312"/>
        </row>
        <row r="17313">
          <cell r="A17313"/>
          <cell r="B17313"/>
          <cell r="C17313"/>
          <cell r="D17313"/>
          <cell r="E17313"/>
        </row>
        <row r="17314">
          <cell r="A17314"/>
          <cell r="B17314"/>
          <cell r="C17314"/>
          <cell r="D17314"/>
          <cell r="E17314"/>
        </row>
        <row r="17315">
          <cell r="A17315"/>
          <cell r="B17315"/>
          <cell r="C17315"/>
          <cell r="D17315"/>
          <cell r="E17315"/>
        </row>
        <row r="17316">
          <cell r="A17316"/>
          <cell r="B17316"/>
          <cell r="C17316"/>
          <cell r="D17316"/>
          <cell r="E17316"/>
        </row>
        <row r="17317">
          <cell r="A17317"/>
          <cell r="B17317"/>
          <cell r="C17317"/>
          <cell r="D17317"/>
          <cell r="E17317"/>
        </row>
        <row r="17318">
          <cell r="A17318"/>
          <cell r="B17318"/>
          <cell r="C17318"/>
          <cell r="D17318"/>
          <cell r="E17318"/>
        </row>
        <row r="17319">
          <cell r="A17319"/>
          <cell r="B17319"/>
          <cell r="C17319"/>
          <cell r="D17319"/>
          <cell r="E17319"/>
        </row>
        <row r="17320">
          <cell r="A17320"/>
          <cell r="B17320"/>
          <cell r="C17320"/>
          <cell r="D17320"/>
          <cell r="E17320"/>
        </row>
        <row r="17321">
          <cell r="A17321"/>
          <cell r="B17321"/>
          <cell r="C17321"/>
          <cell r="D17321"/>
          <cell r="E17321"/>
        </row>
        <row r="17322">
          <cell r="A17322"/>
          <cell r="B17322"/>
          <cell r="C17322"/>
          <cell r="D17322"/>
          <cell r="E17322"/>
        </row>
        <row r="17323">
          <cell r="A17323"/>
          <cell r="B17323"/>
          <cell r="C17323"/>
          <cell r="D17323"/>
          <cell r="E17323"/>
        </row>
        <row r="17324">
          <cell r="A17324"/>
          <cell r="B17324"/>
          <cell r="C17324"/>
          <cell r="D17324"/>
          <cell r="E17324"/>
        </row>
        <row r="17325">
          <cell r="A17325"/>
          <cell r="B17325"/>
          <cell r="C17325"/>
          <cell r="D17325"/>
          <cell r="E17325"/>
        </row>
        <row r="17326">
          <cell r="A17326"/>
          <cell r="B17326"/>
          <cell r="C17326"/>
          <cell r="D17326"/>
          <cell r="E17326"/>
        </row>
        <row r="17327">
          <cell r="A17327"/>
          <cell r="B17327"/>
          <cell r="C17327"/>
          <cell r="D17327"/>
          <cell r="E17327"/>
        </row>
        <row r="17328">
          <cell r="A17328"/>
          <cell r="B17328"/>
          <cell r="C17328"/>
          <cell r="D17328"/>
          <cell r="E17328"/>
        </row>
        <row r="17329">
          <cell r="A17329"/>
          <cell r="B17329"/>
          <cell r="C17329"/>
          <cell r="D17329"/>
          <cell r="E17329"/>
        </row>
        <row r="17330">
          <cell r="A17330"/>
          <cell r="B17330"/>
          <cell r="C17330"/>
          <cell r="D17330"/>
          <cell r="E17330"/>
        </row>
        <row r="17331">
          <cell r="A17331"/>
          <cell r="B17331"/>
          <cell r="C17331"/>
          <cell r="D17331"/>
          <cell r="E17331"/>
        </row>
        <row r="17332">
          <cell r="A17332"/>
          <cell r="B17332"/>
          <cell r="C17332"/>
          <cell r="D17332"/>
          <cell r="E17332"/>
        </row>
        <row r="17333">
          <cell r="A17333"/>
          <cell r="B17333"/>
          <cell r="C17333"/>
          <cell r="D17333"/>
          <cell r="E17333"/>
        </row>
        <row r="17334">
          <cell r="A17334"/>
          <cell r="B17334"/>
          <cell r="C17334"/>
          <cell r="D17334"/>
          <cell r="E17334"/>
        </row>
        <row r="17335">
          <cell r="A17335"/>
          <cell r="B17335"/>
          <cell r="C17335"/>
          <cell r="D17335"/>
          <cell r="E17335"/>
        </row>
        <row r="17336">
          <cell r="A17336"/>
          <cell r="B17336"/>
          <cell r="C17336"/>
          <cell r="D17336"/>
          <cell r="E17336"/>
        </row>
        <row r="17337">
          <cell r="A17337"/>
          <cell r="B17337"/>
          <cell r="C17337"/>
          <cell r="D17337"/>
          <cell r="E17337"/>
        </row>
        <row r="17338">
          <cell r="A17338"/>
          <cell r="B17338"/>
          <cell r="C17338"/>
          <cell r="D17338"/>
          <cell r="E17338"/>
        </row>
        <row r="17339">
          <cell r="A17339"/>
          <cell r="B17339"/>
          <cell r="C17339"/>
          <cell r="D17339"/>
          <cell r="E17339"/>
        </row>
        <row r="17340">
          <cell r="A17340"/>
          <cell r="B17340"/>
          <cell r="C17340"/>
          <cell r="D17340"/>
          <cell r="E17340"/>
        </row>
        <row r="17341">
          <cell r="A17341"/>
          <cell r="B17341"/>
          <cell r="C17341"/>
          <cell r="D17341"/>
          <cell r="E17341"/>
        </row>
        <row r="17342">
          <cell r="A17342"/>
          <cell r="B17342"/>
          <cell r="C17342"/>
          <cell r="D17342"/>
          <cell r="E17342"/>
        </row>
        <row r="17343">
          <cell r="A17343"/>
          <cell r="B17343"/>
          <cell r="C17343"/>
          <cell r="D17343"/>
          <cell r="E17343"/>
        </row>
        <row r="17344">
          <cell r="A17344"/>
          <cell r="B17344"/>
          <cell r="C17344"/>
          <cell r="D17344"/>
          <cell r="E17344"/>
        </row>
        <row r="17345">
          <cell r="A17345"/>
          <cell r="B17345"/>
          <cell r="C17345"/>
          <cell r="D17345"/>
          <cell r="E17345"/>
        </row>
        <row r="17346">
          <cell r="A17346"/>
          <cell r="B17346"/>
          <cell r="C17346"/>
          <cell r="D17346"/>
          <cell r="E17346"/>
        </row>
        <row r="17347">
          <cell r="A17347"/>
          <cell r="B17347"/>
          <cell r="C17347"/>
          <cell r="D17347"/>
          <cell r="E17347"/>
        </row>
        <row r="17348">
          <cell r="A17348"/>
          <cell r="B17348"/>
          <cell r="C17348"/>
          <cell r="D17348"/>
          <cell r="E17348"/>
        </row>
        <row r="17349">
          <cell r="A17349"/>
          <cell r="B17349"/>
          <cell r="C17349"/>
          <cell r="D17349"/>
          <cell r="E17349"/>
        </row>
        <row r="17350">
          <cell r="A17350"/>
          <cell r="B17350"/>
          <cell r="C17350"/>
          <cell r="D17350"/>
          <cell r="E17350"/>
        </row>
        <row r="17351">
          <cell r="A17351"/>
          <cell r="B17351"/>
          <cell r="C17351"/>
          <cell r="D17351"/>
          <cell r="E17351"/>
        </row>
        <row r="17352">
          <cell r="A17352"/>
          <cell r="B17352"/>
          <cell r="C17352"/>
          <cell r="D17352"/>
          <cell r="E17352"/>
        </row>
        <row r="17353">
          <cell r="A17353"/>
          <cell r="B17353"/>
          <cell r="C17353"/>
          <cell r="D17353"/>
          <cell r="E17353"/>
        </row>
        <row r="17354">
          <cell r="A17354"/>
          <cell r="B17354"/>
          <cell r="C17354"/>
          <cell r="D17354"/>
          <cell r="E17354"/>
        </row>
        <row r="17355">
          <cell r="A17355"/>
          <cell r="B17355"/>
          <cell r="C17355"/>
          <cell r="D17355"/>
          <cell r="E17355"/>
        </row>
        <row r="17356">
          <cell r="A17356"/>
          <cell r="B17356"/>
          <cell r="C17356"/>
          <cell r="D17356"/>
          <cell r="E17356"/>
        </row>
        <row r="17357">
          <cell r="A17357"/>
          <cell r="B17357"/>
          <cell r="C17357"/>
          <cell r="D17357"/>
          <cell r="E17357"/>
        </row>
        <row r="17358">
          <cell r="A17358"/>
          <cell r="B17358"/>
          <cell r="C17358"/>
          <cell r="D17358"/>
          <cell r="E17358"/>
        </row>
        <row r="17359">
          <cell r="A17359"/>
          <cell r="B17359"/>
          <cell r="C17359"/>
          <cell r="D17359"/>
          <cell r="E17359"/>
        </row>
        <row r="17360">
          <cell r="A17360"/>
          <cell r="B17360"/>
          <cell r="C17360"/>
          <cell r="D17360"/>
          <cell r="E17360"/>
        </row>
        <row r="17361">
          <cell r="A17361"/>
          <cell r="B17361"/>
          <cell r="C17361"/>
          <cell r="D17361"/>
          <cell r="E17361"/>
        </row>
        <row r="17362">
          <cell r="A17362"/>
          <cell r="B17362"/>
          <cell r="C17362"/>
          <cell r="D17362"/>
          <cell r="E17362"/>
        </row>
        <row r="17363">
          <cell r="A17363"/>
          <cell r="B17363"/>
          <cell r="C17363"/>
          <cell r="D17363"/>
          <cell r="E17363"/>
        </row>
        <row r="17364">
          <cell r="A17364"/>
          <cell r="B17364"/>
          <cell r="C17364"/>
          <cell r="D17364"/>
          <cell r="E17364"/>
        </row>
        <row r="17365">
          <cell r="A17365"/>
          <cell r="B17365"/>
          <cell r="C17365"/>
          <cell r="D17365"/>
          <cell r="E17365"/>
        </row>
        <row r="17366">
          <cell r="A17366"/>
          <cell r="B17366"/>
          <cell r="C17366"/>
          <cell r="D17366"/>
          <cell r="E17366"/>
        </row>
        <row r="17367">
          <cell r="A17367"/>
          <cell r="B17367"/>
          <cell r="C17367"/>
          <cell r="D17367"/>
          <cell r="E17367"/>
        </row>
        <row r="17368">
          <cell r="A17368"/>
          <cell r="B17368"/>
          <cell r="C17368"/>
          <cell r="D17368"/>
          <cell r="E17368"/>
        </row>
        <row r="17369">
          <cell r="A17369"/>
          <cell r="B17369"/>
          <cell r="C17369"/>
          <cell r="D17369"/>
          <cell r="E17369"/>
        </row>
        <row r="17370">
          <cell r="A17370"/>
          <cell r="B17370"/>
          <cell r="C17370"/>
          <cell r="D17370"/>
          <cell r="E17370"/>
        </row>
        <row r="17371">
          <cell r="A17371"/>
          <cell r="B17371"/>
          <cell r="C17371"/>
          <cell r="D17371"/>
          <cell r="E17371"/>
        </row>
        <row r="17372">
          <cell r="A17372"/>
          <cell r="B17372"/>
          <cell r="C17372"/>
          <cell r="D17372"/>
          <cell r="E17372"/>
        </row>
        <row r="17373">
          <cell r="A17373"/>
          <cell r="B17373"/>
          <cell r="C17373"/>
          <cell r="D17373"/>
          <cell r="E17373"/>
        </row>
        <row r="17374">
          <cell r="A17374"/>
          <cell r="B17374"/>
          <cell r="C17374"/>
          <cell r="D17374"/>
          <cell r="E17374"/>
        </row>
        <row r="17375">
          <cell r="A17375"/>
          <cell r="B17375"/>
          <cell r="C17375"/>
          <cell r="D17375"/>
          <cell r="E17375"/>
        </row>
        <row r="17376">
          <cell r="A17376"/>
          <cell r="B17376"/>
          <cell r="C17376"/>
          <cell r="D17376"/>
          <cell r="E17376"/>
        </row>
        <row r="17377">
          <cell r="A17377"/>
          <cell r="B17377"/>
          <cell r="C17377"/>
          <cell r="D17377"/>
          <cell r="E17377"/>
        </row>
        <row r="17378">
          <cell r="A17378"/>
          <cell r="B17378"/>
          <cell r="C17378"/>
          <cell r="D17378"/>
          <cell r="E17378"/>
        </row>
        <row r="17379">
          <cell r="A17379"/>
          <cell r="B17379"/>
          <cell r="C17379"/>
          <cell r="D17379"/>
          <cell r="E17379"/>
        </row>
        <row r="17380">
          <cell r="A17380"/>
          <cell r="B17380"/>
          <cell r="C17380"/>
          <cell r="D17380"/>
          <cell r="E17380"/>
        </row>
        <row r="17381">
          <cell r="A17381"/>
          <cell r="B17381"/>
          <cell r="C17381"/>
          <cell r="D17381"/>
          <cell r="E17381"/>
        </row>
        <row r="17382">
          <cell r="A17382"/>
          <cell r="B17382"/>
          <cell r="C17382"/>
          <cell r="D17382"/>
          <cell r="E17382"/>
        </row>
        <row r="17383">
          <cell r="A17383"/>
          <cell r="B17383"/>
          <cell r="C17383"/>
          <cell r="D17383"/>
          <cell r="E17383"/>
        </row>
        <row r="17384">
          <cell r="A17384"/>
          <cell r="B17384"/>
          <cell r="C17384"/>
          <cell r="D17384"/>
          <cell r="E17384"/>
        </row>
        <row r="17385">
          <cell r="A17385"/>
          <cell r="B17385"/>
          <cell r="C17385"/>
          <cell r="D17385"/>
          <cell r="E17385"/>
        </row>
        <row r="17386">
          <cell r="A17386"/>
          <cell r="B17386"/>
          <cell r="C17386"/>
          <cell r="D17386"/>
          <cell r="E17386"/>
        </row>
        <row r="17387">
          <cell r="A17387"/>
          <cell r="B17387"/>
          <cell r="C17387"/>
          <cell r="D17387"/>
          <cell r="E17387"/>
        </row>
        <row r="17388">
          <cell r="A17388"/>
          <cell r="B17388"/>
          <cell r="C17388"/>
          <cell r="D17388"/>
          <cell r="E17388"/>
        </row>
        <row r="17389">
          <cell r="A17389"/>
          <cell r="B17389"/>
          <cell r="C17389"/>
          <cell r="D17389"/>
          <cell r="E17389"/>
        </row>
        <row r="17390">
          <cell r="A17390"/>
          <cell r="B17390"/>
          <cell r="C17390"/>
          <cell r="D17390"/>
          <cell r="E17390"/>
        </row>
        <row r="17391">
          <cell r="A17391"/>
          <cell r="B17391"/>
          <cell r="C17391"/>
          <cell r="D17391"/>
          <cell r="E17391"/>
        </row>
        <row r="17392">
          <cell r="A17392"/>
          <cell r="B17392"/>
          <cell r="C17392"/>
          <cell r="D17392"/>
          <cell r="E17392"/>
        </row>
        <row r="17393">
          <cell r="A17393"/>
          <cell r="B17393"/>
          <cell r="C17393"/>
          <cell r="D17393"/>
          <cell r="E17393"/>
        </row>
        <row r="17394">
          <cell r="A17394"/>
          <cell r="B17394"/>
          <cell r="C17394"/>
          <cell r="D17394"/>
          <cell r="E17394"/>
        </row>
        <row r="17395">
          <cell r="A17395"/>
          <cell r="B17395"/>
          <cell r="C17395"/>
          <cell r="D17395"/>
          <cell r="E17395"/>
        </row>
        <row r="17396">
          <cell r="A17396"/>
          <cell r="B17396"/>
          <cell r="C17396"/>
          <cell r="D17396"/>
          <cell r="E17396"/>
        </row>
        <row r="17397">
          <cell r="A17397"/>
          <cell r="B17397"/>
          <cell r="C17397"/>
          <cell r="D17397"/>
          <cell r="E17397"/>
        </row>
        <row r="17398">
          <cell r="A17398"/>
          <cell r="B17398"/>
          <cell r="C17398"/>
          <cell r="D17398"/>
          <cell r="E17398"/>
        </row>
        <row r="17399">
          <cell r="A17399"/>
          <cell r="B17399"/>
          <cell r="C17399"/>
          <cell r="D17399"/>
          <cell r="E17399"/>
        </row>
        <row r="17400">
          <cell r="A17400"/>
          <cell r="B17400"/>
          <cell r="C17400"/>
          <cell r="D17400"/>
          <cell r="E17400"/>
        </row>
        <row r="17401">
          <cell r="A17401"/>
          <cell r="B17401"/>
          <cell r="C17401"/>
          <cell r="D17401"/>
          <cell r="E17401"/>
        </row>
        <row r="17402">
          <cell r="A17402"/>
          <cell r="B17402"/>
          <cell r="C17402"/>
          <cell r="D17402"/>
          <cell r="E17402"/>
        </row>
        <row r="17403">
          <cell r="A17403"/>
          <cell r="B17403"/>
          <cell r="C17403"/>
          <cell r="D17403"/>
          <cell r="E17403"/>
        </row>
        <row r="17404">
          <cell r="A17404"/>
          <cell r="B17404"/>
          <cell r="C17404"/>
          <cell r="D17404"/>
          <cell r="E17404"/>
        </row>
        <row r="17405">
          <cell r="A17405"/>
          <cell r="B17405"/>
          <cell r="C17405"/>
          <cell r="D17405"/>
          <cell r="E17405"/>
        </row>
        <row r="17406">
          <cell r="A17406"/>
          <cell r="B17406"/>
          <cell r="C17406"/>
          <cell r="D17406"/>
          <cell r="E17406"/>
        </row>
        <row r="17407">
          <cell r="A17407"/>
          <cell r="B17407"/>
          <cell r="C17407"/>
          <cell r="D17407"/>
          <cell r="E17407"/>
        </row>
        <row r="17408">
          <cell r="A17408"/>
          <cell r="B17408"/>
          <cell r="C17408"/>
          <cell r="D17408"/>
          <cell r="E17408"/>
        </row>
        <row r="17409">
          <cell r="A17409"/>
          <cell r="B17409"/>
          <cell r="C17409"/>
          <cell r="D17409"/>
          <cell r="E17409"/>
        </row>
        <row r="17410">
          <cell r="A17410"/>
          <cell r="B17410"/>
          <cell r="C17410"/>
          <cell r="D17410"/>
          <cell r="E17410"/>
        </row>
        <row r="17411">
          <cell r="A17411"/>
          <cell r="B17411"/>
          <cell r="C17411"/>
          <cell r="D17411"/>
          <cell r="E17411"/>
        </row>
        <row r="17412">
          <cell r="A17412"/>
          <cell r="B17412"/>
          <cell r="C17412"/>
          <cell r="D17412"/>
          <cell r="E17412"/>
        </row>
        <row r="17413">
          <cell r="A17413"/>
          <cell r="B17413"/>
          <cell r="C17413"/>
          <cell r="D17413"/>
          <cell r="E17413"/>
        </row>
        <row r="17414">
          <cell r="A17414"/>
          <cell r="B17414"/>
          <cell r="C17414"/>
          <cell r="D17414"/>
          <cell r="E17414"/>
        </row>
        <row r="17415">
          <cell r="A17415"/>
          <cell r="B17415"/>
          <cell r="C17415"/>
          <cell r="D17415"/>
          <cell r="E17415"/>
        </row>
        <row r="17416">
          <cell r="A17416"/>
          <cell r="B17416"/>
          <cell r="C17416"/>
          <cell r="D17416"/>
          <cell r="E17416"/>
        </row>
        <row r="17417">
          <cell r="A17417"/>
          <cell r="B17417"/>
          <cell r="C17417"/>
          <cell r="D17417"/>
          <cell r="E17417"/>
        </row>
        <row r="17418">
          <cell r="A17418"/>
          <cell r="B17418"/>
          <cell r="C17418"/>
          <cell r="D17418"/>
          <cell r="E17418"/>
        </row>
        <row r="17419">
          <cell r="A17419"/>
          <cell r="B17419"/>
          <cell r="C17419"/>
          <cell r="D17419"/>
          <cell r="E17419"/>
        </row>
        <row r="17420">
          <cell r="A17420"/>
          <cell r="B17420"/>
          <cell r="C17420"/>
          <cell r="D17420"/>
          <cell r="E17420"/>
        </row>
        <row r="17421">
          <cell r="A17421"/>
          <cell r="B17421"/>
          <cell r="C17421"/>
          <cell r="D17421"/>
          <cell r="E17421"/>
        </row>
        <row r="17422">
          <cell r="A17422"/>
          <cell r="B17422"/>
          <cell r="C17422"/>
          <cell r="D17422"/>
          <cell r="E17422"/>
        </row>
        <row r="17423">
          <cell r="A17423"/>
          <cell r="B17423"/>
          <cell r="C17423"/>
          <cell r="D17423"/>
          <cell r="E17423"/>
        </row>
        <row r="17424">
          <cell r="A17424"/>
          <cell r="B17424"/>
          <cell r="C17424"/>
          <cell r="D17424"/>
          <cell r="E17424"/>
        </row>
        <row r="17425">
          <cell r="A17425"/>
          <cell r="B17425"/>
          <cell r="C17425"/>
          <cell r="D17425"/>
          <cell r="E17425"/>
        </row>
        <row r="17426">
          <cell r="A17426"/>
          <cell r="B17426"/>
          <cell r="C17426"/>
          <cell r="D17426"/>
          <cell r="E17426"/>
        </row>
        <row r="17427">
          <cell r="A17427"/>
          <cell r="B17427"/>
          <cell r="C17427"/>
          <cell r="D17427"/>
          <cell r="E17427"/>
        </row>
        <row r="17428">
          <cell r="A17428"/>
          <cell r="B17428"/>
          <cell r="C17428"/>
          <cell r="D17428"/>
          <cell r="E17428"/>
        </row>
        <row r="17429">
          <cell r="A17429"/>
          <cell r="B17429"/>
          <cell r="C17429"/>
          <cell r="D17429"/>
          <cell r="E17429"/>
        </row>
        <row r="17430">
          <cell r="A17430"/>
          <cell r="B17430"/>
          <cell r="C17430"/>
          <cell r="D17430"/>
          <cell r="E17430"/>
        </row>
        <row r="17431">
          <cell r="A17431"/>
          <cell r="B17431"/>
          <cell r="C17431"/>
          <cell r="D17431"/>
          <cell r="E17431"/>
        </row>
        <row r="17432">
          <cell r="A17432"/>
          <cell r="B17432"/>
          <cell r="C17432"/>
          <cell r="D17432"/>
          <cell r="E17432"/>
        </row>
        <row r="17433">
          <cell r="A17433"/>
          <cell r="B17433"/>
          <cell r="C17433"/>
          <cell r="D17433"/>
          <cell r="E17433"/>
        </row>
        <row r="17434">
          <cell r="A17434"/>
          <cell r="B17434"/>
          <cell r="C17434"/>
          <cell r="D17434"/>
          <cell r="E17434"/>
        </row>
        <row r="17435">
          <cell r="A17435"/>
          <cell r="B17435"/>
          <cell r="C17435"/>
          <cell r="D17435"/>
          <cell r="E17435"/>
        </row>
        <row r="17436">
          <cell r="A17436"/>
          <cell r="B17436"/>
          <cell r="C17436"/>
          <cell r="D17436"/>
          <cell r="E17436"/>
        </row>
        <row r="17437">
          <cell r="A17437"/>
          <cell r="B17437"/>
          <cell r="C17437"/>
          <cell r="D17437"/>
          <cell r="E17437"/>
        </row>
        <row r="17438">
          <cell r="A17438"/>
          <cell r="B17438"/>
          <cell r="C17438"/>
          <cell r="D17438"/>
          <cell r="E17438"/>
        </row>
        <row r="17439">
          <cell r="A17439"/>
          <cell r="B17439"/>
          <cell r="C17439"/>
          <cell r="D17439"/>
          <cell r="E17439"/>
        </row>
        <row r="17440">
          <cell r="A17440"/>
          <cell r="B17440"/>
          <cell r="C17440"/>
          <cell r="D17440"/>
          <cell r="E17440"/>
        </row>
        <row r="17441">
          <cell r="A17441"/>
          <cell r="B17441"/>
          <cell r="C17441"/>
          <cell r="D17441"/>
          <cell r="E17441"/>
        </row>
        <row r="17442">
          <cell r="A17442"/>
          <cell r="B17442"/>
          <cell r="C17442"/>
          <cell r="D17442"/>
          <cell r="E17442"/>
        </row>
        <row r="17443">
          <cell r="A17443"/>
          <cell r="B17443"/>
          <cell r="C17443"/>
          <cell r="D17443"/>
          <cell r="E17443"/>
        </row>
        <row r="17444">
          <cell r="A17444"/>
          <cell r="B17444"/>
          <cell r="C17444"/>
          <cell r="D17444"/>
          <cell r="E17444"/>
        </row>
        <row r="17445">
          <cell r="A17445"/>
          <cell r="B17445"/>
          <cell r="C17445"/>
          <cell r="D17445"/>
          <cell r="E17445"/>
        </row>
        <row r="17446">
          <cell r="A17446"/>
          <cell r="B17446"/>
          <cell r="C17446"/>
          <cell r="D17446"/>
          <cell r="E17446"/>
        </row>
        <row r="17447">
          <cell r="A17447"/>
          <cell r="B17447"/>
          <cell r="C17447"/>
          <cell r="D17447"/>
          <cell r="E17447"/>
        </row>
        <row r="17448">
          <cell r="A17448"/>
          <cell r="B17448"/>
          <cell r="C17448"/>
          <cell r="D17448"/>
          <cell r="E17448"/>
        </row>
        <row r="17449">
          <cell r="A17449"/>
          <cell r="B17449"/>
          <cell r="C17449"/>
          <cell r="D17449"/>
          <cell r="E17449"/>
        </row>
        <row r="17450">
          <cell r="A17450"/>
          <cell r="B17450"/>
          <cell r="C17450"/>
          <cell r="D17450"/>
          <cell r="E17450"/>
        </row>
        <row r="17451">
          <cell r="A17451"/>
          <cell r="B17451"/>
          <cell r="C17451"/>
          <cell r="D17451"/>
          <cell r="E17451"/>
        </row>
        <row r="17452">
          <cell r="A17452"/>
          <cell r="B17452"/>
          <cell r="C17452"/>
          <cell r="D17452"/>
          <cell r="E17452"/>
        </row>
        <row r="17453">
          <cell r="A17453"/>
          <cell r="B17453"/>
          <cell r="C17453"/>
          <cell r="D17453"/>
          <cell r="E17453"/>
        </row>
        <row r="17454">
          <cell r="A17454"/>
          <cell r="B17454"/>
          <cell r="C17454"/>
          <cell r="D17454"/>
          <cell r="E17454"/>
        </row>
        <row r="17455">
          <cell r="A17455"/>
          <cell r="B17455"/>
          <cell r="C17455"/>
          <cell r="D17455"/>
          <cell r="E17455"/>
        </row>
        <row r="17456">
          <cell r="A17456"/>
          <cell r="B17456"/>
          <cell r="C17456"/>
          <cell r="D17456"/>
          <cell r="E17456"/>
        </row>
        <row r="17457">
          <cell r="A17457"/>
          <cell r="B17457"/>
          <cell r="C17457"/>
          <cell r="D17457"/>
          <cell r="E17457"/>
        </row>
        <row r="17458">
          <cell r="A17458"/>
          <cell r="B17458"/>
          <cell r="C17458"/>
          <cell r="D17458"/>
          <cell r="E17458"/>
        </row>
        <row r="17459">
          <cell r="A17459"/>
          <cell r="B17459"/>
          <cell r="C17459"/>
          <cell r="D17459"/>
          <cell r="E17459"/>
        </row>
        <row r="17460">
          <cell r="A17460"/>
          <cell r="B17460"/>
          <cell r="C17460"/>
          <cell r="D17460"/>
          <cell r="E17460"/>
        </row>
        <row r="17461">
          <cell r="A17461"/>
          <cell r="B17461"/>
          <cell r="C17461"/>
          <cell r="D17461"/>
          <cell r="E17461"/>
        </row>
        <row r="17462">
          <cell r="A17462"/>
          <cell r="B17462"/>
          <cell r="C17462"/>
          <cell r="D17462"/>
          <cell r="E17462"/>
        </row>
        <row r="17463">
          <cell r="A17463"/>
          <cell r="B17463"/>
          <cell r="C17463"/>
          <cell r="D17463"/>
          <cell r="E17463"/>
        </row>
        <row r="17464">
          <cell r="A17464"/>
          <cell r="B17464"/>
          <cell r="C17464"/>
          <cell r="D17464"/>
          <cell r="E17464"/>
        </row>
        <row r="17465">
          <cell r="A17465"/>
          <cell r="B17465"/>
          <cell r="C17465"/>
          <cell r="D17465"/>
          <cell r="E17465"/>
        </row>
        <row r="17466">
          <cell r="A17466"/>
          <cell r="B17466"/>
          <cell r="C17466"/>
          <cell r="D17466"/>
          <cell r="E17466"/>
        </row>
        <row r="17467">
          <cell r="A17467"/>
          <cell r="B17467"/>
          <cell r="C17467"/>
          <cell r="D17467"/>
          <cell r="E17467"/>
        </row>
        <row r="17468">
          <cell r="A17468"/>
          <cell r="B17468"/>
          <cell r="C17468"/>
          <cell r="D17468"/>
          <cell r="E17468"/>
        </row>
        <row r="17469">
          <cell r="A17469"/>
          <cell r="B17469"/>
          <cell r="C17469"/>
          <cell r="D17469"/>
          <cell r="E17469"/>
        </row>
        <row r="17470">
          <cell r="A17470"/>
          <cell r="B17470"/>
          <cell r="C17470"/>
          <cell r="D17470"/>
          <cell r="E17470"/>
        </row>
        <row r="17471">
          <cell r="A17471"/>
          <cell r="B17471"/>
          <cell r="C17471"/>
          <cell r="D17471"/>
          <cell r="E17471"/>
        </row>
        <row r="17472">
          <cell r="A17472"/>
          <cell r="B17472"/>
          <cell r="C17472"/>
          <cell r="D17472"/>
          <cell r="E17472"/>
        </row>
        <row r="17473">
          <cell r="A17473"/>
          <cell r="B17473"/>
          <cell r="C17473"/>
          <cell r="D17473"/>
          <cell r="E17473"/>
        </row>
        <row r="17474">
          <cell r="A17474"/>
          <cell r="B17474"/>
          <cell r="C17474"/>
          <cell r="D17474"/>
          <cell r="E17474"/>
        </row>
        <row r="17475">
          <cell r="A17475"/>
          <cell r="B17475"/>
          <cell r="C17475"/>
          <cell r="D17475"/>
          <cell r="E17475"/>
        </row>
        <row r="17476">
          <cell r="A17476"/>
          <cell r="B17476"/>
          <cell r="C17476"/>
          <cell r="D17476"/>
          <cell r="E17476"/>
        </row>
        <row r="17477">
          <cell r="A17477"/>
          <cell r="B17477"/>
          <cell r="C17477"/>
          <cell r="D17477"/>
          <cell r="E17477"/>
        </row>
        <row r="17478">
          <cell r="A17478"/>
          <cell r="B17478"/>
          <cell r="C17478"/>
          <cell r="D17478"/>
          <cell r="E17478"/>
        </row>
        <row r="17479">
          <cell r="A17479"/>
          <cell r="B17479"/>
          <cell r="C17479"/>
          <cell r="D17479"/>
          <cell r="E17479"/>
        </row>
        <row r="17480">
          <cell r="A17480"/>
          <cell r="B17480"/>
          <cell r="C17480"/>
          <cell r="D17480"/>
          <cell r="E17480"/>
        </row>
        <row r="17481">
          <cell r="A17481"/>
          <cell r="B17481"/>
          <cell r="C17481"/>
          <cell r="D17481"/>
          <cell r="E17481"/>
        </row>
        <row r="17482">
          <cell r="A17482"/>
          <cell r="B17482"/>
          <cell r="C17482"/>
          <cell r="D17482"/>
          <cell r="E17482"/>
        </row>
        <row r="17483">
          <cell r="A17483"/>
          <cell r="B17483"/>
          <cell r="C17483"/>
          <cell r="D17483"/>
          <cell r="E17483"/>
        </row>
        <row r="17484">
          <cell r="A17484"/>
          <cell r="B17484"/>
          <cell r="C17484"/>
          <cell r="D17484"/>
          <cell r="E17484"/>
        </row>
        <row r="17485">
          <cell r="A17485"/>
          <cell r="B17485"/>
          <cell r="C17485"/>
          <cell r="D17485"/>
          <cell r="E17485"/>
        </row>
        <row r="17486">
          <cell r="A17486"/>
          <cell r="B17486"/>
          <cell r="C17486"/>
          <cell r="D17486"/>
          <cell r="E17486"/>
        </row>
        <row r="17487">
          <cell r="A17487"/>
          <cell r="B17487"/>
          <cell r="C17487"/>
          <cell r="D17487"/>
          <cell r="E17487"/>
        </row>
        <row r="17488">
          <cell r="A17488"/>
          <cell r="B17488"/>
          <cell r="C17488"/>
          <cell r="D17488"/>
          <cell r="E17488"/>
        </row>
        <row r="17489">
          <cell r="A17489"/>
          <cell r="B17489"/>
          <cell r="C17489"/>
          <cell r="D17489"/>
          <cell r="E17489"/>
        </row>
        <row r="17490">
          <cell r="A17490"/>
          <cell r="B17490"/>
          <cell r="C17490"/>
          <cell r="D17490"/>
          <cell r="E17490"/>
        </row>
        <row r="17491">
          <cell r="A17491"/>
          <cell r="B17491"/>
          <cell r="C17491"/>
          <cell r="D17491"/>
          <cell r="E17491"/>
        </row>
        <row r="17492">
          <cell r="A17492"/>
          <cell r="B17492"/>
          <cell r="C17492"/>
          <cell r="D17492"/>
          <cell r="E17492"/>
        </row>
        <row r="17493">
          <cell r="A17493"/>
          <cell r="B17493"/>
          <cell r="C17493"/>
          <cell r="D17493"/>
          <cell r="E17493"/>
        </row>
        <row r="17494">
          <cell r="A17494"/>
          <cell r="B17494"/>
          <cell r="C17494"/>
          <cell r="D17494"/>
          <cell r="E17494"/>
        </row>
        <row r="17495">
          <cell r="A17495"/>
          <cell r="B17495"/>
          <cell r="C17495"/>
          <cell r="D17495"/>
          <cell r="E17495"/>
        </row>
        <row r="17496">
          <cell r="A17496"/>
          <cell r="B17496"/>
          <cell r="C17496"/>
          <cell r="D17496"/>
          <cell r="E17496"/>
        </row>
        <row r="17497">
          <cell r="A17497"/>
          <cell r="B17497"/>
          <cell r="C17497"/>
          <cell r="D17497"/>
          <cell r="E17497"/>
        </row>
        <row r="17498">
          <cell r="A17498"/>
          <cell r="B17498"/>
          <cell r="C17498"/>
          <cell r="D17498"/>
          <cell r="E17498"/>
        </row>
        <row r="17499">
          <cell r="A17499"/>
          <cell r="B17499"/>
          <cell r="C17499"/>
          <cell r="D17499"/>
          <cell r="E17499"/>
        </row>
        <row r="17500">
          <cell r="A17500"/>
          <cell r="B17500"/>
          <cell r="C17500"/>
          <cell r="D17500"/>
          <cell r="E17500"/>
        </row>
        <row r="17501">
          <cell r="A17501"/>
          <cell r="B17501"/>
          <cell r="C17501"/>
          <cell r="D17501"/>
          <cell r="E17501"/>
        </row>
        <row r="17502">
          <cell r="A17502"/>
          <cell r="B17502"/>
          <cell r="C17502"/>
          <cell r="D17502"/>
          <cell r="E17502"/>
        </row>
        <row r="17503">
          <cell r="A17503"/>
          <cell r="B17503"/>
          <cell r="C17503"/>
          <cell r="D17503"/>
          <cell r="E17503"/>
        </row>
        <row r="17504">
          <cell r="A17504"/>
          <cell r="B17504"/>
          <cell r="C17504"/>
          <cell r="D17504"/>
          <cell r="E17504"/>
        </row>
        <row r="17505">
          <cell r="A17505"/>
          <cell r="B17505"/>
          <cell r="C17505"/>
          <cell r="D17505"/>
          <cell r="E17505"/>
        </row>
        <row r="17506">
          <cell r="A17506"/>
          <cell r="B17506"/>
          <cell r="C17506"/>
          <cell r="D17506"/>
          <cell r="E17506"/>
        </row>
        <row r="17507">
          <cell r="A17507"/>
          <cell r="B17507"/>
          <cell r="C17507"/>
          <cell r="D17507"/>
          <cell r="E17507"/>
        </row>
        <row r="17508">
          <cell r="A17508"/>
          <cell r="B17508"/>
          <cell r="C17508"/>
          <cell r="D17508"/>
          <cell r="E17508"/>
        </row>
        <row r="17509">
          <cell r="A17509"/>
          <cell r="B17509"/>
          <cell r="C17509"/>
          <cell r="D17509"/>
          <cell r="E17509"/>
        </row>
        <row r="17510">
          <cell r="A17510"/>
          <cell r="B17510"/>
          <cell r="C17510"/>
          <cell r="D17510"/>
          <cell r="E17510"/>
        </row>
        <row r="17511">
          <cell r="A17511"/>
          <cell r="B17511"/>
          <cell r="C17511"/>
          <cell r="D17511"/>
          <cell r="E17511"/>
        </row>
        <row r="17512">
          <cell r="A17512"/>
          <cell r="B17512"/>
          <cell r="C17512"/>
          <cell r="D17512"/>
          <cell r="E17512"/>
        </row>
        <row r="17513">
          <cell r="A17513"/>
          <cell r="B17513"/>
          <cell r="C17513"/>
          <cell r="D17513"/>
          <cell r="E17513"/>
        </row>
        <row r="17514">
          <cell r="A17514"/>
          <cell r="B17514"/>
          <cell r="C17514"/>
          <cell r="D17514"/>
          <cell r="E17514"/>
        </row>
        <row r="17515">
          <cell r="A17515"/>
          <cell r="B17515"/>
          <cell r="C17515"/>
          <cell r="D17515"/>
          <cell r="E17515"/>
        </row>
        <row r="17516">
          <cell r="A17516"/>
          <cell r="B17516"/>
          <cell r="C17516"/>
          <cell r="D17516"/>
          <cell r="E17516"/>
        </row>
        <row r="17517">
          <cell r="A17517"/>
          <cell r="B17517"/>
          <cell r="C17517"/>
          <cell r="D17517"/>
          <cell r="E17517"/>
        </row>
        <row r="17518">
          <cell r="A17518"/>
          <cell r="B17518"/>
          <cell r="C17518"/>
          <cell r="D17518"/>
          <cell r="E17518"/>
        </row>
        <row r="17519">
          <cell r="A17519"/>
          <cell r="B17519"/>
          <cell r="C17519"/>
          <cell r="D17519"/>
          <cell r="E17519"/>
        </row>
        <row r="17520">
          <cell r="A17520"/>
          <cell r="B17520"/>
          <cell r="C17520"/>
          <cell r="D17520"/>
          <cell r="E17520"/>
        </row>
        <row r="17521">
          <cell r="A17521"/>
          <cell r="B17521"/>
          <cell r="C17521"/>
          <cell r="D17521"/>
          <cell r="E17521"/>
        </row>
        <row r="17522">
          <cell r="A17522"/>
          <cell r="B17522"/>
          <cell r="C17522"/>
          <cell r="D17522"/>
          <cell r="E17522"/>
        </row>
        <row r="17523">
          <cell r="A17523"/>
          <cell r="B17523"/>
          <cell r="C17523"/>
          <cell r="D17523"/>
          <cell r="E17523"/>
        </row>
        <row r="17524">
          <cell r="A17524"/>
          <cell r="B17524"/>
          <cell r="C17524"/>
          <cell r="D17524"/>
          <cell r="E17524"/>
        </row>
        <row r="17525">
          <cell r="A17525"/>
          <cell r="B17525"/>
          <cell r="C17525"/>
          <cell r="D17525"/>
          <cell r="E17525"/>
        </row>
        <row r="17526">
          <cell r="A17526"/>
          <cell r="B17526"/>
          <cell r="C17526"/>
          <cell r="D17526"/>
          <cell r="E17526"/>
        </row>
        <row r="17527">
          <cell r="A17527"/>
          <cell r="B17527"/>
          <cell r="C17527"/>
          <cell r="D17527"/>
          <cell r="E17527"/>
        </row>
        <row r="17528">
          <cell r="A17528"/>
          <cell r="B17528"/>
          <cell r="C17528"/>
          <cell r="D17528"/>
          <cell r="E17528"/>
        </row>
        <row r="17529">
          <cell r="A17529"/>
          <cell r="B17529"/>
          <cell r="C17529"/>
          <cell r="D17529"/>
          <cell r="E17529"/>
        </row>
        <row r="17530">
          <cell r="A17530"/>
          <cell r="B17530"/>
          <cell r="C17530"/>
          <cell r="D17530"/>
          <cell r="E17530"/>
        </row>
        <row r="17531">
          <cell r="A17531"/>
          <cell r="B17531"/>
          <cell r="C17531"/>
          <cell r="D17531"/>
          <cell r="E17531"/>
        </row>
        <row r="17532">
          <cell r="A17532"/>
          <cell r="B17532"/>
          <cell r="C17532"/>
          <cell r="D17532"/>
          <cell r="E17532"/>
        </row>
        <row r="17533">
          <cell r="A17533"/>
          <cell r="B17533"/>
          <cell r="C17533"/>
          <cell r="D17533"/>
          <cell r="E17533"/>
        </row>
        <row r="17534">
          <cell r="A17534"/>
          <cell r="B17534"/>
          <cell r="C17534"/>
          <cell r="D17534"/>
          <cell r="E17534"/>
        </row>
        <row r="17535">
          <cell r="A17535"/>
          <cell r="B17535"/>
          <cell r="C17535"/>
          <cell r="D17535"/>
          <cell r="E17535"/>
        </row>
        <row r="17536">
          <cell r="A17536"/>
          <cell r="B17536"/>
          <cell r="C17536"/>
          <cell r="D17536"/>
          <cell r="E17536"/>
        </row>
        <row r="17537">
          <cell r="A17537"/>
          <cell r="B17537"/>
          <cell r="C17537"/>
          <cell r="D17537"/>
          <cell r="E17537"/>
        </row>
        <row r="17538">
          <cell r="A17538"/>
          <cell r="B17538"/>
          <cell r="C17538"/>
          <cell r="D17538"/>
          <cell r="E17538"/>
        </row>
        <row r="17539">
          <cell r="A17539"/>
          <cell r="B17539"/>
          <cell r="C17539"/>
          <cell r="D17539"/>
          <cell r="E17539"/>
        </row>
        <row r="17540">
          <cell r="A17540"/>
          <cell r="B17540"/>
          <cell r="C17540"/>
          <cell r="D17540"/>
          <cell r="E17540"/>
        </row>
        <row r="17541">
          <cell r="A17541"/>
          <cell r="B17541"/>
          <cell r="C17541"/>
          <cell r="D17541"/>
          <cell r="E17541"/>
        </row>
        <row r="17542">
          <cell r="A17542"/>
          <cell r="B17542"/>
          <cell r="C17542"/>
          <cell r="D17542"/>
          <cell r="E17542"/>
        </row>
        <row r="17543">
          <cell r="A17543"/>
          <cell r="B17543"/>
          <cell r="C17543"/>
          <cell r="D17543"/>
          <cell r="E17543"/>
        </row>
        <row r="17544">
          <cell r="A17544"/>
          <cell r="B17544"/>
          <cell r="C17544"/>
          <cell r="D17544"/>
          <cell r="E17544"/>
        </row>
        <row r="17545">
          <cell r="A17545"/>
          <cell r="B17545"/>
          <cell r="C17545"/>
          <cell r="D17545"/>
          <cell r="E17545"/>
        </row>
        <row r="17546">
          <cell r="A17546"/>
          <cell r="B17546"/>
          <cell r="C17546"/>
          <cell r="D17546"/>
          <cell r="E17546"/>
        </row>
        <row r="17547">
          <cell r="A17547"/>
          <cell r="B17547"/>
          <cell r="C17547"/>
          <cell r="D17547"/>
          <cell r="E17547"/>
        </row>
        <row r="17548">
          <cell r="A17548"/>
          <cell r="B17548"/>
          <cell r="C17548"/>
          <cell r="D17548"/>
          <cell r="E17548"/>
        </row>
        <row r="17549">
          <cell r="A17549"/>
          <cell r="B17549"/>
          <cell r="C17549"/>
          <cell r="D17549"/>
          <cell r="E17549"/>
        </row>
        <row r="17550">
          <cell r="A17550"/>
          <cell r="B17550"/>
          <cell r="C17550"/>
          <cell r="D17550"/>
          <cell r="E17550"/>
        </row>
        <row r="17551">
          <cell r="A17551"/>
          <cell r="B17551"/>
          <cell r="C17551"/>
          <cell r="D17551"/>
          <cell r="E17551"/>
        </row>
        <row r="17552">
          <cell r="A17552"/>
          <cell r="B17552"/>
          <cell r="C17552"/>
          <cell r="D17552"/>
          <cell r="E17552"/>
        </row>
        <row r="17553">
          <cell r="A17553"/>
          <cell r="B17553"/>
          <cell r="C17553"/>
          <cell r="D17553"/>
          <cell r="E17553"/>
        </row>
        <row r="17554">
          <cell r="A17554"/>
          <cell r="B17554"/>
          <cell r="C17554"/>
          <cell r="D17554"/>
          <cell r="E17554"/>
        </row>
        <row r="17555">
          <cell r="A17555"/>
          <cell r="B17555"/>
          <cell r="C17555"/>
          <cell r="D17555"/>
          <cell r="E17555"/>
        </row>
        <row r="17556">
          <cell r="A17556"/>
          <cell r="B17556"/>
          <cell r="C17556"/>
          <cell r="D17556"/>
          <cell r="E17556"/>
        </row>
        <row r="17557">
          <cell r="A17557"/>
          <cell r="B17557"/>
          <cell r="C17557"/>
          <cell r="D17557"/>
          <cell r="E17557"/>
        </row>
        <row r="17558">
          <cell r="A17558"/>
          <cell r="B17558"/>
          <cell r="C17558"/>
          <cell r="D17558"/>
          <cell r="E17558"/>
        </row>
        <row r="17559">
          <cell r="A17559"/>
          <cell r="B17559"/>
          <cell r="C17559"/>
          <cell r="D17559"/>
          <cell r="E17559"/>
        </row>
        <row r="17560">
          <cell r="A17560"/>
          <cell r="B17560"/>
          <cell r="C17560"/>
          <cell r="D17560"/>
          <cell r="E17560"/>
        </row>
        <row r="17561">
          <cell r="A17561"/>
          <cell r="B17561"/>
          <cell r="C17561"/>
          <cell r="D17561"/>
          <cell r="E17561"/>
        </row>
        <row r="17562">
          <cell r="A17562"/>
          <cell r="B17562"/>
          <cell r="C17562"/>
          <cell r="D17562"/>
          <cell r="E17562"/>
        </row>
        <row r="17563">
          <cell r="A17563"/>
          <cell r="B17563"/>
          <cell r="C17563"/>
          <cell r="D17563"/>
          <cell r="E17563"/>
        </row>
        <row r="17564">
          <cell r="A17564"/>
          <cell r="B17564"/>
          <cell r="C17564"/>
          <cell r="D17564"/>
          <cell r="E17564"/>
        </row>
        <row r="17565">
          <cell r="A17565"/>
          <cell r="B17565"/>
          <cell r="C17565"/>
          <cell r="D17565"/>
          <cell r="E17565"/>
        </row>
        <row r="17566">
          <cell r="A17566"/>
          <cell r="B17566"/>
          <cell r="C17566"/>
          <cell r="D17566"/>
          <cell r="E17566"/>
        </row>
        <row r="17567">
          <cell r="A17567"/>
          <cell r="B17567"/>
          <cell r="C17567"/>
          <cell r="D17567"/>
          <cell r="E17567"/>
        </row>
        <row r="17568">
          <cell r="A17568"/>
          <cell r="B17568"/>
          <cell r="C17568"/>
          <cell r="D17568"/>
          <cell r="E17568"/>
        </row>
        <row r="17569">
          <cell r="A17569"/>
          <cell r="B17569"/>
          <cell r="C17569"/>
          <cell r="D17569"/>
          <cell r="E17569"/>
        </row>
        <row r="17570">
          <cell r="A17570"/>
          <cell r="B17570"/>
          <cell r="C17570"/>
          <cell r="D17570"/>
          <cell r="E17570"/>
        </row>
        <row r="17571">
          <cell r="A17571"/>
          <cell r="B17571"/>
          <cell r="C17571"/>
          <cell r="D17571"/>
          <cell r="E17571"/>
        </row>
        <row r="17572">
          <cell r="A17572"/>
          <cell r="B17572"/>
          <cell r="C17572"/>
          <cell r="D17572"/>
          <cell r="E17572"/>
        </row>
        <row r="17573">
          <cell r="A17573"/>
          <cell r="B17573"/>
          <cell r="C17573"/>
          <cell r="D17573"/>
          <cell r="E17573"/>
        </row>
        <row r="17574">
          <cell r="A17574"/>
          <cell r="B17574"/>
          <cell r="C17574"/>
          <cell r="D17574"/>
          <cell r="E17574"/>
        </row>
        <row r="17575">
          <cell r="A17575"/>
          <cell r="B17575"/>
          <cell r="C17575"/>
          <cell r="D17575"/>
          <cell r="E17575"/>
        </row>
        <row r="17576">
          <cell r="A17576"/>
          <cell r="B17576"/>
          <cell r="C17576"/>
          <cell r="D17576"/>
          <cell r="E17576"/>
        </row>
        <row r="17577">
          <cell r="A17577"/>
          <cell r="B17577"/>
          <cell r="C17577"/>
          <cell r="D17577"/>
          <cell r="E17577"/>
        </row>
        <row r="17578">
          <cell r="A17578"/>
          <cell r="B17578"/>
          <cell r="C17578"/>
          <cell r="D17578"/>
          <cell r="E17578"/>
        </row>
        <row r="17579">
          <cell r="A17579"/>
          <cell r="B17579"/>
          <cell r="C17579"/>
          <cell r="D17579"/>
          <cell r="E17579"/>
        </row>
        <row r="17580">
          <cell r="A17580"/>
          <cell r="B17580"/>
          <cell r="C17580"/>
          <cell r="D17580"/>
          <cell r="E17580"/>
        </row>
        <row r="17581">
          <cell r="A17581"/>
          <cell r="B17581"/>
          <cell r="C17581"/>
          <cell r="D17581"/>
          <cell r="E17581"/>
        </row>
        <row r="17582">
          <cell r="A17582"/>
          <cell r="B17582"/>
          <cell r="C17582"/>
          <cell r="D17582"/>
          <cell r="E17582"/>
        </row>
        <row r="17583">
          <cell r="A17583"/>
          <cell r="B17583"/>
          <cell r="C17583"/>
          <cell r="D17583"/>
          <cell r="E17583"/>
        </row>
        <row r="17584">
          <cell r="A17584"/>
          <cell r="B17584"/>
          <cell r="C17584"/>
          <cell r="D17584"/>
          <cell r="E17584"/>
        </row>
        <row r="17585">
          <cell r="A17585"/>
          <cell r="B17585"/>
          <cell r="C17585"/>
          <cell r="D17585"/>
          <cell r="E17585"/>
        </row>
        <row r="17586">
          <cell r="A17586"/>
          <cell r="B17586"/>
          <cell r="C17586"/>
          <cell r="D17586"/>
          <cell r="E17586"/>
        </row>
        <row r="17587">
          <cell r="A17587"/>
          <cell r="B17587"/>
          <cell r="C17587"/>
          <cell r="D17587"/>
          <cell r="E17587"/>
        </row>
        <row r="17588">
          <cell r="A17588"/>
          <cell r="B17588"/>
          <cell r="C17588"/>
          <cell r="D17588"/>
          <cell r="E17588"/>
        </row>
        <row r="17589">
          <cell r="A17589"/>
          <cell r="B17589"/>
          <cell r="C17589"/>
          <cell r="D17589"/>
          <cell r="E17589"/>
        </row>
        <row r="17590">
          <cell r="A17590"/>
          <cell r="B17590"/>
          <cell r="C17590"/>
          <cell r="D17590"/>
          <cell r="E17590"/>
        </row>
        <row r="17591">
          <cell r="A17591"/>
          <cell r="B17591"/>
          <cell r="C17591"/>
          <cell r="D17591"/>
          <cell r="E17591"/>
        </row>
        <row r="17592">
          <cell r="A17592"/>
          <cell r="B17592"/>
          <cell r="C17592"/>
          <cell r="D17592"/>
          <cell r="E17592"/>
        </row>
        <row r="17593">
          <cell r="A17593"/>
          <cell r="B17593"/>
          <cell r="C17593"/>
          <cell r="D17593"/>
          <cell r="E17593"/>
        </row>
        <row r="17594">
          <cell r="A17594"/>
          <cell r="B17594"/>
          <cell r="C17594"/>
          <cell r="D17594"/>
          <cell r="E17594"/>
        </row>
        <row r="17595">
          <cell r="A17595"/>
          <cell r="B17595"/>
          <cell r="C17595"/>
          <cell r="D17595"/>
          <cell r="E17595"/>
        </row>
        <row r="17596">
          <cell r="A17596"/>
          <cell r="B17596"/>
          <cell r="C17596"/>
          <cell r="D17596"/>
          <cell r="E17596"/>
        </row>
        <row r="17597">
          <cell r="A17597"/>
          <cell r="B17597"/>
          <cell r="C17597"/>
          <cell r="D17597"/>
          <cell r="E17597"/>
        </row>
        <row r="17598">
          <cell r="A17598"/>
          <cell r="B17598"/>
          <cell r="C17598"/>
          <cell r="D17598"/>
          <cell r="E17598"/>
        </row>
        <row r="17599">
          <cell r="A17599"/>
          <cell r="B17599"/>
          <cell r="C17599"/>
          <cell r="D17599"/>
          <cell r="E17599"/>
        </row>
        <row r="17600">
          <cell r="A17600"/>
          <cell r="B17600"/>
          <cell r="C17600"/>
          <cell r="D17600"/>
          <cell r="E17600"/>
        </row>
        <row r="17601">
          <cell r="A17601"/>
          <cell r="B17601"/>
          <cell r="C17601"/>
          <cell r="D17601"/>
          <cell r="E17601"/>
        </row>
        <row r="17602">
          <cell r="A17602"/>
          <cell r="B17602"/>
          <cell r="C17602"/>
          <cell r="D17602"/>
          <cell r="E17602"/>
        </row>
        <row r="17603">
          <cell r="A17603"/>
          <cell r="B17603"/>
          <cell r="C17603"/>
          <cell r="D17603"/>
          <cell r="E17603"/>
        </row>
        <row r="17604">
          <cell r="A17604"/>
          <cell r="B17604"/>
          <cell r="C17604"/>
          <cell r="D17604"/>
          <cell r="E17604"/>
        </row>
        <row r="17605">
          <cell r="A17605"/>
          <cell r="B17605"/>
          <cell r="C17605"/>
          <cell r="D17605"/>
          <cell r="E17605"/>
        </row>
        <row r="17606">
          <cell r="A17606"/>
          <cell r="B17606"/>
          <cell r="C17606"/>
          <cell r="D17606"/>
          <cell r="E17606"/>
        </row>
        <row r="17607">
          <cell r="A17607"/>
          <cell r="B17607"/>
          <cell r="C17607"/>
          <cell r="D17607"/>
          <cell r="E17607"/>
        </row>
        <row r="17608">
          <cell r="A17608"/>
          <cell r="B17608"/>
          <cell r="C17608"/>
          <cell r="D17608"/>
          <cell r="E17608"/>
        </row>
        <row r="17609">
          <cell r="A17609"/>
          <cell r="B17609"/>
          <cell r="C17609"/>
          <cell r="D17609"/>
          <cell r="E17609"/>
        </row>
        <row r="17610">
          <cell r="A17610"/>
          <cell r="B17610"/>
          <cell r="C17610"/>
          <cell r="D17610"/>
          <cell r="E17610"/>
        </row>
        <row r="17611">
          <cell r="A17611"/>
          <cell r="B17611"/>
          <cell r="C17611"/>
          <cell r="D17611"/>
          <cell r="E17611"/>
        </row>
        <row r="17612">
          <cell r="A17612"/>
          <cell r="B17612"/>
          <cell r="C17612"/>
          <cell r="D17612"/>
          <cell r="E17612"/>
        </row>
        <row r="17613">
          <cell r="A17613"/>
          <cell r="B17613"/>
          <cell r="C17613"/>
          <cell r="D17613"/>
          <cell r="E17613"/>
        </row>
        <row r="17614">
          <cell r="A17614"/>
          <cell r="B17614"/>
          <cell r="C17614"/>
          <cell r="D17614"/>
          <cell r="E17614"/>
        </row>
        <row r="17615">
          <cell r="A17615"/>
          <cell r="B17615"/>
          <cell r="C17615"/>
          <cell r="D17615"/>
          <cell r="E17615"/>
        </row>
        <row r="17616">
          <cell r="A17616"/>
          <cell r="B17616"/>
          <cell r="C17616"/>
          <cell r="D17616"/>
          <cell r="E17616"/>
        </row>
        <row r="17617">
          <cell r="A17617"/>
          <cell r="B17617"/>
          <cell r="C17617"/>
          <cell r="D17617"/>
          <cell r="E17617"/>
        </row>
        <row r="17618">
          <cell r="A17618"/>
          <cell r="B17618"/>
          <cell r="C17618"/>
          <cell r="D17618"/>
          <cell r="E17618"/>
        </row>
        <row r="17619">
          <cell r="A17619"/>
          <cell r="B17619"/>
          <cell r="C17619"/>
          <cell r="D17619"/>
          <cell r="E17619"/>
        </row>
        <row r="17620">
          <cell r="A17620"/>
          <cell r="B17620"/>
          <cell r="C17620"/>
          <cell r="D17620"/>
          <cell r="E17620"/>
        </row>
        <row r="17621">
          <cell r="A17621"/>
          <cell r="B17621"/>
          <cell r="C17621"/>
          <cell r="D17621"/>
          <cell r="E17621"/>
        </row>
        <row r="17622">
          <cell r="A17622"/>
          <cell r="B17622"/>
          <cell r="C17622"/>
          <cell r="D17622"/>
          <cell r="E17622"/>
        </row>
        <row r="17623">
          <cell r="A17623"/>
          <cell r="B17623"/>
          <cell r="C17623"/>
          <cell r="D17623"/>
          <cell r="E17623"/>
        </row>
        <row r="17624">
          <cell r="A17624"/>
          <cell r="B17624"/>
          <cell r="C17624"/>
          <cell r="D17624"/>
          <cell r="E17624"/>
        </row>
        <row r="17625">
          <cell r="A17625"/>
          <cell r="B17625"/>
          <cell r="C17625"/>
          <cell r="D17625"/>
          <cell r="E17625"/>
        </row>
        <row r="17626">
          <cell r="A17626"/>
          <cell r="B17626"/>
          <cell r="C17626"/>
          <cell r="D17626"/>
          <cell r="E17626"/>
        </row>
        <row r="17627">
          <cell r="A17627"/>
          <cell r="B17627"/>
          <cell r="C17627"/>
          <cell r="D17627"/>
          <cell r="E17627"/>
        </row>
        <row r="17628">
          <cell r="A17628"/>
          <cell r="B17628"/>
          <cell r="C17628"/>
          <cell r="D17628"/>
          <cell r="E17628"/>
        </row>
        <row r="17629">
          <cell r="A17629"/>
          <cell r="B17629"/>
          <cell r="C17629"/>
          <cell r="D17629"/>
          <cell r="E17629"/>
        </row>
        <row r="17630">
          <cell r="A17630"/>
          <cell r="B17630"/>
          <cell r="C17630"/>
          <cell r="D17630"/>
          <cell r="E17630"/>
        </row>
        <row r="17631">
          <cell r="A17631"/>
          <cell r="B17631"/>
          <cell r="C17631"/>
          <cell r="D17631"/>
          <cell r="E17631"/>
        </row>
        <row r="17632">
          <cell r="A17632"/>
          <cell r="B17632"/>
          <cell r="C17632"/>
          <cell r="D17632"/>
          <cell r="E17632"/>
        </row>
        <row r="17633">
          <cell r="A17633"/>
          <cell r="B17633"/>
          <cell r="C17633"/>
          <cell r="D17633"/>
          <cell r="E17633"/>
        </row>
        <row r="17634">
          <cell r="A17634"/>
          <cell r="B17634"/>
          <cell r="C17634"/>
          <cell r="D17634"/>
          <cell r="E17634"/>
        </row>
        <row r="17635">
          <cell r="A17635"/>
          <cell r="B17635"/>
          <cell r="C17635"/>
          <cell r="D17635"/>
          <cell r="E17635"/>
        </row>
        <row r="17636">
          <cell r="A17636"/>
          <cell r="B17636"/>
          <cell r="C17636"/>
          <cell r="D17636"/>
          <cell r="E17636"/>
        </row>
        <row r="17637">
          <cell r="A17637"/>
          <cell r="B17637"/>
          <cell r="C17637"/>
          <cell r="D17637"/>
          <cell r="E17637"/>
        </row>
        <row r="17638">
          <cell r="A17638"/>
          <cell r="B17638"/>
          <cell r="C17638"/>
          <cell r="D17638"/>
          <cell r="E17638"/>
        </row>
        <row r="17639">
          <cell r="A17639"/>
          <cell r="B17639"/>
          <cell r="C17639"/>
          <cell r="D17639"/>
          <cell r="E17639"/>
        </row>
        <row r="17640">
          <cell r="A17640"/>
          <cell r="B17640"/>
          <cell r="C17640"/>
          <cell r="D17640"/>
          <cell r="E17640"/>
        </row>
        <row r="17641">
          <cell r="A17641"/>
          <cell r="B17641"/>
          <cell r="C17641"/>
          <cell r="D17641"/>
          <cell r="E17641"/>
        </row>
        <row r="17642">
          <cell r="A17642"/>
          <cell r="B17642"/>
          <cell r="C17642"/>
          <cell r="D17642"/>
          <cell r="E17642"/>
        </row>
        <row r="17643">
          <cell r="A17643"/>
          <cell r="B17643"/>
          <cell r="C17643"/>
          <cell r="D17643"/>
          <cell r="E17643"/>
        </row>
        <row r="17644">
          <cell r="A17644"/>
          <cell r="B17644"/>
          <cell r="C17644"/>
          <cell r="D17644"/>
          <cell r="E17644"/>
        </row>
        <row r="17645">
          <cell r="A17645"/>
          <cell r="B17645"/>
          <cell r="C17645"/>
          <cell r="D17645"/>
          <cell r="E17645"/>
        </row>
        <row r="17646">
          <cell r="A17646"/>
          <cell r="B17646"/>
          <cell r="C17646"/>
          <cell r="D17646"/>
          <cell r="E17646"/>
        </row>
        <row r="17647">
          <cell r="A17647"/>
          <cell r="B17647"/>
          <cell r="C17647"/>
          <cell r="D17647"/>
          <cell r="E17647"/>
        </row>
        <row r="17648">
          <cell r="A17648"/>
          <cell r="B17648"/>
          <cell r="C17648"/>
          <cell r="D17648"/>
          <cell r="E17648"/>
        </row>
        <row r="17649">
          <cell r="A17649"/>
          <cell r="B17649"/>
          <cell r="C17649"/>
          <cell r="D17649"/>
          <cell r="E17649"/>
        </row>
        <row r="17650">
          <cell r="A17650"/>
          <cell r="B17650"/>
          <cell r="C17650"/>
          <cell r="D17650"/>
          <cell r="E17650"/>
        </row>
        <row r="17651">
          <cell r="A17651"/>
          <cell r="B17651"/>
          <cell r="C17651"/>
          <cell r="D17651"/>
          <cell r="E17651"/>
        </row>
        <row r="17652">
          <cell r="A17652"/>
          <cell r="B17652"/>
          <cell r="C17652"/>
          <cell r="D17652"/>
          <cell r="E17652"/>
        </row>
        <row r="17653">
          <cell r="A17653"/>
          <cell r="B17653"/>
          <cell r="C17653"/>
          <cell r="D17653"/>
          <cell r="E17653"/>
        </row>
        <row r="17654">
          <cell r="A17654"/>
          <cell r="B17654"/>
          <cell r="C17654"/>
          <cell r="D17654"/>
          <cell r="E17654"/>
        </row>
        <row r="17655">
          <cell r="A17655"/>
          <cell r="B17655"/>
          <cell r="C17655"/>
          <cell r="D17655"/>
          <cell r="E17655"/>
        </row>
        <row r="17656">
          <cell r="A17656"/>
          <cell r="B17656"/>
          <cell r="C17656"/>
          <cell r="D17656"/>
          <cell r="E17656"/>
        </row>
        <row r="17657">
          <cell r="A17657"/>
          <cell r="B17657"/>
          <cell r="C17657"/>
          <cell r="D17657"/>
          <cell r="E17657"/>
        </row>
        <row r="17658">
          <cell r="A17658"/>
          <cell r="B17658"/>
          <cell r="C17658"/>
          <cell r="D17658"/>
          <cell r="E17658"/>
        </row>
        <row r="17659">
          <cell r="A17659"/>
          <cell r="B17659"/>
          <cell r="C17659"/>
          <cell r="D17659"/>
          <cell r="E17659"/>
        </row>
        <row r="17660">
          <cell r="A17660"/>
          <cell r="B17660"/>
          <cell r="C17660"/>
          <cell r="D17660"/>
          <cell r="E17660"/>
        </row>
        <row r="17661">
          <cell r="A17661"/>
          <cell r="B17661"/>
          <cell r="C17661"/>
          <cell r="D17661"/>
          <cell r="E17661"/>
        </row>
        <row r="17662">
          <cell r="A17662"/>
          <cell r="B17662"/>
          <cell r="C17662"/>
          <cell r="D17662"/>
          <cell r="E17662"/>
        </row>
        <row r="17663">
          <cell r="A17663"/>
          <cell r="B17663"/>
          <cell r="C17663"/>
          <cell r="D17663"/>
          <cell r="E17663"/>
        </row>
        <row r="17664">
          <cell r="A17664"/>
          <cell r="B17664"/>
          <cell r="C17664"/>
          <cell r="D17664"/>
          <cell r="E17664"/>
        </row>
        <row r="17665">
          <cell r="A17665"/>
          <cell r="B17665"/>
          <cell r="C17665"/>
          <cell r="D17665"/>
          <cell r="E17665"/>
        </row>
        <row r="17666">
          <cell r="A17666"/>
          <cell r="B17666"/>
          <cell r="C17666"/>
          <cell r="D17666"/>
          <cell r="E17666"/>
        </row>
        <row r="17667">
          <cell r="A17667"/>
          <cell r="B17667"/>
          <cell r="C17667"/>
          <cell r="D17667"/>
          <cell r="E17667"/>
        </row>
        <row r="17668">
          <cell r="A17668"/>
          <cell r="B17668"/>
          <cell r="C17668"/>
          <cell r="D17668"/>
          <cell r="E17668"/>
        </row>
        <row r="17669">
          <cell r="A17669"/>
          <cell r="B17669"/>
          <cell r="C17669"/>
          <cell r="D17669"/>
          <cell r="E17669"/>
        </row>
        <row r="17670">
          <cell r="A17670"/>
          <cell r="B17670"/>
          <cell r="C17670"/>
          <cell r="D17670"/>
          <cell r="E17670"/>
        </row>
        <row r="17671">
          <cell r="A17671"/>
          <cell r="B17671"/>
          <cell r="C17671"/>
          <cell r="D17671"/>
          <cell r="E17671"/>
        </row>
        <row r="17672">
          <cell r="A17672"/>
          <cell r="B17672"/>
          <cell r="C17672"/>
          <cell r="D17672"/>
          <cell r="E17672"/>
        </row>
        <row r="17673">
          <cell r="A17673"/>
          <cell r="B17673"/>
          <cell r="C17673"/>
          <cell r="D17673"/>
          <cell r="E17673"/>
        </row>
        <row r="17674">
          <cell r="A17674"/>
          <cell r="B17674"/>
          <cell r="C17674"/>
          <cell r="D17674"/>
          <cell r="E17674"/>
        </row>
        <row r="17675">
          <cell r="A17675"/>
          <cell r="B17675"/>
          <cell r="C17675"/>
          <cell r="D17675"/>
          <cell r="E17675"/>
        </row>
        <row r="17676">
          <cell r="A17676"/>
          <cell r="B17676"/>
          <cell r="C17676"/>
          <cell r="D17676"/>
          <cell r="E17676"/>
        </row>
        <row r="17677">
          <cell r="A17677"/>
          <cell r="B17677"/>
          <cell r="C17677"/>
          <cell r="D17677"/>
          <cell r="E17677"/>
        </row>
        <row r="17678">
          <cell r="A17678"/>
          <cell r="B17678"/>
          <cell r="C17678"/>
          <cell r="D17678"/>
          <cell r="E17678"/>
        </row>
        <row r="17679">
          <cell r="A17679"/>
          <cell r="B17679"/>
          <cell r="C17679"/>
          <cell r="D17679"/>
          <cell r="E17679"/>
        </row>
        <row r="17680">
          <cell r="A17680"/>
          <cell r="B17680"/>
          <cell r="C17680"/>
          <cell r="D17680"/>
          <cell r="E17680"/>
        </row>
        <row r="17681">
          <cell r="A17681"/>
          <cell r="B17681"/>
          <cell r="C17681"/>
          <cell r="D17681"/>
          <cell r="E17681"/>
        </row>
        <row r="17682">
          <cell r="A17682"/>
          <cell r="B17682"/>
          <cell r="C17682"/>
          <cell r="D17682"/>
          <cell r="E17682"/>
        </row>
        <row r="17683">
          <cell r="A17683"/>
          <cell r="B17683"/>
          <cell r="C17683"/>
          <cell r="D17683"/>
          <cell r="E17683"/>
        </row>
        <row r="17684">
          <cell r="A17684"/>
          <cell r="B17684"/>
          <cell r="C17684"/>
          <cell r="D17684"/>
          <cell r="E17684"/>
        </row>
        <row r="17685">
          <cell r="A17685"/>
          <cell r="B17685"/>
          <cell r="C17685"/>
          <cell r="D17685"/>
          <cell r="E17685"/>
        </row>
        <row r="17686">
          <cell r="A17686"/>
          <cell r="B17686"/>
          <cell r="C17686"/>
          <cell r="D17686"/>
          <cell r="E17686"/>
        </row>
        <row r="17687">
          <cell r="A17687"/>
          <cell r="B17687"/>
          <cell r="C17687"/>
          <cell r="D17687"/>
          <cell r="E17687"/>
        </row>
        <row r="17688">
          <cell r="A17688"/>
          <cell r="B17688"/>
          <cell r="C17688"/>
          <cell r="D17688"/>
          <cell r="E17688"/>
        </row>
        <row r="17689">
          <cell r="A17689"/>
          <cell r="B17689"/>
          <cell r="C17689"/>
          <cell r="D17689"/>
          <cell r="E17689"/>
        </row>
        <row r="17690">
          <cell r="A17690"/>
          <cell r="B17690"/>
          <cell r="C17690"/>
          <cell r="D17690"/>
          <cell r="E17690"/>
        </row>
        <row r="17691">
          <cell r="A17691"/>
          <cell r="B17691"/>
          <cell r="C17691"/>
          <cell r="D17691"/>
          <cell r="E17691"/>
        </row>
        <row r="17692">
          <cell r="A17692"/>
          <cell r="B17692"/>
          <cell r="C17692"/>
          <cell r="D17692"/>
          <cell r="E17692"/>
        </row>
        <row r="17693">
          <cell r="A17693"/>
          <cell r="B17693"/>
          <cell r="C17693"/>
          <cell r="D17693"/>
          <cell r="E17693"/>
        </row>
        <row r="17694">
          <cell r="A17694"/>
          <cell r="B17694"/>
          <cell r="C17694"/>
          <cell r="D17694"/>
          <cell r="E17694"/>
        </row>
        <row r="17695">
          <cell r="A17695"/>
          <cell r="B17695"/>
          <cell r="C17695"/>
          <cell r="D17695"/>
          <cell r="E17695"/>
        </row>
        <row r="17696">
          <cell r="A17696"/>
          <cell r="B17696"/>
          <cell r="C17696"/>
          <cell r="D17696"/>
          <cell r="E17696"/>
        </row>
        <row r="17697">
          <cell r="A17697"/>
          <cell r="B17697"/>
          <cell r="C17697"/>
          <cell r="D17697"/>
          <cell r="E17697"/>
        </row>
        <row r="17698">
          <cell r="A17698"/>
          <cell r="B17698"/>
          <cell r="C17698"/>
          <cell r="D17698"/>
          <cell r="E17698"/>
        </row>
        <row r="17699">
          <cell r="A17699"/>
          <cell r="B17699"/>
          <cell r="C17699"/>
          <cell r="D17699"/>
          <cell r="E17699"/>
        </row>
        <row r="17700">
          <cell r="A17700"/>
          <cell r="B17700"/>
          <cell r="C17700"/>
          <cell r="D17700"/>
          <cell r="E17700"/>
        </row>
        <row r="17701">
          <cell r="A17701"/>
          <cell r="B17701"/>
          <cell r="C17701"/>
          <cell r="D17701"/>
          <cell r="E17701"/>
        </row>
        <row r="17702">
          <cell r="A17702"/>
          <cell r="B17702"/>
          <cell r="C17702"/>
          <cell r="D17702"/>
          <cell r="E17702"/>
        </row>
        <row r="17703">
          <cell r="A17703"/>
          <cell r="B17703"/>
          <cell r="C17703"/>
          <cell r="D17703"/>
          <cell r="E17703"/>
        </row>
        <row r="17704">
          <cell r="A17704"/>
          <cell r="B17704"/>
          <cell r="C17704"/>
          <cell r="D17704"/>
          <cell r="E17704"/>
        </row>
        <row r="17705">
          <cell r="A17705"/>
          <cell r="B17705"/>
          <cell r="C17705"/>
          <cell r="D17705"/>
          <cell r="E17705"/>
        </row>
        <row r="17706">
          <cell r="A17706"/>
          <cell r="B17706"/>
          <cell r="C17706"/>
          <cell r="D17706"/>
          <cell r="E17706"/>
        </row>
        <row r="17707">
          <cell r="A17707"/>
          <cell r="B17707"/>
          <cell r="C17707"/>
          <cell r="D17707"/>
          <cell r="E17707"/>
        </row>
        <row r="17708">
          <cell r="A17708"/>
          <cell r="B17708"/>
          <cell r="C17708"/>
          <cell r="D17708"/>
          <cell r="E17708"/>
        </row>
        <row r="17709">
          <cell r="A17709"/>
          <cell r="B17709"/>
          <cell r="C17709"/>
          <cell r="D17709"/>
          <cell r="E17709"/>
        </row>
        <row r="17710">
          <cell r="A17710"/>
          <cell r="B17710"/>
          <cell r="C17710"/>
          <cell r="D17710"/>
          <cell r="E17710"/>
        </row>
        <row r="17711">
          <cell r="A17711"/>
          <cell r="B17711"/>
          <cell r="C17711"/>
          <cell r="D17711"/>
          <cell r="E17711"/>
        </row>
        <row r="17712">
          <cell r="A17712"/>
          <cell r="B17712"/>
          <cell r="C17712"/>
          <cell r="D17712"/>
          <cell r="E17712"/>
        </row>
        <row r="17713">
          <cell r="A17713"/>
          <cell r="B17713"/>
          <cell r="C17713"/>
          <cell r="D17713"/>
          <cell r="E17713"/>
        </row>
        <row r="17714">
          <cell r="A17714"/>
          <cell r="B17714"/>
          <cell r="C17714"/>
          <cell r="D17714"/>
          <cell r="E17714"/>
        </row>
        <row r="17715">
          <cell r="A17715"/>
          <cell r="B17715"/>
          <cell r="C17715"/>
          <cell r="D17715"/>
          <cell r="E17715"/>
        </row>
        <row r="17716">
          <cell r="A17716"/>
          <cell r="B17716"/>
          <cell r="C17716"/>
          <cell r="D17716"/>
          <cell r="E17716"/>
        </row>
        <row r="17717">
          <cell r="A17717"/>
          <cell r="B17717"/>
          <cell r="C17717"/>
          <cell r="D17717"/>
          <cell r="E17717"/>
        </row>
        <row r="17718">
          <cell r="A17718"/>
          <cell r="B17718"/>
          <cell r="C17718"/>
          <cell r="D17718"/>
          <cell r="E17718"/>
        </row>
        <row r="17719">
          <cell r="A17719"/>
          <cell r="B17719"/>
          <cell r="C17719"/>
          <cell r="D17719"/>
          <cell r="E17719"/>
        </row>
        <row r="17720">
          <cell r="A17720"/>
          <cell r="B17720"/>
          <cell r="C17720"/>
          <cell r="D17720"/>
          <cell r="E17720"/>
        </row>
        <row r="17721">
          <cell r="A17721"/>
          <cell r="B17721"/>
          <cell r="C17721"/>
          <cell r="D17721"/>
          <cell r="E17721"/>
        </row>
        <row r="17722">
          <cell r="A17722"/>
          <cell r="B17722"/>
          <cell r="C17722"/>
          <cell r="D17722"/>
          <cell r="E17722"/>
        </row>
        <row r="17723">
          <cell r="A17723"/>
          <cell r="B17723"/>
          <cell r="C17723"/>
          <cell r="D17723"/>
          <cell r="E17723"/>
        </row>
        <row r="17724">
          <cell r="A17724"/>
          <cell r="B17724"/>
          <cell r="C17724"/>
          <cell r="D17724"/>
          <cell r="E17724"/>
        </row>
        <row r="17725">
          <cell r="A17725"/>
          <cell r="B17725"/>
          <cell r="C17725"/>
          <cell r="D17725"/>
          <cell r="E17725"/>
        </row>
        <row r="17726">
          <cell r="A17726"/>
          <cell r="B17726"/>
          <cell r="C17726"/>
          <cell r="D17726"/>
          <cell r="E17726"/>
        </row>
        <row r="17727">
          <cell r="A17727"/>
          <cell r="B17727"/>
          <cell r="C17727"/>
          <cell r="D17727"/>
          <cell r="E17727"/>
        </row>
        <row r="17728">
          <cell r="A17728"/>
          <cell r="B17728"/>
          <cell r="C17728"/>
          <cell r="D17728"/>
          <cell r="E17728"/>
        </row>
        <row r="17729">
          <cell r="A17729"/>
          <cell r="B17729"/>
          <cell r="C17729"/>
          <cell r="D17729"/>
          <cell r="E17729"/>
        </row>
        <row r="17730">
          <cell r="A17730"/>
          <cell r="B17730"/>
          <cell r="C17730"/>
          <cell r="D17730"/>
          <cell r="E17730"/>
        </row>
        <row r="17731">
          <cell r="A17731"/>
          <cell r="B17731"/>
          <cell r="C17731"/>
          <cell r="D17731"/>
          <cell r="E17731"/>
        </row>
        <row r="17732">
          <cell r="A17732"/>
          <cell r="B17732"/>
          <cell r="C17732"/>
          <cell r="D17732"/>
          <cell r="E17732"/>
        </row>
        <row r="17733">
          <cell r="A17733"/>
          <cell r="B17733"/>
          <cell r="C17733"/>
          <cell r="D17733"/>
          <cell r="E17733"/>
        </row>
        <row r="17734">
          <cell r="A17734"/>
          <cell r="B17734"/>
          <cell r="C17734"/>
          <cell r="D17734"/>
          <cell r="E17734"/>
        </row>
        <row r="17735">
          <cell r="A17735"/>
          <cell r="B17735"/>
          <cell r="C17735"/>
          <cell r="D17735"/>
          <cell r="E17735"/>
        </row>
        <row r="17736">
          <cell r="A17736"/>
          <cell r="B17736"/>
          <cell r="C17736"/>
          <cell r="D17736"/>
          <cell r="E17736"/>
        </row>
        <row r="17737">
          <cell r="A17737"/>
          <cell r="B17737"/>
          <cell r="C17737"/>
          <cell r="D17737"/>
          <cell r="E17737"/>
        </row>
        <row r="17738">
          <cell r="A17738"/>
          <cell r="B17738"/>
          <cell r="C17738"/>
          <cell r="D17738"/>
          <cell r="E17738"/>
        </row>
        <row r="17739">
          <cell r="A17739"/>
          <cell r="B17739"/>
          <cell r="C17739"/>
          <cell r="D17739"/>
          <cell r="E17739"/>
        </row>
        <row r="17740">
          <cell r="A17740"/>
          <cell r="B17740"/>
          <cell r="C17740"/>
          <cell r="D17740"/>
          <cell r="E17740"/>
        </row>
        <row r="17741">
          <cell r="A17741"/>
          <cell r="B17741"/>
          <cell r="C17741"/>
          <cell r="D17741"/>
          <cell r="E17741"/>
        </row>
        <row r="17742">
          <cell r="A17742"/>
          <cell r="B17742"/>
          <cell r="C17742"/>
          <cell r="D17742"/>
          <cell r="E17742"/>
        </row>
        <row r="17743">
          <cell r="A17743"/>
          <cell r="B17743"/>
          <cell r="C17743"/>
          <cell r="D17743"/>
          <cell r="E17743"/>
        </row>
        <row r="17744">
          <cell r="A17744"/>
          <cell r="B17744"/>
          <cell r="C17744"/>
          <cell r="D17744"/>
          <cell r="E17744"/>
        </row>
        <row r="17745">
          <cell r="A17745"/>
          <cell r="B17745"/>
          <cell r="C17745"/>
          <cell r="D17745"/>
          <cell r="E17745"/>
        </row>
        <row r="17746">
          <cell r="A17746"/>
          <cell r="B17746"/>
          <cell r="C17746"/>
          <cell r="D17746"/>
          <cell r="E17746"/>
        </row>
        <row r="17747">
          <cell r="A17747"/>
          <cell r="B17747"/>
          <cell r="C17747"/>
          <cell r="D17747"/>
          <cell r="E17747"/>
        </row>
        <row r="17748">
          <cell r="A17748"/>
          <cell r="B17748"/>
          <cell r="C17748"/>
          <cell r="D17748"/>
          <cell r="E17748"/>
        </row>
        <row r="17749">
          <cell r="A17749"/>
          <cell r="B17749"/>
          <cell r="C17749"/>
          <cell r="D17749"/>
          <cell r="E17749"/>
        </row>
        <row r="17750">
          <cell r="A17750"/>
          <cell r="B17750"/>
          <cell r="C17750"/>
          <cell r="D17750"/>
          <cell r="E17750"/>
        </row>
        <row r="17751">
          <cell r="A17751"/>
          <cell r="B17751"/>
          <cell r="C17751"/>
          <cell r="D17751"/>
          <cell r="E17751"/>
        </row>
        <row r="17752">
          <cell r="A17752"/>
          <cell r="B17752"/>
          <cell r="C17752"/>
          <cell r="D17752"/>
          <cell r="E17752"/>
        </row>
        <row r="17753">
          <cell r="A17753"/>
          <cell r="B17753"/>
          <cell r="C17753"/>
          <cell r="D17753"/>
          <cell r="E17753"/>
        </row>
        <row r="17754">
          <cell r="A17754"/>
          <cell r="B17754"/>
          <cell r="C17754"/>
          <cell r="D17754"/>
          <cell r="E17754"/>
        </row>
        <row r="17755">
          <cell r="A17755"/>
          <cell r="B17755"/>
          <cell r="C17755"/>
          <cell r="D17755"/>
          <cell r="E17755"/>
        </row>
        <row r="17756">
          <cell r="A17756"/>
          <cell r="B17756"/>
          <cell r="C17756"/>
          <cell r="D17756"/>
          <cell r="E17756"/>
        </row>
        <row r="17757">
          <cell r="A17757"/>
          <cell r="B17757"/>
          <cell r="C17757"/>
          <cell r="D17757"/>
          <cell r="E17757"/>
        </row>
        <row r="17758">
          <cell r="A17758"/>
          <cell r="B17758"/>
          <cell r="C17758"/>
          <cell r="D17758"/>
          <cell r="E17758"/>
        </row>
        <row r="17759">
          <cell r="A17759"/>
          <cell r="B17759"/>
          <cell r="C17759"/>
          <cell r="D17759"/>
          <cell r="E17759"/>
        </row>
        <row r="17760">
          <cell r="A17760"/>
          <cell r="B17760"/>
          <cell r="C17760"/>
          <cell r="D17760"/>
          <cell r="E17760"/>
        </row>
        <row r="17761">
          <cell r="A17761"/>
          <cell r="B17761"/>
          <cell r="C17761"/>
          <cell r="D17761"/>
          <cell r="E17761"/>
        </row>
        <row r="17762">
          <cell r="A17762"/>
          <cell r="B17762"/>
          <cell r="C17762"/>
          <cell r="D17762"/>
          <cell r="E17762"/>
        </row>
        <row r="17763">
          <cell r="A17763"/>
          <cell r="B17763"/>
          <cell r="C17763"/>
          <cell r="D17763"/>
          <cell r="E17763"/>
        </row>
        <row r="17764">
          <cell r="A17764"/>
          <cell r="B17764"/>
          <cell r="C17764"/>
          <cell r="D17764"/>
          <cell r="E17764"/>
        </row>
        <row r="17765">
          <cell r="A17765"/>
          <cell r="B17765"/>
          <cell r="C17765"/>
          <cell r="D17765"/>
          <cell r="E17765"/>
        </row>
        <row r="17766">
          <cell r="A17766"/>
          <cell r="B17766"/>
          <cell r="C17766"/>
          <cell r="D17766"/>
          <cell r="E17766"/>
        </row>
        <row r="17767">
          <cell r="A17767"/>
          <cell r="B17767"/>
          <cell r="C17767"/>
          <cell r="D17767"/>
          <cell r="E17767"/>
        </row>
        <row r="17768">
          <cell r="A17768"/>
          <cell r="B17768"/>
          <cell r="C17768"/>
          <cell r="D17768"/>
          <cell r="E17768"/>
        </row>
        <row r="17769">
          <cell r="A17769"/>
          <cell r="B17769"/>
          <cell r="C17769"/>
          <cell r="D17769"/>
          <cell r="E17769"/>
        </row>
        <row r="17770">
          <cell r="A17770"/>
          <cell r="B17770"/>
          <cell r="C17770"/>
          <cell r="D17770"/>
          <cell r="E17770"/>
        </row>
        <row r="17771">
          <cell r="A17771"/>
          <cell r="B17771"/>
          <cell r="C17771"/>
          <cell r="D17771"/>
          <cell r="E17771"/>
        </row>
        <row r="17772">
          <cell r="A17772"/>
          <cell r="B17772"/>
          <cell r="C17772"/>
          <cell r="D17772"/>
          <cell r="E17772"/>
        </row>
        <row r="17773">
          <cell r="A17773"/>
          <cell r="B17773"/>
          <cell r="C17773"/>
          <cell r="D17773"/>
          <cell r="E17773"/>
        </row>
        <row r="17774">
          <cell r="A17774"/>
          <cell r="B17774"/>
          <cell r="C17774"/>
          <cell r="D17774"/>
          <cell r="E17774"/>
        </row>
        <row r="17775">
          <cell r="A17775"/>
          <cell r="B17775"/>
          <cell r="C17775"/>
          <cell r="D17775"/>
          <cell r="E17775"/>
        </row>
        <row r="17776">
          <cell r="A17776"/>
          <cell r="B17776"/>
          <cell r="C17776"/>
          <cell r="D17776"/>
          <cell r="E17776"/>
        </row>
        <row r="17777">
          <cell r="A17777"/>
          <cell r="B17777"/>
          <cell r="C17777"/>
          <cell r="D17777"/>
          <cell r="E17777"/>
        </row>
        <row r="17778">
          <cell r="A17778"/>
          <cell r="B17778"/>
          <cell r="C17778"/>
          <cell r="D17778"/>
          <cell r="E17778"/>
        </row>
        <row r="17779">
          <cell r="A17779"/>
          <cell r="B17779"/>
          <cell r="C17779"/>
          <cell r="D17779"/>
          <cell r="E17779"/>
        </row>
        <row r="17780">
          <cell r="A17780"/>
          <cell r="B17780"/>
          <cell r="C17780"/>
          <cell r="D17780"/>
          <cell r="E17780"/>
        </row>
        <row r="17781">
          <cell r="A17781"/>
          <cell r="B17781"/>
          <cell r="C17781"/>
          <cell r="D17781"/>
          <cell r="E17781"/>
        </row>
        <row r="17782">
          <cell r="A17782"/>
          <cell r="B17782"/>
          <cell r="C17782"/>
          <cell r="D17782"/>
          <cell r="E17782"/>
        </row>
        <row r="17783">
          <cell r="A17783"/>
          <cell r="B17783"/>
          <cell r="C17783"/>
          <cell r="D17783"/>
          <cell r="E17783"/>
        </row>
        <row r="17784">
          <cell r="A17784"/>
          <cell r="B17784"/>
          <cell r="C17784"/>
          <cell r="D17784"/>
          <cell r="E17784"/>
        </row>
        <row r="17785">
          <cell r="A17785"/>
          <cell r="B17785"/>
          <cell r="C17785"/>
          <cell r="D17785"/>
          <cell r="E17785"/>
        </row>
        <row r="17786">
          <cell r="A17786"/>
          <cell r="B17786"/>
          <cell r="C17786"/>
          <cell r="D17786"/>
          <cell r="E17786"/>
        </row>
        <row r="17787">
          <cell r="A17787"/>
          <cell r="B17787"/>
          <cell r="C17787"/>
          <cell r="D17787"/>
          <cell r="E17787"/>
        </row>
        <row r="17788">
          <cell r="A17788"/>
          <cell r="B17788"/>
          <cell r="C17788"/>
          <cell r="D17788"/>
          <cell r="E17788"/>
        </row>
        <row r="17789">
          <cell r="A17789"/>
          <cell r="B17789"/>
          <cell r="C17789"/>
          <cell r="D17789"/>
          <cell r="E17789"/>
        </row>
        <row r="17790">
          <cell r="A17790"/>
          <cell r="B17790"/>
          <cell r="C17790"/>
          <cell r="D17790"/>
          <cell r="E17790"/>
        </row>
        <row r="17791">
          <cell r="A17791"/>
          <cell r="B17791"/>
          <cell r="C17791"/>
          <cell r="D17791"/>
          <cell r="E17791"/>
        </row>
        <row r="17792">
          <cell r="A17792"/>
          <cell r="B17792"/>
          <cell r="C17792"/>
          <cell r="D17792"/>
          <cell r="E17792"/>
        </row>
        <row r="17793">
          <cell r="A17793"/>
          <cell r="B17793"/>
          <cell r="C17793"/>
          <cell r="D17793"/>
          <cell r="E17793"/>
        </row>
        <row r="17794">
          <cell r="A17794"/>
          <cell r="B17794"/>
          <cell r="C17794"/>
          <cell r="D17794"/>
          <cell r="E17794"/>
        </row>
        <row r="17795">
          <cell r="A17795"/>
          <cell r="B17795"/>
          <cell r="C17795"/>
          <cell r="D17795"/>
          <cell r="E17795"/>
        </row>
        <row r="17796">
          <cell r="A17796"/>
          <cell r="B17796"/>
          <cell r="C17796"/>
          <cell r="D17796"/>
          <cell r="E17796"/>
        </row>
        <row r="17797">
          <cell r="A17797"/>
          <cell r="B17797"/>
          <cell r="C17797"/>
          <cell r="D17797"/>
          <cell r="E17797"/>
        </row>
        <row r="17798">
          <cell r="A17798"/>
          <cell r="B17798"/>
          <cell r="C17798"/>
          <cell r="D17798"/>
          <cell r="E17798"/>
        </row>
        <row r="17799">
          <cell r="A17799"/>
          <cell r="B17799"/>
          <cell r="C17799"/>
          <cell r="D17799"/>
          <cell r="E17799"/>
        </row>
        <row r="17800">
          <cell r="A17800"/>
          <cell r="B17800"/>
          <cell r="C17800"/>
          <cell r="D17800"/>
          <cell r="E17800"/>
        </row>
        <row r="17801">
          <cell r="A17801"/>
          <cell r="B17801"/>
          <cell r="C17801"/>
          <cell r="D17801"/>
          <cell r="E17801"/>
        </row>
        <row r="17802">
          <cell r="A17802"/>
          <cell r="B17802"/>
          <cell r="C17802"/>
          <cell r="D17802"/>
          <cell r="E17802"/>
        </row>
        <row r="17803">
          <cell r="A17803"/>
          <cell r="B17803"/>
          <cell r="C17803"/>
          <cell r="D17803"/>
          <cell r="E17803"/>
        </row>
        <row r="17804">
          <cell r="A17804"/>
          <cell r="B17804"/>
          <cell r="C17804"/>
          <cell r="D17804"/>
          <cell r="E17804"/>
        </row>
        <row r="17805">
          <cell r="A17805"/>
          <cell r="B17805"/>
          <cell r="C17805"/>
          <cell r="D17805"/>
          <cell r="E17805"/>
        </row>
        <row r="17806">
          <cell r="A17806"/>
          <cell r="B17806"/>
          <cell r="C17806"/>
          <cell r="D17806"/>
          <cell r="E17806"/>
        </row>
        <row r="17807">
          <cell r="A17807"/>
          <cell r="B17807"/>
          <cell r="C17807"/>
          <cell r="D17807"/>
          <cell r="E17807"/>
        </row>
        <row r="17808">
          <cell r="A17808"/>
          <cell r="B17808"/>
          <cell r="C17808"/>
          <cell r="D17808"/>
          <cell r="E17808"/>
        </row>
        <row r="17809">
          <cell r="A17809"/>
          <cell r="B17809"/>
          <cell r="C17809"/>
          <cell r="D17809"/>
          <cell r="E17809"/>
        </row>
        <row r="17810">
          <cell r="A17810"/>
          <cell r="B17810"/>
          <cell r="C17810"/>
          <cell r="D17810"/>
          <cell r="E17810"/>
        </row>
        <row r="17811">
          <cell r="A17811"/>
          <cell r="B17811"/>
          <cell r="C17811"/>
          <cell r="D17811"/>
          <cell r="E17811"/>
        </row>
        <row r="17812">
          <cell r="A17812"/>
          <cell r="B17812"/>
          <cell r="C17812"/>
          <cell r="D17812"/>
          <cell r="E17812"/>
        </row>
        <row r="17813">
          <cell r="A17813"/>
          <cell r="B17813"/>
          <cell r="C17813"/>
          <cell r="D17813"/>
          <cell r="E17813"/>
        </row>
        <row r="17814">
          <cell r="A17814"/>
          <cell r="B17814"/>
          <cell r="C17814"/>
          <cell r="D17814"/>
          <cell r="E17814"/>
        </row>
        <row r="17815">
          <cell r="A17815"/>
          <cell r="B17815"/>
          <cell r="C17815"/>
          <cell r="D17815"/>
          <cell r="E17815"/>
        </row>
        <row r="17816">
          <cell r="A17816"/>
          <cell r="B17816"/>
          <cell r="C17816"/>
          <cell r="D17816"/>
          <cell r="E17816"/>
        </row>
        <row r="17817">
          <cell r="A17817"/>
          <cell r="B17817"/>
          <cell r="C17817"/>
          <cell r="D17817"/>
          <cell r="E17817"/>
        </row>
        <row r="17818">
          <cell r="A17818"/>
          <cell r="B17818"/>
          <cell r="C17818"/>
          <cell r="D17818"/>
          <cell r="E17818"/>
        </row>
        <row r="17819">
          <cell r="A17819"/>
          <cell r="B17819"/>
          <cell r="C17819"/>
          <cell r="D17819"/>
          <cell r="E17819"/>
        </row>
        <row r="17820">
          <cell r="A17820"/>
          <cell r="B17820"/>
          <cell r="C17820"/>
          <cell r="D17820"/>
          <cell r="E17820"/>
        </row>
        <row r="17821">
          <cell r="A17821"/>
          <cell r="B17821"/>
          <cell r="C17821"/>
          <cell r="D17821"/>
          <cell r="E17821"/>
        </row>
        <row r="17822">
          <cell r="A17822"/>
          <cell r="B17822"/>
          <cell r="C17822"/>
          <cell r="D17822"/>
          <cell r="E17822"/>
        </row>
        <row r="17823">
          <cell r="A17823"/>
          <cell r="B17823"/>
          <cell r="C17823"/>
          <cell r="D17823"/>
          <cell r="E17823"/>
        </row>
        <row r="17824">
          <cell r="A17824"/>
          <cell r="B17824"/>
          <cell r="C17824"/>
          <cell r="D17824"/>
          <cell r="E17824"/>
        </row>
        <row r="17825">
          <cell r="A17825"/>
          <cell r="B17825"/>
          <cell r="C17825"/>
          <cell r="D17825"/>
          <cell r="E17825"/>
        </row>
        <row r="17826">
          <cell r="A17826"/>
          <cell r="B17826"/>
          <cell r="C17826"/>
          <cell r="D17826"/>
          <cell r="E17826"/>
        </row>
        <row r="17827">
          <cell r="A17827"/>
          <cell r="B17827"/>
          <cell r="C17827"/>
          <cell r="D17827"/>
          <cell r="E17827"/>
        </row>
        <row r="17828">
          <cell r="A17828"/>
          <cell r="B17828"/>
          <cell r="C17828"/>
          <cell r="D17828"/>
          <cell r="E17828"/>
        </row>
        <row r="17829">
          <cell r="A17829"/>
          <cell r="B17829"/>
          <cell r="C17829"/>
          <cell r="D17829"/>
          <cell r="E17829"/>
        </row>
        <row r="17830">
          <cell r="A17830"/>
          <cell r="B17830"/>
          <cell r="C17830"/>
          <cell r="D17830"/>
          <cell r="E17830"/>
        </row>
        <row r="17831">
          <cell r="A17831"/>
          <cell r="B17831"/>
          <cell r="C17831"/>
          <cell r="D17831"/>
          <cell r="E17831"/>
        </row>
        <row r="17832">
          <cell r="A17832"/>
          <cell r="B17832"/>
          <cell r="C17832"/>
          <cell r="D17832"/>
          <cell r="E17832"/>
        </row>
        <row r="17833">
          <cell r="A17833"/>
          <cell r="B17833"/>
          <cell r="C17833"/>
          <cell r="D17833"/>
          <cell r="E17833"/>
        </row>
        <row r="17834">
          <cell r="A17834"/>
          <cell r="B17834"/>
          <cell r="C17834"/>
          <cell r="D17834"/>
          <cell r="E17834"/>
        </row>
        <row r="17835">
          <cell r="A17835"/>
          <cell r="B17835"/>
          <cell r="C17835"/>
          <cell r="D17835"/>
          <cell r="E17835"/>
        </row>
        <row r="17836">
          <cell r="A17836"/>
          <cell r="B17836"/>
          <cell r="C17836"/>
          <cell r="D17836"/>
          <cell r="E17836"/>
        </row>
        <row r="17837">
          <cell r="A17837"/>
          <cell r="B17837"/>
          <cell r="C17837"/>
          <cell r="D17837"/>
          <cell r="E17837"/>
        </row>
        <row r="17838">
          <cell r="A17838"/>
          <cell r="B17838"/>
          <cell r="C17838"/>
          <cell r="D17838"/>
          <cell r="E17838"/>
        </row>
        <row r="17839">
          <cell r="A17839"/>
          <cell r="B17839"/>
          <cell r="C17839"/>
          <cell r="D17839"/>
          <cell r="E17839"/>
        </row>
        <row r="17840">
          <cell r="A17840"/>
          <cell r="B17840"/>
          <cell r="C17840"/>
          <cell r="D17840"/>
          <cell r="E17840"/>
        </row>
        <row r="17841">
          <cell r="A17841"/>
          <cell r="B17841"/>
          <cell r="C17841"/>
          <cell r="D17841"/>
          <cell r="E17841"/>
        </row>
        <row r="17842">
          <cell r="A17842"/>
          <cell r="B17842"/>
          <cell r="C17842"/>
          <cell r="D17842"/>
          <cell r="E17842"/>
        </row>
        <row r="17843">
          <cell r="A17843"/>
          <cell r="B17843"/>
          <cell r="C17843"/>
          <cell r="D17843"/>
          <cell r="E17843"/>
        </row>
        <row r="17844">
          <cell r="A17844"/>
          <cell r="B17844"/>
          <cell r="C17844"/>
          <cell r="D17844"/>
          <cell r="E17844"/>
        </row>
        <row r="17845">
          <cell r="A17845"/>
          <cell r="B17845"/>
          <cell r="C17845"/>
          <cell r="D17845"/>
          <cell r="E17845"/>
        </row>
        <row r="17846">
          <cell r="A17846"/>
          <cell r="B17846"/>
          <cell r="C17846"/>
          <cell r="D17846"/>
          <cell r="E17846"/>
        </row>
        <row r="17847">
          <cell r="A17847"/>
          <cell r="B17847"/>
          <cell r="C17847"/>
          <cell r="D17847"/>
          <cell r="E17847"/>
        </row>
        <row r="17848">
          <cell r="A17848"/>
          <cell r="B17848"/>
          <cell r="C17848"/>
          <cell r="D17848"/>
          <cell r="E17848"/>
        </row>
        <row r="17849">
          <cell r="A17849"/>
          <cell r="B17849"/>
          <cell r="C17849"/>
          <cell r="D17849"/>
          <cell r="E17849"/>
        </row>
        <row r="17850">
          <cell r="A17850"/>
          <cell r="B17850"/>
          <cell r="C17850"/>
          <cell r="D17850"/>
          <cell r="E17850"/>
        </row>
        <row r="17851">
          <cell r="A17851"/>
          <cell r="B17851"/>
          <cell r="C17851"/>
          <cell r="D17851"/>
          <cell r="E17851"/>
        </row>
        <row r="17852">
          <cell r="A17852"/>
          <cell r="B17852"/>
          <cell r="C17852"/>
          <cell r="D17852"/>
          <cell r="E17852"/>
        </row>
        <row r="17853">
          <cell r="A17853"/>
          <cell r="B17853"/>
          <cell r="C17853"/>
          <cell r="D17853"/>
          <cell r="E17853"/>
        </row>
        <row r="17854">
          <cell r="A17854"/>
          <cell r="B17854"/>
          <cell r="C17854"/>
          <cell r="D17854"/>
          <cell r="E17854"/>
        </row>
        <row r="17855">
          <cell r="A17855"/>
          <cell r="B17855"/>
          <cell r="C17855"/>
          <cell r="D17855"/>
          <cell r="E17855"/>
        </row>
        <row r="17856">
          <cell r="A17856"/>
          <cell r="B17856"/>
          <cell r="C17856"/>
          <cell r="D17856"/>
          <cell r="E17856"/>
        </row>
        <row r="17857">
          <cell r="A17857"/>
          <cell r="B17857"/>
          <cell r="C17857"/>
          <cell r="D17857"/>
          <cell r="E17857"/>
        </row>
        <row r="17858">
          <cell r="A17858"/>
          <cell r="B17858"/>
          <cell r="C17858"/>
          <cell r="D17858"/>
          <cell r="E17858"/>
        </row>
        <row r="17859">
          <cell r="A17859"/>
          <cell r="B17859"/>
          <cell r="C17859"/>
          <cell r="D17859"/>
          <cell r="E17859"/>
        </row>
        <row r="17860">
          <cell r="A17860"/>
          <cell r="B17860"/>
          <cell r="C17860"/>
          <cell r="D17860"/>
          <cell r="E17860"/>
        </row>
        <row r="17861">
          <cell r="A17861"/>
          <cell r="B17861"/>
          <cell r="C17861"/>
          <cell r="D17861"/>
          <cell r="E17861"/>
        </row>
        <row r="17862">
          <cell r="A17862"/>
          <cell r="B17862"/>
          <cell r="C17862"/>
          <cell r="D17862"/>
          <cell r="E17862"/>
        </row>
        <row r="17863">
          <cell r="A17863"/>
          <cell r="B17863"/>
          <cell r="C17863"/>
          <cell r="D17863"/>
          <cell r="E17863"/>
        </row>
        <row r="17864">
          <cell r="A17864"/>
          <cell r="B17864"/>
          <cell r="C17864"/>
          <cell r="D17864"/>
          <cell r="E17864"/>
        </row>
        <row r="17865">
          <cell r="A17865"/>
          <cell r="B17865"/>
          <cell r="C17865"/>
          <cell r="D17865"/>
          <cell r="E17865"/>
        </row>
        <row r="17866">
          <cell r="A17866"/>
          <cell r="B17866"/>
          <cell r="C17866"/>
          <cell r="D17866"/>
          <cell r="E17866"/>
        </row>
        <row r="17867">
          <cell r="A17867"/>
          <cell r="B17867"/>
          <cell r="C17867"/>
          <cell r="D17867"/>
          <cell r="E17867"/>
        </row>
        <row r="17868">
          <cell r="A17868"/>
          <cell r="B17868"/>
          <cell r="C17868"/>
          <cell r="D17868"/>
          <cell r="E17868"/>
        </row>
        <row r="17869">
          <cell r="A17869"/>
          <cell r="B17869"/>
          <cell r="C17869"/>
          <cell r="D17869"/>
          <cell r="E17869"/>
        </row>
        <row r="17870">
          <cell r="A17870"/>
          <cell r="B17870"/>
          <cell r="C17870"/>
          <cell r="D17870"/>
          <cell r="E17870"/>
        </row>
        <row r="17871">
          <cell r="A17871"/>
          <cell r="B17871"/>
          <cell r="C17871"/>
          <cell r="D17871"/>
          <cell r="E17871"/>
        </row>
        <row r="17872">
          <cell r="A17872"/>
          <cell r="B17872"/>
          <cell r="C17872"/>
          <cell r="D17872"/>
          <cell r="E17872"/>
        </row>
        <row r="17873">
          <cell r="A17873"/>
          <cell r="B17873"/>
          <cell r="C17873"/>
          <cell r="D17873"/>
          <cell r="E17873"/>
        </row>
        <row r="17874">
          <cell r="A17874"/>
          <cell r="B17874"/>
          <cell r="C17874"/>
          <cell r="D17874"/>
          <cell r="E17874"/>
        </row>
        <row r="17875">
          <cell r="A17875"/>
          <cell r="B17875"/>
          <cell r="C17875"/>
          <cell r="D17875"/>
          <cell r="E17875"/>
        </row>
        <row r="17876">
          <cell r="A17876"/>
          <cell r="B17876"/>
          <cell r="C17876"/>
          <cell r="D17876"/>
          <cell r="E17876"/>
        </row>
        <row r="17877">
          <cell r="A17877"/>
          <cell r="B17877"/>
          <cell r="C17877"/>
          <cell r="D17877"/>
          <cell r="E17877"/>
        </row>
        <row r="17878">
          <cell r="A17878"/>
          <cell r="B17878"/>
          <cell r="C17878"/>
          <cell r="D17878"/>
          <cell r="E17878"/>
        </row>
        <row r="17879">
          <cell r="A17879"/>
          <cell r="B17879"/>
          <cell r="C17879"/>
          <cell r="D17879"/>
          <cell r="E17879"/>
        </row>
        <row r="17880">
          <cell r="A17880"/>
          <cell r="B17880"/>
          <cell r="C17880"/>
          <cell r="D17880"/>
          <cell r="E17880"/>
        </row>
        <row r="17881">
          <cell r="A17881"/>
          <cell r="B17881"/>
          <cell r="C17881"/>
          <cell r="D17881"/>
          <cell r="E17881"/>
        </row>
        <row r="17882">
          <cell r="A17882"/>
          <cell r="B17882"/>
          <cell r="C17882"/>
          <cell r="D17882"/>
          <cell r="E17882"/>
        </row>
        <row r="17883">
          <cell r="A17883"/>
          <cell r="B17883"/>
          <cell r="C17883"/>
          <cell r="D17883"/>
          <cell r="E17883"/>
        </row>
        <row r="17884">
          <cell r="A17884"/>
          <cell r="B17884"/>
          <cell r="C17884"/>
          <cell r="D17884"/>
          <cell r="E17884"/>
        </row>
        <row r="17885">
          <cell r="A17885"/>
          <cell r="B17885"/>
          <cell r="C17885"/>
          <cell r="D17885"/>
          <cell r="E17885"/>
        </row>
        <row r="17886">
          <cell r="A17886"/>
          <cell r="B17886"/>
          <cell r="C17886"/>
          <cell r="D17886"/>
          <cell r="E17886"/>
        </row>
        <row r="17887">
          <cell r="A17887"/>
          <cell r="B17887"/>
          <cell r="C17887"/>
          <cell r="D17887"/>
          <cell r="E17887"/>
        </row>
        <row r="17888">
          <cell r="A17888"/>
          <cell r="B17888"/>
          <cell r="C17888"/>
          <cell r="D17888"/>
          <cell r="E17888"/>
        </row>
        <row r="17889">
          <cell r="A17889"/>
          <cell r="B17889"/>
          <cell r="C17889"/>
          <cell r="D17889"/>
          <cell r="E17889"/>
        </row>
        <row r="17890">
          <cell r="A17890"/>
          <cell r="B17890"/>
          <cell r="C17890"/>
          <cell r="D17890"/>
          <cell r="E17890"/>
        </row>
        <row r="17891">
          <cell r="A17891"/>
          <cell r="B17891"/>
          <cell r="C17891"/>
          <cell r="D17891"/>
          <cell r="E17891"/>
        </row>
        <row r="17892">
          <cell r="A17892"/>
          <cell r="B17892"/>
          <cell r="C17892"/>
          <cell r="D17892"/>
          <cell r="E17892"/>
        </row>
        <row r="17893">
          <cell r="A17893"/>
          <cell r="B17893"/>
          <cell r="C17893"/>
          <cell r="D17893"/>
          <cell r="E17893"/>
        </row>
        <row r="17894">
          <cell r="A17894"/>
          <cell r="B17894"/>
          <cell r="C17894"/>
          <cell r="D17894"/>
          <cell r="E17894"/>
        </row>
        <row r="17895">
          <cell r="A17895"/>
          <cell r="B17895"/>
          <cell r="C17895"/>
          <cell r="D17895"/>
          <cell r="E17895"/>
        </row>
        <row r="17896">
          <cell r="A17896"/>
          <cell r="B17896"/>
          <cell r="C17896"/>
          <cell r="D17896"/>
          <cell r="E17896"/>
        </row>
        <row r="17897">
          <cell r="A17897"/>
          <cell r="B17897"/>
          <cell r="C17897"/>
          <cell r="D17897"/>
          <cell r="E17897"/>
        </row>
        <row r="17898">
          <cell r="A17898"/>
          <cell r="B17898"/>
          <cell r="C17898"/>
          <cell r="D17898"/>
          <cell r="E17898"/>
        </row>
        <row r="17899">
          <cell r="A17899"/>
          <cell r="B17899"/>
          <cell r="C17899"/>
          <cell r="D17899"/>
          <cell r="E17899"/>
        </row>
        <row r="17900">
          <cell r="A17900"/>
          <cell r="B17900"/>
          <cell r="C17900"/>
          <cell r="D17900"/>
          <cell r="E17900"/>
        </row>
        <row r="17901">
          <cell r="A17901"/>
          <cell r="B17901"/>
          <cell r="C17901"/>
          <cell r="D17901"/>
          <cell r="E17901"/>
        </row>
        <row r="17902">
          <cell r="A17902"/>
          <cell r="B17902"/>
          <cell r="C17902"/>
          <cell r="D17902"/>
          <cell r="E17902"/>
        </row>
        <row r="17903">
          <cell r="A17903"/>
          <cell r="B17903"/>
          <cell r="C17903"/>
          <cell r="D17903"/>
          <cell r="E17903"/>
        </row>
        <row r="17904">
          <cell r="A17904"/>
          <cell r="B17904"/>
          <cell r="C17904"/>
          <cell r="D17904"/>
          <cell r="E17904"/>
        </row>
        <row r="17905">
          <cell r="A17905"/>
          <cell r="B17905"/>
          <cell r="C17905"/>
          <cell r="D17905"/>
          <cell r="E17905"/>
        </row>
        <row r="17906">
          <cell r="A17906"/>
          <cell r="B17906"/>
          <cell r="C17906"/>
          <cell r="D17906"/>
          <cell r="E17906"/>
        </row>
        <row r="17907">
          <cell r="A17907"/>
          <cell r="B17907"/>
          <cell r="C17907"/>
          <cell r="D17907"/>
          <cell r="E17907"/>
        </row>
        <row r="17908">
          <cell r="A17908"/>
          <cell r="B17908"/>
          <cell r="C17908"/>
          <cell r="D17908"/>
          <cell r="E17908"/>
        </row>
        <row r="17909">
          <cell r="A17909"/>
          <cell r="B17909"/>
          <cell r="C17909"/>
          <cell r="D17909"/>
          <cell r="E17909"/>
        </row>
        <row r="17910">
          <cell r="A17910"/>
          <cell r="B17910"/>
          <cell r="C17910"/>
          <cell r="D17910"/>
          <cell r="E17910"/>
        </row>
        <row r="17911">
          <cell r="A17911"/>
          <cell r="B17911"/>
          <cell r="C17911"/>
          <cell r="D17911"/>
          <cell r="E17911"/>
        </row>
        <row r="17912">
          <cell r="A17912"/>
          <cell r="B17912"/>
          <cell r="C17912"/>
          <cell r="D17912"/>
          <cell r="E17912"/>
        </row>
        <row r="17913">
          <cell r="A17913"/>
          <cell r="B17913"/>
          <cell r="C17913"/>
          <cell r="D17913"/>
          <cell r="E17913"/>
        </row>
        <row r="17914">
          <cell r="A17914"/>
          <cell r="B17914"/>
          <cell r="C17914"/>
          <cell r="D17914"/>
          <cell r="E17914"/>
        </row>
        <row r="17915">
          <cell r="A17915"/>
          <cell r="B17915"/>
          <cell r="C17915"/>
          <cell r="D17915"/>
          <cell r="E17915"/>
        </row>
        <row r="17916">
          <cell r="A17916"/>
          <cell r="B17916"/>
          <cell r="C17916"/>
          <cell r="D17916"/>
          <cell r="E17916"/>
        </row>
        <row r="17917">
          <cell r="A17917"/>
          <cell r="B17917"/>
          <cell r="C17917"/>
          <cell r="D17917"/>
          <cell r="E17917"/>
        </row>
        <row r="17918">
          <cell r="A17918"/>
          <cell r="B17918"/>
          <cell r="C17918"/>
          <cell r="D17918"/>
          <cell r="E17918"/>
        </row>
        <row r="17919">
          <cell r="A17919"/>
          <cell r="B17919"/>
          <cell r="C17919"/>
          <cell r="D17919"/>
          <cell r="E17919"/>
        </row>
        <row r="17920">
          <cell r="A17920"/>
          <cell r="B17920"/>
          <cell r="C17920"/>
          <cell r="D17920"/>
          <cell r="E17920"/>
        </row>
        <row r="17921">
          <cell r="A17921"/>
          <cell r="B17921"/>
          <cell r="C17921"/>
          <cell r="D17921"/>
          <cell r="E17921"/>
        </row>
        <row r="17922">
          <cell r="A17922"/>
          <cell r="B17922"/>
          <cell r="C17922"/>
          <cell r="D17922"/>
          <cell r="E17922"/>
        </row>
        <row r="17923">
          <cell r="A17923"/>
          <cell r="B17923"/>
          <cell r="C17923"/>
          <cell r="D17923"/>
          <cell r="E17923"/>
        </row>
        <row r="17924">
          <cell r="A17924"/>
          <cell r="B17924"/>
          <cell r="C17924"/>
          <cell r="D17924"/>
          <cell r="E17924"/>
        </row>
        <row r="17925">
          <cell r="A17925"/>
          <cell r="B17925"/>
          <cell r="C17925"/>
          <cell r="D17925"/>
          <cell r="E17925"/>
        </row>
        <row r="17926">
          <cell r="A17926"/>
          <cell r="B17926"/>
          <cell r="C17926"/>
          <cell r="D17926"/>
          <cell r="E17926"/>
        </row>
        <row r="17927">
          <cell r="A17927"/>
          <cell r="B17927"/>
          <cell r="C17927"/>
          <cell r="D17927"/>
          <cell r="E17927"/>
        </row>
        <row r="17928">
          <cell r="A17928"/>
          <cell r="B17928"/>
          <cell r="C17928"/>
          <cell r="D17928"/>
          <cell r="E17928"/>
        </row>
        <row r="17929">
          <cell r="A17929"/>
          <cell r="B17929"/>
          <cell r="C17929"/>
          <cell r="D17929"/>
          <cell r="E17929"/>
        </row>
        <row r="17930">
          <cell r="A17930"/>
          <cell r="B17930"/>
          <cell r="C17930"/>
          <cell r="D17930"/>
          <cell r="E17930"/>
        </row>
        <row r="17931">
          <cell r="A17931"/>
          <cell r="B17931"/>
          <cell r="C17931"/>
          <cell r="D17931"/>
          <cell r="E17931"/>
        </row>
        <row r="17932">
          <cell r="A17932"/>
          <cell r="B17932"/>
          <cell r="C17932"/>
          <cell r="D17932"/>
          <cell r="E17932"/>
        </row>
        <row r="17933">
          <cell r="A17933"/>
          <cell r="B17933"/>
          <cell r="C17933"/>
          <cell r="D17933"/>
          <cell r="E17933"/>
        </row>
        <row r="17934">
          <cell r="A17934"/>
          <cell r="B17934"/>
          <cell r="C17934"/>
          <cell r="D17934"/>
          <cell r="E17934"/>
        </row>
        <row r="17935">
          <cell r="A17935"/>
          <cell r="B17935"/>
          <cell r="C17935"/>
          <cell r="D17935"/>
          <cell r="E17935"/>
        </row>
        <row r="17936">
          <cell r="A17936"/>
          <cell r="B17936"/>
          <cell r="C17936"/>
          <cell r="D17936"/>
          <cell r="E17936"/>
        </row>
        <row r="17937">
          <cell r="A17937"/>
          <cell r="B17937"/>
          <cell r="C17937"/>
          <cell r="D17937"/>
          <cell r="E17937"/>
        </row>
        <row r="17938">
          <cell r="A17938"/>
          <cell r="B17938"/>
          <cell r="C17938"/>
          <cell r="D17938"/>
          <cell r="E17938"/>
        </row>
        <row r="17939">
          <cell r="A17939"/>
          <cell r="B17939"/>
          <cell r="C17939"/>
          <cell r="D17939"/>
          <cell r="E17939"/>
        </row>
        <row r="17940">
          <cell r="A17940"/>
          <cell r="B17940"/>
          <cell r="C17940"/>
          <cell r="D17940"/>
          <cell r="E17940"/>
        </row>
        <row r="17941">
          <cell r="A17941"/>
          <cell r="B17941"/>
          <cell r="C17941"/>
          <cell r="D17941"/>
          <cell r="E17941"/>
        </row>
        <row r="17942">
          <cell r="A17942"/>
          <cell r="B17942"/>
          <cell r="C17942"/>
          <cell r="D17942"/>
          <cell r="E17942"/>
        </row>
        <row r="17943">
          <cell r="A17943"/>
          <cell r="B17943"/>
          <cell r="C17943"/>
          <cell r="D17943"/>
          <cell r="E17943"/>
        </row>
        <row r="17944">
          <cell r="A17944"/>
          <cell r="B17944"/>
          <cell r="C17944"/>
          <cell r="D17944"/>
          <cell r="E17944"/>
        </row>
        <row r="17945">
          <cell r="A17945"/>
          <cell r="B17945"/>
          <cell r="C17945"/>
          <cell r="D17945"/>
          <cell r="E17945"/>
        </row>
        <row r="17946">
          <cell r="A17946"/>
          <cell r="B17946"/>
          <cell r="C17946"/>
          <cell r="D17946"/>
          <cell r="E17946"/>
        </row>
        <row r="17947">
          <cell r="A17947"/>
          <cell r="B17947"/>
          <cell r="C17947"/>
          <cell r="D17947"/>
          <cell r="E17947"/>
        </row>
        <row r="17948">
          <cell r="A17948"/>
          <cell r="B17948"/>
          <cell r="C17948"/>
          <cell r="D17948"/>
          <cell r="E17948"/>
        </row>
        <row r="17949">
          <cell r="A17949"/>
          <cell r="B17949"/>
          <cell r="C17949"/>
          <cell r="D17949"/>
          <cell r="E17949"/>
        </row>
        <row r="17950">
          <cell r="A17950"/>
          <cell r="B17950"/>
          <cell r="C17950"/>
          <cell r="D17950"/>
          <cell r="E17950"/>
        </row>
        <row r="17951">
          <cell r="A17951"/>
          <cell r="B17951"/>
          <cell r="C17951"/>
          <cell r="D17951"/>
          <cell r="E17951"/>
        </row>
        <row r="17952">
          <cell r="A17952"/>
          <cell r="B17952"/>
          <cell r="C17952"/>
          <cell r="D17952"/>
          <cell r="E17952"/>
        </row>
        <row r="17953">
          <cell r="A17953"/>
          <cell r="B17953"/>
          <cell r="C17953"/>
          <cell r="D17953"/>
          <cell r="E17953"/>
        </row>
        <row r="17954">
          <cell r="A17954"/>
          <cell r="B17954"/>
          <cell r="C17954"/>
          <cell r="D17954"/>
          <cell r="E17954"/>
        </row>
        <row r="17955">
          <cell r="A17955"/>
          <cell r="B17955"/>
          <cell r="C17955"/>
          <cell r="D17955"/>
          <cell r="E17955"/>
        </row>
        <row r="17956">
          <cell r="A17956"/>
          <cell r="B17956"/>
          <cell r="C17956"/>
          <cell r="D17956"/>
          <cell r="E17956"/>
        </row>
        <row r="17957">
          <cell r="A17957"/>
          <cell r="B17957"/>
          <cell r="C17957"/>
          <cell r="D17957"/>
          <cell r="E17957"/>
        </row>
        <row r="17958">
          <cell r="A17958"/>
          <cell r="B17958"/>
          <cell r="C17958"/>
          <cell r="D17958"/>
          <cell r="E17958"/>
        </row>
        <row r="17959">
          <cell r="A17959"/>
          <cell r="B17959"/>
          <cell r="C17959"/>
          <cell r="D17959"/>
          <cell r="E17959"/>
        </row>
        <row r="17960">
          <cell r="A17960"/>
          <cell r="B17960"/>
          <cell r="C17960"/>
          <cell r="D17960"/>
          <cell r="E17960"/>
        </row>
        <row r="17961">
          <cell r="A17961"/>
          <cell r="B17961"/>
          <cell r="C17961"/>
          <cell r="D17961"/>
          <cell r="E17961"/>
        </row>
        <row r="17962">
          <cell r="A17962"/>
          <cell r="B17962"/>
          <cell r="C17962"/>
          <cell r="D17962"/>
          <cell r="E17962"/>
        </row>
        <row r="17963">
          <cell r="A17963"/>
          <cell r="B17963"/>
          <cell r="C17963"/>
          <cell r="D17963"/>
          <cell r="E17963"/>
        </row>
        <row r="17964">
          <cell r="A17964"/>
          <cell r="B17964"/>
          <cell r="C17964"/>
          <cell r="D17964"/>
          <cell r="E17964"/>
        </row>
        <row r="17965">
          <cell r="A17965"/>
          <cell r="B17965"/>
          <cell r="C17965"/>
          <cell r="D17965"/>
          <cell r="E17965"/>
        </row>
        <row r="17966">
          <cell r="A17966"/>
          <cell r="B17966"/>
          <cell r="C17966"/>
          <cell r="D17966"/>
          <cell r="E17966"/>
        </row>
        <row r="17967">
          <cell r="A17967"/>
          <cell r="B17967"/>
          <cell r="C17967"/>
          <cell r="D17967"/>
          <cell r="E17967"/>
        </row>
        <row r="17968">
          <cell r="A17968"/>
          <cell r="B17968"/>
          <cell r="C17968"/>
          <cell r="D17968"/>
          <cell r="E17968"/>
        </row>
        <row r="17969">
          <cell r="A17969"/>
          <cell r="B17969"/>
          <cell r="C17969"/>
          <cell r="D17969"/>
          <cell r="E17969"/>
        </row>
        <row r="17970">
          <cell r="A17970"/>
          <cell r="B17970"/>
          <cell r="C17970"/>
          <cell r="D17970"/>
          <cell r="E17970"/>
        </row>
        <row r="17971">
          <cell r="A17971"/>
          <cell r="B17971"/>
          <cell r="C17971"/>
          <cell r="D17971"/>
          <cell r="E17971"/>
        </row>
        <row r="17972">
          <cell r="A17972"/>
          <cell r="B17972"/>
          <cell r="C17972"/>
          <cell r="D17972"/>
          <cell r="E17972"/>
        </row>
        <row r="17973">
          <cell r="A17973"/>
          <cell r="B17973"/>
          <cell r="C17973"/>
          <cell r="D17973"/>
          <cell r="E17973"/>
        </row>
        <row r="17974">
          <cell r="A17974"/>
          <cell r="B17974"/>
          <cell r="C17974"/>
          <cell r="D17974"/>
          <cell r="E17974"/>
        </row>
        <row r="17975">
          <cell r="A17975"/>
          <cell r="B17975"/>
          <cell r="C17975"/>
          <cell r="D17975"/>
          <cell r="E17975"/>
        </row>
        <row r="17976">
          <cell r="A17976"/>
          <cell r="B17976"/>
          <cell r="C17976"/>
          <cell r="D17976"/>
          <cell r="E17976"/>
        </row>
        <row r="17977">
          <cell r="A17977"/>
          <cell r="B17977"/>
          <cell r="C17977"/>
          <cell r="D17977"/>
          <cell r="E17977"/>
        </row>
        <row r="17978">
          <cell r="A17978"/>
          <cell r="B17978"/>
          <cell r="C17978"/>
          <cell r="D17978"/>
          <cell r="E17978"/>
        </row>
        <row r="17979">
          <cell r="A17979"/>
          <cell r="B17979"/>
          <cell r="C17979"/>
          <cell r="D17979"/>
          <cell r="E17979"/>
        </row>
        <row r="17980">
          <cell r="A17980"/>
          <cell r="B17980"/>
          <cell r="C17980"/>
          <cell r="D17980"/>
          <cell r="E17980"/>
        </row>
        <row r="17981">
          <cell r="A17981"/>
          <cell r="B17981"/>
          <cell r="C17981"/>
          <cell r="D17981"/>
          <cell r="E17981"/>
        </row>
        <row r="17982">
          <cell r="A17982"/>
          <cell r="B17982"/>
          <cell r="C17982"/>
          <cell r="D17982"/>
          <cell r="E17982"/>
        </row>
        <row r="17983">
          <cell r="A17983"/>
          <cell r="B17983"/>
          <cell r="C17983"/>
          <cell r="D17983"/>
          <cell r="E17983"/>
        </row>
        <row r="17984">
          <cell r="A17984"/>
          <cell r="B17984"/>
          <cell r="C17984"/>
          <cell r="D17984"/>
          <cell r="E17984"/>
        </row>
        <row r="17985">
          <cell r="A17985"/>
          <cell r="B17985"/>
          <cell r="C17985"/>
          <cell r="D17985"/>
          <cell r="E17985"/>
        </row>
        <row r="17986">
          <cell r="A17986"/>
          <cell r="B17986"/>
          <cell r="C17986"/>
          <cell r="D17986"/>
          <cell r="E17986"/>
        </row>
        <row r="17987">
          <cell r="A17987"/>
          <cell r="B17987"/>
          <cell r="C17987"/>
          <cell r="D17987"/>
          <cell r="E17987"/>
        </row>
        <row r="17988">
          <cell r="A17988"/>
          <cell r="B17988"/>
          <cell r="C17988"/>
          <cell r="D17988"/>
          <cell r="E17988"/>
        </row>
        <row r="17989">
          <cell r="A17989"/>
          <cell r="B17989"/>
          <cell r="C17989"/>
          <cell r="D17989"/>
          <cell r="E17989"/>
        </row>
        <row r="17990">
          <cell r="A17990"/>
          <cell r="B17990"/>
          <cell r="C17990"/>
          <cell r="D17990"/>
          <cell r="E17990"/>
        </row>
        <row r="17991">
          <cell r="A17991"/>
          <cell r="B17991"/>
          <cell r="C17991"/>
          <cell r="D17991"/>
          <cell r="E17991"/>
        </row>
        <row r="17992">
          <cell r="A17992"/>
          <cell r="B17992"/>
          <cell r="C17992"/>
          <cell r="D17992"/>
          <cell r="E17992"/>
        </row>
        <row r="17993">
          <cell r="A17993"/>
          <cell r="B17993"/>
          <cell r="C17993"/>
          <cell r="D17993"/>
          <cell r="E17993"/>
        </row>
        <row r="17994">
          <cell r="A17994"/>
          <cell r="B17994"/>
          <cell r="C17994"/>
          <cell r="D17994"/>
          <cell r="E17994"/>
        </row>
        <row r="17995">
          <cell r="A17995"/>
          <cell r="B17995"/>
          <cell r="C17995"/>
          <cell r="D17995"/>
          <cell r="E17995"/>
        </row>
        <row r="17996">
          <cell r="A17996"/>
          <cell r="B17996"/>
          <cell r="C17996"/>
          <cell r="D17996"/>
          <cell r="E17996"/>
        </row>
        <row r="17997">
          <cell r="A17997"/>
          <cell r="B17997"/>
          <cell r="C17997"/>
          <cell r="D17997"/>
          <cell r="E17997"/>
        </row>
        <row r="17998">
          <cell r="A17998"/>
          <cell r="B17998"/>
          <cell r="C17998"/>
          <cell r="D17998"/>
          <cell r="E17998"/>
        </row>
        <row r="17999">
          <cell r="A17999"/>
          <cell r="B17999"/>
          <cell r="C17999"/>
          <cell r="D17999"/>
          <cell r="E17999"/>
        </row>
        <row r="18000">
          <cell r="A18000"/>
          <cell r="B18000"/>
          <cell r="C18000"/>
          <cell r="D18000"/>
          <cell r="E18000"/>
        </row>
        <row r="18001">
          <cell r="A18001"/>
          <cell r="B18001"/>
          <cell r="C18001"/>
          <cell r="D18001"/>
          <cell r="E18001"/>
        </row>
        <row r="18002">
          <cell r="A18002"/>
          <cell r="B18002"/>
          <cell r="C18002"/>
          <cell r="D18002"/>
          <cell r="E18002"/>
        </row>
        <row r="18003">
          <cell r="A18003"/>
          <cell r="B18003"/>
          <cell r="C18003"/>
          <cell r="D18003"/>
          <cell r="E18003"/>
        </row>
        <row r="18004">
          <cell r="A18004"/>
          <cell r="B18004"/>
          <cell r="C18004"/>
          <cell r="D18004"/>
          <cell r="E18004"/>
        </row>
        <row r="18005">
          <cell r="A18005"/>
          <cell r="B18005"/>
          <cell r="C18005"/>
          <cell r="D18005"/>
          <cell r="E18005"/>
        </row>
        <row r="18006">
          <cell r="A18006"/>
          <cell r="B18006"/>
          <cell r="C18006"/>
          <cell r="D18006"/>
          <cell r="E18006"/>
        </row>
        <row r="18007">
          <cell r="A18007"/>
          <cell r="B18007"/>
          <cell r="C18007"/>
          <cell r="D18007"/>
          <cell r="E18007"/>
        </row>
        <row r="18008">
          <cell r="A18008"/>
          <cell r="B18008"/>
          <cell r="C18008"/>
          <cell r="D18008"/>
          <cell r="E18008"/>
        </row>
        <row r="18009">
          <cell r="A18009"/>
          <cell r="B18009"/>
          <cell r="C18009"/>
          <cell r="D18009"/>
          <cell r="E18009"/>
        </row>
        <row r="18010">
          <cell r="A18010"/>
          <cell r="B18010"/>
          <cell r="C18010"/>
          <cell r="D18010"/>
          <cell r="E18010"/>
        </row>
        <row r="18011">
          <cell r="A18011"/>
          <cell r="B18011"/>
          <cell r="C18011"/>
          <cell r="D18011"/>
          <cell r="E18011"/>
        </row>
        <row r="18012">
          <cell r="A18012"/>
          <cell r="B18012"/>
          <cell r="C18012"/>
          <cell r="D18012"/>
          <cell r="E18012"/>
        </row>
        <row r="18013">
          <cell r="A18013"/>
          <cell r="B18013"/>
          <cell r="C18013"/>
          <cell r="D18013"/>
          <cell r="E18013"/>
        </row>
        <row r="18014">
          <cell r="A18014"/>
          <cell r="B18014"/>
          <cell r="C18014"/>
          <cell r="D18014"/>
          <cell r="E18014"/>
        </row>
        <row r="18015">
          <cell r="A18015"/>
          <cell r="B18015"/>
          <cell r="C18015"/>
          <cell r="D18015"/>
          <cell r="E18015"/>
        </row>
        <row r="18016">
          <cell r="A18016"/>
          <cell r="B18016"/>
          <cell r="C18016"/>
          <cell r="D18016"/>
          <cell r="E18016"/>
        </row>
        <row r="18017">
          <cell r="A18017"/>
          <cell r="B18017"/>
          <cell r="C18017"/>
          <cell r="D18017"/>
          <cell r="E18017"/>
        </row>
        <row r="18018">
          <cell r="A18018"/>
          <cell r="B18018"/>
          <cell r="C18018"/>
          <cell r="D18018"/>
          <cell r="E18018"/>
        </row>
        <row r="18019">
          <cell r="A18019"/>
          <cell r="B18019"/>
          <cell r="C18019"/>
          <cell r="D18019"/>
          <cell r="E18019"/>
        </row>
        <row r="18020">
          <cell r="A18020"/>
          <cell r="B18020"/>
          <cell r="C18020"/>
          <cell r="D18020"/>
          <cell r="E18020"/>
        </row>
        <row r="18021">
          <cell r="A18021"/>
          <cell r="B18021"/>
          <cell r="C18021"/>
          <cell r="D18021"/>
          <cell r="E18021"/>
        </row>
        <row r="18022">
          <cell r="A18022"/>
          <cell r="B18022"/>
          <cell r="C18022"/>
          <cell r="D18022"/>
          <cell r="E18022"/>
        </row>
        <row r="18023">
          <cell r="A18023"/>
          <cell r="B18023"/>
          <cell r="C18023"/>
          <cell r="D18023"/>
          <cell r="E18023"/>
        </row>
        <row r="18024">
          <cell r="A18024"/>
          <cell r="B18024"/>
          <cell r="C18024"/>
          <cell r="D18024"/>
          <cell r="E18024"/>
        </row>
        <row r="18025">
          <cell r="A18025"/>
          <cell r="B18025"/>
          <cell r="C18025"/>
          <cell r="D18025"/>
          <cell r="E18025"/>
        </row>
        <row r="18026">
          <cell r="A18026"/>
          <cell r="B18026"/>
          <cell r="C18026"/>
          <cell r="D18026"/>
          <cell r="E18026"/>
        </row>
        <row r="18027">
          <cell r="A18027"/>
          <cell r="B18027"/>
          <cell r="C18027"/>
          <cell r="D18027"/>
          <cell r="E18027"/>
        </row>
        <row r="18028">
          <cell r="A18028"/>
          <cell r="B18028"/>
          <cell r="C18028"/>
          <cell r="D18028"/>
          <cell r="E18028"/>
        </row>
        <row r="18029">
          <cell r="A18029"/>
          <cell r="B18029"/>
          <cell r="C18029"/>
          <cell r="D18029"/>
          <cell r="E18029"/>
        </row>
        <row r="18030">
          <cell r="A18030"/>
          <cell r="B18030"/>
          <cell r="C18030"/>
          <cell r="D18030"/>
          <cell r="E18030"/>
        </row>
        <row r="18031">
          <cell r="A18031"/>
          <cell r="B18031"/>
          <cell r="C18031"/>
          <cell r="D18031"/>
          <cell r="E18031"/>
        </row>
        <row r="18032">
          <cell r="A18032"/>
          <cell r="B18032"/>
          <cell r="C18032"/>
          <cell r="D18032"/>
          <cell r="E18032"/>
        </row>
        <row r="18033">
          <cell r="A18033"/>
          <cell r="B18033"/>
          <cell r="C18033"/>
          <cell r="D18033"/>
          <cell r="E18033"/>
        </row>
        <row r="18034">
          <cell r="A18034"/>
          <cell r="B18034"/>
          <cell r="C18034"/>
          <cell r="D18034"/>
          <cell r="E18034"/>
        </row>
        <row r="18035">
          <cell r="A18035"/>
          <cell r="B18035"/>
          <cell r="C18035"/>
          <cell r="D18035"/>
          <cell r="E18035"/>
        </row>
        <row r="18036">
          <cell r="A18036"/>
          <cell r="B18036"/>
          <cell r="C18036"/>
          <cell r="D18036"/>
          <cell r="E18036"/>
        </row>
        <row r="18037">
          <cell r="A18037"/>
          <cell r="B18037"/>
          <cell r="C18037"/>
          <cell r="D18037"/>
          <cell r="E18037"/>
        </row>
        <row r="18038">
          <cell r="A18038"/>
          <cell r="B18038"/>
          <cell r="C18038"/>
          <cell r="D18038"/>
          <cell r="E18038"/>
        </row>
        <row r="18039">
          <cell r="A18039"/>
          <cell r="B18039"/>
          <cell r="C18039"/>
          <cell r="D18039"/>
          <cell r="E18039"/>
        </row>
        <row r="18040">
          <cell r="A18040"/>
          <cell r="B18040"/>
          <cell r="C18040"/>
          <cell r="D18040"/>
          <cell r="E18040"/>
        </row>
        <row r="18041">
          <cell r="A18041"/>
          <cell r="B18041"/>
          <cell r="C18041"/>
          <cell r="D18041"/>
          <cell r="E18041"/>
        </row>
        <row r="18042">
          <cell r="A18042"/>
          <cell r="B18042"/>
          <cell r="C18042"/>
          <cell r="D18042"/>
          <cell r="E18042"/>
        </row>
        <row r="18043">
          <cell r="A18043"/>
          <cell r="B18043"/>
          <cell r="C18043"/>
          <cell r="D18043"/>
          <cell r="E18043"/>
        </row>
        <row r="18044">
          <cell r="A18044"/>
          <cell r="B18044"/>
          <cell r="C18044"/>
          <cell r="D18044"/>
          <cell r="E18044"/>
        </row>
        <row r="18045">
          <cell r="A18045"/>
          <cell r="B18045"/>
          <cell r="C18045"/>
          <cell r="D18045"/>
          <cell r="E18045"/>
        </row>
        <row r="18046">
          <cell r="A18046"/>
          <cell r="B18046"/>
          <cell r="C18046"/>
          <cell r="D18046"/>
          <cell r="E18046"/>
        </row>
        <row r="18047">
          <cell r="A18047"/>
          <cell r="B18047"/>
          <cell r="C18047"/>
          <cell r="D18047"/>
          <cell r="E18047"/>
        </row>
        <row r="18048">
          <cell r="A18048"/>
          <cell r="B18048"/>
          <cell r="C18048"/>
          <cell r="D18048"/>
          <cell r="E18048"/>
        </row>
        <row r="18049">
          <cell r="A18049"/>
          <cell r="B18049"/>
          <cell r="C18049"/>
          <cell r="D18049"/>
          <cell r="E18049"/>
        </row>
        <row r="18050">
          <cell r="A18050"/>
          <cell r="B18050"/>
          <cell r="C18050"/>
          <cell r="D18050"/>
          <cell r="E18050"/>
        </row>
        <row r="18051">
          <cell r="A18051"/>
          <cell r="B18051"/>
          <cell r="C18051"/>
          <cell r="D18051"/>
          <cell r="E18051"/>
        </row>
        <row r="18052">
          <cell r="A18052"/>
          <cell r="B18052"/>
          <cell r="C18052"/>
          <cell r="D18052"/>
          <cell r="E18052"/>
        </row>
        <row r="18053">
          <cell r="A18053"/>
          <cell r="B18053"/>
          <cell r="C18053"/>
          <cell r="D18053"/>
          <cell r="E18053"/>
        </row>
        <row r="18054">
          <cell r="A18054"/>
          <cell r="B18054"/>
          <cell r="C18054"/>
          <cell r="D18054"/>
          <cell r="E18054"/>
        </row>
        <row r="18055">
          <cell r="A18055"/>
          <cell r="B18055"/>
          <cell r="C18055"/>
          <cell r="D18055"/>
          <cell r="E18055"/>
        </row>
        <row r="18056">
          <cell r="A18056"/>
          <cell r="B18056"/>
          <cell r="C18056"/>
          <cell r="D18056"/>
          <cell r="E18056"/>
        </row>
        <row r="18057">
          <cell r="A18057"/>
          <cell r="B18057"/>
          <cell r="C18057"/>
          <cell r="D18057"/>
          <cell r="E18057"/>
        </row>
        <row r="18058">
          <cell r="A18058"/>
          <cell r="B18058"/>
          <cell r="C18058"/>
          <cell r="D18058"/>
          <cell r="E18058"/>
        </row>
        <row r="18059">
          <cell r="A18059"/>
          <cell r="B18059"/>
          <cell r="C18059"/>
          <cell r="D18059"/>
          <cell r="E18059"/>
        </row>
        <row r="18060">
          <cell r="A18060"/>
          <cell r="B18060"/>
          <cell r="C18060"/>
          <cell r="D18060"/>
          <cell r="E18060"/>
        </row>
        <row r="18061">
          <cell r="A18061"/>
          <cell r="B18061"/>
          <cell r="C18061"/>
          <cell r="D18061"/>
          <cell r="E18061"/>
        </row>
        <row r="18062">
          <cell r="A18062"/>
          <cell r="B18062"/>
          <cell r="C18062"/>
          <cell r="D18062"/>
          <cell r="E18062"/>
        </row>
        <row r="18063">
          <cell r="A18063"/>
          <cell r="B18063"/>
          <cell r="C18063"/>
          <cell r="D18063"/>
          <cell r="E18063"/>
        </row>
        <row r="18064">
          <cell r="A18064"/>
          <cell r="B18064"/>
          <cell r="C18064"/>
          <cell r="D18064"/>
          <cell r="E18064"/>
        </row>
        <row r="18065">
          <cell r="A18065"/>
          <cell r="B18065"/>
          <cell r="C18065"/>
          <cell r="D18065"/>
          <cell r="E18065"/>
        </row>
        <row r="18066">
          <cell r="A18066"/>
          <cell r="B18066"/>
          <cell r="C18066"/>
          <cell r="D18066"/>
          <cell r="E18066"/>
        </row>
        <row r="18067">
          <cell r="A18067"/>
          <cell r="B18067"/>
          <cell r="C18067"/>
          <cell r="D18067"/>
          <cell r="E18067"/>
        </row>
        <row r="18068">
          <cell r="A18068"/>
          <cell r="B18068"/>
          <cell r="C18068"/>
          <cell r="D18068"/>
          <cell r="E18068"/>
        </row>
        <row r="18069">
          <cell r="A18069"/>
          <cell r="B18069"/>
          <cell r="C18069"/>
          <cell r="D18069"/>
          <cell r="E18069"/>
        </row>
        <row r="18070">
          <cell r="A18070"/>
          <cell r="B18070"/>
          <cell r="C18070"/>
          <cell r="D18070"/>
          <cell r="E18070"/>
        </row>
        <row r="18071">
          <cell r="A18071"/>
          <cell r="B18071"/>
          <cell r="C18071"/>
          <cell r="D18071"/>
          <cell r="E18071"/>
        </row>
        <row r="18072">
          <cell r="A18072"/>
          <cell r="B18072"/>
          <cell r="C18072"/>
          <cell r="D18072"/>
          <cell r="E18072"/>
        </row>
        <row r="18073">
          <cell r="A18073"/>
          <cell r="B18073"/>
          <cell r="C18073"/>
          <cell r="D18073"/>
          <cell r="E18073"/>
        </row>
        <row r="18074">
          <cell r="A18074"/>
          <cell r="B18074"/>
          <cell r="C18074"/>
          <cell r="D18074"/>
          <cell r="E18074"/>
        </row>
        <row r="18075">
          <cell r="A18075"/>
          <cell r="B18075"/>
          <cell r="C18075"/>
          <cell r="D18075"/>
          <cell r="E18075"/>
        </row>
        <row r="18076">
          <cell r="A18076"/>
          <cell r="B18076"/>
          <cell r="C18076"/>
          <cell r="D18076"/>
          <cell r="E18076"/>
        </row>
        <row r="18077">
          <cell r="A18077"/>
          <cell r="B18077"/>
          <cell r="C18077"/>
          <cell r="D18077"/>
          <cell r="E18077"/>
        </row>
        <row r="18078">
          <cell r="A18078"/>
          <cell r="B18078"/>
          <cell r="C18078"/>
          <cell r="D18078"/>
          <cell r="E18078"/>
        </row>
        <row r="18079">
          <cell r="A18079"/>
          <cell r="B18079"/>
          <cell r="C18079"/>
          <cell r="D18079"/>
          <cell r="E18079"/>
        </row>
        <row r="18080">
          <cell r="A18080"/>
          <cell r="B18080"/>
          <cell r="C18080"/>
          <cell r="D18080"/>
          <cell r="E18080"/>
        </row>
        <row r="18081">
          <cell r="A18081"/>
          <cell r="B18081"/>
          <cell r="C18081"/>
          <cell r="D18081"/>
          <cell r="E18081"/>
        </row>
        <row r="18082">
          <cell r="A18082"/>
          <cell r="B18082"/>
          <cell r="C18082"/>
          <cell r="D18082"/>
          <cell r="E18082"/>
        </row>
        <row r="18083">
          <cell r="A18083"/>
          <cell r="B18083"/>
          <cell r="C18083"/>
          <cell r="D18083"/>
          <cell r="E18083"/>
        </row>
        <row r="18084">
          <cell r="A18084"/>
          <cell r="B18084"/>
          <cell r="C18084"/>
          <cell r="D18084"/>
          <cell r="E18084"/>
        </row>
        <row r="18085">
          <cell r="A18085"/>
          <cell r="B18085"/>
          <cell r="C18085"/>
          <cell r="D18085"/>
          <cell r="E18085"/>
        </row>
        <row r="18086">
          <cell r="A18086"/>
          <cell r="B18086"/>
          <cell r="C18086"/>
          <cell r="D18086"/>
          <cell r="E18086"/>
        </row>
        <row r="18087">
          <cell r="A18087"/>
          <cell r="B18087"/>
          <cell r="C18087"/>
          <cell r="D18087"/>
          <cell r="E18087"/>
        </row>
        <row r="18088">
          <cell r="A18088"/>
          <cell r="B18088"/>
          <cell r="C18088"/>
          <cell r="D18088"/>
          <cell r="E18088"/>
        </row>
        <row r="18089">
          <cell r="A18089"/>
          <cell r="B18089"/>
          <cell r="C18089"/>
          <cell r="D18089"/>
          <cell r="E18089"/>
        </row>
        <row r="18090">
          <cell r="A18090"/>
          <cell r="B18090"/>
          <cell r="C18090"/>
          <cell r="D18090"/>
          <cell r="E18090"/>
        </row>
        <row r="18091">
          <cell r="A18091"/>
          <cell r="B18091"/>
          <cell r="C18091"/>
          <cell r="D18091"/>
          <cell r="E18091"/>
        </row>
        <row r="18092">
          <cell r="A18092"/>
          <cell r="B18092"/>
          <cell r="C18092"/>
          <cell r="D18092"/>
          <cell r="E18092"/>
        </row>
        <row r="18093">
          <cell r="A18093"/>
          <cell r="B18093"/>
          <cell r="C18093"/>
          <cell r="D18093"/>
          <cell r="E18093"/>
        </row>
        <row r="18094">
          <cell r="A18094"/>
          <cell r="B18094"/>
          <cell r="C18094"/>
          <cell r="D18094"/>
          <cell r="E18094"/>
        </row>
        <row r="18095">
          <cell r="A18095"/>
          <cell r="B18095"/>
          <cell r="C18095"/>
          <cell r="D18095"/>
          <cell r="E18095"/>
        </row>
        <row r="18096">
          <cell r="A18096"/>
          <cell r="B18096"/>
          <cell r="C18096"/>
          <cell r="D18096"/>
          <cell r="E18096"/>
        </row>
        <row r="18097">
          <cell r="A18097"/>
          <cell r="B18097"/>
          <cell r="C18097"/>
          <cell r="D18097"/>
          <cell r="E18097"/>
        </row>
        <row r="18098">
          <cell r="A18098"/>
          <cell r="B18098"/>
          <cell r="C18098"/>
          <cell r="D18098"/>
          <cell r="E18098"/>
        </row>
        <row r="18099">
          <cell r="A18099"/>
          <cell r="B18099"/>
          <cell r="C18099"/>
          <cell r="D18099"/>
          <cell r="E18099"/>
        </row>
        <row r="18100">
          <cell r="A18100"/>
          <cell r="B18100"/>
          <cell r="C18100"/>
          <cell r="D18100"/>
          <cell r="E18100"/>
        </row>
        <row r="18101">
          <cell r="A18101"/>
          <cell r="B18101"/>
          <cell r="C18101"/>
          <cell r="D18101"/>
          <cell r="E18101"/>
        </row>
        <row r="18102">
          <cell r="A18102"/>
          <cell r="B18102"/>
          <cell r="C18102"/>
          <cell r="D18102"/>
          <cell r="E18102"/>
        </row>
        <row r="18103">
          <cell r="A18103"/>
          <cell r="B18103"/>
          <cell r="C18103"/>
          <cell r="D18103"/>
          <cell r="E18103"/>
        </row>
        <row r="18104">
          <cell r="A18104"/>
          <cell r="B18104"/>
          <cell r="C18104"/>
          <cell r="D18104"/>
          <cell r="E18104"/>
        </row>
        <row r="18105">
          <cell r="A18105"/>
          <cell r="B18105"/>
          <cell r="C18105"/>
          <cell r="D18105"/>
          <cell r="E18105"/>
        </row>
        <row r="18106">
          <cell r="A18106"/>
          <cell r="B18106"/>
          <cell r="C18106"/>
          <cell r="D18106"/>
          <cell r="E18106"/>
        </row>
        <row r="18107">
          <cell r="A18107"/>
          <cell r="B18107"/>
          <cell r="C18107"/>
          <cell r="D18107"/>
          <cell r="E18107"/>
        </row>
        <row r="18108">
          <cell r="A18108"/>
          <cell r="B18108"/>
          <cell r="C18108"/>
          <cell r="D18108"/>
          <cell r="E18108"/>
        </row>
        <row r="18109">
          <cell r="A18109"/>
          <cell r="B18109"/>
          <cell r="C18109"/>
          <cell r="D18109"/>
          <cell r="E18109"/>
        </row>
        <row r="18110">
          <cell r="A18110"/>
          <cell r="B18110"/>
          <cell r="C18110"/>
          <cell r="D18110"/>
          <cell r="E18110"/>
        </row>
        <row r="18111">
          <cell r="A18111"/>
          <cell r="B18111"/>
          <cell r="C18111"/>
          <cell r="D18111"/>
          <cell r="E18111"/>
        </row>
        <row r="18112">
          <cell r="A18112"/>
          <cell r="B18112"/>
          <cell r="C18112"/>
          <cell r="D18112"/>
          <cell r="E18112"/>
        </row>
        <row r="18113">
          <cell r="A18113"/>
          <cell r="B18113"/>
          <cell r="C18113"/>
          <cell r="D18113"/>
          <cell r="E18113"/>
        </row>
        <row r="18114">
          <cell r="A18114"/>
          <cell r="B18114"/>
          <cell r="C18114"/>
          <cell r="D18114"/>
          <cell r="E18114"/>
        </row>
        <row r="18115">
          <cell r="A18115"/>
          <cell r="B18115"/>
          <cell r="C18115"/>
          <cell r="D18115"/>
          <cell r="E18115"/>
        </row>
        <row r="18116">
          <cell r="A18116"/>
          <cell r="B18116"/>
          <cell r="C18116"/>
          <cell r="D18116"/>
          <cell r="E18116"/>
        </row>
        <row r="18117">
          <cell r="A18117"/>
          <cell r="B18117"/>
          <cell r="C18117"/>
          <cell r="D18117"/>
          <cell r="E18117"/>
        </row>
        <row r="18118">
          <cell r="A18118"/>
          <cell r="B18118"/>
          <cell r="C18118"/>
          <cell r="D18118"/>
          <cell r="E18118"/>
        </row>
        <row r="18119">
          <cell r="A18119"/>
          <cell r="B18119"/>
          <cell r="C18119"/>
          <cell r="D18119"/>
          <cell r="E18119"/>
        </row>
        <row r="18120">
          <cell r="A18120"/>
          <cell r="B18120"/>
          <cell r="C18120"/>
          <cell r="D18120"/>
          <cell r="E18120"/>
        </row>
        <row r="18121">
          <cell r="A18121"/>
          <cell r="B18121"/>
          <cell r="C18121"/>
          <cell r="D18121"/>
          <cell r="E18121"/>
        </row>
        <row r="18122">
          <cell r="A18122"/>
          <cell r="B18122"/>
          <cell r="C18122"/>
          <cell r="D18122"/>
          <cell r="E18122"/>
        </row>
        <row r="18123">
          <cell r="A18123"/>
          <cell r="B18123"/>
          <cell r="C18123"/>
          <cell r="D18123"/>
          <cell r="E18123"/>
        </row>
        <row r="18124">
          <cell r="A18124"/>
          <cell r="B18124"/>
          <cell r="C18124"/>
          <cell r="D18124"/>
          <cell r="E18124"/>
        </row>
        <row r="18125">
          <cell r="A18125"/>
          <cell r="B18125"/>
          <cell r="C18125"/>
          <cell r="D18125"/>
          <cell r="E18125"/>
        </row>
        <row r="18126">
          <cell r="A18126"/>
          <cell r="B18126"/>
          <cell r="C18126"/>
          <cell r="D18126"/>
          <cell r="E18126"/>
        </row>
        <row r="18127">
          <cell r="A18127"/>
          <cell r="B18127"/>
          <cell r="C18127"/>
          <cell r="D18127"/>
          <cell r="E18127"/>
        </row>
        <row r="18128">
          <cell r="A18128"/>
          <cell r="B18128"/>
          <cell r="C18128"/>
          <cell r="D18128"/>
          <cell r="E18128"/>
        </row>
        <row r="18129">
          <cell r="A18129"/>
          <cell r="B18129"/>
          <cell r="C18129"/>
          <cell r="D18129"/>
          <cell r="E18129"/>
        </row>
        <row r="18130">
          <cell r="A18130"/>
          <cell r="B18130"/>
          <cell r="C18130"/>
          <cell r="D18130"/>
          <cell r="E18130"/>
        </row>
        <row r="18131">
          <cell r="A18131"/>
          <cell r="B18131"/>
          <cell r="C18131"/>
          <cell r="D18131"/>
          <cell r="E18131"/>
        </row>
        <row r="18132">
          <cell r="A18132"/>
          <cell r="B18132"/>
          <cell r="C18132"/>
          <cell r="D18132"/>
          <cell r="E18132"/>
        </row>
        <row r="18133">
          <cell r="A18133"/>
          <cell r="B18133"/>
          <cell r="C18133"/>
          <cell r="D18133"/>
          <cell r="E18133"/>
        </row>
        <row r="18134">
          <cell r="A18134"/>
          <cell r="B18134"/>
          <cell r="C18134"/>
          <cell r="D18134"/>
          <cell r="E18134"/>
        </row>
        <row r="18135">
          <cell r="A18135"/>
          <cell r="B18135"/>
          <cell r="C18135"/>
          <cell r="D18135"/>
          <cell r="E18135"/>
        </row>
        <row r="18136">
          <cell r="A18136"/>
          <cell r="B18136"/>
          <cell r="C18136"/>
          <cell r="D18136"/>
          <cell r="E18136"/>
        </row>
        <row r="18137">
          <cell r="A18137"/>
          <cell r="B18137"/>
          <cell r="C18137"/>
          <cell r="D18137"/>
          <cell r="E18137"/>
        </row>
        <row r="18138">
          <cell r="A18138"/>
          <cell r="B18138"/>
          <cell r="C18138"/>
          <cell r="D18138"/>
          <cell r="E18138"/>
        </row>
        <row r="18139">
          <cell r="A18139"/>
          <cell r="B18139"/>
          <cell r="C18139"/>
          <cell r="D18139"/>
          <cell r="E18139"/>
        </row>
        <row r="18140">
          <cell r="A18140"/>
          <cell r="B18140"/>
          <cell r="C18140"/>
          <cell r="D18140"/>
          <cell r="E18140"/>
        </row>
        <row r="18141">
          <cell r="A18141"/>
          <cell r="B18141"/>
          <cell r="C18141"/>
          <cell r="D18141"/>
          <cell r="E18141"/>
        </row>
        <row r="18142">
          <cell r="A18142"/>
          <cell r="B18142"/>
          <cell r="C18142"/>
          <cell r="D18142"/>
          <cell r="E18142"/>
        </row>
        <row r="18143">
          <cell r="A18143"/>
          <cell r="B18143"/>
          <cell r="C18143"/>
          <cell r="D18143"/>
          <cell r="E18143"/>
        </row>
        <row r="18144">
          <cell r="A18144"/>
          <cell r="B18144"/>
          <cell r="C18144"/>
          <cell r="D18144"/>
          <cell r="E18144"/>
        </row>
        <row r="18145">
          <cell r="A18145"/>
          <cell r="B18145"/>
          <cell r="C18145"/>
          <cell r="D18145"/>
          <cell r="E18145"/>
        </row>
        <row r="18146">
          <cell r="A18146"/>
          <cell r="B18146"/>
          <cell r="C18146"/>
          <cell r="D18146"/>
          <cell r="E18146"/>
        </row>
        <row r="18147">
          <cell r="A18147"/>
          <cell r="B18147"/>
          <cell r="C18147"/>
          <cell r="D18147"/>
          <cell r="E18147"/>
        </row>
        <row r="18148">
          <cell r="A18148"/>
          <cell r="B18148"/>
          <cell r="C18148"/>
          <cell r="D18148"/>
          <cell r="E18148"/>
        </row>
        <row r="18149">
          <cell r="A18149"/>
          <cell r="B18149"/>
          <cell r="C18149"/>
          <cell r="D18149"/>
          <cell r="E18149"/>
        </row>
        <row r="18150">
          <cell r="A18150"/>
          <cell r="B18150"/>
          <cell r="C18150"/>
          <cell r="D18150"/>
          <cell r="E18150"/>
        </row>
        <row r="18151">
          <cell r="A18151"/>
          <cell r="B18151"/>
          <cell r="C18151"/>
          <cell r="D18151"/>
          <cell r="E18151"/>
        </row>
        <row r="18152">
          <cell r="A18152"/>
          <cell r="B18152"/>
          <cell r="C18152"/>
          <cell r="D18152"/>
          <cell r="E18152"/>
        </row>
        <row r="18153">
          <cell r="A18153"/>
          <cell r="B18153"/>
          <cell r="C18153"/>
          <cell r="D18153"/>
          <cell r="E18153"/>
        </row>
        <row r="18154">
          <cell r="A18154"/>
          <cell r="B18154"/>
          <cell r="C18154"/>
          <cell r="D18154"/>
          <cell r="E18154"/>
        </row>
        <row r="18155">
          <cell r="A18155"/>
          <cell r="B18155"/>
          <cell r="C18155"/>
          <cell r="D18155"/>
          <cell r="E18155"/>
        </row>
        <row r="18156">
          <cell r="A18156"/>
          <cell r="B18156"/>
          <cell r="C18156"/>
          <cell r="D18156"/>
          <cell r="E18156"/>
        </row>
        <row r="18157">
          <cell r="A18157"/>
          <cell r="B18157"/>
          <cell r="C18157"/>
          <cell r="D18157"/>
          <cell r="E18157"/>
        </row>
        <row r="18158">
          <cell r="A18158"/>
          <cell r="B18158"/>
          <cell r="C18158"/>
          <cell r="D18158"/>
          <cell r="E18158"/>
        </row>
        <row r="18159">
          <cell r="A18159"/>
          <cell r="B18159"/>
          <cell r="C18159"/>
          <cell r="D18159"/>
          <cell r="E18159"/>
        </row>
        <row r="18160">
          <cell r="A18160"/>
          <cell r="B18160"/>
          <cell r="C18160"/>
          <cell r="D18160"/>
          <cell r="E18160"/>
        </row>
        <row r="18161">
          <cell r="A18161"/>
          <cell r="B18161"/>
          <cell r="C18161"/>
          <cell r="D18161"/>
          <cell r="E18161"/>
        </row>
        <row r="18162">
          <cell r="A18162"/>
          <cell r="B18162"/>
          <cell r="C18162"/>
          <cell r="D18162"/>
          <cell r="E18162"/>
        </row>
        <row r="18163">
          <cell r="A18163"/>
          <cell r="B18163"/>
          <cell r="C18163"/>
          <cell r="D18163"/>
          <cell r="E18163"/>
        </row>
        <row r="18164">
          <cell r="A18164"/>
          <cell r="B18164"/>
          <cell r="C18164"/>
          <cell r="D18164"/>
          <cell r="E18164"/>
        </row>
        <row r="18165">
          <cell r="A18165"/>
          <cell r="B18165"/>
          <cell r="C18165"/>
          <cell r="D18165"/>
          <cell r="E18165"/>
        </row>
        <row r="18166">
          <cell r="A18166"/>
          <cell r="B18166"/>
          <cell r="C18166"/>
          <cell r="D18166"/>
          <cell r="E18166"/>
        </row>
        <row r="18167">
          <cell r="A18167"/>
          <cell r="B18167"/>
          <cell r="C18167"/>
          <cell r="D18167"/>
          <cell r="E18167"/>
        </row>
        <row r="18168">
          <cell r="A18168"/>
          <cell r="B18168"/>
          <cell r="C18168"/>
          <cell r="D18168"/>
          <cell r="E18168"/>
        </row>
        <row r="18169">
          <cell r="A18169"/>
          <cell r="B18169"/>
          <cell r="C18169"/>
          <cell r="D18169"/>
          <cell r="E18169"/>
        </row>
        <row r="18170">
          <cell r="A18170"/>
          <cell r="B18170"/>
          <cell r="C18170"/>
          <cell r="D18170"/>
          <cell r="E18170"/>
        </row>
        <row r="18171">
          <cell r="A18171"/>
          <cell r="B18171"/>
          <cell r="C18171"/>
          <cell r="D18171"/>
          <cell r="E18171"/>
        </row>
        <row r="18172">
          <cell r="A18172"/>
          <cell r="B18172"/>
          <cell r="C18172"/>
          <cell r="D18172"/>
          <cell r="E18172"/>
        </row>
        <row r="18173">
          <cell r="A18173"/>
          <cell r="B18173"/>
          <cell r="C18173"/>
          <cell r="D18173"/>
          <cell r="E18173"/>
        </row>
        <row r="18174">
          <cell r="A18174"/>
          <cell r="B18174"/>
          <cell r="C18174"/>
          <cell r="D18174"/>
          <cell r="E18174"/>
        </row>
        <row r="18175">
          <cell r="A18175"/>
          <cell r="B18175"/>
          <cell r="C18175"/>
          <cell r="D18175"/>
          <cell r="E18175"/>
        </row>
        <row r="18176">
          <cell r="A18176"/>
          <cell r="B18176"/>
          <cell r="C18176"/>
          <cell r="D18176"/>
          <cell r="E18176"/>
        </row>
        <row r="18177">
          <cell r="A18177"/>
          <cell r="B18177"/>
          <cell r="C18177"/>
          <cell r="D18177"/>
          <cell r="E18177"/>
        </row>
        <row r="18178">
          <cell r="A18178"/>
          <cell r="B18178"/>
          <cell r="C18178"/>
          <cell r="D18178"/>
          <cell r="E18178"/>
        </row>
        <row r="18179">
          <cell r="A18179"/>
          <cell r="B18179"/>
          <cell r="C18179"/>
          <cell r="D18179"/>
          <cell r="E18179"/>
        </row>
        <row r="18180">
          <cell r="A18180"/>
          <cell r="B18180"/>
          <cell r="C18180"/>
          <cell r="D18180"/>
          <cell r="E18180"/>
        </row>
        <row r="18181">
          <cell r="A18181"/>
          <cell r="B18181"/>
          <cell r="C18181"/>
          <cell r="D18181"/>
          <cell r="E18181"/>
        </row>
        <row r="18182">
          <cell r="A18182"/>
          <cell r="B18182"/>
          <cell r="C18182"/>
          <cell r="D18182"/>
          <cell r="E18182"/>
        </row>
        <row r="18183">
          <cell r="A18183"/>
          <cell r="B18183"/>
          <cell r="C18183"/>
          <cell r="D18183"/>
          <cell r="E18183"/>
        </row>
        <row r="18184">
          <cell r="A18184"/>
          <cell r="B18184"/>
          <cell r="C18184"/>
          <cell r="D18184"/>
          <cell r="E18184"/>
        </row>
        <row r="18185">
          <cell r="A18185"/>
          <cell r="B18185"/>
          <cell r="C18185"/>
          <cell r="D18185"/>
          <cell r="E18185"/>
        </row>
        <row r="18186">
          <cell r="A18186"/>
          <cell r="B18186"/>
          <cell r="C18186"/>
          <cell r="D18186"/>
          <cell r="E18186"/>
        </row>
        <row r="18187">
          <cell r="A18187"/>
          <cell r="B18187"/>
          <cell r="C18187"/>
          <cell r="D18187"/>
          <cell r="E18187"/>
        </row>
        <row r="18188">
          <cell r="A18188"/>
          <cell r="B18188"/>
          <cell r="C18188"/>
          <cell r="D18188"/>
          <cell r="E18188"/>
        </row>
        <row r="18189">
          <cell r="A18189"/>
          <cell r="B18189"/>
          <cell r="C18189"/>
          <cell r="D18189"/>
          <cell r="E18189"/>
        </row>
        <row r="18190">
          <cell r="A18190"/>
          <cell r="B18190"/>
          <cell r="C18190"/>
          <cell r="D18190"/>
          <cell r="E18190"/>
        </row>
        <row r="18191">
          <cell r="A18191"/>
          <cell r="B18191"/>
          <cell r="C18191"/>
          <cell r="D18191"/>
          <cell r="E18191"/>
        </row>
        <row r="18192">
          <cell r="A18192"/>
          <cell r="B18192"/>
          <cell r="C18192"/>
          <cell r="D18192"/>
          <cell r="E18192"/>
        </row>
        <row r="18193">
          <cell r="A18193"/>
          <cell r="B18193"/>
          <cell r="C18193"/>
          <cell r="D18193"/>
          <cell r="E18193"/>
        </row>
        <row r="18194">
          <cell r="A18194"/>
          <cell r="B18194"/>
          <cell r="C18194"/>
          <cell r="D18194"/>
          <cell r="E18194"/>
        </row>
        <row r="18195">
          <cell r="A18195"/>
          <cell r="B18195"/>
          <cell r="C18195"/>
          <cell r="D18195"/>
          <cell r="E18195"/>
        </row>
        <row r="18196">
          <cell r="A18196"/>
          <cell r="B18196"/>
          <cell r="C18196"/>
          <cell r="D18196"/>
          <cell r="E18196"/>
        </row>
        <row r="18197">
          <cell r="A18197"/>
          <cell r="B18197"/>
          <cell r="C18197"/>
          <cell r="D18197"/>
          <cell r="E18197"/>
        </row>
        <row r="18198">
          <cell r="A18198"/>
          <cell r="B18198"/>
          <cell r="C18198"/>
          <cell r="D18198"/>
          <cell r="E18198"/>
        </row>
        <row r="18199">
          <cell r="A18199"/>
          <cell r="B18199"/>
          <cell r="C18199"/>
          <cell r="D18199"/>
          <cell r="E18199"/>
        </row>
        <row r="18200">
          <cell r="A18200"/>
          <cell r="B18200"/>
          <cell r="C18200"/>
          <cell r="D18200"/>
          <cell r="E18200"/>
        </row>
        <row r="18201">
          <cell r="A18201"/>
          <cell r="B18201"/>
          <cell r="C18201"/>
          <cell r="D18201"/>
          <cell r="E18201"/>
        </row>
        <row r="18202">
          <cell r="A18202"/>
          <cell r="B18202"/>
          <cell r="C18202"/>
          <cell r="D18202"/>
          <cell r="E18202"/>
        </row>
        <row r="18203">
          <cell r="A18203"/>
          <cell r="B18203"/>
          <cell r="C18203"/>
          <cell r="D18203"/>
          <cell r="E18203"/>
        </row>
        <row r="18204">
          <cell r="A18204"/>
          <cell r="B18204"/>
          <cell r="C18204"/>
          <cell r="D18204"/>
          <cell r="E18204"/>
        </row>
        <row r="18205">
          <cell r="A18205"/>
          <cell r="B18205"/>
          <cell r="C18205"/>
          <cell r="D18205"/>
          <cell r="E18205"/>
        </row>
        <row r="18206">
          <cell r="A18206"/>
          <cell r="B18206"/>
          <cell r="C18206"/>
          <cell r="D18206"/>
          <cell r="E18206"/>
        </row>
        <row r="18207">
          <cell r="A18207"/>
          <cell r="B18207"/>
          <cell r="C18207"/>
          <cell r="D18207"/>
          <cell r="E18207"/>
        </row>
        <row r="18208">
          <cell r="A18208"/>
          <cell r="B18208"/>
          <cell r="C18208"/>
          <cell r="D18208"/>
          <cell r="E18208"/>
        </row>
        <row r="18209">
          <cell r="A18209"/>
          <cell r="B18209"/>
          <cell r="C18209"/>
          <cell r="D18209"/>
          <cell r="E18209"/>
        </row>
        <row r="18210">
          <cell r="A18210"/>
          <cell r="B18210"/>
          <cell r="C18210"/>
          <cell r="D18210"/>
          <cell r="E18210"/>
        </row>
        <row r="18211">
          <cell r="A18211"/>
          <cell r="B18211"/>
          <cell r="C18211"/>
          <cell r="D18211"/>
          <cell r="E18211"/>
        </row>
        <row r="18212">
          <cell r="A18212"/>
          <cell r="B18212"/>
          <cell r="C18212"/>
          <cell r="D18212"/>
          <cell r="E18212"/>
        </row>
        <row r="18213">
          <cell r="A18213"/>
          <cell r="B18213"/>
          <cell r="C18213"/>
          <cell r="D18213"/>
          <cell r="E18213"/>
        </row>
        <row r="18214">
          <cell r="A18214"/>
          <cell r="B18214"/>
          <cell r="C18214"/>
          <cell r="D18214"/>
          <cell r="E18214"/>
        </row>
        <row r="18215">
          <cell r="A18215"/>
          <cell r="B18215"/>
          <cell r="C18215"/>
          <cell r="D18215"/>
          <cell r="E18215"/>
        </row>
        <row r="18216">
          <cell r="A18216"/>
          <cell r="B18216"/>
          <cell r="C18216"/>
          <cell r="D18216"/>
          <cell r="E18216"/>
        </row>
        <row r="18217">
          <cell r="A18217"/>
          <cell r="B18217"/>
          <cell r="C18217"/>
          <cell r="D18217"/>
          <cell r="E18217"/>
        </row>
        <row r="18218">
          <cell r="A18218"/>
          <cell r="B18218"/>
          <cell r="C18218"/>
          <cell r="D18218"/>
          <cell r="E18218"/>
        </row>
        <row r="18219">
          <cell r="A18219"/>
          <cell r="B18219"/>
          <cell r="C18219"/>
          <cell r="D18219"/>
          <cell r="E18219"/>
        </row>
        <row r="18220">
          <cell r="A18220"/>
          <cell r="B18220"/>
          <cell r="C18220"/>
          <cell r="D18220"/>
          <cell r="E18220"/>
        </row>
        <row r="18221">
          <cell r="A18221"/>
          <cell r="B18221"/>
          <cell r="C18221"/>
          <cell r="D18221"/>
          <cell r="E18221"/>
        </row>
        <row r="18222">
          <cell r="A18222"/>
          <cell r="B18222"/>
          <cell r="C18222"/>
          <cell r="D18222"/>
          <cell r="E18222"/>
        </row>
        <row r="18223">
          <cell r="A18223"/>
          <cell r="B18223"/>
          <cell r="C18223"/>
          <cell r="D18223"/>
          <cell r="E18223"/>
        </row>
        <row r="18224">
          <cell r="A18224"/>
          <cell r="B18224"/>
          <cell r="C18224"/>
          <cell r="D18224"/>
          <cell r="E18224"/>
        </row>
        <row r="18225">
          <cell r="A18225"/>
          <cell r="B18225"/>
          <cell r="C18225"/>
          <cell r="D18225"/>
          <cell r="E18225"/>
        </row>
        <row r="18226">
          <cell r="A18226"/>
          <cell r="B18226"/>
          <cell r="C18226"/>
          <cell r="D18226"/>
          <cell r="E18226"/>
        </row>
        <row r="18227">
          <cell r="A18227"/>
          <cell r="B18227"/>
          <cell r="C18227"/>
          <cell r="D18227"/>
          <cell r="E18227"/>
        </row>
        <row r="18228">
          <cell r="A18228"/>
          <cell r="B18228"/>
          <cell r="C18228"/>
          <cell r="D18228"/>
          <cell r="E18228"/>
        </row>
        <row r="18229">
          <cell r="A18229"/>
          <cell r="B18229"/>
          <cell r="C18229"/>
          <cell r="D18229"/>
          <cell r="E18229"/>
        </row>
        <row r="18230">
          <cell r="A18230"/>
          <cell r="B18230"/>
          <cell r="C18230"/>
          <cell r="D18230"/>
          <cell r="E18230"/>
        </row>
        <row r="18231">
          <cell r="A18231"/>
          <cell r="B18231"/>
          <cell r="C18231"/>
          <cell r="D18231"/>
          <cell r="E18231"/>
        </row>
        <row r="18232">
          <cell r="A18232"/>
          <cell r="B18232"/>
          <cell r="C18232"/>
          <cell r="D18232"/>
          <cell r="E18232"/>
        </row>
        <row r="18233">
          <cell r="A18233"/>
          <cell r="B18233"/>
          <cell r="C18233"/>
          <cell r="D18233"/>
          <cell r="E18233"/>
        </row>
        <row r="18234">
          <cell r="A18234"/>
          <cell r="B18234"/>
          <cell r="C18234"/>
          <cell r="D18234"/>
          <cell r="E18234"/>
        </row>
        <row r="18235">
          <cell r="A18235"/>
          <cell r="B18235"/>
          <cell r="C18235"/>
          <cell r="D18235"/>
          <cell r="E18235"/>
        </row>
        <row r="18236">
          <cell r="A18236"/>
          <cell r="B18236"/>
          <cell r="C18236"/>
          <cell r="D18236"/>
          <cell r="E18236"/>
        </row>
        <row r="18237">
          <cell r="A18237"/>
          <cell r="B18237"/>
          <cell r="C18237"/>
          <cell r="D18237"/>
          <cell r="E18237"/>
        </row>
        <row r="18238">
          <cell r="A18238"/>
          <cell r="B18238"/>
          <cell r="C18238"/>
          <cell r="D18238"/>
          <cell r="E18238"/>
        </row>
        <row r="18239">
          <cell r="A18239"/>
          <cell r="B18239"/>
          <cell r="C18239"/>
          <cell r="D18239"/>
          <cell r="E18239"/>
        </row>
        <row r="18240">
          <cell r="A18240"/>
          <cell r="B18240"/>
          <cell r="C18240"/>
          <cell r="D18240"/>
          <cell r="E18240"/>
        </row>
        <row r="18241">
          <cell r="A18241"/>
          <cell r="B18241"/>
          <cell r="C18241"/>
          <cell r="D18241"/>
          <cell r="E18241"/>
        </row>
        <row r="18242">
          <cell r="A18242"/>
          <cell r="B18242"/>
          <cell r="C18242"/>
          <cell r="D18242"/>
          <cell r="E18242"/>
        </row>
        <row r="18243">
          <cell r="A18243"/>
          <cell r="B18243"/>
          <cell r="C18243"/>
          <cell r="D18243"/>
          <cell r="E18243"/>
        </row>
        <row r="18244">
          <cell r="A18244"/>
          <cell r="B18244"/>
          <cell r="C18244"/>
          <cell r="D18244"/>
          <cell r="E18244"/>
        </row>
        <row r="18245">
          <cell r="A18245"/>
          <cell r="B18245"/>
          <cell r="C18245"/>
          <cell r="D18245"/>
          <cell r="E18245"/>
        </row>
        <row r="18246">
          <cell r="A18246"/>
          <cell r="B18246"/>
          <cell r="C18246"/>
          <cell r="D18246"/>
          <cell r="E18246"/>
        </row>
        <row r="18247">
          <cell r="A18247"/>
          <cell r="B18247"/>
          <cell r="C18247"/>
          <cell r="D18247"/>
          <cell r="E18247"/>
        </row>
        <row r="18248">
          <cell r="A18248"/>
          <cell r="B18248"/>
          <cell r="C18248"/>
          <cell r="D18248"/>
          <cell r="E18248"/>
        </row>
        <row r="18249">
          <cell r="A18249"/>
          <cell r="B18249"/>
          <cell r="C18249"/>
          <cell r="D18249"/>
          <cell r="E18249"/>
        </row>
        <row r="18250">
          <cell r="A18250"/>
          <cell r="B18250"/>
          <cell r="C18250"/>
          <cell r="D18250"/>
          <cell r="E18250"/>
        </row>
        <row r="18251">
          <cell r="A18251"/>
          <cell r="B18251"/>
          <cell r="C18251"/>
          <cell r="D18251"/>
          <cell r="E18251"/>
        </row>
        <row r="18252">
          <cell r="A18252"/>
          <cell r="B18252"/>
          <cell r="C18252"/>
          <cell r="D18252"/>
          <cell r="E18252"/>
        </row>
        <row r="18253">
          <cell r="A18253"/>
          <cell r="B18253"/>
          <cell r="C18253"/>
          <cell r="D18253"/>
          <cell r="E18253"/>
        </row>
        <row r="18254">
          <cell r="A18254"/>
          <cell r="B18254"/>
          <cell r="C18254"/>
          <cell r="D18254"/>
          <cell r="E18254"/>
        </row>
        <row r="18255">
          <cell r="A18255"/>
          <cell r="B18255"/>
          <cell r="C18255"/>
          <cell r="D18255"/>
          <cell r="E18255"/>
        </row>
        <row r="18256">
          <cell r="A18256"/>
          <cell r="B18256"/>
          <cell r="C18256"/>
          <cell r="D18256"/>
          <cell r="E18256"/>
        </row>
        <row r="18257">
          <cell r="A18257"/>
          <cell r="B18257"/>
          <cell r="C18257"/>
          <cell r="D18257"/>
          <cell r="E18257"/>
        </row>
        <row r="18258">
          <cell r="A18258"/>
          <cell r="B18258"/>
          <cell r="C18258"/>
          <cell r="D18258"/>
          <cell r="E18258"/>
        </row>
        <row r="18259">
          <cell r="A18259"/>
          <cell r="B18259"/>
          <cell r="C18259"/>
          <cell r="D18259"/>
          <cell r="E18259"/>
        </row>
        <row r="18260">
          <cell r="A18260"/>
          <cell r="B18260"/>
          <cell r="C18260"/>
          <cell r="D18260"/>
          <cell r="E18260"/>
        </row>
        <row r="18261">
          <cell r="A18261"/>
          <cell r="B18261"/>
          <cell r="C18261"/>
          <cell r="D18261"/>
          <cell r="E18261"/>
        </row>
        <row r="18262">
          <cell r="A18262"/>
          <cell r="B18262"/>
          <cell r="C18262"/>
          <cell r="D18262"/>
          <cell r="E18262"/>
        </row>
        <row r="18263">
          <cell r="A18263"/>
          <cell r="B18263"/>
          <cell r="C18263"/>
          <cell r="D18263"/>
          <cell r="E18263"/>
        </row>
        <row r="18264">
          <cell r="A18264"/>
          <cell r="B18264"/>
          <cell r="C18264"/>
          <cell r="D18264"/>
          <cell r="E18264"/>
        </row>
        <row r="18265">
          <cell r="A18265"/>
          <cell r="B18265"/>
          <cell r="C18265"/>
          <cell r="D18265"/>
          <cell r="E18265"/>
        </row>
        <row r="18266">
          <cell r="A18266"/>
          <cell r="B18266"/>
          <cell r="C18266"/>
          <cell r="D18266"/>
          <cell r="E18266"/>
        </row>
        <row r="18267">
          <cell r="A18267"/>
          <cell r="B18267"/>
          <cell r="C18267"/>
          <cell r="D18267"/>
          <cell r="E18267"/>
        </row>
        <row r="18268">
          <cell r="A18268"/>
          <cell r="B18268"/>
          <cell r="C18268"/>
          <cell r="D18268"/>
          <cell r="E18268"/>
        </row>
        <row r="18269">
          <cell r="A18269"/>
          <cell r="B18269"/>
          <cell r="C18269"/>
          <cell r="D18269"/>
          <cell r="E18269"/>
        </row>
        <row r="18270">
          <cell r="A18270"/>
          <cell r="B18270"/>
          <cell r="C18270"/>
          <cell r="D18270"/>
          <cell r="E18270"/>
        </row>
        <row r="18271">
          <cell r="A18271"/>
          <cell r="B18271"/>
          <cell r="C18271"/>
          <cell r="D18271"/>
          <cell r="E18271"/>
        </row>
        <row r="18272">
          <cell r="A18272"/>
          <cell r="B18272"/>
          <cell r="C18272"/>
          <cell r="D18272"/>
          <cell r="E18272"/>
        </row>
        <row r="18273">
          <cell r="A18273"/>
          <cell r="B18273"/>
          <cell r="C18273"/>
          <cell r="D18273"/>
          <cell r="E18273"/>
        </row>
        <row r="18274">
          <cell r="A18274"/>
          <cell r="B18274"/>
          <cell r="C18274"/>
          <cell r="D18274"/>
          <cell r="E18274"/>
        </row>
        <row r="18275">
          <cell r="A18275"/>
          <cell r="B18275"/>
          <cell r="C18275"/>
          <cell r="D18275"/>
          <cell r="E18275"/>
        </row>
        <row r="18276">
          <cell r="A18276"/>
          <cell r="B18276"/>
          <cell r="C18276"/>
          <cell r="D18276"/>
          <cell r="E18276"/>
        </row>
        <row r="18277">
          <cell r="A18277"/>
          <cell r="B18277"/>
          <cell r="C18277"/>
          <cell r="D18277"/>
          <cell r="E18277"/>
        </row>
        <row r="18278">
          <cell r="A18278"/>
          <cell r="B18278"/>
          <cell r="C18278"/>
          <cell r="D18278"/>
          <cell r="E18278"/>
        </row>
        <row r="18279">
          <cell r="A18279"/>
          <cell r="B18279"/>
          <cell r="C18279"/>
          <cell r="D18279"/>
          <cell r="E18279"/>
        </row>
        <row r="18280">
          <cell r="A18280"/>
          <cell r="B18280"/>
          <cell r="C18280"/>
          <cell r="D18280"/>
          <cell r="E18280"/>
        </row>
        <row r="18281">
          <cell r="A18281"/>
          <cell r="B18281"/>
          <cell r="C18281"/>
          <cell r="D18281"/>
          <cell r="E18281"/>
        </row>
        <row r="18282">
          <cell r="A18282"/>
          <cell r="B18282"/>
          <cell r="C18282"/>
          <cell r="D18282"/>
          <cell r="E18282"/>
        </row>
        <row r="18283">
          <cell r="A18283"/>
          <cell r="B18283"/>
          <cell r="C18283"/>
          <cell r="D18283"/>
          <cell r="E18283"/>
        </row>
        <row r="18284">
          <cell r="A18284"/>
          <cell r="B18284"/>
          <cell r="C18284"/>
          <cell r="D18284"/>
          <cell r="E18284"/>
        </row>
        <row r="18285">
          <cell r="A18285"/>
          <cell r="B18285"/>
          <cell r="C18285"/>
          <cell r="D18285"/>
          <cell r="E18285"/>
        </row>
        <row r="18286">
          <cell r="A18286"/>
          <cell r="B18286"/>
          <cell r="C18286"/>
          <cell r="D18286"/>
          <cell r="E18286"/>
        </row>
        <row r="18287">
          <cell r="A18287"/>
          <cell r="B18287"/>
          <cell r="C18287"/>
          <cell r="D18287"/>
          <cell r="E18287"/>
        </row>
        <row r="18288">
          <cell r="A18288"/>
          <cell r="B18288"/>
          <cell r="C18288"/>
          <cell r="D18288"/>
          <cell r="E18288"/>
        </row>
        <row r="18289">
          <cell r="A18289"/>
          <cell r="B18289"/>
          <cell r="C18289"/>
          <cell r="D18289"/>
          <cell r="E18289"/>
        </row>
        <row r="18290">
          <cell r="A18290"/>
          <cell r="B18290"/>
          <cell r="C18290"/>
          <cell r="D18290"/>
          <cell r="E18290"/>
        </row>
        <row r="18291">
          <cell r="A18291"/>
          <cell r="B18291"/>
          <cell r="C18291"/>
          <cell r="D18291"/>
          <cell r="E18291"/>
        </row>
        <row r="18292">
          <cell r="A18292"/>
          <cell r="B18292"/>
          <cell r="C18292"/>
          <cell r="D18292"/>
          <cell r="E18292"/>
        </row>
        <row r="18293">
          <cell r="A18293"/>
          <cell r="B18293"/>
          <cell r="C18293"/>
          <cell r="D18293"/>
          <cell r="E18293"/>
        </row>
        <row r="18294">
          <cell r="A18294"/>
          <cell r="B18294"/>
          <cell r="C18294"/>
          <cell r="D18294"/>
          <cell r="E18294"/>
        </row>
        <row r="18295">
          <cell r="A18295"/>
          <cell r="B18295"/>
          <cell r="C18295"/>
          <cell r="D18295"/>
          <cell r="E18295"/>
        </row>
        <row r="18296">
          <cell r="A18296"/>
          <cell r="B18296"/>
          <cell r="C18296"/>
          <cell r="D18296"/>
          <cell r="E18296"/>
        </row>
        <row r="18297">
          <cell r="A18297"/>
          <cell r="B18297"/>
          <cell r="C18297"/>
          <cell r="D18297"/>
          <cell r="E18297"/>
        </row>
        <row r="18298">
          <cell r="A18298"/>
          <cell r="B18298"/>
          <cell r="C18298"/>
          <cell r="D18298"/>
          <cell r="E18298"/>
        </row>
        <row r="18299">
          <cell r="A18299"/>
          <cell r="B18299"/>
          <cell r="C18299"/>
          <cell r="D18299"/>
          <cell r="E18299"/>
        </row>
        <row r="18300">
          <cell r="A18300"/>
          <cell r="B18300"/>
          <cell r="C18300"/>
          <cell r="D18300"/>
          <cell r="E18300"/>
        </row>
        <row r="18301">
          <cell r="A18301"/>
          <cell r="B18301"/>
          <cell r="C18301"/>
          <cell r="D18301"/>
          <cell r="E18301"/>
        </row>
        <row r="18302">
          <cell r="A18302"/>
          <cell r="B18302"/>
          <cell r="C18302"/>
          <cell r="D18302"/>
          <cell r="E18302"/>
        </row>
        <row r="18303">
          <cell r="A18303"/>
          <cell r="B18303"/>
          <cell r="C18303"/>
          <cell r="D18303"/>
          <cell r="E18303"/>
        </row>
        <row r="18304">
          <cell r="A18304"/>
          <cell r="B18304"/>
          <cell r="C18304"/>
          <cell r="D18304"/>
          <cell r="E18304"/>
        </row>
        <row r="18305">
          <cell r="A18305"/>
          <cell r="B18305"/>
          <cell r="C18305"/>
          <cell r="D18305"/>
          <cell r="E18305"/>
        </row>
        <row r="18306">
          <cell r="A18306"/>
          <cell r="B18306"/>
          <cell r="C18306"/>
          <cell r="D18306"/>
          <cell r="E18306"/>
        </row>
        <row r="18307">
          <cell r="A18307"/>
          <cell r="B18307"/>
          <cell r="C18307"/>
          <cell r="D18307"/>
          <cell r="E18307"/>
        </row>
        <row r="18308">
          <cell r="A18308"/>
          <cell r="B18308"/>
          <cell r="C18308"/>
          <cell r="D18308"/>
          <cell r="E18308"/>
        </row>
        <row r="18309">
          <cell r="A18309"/>
          <cell r="B18309"/>
          <cell r="C18309"/>
          <cell r="D18309"/>
          <cell r="E18309"/>
        </row>
        <row r="18310">
          <cell r="A18310"/>
          <cell r="B18310"/>
          <cell r="C18310"/>
          <cell r="D18310"/>
          <cell r="E18310"/>
        </row>
        <row r="18311">
          <cell r="A18311"/>
          <cell r="B18311"/>
          <cell r="C18311"/>
          <cell r="D18311"/>
          <cell r="E18311"/>
        </row>
        <row r="18312">
          <cell r="A18312"/>
          <cell r="B18312"/>
          <cell r="C18312"/>
          <cell r="D18312"/>
          <cell r="E18312"/>
        </row>
        <row r="18313">
          <cell r="A18313"/>
          <cell r="B18313"/>
          <cell r="C18313"/>
          <cell r="D18313"/>
          <cell r="E18313"/>
        </row>
        <row r="18314">
          <cell r="A18314"/>
          <cell r="B18314"/>
          <cell r="C18314"/>
          <cell r="D18314"/>
          <cell r="E18314"/>
        </row>
        <row r="18315">
          <cell r="A18315"/>
          <cell r="B18315"/>
          <cell r="C18315"/>
          <cell r="D18315"/>
          <cell r="E18315"/>
        </row>
        <row r="18316">
          <cell r="A18316"/>
          <cell r="B18316"/>
          <cell r="C18316"/>
          <cell r="D18316"/>
          <cell r="E18316"/>
        </row>
        <row r="18317">
          <cell r="A18317"/>
          <cell r="B18317"/>
          <cell r="C18317"/>
          <cell r="D18317"/>
          <cell r="E18317"/>
        </row>
        <row r="18318">
          <cell r="A18318"/>
          <cell r="B18318"/>
          <cell r="C18318"/>
          <cell r="D18318"/>
          <cell r="E18318"/>
        </row>
        <row r="18319">
          <cell r="A18319"/>
          <cell r="B18319"/>
          <cell r="C18319"/>
          <cell r="D18319"/>
          <cell r="E18319"/>
        </row>
        <row r="18320">
          <cell r="A18320"/>
          <cell r="B18320"/>
          <cell r="C18320"/>
          <cell r="D18320"/>
          <cell r="E18320"/>
        </row>
        <row r="18321">
          <cell r="A18321"/>
          <cell r="B18321"/>
          <cell r="C18321"/>
          <cell r="D18321"/>
          <cell r="E18321"/>
        </row>
        <row r="18322">
          <cell r="A18322"/>
          <cell r="B18322"/>
          <cell r="C18322"/>
          <cell r="D18322"/>
          <cell r="E18322"/>
        </row>
        <row r="18323">
          <cell r="A18323"/>
          <cell r="B18323"/>
          <cell r="C18323"/>
          <cell r="D18323"/>
          <cell r="E18323"/>
        </row>
        <row r="18324">
          <cell r="A18324"/>
          <cell r="B18324"/>
          <cell r="C18324"/>
          <cell r="D18324"/>
          <cell r="E18324"/>
        </row>
        <row r="18325">
          <cell r="A18325"/>
          <cell r="B18325"/>
          <cell r="C18325"/>
          <cell r="D18325"/>
          <cell r="E18325"/>
        </row>
        <row r="18326">
          <cell r="A18326"/>
          <cell r="B18326"/>
          <cell r="C18326"/>
          <cell r="D18326"/>
          <cell r="E18326"/>
        </row>
        <row r="18327">
          <cell r="A18327"/>
          <cell r="B18327"/>
          <cell r="C18327"/>
          <cell r="D18327"/>
          <cell r="E18327"/>
        </row>
        <row r="18328">
          <cell r="A18328"/>
          <cell r="B18328"/>
          <cell r="C18328"/>
          <cell r="D18328"/>
          <cell r="E18328"/>
        </row>
        <row r="18329">
          <cell r="A18329"/>
          <cell r="B18329"/>
          <cell r="C18329"/>
          <cell r="D18329"/>
          <cell r="E18329"/>
        </row>
        <row r="18330">
          <cell r="A18330"/>
          <cell r="B18330"/>
          <cell r="C18330"/>
          <cell r="D18330"/>
          <cell r="E18330"/>
        </row>
        <row r="18331">
          <cell r="A18331"/>
          <cell r="B18331"/>
          <cell r="C18331"/>
          <cell r="D18331"/>
          <cell r="E18331"/>
        </row>
        <row r="18332">
          <cell r="A18332"/>
          <cell r="B18332"/>
          <cell r="C18332"/>
          <cell r="D18332"/>
          <cell r="E18332"/>
        </row>
        <row r="18333">
          <cell r="A18333"/>
          <cell r="B18333"/>
          <cell r="C18333"/>
          <cell r="D18333"/>
          <cell r="E18333"/>
        </row>
        <row r="18334">
          <cell r="A18334"/>
          <cell r="B18334"/>
          <cell r="C18334"/>
          <cell r="D18334"/>
          <cell r="E18334"/>
        </row>
        <row r="18335">
          <cell r="A18335"/>
          <cell r="B18335"/>
          <cell r="C18335"/>
          <cell r="D18335"/>
          <cell r="E18335"/>
        </row>
        <row r="18336">
          <cell r="A18336"/>
          <cell r="B18336"/>
          <cell r="C18336"/>
          <cell r="D18336"/>
          <cell r="E18336"/>
        </row>
        <row r="18337">
          <cell r="A18337"/>
          <cell r="B18337"/>
          <cell r="C18337"/>
          <cell r="D18337"/>
          <cell r="E18337"/>
        </row>
        <row r="18338">
          <cell r="A18338"/>
          <cell r="B18338"/>
          <cell r="C18338"/>
          <cell r="D18338"/>
          <cell r="E18338"/>
        </row>
        <row r="18339">
          <cell r="A18339"/>
          <cell r="B18339"/>
          <cell r="C18339"/>
          <cell r="D18339"/>
          <cell r="E18339"/>
        </row>
        <row r="18340">
          <cell r="A18340"/>
          <cell r="B18340"/>
          <cell r="C18340"/>
          <cell r="D18340"/>
          <cell r="E18340"/>
        </row>
        <row r="18341">
          <cell r="A18341"/>
          <cell r="B18341"/>
          <cell r="C18341"/>
          <cell r="D18341"/>
          <cell r="E18341"/>
        </row>
        <row r="18342">
          <cell r="A18342"/>
          <cell r="B18342"/>
          <cell r="C18342"/>
          <cell r="D18342"/>
          <cell r="E18342"/>
        </row>
        <row r="18343">
          <cell r="A18343"/>
          <cell r="B18343"/>
          <cell r="C18343"/>
          <cell r="D18343"/>
          <cell r="E18343"/>
        </row>
        <row r="18344">
          <cell r="A18344"/>
          <cell r="B18344"/>
          <cell r="C18344"/>
          <cell r="D18344"/>
          <cell r="E18344"/>
        </row>
        <row r="18345">
          <cell r="A18345"/>
          <cell r="B18345"/>
          <cell r="C18345"/>
          <cell r="D18345"/>
          <cell r="E18345"/>
        </row>
        <row r="18346">
          <cell r="A18346"/>
          <cell r="B18346"/>
          <cell r="C18346"/>
          <cell r="D18346"/>
          <cell r="E18346"/>
        </row>
        <row r="18347">
          <cell r="A18347"/>
          <cell r="B18347"/>
          <cell r="C18347"/>
          <cell r="D18347"/>
          <cell r="E18347"/>
        </row>
        <row r="18348">
          <cell r="A18348"/>
          <cell r="B18348"/>
          <cell r="C18348"/>
          <cell r="D18348"/>
          <cell r="E18348"/>
        </row>
        <row r="18349">
          <cell r="A18349"/>
          <cell r="B18349"/>
          <cell r="C18349"/>
          <cell r="D18349"/>
          <cell r="E18349"/>
        </row>
        <row r="18350">
          <cell r="A18350"/>
          <cell r="B18350"/>
          <cell r="C18350"/>
          <cell r="D18350"/>
          <cell r="E18350"/>
        </row>
        <row r="18351">
          <cell r="A18351"/>
          <cell r="B18351"/>
          <cell r="C18351"/>
          <cell r="D18351"/>
          <cell r="E18351"/>
        </row>
        <row r="18352">
          <cell r="A18352"/>
          <cell r="B18352"/>
          <cell r="C18352"/>
          <cell r="D18352"/>
          <cell r="E18352"/>
        </row>
        <row r="18353">
          <cell r="A18353"/>
          <cell r="B18353"/>
          <cell r="C18353"/>
          <cell r="D18353"/>
          <cell r="E18353"/>
        </row>
        <row r="18354">
          <cell r="A18354"/>
          <cell r="B18354"/>
          <cell r="C18354"/>
          <cell r="D18354"/>
          <cell r="E18354"/>
        </row>
        <row r="18355">
          <cell r="A18355"/>
          <cell r="B18355"/>
          <cell r="C18355"/>
          <cell r="D18355"/>
          <cell r="E18355"/>
        </row>
        <row r="18356">
          <cell r="A18356"/>
          <cell r="B18356"/>
          <cell r="C18356"/>
          <cell r="D18356"/>
          <cell r="E18356"/>
        </row>
        <row r="18357">
          <cell r="A18357"/>
          <cell r="B18357"/>
          <cell r="C18357"/>
          <cell r="D18357"/>
          <cell r="E18357"/>
        </row>
        <row r="18358">
          <cell r="A18358"/>
          <cell r="B18358"/>
          <cell r="C18358"/>
          <cell r="D18358"/>
          <cell r="E18358"/>
        </row>
        <row r="18359">
          <cell r="A18359"/>
          <cell r="B18359"/>
          <cell r="C18359"/>
          <cell r="D18359"/>
          <cell r="E18359"/>
        </row>
        <row r="18360">
          <cell r="A18360"/>
          <cell r="B18360"/>
          <cell r="C18360"/>
          <cell r="D18360"/>
          <cell r="E18360"/>
        </row>
        <row r="18361">
          <cell r="A18361"/>
          <cell r="B18361"/>
          <cell r="C18361"/>
          <cell r="D18361"/>
          <cell r="E18361"/>
        </row>
        <row r="18362">
          <cell r="A18362"/>
          <cell r="B18362"/>
          <cell r="C18362"/>
          <cell r="D18362"/>
          <cell r="E18362"/>
        </row>
        <row r="18363">
          <cell r="A18363"/>
          <cell r="B18363"/>
          <cell r="C18363"/>
          <cell r="D18363"/>
          <cell r="E18363"/>
        </row>
        <row r="18364">
          <cell r="A18364"/>
          <cell r="B18364"/>
          <cell r="C18364"/>
          <cell r="D18364"/>
          <cell r="E18364"/>
        </row>
        <row r="18365">
          <cell r="A18365"/>
          <cell r="B18365"/>
          <cell r="C18365"/>
          <cell r="D18365"/>
          <cell r="E18365"/>
        </row>
        <row r="18366">
          <cell r="A18366"/>
          <cell r="B18366"/>
          <cell r="C18366"/>
          <cell r="D18366"/>
          <cell r="E18366"/>
        </row>
        <row r="18367">
          <cell r="A18367"/>
          <cell r="B18367"/>
          <cell r="C18367"/>
          <cell r="D18367"/>
          <cell r="E18367"/>
        </row>
        <row r="18368">
          <cell r="A18368"/>
          <cell r="B18368"/>
          <cell r="C18368"/>
          <cell r="D18368"/>
          <cell r="E18368"/>
        </row>
        <row r="18369">
          <cell r="A18369"/>
          <cell r="B18369"/>
          <cell r="C18369"/>
          <cell r="D18369"/>
          <cell r="E18369"/>
        </row>
        <row r="18370">
          <cell r="A18370"/>
          <cell r="B18370"/>
          <cell r="C18370"/>
          <cell r="D18370"/>
          <cell r="E18370"/>
        </row>
        <row r="18371">
          <cell r="A18371"/>
          <cell r="B18371"/>
          <cell r="C18371"/>
          <cell r="D18371"/>
          <cell r="E18371"/>
        </row>
        <row r="18372">
          <cell r="A18372"/>
          <cell r="B18372"/>
          <cell r="C18372"/>
          <cell r="D18372"/>
          <cell r="E18372"/>
        </row>
        <row r="18373">
          <cell r="A18373"/>
          <cell r="B18373"/>
          <cell r="C18373"/>
          <cell r="D18373"/>
          <cell r="E18373"/>
        </row>
        <row r="18374">
          <cell r="A18374"/>
          <cell r="B18374"/>
          <cell r="C18374"/>
          <cell r="D18374"/>
          <cell r="E18374"/>
        </row>
        <row r="18375">
          <cell r="A18375"/>
          <cell r="B18375"/>
          <cell r="C18375"/>
          <cell r="D18375"/>
          <cell r="E18375"/>
        </row>
        <row r="18376">
          <cell r="A18376"/>
          <cell r="B18376"/>
          <cell r="C18376"/>
          <cell r="D18376"/>
          <cell r="E18376"/>
        </row>
        <row r="18377">
          <cell r="A18377"/>
          <cell r="B18377"/>
          <cell r="C18377"/>
          <cell r="D18377"/>
          <cell r="E18377"/>
        </row>
        <row r="18378">
          <cell r="A18378"/>
          <cell r="B18378"/>
          <cell r="C18378"/>
          <cell r="D18378"/>
          <cell r="E18378"/>
        </row>
        <row r="18379">
          <cell r="A18379"/>
          <cell r="B18379"/>
          <cell r="C18379"/>
          <cell r="D18379"/>
          <cell r="E18379"/>
        </row>
        <row r="18380">
          <cell r="A18380"/>
          <cell r="B18380"/>
          <cell r="C18380"/>
          <cell r="D18380"/>
          <cell r="E18380"/>
        </row>
        <row r="18381">
          <cell r="A18381"/>
          <cell r="B18381"/>
          <cell r="C18381"/>
          <cell r="D18381"/>
          <cell r="E18381"/>
        </row>
        <row r="18382">
          <cell r="A18382"/>
          <cell r="B18382"/>
          <cell r="C18382"/>
          <cell r="D18382"/>
          <cell r="E18382"/>
        </row>
        <row r="18383">
          <cell r="A18383"/>
          <cell r="B18383"/>
          <cell r="C18383"/>
          <cell r="D18383"/>
          <cell r="E18383"/>
        </row>
        <row r="18384">
          <cell r="A18384"/>
          <cell r="B18384"/>
          <cell r="C18384"/>
          <cell r="D18384"/>
          <cell r="E18384"/>
        </row>
        <row r="18385">
          <cell r="A18385"/>
          <cell r="B18385"/>
          <cell r="C18385"/>
          <cell r="D18385"/>
          <cell r="E18385"/>
        </row>
        <row r="18386">
          <cell r="A18386"/>
          <cell r="B18386"/>
          <cell r="C18386"/>
          <cell r="D18386"/>
          <cell r="E18386"/>
        </row>
        <row r="18387">
          <cell r="A18387"/>
          <cell r="B18387"/>
          <cell r="C18387"/>
          <cell r="D18387"/>
          <cell r="E18387"/>
        </row>
        <row r="18388">
          <cell r="A18388"/>
          <cell r="B18388"/>
          <cell r="C18388"/>
          <cell r="D18388"/>
          <cell r="E18388"/>
        </row>
        <row r="18389">
          <cell r="A18389"/>
          <cell r="B18389"/>
          <cell r="C18389"/>
          <cell r="D18389"/>
          <cell r="E18389"/>
        </row>
        <row r="18390">
          <cell r="A18390"/>
          <cell r="B18390"/>
          <cell r="C18390"/>
          <cell r="D18390"/>
          <cell r="E18390"/>
        </row>
        <row r="18391">
          <cell r="A18391"/>
          <cell r="B18391"/>
          <cell r="C18391"/>
          <cell r="D18391"/>
          <cell r="E18391"/>
        </row>
        <row r="18392">
          <cell r="A18392"/>
          <cell r="B18392"/>
          <cell r="C18392"/>
          <cell r="D18392"/>
          <cell r="E18392"/>
        </row>
        <row r="18393">
          <cell r="A18393"/>
          <cell r="B18393"/>
          <cell r="C18393"/>
          <cell r="D18393"/>
          <cell r="E18393"/>
        </row>
        <row r="18394">
          <cell r="A18394"/>
          <cell r="B18394"/>
          <cell r="C18394"/>
          <cell r="D18394"/>
          <cell r="E18394"/>
        </row>
        <row r="18395">
          <cell r="A18395"/>
          <cell r="B18395"/>
          <cell r="C18395"/>
          <cell r="D18395"/>
          <cell r="E18395"/>
        </row>
        <row r="18396">
          <cell r="A18396"/>
          <cell r="B18396"/>
          <cell r="C18396"/>
          <cell r="D18396"/>
          <cell r="E18396"/>
        </row>
        <row r="18397">
          <cell r="A18397"/>
          <cell r="B18397"/>
          <cell r="C18397"/>
          <cell r="D18397"/>
          <cell r="E18397"/>
        </row>
        <row r="18398">
          <cell r="A18398"/>
          <cell r="B18398"/>
          <cell r="C18398"/>
          <cell r="D18398"/>
          <cell r="E18398"/>
        </row>
        <row r="18399">
          <cell r="A18399"/>
          <cell r="B18399"/>
          <cell r="C18399"/>
          <cell r="D18399"/>
          <cell r="E18399"/>
        </row>
        <row r="18400">
          <cell r="A18400"/>
          <cell r="B18400"/>
          <cell r="C18400"/>
          <cell r="D18400"/>
          <cell r="E18400"/>
        </row>
        <row r="18401">
          <cell r="A18401"/>
          <cell r="B18401"/>
          <cell r="C18401"/>
          <cell r="D18401"/>
          <cell r="E18401"/>
        </row>
        <row r="18402">
          <cell r="A18402"/>
          <cell r="B18402"/>
          <cell r="C18402"/>
          <cell r="D18402"/>
          <cell r="E18402"/>
        </row>
        <row r="18403">
          <cell r="A18403"/>
          <cell r="B18403"/>
          <cell r="C18403"/>
          <cell r="D18403"/>
          <cell r="E18403"/>
        </row>
        <row r="18404">
          <cell r="A18404"/>
          <cell r="B18404"/>
          <cell r="C18404"/>
          <cell r="D18404"/>
          <cell r="E18404"/>
        </row>
        <row r="18405">
          <cell r="A18405"/>
          <cell r="B18405"/>
          <cell r="C18405"/>
          <cell r="D18405"/>
          <cell r="E18405"/>
        </row>
        <row r="18406">
          <cell r="A18406"/>
          <cell r="B18406"/>
          <cell r="C18406"/>
          <cell r="D18406"/>
          <cell r="E18406"/>
        </row>
        <row r="18407">
          <cell r="A18407"/>
          <cell r="B18407"/>
          <cell r="C18407"/>
          <cell r="D18407"/>
          <cell r="E18407"/>
        </row>
        <row r="18408">
          <cell r="A18408"/>
          <cell r="B18408"/>
          <cell r="C18408"/>
          <cell r="D18408"/>
          <cell r="E18408"/>
        </row>
        <row r="18409">
          <cell r="A18409"/>
          <cell r="B18409"/>
          <cell r="C18409"/>
          <cell r="D18409"/>
          <cell r="E18409"/>
        </row>
        <row r="18410">
          <cell r="A18410"/>
          <cell r="B18410"/>
          <cell r="C18410"/>
          <cell r="D18410"/>
          <cell r="E18410"/>
        </row>
        <row r="18411">
          <cell r="A18411"/>
          <cell r="B18411"/>
          <cell r="C18411"/>
          <cell r="D18411"/>
          <cell r="E18411"/>
        </row>
        <row r="18412">
          <cell r="A18412"/>
          <cell r="B18412"/>
          <cell r="C18412"/>
          <cell r="D18412"/>
          <cell r="E18412"/>
        </row>
        <row r="18413">
          <cell r="A18413"/>
          <cell r="B18413"/>
          <cell r="C18413"/>
          <cell r="D18413"/>
          <cell r="E18413"/>
        </row>
        <row r="18414">
          <cell r="A18414"/>
          <cell r="B18414"/>
          <cell r="C18414"/>
          <cell r="D18414"/>
          <cell r="E18414"/>
        </row>
        <row r="18415">
          <cell r="A18415"/>
          <cell r="B18415"/>
          <cell r="C18415"/>
          <cell r="D18415"/>
          <cell r="E18415"/>
        </row>
        <row r="18416">
          <cell r="A18416"/>
          <cell r="B18416"/>
          <cell r="C18416"/>
          <cell r="D18416"/>
          <cell r="E18416"/>
        </row>
        <row r="18417">
          <cell r="A18417"/>
          <cell r="B18417"/>
          <cell r="C18417"/>
          <cell r="D18417"/>
          <cell r="E18417"/>
        </row>
        <row r="18418">
          <cell r="A18418"/>
          <cell r="B18418"/>
          <cell r="C18418"/>
          <cell r="D18418"/>
          <cell r="E18418"/>
        </row>
        <row r="18419">
          <cell r="A18419"/>
          <cell r="B18419"/>
          <cell r="C18419"/>
          <cell r="D18419"/>
          <cell r="E18419"/>
        </row>
        <row r="18420">
          <cell r="A18420"/>
          <cell r="B18420"/>
          <cell r="C18420"/>
          <cell r="D18420"/>
          <cell r="E18420"/>
        </row>
        <row r="18421">
          <cell r="A18421"/>
          <cell r="B18421"/>
          <cell r="C18421"/>
          <cell r="D18421"/>
          <cell r="E18421"/>
        </row>
        <row r="18422">
          <cell r="A18422"/>
          <cell r="B18422"/>
          <cell r="C18422"/>
          <cell r="D18422"/>
          <cell r="E18422"/>
        </row>
        <row r="18423">
          <cell r="A18423"/>
          <cell r="B18423"/>
          <cell r="C18423"/>
          <cell r="D18423"/>
          <cell r="E18423"/>
        </row>
        <row r="18424">
          <cell r="A18424"/>
          <cell r="B18424"/>
          <cell r="C18424"/>
          <cell r="D18424"/>
          <cell r="E18424"/>
        </row>
        <row r="18425">
          <cell r="A18425"/>
          <cell r="B18425"/>
          <cell r="C18425"/>
          <cell r="D18425"/>
          <cell r="E18425"/>
        </row>
        <row r="18426">
          <cell r="A18426"/>
          <cell r="B18426"/>
          <cell r="C18426"/>
          <cell r="D18426"/>
          <cell r="E18426"/>
        </row>
        <row r="18427">
          <cell r="A18427"/>
          <cell r="B18427"/>
          <cell r="C18427"/>
          <cell r="D18427"/>
          <cell r="E18427"/>
        </row>
        <row r="18428">
          <cell r="A18428"/>
          <cell r="B18428"/>
          <cell r="C18428"/>
          <cell r="D18428"/>
          <cell r="E18428"/>
        </row>
        <row r="18429">
          <cell r="A18429"/>
          <cell r="B18429"/>
          <cell r="C18429"/>
          <cell r="D18429"/>
          <cell r="E18429"/>
        </row>
        <row r="18430">
          <cell r="A18430"/>
          <cell r="B18430"/>
          <cell r="C18430"/>
          <cell r="D18430"/>
          <cell r="E18430"/>
        </row>
        <row r="18431">
          <cell r="A18431"/>
          <cell r="B18431"/>
          <cell r="C18431"/>
          <cell r="D18431"/>
          <cell r="E18431"/>
        </row>
        <row r="18432">
          <cell r="A18432"/>
          <cell r="B18432"/>
          <cell r="C18432"/>
          <cell r="D18432"/>
          <cell r="E18432"/>
        </row>
        <row r="18433">
          <cell r="A18433"/>
          <cell r="B18433"/>
          <cell r="C18433"/>
          <cell r="D18433"/>
          <cell r="E18433"/>
        </row>
        <row r="18434">
          <cell r="A18434"/>
          <cell r="B18434"/>
          <cell r="C18434"/>
          <cell r="D18434"/>
          <cell r="E18434"/>
        </row>
        <row r="18435">
          <cell r="A18435"/>
          <cell r="B18435"/>
          <cell r="C18435"/>
          <cell r="D18435"/>
          <cell r="E18435"/>
        </row>
        <row r="18436">
          <cell r="A18436"/>
          <cell r="B18436"/>
          <cell r="C18436"/>
          <cell r="D18436"/>
          <cell r="E18436"/>
        </row>
        <row r="18437">
          <cell r="A18437"/>
          <cell r="B18437"/>
          <cell r="C18437"/>
          <cell r="D18437"/>
          <cell r="E18437"/>
        </row>
        <row r="18438">
          <cell r="A18438"/>
          <cell r="B18438"/>
          <cell r="C18438"/>
          <cell r="D18438"/>
          <cell r="E18438"/>
        </row>
        <row r="18439">
          <cell r="A18439"/>
          <cell r="B18439"/>
          <cell r="C18439"/>
          <cell r="D18439"/>
          <cell r="E18439"/>
        </row>
        <row r="18440">
          <cell r="A18440"/>
          <cell r="B18440"/>
          <cell r="C18440"/>
          <cell r="D18440"/>
          <cell r="E18440"/>
        </row>
        <row r="18441">
          <cell r="A18441"/>
          <cell r="B18441"/>
          <cell r="C18441"/>
          <cell r="D18441"/>
          <cell r="E18441"/>
        </row>
        <row r="18442">
          <cell r="A18442"/>
          <cell r="B18442"/>
          <cell r="C18442"/>
          <cell r="D18442"/>
          <cell r="E18442"/>
        </row>
        <row r="18443">
          <cell r="A18443"/>
          <cell r="B18443"/>
          <cell r="C18443"/>
          <cell r="D18443"/>
          <cell r="E18443"/>
        </row>
        <row r="18444">
          <cell r="A18444"/>
          <cell r="B18444"/>
          <cell r="C18444"/>
          <cell r="D18444"/>
          <cell r="E18444"/>
        </row>
        <row r="18445">
          <cell r="A18445"/>
          <cell r="B18445"/>
          <cell r="C18445"/>
          <cell r="D18445"/>
          <cell r="E18445"/>
        </row>
        <row r="18446">
          <cell r="A18446"/>
          <cell r="B18446"/>
          <cell r="C18446"/>
          <cell r="D18446"/>
          <cell r="E18446"/>
        </row>
        <row r="18447">
          <cell r="A18447"/>
          <cell r="B18447"/>
          <cell r="C18447"/>
          <cell r="D18447"/>
          <cell r="E18447"/>
        </row>
        <row r="18448">
          <cell r="A18448"/>
          <cell r="B18448"/>
          <cell r="C18448"/>
          <cell r="D18448"/>
          <cell r="E18448"/>
        </row>
        <row r="18449">
          <cell r="A18449"/>
          <cell r="B18449"/>
          <cell r="C18449"/>
          <cell r="D18449"/>
          <cell r="E18449"/>
        </row>
        <row r="18450">
          <cell r="A18450"/>
          <cell r="B18450"/>
          <cell r="C18450"/>
          <cell r="D18450"/>
          <cell r="E18450"/>
        </row>
        <row r="18451">
          <cell r="A18451"/>
          <cell r="B18451"/>
          <cell r="C18451"/>
          <cell r="D18451"/>
          <cell r="E18451"/>
        </row>
        <row r="18452">
          <cell r="A18452"/>
          <cell r="B18452"/>
          <cell r="C18452"/>
          <cell r="D18452"/>
          <cell r="E18452"/>
        </row>
        <row r="18453">
          <cell r="A18453"/>
          <cell r="B18453"/>
          <cell r="C18453"/>
          <cell r="D18453"/>
          <cell r="E18453"/>
        </row>
        <row r="18454">
          <cell r="A18454"/>
          <cell r="B18454"/>
          <cell r="C18454"/>
          <cell r="D18454"/>
          <cell r="E18454"/>
        </row>
        <row r="18455">
          <cell r="A18455"/>
          <cell r="B18455"/>
          <cell r="C18455"/>
          <cell r="D18455"/>
          <cell r="E18455"/>
        </row>
        <row r="18456">
          <cell r="A18456"/>
          <cell r="B18456"/>
          <cell r="C18456"/>
          <cell r="D18456"/>
          <cell r="E18456"/>
        </row>
        <row r="18457">
          <cell r="A18457"/>
          <cell r="B18457"/>
          <cell r="C18457"/>
          <cell r="D18457"/>
          <cell r="E18457"/>
        </row>
        <row r="18458">
          <cell r="A18458"/>
          <cell r="B18458"/>
          <cell r="C18458"/>
          <cell r="D18458"/>
          <cell r="E18458"/>
        </row>
        <row r="18459">
          <cell r="A18459"/>
          <cell r="B18459"/>
          <cell r="C18459"/>
          <cell r="D18459"/>
          <cell r="E18459"/>
        </row>
        <row r="18460">
          <cell r="A18460"/>
          <cell r="B18460"/>
          <cell r="C18460"/>
          <cell r="D18460"/>
          <cell r="E18460"/>
        </row>
        <row r="18461">
          <cell r="A18461"/>
          <cell r="B18461"/>
          <cell r="C18461"/>
          <cell r="D18461"/>
          <cell r="E18461"/>
        </row>
        <row r="18462">
          <cell r="A18462"/>
          <cell r="B18462"/>
          <cell r="C18462"/>
          <cell r="D18462"/>
          <cell r="E18462"/>
        </row>
        <row r="18463">
          <cell r="A18463"/>
          <cell r="B18463"/>
          <cell r="C18463"/>
          <cell r="D18463"/>
          <cell r="E18463"/>
        </row>
        <row r="18464">
          <cell r="A18464"/>
          <cell r="B18464"/>
          <cell r="C18464"/>
          <cell r="D18464"/>
          <cell r="E18464"/>
        </row>
        <row r="18465">
          <cell r="A18465"/>
          <cell r="B18465"/>
          <cell r="C18465"/>
          <cell r="D18465"/>
          <cell r="E18465"/>
        </row>
        <row r="18466">
          <cell r="A18466"/>
          <cell r="B18466"/>
          <cell r="C18466"/>
          <cell r="D18466"/>
          <cell r="E18466"/>
        </row>
        <row r="18467">
          <cell r="A18467"/>
          <cell r="B18467"/>
          <cell r="C18467"/>
          <cell r="D18467"/>
          <cell r="E18467"/>
        </row>
        <row r="18468">
          <cell r="A18468"/>
          <cell r="B18468"/>
          <cell r="C18468"/>
          <cell r="D18468"/>
          <cell r="E18468"/>
        </row>
        <row r="18469">
          <cell r="A18469"/>
          <cell r="B18469"/>
          <cell r="C18469"/>
          <cell r="D18469"/>
          <cell r="E18469"/>
        </row>
        <row r="18470">
          <cell r="A18470"/>
          <cell r="B18470"/>
          <cell r="C18470"/>
          <cell r="D18470"/>
          <cell r="E18470"/>
        </row>
        <row r="18471">
          <cell r="A18471"/>
          <cell r="B18471"/>
          <cell r="C18471"/>
          <cell r="D18471"/>
          <cell r="E18471"/>
        </row>
        <row r="18472">
          <cell r="A18472"/>
          <cell r="B18472"/>
          <cell r="C18472"/>
          <cell r="D18472"/>
          <cell r="E18472"/>
        </row>
        <row r="18473">
          <cell r="A18473"/>
          <cell r="B18473"/>
          <cell r="C18473"/>
          <cell r="D18473"/>
          <cell r="E18473"/>
        </row>
        <row r="18474">
          <cell r="A18474"/>
          <cell r="B18474"/>
          <cell r="C18474"/>
          <cell r="D18474"/>
          <cell r="E18474"/>
        </row>
        <row r="18475">
          <cell r="A18475"/>
          <cell r="B18475"/>
          <cell r="C18475"/>
          <cell r="D18475"/>
          <cell r="E18475"/>
        </row>
        <row r="18476">
          <cell r="A18476"/>
          <cell r="B18476"/>
          <cell r="C18476"/>
          <cell r="D18476"/>
          <cell r="E18476"/>
        </row>
        <row r="18477">
          <cell r="A18477"/>
          <cell r="B18477"/>
          <cell r="C18477"/>
          <cell r="D18477"/>
          <cell r="E18477"/>
        </row>
        <row r="18478">
          <cell r="A18478"/>
          <cell r="B18478"/>
          <cell r="C18478"/>
          <cell r="D18478"/>
          <cell r="E18478"/>
        </row>
        <row r="18479">
          <cell r="A18479"/>
          <cell r="B18479"/>
          <cell r="C18479"/>
          <cell r="D18479"/>
          <cell r="E18479"/>
        </row>
        <row r="18480">
          <cell r="A18480"/>
          <cell r="B18480"/>
          <cell r="C18480"/>
          <cell r="D18480"/>
          <cell r="E18480"/>
        </row>
        <row r="18481">
          <cell r="A18481"/>
          <cell r="B18481"/>
          <cell r="C18481"/>
          <cell r="D18481"/>
          <cell r="E18481"/>
        </row>
        <row r="18482">
          <cell r="A18482"/>
          <cell r="B18482"/>
          <cell r="C18482"/>
          <cell r="D18482"/>
          <cell r="E18482"/>
        </row>
        <row r="18483">
          <cell r="A18483"/>
          <cell r="B18483"/>
          <cell r="C18483"/>
          <cell r="D18483"/>
          <cell r="E18483"/>
        </row>
        <row r="18484">
          <cell r="A18484"/>
          <cell r="B18484"/>
          <cell r="C18484"/>
          <cell r="D18484"/>
          <cell r="E18484"/>
        </row>
        <row r="18485">
          <cell r="A18485"/>
          <cell r="B18485"/>
          <cell r="C18485"/>
          <cell r="D18485"/>
          <cell r="E18485"/>
        </row>
        <row r="18486">
          <cell r="A18486"/>
          <cell r="B18486"/>
          <cell r="C18486"/>
          <cell r="D18486"/>
          <cell r="E18486"/>
        </row>
        <row r="18487">
          <cell r="A18487"/>
          <cell r="B18487"/>
          <cell r="C18487"/>
          <cell r="D18487"/>
          <cell r="E18487"/>
        </row>
        <row r="18488">
          <cell r="A18488"/>
          <cell r="B18488"/>
          <cell r="C18488"/>
          <cell r="D18488"/>
          <cell r="E18488"/>
        </row>
        <row r="18489">
          <cell r="A18489"/>
          <cell r="B18489"/>
          <cell r="C18489"/>
          <cell r="D18489"/>
          <cell r="E18489"/>
        </row>
        <row r="18490">
          <cell r="A18490"/>
          <cell r="B18490"/>
          <cell r="C18490"/>
          <cell r="D18490"/>
          <cell r="E18490"/>
        </row>
        <row r="18491">
          <cell r="A18491"/>
          <cell r="B18491"/>
          <cell r="C18491"/>
          <cell r="D18491"/>
          <cell r="E18491"/>
        </row>
        <row r="18492">
          <cell r="A18492"/>
          <cell r="B18492"/>
          <cell r="C18492"/>
          <cell r="D18492"/>
          <cell r="E18492"/>
        </row>
        <row r="18493">
          <cell r="A18493"/>
          <cell r="B18493"/>
          <cell r="C18493"/>
          <cell r="D18493"/>
          <cell r="E18493"/>
        </row>
        <row r="18494">
          <cell r="A18494"/>
          <cell r="B18494"/>
          <cell r="C18494"/>
          <cell r="D18494"/>
          <cell r="E18494"/>
        </row>
        <row r="18495">
          <cell r="A18495"/>
          <cell r="B18495"/>
          <cell r="C18495"/>
          <cell r="D18495"/>
          <cell r="E18495"/>
        </row>
        <row r="18496">
          <cell r="A18496"/>
          <cell r="B18496"/>
          <cell r="C18496"/>
          <cell r="D18496"/>
          <cell r="E18496"/>
        </row>
        <row r="18497">
          <cell r="A18497"/>
          <cell r="B18497"/>
          <cell r="C18497"/>
          <cell r="D18497"/>
          <cell r="E18497"/>
        </row>
        <row r="18498">
          <cell r="A18498"/>
          <cell r="B18498"/>
          <cell r="C18498"/>
          <cell r="D18498"/>
          <cell r="E18498"/>
        </row>
        <row r="18499">
          <cell r="A18499"/>
          <cell r="B18499"/>
          <cell r="C18499"/>
          <cell r="D18499"/>
          <cell r="E18499"/>
        </row>
        <row r="18500">
          <cell r="A18500"/>
          <cell r="B18500"/>
          <cell r="C18500"/>
          <cell r="D18500"/>
          <cell r="E18500"/>
        </row>
        <row r="18501">
          <cell r="A18501"/>
          <cell r="B18501"/>
          <cell r="C18501"/>
          <cell r="D18501"/>
          <cell r="E18501"/>
        </row>
        <row r="18502">
          <cell r="A18502"/>
          <cell r="B18502"/>
          <cell r="C18502"/>
          <cell r="D18502"/>
          <cell r="E18502"/>
        </row>
        <row r="18503">
          <cell r="A18503"/>
          <cell r="B18503"/>
          <cell r="C18503"/>
          <cell r="D18503"/>
          <cell r="E18503"/>
        </row>
        <row r="18504">
          <cell r="A18504"/>
          <cell r="B18504"/>
          <cell r="C18504"/>
          <cell r="D18504"/>
          <cell r="E18504"/>
        </row>
        <row r="18505">
          <cell r="A18505"/>
          <cell r="B18505"/>
          <cell r="C18505"/>
          <cell r="D18505"/>
          <cell r="E18505"/>
        </row>
        <row r="18506">
          <cell r="A18506"/>
          <cell r="B18506"/>
          <cell r="C18506"/>
          <cell r="D18506"/>
          <cell r="E18506"/>
        </row>
        <row r="18507">
          <cell r="A18507"/>
          <cell r="B18507"/>
          <cell r="C18507"/>
          <cell r="D18507"/>
          <cell r="E18507"/>
        </row>
        <row r="18508">
          <cell r="A18508"/>
          <cell r="B18508"/>
          <cell r="C18508"/>
          <cell r="D18508"/>
          <cell r="E18508"/>
        </row>
        <row r="18509">
          <cell r="A18509"/>
          <cell r="B18509"/>
          <cell r="C18509"/>
          <cell r="D18509"/>
          <cell r="E18509"/>
        </row>
        <row r="18510">
          <cell r="A18510"/>
          <cell r="B18510"/>
          <cell r="C18510"/>
          <cell r="D18510"/>
          <cell r="E18510"/>
        </row>
        <row r="18511">
          <cell r="A18511"/>
          <cell r="B18511"/>
          <cell r="C18511"/>
          <cell r="D18511"/>
          <cell r="E18511"/>
        </row>
        <row r="18512">
          <cell r="A18512"/>
          <cell r="B18512"/>
          <cell r="C18512"/>
          <cell r="D18512"/>
          <cell r="E18512"/>
        </row>
        <row r="18513">
          <cell r="A18513"/>
          <cell r="B18513"/>
          <cell r="C18513"/>
          <cell r="D18513"/>
          <cell r="E18513"/>
        </row>
        <row r="18514">
          <cell r="A18514"/>
          <cell r="B18514"/>
          <cell r="C18514"/>
          <cell r="D18514"/>
          <cell r="E18514"/>
        </row>
        <row r="18515">
          <cell r="A18515"/>
          <cell r="B18515"/>
          <cell r="C18515"/>
          <cell r="D18515"/>
          <cell r="E18515"/>
        </row>
        <row r="18516">
          <cell r="A18516"/>
          <cell r="B18516"/>
          <cell r="C18516"/>
          <cell r="D18516"/>
          <cell r="E18516"/>
        </row>
        <row r="18517">
          <cell r="A18517"/>
          <cell r="B18517"/>
          <cell r="C18517"/>
          <cell r="D18517"/>
          <cell r="E18517"/>
        </row>
        <row r="18518">
          <cell r="A18518"/>
          <cell r="B18518"/>
          <cell r="C18518"/>
          <cell r="D18518"/>
          <cell r="E18518"/>
        </row>
        <row r="18519">
          <cell r="A18519"/>
          <cell r="B18519"/>
          <cell r="C18519"/>
          <cell r="D18519"/>
          <cell r="E18519"/>
        </row>
        <row r="18520">
          <cell r="A18520"/>
          <cell r="B18520"/>
          <cell r="C18520"/>
          <cell r="D18520"/>
          <cell r="E18520"/>
        </row>
        <row r="18521">
          <cell r="A18521"/>
          <cell r="B18521"/>
          <cell r="C18521"/>
          <cell r="D18521"/>
          <cell r="E18521"/>
        </row>
        <row r="18522">
          <cell r="A18522"/>
          <cell r="B18522"/>
          <cell r="C18522"/>
          <cell r="D18522"/>
          <cell r="E18522"/>
        </row>
        <row r="18523">
          <cell r="A18523"/>
          <cell r="B18523"/>
          <cell r="C18523"/>
          <cell r="D18523"/>
          <cell r="E18523"/>
        </row>
        <row r="18524">
          <cell r="A18524"/>
          <cell r="B18524"/>
          <cell r="C18524"/>
          <cell r="D18524"/>
          <cell r="E18524"/>
        </row>
        <row r="18525">
          <cell r="A18525"/>
          <cell r="B18525"/>
          <cell r="C18525"/>
          <cell r="D18525"/>
          <cell r="E18525"/>
        </row>
        <row r="18526">
          <cell r="A18526"/>
          <cell r="B18526"/>
          <cell r="C18526"/>
          <cell r="D18526"/>
          <cell r="E18526"/>
        </row>
        <row r="18527">
          <cell r="A18527"/>
          <cell r="B18527"/>
          <cell r="C18527"/>
          <cell r="D18527"/>
          <cell r="E18527"/>
        </row>
        <row r="18528">
          <cell r="A18528"/>
          <cell r="B18528"/>
          <cell r="C18528"/>
          <cell r="D18528"/>
          <cell r="E18528"/>
        </row>
        <row r="18529">
          <cell r="A18529"/>
          <cell r="B18529"/>
          <cell r="C18529"/>
          <cell r="D18529"/>
          <cell r="E18529"/>
        </row>
        <row r="18530">
          <cell r="A18530"/>
          <cell r="B18530"/>
          <cell r="C18530"/>
          <cell r="D18530"/>
          <cell r="E18530"/>
        </row>
        <row r="18531">
          <cell r="A18531"/>
          <cell r="B18531"/>
          <cell r="C18531"/>
          <cell r="D18531"/>
          <cell r="E18531"/>
        </row>
        <row r="18532">
          <cell r="A18532"/>
          <cell r="B18532"/>
          <cell r="C18532"/>
          <cell r="D18532"/>
          <cell r="E18532"/>
        </row>
        <row r="18533">
          <cell r="A18533"/>
          <cell r="B18533"/>
          <cell r="C18533"/>
          <cell r="D18533"/>
          <cell r="E18533"/>
        </row>
        <row r="18534">
          <cell r="A18534"/>
          <cell r="B18534"/>
          <cell r="C18534"/>
          <cell r="D18534"/>
          <cell r="E18534"/>
        </row>
        <row r="18535">
          <cell r="A18535"/>
          <cell r="B18535"/>
          <cell r="C18535"/>
          <cell r="D18535"/>
          <cell r="E18535"/>
        </row>
        <row r="18536">
          <cell r="A18536"/>
          <cell r="B18536"/>
          <cell r="C18536"/>
          <cell r="D18536"/>
          <cell r="E18536"/>
        </row>
        <row r="18537">
          <cell r="A18537"/>
          <cell r="B18537"/>
          <cell r="C18537"/>
          <cell r="D18537"/>
          <cell r="E18537"/>
        </row>
        <row r="18538">
          <cell r="A18538"/>
          <cell r="B18538"/>
          <cell r="C18538"/>
          <cell r="D18538"/>
          <cell r="E18538"/>
        </row>
        <row r="18539">
          <cell r="A18539"/>
          <cell r="B18539"/>
          <cell r="C18539"/>
          <cell r="D18539"/>
          <cell r="E18539"/>
        </row>
        <row r="18540">
          <cell r="A18540"/>
          <cell r="B18540"/>
          <cell r="C18540"/>
          <cell r="D18540"/>
          <cell r="E18540"/>
        </row>
        <row r="18541">
          <cell r="A18541"/>
          <cell r="B18541"/>
          <cell r="C18541"/>
          <cell r="D18541"/>
          <cell r="E18541"/>
        </row>
        <row r="18542">
          <cell r="A18542"/>
          <cell r="B18542"/>
          <cell r="C18542"/>
          <cell r="D18542"/>
          <cell r="E18542"/>
        </row>
        <row r="18543">
          <cell r="A18543"/>
          <cell r="B18543"/>
          <cell r="C18543"/>
          <cell r="D18543"/>
          <cell r="E18543"/>
        </row>
        <row r="18544">
          <cell r="A18544"/>
          <cell r="B18544"/>
          <cell r="C18544"/>
          <cell r="D18544"/>
          <cell r="E18544"/>
        </row>
        <row r="18545">
          <cell r="A18545"/>
          <cell r="B18545"/>
          <cell r="C18545"/>
          <cell r="D18545"/>
          <cell r="E18545"/>
        </row>
        <row r="18546">
          <cell r="A18546"/>
          <cell r="B18546"/>
          <cell r="C18546"/>
          <cell r="D18546"/>
          <cell r="E18546"/>
        </row>
        <row r="18547">
          <cell r="A18547"/>
          <cell r="B18547"/>
          <cell r="C18547"/>
          <cell r="D18547"/>
          <cell r="E18547"/>
        </row>
        <row r="18548">
          <cell r="A18548"/>
          <cell r="B18548"/>
          <cell r="C18548"/>
          <cell r="D18548"/>
          <cell r="E18548"/>
        </row>
        <row r="18549">
          <cell r="A18549"/>
          <cell r="B18549"/>
          <cell r="C18549"/>
          <cell r="D18549"/>
          <cell r="E18549"/>
        </row>
        <row r="18550">
          <cell r="A18550"/>
          <cell r="B18550"/>
          <cell r="C18550"/>
          <cell r="D18550"/>
          <cell r="E18550"/>
        </row>
        <row r="18551">
          <cell r="A18551"/>
          <cell r="B18551"/>
          <cell r="C18551"/>
          <cell r="D18551"/>
          <cell r="E18551"/>
        </row>
        <row r="18552">
          <cell r="A18552"/>
          <cell r="B18552"/>
          <cell r="C18552"/>
          <cell r="D18552"/>
          <cell r="E18552"/>
        </row>
        <row r="18553">
          <cell r="A18553"/>
          <cell r="B18553"/>
          <cell r="C18553"/>
          <cell r="D18553"/>
          <cell r="E18553"/>
        </row>
        <row r="18554">
          <cell r="A18554"/>
          <cell r="B18554"/>
          <cell r="C18554"/>
          <cell r="D18554"/>
          <cell r="E18554"/>
        </row>
        <row r="18555">
          <cell r="A18555"/>
          <cell r="B18555"/>
          <cell r="C18555"/>
          <cell r="D18555"/>
          <cell r="E18555"/>
        </row>
        <row r="18556">
          <cell r="A18556"/>
          <cell r="B18556"/>
          <cell r="C18556"/>
          <cell r="D18556"/>
          <cell r="E18556"/>
        </row>
        <row r="18557">
          <cell r="A18557"/>
          <cell r="B18557"/>
          <cell r="C18557"/>
          <cell r="D18557"/>
          <cell r="E18557"/>
        </row>
        <row r="18558">
          <cell r="A18558"/>
          <cell r="B18558"/>
          <cell r="C18558"/>
          <cell r="D18558"/>
          <cell r="E18558"/>
        </row>
        <row r="18559">
          <cell r="A18559"/>
          <cell r="B18559"/>
          <cell r="C18559"/>
          <cell r="D18559"/>
          <cell r="E18559"/>
        </row>
        <row r="18560">
          <cell r="A18560"/>
          <cell r="B18560"/>
          <cell r="C18560"/>
          <cell r="D18560"/>
          <cell r="E18560"/>
        </row>
        <row r="18561">
          <cell r="A18561"/>
          <cell r="B18561"/>
          <cell r="C18561"/>
          <cell r="D18561"/>
          <cell r="E18561"/>
        </row>
        <row r="18562">
          <cell r="A18562"/>
          <cell r="B18562"/>
          <cell r="C18562"/>
          <cell r="D18562"/>
          <cell r="E18562"/>
        </row>
        <row r="18563">
          <cell r="A18563"/>
          <cell r="B18563"/>
          <cell r="C18563"/>
          <cell r="D18563"/>
          <cell r="E18563"/>
        </row>
        <row r="18564">
          <cell r="A18564"/>
          <cell r="B18564"/>
          <cell r="C18564"/>
          <cell r="D18564"/>
          <cell r="E18564"/>
        </row>
        <row r="18565">
          <cell r="A18565"/>
          <cell r="B18565"/>
          <cell r="C18565"/>
          <cell r="D18565"/>
          <cell r="E18565"/>
        </row>
        <row r="18566">
          <cell r="A18566"/>
          <cell r="B18566"/>
          <cell r="C18566"/>
          <cell r="D18566"/>
          <cell r="E18566"/>
        </row>
        <row r="18567">
          <cell r="A18567"/>
          <cell r="B18567"/>
          <cell r="C18567"/>
          <cell r="D18567"/>
          <cell r="E18567"/>
        </row>
        <row r="18568">
          <cell r="A18568"/>
          <cell r="B18568"/>
          <cell r="C18568"/>
          <cell r="D18568"/>
          <cell r="E18568"/>
        </row>
        <row r="18569">
          <cell r="A18569"/>
          <cell r="B18569"/>
          <cell r="C18569"/>
          <cell r="D18569"/>
          <cell r="E18569"/>
        </row>
        <row r="18570">
          <cell r="A18570"/>
          <cell r="B18570"/>
          <cell r="C18570"/>
          <cell r="D18570"/>
          <cell r="E18570"/>
        </row>
        <row r="18571">
          <cell r="A18571"/>
          <cell r="B18571"/>
          <cell r="C18571"/>
          <cell r="D18571"/>
          <cell r="E18571"/>
        </row>
        <row r="18572">
          <cell r="A18572"/>
          <cell r="B18572"/>
          <cell r="C18572"/>
          <cell r="D18572"/>
          <cell r="E18572"/>
        </row>
        <row r="18573">
          <cell r="A18573"/>
          <cell r="B18573"/>
          <cell r="C18573"/>
          <cell r="D18573"/>
          <cell r="E18573"/>
        </row>
        <row r="18574">
          <cell r="A18574"/>
          <cell r="B18574"/>
          <cell r="C18574"/>
          <cell r="D18574"/>
          <cell r="E18574"/>
        </row>
        <row r="18575">
          <cell r="A18575"/>
          <cell r="B18575"/>
          <cell r="C18575"/>
          <cell r="D18575"/>
          <cell r="E18575"/>
        </row>
        <row r="18576">
          <cell r="A18576"/>
          <cell r="B18576"/>
          <cell r="C18576"/>
          <cell r="D18576"/>
          <cell r="E18576"/>
        </row>
        <row r="18577">
          <cell r="A18577"/>
          <cell r="B18577"/>
          <cell r="C18577"/>
          <cell r="D18577"/>
          <cell r="E18577"/>
        </row>
        <row r="18578">
          <cell r="A18578"/>
          <cell r="B18578"/>
          <cell r="C18578"/>
          <cell r="D18578"/>
          <cell r="E18578"/>
        </row>
        <row r="18579">
          <cell r="A18579"/>
          <cell r="B18579"/>
          <cell r="C18579"/>
          <cell r="D18579"/>
          <cell r="E18579"/>
        </row>
        <row r="18580">
          <cell r="A18580"/>
          <cell r="B18580"/>
          <cell r="C18580"/>
          <cell r="D18580"/>
          <cell r="E18580"/>
        </row>
        <row r="18581">
          <cell r="A18581"/>
          <cell r="B18581"/>
          <cell r="C18581"/>
          <cell r="D18581"/>
          <cell r="E18581"/>
        </row>
        <row r="18582">
          <cell r="A18582"/>
          <cell r="B18582"/>
          <cell r="C18582"/>
          <cell r="D18582"/>
          <cell r="E18582"/>
        </row>
        <row r="18583">
          <cell r="A18583"/>
          <cell r="B18583"/>
          <cell r="C18583"/>
          <cell r="D18583"/>
          <cell r="E18583"/>
        </row>
        <row r="18584">
          <cell r="A18584"/>
          <cell r="B18584"/>
          <cell r="C18584"/>
          <cell r="D18584"/>
          <cell r="E18584"/>
        </row>
        <row r="18585">
          <cell r="A18585"/>
          <cell r="B18585"/>
          <cell r="C18585"/>
          <cell r="D18585"/>
          <cell r="E18585"/>
        </row>
        <row r="18586">
          <cell r="A18586"/>
          <cell r="B18586"/>
          <cell r="C18586"/>
          <cell r="D18586"/>
          <cell r="E18586"/>
        </row>
        <row r="18587">
          <cell r="A18587"/>
          <cell r="B18587"/>
          <cell r="C18587"/>
          <cell r="D18587"/>
          <cell r="E18587"/>
        </row>
        <row r="18588">
          <cell r="A18588"/>
          <cell r="B18588"/>
          <cell r="C18588"/>
          <cell r="D18588"/>
          <cell r="E18588"/>
        </row>
        <row r="18589">
          <cell r="A18589"/>
          <cell r="B18589"/>
          <cell r="C18589"/>
          <cell r="D18589"/>
          <cell r="E18589"/>
        </row>
        <row r="18590">
          <cell r="A18590"/>
          <cell r="B18590"/>
          <cell r="C18590"/>
          <cell r="D18590"/>
          <cell r="E18590"/>
        </row>
        <row r="18591">
          <cell r="A18591"/>
          <cell r="B18591"/>
          <cell r="C18591"/>
          <cell r="D18591"/>
          <cell r="E18591"/>
        </row>
        <row r="18592">
          <cell r="A18592"/>
          <cell r="B18592"/>
          <cell r="C18592"/>
          <cell r="D18592"/>
          <cell r="E18592"/>
        </row>
        <row r="18593">
          <cell r="A18593"/>
          <cell r="B18593"/>
          <cell r="C18593"/>
          <cell r="D18593"/>
          <cell r="E18593"/>
        </row>
        <row r="18594">
          <cell r="A18594"/>
          <cell r="B18594"/>
          <cell r="C18594"/>
          <cell r="D18594"/>
          <cell r="E18594"/>
        </row>
        <row r="18595">
          <cell r="A18595"/>
          <cell r="B18595"/>
          <cell r="C18595"/>
          <cell r="D18595"/>
          <cell r="E18595"/>
        </row>
        <row r="18596">
          <cell r="A18596"/>
          <cell r="B18596"/>
          <cell r="C18596"/>
          <cell r="D18596"/>
          <cell r="E18596"/>
        </row>
        <row r="18597">
          <cell r="A18597"/>
          <cell r="B18597"/>
          <cell r="C18597"/>
          <cell r="D18597"/>
          <cell r="E18597"/>
        </row>
        <row r="18598">
          <cell r="A18598"/>
          <cell r="B18598"/>
          <cell r="C18598"/>
          <cell r="D18598"/>
          <cell r="E18598"/>
        </row>
        <row r="18599">
          <cell r="A18599"/>
          <cell r="B18599"/>
          <cell r="C18599"/>
          <cell r="D18599"/>
          <cell r="E18599"/>
        </row>
        <row r="18600">
          <cell r="A18600"/>
          <cell r="B18600"/>
          <cell r="C18600"/>
          <cell r="D18600"/>
          <cell r="E18600"/>
        </row>
        <row r="18601">
          <cell r="A18601"/>
          <cell r="B18601"/>
          <cell r="C18601"/>
          <cell r="D18601"/>
          <cell r="E18601"/>
        </row>
        <row r="18602">
          <cell r="A18602"/>
          <cell r="B18602"/>
          <cell r="C18602"/>
          <cell r="D18602"/>
          <cell r="E18602"/>
        </row>
        <row r="18603">
          <cell r="A18603"/>
          <cell r="B18603"/>
          <cell r="C18603"/>
          <cell r="D18603"/>
          <cell r="E18603"/>
        </row>
        <row r="18604">
          <cell r="A18604"/>
          <cell r="B18604"/>
          <cell r="C18604"/>
          <cell r="D18604"/>
          <cell r="E18604"/>
        </row>
        <row r="18605">
          <cell r="A18605"/>
          <cell r="B18605"/>
          <cell r="C18605"/>
          <cell r="D18605"/>
          <cell r="E18605"/>
        </row>
        <row r="18606">
          <cell r="A18606"/>
          <cell r="B18606"/>
          <cell r="C18606"/>
          <cell r="D18606"/>
          <cell r="E18606"/>
        </row>
        <row r="18607">
          <cell r="A18607"/>
          <cell r="B18607"/>
          <cell r="C18607"/>
          <cell r="D18607"/>
          <cell r="E18607"/>
        </row>
        <row r="18608">
          <cell r="A18608"/>
          <cell r="B18608"/>
          <cell r="C18608"/>
          <cell r="D18608"/>
          <cell r="E18608"/>
        </row>
        <row r="18609">
          <cell r="A18609"/>
          <cell r="B18609"/>
          <cell r="C18609"/>
          <cell r="D18609"/>
          <cell r="E18609"/>
        </row>
        <row r="18610">
          <cell r="A18610"/>
          <cell r="B18610"/>
          <cell r="C18610"/>
          <cell r="D18610"/>
          <cell r="E18610"/>
        </row>
        <row r="18611">
          <cell r="A18611"/>
          <cell r="B18611"/>
          <cell r="C18611"/>
          <cell r="D18611"/>
          <cell r="E18611"/>
        </row>
        <row r="18612">
          <cell r="A18612"/>
          <cell r="B18612"/>
          <cell r="C18612"/>
          <cell r="D18612"/>
          <cell r="E18612"/>
        </row>
        <row r="18613">
          <cell r="A18613"/>
          <cell r="B18613"/>
          <cell r="C18613"/>
          <cell r="D18613"/>
          <cell r="E18613"/>
        </row>
        <row r="18614">
          <cell r="A18614"/>
          <cell r="B18614"/>
          <cell r="C18614"/>
          <cell r="D18614"/>
          <cell r="E18614"/>
        </row>
        <row r="18615">
          <cell r="A18615"/>
          <cell r="B18615"/>
          <cell r="C18615"/>
          <cell r="D18615"/>
          <cell r="E18615"/>
        </row>
        <row r="18616">
          <cell r="A18616"/>
          <cell r="B18616"/>
          <cell r="C18616"/>
          <cell r="D18616"/>
          <cell r="E18616"/>
        </row>
        <row r="18617">
          <cell r="A18617"/>
          <cell r="B18617"/>
          <cell r="C18617"/>
          <cell r="D18617"/>
          <cell r="E18617"/>
        </row>
        <row r="18618">
          <cell r="A18618"/>
          <cell r="B18618"/>
          <cell r="C18618"/>
          <cell r="D18618"/>
          <cell r="E18618"/>
        </row>
        <row r="18619">
          <cell r="A18619"/>
          <cell r="B18619"/>
          <cell r="C18619"/>
          <cell r="D18619"/>
          <cell r="E18619"/>
        </row>
        <row r="18620">
          <cell r="A18620"/>
          <cell r="B18620"/>
          <cell r="C18620"/>
          <cell r="D18620"/>
          <cell r="E18620"/>
        </row>
        <row r="18621">
          <cell r="A18621"/>
          <cell r="B18621"/>
          <cell r="C18621"/>
          <cell r="D18621"/>
          <cell r="E18621"/>
        </row>
        <row r="18622">
          <cell r="A18622"/>
          <cell r="B18622"/>
          <cell r="C18622"/>
          <cell r="D18622"/>
          <cell r="E18622"/>
        </row>
        <row r="18623">
          <cell r="A18623"/>
          <cell r="B18623"/>
          <cell r="C18623"/>
          <cell r="D18623"/>
          <cell r="E18623"/>
        </row>
        <row r="18624">
          <cell r="A18624"/>
          <cell r="B18624"/>
          <cell r="C18624"/>
          <cell r="D18624"/>
          <cell r="E18624"/>
        </row>
        <row r="18625">
          <cell r="A18625"/>
          <cell r="B18625"/>
          <cell r="C18625"/>
          <cell r="D18625"/>
          <cell r="E18625"/>
        </row>
        <row r="18626">
          <cell r="A18626"/>
          <cell r="B18626"/>
          <cell r="C18626"/>
          <cell r="D18626"/>
          <cell r="E18626"/>
        </row>
        <row r="18627">
          <cell r="A18627"/>
          <cell r="B18627"/>
          <cell r="C18627"/>
          <cell r="D18627"/>
          <cell r="E18627"/>
        </row>
        <row r="18628">
          <cell r="A18628"/>
          <cell r="B18628"/>
          <cell r="C18628"/>
          <cell r="D18628"/>
          <cell r="E18628"/>
        </row>
        <row r="18629">
          <cell r="A18629"/>
          <cell r="B18629"/>
          <cell r="C18629"/>
          <cell r="D18629"/>
          <cell r="E18629"/>
        </row>
        <row r="18630">
          <cell r="A18630"/>
          <cell r="B18630"/>
          <cell r="C18630"/>
          <cell r="D18630"/>
          <cell r="E18630"/>
        </row>
        <row r="18631">
          <cell r="A18631"/>
          <cell r="B18631"/>
          <cell r="C18631"/>
          <cell r="D18631"/>
          <cell r="E18631"/>
        </row>
        <row r="18632">
          <cell r="A18632"/>
          <cell r="B18632"/>
          <cell r="C18632"/>
          <cell r="D18632"/>
          <cell r="E18632"/>
        </row>
        <row r="18633">
          <cell r="A18633"/>
          <cell r="B18633"/>
          <cell r="C18633"/>
          <cell r="D18633"/>
          <cell r="E18633"/>
        </row>
        <row r="18634">
          <cell r="A18634"/>
          <cell r="B18634"/>
          <cell r="C18634"/>
          <cell r="D18634"/>
          <cell r="E18634"/>
        </row>
        <row r="18635">
          <cell r="A18635"/>
          <cell r="B18635"/>
          <cell r="C18635"/>
          <cell r="D18635"/>
          <cell r="E18635"/>
        </row>
        <row r="18636">
          <cell r="A18636"/>
          <cell r="B18636"/>
          <cell r="C18636"/>
          <cell r="D18636"/>
          <cell r="E18636"/>
        </row>
        <row r="18637">
          <cell r="A18637"/>
          <cell r="B18637"/>
          <cell r="C18637"/>
          <cell r="D18637"/>
          <cell r="E18637"/>
        </row>
        <row r="18638">
          <cell r="A18638"/>
          <cell r="B18638"/>
          <cell r="C18638"/>
          <cell r="D18638"/>
          <cell r="E18638"/>
        </row>
        <row r="18639">
          <cell r="A18639"/>
          <cell r="B18639"/>
          <cell r="C18639"/>
          <cell r="D18639"/>
          <cell r="E18639"/>
        </row>
        <row r="18640">
          <cell r="A18640"/>
          <cell r="B18640"/>
          <cell r="C18640"/>
          <cell r="D18640"/>
          <cell r="E18640"/>
        </row>
        <row r="18641">
          <cell r="A18641"/>
          <cell r="B18641"/>
          <cell r="C18641"/>
          <cell r="D18641"/>
          <cell r="E18641"/>
        </row>
        <row r="18642">
          <cell r="A18642"/>
          <cell r="B18642"/>
          <cell r="C18642"/>
          <cell r="D18642"/>
          <cell r="E18642"/>
        </row>
        <row r="18643">
          <cell r="A18643"/>
          <cell r="B18643"/>
          <cell r="C18643"/>
          <cell r="D18643"/>
          <cell r="E18643"/>
        </row>
        <row r="18644">
          <cell r="A18644"/>
          <cell r="B18644"/>
          <cell r="C18644"/>
          <cell r="D18644"/>
          <cell r="E18644"/>
        </row>
        <row r="18645">
          <cell r="A18645"/>
          <cell r="B18645"/>
          <cell r="C18645"/>
          <cell r="D18645"/>
          <cell r="E18645"/>
        </row>
        <row r="18646">
          <cell r="A18646"/>
          <cell r="B18646"/>
          <cell r="C18646"/>
          <cell r="D18646"/>
          <cell r="E18646"/>
        </row>
        <row r="18647">
          <cell r="A18647"/>
          <cell r="B18647"/>
          <cell r="C18647"/>
          <cell r="D18647"/>
          <cell r="E18647"/>
        </row>
        <row r="18648">
          <cell r="A18648"/>
          <cell r="B18648"/>
          <cell r="C18648"/>
          <cell r="D18648"/>
          <cell r="E18648"/>
        </row>
        <row r="18649">
          <cell r="A18649"/>
          <cell r="B18649"/>
          <cell r="C18649"/>
          <cell r="D18649"/>
          <cell r="E18649"/>
        </row>
        <row r="18650">
          <cell r="A18650"/>
          <cell r="B18650"/>
          <cell r="C18650"/>
          <cell r="D18650"/>
          <cell r="E18650"/>
        </row>
        <row r="18651">
          <cell r="A18651"/>
          <cell r="B18651"/>
          <cell r="C18651"/>
          <cell r="D18651"/>
          <cell r="E18651"/>
        </row>
        <row r="18652">
          <cell r="A18652"/>
          <cell r="B18652"/>
          <cell r="C18652"/>
          <cell r="D18652"/>
          <cell r="E18652"/>
        </row>
        <row r="18653">
          <cell r="A18653"/>
          <cell r="B18653"/>
          <cell r="C18653"/>
          <cell r="D18653"/>
          <cell r="E18653"/>
        </row>
        <row r="18654">
          <cell r="A18654"/>
          <cell r="B18654"/>
          <cell r="C18654"/>
          <cell r="D18654"/>
          <cell r="E18654"/>
        </row>
        <row r="18655">
          <cell r="A18655"/>
          <cell r="B18655"/>
          <cell r="C18655"/>
          <cell r="D18655"/>
          <cell r="E18655"/>
        </row>
        <row r="18656">
          <cell r="A18656"/>
          <cell r="B18656"/>
          <cell r="C18656"/>
          <cell r="D18656"/>
          <cell r="E18656"/>
        </row>
        <row r="18657">
          <cell r="A18657"/>
          <cell r="B18657"/>
          <cell r="C18657"/>
          <cell r="D18657"/>
          <cell r="E18657"/>
        </row>
        <row r="18658">
          <cell r="A18658"/>
          <cell r="B18658"/>
          <cell r="C18658"/>
          <cell r="D18658"/>
          <cell r="E18658"/>
        </row>
        <row r="18659">
          <cell r="A18659"/>
          <cell r="B18659"/>
          <cell r="C18659"/>
          <cell r="D18659"/>
          <cell r="E18659"/>
        </row>
        <row r="18660">
          <cell r="A18660"/>
          <cell r="B18660"/>
          <cell r="C18660"/>
          <cell r="D18660"/>
          <cell r="E18660"/>
        </row>
        <row r="18661">
          <cell r="A18661"/>
          <cell r="B18661"/>
          <cell r="C18661"/>
          <cell r="D18661"/>
          <cell r="E18661"/>
        </row>
        <row r="18662">
          <cell r="A18662"/>
          <cell r="B18662"/>
          <cell r="C18662"/>
          <cell r="D18662"/>
          <cell r="E18662"/>
        </row>
        <row r="18663">
          <cell r="A18663"/>
          <cell r="B18663"/>
          <cell r="C18663"/>
          <cell r="D18663"/>
          <cell r="E18663"/>
        </row>
        <row r="18664">
          <cell r="A18664"/>
          <cell r="B18664"/>
          <cell r="C18664"/>
          <cell r="D18664"/>
          <cell r="E18664"/>
        </row>
        <row r="18665">
          <cell r="A18665"/>
          <cell r="B18665"/>
          <cell r="C18665"/>
          <cell r="D18665"/>
          <cell r="E18665"/>
        </row>
        <row r="18666">
          <cell r="A18666"/>
          <cell r="B18666"/>
          <cell r="C18666"/>
          <cell r="D18666"/>
          <cell r="E18666"/>
        </row>
        <row r="18667">
          <cell r="A18667"/>
          <cell r="B18667"/>
          <cell r="C18667"/>
          <cell r="D18667"/>
          <cell r="E18667"/>
        </row>
        <row r="18668">
          <cell r="A18668"/>
          <cell r="B18668"/>
          <cell r="C18668"/>
          <cell r="D18668"/>
          <cell r="E18668"/>
        </row>
        <row r="18669">
          <cell r="A18669"/>
          <cell r="B18669"/>
          <cell r="C18669"/>
          <cell r="D18669"/>
          <cell r="E18669"/>
        </row>
        <row r="18670">
          <cell r="A18670"/>
          <cell r="B18670"/>
          <cell r="C18670"/>
          <cell r="D18670"/>
          <cell r="E18670"/>
        </row>
        <row r="18671">
          <cell r="A18671"/>
          <cell r="B18671"/>
          <cell r="C18671"/>
          <cell r="D18671"/>
          <cell r="E18671"/>
        </row>
        <row r="18672">
          <cell r="A18672"/>
          <cell r="B18672"/>
          <cell r="C18672"/>
          <cell r="D18672"/>
          <cell r="E18672"/>
        </row>
        <row r="18673">
          <cell r="A18673"/>
          <cell r="B18673"/>
          <cell r="C18673"/>
          <cell r="D18673"/>
          <cell r="E18673"/>
        </row>
        <row r="18674">
          <cell r="A18674"/>
          <cell r="B18674"/>
          <cell r="C18674"/>
          <cell r="D18674"/>
          <cell r="E18674"/>
        </row>
        <row r="18675">
          <cell r="A18675"/>
          <cell r="B18675"/>
          <cell r="C18675"/>
          <cell r="D18675"/>
          <cell r="E18675"/>
        </row>
        <row r="18676">
          <cell r="A18676"/>
          <cell r="B18676"/>
          <cell r="C18676"/>
          <cell r="D18676"/>
          <cell r="E18676"/>
        </row>
        <row r="18677">
          <cell r="A18677"/>
          <cell r="B18677"/>
          <cell r="C18677"/>
          <cell r="D18677"/>
          <cell r="E18677"/>
        </row>
        <row r="18678">
          <cell r="A18678"/>
          <cell r="B18678"/>
          <cell r="C18678"/>
          <cell r="D18678"/>
          <cell r="E18678"/>
        </row>
        <row r="18679">
          <cell r="A18679"/>
          <cell r="B18679"/>
          <cell r="C18679"/>
          <cell r="D18679"/>
          <cell r="E18679"/>
        </row>
        <row r="18680">
          <cell r="A18680"/>
          <cell r="B18680"/>
          <cell r="C18680"/>
          <cell r="D18680"/>
          <cell r="E18680"/>
        </row>
        <row r="18681">
          <cell r="A18681"/>
          <cell r="B18681"/>
          <cell r="C18681"/>
          <cell r="D18681"/>
          <cell r="E18681"/>
        </row>
        <row r="18682">
          <cell r="A18682"/>
          <cell r="B18682"/>
          <cell r="C18682"/>
          <cell r="D18682"/>
          <cell r="E18682"/>
        </row>
        <row r="18683">
          <cell r="A18683"/>
          <cell r="B18683"/>
          <cell r="C18683"/>
          <cell r="D18683"/>
          <cell r="E18683"/>
        </row>
        <row r="18684">
          <cell r="A18684"/>
          <cell r="B18684"/>
          <cell r="C18684"/>
          <cell r="D18684"/>
          <cell r="E18684"/>
        </row>
        <row r="18685">
          <cell r="A18685"/>
          <cell r="B18685"/>
          <cell r="C18685"/>
          <cell r="D18685"/>
          <cell r="E18685"/>
        </row>
        <row r="18686">
          <cell r="A18686"/>
          <cell r="B18686"/>
          <cell r="C18686"/>
          <cell r="D18686"/>
          <cell r="E18686"/>
        </row>
        <row r="18687">
          <cell r="A18687"/>
          <cell r="B18687"/>
          <cell r="C18687"/>
          <cell r="D18687"/>
          <cell r="E18687"/>
        </row>
        <row r="18688">
          <cell r="A18688"/>
          <cell r="B18688"/>
          <cell r="C18688"/>
          <cell r="D18688"/>
          <cell r="E18688"/>
        </row>
        <row r="18689">
          <cell r="A18689"/>
          <cell r="B18689"/>
          <cell r="C18689"/>
          <cell r="D18689"/>
          <cell r="E18689"/>
        </row>
        <row r="18690">
          <cell r="A18690"/>
          <cell r="B18690"/>
          <cell r="C18690"/>
          <cell r="D18690"/>
          <cell r="E18690"/>
        </row>
        <row r="18691">
          <cell r="A18691"/>
          <cell r="B18691"/>
          <cell r="C18691"/>
          <cell r="D18691"/>
          <cell r="E18691"/>
        </row>
        <row r="18692">
          <cell r="A18692"/>
          <cell r="B18692"/>
          <cell r="C18692"/>
          <cell r="D18692"/>
          <cell r="E18692"/>
        </row>
        <row r="18693">
          <cell r="A18693"/>
          <cell r="B18693"/>
          <cell r="C18693"/>
          <cell r="D18693"/>
          <cell r="E18693"/>
        </row>
        <row r="18694">
          <cell r="A18694"/>
          <cell r="B18694"/>
          <cell r="C18694"/>
          <cell r="D18694"/>
          <cell r="E18694"/>
        </row>
        <row r="18695">
          <cell r="A18695"/>
          <cell r="B18695"/>
          <cell r="C18695"/>
          <cell r="D18695"/>
          <cell r="E18695"/>
        </row>
        <row r="18696">
          <cell r="A18696"/>
          <cell r="B18696"/>
          <cell r="C18696"/>
          <cell r="D18696"/>
          <cell r="E18696"/>
        </row>
        <row r="18697">
          <cell r="A18697"/>
          <cell r="B18697"/>
          <cell r="C18697"/>
          <cell r="D18697"/>
          <cell r="E18697"/>
        </row>
        <row r="18698">
          <cell r="A18698"/>
          <cell r="B18698"/>
          <cell r="C18698"/>
          <cell r="D18698"/>
          <cell r="E18698"/>
        </row>
        <row r="18699">
          <cell r="A18699"/>
          <cell r="B18699"/>
          <cell r="C18699"/>
          <cell r="D18699"/>
          <cell r="E18699"/>
        </row>
        <row r="18700">
          <cell r="A18700"/>
          <cell r="B18700"/>
          <cell r="C18700"/>
          <cell r="D18700"/>
          <cell r="E18700"/>
        </row>
        <row r="18701">
          <cell r="A18701"/>
          <cell r="B18701"/>
          <cell r="C18701"/>
          <cell r="D18701"/>
          <cell r="E18701"/>
        </row>
        <row r="18702">
          <cell r="A18702"/>
          <cell r="B18702"/>
          <cell r="C18702"/>
          <cell r="D18702"/>
          <cell r="E18702"/>
        </row>
        <row r="18703">
          <cell r="A18703"/>
          <cell r="B18703"/>
          <cell r="C18703"/>
          <cell r="D18703"/>
          <cell r="E18703"/>
        </row>
        <row r="18704">
          <cell r="A18704"/>
          <cell r="B18704"/>
          <cell r="C18704"/>
          <cell r="D18704"/>
          <cell r="E18704"/>
        </row>
        <row r="18705">
          <cell r="A18705"/>
          <cell r="B18705"/>
          <cell r="C18705"/>
          <cell r="D18705"/>
          <cell r="E18705"/>
        </row>
        <row r="18706">
          <cell r="A18706"/>
          <cell r="B18706"/>
          <cell r="C18706"/>
          <cell r="D18706"/>
          <cell r="E18706"/>
        </row>
        <row r="18707">
          <cell r="A18707"/>
          <cell r="B18707"/>
          <cell r="C18707"/>
          <cell r="D18707"/>
          <cell r="E18707"/>
        </row>
        <row r="18708">
          <cell r="A18708"/>
          <cell r="B18708"/>
          <cell r="C18708"/>
          <cell r="D18708"/>
          <cell r="E18708"/>
        </row>
        <row r="18709">
          <cell r="A18709"/>
          <cell r="B18709"/>
          <cell r="C18709"/>
          <cell r="D18709"/>
          <cell r="E18709"/>
        </row>
        <row r="18710">
          <cell r="A18710"/>
          <cell r="B18710"/>
          <cell r="C18710"/>
          <cell r="D18710"/>
          <cell r="E18710"/>
        </row>
        <row r="18711">
          <cell r="A18711"/>
          <cell r="B18711"/>
          <cell r="C18711"/>
          <cell r="D18711"/>
          <cell r="E18711"/>
        </row>
        <row r="18712">
          <cell r="A18712"/>
          <cell r="B18712"/>
          <cell r="C18712"/>
          <cell r="D18712"/>
          <cell r="E18712"/>
        </row>
        <row r="18713">
          <cell r="A18713"/>
          <cell r="B18713"/>
          <cell r="C18713"/>
          <cell r="D18713"/>
          <cell r="E18713"/>
        </row>
        <row r="18714">
          <cell r="A18714"/>
          <cell r="B18714"/>
          <cell r="C18714"/>
          <cell r="D18714"/>
          <cell r="E18714"/>
        </row>
        <row r="18715">
          <cell r="A18715"/>
          <cell r="B18715"/>
          <cell r="C18715"/>
          <cell r="D18715"/>
          <cell r="E18715"/>
        </row>
        <row r="18716">
          <cell r="A18716"/>
          <cell r="B18716"/>
          <cell r="C18716"/>
          <cell r="D18716"/>
          <cell r="E18716"/>
        </row>
        <row r="18717">
          <cell r="A18717"/>
          <cell r="B18717"/>
          <cell r="C18717"/>
          <cell r="D18717"/>
          <cell r="E18717"/>
        </row>
        <row r="18718">
          <cell r="A18718"/>
          <cell r="B18718"/>
          <cell r="C18718"/>
          <cell r="D18718"/>
          <cell r="E18718"/>
        </row>
        <row r="18719">
          <cell r="A18719"/>
          <cell r="B18719"/>
          <cell r="C18719"/>
          <cell r="D18719"/>
          <cell r="E18719"/>
        </row>
        <row r="18720">
          <cell r="A18720"/>
          <cell r="B18720"/>
          <cell r="C18720"/>
          <cell r="D18720"/>
          <cell r="E18720"/>
        </row>
        <row r="18721">
          <cell r="A18721"/>
          <cell r="B18721"/>
          <cell r="C18721"/>
          <cell r="D18721"/>
          <cell r="E18721"/>
        </row>
        <row r="18722">
          <cell r="A18722"/>
          <cell r="B18722"/>
          <cell r="C18722"/>
          <cell r="D18722"/>
          <cell r="E18722"/>
        </row>
        <row r="18723">
          <cell r="A18723"/>
          <cell r="B18723"/>
          <cell r="C18723"/>
          <cell r="D18723"/>
          <cell r="E18723"/>
        </row>
        <row r="18724">
          <cell r="A18724"/>
          <cell r="B18724"/>
          <cell r="C18724"/>
          <cell r="D18724"/>
          <cell r="E18724"/>
        </row>
        <row r="18725">
          <cell r="A18725"/>
          <cell r="B18725"/>
          <cell r="C18725"/>
          <cell r="D18725"/>
          <cell r="E18725"/>
        </row>
        <row r="18726">
          <cell r="A18726"/>
          <cell r="B18726"/>
          <cell r="C18726"/>
          <cell r="D18726"/>
          <cell r="E18726"/>
        </row>
        <row r="18727">
          <cell r="A18727"/>
          <cell r="B18727"/>
          <cell r="C18727"/>
          <cell r="D18727"/>
          <cell r="E18727"/>
        </row>
        <row r="18728">
          <cell r="A18728"/>
          <cell r="B18728"/>
          <cell r="C18728"/>
          <cell r="D18728"/>
          <cell r="E18728"/>
        </row>
        <row r="18729">
          <cell r="A18729"/>
          <cell r="B18729"/>
          <cell r="C18729"/>
          <cell r="D18729"/>
          <cell r="E18729"/>
        </row>
        <row r="18730">
          <cell r="A18730"/>
          <cell r="B18730"/>
          <cell r="C18730"/>
          <cell r="D18730"/>
          <cell r="E18730"/>
        </row>
        <row r="18731">
          <cell r="A18731"/>
          <cell r="B18731"/>
          <cell r="C18731"/>
          <cell r="D18731"/>
          <cell r="E18731"/>
        </row>
        <row r="18732">
          <cell r="A18732"/>
          <cell r="B18732"/>
          <cell r="C18732"/>
          <cell r="D18732"/>
          <cell r="E18732"/>
        </row>
        <row r="18733">
          <cell r="A18733"/>
          <cell r="B18733"/>
          <cell r="C18733"/>
          <cell r="D18733"/>
          <cell r="E18733"/>
        </row>
        <row r="18734">
          <cell r="A18734"/>
          <cell r="B18734"/>
          <cell r="C18734"/>
          <cell r="D18734"/>
          <cell r="E18734"/>
        </row>
        <row r="18735">
          <cell r="A18735"/>
          <cell r="B18735"/>
          <cell r="C18735"/>
          <cell r="D18735"/>
          <cell r="E18735"/>
        </row>
        <row r="18736">
          <cell r="A18736"/>
          <cell r="B18736"/>
          <cell r="C18736"/>
          <cell r="D18736"/>
          <cell r="E18736"/>
        </row>
        <row r="18737">
          <cell r="A18737"/>
          <cell r="B18737"/>
          <cell r="C18737"/>
          <cell r="D18737"/>
          <cell r="E18737"/>
        </row>
        <row r="18738">
          <cell r="A18738"/>
          <cell r="B18738"/>
          <cell r="C18738"/>
          <cell r="D18738"/>
          <cell r="E18738"/>
        </row>
        <row r="18739">
          <cell r="A18739"/>
          <cell r="B18739"/>
          <cell r="C18739"/>
          <cell r="D18739"/>
          <cell r="E18739"/>
        </row>
        <row r="18740">
          <cell r="A18740"/>
          <cell r="B18740"/>
          <cell r="C18740"/>
          <cell r="D18740"/>
          <cell r="E18740"/>
        </row>
        <row r="18741">
          <cell r="A18741"/>
          <cell r="B18741"/>
          <cell r="C18741"/>
          <cell r="D18741"/>
          <cell r="E18741"/>
        </row>
        <row r="18742">
          <cell r="A18742"/>
          <cell r="B18742"/>
          <cell r="C18742"/>
          <cell r="D18742"/>
          <cell r="E18742"/>
        </row>
        <row r="18743">
          <cell r="A18743"/>
          <cell r="B18743"/>
          <cell r="C18743"/>
          <cell r="D18743"/>
          <cell r="E18743"/>
        </row>
        <row r="18744">
          <cell r="A18744"/>
          <cell r="B18744"/>
          <cell r="C18744"/>
          <cell r="D18744"/>
          <cell r="E18744"/>
        </row>
        <row r="18745">
          <cell r="A18745"/>
          <cell r="B18745"/>
          <cell r="C18745"/>
          <cell r="D18745"/>
          <cell r="E18745"/>
        </row>
        <row r="18746">
          <cell r="A18746"/>
          <cell r="B18746"/>
          <cell r="C18746"/>
          <cell r="D18746"/>
          <cell r="E18746"/>
        </row>
        <row r="18747">
          <cell r="A18747"/>
          <cell r="B18747"/>
          <cell r="C18747"/>
          <cell r="D18747"/>
          <cell r="E18747"/>
        </row>
        <row r="18748">
          <cell r="A18748"/>
          <cell r="B18748"/>
          <cell r="C18748"/>
          <cell r="D18748"/>
          <cell r="E18748"/>
        </row>
        <row r="18749">
          <cell r="A18749"/>
          <cell r="B18749"/>
          <cell r="C18749"/>
          <cell r="D18749"/>
          <cell r="E18749"/>
        </row>
        <row r="18750">
          <cell r="A18750"/>
          <cell r="B18750"/>
          <cell r="C18750"/>
          <cell r="D18750"/>
          <cell r="E18750"/>
        </row>
        <row r="18751">
          <cell r="A18751"/>
          <cell r="B18751"/>
          <cell r="C18751"/>
          <cell r="D18751"/>
          <cell r="E18751"/>
        </row>
        <row r="18752">
          <cell r="A18752"/>
          <cell r="B18752"/>
          <cell r="C18752"/>
          <cell r="D18752"/>
          <cell r="E18752"/>
        </row>
        <row r="18753">
          <cell r="A18753"/>
          <cell r="B18753"/>
          <cell r="C18753"/>
          <cell r="D18753"/>
          <cell r="E18753"/>
        </row>
        <row r="18754">
          <cell r="A18754"/>
          <cell r="B18754"/>
          <cell r="C18754"/>
          <cell r="D18754"/>
          <cell r="E18754"/>
        </row>
        <row r="18755">
          <cell r="A18755"/>
          <cell r="B18755"/>
          <cell r="C18755"/>
          <cell r="D18755"/>
          <cell r="E18755"/>
        </row>
        <row r="18756">
          <cell r="A18756"/>
          <cell r="B18756"/>
          <cell r="C18756"/>
          <cell r="D18756"/>
          <cell r="E18756"/>
        </row>
        <row r="18757">
          <cell r="A18757"/>
          <cell r="B18757"/>
          <cell r="C18757"/>
          <cell r="D18757"/>
          <cell r="E18757"/>
        </row>
        <row r="18758">
          <cell r="A18758"/>
          <cell r="B18758"/>
          <cell r="C18758"/>
          <cell r="D18758"/>
          <cell r="E18758"/>
        </row>
        <row r="18759">
          <cell r="A18759"/>
          <cell r="B18759"/>
          <cell r="C18759"/>
          <cell r="D18759"/>
          <cell r="E18759"/>
        </row>
        <row r="18760">
          <cell r="A18760"/>
          <cell r="B18760"/>
          <cell r="C18760"/>
          <cell r="D18760"/>
          <cell r="E18760"/>
        </row>
        <row r="18761">
          <cell r="A18761"/>
          <cell r="B18761"/>
          <cell r="C18761"/>
          <cell r="D18761"/>
          <cell r="E18761"/>
        </row>
        <row r="18762">
          <cell r="A18762"/>
          <cell r="B18762"/>
          <cell r="C18762"/>
          <cell r="D18762"/>
          <cell r="E18762"/>
        </row>
        <row r="18763">
          <cell r="A18763"/>
          <cell r="B18763"/>
          <cell r="C18763"/>
          <cell r="D18763"/>
          <cell r="E18763"/>
        </row>
        <row r="18764">
          <cell r="A18764"/>
          <cell r="B18764"/>
          <cell r="C18764"/>
          <cell r="D18764"/>
          <cell r="E18764"/>
        </row>
        <row r="18765">
          <cell r="A18765"/>
          <cell r="B18765"/>
          <cell r="C18765"/>
          <cell r="D18765"/>
          <cell r="E18765"/>
        </row>
        <row r="18766">
          <cell r="A18766"/>
          <cell r="B18766"/>
          <cell r="C18766"/>
          <cell r="D18766"/>
          <cell r="E18766"/>
        </row>
        <row r="18767">
          <cell r="A18767"/>
          <cell r="B18767"/>
          <cell r="C18767"/>
          <cell r="D18767"/>
          <cell r="E18767"/>
        </row>
        <row r="18768">
          <cell r="A18768"/>
          <cell r="B18768"/>
          <cell r="C18768"/>
          <cell r="D18768"/>
          <cell r="E18768"/>
        </row>
        <row r="18769">
          <cell r="A18769"/>
          <cell r="B18769"/>
          <cell r="C18769"/>
          <cell r="D18769"/>
          <cell r="E18769"/>
        </row>
        <row r="18770">
          <cell r="A18770"/>
          <cell r="B18770"/>
          <cell r="C18770"/>
          <cell r="D18770"/>
          <cell r="E18770"/>
        </row>
        <row r="18771">
          <cell r="A18771"/>
          <cell r="B18771"/>
          <cell r="C18771"/>
          <cell r="D18771"/>
          <cell r="E18771"/>
        </row>
        <row r="18772">
          <cell r="A18772"/>
          <cell r="B18772"/>
          <cell r="C18772"/>
          <cell r="D18772"/>
          <cell r="E18772"/>
        </row>
        <row r="18773">
          <cell r="A18773"/>
          <cell r="B18773"/>
          <cell r="C18773"/>
          <cell r="D18773"/>
          <cell r="E18773"/>
        </row>
        <row r="18774">
          <cell r="A18774"/>
          <cell r="B18774"/>
          <cell r="C18774"/>
          <cell r="D18774"/>
          <cell r="E18774"/>
        </row>
        <row r="18775">
          <cell r="A18775"/>
          <cell r="B18775"/>
          <cell r="C18775"/>
          <cell r="D18775"/>
          <cell r="E18775"/>
        </row>
        <row r="18776">
          <cell r="A18776"/>
          <cell r="B18776"/>
          <cell r="C18776"/>
          <cell r="D18776"/>
          <cell r="E18776"/>
        </row>
        <row r="18777">
          <cell r="A18777"/>
          <cell r="B18777"/>
          <cell r="C18777"/>
          <cell r="D18777"/>
          <cell r="E18777"/>
        </row>
        <row r="18778">
          <cell r="A18778"/>
          <cell r="B18778"/>
          <cell r="C18778"/>
          <cell r="D18778"/>
          <cell r="E18778"/>
        </row>
        <row r="18779">
          <cell r="A18779"/>
          <cell r="B18779"/>
          <cell r="C18779"/>
          <cell r="D18779"/>
          <cell r="E18779"/>
        </row>
        <row r="18780">
          <cell r="A18780"/>
          <cell r="B18780"/>
          <cell r="C18780"/>
          <cell r="D18780"/>
          <cell r="E18780"/>
        </row>
        <row r="18781">
          <cell r="A18781"/>
          <cell r="B18781"/>
          <cell r="C18781"/>
          <cell r="D18781"/>
          <cell r="E18781"/>
        </row>
        <row r="18782">
          <cell r="A18782"/>
          <cell r="B18782"/>
          <cell r="C18782"/>
          <cell r="D18782"/>
          <cell r="E18782"/>
        </row>
        <row r="18783">
          <cell r="A18783"/>
          <cell r="B18783"/>
          <cell r="C18783"/>
          <cell r="D18783"/>
          <cell r="E18783"/>
        </row>
        <row r="18784">
          <cell r="A18784"/>
          <cell r="B18784"/>
          <cell r="C18784"/>
          <cell r="D18784"/>
          <cell r="E18784"/>
        </row>
        <row r="18785">
          <cell r="A18785"/>
          <cell r="B18785"/>
          <cell r="C18785"/>
          <cell r="D18785"/>
          <cell r="E18785"/>
        </row>
        <row r="18786">
          <cell r="A18786"/>
          <cell r="B18786"/>
          <cell r="C18786"/>
          <cell r="D18786"/>
          <cell r="E18786"/>
        </row>
        <row r="18787">
          <cell r="A18787"/>
          <cell r="B18787"/>
          <cell r="C18787"/>
          <cell r="D18787"/>
          <cell r="E18787"/>
        </row>
        <row r="18788">
          <cell r="A18788"/>
          <cell r="B18788"/>
          <cell r="C18788"/>
          <cell r="D18788"/>
          <cell r="E18788"/>
        </row>
        <row r="18789">
          <cell r="A18789"/>
          <cell r="B18789"/>
          <cell r="C18789"/>
          <cell r="D18789"/>
          <cell r="E18789"/>
        </row>
        <row r="18790">
          <cell r="A18790"/>
          <cell r="B18790"/>
          <cell r="C18790"/>
          <cell r="D18790"/>
          <cell r="E18790"/>
        </row>
        <row r="18791">
          <cell r="A18791"/>
          <cell r="B18791"/>
          <cell r="C18791"/>
          <cell r="D18791"/>
          <cell r="E18791"/>
        </row>
        <row r="18792">
          <cell r="A18792"/>
          <cell r="B18792"/>
          <cell r="C18792"/>
          <cell r="D18792"/>
          <cell r="E18792"/>
        </row>
        <row r="18793">
          <cell r="A18793"/>
          <cell r="B18793"/>
          <cell r="C18793"/>
          <cell r="D18793"/>
          <cell r="E18793"/>
        </row>
        <row r="18794">
          <cell r="A18794"/>
          <cell r="B18794"/>
          <cell r="C18794"/>
          <cell r="D18794"/>
          <cell r="E18794"/>
        </row>
        <row r="18795">
          <cell r="A18795"/>
          <cell r="B18795"/>
          <cell r="C18795"/>
          <cell r="D18795"/>
          <cell r="E18795"/>
        </row>
        <row r="18796">
          <cell r="A18796"/>
          <cell r="B18796"/>
          <cell r="C18796"/>
          <cell r="D18796"/>
          <cell r="E18796"/>
        </row>
        <row r="18797">
          <cell r="A18797"/>
          <cell r="B18797"/>
          <cell r="C18797"/>
          <cell r="D18797"/>
          <cell r="E18797"/>
        </row>
        <row r="18798">
          <cell r="A18798"/>
          <cell r="B18798"/>
          <cell r="C18798"/>
          <cell r="D18798"/>
          <cell r="E18798"/>
        </row>
        <row r="18799">
          <cell r="A18799"/>
          <cell r="B18799"/>
          <cell r="C18799"/>
          <cell r="D18799"/>
          <cell r="E18799"/>
        </row>
        <row r="18800">
          <cell r="A18800"/>
          <cell r="B18800"/>
          <cell r="C18800"/>
          <cell r="D18800"/>
          <cell r="E18800"/>
        </row>
        <row r="18801">
          <cell r="A18801"/>
          <cell r="B18801"/>
          <cell r="C18801"/>
          <cell r="D18801"/>
          <cell r="E18801"/>
        </row>
        <row r="18802">
          <cell r="A18802"/>
          <cell r="B18802"/>
          <cell r="C18802"/>
          <cell r="D18802"/>
          <cell r="E18802"/>
        </row>
        <row r="18803">
          <cell r="A18803"/>
          <cell r="B18803"/>
          <cell r="C18803"/>
          <cell r="D18803"/>
          <cell r="E18803"/>
        </row>
        <row r="18804">
          <cell r="A18804"/>
          <cell r="B18804"/>
          <cell r="C18804"/>
          <cell r="D18804"/>
          <cell r="E18804"/>
        </row>
        <row r="18805">
          <cell r="A18805"/>
          <cell r="B18805"/>
          <cell r="C18805"/>
          <cell r="D18805"/>
          <cell r="E18805"/>
        </row>
        <row r="18806">
          <cell r="A18806"/>
          <cell r="B18806"/>
          <cell r="C18806"/>
          <cell r="D18806"/>
          <cell r="E18806"/>
        </row>
        <row r="18807">
          <cell r="A18807"/>
          <cell r="B18807"/>
          <cell r="C18807"/>
          <cell r="D18807"/>
          <cell r="E18807"/>
        </row>
        <row r="18808">
          <cell r="A18808"/>
          <cell r="B18808"/>
          <cell r="C18808"/>
          <cell r="D18808"/>
          <cell r="E18808"/>
        </row>
        <row r="18809">
          <cell r="A18809"/>
          <cell r="B18809"/>
          <cell r="C18809"/>
          <cell r="D18809"/>
          <cell r="E18809"/>
        </row>
        <row r="18810">
          <cell r="A18810"/>
          <cell r="B18810"/>
          <cell r="C18810"/>
          <cell r="D18810"/>
          <cell r="E18810"/>
        </row>
        <row r="18811">
          <cell r="A18811"/>
          <cell r="B18811"/>
          <cell r="C18811"/>
          <cell r="D18811"/>
          <cell r="E18811"/>
        </row>
        <row r="18812">
          <cell r="A18812"/>
          <cell r="B18812"/>
          <cell r="C18812"/>
          <cell r="D18812"/>
          <cell r="E18812"/>
        </row>
        <row r="18813">
          <cell r="A18813"/>
          <cell r="B18813"/>
          <cell r="C18813"/>
          <cell r="D18813"/>
          <cell r="E18813"/>
        </row>
        <row r="18814">
          <cell r="A18814"/>
          <cell r="B18814"/>
          <cell r="C18814"/>
          <cell r="D18814"/>
          <cell r="E18814"/>
        </row>
        <row r="18815">
          <cell r="A18815"/>
          <cell r="B18815"/>
          <cell r="C18815"/>
          <cell r="D18815"/>
          <cell r="E18815"/>
        </row>
        <row r="18816">
          <cell r="A18816"/>
          <cell r="B18816"/>
          <cell r="C18816"/>
          <cell r="D18816"/>
          <cell r="E18816"/>
        </row>
        <row r="18817">
          <cell r="A18817"/>
          <cell r="B18817"/>
          <cell r="C18817"/>
          <cell r="D18817"/>
          <cell r="E18817"/>
        </row>
        <row r="18818">
          <cell r="A18818"/>
          <cell r="B18818"/>
          <cell r="C18818"/>
          <cell r="D18818"/>
          <cell r="E18818"/>
        </row>
        <row r="18819">
          <cell r="A18819"/>
          <cell r="B18819"/>
          <cell r="C18819"/>
          <cell r="D18819"/>
          <cell r="E18819"/>
        </row>
        <row r="18820">
          <cell r="A18820"/>
          <cell r="B18820"/>
          <cell r="C18820"/>
          <cell r="D18820"/>
          <cell r="E18820"/>
        </row>
        <row r="18821">
          <cell r="A18821"/>
          <cell r="B18821"/>
          <cell r="C18821"/>
          <cell r="D18821"/>
          <cell r="E18821"/>
        </row>
        <row r="18822">
          <cell r="A18822"/>
          <cell r="B18822"/>
          <cell r="C18822"/>
          <cell r="D18822"/>
          <cell r="E18822"/>
        </row>
        <row r="18823">
          <cell r="A18823"/>
          <cell r="B18823"/>
          <cell r="C18823"/>
          <cell r="D18823"/>
          <cell r="E18823"/>
        </row>
        <row r="18824">
          <cell r="A18824"/>
          <cell r="B18824"/>
          <cell r="C18824"/>
          <cell r="D18824"/>
          <cell r="E18824"/>
        </row>
        <row r="18825">
          <cell r="A18825"/>
          <cell r="B18825"/>
          <cell r="C18825"/>
          <cell r="D18825"/>
          <cell r="E18825"/>
        </row>
        <row r="18826">
          <cell r="A18826"/>
          <cell r="B18826"/>
          <cell r="C18826"/>
          <cell r="D18826"/>
          <cell r="E18826"/>
        </row>
        <row r="18827">
          <cell r="A18827"/>
          <cell r="B18827"/>
          <cell r="C18827"/>
          <cell r="D18827"/>
          <cell r="E18827"/>
        </row>
        <row r="18828">
          <cell r="A18828"/>
          <cell r="B18828"/>
          <cell r="C18828"/>
          <cell r="D18828"/>
          <cell r="E18828"/>
        </row>
        <row r="18829">
          <cell r="A18829"/>
          <cell r="B18829"/>
          <cell r="C18829"/>
          <cell r="D18829"/>
          <cell r="E18829"/>
        </row>
        <row r="18830">
          <cell r="A18830"/>
          <cell r="B18830"/>
          <cell r="C18830"/>
          <cell r="D18830"/>
          <cell r="E18830"/>
        </row>
        <row r="18831">
          <cell r="A18831"/>
          <cell r="B18831"/>
          <cell r="C18831"/>
          <cell r="D18831"/>
          <cell r="E18831"/>
        </row>
        <row r="18832">
          <cell r="A18832"/>
          <cell r="B18832"/>
          <cell r="C18832"/>
          <cell r="D18832"/>
          <cell r="E18832"/>
        </row>
        <row r="18833">
          <cell r="A18833"/>
          <cell r="B18833"/>
          <cell r="C18833"/>
          <cell r="D18833"/>
          <cell r="E18833"/>
        </row>
        <row r="18834">
          <cell r="A18834"/>
          <cell r="B18834"/>
          <cell r="C18834"/>
          <cell r="D18834"/>
          <cell r="E18834"/>
        </row>
        <row r="18835">
          <cell r="A18835"/>
          <cell r="B18835"/>
          <cell r="C18835"/>
          <cell r="D18835"/>
          <cell r="E18835"/>
        </row>
        <row r="18836">
          <cell r="A18836"/>
          <cell r="B18836"/>
          <cell r="C18836"/>
          <cell r="D18836"/>
          <cell r="E18836"/>
        </row>
        <row r="18837">
          <cell r="A18837"/>
          <cell r="B18837"/>
          <cell r="C18837"/>
          <cell r="D18837"/>
          <cell r="E18837"/>
        </row>
        <row r="18838">
          <cell r="A18838"/>
          <cell r="B18838"/>
          <cell r="C18838"/>
          <cell r="D18838"/>
          <cell r="E18838"/>
        </row>
        <row r="18839">
          <cell r="A18839"/>
          <cell r="B18839"/>
          <cell r="C18839"/>
          <cell r="D18839"/>
          <cell r="E18839"/>
        </row>
        <row r="18840">
          <cell r="A18840"/>
          <cell r="B18840"/>
          <cell r="C18840"/>
          <cell r="D18840"/>
          <cell r="E18840"/>
        </row>
        <row r="18841">
          <cell r="A18841"/>
          <cell r="B18841"/>
          <cell r="C18841"/>
          <cell r="D18841"/>
          <cell r="E18841"/>
        </row>
        <row r="18842">
          <cell r="A18842"/>
          <cell r="B18842"/>
          <cell r="C18842"/>
          <cell r="D18842"/>
          <cell r="E18842"/>
        </row>
        <row r="18843">
          <cell r="A18843"/>
          <cell r="B18843"/>
          <cell r="C18843"/>
          <cell r="D18843"/>
          <cell r="E18843"/>
        </row>
        <row r="18844">
          <cell r="A18844"/>
          <cell r="B18844"/>
          <cell r="C18844"/>
          <cell r="D18844"/>
          <cell r="E18844"/>
        </row>
        <row r="18845">
          <cell r="A18845"/>
          <cell r="B18845"/>
          <cell r="C18845"/>
          <cell r="D18845"/>
          <cell r="E18845"/>
        </row>
        <row r="18846">
          <cell r="A18846"/>
          <cell r="B18846"/>
          <cell r="C18846"/>
          <cell r="D18846"/>
          <cell r="E18846"/>
        </row>
        <row r="18847">
          <cell r="A18847"/>
          <cell r="B18847"/>
          <cell r="C18847"/>
          <cell r="D18847"/>
          <cell r="E18847"/>
        </row>
        <row r="18848">
          <cell r="A18848"/>
          <cell r="B18848"/>
          <cell r="C18848"/>
          <cell r="D18848"/>
          <cell r="E18848"/>
        </row>
        <row r="18849">
          <cell r="A18849"/>
          <cell r="B18849"/>
          <cell r="C18849"/>
          <cell r="D18849"/>
          <cell r="E18849"/>
        </row>
        <row r="18850">
          <cell r="A18850"/>
          <cell r="B18850"/>
          <cell r="C18850"/>
          <cell r="D18850"/>
          <cell r="E18850"/>
        </row>
        <row r="18851">
          <cell r="A18851"/>
          <cell r="B18851"/>
          <cell r="C18851"/>
          <cell r="D18851"/>
          <cell r="E18851"/>
        </row>
        <row r="18852">
          <cell r="A18852"/>
          <cell r="B18852"/>
          <cell r="C18852"/>
          <cell r="D18852"/>
          <cell r="E18852"/>
        </row>
        <row r="18853">
          <cell r="A18853"/>
          <cell r="B18853"/>
          <cell r="C18853"/>
          <cell r="D18853"/>
          <cell r="E18853"/>
        </row>
        <row r="18854">
          <cell r="A18854"/>
          <cell r="B18854"/>
          <cell r="C18854"/>
          <cell r="D18854"/>
          <cell r="E18854"/>
        </row>
        <row r="18855">
          <cell r="A18855"/>
          <cell r="B18855"/>
          <cell r="C18855"/>
          <cell r="D18855"/>
          <cell r="E18855"/>
        </row>
        <row r="18856">
          <cell r="A18856"/>
          <cell r="B18856"/>
          <cell r="C18856"/>
          <cell r="D18856"/>
          <cell r="E18856"/>
        </row>
        <row r="18857">
          <cell r="A18857"/>
          <cell r="B18857"/>
          <cell r="C18857"/>
          <cell r="D18857"/>
          <cell r="E18857"/>
        </row>
        <row r="18858">
          <cell r="A18858"/>
          <cell r="B18858"/>
          <cell r="C18858"/>
          <cell r="D18858"/>
          <cell r="E18858"/>
        </row>
        <row r="18859">
          <cell r="A18859"/>
          <cell r="B18859"/>
          <cell r="C18859"/>
          <cell r="D18859"/>
          <cell r="E18859"/>
        </row>
        <row r="18860">
          <cell r="A18860"/>
          <cell r="B18860"/>
          <cell r="C18860"/>
          <cell r="D18860"/>
          <cell r="E18860"/>
        </row>
        <row r="18861">
          <cell r="A18861"/>
          <cell r="B18861"/>
          <cell r="C18861"/>
          <cell r="D18861"/>
          <cell r="E18861"/>
        </row>
        <row r="18862">
          <cell r="A18862"/>
          <cell r="B18862"/>
          <cell r="C18862"/>
          <cell r="D18862"/>
          <cell r="E18862"/>
        </row>
        <row r="18863">
          <cell r="A18863"/>
          <cell r="B18863"/>
          <cell r="C18863"/>
          <cell r="D18863"/>
          <cell r="E18863"/>
        </row>
        <row r="18864">
          <cell r="A18864"/>
          <cell r="B18864"/>
          <cell r="C18864"/>
          <cell r="D18864"/>
          <cell r="E18864"/>
        </row>
        <row r="18865">
          <cell r="A18865"/>
          <cell r="B18865"/>
          <cell r="C18865"/>
          <cell r="D18865"/>
          <cell r="E18865"/>
        </row>
        <row r="18866">
          <cell r="A18866"/>
          <cell r="B18866"/>
          <cell r="C18866"/>
          <cell r="D18866"/>
          <cell r="E18866"/>
        </row>
        <row r="18867">
          <cell r="A18867"/>
          <cell r="B18867"/>
          <cell r="C18867"/>
          <cell r="D18867"/>
          <cell r="E18867"/>
        </row>
        <row r="18868">
          <cell r="A18868"/>
          <cell r="B18868"/>
          <cell r="C18868"/>
          <cell r="D18868"/>
          <cell r="E18868"/>
        </row>
        <row r="18869">
          <cell r="A18869"/>
          <cell r="B18869"/>
          <cell r="C18869"/>
          <cell r="D18869"/>
          <cell r="E18869"/>
        </row>
        <row r="18870">
          <cell r="A18870"/>
          <cell r="B18870"/>
          <cell r="C18870"/>
          <cell r="D18870"/>
          <cell r="E18870"/>
        </row>
        <row r="18871">
          <cell r="A18871"/>
          <cell r="B18871"/>
          <cell r="C18871"/>
          <cell r="D18871"/>
          <cell r="E18871"/>
        </row>
        <row r="18872">
          <cell r="A18872"/>
          <cell r="B18872"/>
          <cell r="C18872"/>
          <cell r="D18872"/>
          <cell r="E18872"/>
        </row>
        <row r="18873">
          <cell r="A18873"/>
          <cell r="B18873"/>
          <cell r="C18873"/>
          <cell r="D18873"/>
          <cell r="E18873"/>
        </row>
        <row r="18874">
          <cell r="A18874"/>
          <cell r="B18874"/>
          <cell r="C18874"/>
          <cell r="D18874"/>
          <cell r="E18874"/>
        </row>
        <row r="18875">
          <cell r="A18875"/>
          <cell r="B18875"/>
          <cell r="C18875"/>
          <cell r="D18875"/>
          <cell r="E18875"/>
        </row>
        <row r="18876">
          <cell r="A18876"/>
          <cell r="B18876"/>
          <cell r="C18876"/>
          <cell r="D18876"/>
          <cell r="E18876"/>
        </row>
        <row r="18877">
          <cell r="A18877"/>
          <cell r="B18877"/>
          <cell r="C18877"/>
          <cell r="D18877"/>
          <cell r="E18877"/>
        </row>
        <row r="18878">
          <cell r="A18878"/>
          <cell r="B18878"/>
          <cell r="C18878"/>
          <cell r="D18878"/>
          <cell r="E18878"/>
        </row>
        <row r="18879">
          <cell r="A18879"/>
          <cell r="B18879"/>
          <cell r="C18879"/>
          <cell r="D18879"/>
          <cell r="E18879"/>
        </row>
        <row r="18880">
          <cell r="A18880"/>
          <cell r="B18880"/>
          <cell r="C18880"/>
          <cell r="D18880"/>
          <cell r="E18880"/>
        </row>
        <row r="18881">
          <cell r="A18881"/>
          <cell r="B18881"/>
          <cell r="C18881"/>
          <cell r="D18881"/>
          <cell r="E18881"/>
        </row>
        <row r="18882">
          <cell r="A18882"/>
          <cell r="B18882"/>
          <cell r="C18882"/>
          <cell r="D18882"/>
          <cell r="E18882"/>
        </row>
        <row r="18883">
          <cell r="A18883"/>
          <cell r="B18883"/>
          <cell r="C18883"/>
          <cell r="D18883"/>
          <cell r="E18883"/>
        </row>
        <row r="18884">
          <cell r="A18884"/>
          <cell r="B18884"/>
          <cell r="C18884"/>
          <cell r="D18884"/>
          <cell r="E18884"/>
        </row>
        <row r="18885">
          <cell r="A18885"/>
          <cell r="B18885"/>
          <cell r="C18885"/>
          <cell r="D18885"/>
          <cell r="E18885"/>
        </row>
        <row r="18886">
          <cell r="A18886"/>
          <cell r="B18886"/>
          <cell r="C18886"/>
          <cell r="D18886"/>
          <cell r="E18886"/>
        </row>
        <row r="18887">
          <cell r="A18887"/>
          <cell r="B18887"/>
          <cell r="C18887"/>
          <cell r="D18887"/>
          <cell r="E18887"/>
        </row>
        <row r="18888">
          <cell r="A18888"/>
          <cell r="B18888"/>
          <cell r="C18888"/>
          <cell r="D18888"/>
          <cell r="E18888"/>
        </row>
        <row r="18889">
          <cell r="A18889"/>
          <cell r="B18889"/>
          <cell r="C18889"/>
          <cell r="D18889"/>
          <cell r="E18889"/>
        </row>
        <row r="18890">
          <cell r="A18890"/>
          <cell r="B18890"/>
          <cell r="C18890"/>
          <cell r="D18890"/>
          <cell r="E18890"/>
        </row>
        <row r="18891">
          <cell r="A18891"/>
          <cell r="B18891"/>
          <cell r="C18891"/>
          <cell r="D18891"/>
          <cell r="E18891"/>
        </row>
        <row r="18892">
          <cell r="A18892"/>
          <cell r="B18892"/>
          <cell r="C18892"/>
          <cell r="D18892"/>
          <cell r="E18892"/>
        </row>
        <row r="18893">
          <cell r="A18893"/>
          <cell r="B18893"/>
          <cell r="C18893"/>
          <cell r="D18893"/>
          <cell r="E18893"/>
        </row>
        <row r="18894">
          <cell r="A18894"/>
          <cell r="B18894"/>
          <cell r="C18894"/>
          <cell r="D18894"/>
          <cell r="E18894"/>
        </row>
        <row r="18895">
          <cell r="A18895"/>
          <cell r="B18895"/>
          <cell r="C18895"/>
          <cell r="D18895"/>
          <cell r="E18895"/>
        </row>
        <row r="18896">
          <cell r="A18896"/>
          <cell r="B18896"/>
          <cell r="C18896"/>
          <cell r="D18896"/>
          <cell r="E18896"/>
        </row>
        <row r="18897">
          <cell r="A18897"/>
          <cell r="B18897"/>
          <cell r="C18897"/>
          <cell r="D18897"/>
          <cell r="E18897"/>
        </row>
        <row r="18898">
          <cell r="A18898"/>
          <cell r="B18898"/>
          <cell r="C18898"/>
          <cell r="D18898"/>
          <cell r="E18898"/>
        </row>
        <row r="18899">
          <cell r="A18899"/>
          <cell r="B18899"/>
          <cell r="C18899"/>
          <cell r="D18899"/>
          <cell r="E18899"/>
        </row>
        <row r="18900">
          <cell r="A18900"/>
          <cell r="B18900"/>
          <cell r="C18900"/>
          <cell r="D18900"/>
          <cell r="E18900"/>
        </row>
        <row r="18901">
          <cell r="A18901"/>
          <cell r="B18901"/>
          <cell r="C18901"/>
          <cell r="D18901"/>
          <cell r="E18901"/>
        </row>
        <row r="18902">
          <cell r="A18902"/>
          <cell r="B18902"/>
          <cell r="C18902"/>
          <cell r="D18902"/>
          <cell r="E18902"/>
        </row>
        <row r="18903">
          <cell r="A18903"/>
          <cell r="B18903"/>
          <cell r="C18903"/>
          <cell r="D18903"/>
          <cell r="E18903"/>
        </row>
        <row r="18904">
          <cell r="A18904"/>
          <cell r="B18904"/>
          <cell r="C18904"/>
          <cell r="D18904"/>
          <cell r="E18904"/>
        </row>
        <row r="18905">
          <cell r="A18905"/>
          <cell r="B18905"/>
          <cell r="C18905"/>
          <cell r="D18905"/>
          <cell r="E18905"/>
        </row>
        <row r="18906">
          <cell r="A18906"/>
          <cell r="B18906"/>
          <cell r="C18906"/>
          <cell r="D18906"/>
          <cell r="E18906"/>
        </row>
        <row r="18907">
          <cell r="A18907"/>
          <cell r="B18907"/>
          <cell r="C18907"/>
          <cell r="D18907"/>
          <cell r="E18907"/>
        </row>
        <row r="18908">
          <cell r="A18908"/>
          <cell r="B18908"/>
          <cell r="C18908"/>
          <cell r="D18908"/>
          <cell r="E18908"/>
        </row>
        <row r="18909">
          <cell r="A18909"/>
          <cell r="B18909"/>
          <cell r="C18909"/>
          <cell r="D18909"/>
          <cell r="E18909"/>
        </row>
        <row r="18910">
          <cell r="A18910"/>
          <cell r="B18910"/>
          <cell r="C18910"/>
          <cell r="D18910"/>
          <cell r="E18910"/>
        </row>
        <row r="18911">
          <cell r="A18911"/>
          <cell r="B18911"/>
          <cell r="C18911"/>
          <cell r="D18911"/>
          <cell r="E18911"/>
        </row>
        <row r="18912">
          <cell r="A18912"/>
          <cell r="B18912"/>
          <cell r="C18912"/>
          <cell r="D18912"/>
          <cell r="E18912"/>
        </row>
        <row r="18913">
          <cell r="A18913"/>
          <cell r="B18913"/>
          <cell r="C18913"/>
          <cell r="D18913"/>
          <cell r="E18913"/>
        </row>
        <row r="18914">
          <cell r="A18914"/>
          <cell r="B18914"/>
          <cell r="C18914"/>
          <cell r="D18914"/>
          <cell r="E18914"/>
        </row>
        <row r="18915">
          <cell r="A18915"/>
          <cell r="B18915"/>
          <cell r="C18915"/>
          <cell r="D18915"/>
          <cell r="E18915"/>
        </row>
        <row r="18916">
          <cell r="A18916"/>
          <cell r="B18916"/>
          <cell r="C18916"/>
          <cell r="D18916"/>
          <cell r="E18916"/>
        </row>
        <row r="18917">
          <cell r="A18917"/>
          <cell r="B18917"/>
          <cell r="C18917"/>
          <cell r="D18917"/>
          <cell r="E18917"/>
        </row>
        <row r="18918">
          <cell r="A18918"/>
          <cell r="B18918"/>
          <cell r="C18918"/>
          <cell r="D18918"/>
          <cell r="E18918"/>
        </row>
        <row r="18919">
          <cell r="A18919"/>
          <cell r="B18919"/>
          <cell r="C18919"/>
          <cell r="D18919"/>
          <cell r="E18919"/>
        </row>
        <row r="18920">
          <cell r="A18920"/>
          <cell r="B18920"/>
          <cell r="C18920"/>
          <cell r="D18920"/>
          <cell r="E18920"/>
        </row>
        <row r="18921">
          <cell r="A18921"/>
          <cell r="B18921"/>
          <cell r="C18921"/>
          <cell r="D18921"/>
          <cell r="E18921"/>
        </row>
        <row r="18922">
          <cell r="A18922"/>
          <cell r="B18922"/>
          <cell r="C18922"/>
          <cell r="D18922"/>
          <cell r="E18922"/>
        </row>
        <row r="18923">
          <cell r="A18923"/>
          <cell r="B18923"/>
          <cell r="C18923"/>
          <cell r="D18923"/>
          <cell r="E18923"/>
        </row>
        <row r="18924">
          <cell r="A18924"/>
          <cell r="B18924"/>
          <cell r="C18924"/>
          <cell r="D18924"/>
          <cell r="E18924"/>
        </row>
        <row r="18925">
          <cell r="A18925"/>
          <cell r="B18925"/>
          <cell r="C18925"/>
          <cell r="D18925"/>
          <cell r="E18925"/>
        </row>
        <row r="18926">
          <cell r="A18926"/>
          <cell r="B18926"/>
          <cell r="C18926"/>
          <cell r="D18926"/>
          <cell r="E18926"/>
        </row>
        <row r="18927">
          <cell r="A18927"/>
          <cell r="B18927"/>
          <cell r="C18927"/>
          <cell r="D18927"/>
          <cell r="E18927"/>
        </row>
        <row r="18928">
          <cell r="A18928"/>
          <cell r="B18928"/>
          <cell r="C18928"/>
          <cell r="D18928"/>
          <cell r="E18928"/>
        </row>
        <row r="18929">
          <cell r="A18929"/>
          <cell r="B18929"/>
          <cell r="C18929"/>
          <cell r="D18929"/>
          <cell r="E18929"/>
        </row>
        <row r="18930">
          <cell r="A18930"/>
          <cell r="B18930"/>
          <cell r="C18930"/>
          <cell r="D18930"/>
          <cell r="E18930"/>
        </row>
        <row r="18931">
          <cell r="A18931"/>
          <cell r="B18931"/>
          <cell r="C18931"/>
          <cell r="D18931"/>
          <cell r="E18931"/>
        </row>
        <row r="18932">
          <cell r="A18932"/>
          <cell r="B18932"/>
          <cell r="C18932"/>
          <cell r="D18932"/>
          <cell r="E18932"/>
        </row>
        <row r="18933">
          <cell r="A18933"/>
          <cell r="B18933"/>
          <cell r="C18933"/>
          <cell r="D18933"/>
          <cell r="E18933"/>
        </row>
        <row r="18934">
          <cell r="A18934"/>
          <cell r="B18934"/>
          <cell r="C18934"/>
          <cell r="D18934"/>
          <cell r="E18934"/>
        </row>
        <row r="18935">
          <cell r="A18935"/>
          <cell r="B18935"/>
          <cell r="C18935"/>
          <cell r="D18935"/>
          <cell r="E18935"/>
        </row>
        <row r="18936">
          <cell r="A18936"/>
          <cell r="B18936"/>
          <cell r="C18936"/>
          <cell r="D18936"/>
          <cell r="E18936"/>
        </row>
        <row r="18937">
          <cell r="A18937"/>
          <cell r="B18937"/>
          <cell r="C18937"/>
          <cell r="D18937"/>
          <cell r="E18937"/>
        </row>
        <row r="18938">
          <cell r="A18938"/>
          <cell r="B18938"/>
          <cell r="C18938"/>
          <cell r="D18938"/>
          <cell r="E18938"/>
        </row>
        <row r="18939">
          <cell r="A18939"/>
          <cell r="B18939"/>
          <cell r="C18939"/>
          <cell r="D18939"/>
          <cell r="E18939"/>
        </row>
        <row r="18940">
          <cell r="A18940"/>
          <cell r="B18940"/>
          <cell r="C18940"/>
          <cell r="D18940"/>
          <cell r="E18940"/>
        </row>
        <row r="18941">
          <cell r="A18941"/>
          <cell r="B18941"/>
          <cell r="C18941"/>
          <cell r="D18941"/>
          <cell r="E18941"/>
        </row>
        <row r="18942">
          <cell r="A18942"/>
          <cell r="B18942"/>
          <cell r="C18942"/>
          <cell r="D18942"/>
          <cell r="E18942"/>
        </row>
        <row r="18943">
          <cell r="A18943"/>
          <cell r="B18943"/>
          <cell r="C18943"/>
          <cell r="D18943"/>
          <cell r="E18943"/>
        </row>
        <row r="18944">
          <cell r="A18944"/>
          <cell r="B18944"/>
          <cell r="C18944"/>
          <cell r="D18944"/>
          <cell r="E18944"/>
        </row>
        <row r="18945">
          <cell r="A18945"/>
          <cell r="B18945"/>
          <cell r="C18945"/>
          <cell r="D18945"/>
          <cell r="E18945"/>
        </row>
        <row r="18946">
          <cell r="A18946"/>
          <cell r="B18946"/>
          <cell r="C18946"/>
          <cell r="D18946"/>
          <cell r="E18946"/>
        </row>
        <row r="18947">
          <cell r="A18947"/>
          <cell r="B18947"/>
          <cell r="C18947"/>
          <cell r="D18947"/>
          <cell r="E18947"/>
        </row>
        <row r="18948">
          <cell r="A18948"/>
          <cell r="B18948"/>
          <cell r="C18948"/>
          <cell r="D18948"/>
          <cell r="E18948"/>
        </row>
        <row r="18949">
          <cell r="A18949"/>
          <cell r="B18949"/>
          <cell r="C18949"/>
          <cell r="D18949"/>
          <cell r="E18949"/>
        </row>
        <row r="18950">
          <cell r="A18950"/>
          <cell r="B18950"/>
          <cell r="C18950"/>
          <cell r="D18950"/>
          <cell r="E18950"/>
        </row>
        <row r="18951">
          <cell r="A18951"/>
          <cell r="B18951"/>
          <cell r="C18951"/>
          <cell r="D18951"/>
          <cell r="E18951"/>
        </row>
        <row r="18952">
          <cell r="A18952"/>
          <cell r="B18952"/>
          <cell r="C18952"/>
          <cell r="D18952"/>
          <cell r="E18952"/>
        </row>
        <row r="18953">
          <cell r="A18953"/>
          <cell r="B18953"/>
          <cell r="C18953"/>
          <cell r="D18953"/>
          <cell r="E18953"/>
        </row>
        <row r="18954">
          <cell r="A18954"/>
          <cell r="B18954"/>
          <cell r="C18954"/>
          <cell r="D18954"/>
          <cell r="E18954"/>
        </row>
        <row r="18955">
          <cell r="A18955"/>
          <cell r="B18955"/>
          <cell r="C18955"/>
          <cell r="D18955"/>
          <cell r="E18955"/>
        </row>
        <row r="18956">
          <cell r="A18956"/>
          <cell r="B18956"/>
          <cell r="C18956"/>
          <cell r="D18956"/>
          <cell r="E18956"/>
        </row>
        <row r="18957">
          <cell r="A18957"/>
          <cell r="B18957"/>
          <cell r="C18957"/>
          <cell r="D18957"/>
          <cell r="E18957"/>
        </row>
        <row r="18958">
          <cell r="A18958"/>
          <cell r="B18958"/>
          <cell r="C18958"/>
          <cell r="D18958"/>
          <cell r="E18958"/>
        </row>
        <row r="18959">
          <cell r="A18959"/>
          <cell r="B18959"/>
          <cell r="C18959"/>
          <cell r="D18959"/>
          <cell r="E18959"/>
        </row>
        <row r="18960">
          <cell r="A18960"/>
          <cell r="B18960"/>
          <cell r="C18960"/>
          <cell r="D18960"/>
          <cell r="E18960"/>
        </row>
        <row r="18961">
          <cell r="A18961"/>
          <cell r="B18961"/>
          <cell r="C18961"/>
          <cell r="D18961"/>
          <cell r="E18961"/>
        </row>
        <row r="18962">
          <cell r="A18962"/>
          <cell r="B18962"/>
          <cell r="C18962"/>
          <cell r="D18962"/>
          <cell r="E18962"/>
        </row>
        <row r="18963">
          <cell r="A18963"/>
          <cell r="B18963"/>
          <cell r="C18963"/>
          <cell r="D18963"/>
          <cell r="E18963"/>
        </row>
        <row r="18964">
          <cell r="A18964"/>
          <cell r="B18964"/>
          <cell r="C18964"/>
          <cell r="D18964"/>
          <cell r="E18964"/>
        </row>
        <row r="18965">
          <cell r="A18965"/>
          <cell r="B18965"/>
          <cell r="C18965"/>
          <cell r="D18965"/>
          <cell r="E18965"/>
        </row>
        <row r="18966">
          <cell r="A18966"/>
          <cell r="B18966"/>
          <cell r="C18966"/>
          <cell r="D18966"/>
          <cell r="E18966"/>
        </row>
        <row r="18967">
          <cell r="A18967"/>
          <cell r="B18967"/>
          <cell r="C18967"/>
          <cell r="D18967"/>
          <cell r="E18967"/>
        </row>
        <row r="18968">
          <cell r="A18968"/>
          <cell r="B18968"/>
          <cell r="C18968"/>
          <cell r="D18968"/>
          <cell r="E18968"/>
        </row>
        <row r="18969">
          <cell r="A18969"/>
          <cell r="B18969"/>
          <cell r="C18969"/>
          <cell r="D18969"/>
          <cell r="E18969"/>
        </row>
        <row r="18970">
          <cell r="A18970"/>
          <cell r="B18970"/>
          <cell r="C18970"/>
          <cell r="D18970"/>
          <cell r="E18970"/>
        </row>
        <row r="18971">
          <cell r="A18971"/>
          <cell r="B18971"/>
          <cell r="C18971"/>
          <cell r="D18971"/>
          <cell r="E18971"/>
        </row>
        <row r="18972">
          <cell r="A18972"/>
          <cell r="B18972"/>
          <cell r="C18972"/>
          <cell r="D18972"/>
          <cell r="E18972"/>
        </row>
        <row r="18973">
          <cell r="A18973"/>
          <cell r="B18973"/>
          <cell r="C18973"/>
          <cell r="D18973"/>
          <cell r="E18973"/>
        </row>
        <row r="18974">
          <cell r="A18974"/>
          <cell r="B18974"/>
          <cell r="C18974"/>
          <cell r="D18974"/>
          <cell r="E18974"/>
        </row>
        <row r="18975">
          <cell r="A18975"/>
          <cell r="B18975"/>
          <cell r="C18975"/>
          <cell r="D18975"/>
          <cell r="E18975"/>
        </row>
        <row r="18976">
          <cell r="A18976"/>
          <cell r="B18976"/>
          <cell r="C18976"/>
          <cell r="D18976"/>
          <cell r="E18976"/>
        </row>
        <row r="18977">
          <cell r="A18977"/>
          <cell r="B18977"/>
          <cell r="C18977"/>
          <cell r="D18977"/>
          <cell r="E18977"/>
        </row>
        <row r="18978">
          <cell r="A18978"/>
          <cell r="B18978"/>
          <cell r="C18978"/>
          <cell r="D18978"/>
          <cell r="E18978"/>
        </row>
        <row r="18979">
          <cell r="A18979"/>
          <cell r="B18979"/>
          <cell r="C18979"/>
          <cell r="D18979"/>
          <cell r="E18979"/>
        </row>
        <row r="18980">
          <cell r="A18980"/>
          <cell r="B18980"/>
          <cell r="C18980"/>
          <cell r="D18980"/>
          <cell r="E18980"/>
        </row>
        <row r="18981">
          <cell r="A18981"/>
          <cell r="B18981"/>
          <cell r="C18981"/>
          <cell r="D18981"/>
          <cell r="E18981"/>
        </row>
        <row r="18982">
          <cell r="A18982"/>
          <cell r="B18982"/>
          <cell r="C18982"/>
          <cell r="D18982"/>
          <cell r="E18982"/>
        </row>
        <row r="18983">
          <cell r="A18983"/>
          <cell r="B18983"/>
          <cell r="C18983"/>
          <cell r="D18983"/>
          <cell r="E18983"/>
        </row>
        <row r="18984">
          <cell r="A18984"/>
          <cell r="B18984"/>
          <cell r="C18984"/>
          <cell r="D18984"/>
          <cell r="E18984"/>
        </row>
        <row r="18985">
          <cell r="A18985"/>
          <cell r="B18985"/>
          <cell r="C18985"/>
          <cell r="D18985"/>
          <cell r="E18985"/>
        </row>
        <row r="18986">
          <cell r="A18986"/>
          <cell r="B18986"/>
          <cell r="C18986"/>
          <cell r="D18986"/>
          <cell r="E18986"/>
        </row>
        <row r="18987">
          <cell r="A18987"/>
          <cell r="B18987"/>
          <cell r="C18987"/>
          <cell r="D18987"/>
          <cell r="E18987"/>
        </row>
        <row r="18988">
          <cell r="A18988"/>
          <cell r="B18988"/>
          <cell r="C18988"/>
          <cell r="D18988"/>
          <cell r="E18988"/>
        </row>
        <row r="18989">
          <cell r="A18989"/>
          <cell r="B18989"/>
          <cell r="C18989"/>
          <cell r="D18989"/>
          <cell r="E18989"/>
        </row>
        <row r="18990">
          <cell r="A18990"/>
          <cell r="B18990"/>
          <cell r="C18990"/>
          <cell r="D18990"/>
          <cell r="E18990"/>
        </row>
        <row r="18991">
          <cell r="A18991"/>
          <cell r="B18991"/>
          <cell r="C18991"/>
          <cell r="D18991"/>
          <cell r="E18991"/>
        </row>
        <row r="18992">
          <cell r="A18992"/>
          <cell r="B18992"/>
          <cell r="C18992"/>
          <cell r="D18992"/>
          <cell r="E18992"/>
        </row>
        <row r="18993">
          <cell r="A18993"/>
          <cell r="B18993"/>
          <cell r="C18993"/>
          <cell r="D18993"/>
          <cell r="E18993"/>
        </row>
        <row r="18994">
          <cell r="A18994"/>
          <cell r="B18994"/>
          <cell r="C18994"/>
          <cell r="D18994"/>
          <cell r="E18994"/>
        </row>
        <row r="18995">
          <cell r="A18995"/>
          <cell r="B18995"/>
          <cell r="C18995"/>
          <cell r="D18995"/>
          <cell r="E18995"/>
        </row>
        <row r="18996">
          <cell r="A18996"/>
          <cell r="B18996"/>
          <cell r="C18996"/>
          <cell r="D18996"/>
          <cell r="E18996"/>
        </row>
        <row r="18997">
          <cell r="A18997"/>
          <cell r="B18997"/>
          <cell r="C18997"/>
          <cell r="D18997"/>
          <cell r="E18997"/>
        </row>
        <row r="18998">
          <cell r="A18998"/>
          <cell r="B18998"/>
          <cell r="C18998"/>
          <cell r="D18998"/>
          <cell r="E18998"/>
        </row>
        <row r="18999">
          <cell r="A18999"/>
          <cell r="B18999"/>
          <cell r="C18999"/>
          <cell r="D18999"/>
          <cell r="E18999"/>
        </row>
        <row r="19000">
          <cell r="A19000"/>
          <cell r="B19000"/>
          <cell r="C19000"/>
          <cell r="D19000"/>
          <cell r="E19000"/>
        </row>
        <row r="19001">
          <cell r="A19001"/>
          <cell r="B19001"/>
          <cell r="C19001"/>
          <cell r="D19001"/>
          <cell r="E19001"/>
        </row>
        <row r="19002">
          <cell r="A19002"/>
          <cell r="B19002"/>
          <cell r="C19002"/>
          <cell r="D19002"/>
          <cell r="E19002"/>
        </row>
        <row r="19003">
          <cell r="A19003"/>
          <cell r="B19003"/>
          <cell r="C19003"/>
          <cell r="D19003"/>
          <cell r="E19003"/>
        </row>
        <row r="19004">
          <cell r="A19004"/>
          <cell r="B19004"/>
          <cell r="C19004"/>
          <cell r="D19004"/>
          <cell r="E19004"/>
        </row>
        <row r="19005">
          <cell r="A19005"/>
          <cell r="B19005"/>
          <cell r="C19005"/>
          <cell r="D19005"/>
          <cell r="E19005"/>
        </row>
        <row r="19006">
          <cell r="A19006"/>
          <cell r="B19006"/>
          <cell r="C19006"/>
          <cell r="D19006"/>
          <cell r="E19006"/>
        </row>
        <row r="19007">
          <cell r="A19007"/>
          <cell r="B19007"/>
          <cell r="C19007"/>
          <cell r="D19007"/>
          <cell r="E19007"/>
        </row>
        <row r="19008">
          <cell r="A19008"/>
          <cell r="B19008"/>
          <cell r="C19008"/>
          <cell r="D19008"/>
          <cell r="E19008"/>
        </row>
        <row r="19009">
          <cell r="A19009"/>
          <cell r="B19009"/>
          <cell r="C19009"/>
          <cell r="D19009"/>
          <cell r="E19009"/>
        </row>
        <row r="19010">
          <cell r="A19010"/>
          <cell r="B19010"/>
          <cell r="C19010"/>
          <cell r="D19010"/>
          <cell r="E19010"/>
        </row>
        <row r="19011">
          <cell r="A19011"/>
          <cell r="B19011"/>
          <cell r="C19011"/>
          <cell r="D19011"/>
          <cell r="E19011"/>
        </row>
        <row r="19012">
          <cell r="A19012"/>
          <cell r="B19012"/>
          <cell r="C19012"/>
          <cell r="D19012"/>
          <cell r="E19012"/>
        </row>
        <row r="19013">
          <cell r="A19013"/>
          <cell r="B19013"/>
          <cell r="C19013"/>
          <cell r="D19013"/>
          <cell r="E19013"/>
        </row>
        <row r="19014">
          <cell r="A19014"/>
          <cell r="B19014"/>
          <cell r="C19014"/>
          <cell r="D19014"/>
          <cell r="E19014"/>
        </row>
        <row r="19015">
          <cell r="A19015"/>
          <cell r="B19015"/>
          <cell r="C19015"/>
          <cell r="D19015"/>
          <cell r="E19015"/>
        </row>
        <row r="19016">
          <cell r="A19016"/>
          <cell r="B19016"/>
          <cell r="C19016"/>
          <cell r="D19016"/>
          <cell r="E19016"/>
        </row>
        <row r="19017">
          <cell r="A19017"/>
          <cell r="B19017"/>
          <cell r="C19017"/>
          <cell r="D19017"/>
          <cell r="E19017"/>
        </row>
        <row r="19018">
          <cell r="A19018"/>
          <cell r="B19018"/>
          <cell r="C19018"/>
          <cell r="D19018"/>
          <cell r="E19018"/>
        </row>
        <row r="19019">
          <cell r="A19019"/>
          <cell r="B19019"/>
          <cell r="C19019"/>
          <cell r="D19019"/>
          <cell r="E19019"/>
        </row>
        <row r="19020">
          <cell r="A19020"/>
          <cell r="B19020"/>
          <cell r="C19020"/>
          <cell r="D19020"/>
          <cell r="E19020"/>
        </row>
        <row r="19021">
          <cell r="A19021"/>
          <cell r="B19021"/>
          <cell r="C19021"/>
          <cell r="D19021"/>
          <cell r="E19021"/>
        </row>
        <row r="19022">
          <cell r="A19022"/>
          <cell r="B19022"/>
          <cell r="C19022"/>
          <cell r="D19022"/>
          <cell r="E19022"/>
        </row>
        <row r="19023">
          <cell r="A19023"/>
          <cell r="B19023"/>
          <cell r="C19023"/>
          <cell r="D19023"/>
          <cell r="E19023"/>
        </row>
        <row r="19024">
          <cell r="A19024"/>
          <cell r="B19024"/>
          <cell r="C19024"/>
          <cell r="D19024"/>
          <cell r="E19024"/>
        </row>
        <row r="19025">
          <cell r="A19025"/>
          <cell r="B19025"/>
          <cell r="C19025"/>
          <cell r="D19025"/>
          <cell r="E19025"/>
        </row>
        <row r="19026">
          <cell r="A19026"/>
          <cell r="B19026"/>
          <cell r="C19026"/>
          <cell r="D19026"/>
          <cell r="E19026"/>
        </row>
        <row r="19027">
          <cell r="A19027"/>
          <cell r="B19027"/>
          <cell r="C19027"/>
          <cell r="D19027"/>
          <cell r="E19027"/>
        </row>
        <row r="19028">
          <cell r="A19028"/>
          <cell r="B19028"/>
          <cell r="C19028"/>
          <cell r="D19028"/>
          <cell r="E19028"/>
        </row>
        <row r="19029">
          <cell r="A19029"/>
          <cell r="B19029"/>
          <cell r="C19029"/>
          <cell r="D19029"/>
          <cell r="E19029"/>
        </row>
        <row r="19030">
          <cell r="A19030"/>
          <cell r="B19030"/>
          <cell r="C19030"/>
          <cell r="D19030"/>
          <cell r="E19030"/>
        </row>
        <row r="19031">
          <cell r="A19031"/>
          <cell r="B19031"/>
          <cell r="C19031"/>
          <cell r="D19031"/>
          <cell r="E19031"/>
        </row>
        <row r="19032">
          <cell r="A19032"/>
          <cell r="B19032"/>
          <cell r="C19032"/>
          <cell r="D19032"/>
          <cell r="E19032"/>
        </row>
        <row r="19033">
          <cell r="A19033"/>
          <cell r="B19033"/>
          <cell r="C19033"/>
          <cell r="D19033"/>
          <cell r="E19033"/>
        </row>
        <row r="19034">
          <cell r="A19034"/>
          <cell r="B19034"/>
          <cell r="C19034"/>
          <cell r="D19034"/>
          <cell r="E19034"/>
        </row>
        <row r="19035">
          <cell r="A19035"/>
          <cell r="B19035"/>
          <cell r="C19035"/>
          <cell r="D19035"/>
          <cell r="E19035"/>
        </row>
        <row r="19036">
          <cell r="A19036"/>
          <cell r="B19036"/>
          <cell r="C19036"/>
          <cell r="D19036"/>
          <cell r="E19036"/>
        </row>
        <row r="19037">
          <cell r="A19037"/>
          <cell r="B19037"/>
          <cell r="C19037"/>
          <cell r="D19037"/>
          <cell r="E19037"/>
        </row>
        <row r="19038">
          <cell r="A19038"/>
          <cell r="B19038"/>
          <cell r="C19038"/>
          <cell r="D19038"/>
          <cell r="E19038"/>
        </row>
        <row r="19039">
          <cell r="A19039"/>
          <cell r="B19039"/>
          <cell r="C19039"/>
          <cell r="D19039"/>
          <cell r="E19039"/>
        </row>
        <row r="19040">
          <cell r="A19040"/>
          <cell r="B19040"/>
          <cell r="C19040"/>
          <cell r="D19040"/>
          <cell r="E19040"/>
        </row>
        <row r="19041">
          <cell r="A19041"/>
          <cell r="B19041"/>
          <cell r="C19041"/>
          <cell r="D19041"/>
          <cell r="E19041"/>
        </row>
        <row r="19042">
          <cell r="A19042"/>
          <cell r="B19042"/>
          <cell r="C19042"/>
          <cell r="D19042"/>
          <cell r="E19042"/>
        </row>
        <row r="19043">
          <cell r="A19043"/>
          <cell r="B19043"/>
          <cell r="C19043"/>
          <cell r="D19043"/>
          <cell r="E19043"/>
        </row>
        <row r="19044">
          <cell r="A19044"/>
          <cell r="B19044"/>
          <cell r="C19044"/>
          <cell r="D19044"/>
          <cell r="E19044"/>
        </row>
        <row r="19045">
          <cell r="A19045"/>
          <cell r="B19045"/>
          <cell r="C19045"/>
          <cell r="D19045"/>
          <cell r="E19045"/>
        </row>
        <row r="19046">
          <cell r="A19046"/>
          <cell r="B19046"/>
          <cell r="C19046"/>
          <cell r="D19046"/>
          <cell r="E19046"/>
        </row>
        <row r="19047">
          <cell r="A19047"/>
          <cell r="B19047"/>
          <cell r="C19047"/>
          <cell r="D19047"/>
          <cell r="E19047"/>
        </row>
        <row r="19048">
          <cell r="A19048"/>
          <cell r="B19048"/>
          <cell r="C19048"/>
          <cell r="D19048"/>
          <cell r="E19048"/>
        </row>
        <row r="19049">
          <cell r="A19049"/>
          <cell r="B19049"/>
          <cell r="C19049"/>
          <cell r="D19049"/>
          <cell r="E19049"/>
        </row>
        <row r="19050">
          <cell r="A19050"/>
          <cell r="B19050"/>
          <cell r="C19050"/>
          <cell r="D19050"/>
          <cell r="E19050"/>
        </row>
        <row r="19051">
          <cell r="A19051"/>
          <cell r="B19051"/>
          <cell r="C19051"/>
          <cell r="D19051"/>
          <cell r="E19051"/>
        </row>
        <row r="19052">
          <cell r="A19052"/>
          <cell r="B19052"/>
          <cell r="C19052"/>
          <cell r="D19052"/>
          <cell r="E19052"/>
        </row>
        <row r="19053">
          <cell r="A19053"/>
          <cell r="B19053"/>
          <cell r="C19053"/>
          <cell r="D19053"/>
          <cell r="E19053"/>
        </row>
        <row r="19054">
          <cell r="A19054"/>
          <cell r="B19054"/>
          <cell r="C19054"/>
          <cell r="D19054"/>
          <cell r="E19054"/>
        </row>
        <row r="19055">
          <cell r="A19055"/>
          <cell r="B19055"/>
          <cell r="C19055"/>
          <cell r="D19055"/>
          <cell r="E19055"/>
        </row>
        <row r="19056">
          <cell r="A19056"/>
          <cell r="B19056"/>
          <cell r="C19056"/>
          <cell r="D19056"/>
          <cell r="E19056"/>
        </row>
        <row r="19057">
          <cell r="A19057"/>
          <cell r="B19057"/>
          <cell r="C19057"/>
          <cell r="D19057"/>
          <cell r="E19057"/>
        </row>
        <row r="19058">
          <cell r="A19058"/>
          <cell r="B19058"/>
          <cell r="C19058"/>
          <cell r="D19058"/>
          <cell r="E19058"/>
        </row>
        <row r="19059">
          <cell r="A19059"/>
          <cell r="B19059"/>
          <cell r="C19059"/>
          <cell r="D19059"/>
          <cell r="E19059"/>
        </row>
        <row r="19060">
          <cell r="A19060"/>
          <cell r="B19060"/>
          <cell r="C19060"/>
          <cell r="D19060"/>
          <cell r="E19060"/>
        </row>
        <row r="19061">
          <cell r="A19061"/>
          <cell r="B19061"/>
          <cell r="C19061"/>
          <cell r="D19061"/>
          <cell r="E19061"/>
        </row>
        <row r="19062">
          <cell r="A19062"/>
          <cell r="B19062"/>
          <cell r="C19062"/>
          <cell r="D19062"/>
          <cell r="E19062"/>
        </row>
        <row r="19063">
          <cell r="A19063"/>
          <cell r="B19063"/>
          <cell r="C19063"/>
          <cell r="D19063"/>
          <cell r="E19063"/>
        </row>
        <row r="19064">
          <cell r="A19064"/>
          <cell r="B19064"/>
          <cell r="C19064"/>
          <cell r="D19064"/>
          <cell r="E19064"/>
        </row>
        <row r="19065">
          <cell r="A19065"/>
          <cell r="B19065"/>
          <cell r="C19065"/>
          <cell r="D19065"/>
          <cell r="E19065"/>
        </row>
        <row r="19066">
          <cell r="A19066"/>
          <cell r="B19066"/>
          <cell r="C19066"/>
          <cell r="D19066"/>
          <cell r="E19066"/>
        </row>
        <row r="19067">
          <cell r="A19067"/>
          <cell r="B19067"/>
          <cell r="C19067"/>
          <cell r="D19067"/>
          <cell r="E19067"/>
        </row>
        <row r="19068">
          <cell r="A19068"/>
          <cell r="B19068"/>
          <cell r="C19068"/>
          <cell r="D19068"/>
          <cell r="E19068"/>
        </row>
        <row r="19069">
          <cell r="A19069"/>
          <cell r="B19069"/>
          <cell r="C19069"/>
          <cell r="D19069"/>
          <cell r="E19069"/>
        </row>
        <row r="19070">
          <cell r="A19070"/>
          <cell r="B19070"/>
          <cell r="C19070"/>
          <cell r="D19070"/>
          <cell r="E19070"/>
        </row>
        <row r="19071">
          <cell r="A19071"/>
          <cell r="B19071"/>
          <cell r="C19071"/>
          <cell r="D19071"/>
          <cell r="E19071"/>
        </row>
        <row r="19072">
          <cell r="A19072"/>
          <cell r="B19072"/>
          <cell r="C19072"/>
          <cell r="D19072"/>
          <cell r="E19072"/>
        </row>
        <row r="19073">
          <cell r="A19073"/>
          <cell r="B19073"/>
          <cell r="C19073"/>
          <cell r="D19073"/>
          <cell r="E19073"/>
        </row>
        <row r="19074">
          <cell r="A19074"/>
          <cell r="B19074"/>
          <cell r="C19074"/>
          <cell r="D19074"/>
          <cell r="E19074"/>
        </row>
        <row r="19075">
          <cell r="A19075"/>
          <cell r="B19075"/>
          <cell r="C19075"/>
          <cell r="D19075"/>
          <cell r="E19075"/>
        </row>
        <row r="19076">
          <cell r="A19076"/>
          <cell r="B19076"/>
          <cell r="C19076"/>
          <cell r="D19076"/>
          <cell r="E19076"/>
        </row>
        <row r="19077">
          <cell r="A19077"/>
          <cell r="B19077"/>
          <cell r="C19077"/>
          <cell r="D19077"/>
          <cell r="E19077"/>
        </row>
        <row r="19078">
          <cell r="A19078"/>
          <cell r="B19078"/>
          <cell r="C19078"/>
          <cell r="D19078"/>
          <cell r="E19078"/>
        </row>
        <row r="19079">
          <cell r="A19079"/>
          <cell r="B19079"/>
          <cell r="C19079"/>
          <cell r="D19079"/>
          <cell r="E19079"/>
        </row>
        <row r="19080">
          <cell r="A19080"/>
          <cell r="B19080"/>
          <cell r="C19080"/>
          <cell r="D19080"/>
          <cell r="E19080"/>
        </row>
        <row r="19081">
          <cell r="A19081"/>
          <cell r="B19081"/>
          <cell r="C19081"/>
          <cell r="D19081"/>
          <cell r="E19081"/>
        </row>
        <row r="19082">
          <cell r="A19082"/>
          <cell r="B19082"/>
          <cell r="C19082"/>
          <cell r="D19082"/>
          <cell r="E19082"/>
        </row>
        <row r="19083">
          <cell r="A19083"/>
          <cell r="B19083"/>
          <cell r="C19083"/>
          <cell r="D19083"/>
          <cell r="E19083"/>
        </row>
        <row r="19084">
          <cell r="A19084"/>
          <cell r="B19084"/>
          <cell r="C19084"/>
          <cell r="D19084"/>
          <cell r="E19084"/>
        </row>
        <row r="19085">
          <cell r="A19085"/>
          <cell r="B19085"/>
          <cell r="C19085"/>
          <cell r="D19085"/>
          <cell r="E19085"/>
        </row>
        <row r="19086">
          <cell r="A19086"/>
          <cell r="B19086"/>
          <cell r="C19086"/>
          <cell r="D19086"/>
          <cell r="E19086"/>
        </row>
        <row r="19087">
          <cell r="A19087"/>
          <cell r="B19087"/>
          <cell r="C19087"/>
          <cell r="D19087"/>
          <cell r="E19087"/>
        </row>
        <row r="19088">
          <cell r="A19088"/>
          <cell r="B19088"/>
          <cell r="C19088"/>
          <cell r="D19088"/>
          <cell r="E19088"/>
        </row>
        <row r="19089">
          <cell r="A19089"/>
          <cell r="B19089"/>
          <cell r="C19089"/>
          <cell r="D19089"/>
          <cell r="E19089"/>
        </row>
        <row r="19090">
          <cell r="A19090"/>
          <cell r="B19090"/>
          <cell r="C19090"/>
          <cell r="D19090"/>
          <cell r="E19090"/>
        </row>
        <row r="19091">
          <cell r="A19091"/>
          <cell r="B19091"/>
          <cell r="C19091"/>
          <cell r="D19091"/>
          <cell r="E19091"/>
        </row>
        <row r="19092">
          <cell r="A19092"/>
          <cell r="B19092"/>
          <cell r="C19092"/>
          <cell r="D19092"/>
          <cell r="E19092"/>
        </row>
        <row r="19093">
          <cell r="A19093"/>
          <cell r="B19093"/>
          <cell r="C19093"/>
          <cell r="D19093"/>
          <cell r="E19093"/>
        </row>
        <row r="19094">
          <cell r="A19094"/>
          <cell r="B19094"/>
          <cell r="C19094"/>
          <cell r="D19094"/>
          <cell r="E19094"/>
        </row>
        <row r="19095">
          <cell r="A19095"/>
          <cell r="B19095"/>
          <cell r="C19095"/>
          <cell r="D19095"/>
          <cell r="E19095"/>
        </row>
        <row r="19096">
          <cell r="A19096"/>
          <cell r="B19096"/>
          <cell r="C19096"/>
          <cell r="D19096"/>
          <cell r="E19096"/>
        </row>
        <row r="19097">
          <cell r="A19097"/>
          <cell r="B19097"/>
          <cell r="C19097"/>
          <cell r="D19097"/>
          <cell r="E19097"/>
        </row>
        <row r="19098">
          <cell r="A19098"/>
          <cell r="B19098"/>
          <cell r="C19098"/>
          <cell r="D19098"/>
          <cell r="E19098"/>
        </row>
        <row r="19099">
          <cell r="A19099"/>
          <cell r="B19099"/>
          <cell r="C19099"/>
          <cell r="D19099"/>
          <cell r="E19099"/>
        </row>
        <row r="19100">
          <cell r="A19100"/>
          <cell r="B19100"/>
          <cell r="C19100"/>
          <cell r="D19100"/>
          <cell r="E19100"/>
        </row>
        <row r="19101">
          <cell r="A19101"/>
          <cell r="B19101"/>
          <cell r="C19101"/>
          <cell r="D19101"/>
          <cell r="E19101"/>
        </row>
        <row r="19102">
          <cell r="A19102"/>
          <cell r="B19102"/>
          <cell r="C19102"/>
          <cell r="D19102"/>
          <cell r="E19102"/>
        </row>
        <row r="19103">
          <cell r="A19103"/>
          <cell r="B19103"/>
          <cell r="C19103"/>
          <cell r="D19103"/>
          <cell r="E19103"/>
        </row>
        <row r="19104">
          <cell r="A19104"/>
          <cell r="B19104"/>
          <cell r="C19104"/>
          <cell r="D19104"/>
          <cell r="E19104"/>
        </row>
        <row r="19105">
          <cell r="A19105"/>
          <cell r="B19105"/>
          <cell r="C19105"/>
          <cell r="D19105"/>
          <cell r="E19105"/>
        </row>
        <row r="19106">
          <cell r="A19106"/>
          <cell r="B19106"/>
          <cell r="C19106"/>
          <cell r="D19106"/>
          <cell r="E19106"/>
        </row>
        <row r="19107">
          <cell r="A19107"/>
          <cell r="B19107"/>
          <cell r="C19107"/>
          <cell r="D19107"/>
          <cell r="E19107"/>
        </row>
        <row r="19108">
          <cell r="A19108"/>
          <cell r="B19108"/>
          <cell r="C19108"/>
          <cell r="D19108"/>
          <cell r="E19108"/>
        </row>
        <row r="19109">
          <cell r="A19109"/>
          <cell r="B19109"/>
          <cell r="C19109"/>
          <cell r="D19109"/>
          <cell r="E19109"/>
        </row>
        <row r="19110">
          <cell r="A19110"/>
          <cell r="B19110"/>
          <cell r="C19110"/>
          <cell r="D19110"/>
          <cell r="E19110"/>
        </row>
        <row r="19111">
          <cell r="A19111"/>
          <cell r="B19111"/>
          <cell r="C19111"/>
          <cell r="D19111"/>
          <cell r="E19111"/>
        </row>
        <row r="19112">
          <cell r="A19112"/>
          <cell r="B19112"/>
          <cell r="C19112"/>
          <cell r="D19112"/>
          <cell r="E19112"/>
        </row>
        <row r="19113">
          <cell r="A19113"/>
          <cell r="B19113"/>
          <cell r="C19113"/>
          <cell r="D19113"/>
          <cell r="E19113"/>
        </row>
        <row r="19114">
          <cell r="A19114"/>
          <cell r="B19114"/>
          <cell r="C19114"/>
          <cell r="D19114"/>
          <cell r="E19114"/>
        </row>
        <row r="19115">
          <cell r="A19115"/>
          <cell r="B19115"/>
          <cell r="C19115"/>
          <cell r="D19115"/>
          <cell r="E19115"/>
        </row>
        <row r="19116">
          <cell r="A19116"/>
          <cell r="B19116"/>
          <cell r="C19116"/>
          <cell r="D19116"/>
          <cell r="E19116"/>
        </row>
        <row r="19117">
          <cell r="A19117"/>
          <cell r="B19117"/>
          <cell r="C19117"/>
          <cell r="D19117"/>
          <cell r="E19117"/>
        </row>
        <row r="19118">
          <cell r="A19118"/>
          <cell r="B19118"/>
          <cell r="C19118"/>
          <cell r="D19118"/>
          <cell r="E19118"/>
        </row>
        <row r="19119">
          <cell r="A19119"/>
          <cell r="B19119"/>
          <cell r="C19119"/>
          <cell r="D19119"/>
          <cell r="E19119"/>
        </row>
        <row r="19120">
          <cell r="A19120"/>
          <cell r="B19120"/>
          <cell r="C19120"/>
          <cell r="D19120"/>
          <cell r="E19120"/>
        </row>
        <row r="19121">
          <cell r="A19121"/>
          <cell r="B19121"/>
          <cell r="C19121"/>
          <cell r="D19121"/>
          <cell r="E19121"/>
        </row>
        <row r="19122">
          <cell r="A19122"/>
          <cell r="B19122"/>
          <cell r="C19122"/>
          <cell r="D19122"/>
          <cell r="E19122"/>
        </row>
        <row r="19123">
          <cell r="A19123"/>
          <cell r="B19123"/>
          <cell r="C19123"/>
          <cell r="D19123"/>
          <cell r="E19123"/>
        </row>
        <row r="19124">
          <cell r="A19124"/>
          <cell r="B19124"/>
          <cell r="C19124"/>
          <cell r="D19124"/>
          <cell r="E19124"/>
        </row>
        <row r="19125">
          <cell r="A19125"/>
          <cell r="B19125"/>
          <cell r="C19125"/>
          <cell r="D19125"/>
          <cell r="E19125"/>
        </row>
        <row r="19126">
          <cell r="A19126"/>
          <cell r="B19126"/>
          <cell r="C19126"/>
          <cell r="D19126"/>
          <cell r="E19126"/>
        </row>
        <row r="19127">
          <cell r="A19127"/>
          <cell r="B19127"/>
          <cell r="C19127"/>
          <cell r="D19127"/>
          <cell r="E19127"/>
        </row>
        <row r="19128">
          <cell r="A19128"/>
          <cell r="B19128"/>
          <cell r="C19128"/>
          <cell r="D19128"/>
          <cell r="E19128"/>
        </row>
        <row r="19129">
          <cell r="A19129"/>
          <cell r="B19129"/>
          <cell r="C19129"/>
          <cell r="D19129"/>
          <cell r="E19129"/>
        </row>
        <row r="19130">
          <cell r="A19130"/>
          <cell r="B19130"/>
          <cell r="C19130"/>
          <cell r="D19130"/>
          <cell r="E19130"/>
        </row>
        <row r="19131">
          <cell r="A19131"/>
          <cell r="B19131"/>
          <cell r="C19131"/>
          <cell r="D19131"/>
          <cell r="E19131"/>
        </row>
        <row r="19132">
          <cell r="A19132"/>
          <cell r="B19132"/>
          <cell r="C19132"/>
          <cell r="D19132"/>
          <cell r="E19132"/>
        </row>
        <row r="19133">
          <cell r="A19133"/>
          <cell r="B19133"/>
          <cell r="C19133"/>
          <cell r="D19133"/>
          <cell r="E19133"/>
        </row>
        <row r="19134">
          <cell r="A19134"/>
          <cell r="B19134"/>
          <cell r="C19134"/>
          <cell r="D19134"/>
          <cell r="E19134"/>
        </row>
        <row r="19135">
          <cell r="A19135"/>
          <cell r="B19135"/>
          <cell r="C19135"/>
          <cell r="D19135"/>
          <cell r="E19135"/>
        </row>
        <row r="19136">
          <cell r="A19136"/>
          <cell r="B19136"/>
          <cell r="C19136"/>
          <cell r="D19136"/>
          <cell r="E19136"/>
        </row>
        <row r="19137">
          <cell r="A19137"/>
          <cell r="B19137"/>
          <cell r="C19137"/>
          <cell r="D19137"/>
          <cell r="E19137"/>
        </row>
        <row r="19138">
          <cell r="A19138"/>
          <cell r="B19138"/>
          <cell r="C19138"/>
          <cell r="D19138"/>
          <cell r="E19138"/>
        </row>
        <row r="19139">
          <cell r="A19139"/>
          <cell r="B19139"/>
          <cell r="C19139"/>
          <cell r="D19139"/>
          <cell r="E19139"/>
        </row>
        <row r="19140">
          <cell r="A19140"/>
          <cell r="B19140"/>
          <cell r="C19140"/>
          <cell r="D19140"/>
          <cell r="E19140"/>
        </row>
        <row r="19141">
          <cell r="A19141"/>
          <cell r="B19141"/>
          <cell r="C19141"/>
          <cell r="D19141"/>
          <cell r="E19141"/>
        </row>
        <row r="19142">
          <cell r="A19142"/>
          <cell r="B19142"/>
          <cell r="C19142"/>
          <cell r="D19142"/>
          <cell r="E19142"/>
        </row>
        <row r="19143">
          <cell r="A19143"/>
          <cell r="B19143"/>
          <cell r="C19143"/>
          <cell r="D19143"/>
          <cell r="E19143"/>
        </row>
        <row r="19144">
          <cell r="A19144"/>
          <cell r="B19144"/>
          <cell r="C19144"/>
          <cell r="D19144"/>
          <cell r="E19144"/>
        </row>
        <row r="19145">
          <cell r="A19145"/>
          <cell r="B19145"/>
          <cell r="C19145"/>
          <cell r="D19145"/>
          <cell r="E19145"/>
        </row>
        <row r="19146">
          <cell r="A19146"/>
          <cell r="B19146"/>
          <cell r="C19146"/>
          <cell r="D19146"/>
          <cell r="E19146"/>
        </row>
        <row r="19147">
          <cell r="A19147"/>
          <cell r="B19147"/>
          <cell r="C19147"/>
          <cell r="D19147"/>
          <cell r="E19147"/>
        </row>
        <row r="19148">
          <cell r="A19148"/>
          <cell r="B19148"/>
          <cell r="C19148"/>
          <cell r="D19148"/>
          <cell r="E19148"/>
        </row>
        <row r="19149">
          <cell r="A19149"/>
          <cell r="B19149"/>
          <cell r="C19149"/>
          <cell r="D19149"/>
          <cell r="E19149"/>
        </row>
        <row r="19150">
          <cell r="A19150"/>
          <cell r="B19150"/>
          <cell r="C19150"/>
          <cell r="D19150"/>
          <cell r="E19150"/>
        </row>
        <row r="19151">
          <cell r="A19151"/>
          <cell r="B19151"/>
          <cell r="C19151"/>
          <cell r="D19151"/>
          <cell r="E19151"/>
        </row>
        <row r="19152">
          <cell r="A19152"/>
          <cell r="B19152"/>
          <cell r="C19152"/>
          <cell r="D19152"/>
          <cell r="E19152"/>
        </row>
        <row r="19153">
          <cell r="A19153"/>
          <cell r="B19153"/>
          <cell r="C19153"/>
          <cell r="D19153"/>
          <cell r="E19153"/>
        </row>
        <row r="19154">
          <cell r="A19154"/>
          <cell r="B19154"/>
          <cell r="C19154"/>
          <cell r="D19154"/>
          <cell r="E19154"/>
        </row>
        <row r="19155">
          <cell r="A19155"/>
          <cell r="B19155"/>
          <cell r="C19155"/>
          <cell r="D19155"/>
          <cell r="E19155"/>
        </row>
        <row r="19156">
          <cell r="A19156"/>
          <cell r="B19156"/>
          <cell r="C19156"/>
          <cell r="D19156"/>
          <cell r="E19156"/>
        </row>
        <row r="19157">
          <cell r="A19157"/>
          <cell r="B19157"/>
          <cell r="C19157"/>
          <cell r="D19157"/>
          <cell r="E19157"/>
        </row>
        <row r="19158">
          <cell r="A19158"/>
          <cell r="B19158"/>
          <cell r="C19158"/>
          <cell r="D19158"/>
          <cell r="E19158"/>
        </row>
        <row r="19159">
          <cell r="A19159"/>
          <cell r="B19159"/>
          <cell r="C19159"/>
          <cell r="D19159"/>
          <cell r="E19159"/>
        </row>
        <row r="19160">
          <cell r="A19160"/>
          <cell r="B19160"/>
          <cell r="C19160"/>
          <cell r="D19160"/>
          <cell r="E19160"/>
        </row>
        <row r="19161">
          <cell r="A19161"/>
          <cell r="B19161"/>
          <cell r="C19161"/>
          <cell r="D19161"/>
          <cell r="E19161"/>
        </row>
        <row r="19162">
          <cell r="A19162"/>
          <cell r="B19162"/>
          <cell r="C19162"/>
          <cell r="D19162"/>
          <cell r="E19162"/>
        </row>
        <row r="19163">
          <cell r="A19163"/>
          <cell r="B19163"/>
          <cell r="C19163"/>
          <cell r="D19163"/>
          <cell r="E19163"/>
        </row>
        <row r="19164">
          <cell r="A19164"/>
          <cell r="B19164"/>
          <cell r="C19164"/>
          <cell r="D19164"/>
          <cell r="E19164"/>
        </row>
        <row r="19165">
          <cell r="A19165"/>
          <cell r="B19165"/>
          <cell r="C19165"/>
          <cell r="D19165"/>
          <cell r="E19165"/>
        </row>
        <row r="19166">
          <cell r="A19166"/>
          <cell r="B19166"/>
          <cell r="C19166"/>
          <cell r="D19166"/>
          <cell r="E19166"/>
        </row>
        <row r="19167">
          <cell r="A19167"/>
          <cell r="B19167"/>
          <cell r="C19167"/>
          <cell r="D19167"/>
          <cell r="E19167"/>
        </row>
        <row r="19168">
          <cell r="A19168"/>
          <cell r="B19168"/>
          <cell r="C19168"/>
          <cell r="D19168"/>
          <cell r="E19168"/>
        </row>
        <row r="19169">
          <cell r="A19169"/>
          <cell r="B19169"/>
          <cell r="C19169"/>
          <cell r="D19169"/>
          <cell r="E19169"/>
        </row>
        <row r="19170">
          <cell r="A19170"/>
          <cell r="B19170"/>
          <cell r="C19170"/>
          <cell r="D19170"/>
          <cell r="E19170"/>
        </row>
        <row r="19171">
          <cell r="A19171"/>
          <cell r="B19171"/>
          <cell r="C19171"/>
          <cell r="D19171"/>
          <cell r="E19171"/>
        </row>
        <row r="19172">
          <cell r="A19172"/>
          <cell r="B19172"/>
          <cell r="C19172"/>
          <cell r="D19172"/>
          <cell r="E19172"/>
        </row>
        <row r="19173">
          <cell r="A19173"/>
          <cell r="B19173"/>
          <cell r="C19173"/>
          <cell r="D19173"/>
          <cell r="E19173"/>
        </row>
        <row r="19174">
          <cell r="A19174"/>
          <cell r="B19174"/>
          <cell r="C19174"/>
          <cell r="D19174"/>
          <cell r="E19174"/>
        </row>
        <row r="19175">
          <cell r="A19175"/>
          <cell r="B19175"/>
          <cell r="C19175"/>
          <cell r="D19175"/>
          <cell r="E19175"/>
        </row>
        <row r="19176">
          <cell r="A19176"/>
          <cell r="B19176"/>
          <cell r="C19176"/>
          <cell r="D19176"/>
          <cell r="E19176"/>
        </row>
        <row r="19177">
          <cell r="A19177"/>
          <cell r="B19177"/>
          <cell r="C19177"/>
          <cell r="D19177"/>
          <cell r="E19177"/>
        </row>
        <row r="19178">
          <cell r="A19178"/>
          <cell r="B19178"/>
          <cell r="C19178"/>
          <cell r="D19178"/>
          <cell r="E19178"/>
        </row>
        <row r="19179">
          <cell r="A19179"/>
          <cell r="B19179"/>
          <cell r="C19179"/>
          <cell r="D19179"/>
          <cell r="E19179"/>
        </row>
        <row r="19180">
          <cell r="A19180"/>
          <cell r="B19180"/>
          <cell r="C19180"/>
          <cell r="D19180"/>
          <cell r="E19180"/>
        </row>
        <row r="19181">
          <cell r="A19181"/>
          <cell r="B19181"/>
          <cell r="C19181"/>
          <cell r="D19181"/>
          <cell r="E19181"/>
        </row>
        <row r="19182">
          <cell r="A19182"/>
          <cell r="B19182"/>
          <cell r="C19182"/>
          <cell r="D19182"/>
          <cell r="E19182"/>
        </row>
        <row r="19183">
          <cell r="A19183"/>
          <cell r="B19183"/>
          <cell r="C19183"/>
          <cell r="D19183"/>
          <cell r="E19183"/>
        </row>
        <row r="19184">
          <cell r="A19184"/>
          <cell r="B19184"/>
          <cell r="C19184"/>
          <cell r="D19184"/>
          <cell r="E19184"/>
        </row>
        <row r="19185">
          <cell r="A19185"/>
          <cell r="B19185"/>
          <cell r="C19185"/>
          <cell r="D19185"/>
          <cell r="E19185"/>
        </row>
        <row r="19186">
          <cell r="A19186"/>
          <cell r="B19186"/>
          <cell r="C19186"/>
          <cell r="D19186"/>
          <cell r="E19186"/>
        </row>
        <row r="19187">
          <cell r="A19187"/>
          <cell r="B19187"/>
          <cell r="C19187"/>
          <cell r="D19187"/>
          <cell r="E19187"/>
        </row>
        <row r="19188">
          <cell r="A19188"/>
          <cell r="B19188"/>
          <cell r="C19188"/>
          <cell r="D19188"/>
          <cell r="E19188"/>
        </row>
        <row r="19189">
          <cell r="A19189"/>
          <cell r="B19189"/>
          <cell r="C19189"/>
          <cell r="D19189"/>
          <cell r="E19189"/>
        </row>
        <row r="19190">
          <cell r="A19190"/>
          <cell r="B19190"/>
          <cell r="C19190"/>
          <cell r="D19190"/>
          <cell r="E19190"/>
        </row>
        <row r="19191">
          <cell r="A19191"/>
          <cell r="B19191"/>
          <cell r="C19191"/>
          <cell r="D19191"/>
          <cell r="E19191"/>
        </row>
        <row r="19192">
          <cell r="A19192"/>
          <cell r="B19192"/>
          <cell r="C19192"/>
          <cell r="D19192"/>
          <cell r="E19192"/>
        </row>
        <row r="19193">
          <cell r="A19193"/>
          <cell r="B19193"/>
          <cell r="C19193"/>
          <cell r="D19193"/>
          <cell r="E19193"/>
        </row>
        <row r="19194">
          <cell r="A19194"/>
          <cell r="B19194"/>
          <cell r="C19194"/>
          <cell r="D19194"/>
          <cell r="E19194"/>
        </row>
        <row r="19195">
          <cell r="A19195"/>
          <cell r="B19195"/>
          <cell r="C19195"/>
          <cell r="D19195"/>
          <cell r="E19195"/>
        </row>
        <row r="19196">
          <cell r="A19196"/>
          <cell r="B19196"/>
          <cell r="C19196"/>
          <cell r="D19196"/>
          <cell r="E19196"/>
        </row>
        <row r="19197">
          <cell r="A19197"/>
          <cell r="B19197"/>
          <cell r="C19197"/>
          <cell r="D19197"/>
          <cell r="E19197"/>
        </row>
        <row r="19198">
          <cell r="A19198"/>
          <cell r="B19198"/>
          <cell r="C19198"/>
          <cell r="D19198"/>
          <cell r="E19198"/>
        </row>
        <row r="19199">
          <cell r="A19199"/>
          <cell r="B19199"/>
          <cell r="C19199"/>
          <cell r="D19199"/>
          <cell r="E19199"/>
        </row>
        <row r="19200">
          <cell r="A19200"/>
          <cell r="B19200"/>
          <cell r="C19200"/>
          <cell r="D19200"/>
          <cell r="E19200"/>
        </row>
        <row r="19201">
          <cell r="A19201"/>
          <cell r="B19201"/>
          <cell r="C19201"/>
          <cell r="D19201"/>
          <cell r="E19201"/>
        </row>
        <row r="19202">
          <cell r="A19202"/>
          <cell r="B19202"/>
          <cell r="C19202"/>
          <cell r="D19202"/>
          <cell r="E19202"/>
        </row>
        <row r="19203">
          <cell r="A19203"/>
          <cell r="B19203"/>
          <cell r="C19203"/>
          <cell r="D19203"/>
          <cell r="E19203"/>
        </row>
        <row r="19204">
          <cell r="A19204"/>
          <cell r="B19204"/>
          <cell r="C19204"/>
          <cell r="D19204"/>
          <cell r="E19204"/>
        </row>
        <row r="19205">
          <cell r="A19205"/>
          <cell r="B19205"/>
          <cell r="C19205"/>
          <cell r="D19205"/>
          <cell r="E19205"/>
        </row>
        <row r="19206">
          <cell r="A19206"/>
          <cell r="B19206"/>
          <cell r="C19206"/>
          <cell r="D19206"/>
          <cell r="E19206"/>
        </row>
        <row r="19207">
          <cell r="A19207"/>
          <cell r="B19207"/>
          <cell r="C19207"/>
          <cell r="D19207"/>
          <cell r="E19207"/>
        </row>
        <row r="19208">
          <cell r="A19208"/>
          <cell r="B19208"/>
          <cell r="C19208"/>
          <cell r="D19208"/>
          <cell r="E19208"/>
        </row>
        <row r="19209">
          <cell r="A19209"/>
          <cell r="B19209"/>
          <cell r="C19209"/>
          <cell r="D19209"/>
          <cell r="E19209"/>
        </row>
        <row r="19210">
          <cell r="A19210"/>
          <cell r="B19210"/>
          <cell r="C19210"/>
          <cell r="D19210"/>
          <cell r="E19210"/>
        </row>
        <row r="19211">
          <cell r="A19211"/>
          <cell r="B19211"/>
          <cell r="C19211"/>
          <cell r="D19211"/>
          <cell r="E19211"/>
        </row>
        <row r="19212">
          <cell r="A19212"/>
          <cell r="B19212"/>
          <cell r="C19212"/>
          <cell r="D19212"/>
          <cell r="E19212"/>
        </row>
        <row r="19213">
          <cell r="A19213"/>
          <cell r="B19213"/>
          <cell r="C19213"/>
          <cell r="D19213"/>
          <cell r="E19213"/>
        </row>
        <row r="19214">
          <cell r="A19214"/>
          <cell r="B19214"/>
          <cell r="C19214"/>
          <cell r="D19214"/>
          <cell r="E19214"/>
        </row>
        <row r="19215">
          <cell r="A19215"/>
          <cell r="B19215"/>
          <cell r="C19215"/>
          <cell r="D19215"/>
          <cell r="E19215"/>
        </row>
        <row r="19216">
          <cell r="A19216"/>
          <cell r="B19216"/>
          <cell r="C19216"/>
          <cell r="D19216"/>
          <cell r="E19216"/>
        </row>
        <row r="19217">
          <cell r="A19217"/>
          <cell r="B19217"/>
          <cell r="C19217"/>
          <cell r="D19217"/>
          <cell r="E19217"/>
        </row>
        <row r="19218">
          <cell r="A19218"/>
          <cell r="B19218"/>
          <cell r="C19218"/>
          <cell r="D19218"/>
          <cell r="E19218"/>
        </row>
        <row r="19219">
          <cell r="A19219"/>
          <cell r="B19219"/>
          <cell r="C19219"/>
          <cell r="D19219"/>
          <cell r="E19219"/>
        </row>
        <row r="19220">
          <cell r="A19220"/>
          <cell r="B19220"/>
          <cell r="C19220"/>
          <cell r="D19220"/>
          <cell r="E19220"/>
        </row>
        <row r="19221">
          <cell r="A19221"/>
          <cell r="B19221"/>
          <cell r="C19221"/>
          <cell r="D19221"/>
          <cell r="E19221"/>
        </row>
        <row r="19222">
          <cell r="A19222"/>
          <cell r="B19222"/>
          <cell r="C19222"/>
          <cell r="D19222"/>
          <cell r="E19222"/>
        </row>
        <row r="19223">
          <cell r="A19223"/>
          <cell r="B19223"/>
          <cell r="C19223"/>
          <cell r="D19223"/>
          <cell r="E19223"/>
        </row>
        <row r="19224">
          <cell r="A19224"/>
          <cell r="B19224"/>
          <cell r="C19224"/>
          <cell r="D19224"/>
          <cell r="E19224"/>
        </row>
        <row r="19225">
          <cell r="A19225"/>
          <cell r="B19225"/>
          <cell r="C19225"/>
          <cell r="D19225"/>
          <cell r="E19225"/>
        </row>
        <row r="19226">
          <cell r="A19226"/>
          <cell r="B19226"/>
          <cell r="C19226"/>
          <cell r="D19226"/>
          <cell r="E19226"/>
        </row>
        <row r="19227">
          <cell r="A19227"/>
          <cell r="B19227"/>
          <cell r="C19227"/>
          <cell r="D19227"/>
          <cell r="E19227"/>
        </row>
        <row r="19228">
          <cell r="A19228"/>
          <cell r="B19228"/>
          <cell r="C19228"/>
          <cell r="D19228"/>
          <cell r="E19228"/>
        </row>
        <row r="19229">
          <cell r="A19229"/>
          <cell r="B19229"/>
          <cell r="C19229"/>
          <cell r="D19229"/>
          <cell r="E19229"/>
        </row>
        <row r="19230">
          <cell r="A19230"/>
          <cell r="B19230"/>
          <cell r="C19230"/>
          <cell r="D19230"/>
          <cell r="E19230"/>
        </row>
        <row r="19231">
          <cell r="A19231"/>
          <cell r="B19231"/>
          <cell r="C19231"/>
          <cell r="D19231"/>
          <cell r="E19231"/>
        </row>
        <row r="19232">
          <cell r="A19232"/>
          <cell r="B19232"/>
          <cell r="C19232"/>
          <cell r="D19232"/>
          <cell r="E19232"/>
        </row>
        <row r="19233">
          <cell r="A19233"/>
          <cell r="B19233"/>
          <cell r="C19233"/>
          <cell r="D19233"/>
          <cell r="E19233"/>
        </row>
        <row r="19234">
          <cell r="A19234"/>
          <cell r="B19234"/>
          <cell r="C19234"/>
          <cell r="D19234"/>
          <cell r="E19234"/>
        </row>
        <row r="19235">
          <cell r="A19235"/>
          <cell r="B19235"/>
          <cell r="C19235"/>
          <cell r="D19235"/>
          <cell r="E19235"/>
        </row>
        <row r="19236">
          <cell r="A19236"/>
          <cell r="B19236"/>
          <cell r="C19236"/>
          <cell r="D19236"/>
          <cell r="E19236"/>
        </row>
        <row r="19237">
          <cell r="A19237"/>
          <cell r="B19237"/>
          <cell r="C19237"/>
          <cell r="D19237"/>
          <cell r="E19237"/>
        </row>
        <row r="19238">
          <cell r="A19238"/>
          <cell r="B19238"/>
          <cell r="C19238"/>
          <cell r="D19238"/>
          <cell r="E19238"/>
        </row>
        <row r="19239">
          <cell r="A19239"/>
          <cell r="B19239"/>
          <cell r="C19239"/>
          <cell r="D19239"/>
          <cell r="E19239"/>
        </row>
        <row r="19240">
          <cell r="A19240"/>
          <cell r="B19240"/>
          <cell r="C19240"/>
          <cell r="D19240"/>
          <cell r="E19240"/>
        </row>
        <row r="19241">
          <cell r="A19241"/>
          <cell r="B19241"/>
          <cell r="C19241"/>
          <cell r="D19241"/>
          <cell r="E19241"/>
        </row>
        <row r="19242">
          <cell r="A19242"/>
          <cell r="B19242"/>
          <cell r="C19242"/>
          <cell r="D19242"/>
          <cell r="E19242"/>
        </row>
        <row r="19243">
          <cell r="A19243"/>
          <cell r="B19243"/>
          <cell r="C19243"/>
          <cell r="D19243"/>
          <cell r="E19243"/>
        </row>
        <row r="19244">
          <cell r="A19244"/>
          <cell r="B19244"/>
          <cell r="C19244"/>
          <cell r="D19244"/>
          <cell r="E19244"/>
        </row>
        <row r="19245">
          <cell r="A19245"/>
          <cell r="B19245"/>
          <cell r="C19245"/>
          <cell r="D19245"/>
          <cell r="E19245"/>
        </row>
        <row r="19246">
          <cell r="A19246"/>
          <cell r="B19246"/>
          <cell r="C19246"/>
          <cell r="D19246"/>
          <cell r="E19246"/>
        </row>
        <row r="19247">
          <cell r="A19247"/>
          <cell r="B19247"/>
          <cell r="C19247"/>
          <cell r="D19247"/>
          <cell r="E19247"/>
        </row>
        <row r="19248">
          <cell r="A19248"/>
          <cell r="B19248"/>
          <cell r="C19248"/>
          <cell r="D19248"/>
          <cell r="E19248"/>
        </row>
        <row r="19249">
          <cell r="A19249"/>
          <cell r="B19249"/>
          <cell r="C19249"/>
          <cell r="D19249"/>
          <cell r="E19249"/>
        </row>
        <row r="19250">
          <cell r="A19250"/>
          <cell r="B19250"/>
          <cell r="C19250"/>
          <cell r="D19250"/>
          <cell r="E19250"/>
        </row>
        <row r="19251">
          <cell r="A19251"/>
          <cell r="B19251"/>
          <cell r="C19251"/>
          <cell r="D19251"/>
          <cell r="E19251"/>
        </row>
        <row r="19252">
          <cell r="A19252"/>
          <cell r="B19252"/>
          <cell r="C19252"/>
          <cell r="D19252"/>
          <cell r="E19252"/>
        </row>
        <row r="19253">
          <cell r="A19253"/>
          <cell r="B19253"/>
          <cell r="C19253"/>
          <cell r="D19253"/>
          <cell r="E19253"/>
        </row>
        <row r="19254">
          <cell r="A19254"/>
          <cell r="B19254"/>
          <cell r="C19254"/>
          <cell r="D19254"/>
          <cell r="E19254"/>
        </row>
        <row r="19255">
          <cell r="A19255"/>
          <cell r="B19255"/>
          <cell r="C19255"/>
          <cell r="D19255"/>
          <cell r="E19255"/>
        </row>
        <row r="19256">
          <cell r="A19256"/>
          <cell r="B19256"/>
          <cell r="C19256"/>
          <cell r="D19256"/>
          <cell r="E19256"/>
        </row>
        <row r="19257">
          <cell r="A19257"/>
          <cell r="B19257"/>
          <cell r="C19257"/>
          <cell r="D19257"/>
          <cell r="E19257"/>
        </row>
        <row r="19258">
          <cell r="A19258"/>
          <cell r="B19258"/>
          <cell r="C19258"/>
          <cell r="D19258"/>
          <cell r="E19258"/>
        </row>
        <row r="19259">
          <cell r="A19259"/>
          <cell r="B19259"/>
          <cell r="C19259"/>
          <cell r="D19259"/>
          <cell r="E19259"/>
        </row>
        <row r="19260">
          <cell r="A19260"/>
          <cell r="B19260"/>
          <cell r="C19260"/>
          <cell r="D19260"/>
          <cell r="E19260"/>
        </row>
        <row r="19261">
          <cell r="A19261"/>
          <cell r="B19261"/>
          <cell r="C19261"/>
          <cell r="D19261"/>
          <cell r="E19261"/>
        </row>
        <row r="19262">
          <cell r="A19262"/>
          <cell r="B19262"/>
          <cell r="C19262"/>
          <cell r="D19262"/>
          <cell r="E19262"/>
        </row>
        <row r="19263">
          <cell r="A19263"/>
          <cell r="B19263"/>
          <cell r="C19263"/>
          <cell r="D19263"/>
          <cell r="E19263"/>
        </row>
        <row r="19264">
          <cell r="A19264"/>
          <cell r="B19264"/>
          <cell r="C19264"/>
          <cell r="D19264"/>
          <cell r="E19264"/>
        </row>
        <row r="19265">
          <cell r="A19265"/>
          <cell r="B19265"/>
          <cell r="C19265"/>
          <cell r="D19265"/>
          <cell r="E19265"/>
        </row>
        <row r="19266">
          <cell r="A19266"/>
          <cell r="B19266"/>
          <cell r="C19266"/>
          <cell r="D19266"/>
          <cell r="E19266"/>
        </row>
        <row r="19267">
          <cell r="A19267"/>
          <cell r="B19267"/>
          <cell r="C19267"/>
          <cell r="D19267"/>
          <cell r="E19267"/>
        </row>
        <row r="19268">
          <cell r="A19268"/>
          <cell r="B19268"/>
          <cell r="C19268"/>
          <cell r="D19268"/>
          <cell r="E19268"/>
        </row>
        <row r="19269">
          <cell r="A19269"/>
          <cell r="B19269"/>
          <cell r="C19269"/>
          <cell r="D19269"/>
          <cell r="E19269"/>
        </row>
        <row r="19270">
          <cell r="A19270"/>
          <cell r="B19270"/>
          <cell r="C19270"/>
          <cell r="D19270"/>
          <cell r="E19270"/>
        </row>
        <row r="19271">
          <cell r="A19271"/>
          <cell r="B19271"/>
          <cell r="C19271"/>
          <cell r="D19271"/>
          <cell r="E19271"/>
        </row>
        <row r="19272">
          <cell r="A19272"/>
          <cell r="B19272"/>
          <cell r="C19272"/>
          <cell r="D19272"/>
          <cell r="E19272"/>
        </row>
        <row r="19273">
          <cell r="A19273"/>
          <cell r="B19273"/>
          <cell r="C19273"/>
          <cell r="D19273"/>
          <cell r="E19273"/>
        </row>
        <row r="19274">
          <cell r="A19274"/>
          <cell r="B19274"/>
          <cell r="C19274"/>
          <cell r="D19274"/>
          <cell r="E19274"/>
        </row>
        <row r="19275">
          <cell r="A19275"/>
          <cell r="B19275"/>
          <cell r="C19275"/>
          <cell r="D19275"/>
          <cell r="E19275"/>
        </row>
        <row r="19276">
          <cell r="A19276"/>
          <cell r="B19276"/>
          <cell r="C19276"/>
          <cell r="D19276"/>
          <cell r="E19276"/>
        </row>
        <row r="19277">
          <cell r="A19277"/>
          <cell r="B19277"/>
          <cell r="C19277"/>
          <cell r="D19277"/>
          <cell r="E19277"/>
        </row>
        <row r="19278">
          <cell r="A19278"/>
          <cell r="B19278"/>
          <cell r="C19278"/>
          <cell r="D19278"/>
          <cell r="E19278"/>
        </row>
        <row r="19279">
          <cell r="A19279"/>
          <cell r="B19279"/>
          <cell r="C19279"/>
          <cell r="D19279"/>
          <cell r="E19279"/>
        </row>
        <row r="19280">
          <cell r="A19280"/>
          <cell r="B19280"/>
          <cell r="C19280"/>
          <cell r="D19280"/>
          <cell r="E19280"/>
        </row>
        <row r="19281">
          <cell r="A19281"/>
          <cell r="B19281"/>
          <cell r="C19281"/>
          <cell r="D19281"/>
          <cell r="E19281"/>
        </row>
        <row r="19282">
          <cell r="A19282"/>
          <cell r="B19282"/>
          <cell r="C19282"/>
          <cell r="D19282"/>
          <cell r="E19282"/>
        </row>
        <row r="19283">
          <cell r="A19283"/>
          <cell r="B19283"/>
          <cell r="C19283"/>
          <cell r="D19283"/>
          <cell r="E19283"/>
        </row>
        <row r="19284">
          <cell r="A19284"/>
          <cell r="B19284"/>
          <cell r="C19284"/>
          <cell r="D19284"/>
          <cell r="E19284"/>
        </row>
        <row r="19285">
          <cell r="A19285"/>
          <cell r="B19285"/>
          <cell r="C19285"/>
          <cell r="D19285"/>
          <cell r="E19285"/>
        </row>
        <row r="19286">
          <cell r="A19286"/>
          <cell r="B19286"/>
          <cell r="C19286"/>
          <cell r="D19286"/>
          <cell r="E19286"/>
        </row>
        <row r="19287">
          <cell r="A19287"/>
          <cell r="B19287"/>
          <cell r="C19287"/>
          <cell r="D19287"/>
          <cell r="E19287"/>
        </row>
        <row r="19288">
          <cell r="A19288"/>
          <cell r="B19288"/>
          <cell r="C19288"/>
          <cell r="D19288"/>
          <cell r="E19288"/>
        </row>
        <row r="19289">
          <cell r="A19289"/>
          <cell r="B19289"/>
          <cell r="C19289"/>
          <cell r="D19289"/>
          <cell r="E19289"/>
        </row>
        <row r="19290">
          <cell r="A19290"/>
          <cell r="B19290"/>
          <cell r="C19290"/>
          <cell r="D19290"/>
          <cell r="E19290"/>
        </row>
        <row r="19291">
          <cell r="A19291"/>
          <cell r="B19291"/>
          <cell r="C19291"/>
          <cell r="D19291"/>
          <cell r="E19291"/>
        </row>
        <row r="19292">
          <cell r="A19292"/>
          <cell r="B19292"/>
          <cell r="C19292"/>
          <cell r="D19292"/>
          <cell r="E19292"/>
        </row>
        <row r="19293">
          <cell r="A19293"/>
          <cell r="B19293"/>
          <cell r="C19293"/>
          <cell r="D19293"/>
          <cell r="E19293"/>
        </row>
        <row r="19294">
          <cell r="A19294"/>
          <cell r="B19294"/>
          <cell r="C19294"/>
          <cell r="D19294"/>
          <cell r="E19294"/>
        </row>
        <row r="19295">
          <cell r="A19295"/>
          <cell r="B19295"/>
          <cell r="C19295"/>
          <cell r="D19295"/>
          <cell r="E19295"/>
        </row>
        <row r="19296">
          <cell r="A19296"/>
          <cell r="B19296"/>
          <cell r="C19296"/>
          <cell r="D19296"/>
          <cell r="E19296"/>
        </row>
        <row r="19297">
          <cell r="A19297"/>
          <cell r="B19297"/>
          <cell r="C19297"/>
          <cell r="D19297"/>
          <cell r="E19297"/>
        </row>
        <row r="19298">
          <cell r="A19298"/>
          <cell r="B19298"/>
          <cell r="C19298"/>
          <cell r="D19298"/>
          <cell r="E19298"/>
        </row>
        <row r="19299">
          <cell r="A19299"/>
          <cell r="B19299"/>
          <cell r="C19299"/>
          <cell r="D19299"/>
          <cell r="E19299"/>
        </row>
        <row r="19300">
          <cell r="A19300"/>
          <cell r="B19300"/>
          <cell r="C19300"/>
          <cell r="D19300"/>
          <cell r="E19300"/>
        </row>
        <row r="19301">
          <cell r="A19301"/>
          <cell r="B19301"/>
          <cell r="C19301"/>
          <cell r="D19301"/>
          <cell r="E19301"/>
        </row>
        <row r="19302">
          <cell r="A19302"/>
          <cell r="B19302"/>
          <cell r="C19302"/>
          <cell r="D19302"/>
          <cell r="E19302"/>
        </row>
        <row r="19303">
          <cell r="A19303"/>
          <cell r="B19303"/>
          <cell r="C19303"/>
          <cell r="D19303"/>
          <cell r="E19303"/>
        </row>
        <row r="19304">
          <cell r="A19304"/>
          <cell r="B19304"/>
          <cell r="C19304"/>
          <cell r="D19304"/>
          <cell r="E19304"/>
        </row>
        <row r="19305">
          <cell r="A19305"/>
          <cell r="B19305"/>
          <cell r="C19305"/>
          <cell r="D19305"/>
          <cell r="E19305"/>
        </row>
        <row r="19306">
          <cell r="A19306"/>
          <cell r="B19306"/>
          <cell r="C19306"/>
          <cell r="D19306"/>
          <cell r="E19306"/>
        </row>
        <row r="19307">
          <cell r="A19307"/>
          <cell r="B19307"/>
          <cell r="C19307"/>
          <cell r="D19307"/>
          <cell r="E19307"/>
        </row>
        <row r="19308">
          <cell r="A19308"/>
          <cell r="B19308"/>
          <cell r="C19308"/>
          <cell r="D19308"/>
          <cell r="E19308"/>
        </row>
        <row r="19309">
          <cell r="A19309"/>
          <cell r="B19309"/>
          <cell r="C19309"/>
          <cell r="D19309"/>
          <cell r="E19309"/>
        </row>
        <row r="19310">
          <cell r="A19310"/>
          <cell r="B19310"/>
          <cell r="C19310"/>
          <cell r="D19310"/>
          <cell r="E19310"/>
        </row>
        <row r="19311">
          <cell r="A19311"/>
          <cell r="B19311"/>
          <cell r="C19311"/>
          <cell r="D19311"/>
          <cell r="E19311"/>
        </row>
        <row r="19312">
          <cell r="A19312"/>
          <cell r="B19312"/>
          <cell r="C19312"/>
          <cell r="D19312"/>
          <cell r="E19312"/>
        </row>
        <row r="19313">
          <cell r="A19313"/>
          <cell r="B19313"/>
          <cell r="C19313"/>
          <cell r="D19313"/>
          <cell r="E19313"/>
        </row>
        <row r="19314">
          <cell r="A19314"/>
          <cell r="B19314"/>
          <cell r="C19314"/>
          <cell r="D19314"/>
          <cell r="E19314"/>
        </row>
        <row r="19315">
          <cell r="A19315"/>
          <cell r="B19315"/>
          <cell r="C19315"/>
          <cell r="D19315"/>
          <cell r="E19315"/>
        </row>
        <row r="19316">
          <cell r="A19316"/>
          <cell r="B19316"/>
          <cell r="C19316"/>
          <cell r="D19316"/>
          <cell r="E19316"/>
        </row>
        <row r="19317">
          <cell r="A19317"/>
          <cell r="B19317"/>
          <cell r="C19317"/>
          <cell r="D19317"/>
          <cell r="E19317"/>
        </row>
        <row r="19318">
          <cell r="A19318"/>
          <cell r="B19318"/>
          <cell r="C19318"/>
          <cell r="D19318"/>
          <cell r="E19318"/>
        </row>
        <row r="19319">
          <cell r="A19319"/>
          <cell r="B19319"/>
          <cell r="C19319"/>
          <cell r="D19319"/>
          <cell r="E19319"/>
        </row>
        <row r="19320">
          <cell r="A19320"/>
          <cell r="B19320"/>
          <cell r="C19320"/>
          <cell r="D19320"/>
          <cell r="E19320"/>
        </row>
        <row r="19321">
          <cell r="A19321"/>
          <cell r="B19321"/>
          <cell r="C19321"/>
          <cell r="D19321"/>
          <cell r="E19321"/>
        </row>
        <row r="19322">
          <cell r="A19322"/>
          <cell r="B19322"/>
          <cell r="C19322"/>
          <cell r="D19322"/>
          <cell r="E19322"/>
        </row>
        <row r="19323">
          <cell r="A19323"/>
          <cell r="B19323"/>
          <cell r="C19323"/>
          <cell r="D19323"/>
          <cell r="E19323"/>
        </row>
        <row r="19324">
          <cell r="A19324"/>
          <cell r="B19324"/>
          <cell r="C19324"/>
          <cell r="D19324"/>
          <cell r="E19324"/>
        </row>
        <row r="19325">
          <cell r="A19325"/>
          <cell r="B19325"/>
          <cell r="C19325"/>
          <cell r="D19325"/>
          <cell r="E19325"/>
        </row>
        <row r="19326">
          <cell r="A19326"/>
          <cell r="B19326"/>
          <cell r="C19326"/>
          <cell r="D19326"/>
          <cell r="E19326"/>
        </row>
        <row r="19327">
          <cell r="A19327"/>
          <cell r="B19327"/>
          <cell r="C19327"/>
          <cell r="D19327"/>
          <cell r="E19327"/>
        </row>
        <row r="19328">
          <cell r="A19328"/>
          <cell r="B19328"/>
          <cell r="C19328"/>
          <cell r="D19328"/>
          <cell r="E19328"/>
        </row>
        <row r="19329">
          <cell r="A19329"/>
          <cell r="B19329"/>
          <cell r="C19329"/>
          <cell r="D19329"/>
          <cell r="E19329"/>
        </row>
        <row r="19330">
          <cell r="A19330"/>
          <cell r="B19330"/>
          <cell r="C19330"/>
          <cell r="D19330"/>
          <cell r="E19330"/>
        </row>
        <row r="19331">
          <cell r="A19331"/>
          <cell r="B19331"/>
          <cell r="C19331"/>
          <cell r="D19331"/>
          <cell r="E19331"/>
        </row>
        <row r="19332">
          <cell r="A19332"/>
          <cell r="B19332"/>
          <cell r="C19332"/>
          <cell r="D19332"/>
          <cell r="E19332"/>
        </row>
        <row r="19333">
          <cell r="A19333"/>
          <cell r="B19333"/>
          <cell r="C19333"/>
          <cell r="D19333"/>
          <cell r="E19333"/>
        </row>
        <row r="19334">
          <cell r="A19334"/>
          <cell r="B19334"/>
          <cell r="C19334"/>
          <cell r="D19334"/>
          <cell r="E19334"/>
        </row>
        <row r="19335">
          <cell r="A19335"/>
          <cell r="B19335"/>
          <cell r="C19335"/>
          <cell r="D19335"/>
          <cell r="E19335"/>
        </row>
        <row r="19336">
          <cell r="A19336"/>
          <cell r="B19336"/>
          <cell r="C19336"/>
          <cell r="D19336"/>
          <cell r="E19336"/>
        </row>
        <row r="19337">
          <cell r="A19337"/>
          <cell r="B19337"/>
          <cell r="C19337"/>
          <cell r="D19337"/>
          <cell r="E19337"/>
        </row>
        <row r="19338">
          <cell r="A19338"/>
          <cell r="B19338"/>
          <cell r="C19338"/>
          <cell r="D19338"/>
          <cell r="E19338"/>
        </row>
        <row r="19339">
          <cell r="A19339"/>
          <cell r="B19339"/>
          <cell r="C19339"/>
          <cell r="D19339"/>
          <cell r="E19339"/>
        </row>
        <row r="19340">
          <cell r="A19340"/>
          <cell r="B19340"/>
          <cell r="C19340"/>
          <cell r="D19340"/>
          <cell r="E19340"/>
        </row>
        <row r="19341">
          <cell r="A19341"/>
          <cell r="B19341"/>
          <cell r="C19341"/>
          <cell r="D19341"/>
          <cell r="E19341"/>
        </row>
        <row r="19342">
          <cell r="A19342"/>
          <cell r="B19342"/>
          <cell r="C19342"/>
          <cell r="D19342"/>
          <cell r="E19342"/>
        </row>
        <row r="19343">
          <cell r="A19343"/>
          <cell r="B19343"/>
          <cell r="C19343"/>
          <cell r="D19343"/>
          <cell r="E19343"/>
        </row>
        <row r="19344">
          <cell r="A19344"/>
          <cell r="B19344"/>
          <cell r="C19344"/>
          <cell r="D19344"/>
          <cell r="E19344"/>
        </row>
        <row r="19345">
          <cell r="A19345"/>
          <cell r="B19345"/>
          <cell r="C19345"/>
          <cell r="D19345"/>
          <cell r="E19345"/>
        </row>
        <row r="19346">
          <cell r="A19346"/>
          <cell r="B19346"/>
          <cell r="C19346"/>
          <cell r="D19346"/>
          <cell r="E19346"/>
        </row>
        <row r="19347">
          <cell r="A19347"/>
          <cell r="B19347"/>
          <cell r="C19347"/>
          <cell r="D19347"/>
          <cell r="E19347"/>
        </row>
        <row r="19348">
          <cell r="A19348"/>
          <cell r="B19348"/>
          <cell r="C19348"/>
          <cell r="D19348"/>
          <cell r="E19348"/>
        </row>
        <row r="19349">
          <cell r="A19349"/>
          <cell r="B19349"/>
          <cell r="C19349"/>
          <cell r="D19349"/>
          <cell r="E19349"/>
        </row>
        <row r="19350">
          <cell r="A19350"/>
          <cell r="B19350"/>
          <cell r="C19350"/>
          <cell r="D19350"/>
          <cell r="E19350"/>
        </row>
        <row r="19351">
          <cell r="A19351"/>
          <cell r="B19351"/>
          <cell r="C19351"/>
          <cell r="D19351"/>
          <cell r="E19351"/>
        </row>
        <row r="19352">
          <cell r="A19352"/>
          <cell r="B19352"/>
          <cell r="C19352"/>
          <cell r="D19352"/>
          <cell r="E19352"/>
        </row>
        <row r="19353">
          <cell r="A19353"/>
          <cell r="B19353"/>
          <cell r="C19353"/>
          <cell r="D19353"/>
          <cell r="E19353"/>
        </row>
        <row r="19354">
          <cell r="A19354"/>
          <cell r="B19354"/>
          <cell r="C19354"/>
          <cell r="D19354"/>
          <cell r="E19354"/>
        </row>
        <row r="19355">
          <cell r="A19355"/>
          <cell r="B19355"/>
          <cell r="C19355"/>
          <cell r="D19355"/>
          <cell r="E19355"/>
        </row>
        <row r="19356">
          <cell r="A19356"/>
          <cell r="B19356"/>
          <cell r="C19356"/>
          <cell r="D19356"/>
          <cell r="E19356"/>
        </row>
        <row r="19357">
          <cell r="A19357"/>
          <cell r="B19357"/>
          <cell r="C19357"/>
          <cell r="D19357"/>
          <cell r="E19357"/>
        </row>
        <row r="19358">
          <cell r="A19358"/>
          <cell r="B19358"/>
          <cell r="C19358"/>
          <cell r="D19358"/>
          <cell r="E19358"/>
        </row>
        <row r="19359">
          <cell r="A19359"/>
          <cell r="B19359"/>
          <cell r="C19359"/>
          <cell r="D19359"/>
          <cell r="E19359"/>
        </row>
        <row r="19360">
          <cell r="A19360"/>
          <cell r="B19360"/>
          <cell r="C19360"/>
          <cell r="D19360"/>
          <cell r="E19360"/>
        </row>
        <row r="19361">
          <cell r="A19361"/>
          <cell r="B19361"/>
          <cell r="C19361"/>
          <cell r="D19361"/>
          <cell r="E19361"/>
        </row>
        <row r="19362">
          <cell r="A19362"/>
          <cell r="B19362"/>
          <cell r="C19362"/>
          <cell r="D19362"/>
          <cell r="E19362"/>
        </row>
        <row r="19363">
          <cell r="A19363"/>
          <cell r="B19363"/>
          <cell r="C19363"/>
          <cell r="D19363"/>
          <cell r="E19363"/>
        </row>
        <row r="19364">
          <cell r="A19364"/>
          <cell r="B19364"/>
          <cell r="C19364"/>
          <cell r="D19364"/>
          <cell r="E19364"/>
        </row>
        <row r="19365">
          <cell r="A19365"/>
          <cell r="B19365"/>
          <cell r="C19365"/>
          <cell r="D19365"/>
          <cell r="E19365"/>
        </row>
        <row r="19366">
          <cell r="A19366"/>
          <cell r="B19366"/>
          <cell r="C19366"/>
          <cell r="D19366"/>
          <cell r="E19366"/>
        </row>
        <row r="19367">
          <cell r="A19367"/>
          <cell r="B19367"/>
          <cell r="C19367"/>
          <cell r="D19367"/>
          <cell r="E19367"/>
        </row>
        <row r="19368">
          <cell r="A19368"/>
          <cell r="B19368"/>
          <cell r="C19368"/>
          <cell r="D19368"/>
          <cell r="E19368"/>
        </row>
        <row r="19369">
          <cell r="A19369"/>
          <cell r="B19369"/>
          <cell r="C19369"/>
          <cell r="D19369"/>
          <cell r="E19369"/>
        </row>
        <row r="19370">
          <cell r="A19370"/>
          <cell r="B19370"/>
          <cell r="C19370"/>
          <cell r="D19370"/>
          <cell r="E19370"/>
        </row>
        <row r="19371">
          <cell r="A19371"/>
          <cell r="B19371"/>
          <cell r="C19371"/>
          <cell r="D19371"/>
          <cell r="E19371"/>
        </row>
        <row r="19372">
          <cell r="A19372"/>
          <cell r="B19372"/>
          <cell r="C19372"/>
          <cell r="D19372"/>
          <cell r="E19372"/>
        </row>
        <row r="19373">
          <cell r="A19373"/>
          <cell r="B19373"/>
          <cell r="C19373"/>
          <cell r="D19373"/>
          <cell r="E19373"/>
        </row>
        <row r="19374">
          <cell r="A19374"/>
          <cell r="B19374"/>
          <cell r="C19374"/>
          <cell r="D19374"/>
          <cell r="E19374"/>
        </row>
        <row r="19375">
          <cell r="A19375"/>
          <cell r="B19375"/>
          <cell r="C19375"/>
          <cell r="D19375"/>
          <cell r="E19375"/>
        </row>
        <row r="19376">
          <cell r="A19376"/>
          <cell r="B19376"/>
          <cell r="C19376"/>
          <cell r="D19376"/>
          <cell r="E19376"/>
        </row>
        <row r="19377">
          <cell r="A19377"/>
          <cell r="B19377"/>
          <cell r="C19377"/>
          <cell r="D19377"/>
          <cell r="E19377"/>
        </row>
        <row r="19378">
          <cell r="A19378"/>
          <cell r="B19378"/>
          <cell r="C19378"/>
          <cell r="D19378"/>
          <cell r="E19378"/>
        </row>
        <row r="19379">
          <cell r="A19379"/>
          <cell r="B19379"/>
          <cell r="C19379"/>
          <cell r="D19379"/>
          <cell r="E19379"/>
        </row>
        <row r="19380">
          <cell r="A19380"/>
          <cell r="B19380"/>
          <cell r="C19380"/>
          <cell r="D19380"/>
          <cell r="E19380"/>
        </row>
        <row r="19381">
          <cell r="A19381"/>
          <cell r="B19381"/>
          <cell r="C19381"/>
          <cell r="D19381"/>
          <cell r="E19381"/>
        </row>
        <row r="19382">
          <cell r="A19382"/>
          <cell r="B19382"/>
          <cell r="C19382"/>
          <cell r="D19382"/>
          <cell r="E19382"/>
        </row>
        <row r="19383">
          <cell r="A19383"/>
          <cell r="B19383"/>
          <cell r="C19383"/>
          <cell r="D19383"/>
          <cell r="E19383"/>
        </row>
        <row r="19384">
          <cell r="A19384"/>
          <cell r="B19384"/>
          <cell r="C19384"/>
          <cell r="D19384"/>
          <cell r="E19384"/>
        </row>
        <row r="19385">
          <cell r="A19385"/>
          <cell r="B19385"/>
          <cell r="C19385"/>
          <cell r="D19385"/>
          <cell r="E19385"/>
        </row>
        <row r="19386">
          <cell r="A19386"/>
          <cell r="B19386"/>
          <cell r="C19386"/>
          <cell r="D19386"/>
          <cell r="E19386"/>
        </row>
        <row r="19387">
          <cell r="A19387"/>
          <cell r="B19387"/>
          <cell r="C19387"/>
          <cell r="D19387"/>
          <cell r="E19387"/>
        </row>
        <row r="19388">
          <cell r="A19388"/>
          <cell r="B19388"/>
          <cell r="C19388"/>
          <cell r="D19388"/>
          <cell r="E19388"/>
        </row>
        <row r="19389">
          <cell r="A19389"/>
          <cell r="B19389"/>
          <cell r="C19389"/>
          <cell r="D19389"/>
          <cell r="E19389"/>
        </row>
        <row r="19390">
          <cell r="A19390"/>
          <cell r="B19390"/>
          <cell r="C19390"/>
          <cell r="D19390"/>
          <cell r="E19390"/>
        </row>
        <row r="19391">
          <cell r="A19391"/>
          <cell r="B19391"/>
          <cell r="C19391"/>
          <cell r="D19391"/>
          <cell r="E19391"/>
        </row>
        <row r="19392">
          <cell r="A19392"/>
          <cell r="B19392"/>
          <cell r="C19392"/>
          <cell r="D19392"/>
          <cell r="E19392"/>
        </row>
        <row r="19393">
          <cell r="A19393"/>
          <cell r="B19393"/>
          <cell r="C19393"/>
          <cell r="D19393"/>
          <cell r="E19393"/>
        </row>
        <row r="19394">
          <cell r="A19394"/>
          <cell r="B19394"/>
          <cell r="C19394"/>
          <cell r="D19394"/>
          <cell r="E19394"/>
        </row>
        <row r="19395">
          <cell r="A19395"/>
          <cell r="B19395"/>
          <cell r="C19395"/>
          <cell r="D19395"/>
          <cell r="E19395"/>
        </row>
        <row r="19396">
          <cell r="A19396"/>
          <cell r="B19396"/>
          <cell r="C19396"/>
          <cell r="D19396"/>
          <cell r="E19396"/>
        </row>
        <row r="19397">
          <cell r="A19397"/>
          <cell r="B19397"/>
          <cell r="C19397"/>
          <cell r="D19397"/>
          <cell r="E19397"/>
        </row>
        <row r="19398">
          <cell r="A19398"/>
          <cell r="B19398"/>
          <cell r="C19398"/>
          <cell r="D19398"/>
          <cell r="E19398"/>
        </row>
        <row r="19399">
          <cell r="A19399"/>
          <cell r="B19399"/>
          <cell r="C19399"/>
          <cell r="D19399"/>
          <cell r="E19399"/>
        </row>
        <row r="19400">
          <cell r="A19400"/>
          <cell r="B19400"/>
          <cell r="C19400"/>
          <cell r="D19400"/>
          <cell r="E19400"/>
        </row>
        <row r="19401">
          <cell r="A19401"/>
          <cell r="B19401"/>
          <cell r="C19401"/>
          <cell r="D19401"/>
          <cell r="E19401"/>
        </row>
        <row r="19402">
          <cell r="A19402"/>
          <cell r="B19402"/>
          <cell r="C19402"/>
          <cell r="D19402"/>
          <cell r="E19402"/>
        </row>
        <row r="19403">
          <cell r="A19403"/>
          <cell r="B19403"/>
          <cell r="C19403"/>
          <cell r="D19403"/>
          <cell r="E19403"/>
        </row>
        <row r="19404">
          <cell r="A19404"/>
          <cell r="B19404"/>
          <cell r="C19404"/>
          <cell r="D19404"/>
          <cell r="E19404"/>
        </row>
        <row r="19405">
          <cell r="A19405"/>
          <cell r="B19405"/>
          <cell r="C19405"/>
          <cell r="D19405"/>
          <cell r="E19405"/>
        </row>
        <row r="19406">
          <cell r="A19406"/>
          <cell r="B19406"/>
          <cell r="C19406"/>
          <cell r="D19406"/>
          <cell r="E19406"/>
        </row>
        <row r="19407">
          <cell r="A19407"/>
          <cell r="B19407"/>
          <cell r="C19407"/>
          <cell r="D19407"/>
          <cell r="E19407"/>
        </row>
        <row r="19408">
          <cell r="A19408"/>
          <cell r="B19408"/>
          <cell r="C19408"/>
          <cell r="D19408"/>
          <cell r="E19408"/>
        </row>
        <row r="19409">
          <cell r="A19409"/>
          <cell r="B19409"/>
          <cell r="C19409"/>
          <cell r="D19409"/>
          <cell r="E19409"/>
        </row>
        <row r="19410">
          <cell r="A19410"/>
          <cell r="B19410"/>
          <cell r="C19410"/>
          <cell r="D19410"/>
          <cell r="E19410"/>
        </row>
        <row r="19411">
          <cell r="A19411"/>
          <cell r="B19411"/>
          <cell r="C19411"/>
          <cell r="D19411"/>
          <cell r="E19411"/>
        </row>
        <row r="19412">
          <cell r="A19412"/>
          <cell r="B19412"/>
          <cell r="C19412"/>
          <cell r="D19412"/>
          <cell r="E19412"/>
        </row>
        <row r="19413">
          <cell r="A19413"/>
          <cell r="B19413"/>
          <cell r="C19413"/>
          <cell r="D19413"/>
          <cell r="E19413"/>
        </row>
        <row r="19414">
          <cell r="A19414"/>
          <cell r="B19414"/>
          <cell r="C19414"/>
          <cell r="D19414"/>
          <cell r="E19414"/>
        </row>
        <row r="19415">
          <cell r="A19415"/>
          <cell r="B19415"/>
          <cell r="C19415"/>
          <cell r="D19415"/>
          <cell r="E19415"/>
        </row>
        <row r="19416">
          <cell r="A19416"/>
          <cell r="B19416"/>
          <cell r="C19416"/>
          <cell r="D19416"/>
          <cell r="E19416"/>
        </row>
        <row r="19417">
          <cell r="A19417"/>
          <cell r="B19417"/>
          <cell r="C19417"/>
          <cell r="D19417"/>
          <cell r="E19417"/>
        </row>
        <row r="19418">
          <cell r="A19418"/>
          <cell r="B19418"/>
          <cell r="C19418"/>
          <cell r="D19418"/>
          <cell r="E19418"/>
        </row>
        <row r="19419">
          <cell r="A19419"/>
          <cell r="B19419"/>
          <cell r="C19419"/>
          <cell r="D19419"/>
          <cell r="E19419"/>
        </row>
        <row r="19420">
          <cell r="A19420"/>
          <cell r="B19420"/>
          <cell r="C19420"/>
          <cell r="D19420"/>
          <cell r="E19420"/>
        </row>
        <row r="19421">
          <cell r="A19421"/>
          <cell r="B19421"/>
          <cell r="C19421"/>
          <cell r="D19421"/>
          <cell r="E19421"/>
        </row>
        <row r="19422">
          <cell r="A19422"/>
          <cell r="B19422"/>
          <cell r="C19422"/>
          <cell r="D19422"/>
          <cell r="E19422"/>
        </row>
        <row r="19423">
          <cell r="A19423"/>
          <cell r="B19423"/>
          <cell r="C19423"/>
          <cell r="D19423"/>
          <cell r="E19423"/>
        </row>
        <row r="19424">
          <cell r="A19424"/>
          <cell r="B19424"/>
          <cell r="C19424"/>
          <cell r="D19424"/>
          <cell r="E19424"/>
        </row>
        <row r="19425">
          <cell r="A19425"/>
          <cell r="B19425"/>
          <cell r="C19425"/>
          <cell r="D19425"/>
          <cell r="E19425"/>
        </row>
        <row r="19426">
          <cell r="A19426"/>
          <cell r="B19426"/>
          <cell r="C19426"/>
          <cell r="D19426"/>
          <cell r="E19426"/>
        </row>
        <row r="19427">
          <cell r="A19427"/>
          <cell r="B19427"/>
          <cell r="C19427"/>
          <cell r="D19427"/>
          <cell r="E19427"/>
        </row>
        <row r="19428">
          <cell r="A19428"/>
          <cell r="B19428"/>
          <cell r="C19428"/>
          <cell r="D19428"/>
          <cell r="E19428"/>
        </row>
        <row r="19429">
          <cell r="A19429"/>
          <cell r="B19429"/>
          <cell r="C19429"/>
          <cell r="D19429"/>
          <cell r="E19429"/>
        </row>
        <row r="19430">
          <cell r="A19430"/>
          <cell r="B19430"/>
          <cell r="C19430"/>
          <cell r="D19430"/>
          <cell r="E19430"/>
        </row>
        <row r="19431">
          <cell r="A19431"/>
          <cell r="B19431"/>
          <cell r="C19431"/>
          <cell r="D19431"/>
          <cell r="E19431"/>
        </row>
        <row r="19432">
          <cell r="A19432"/>
          <cell r="B19432"/>
          <cell r="C19432"/>
          <cell r="D19432"/>
          <cell r="E19432"/>
        </row>
        <row r="19433">
          <cell r="A19433"/>
          <cell r="B19433"/>
          <cell r="C19433"/>
          <cell r="D19433"/>
          <cell r="E19433"/>
        </row>
        <row r="19434">
          <cell r="A19434"/>
          <cell r="B19434"/>
          <cell r="C19434"/>
          <cell r="D19434"/>
          <cell r="E19434"/>
        </row>
        <row r="19435">
          <cell r="A19435"/>
          <cell r="B19435"/>
          <cell r="C19435"/>
          <cell r="D19435"/>
          <cell r="E19435"/>
        </row>
        <row r="19436">
          <cell r="A19436"/>
          <cell r="B19436"/>
          <cell r="C19436"/>
          <cell r="D19436"/>
          <cell r="E19436"/>
        </row>
        <row r="19437">
          <cell r="A19437"/>
          <cell r="B19437"/>
          <cell r="C19437"/>
          <cell r="D19437"/>
          <cell r="E19437"/>
        </row>
        <row r="19438">
          <cell r="A19438"/>
          <cell r="B19438"/>
          <cell r="C19438"/>
          <cell r="D19438"/>
          <cell r="E19438"/>
        </row>
        <row r="19439">
          <cell r="A19439"/>
          <cell r="B19439"/>
          <cell r="C19439"/>
          <cell r="D19439"/>
          <cell r="E19439"/>
        </row>
        <row r="19440">
          <cell r="A19440"/>
          <cell r="B19440"/>
          <cell r="C19440"/>
          <cell r="D19440"/>
          <cell r="E19440"/>
        </row>
        <row r="19441">
          <cell r="A19441"/>
          <cell r="B19441"/>
          <cell r="C19441"/>
          <cell r="D19441"/>
          <cell r="E19441"/>
        </row>
        <row r="19442">
          <cell r="A19442"/>
          <cell r="B19442"/>
          <cell r="C19442"/>
          <cell r="D19442"/>
          <cell r="E19442"/>
        </row>
        <row r="19443">
          <cell r="A19443"/>
          <cell r="B19443"/>
          <cell r="C19443"/>
          <cell r="D19443"/>
          <cell r="E19443"/>
        </row>
        <row r="19444">
          <cell r="A19444"/>
          <cell r="B19444"/>
          <cell r="C19444"/>
          <cell r="D19444"/>
          <cell r="E19444"/>
        </row>
        <row r="19445">
          <cell r="A19445"/>
          <cell r="B19445"/>
          <cell r="C19445"/>
          <cell r="D19445"/>
          <cell r="E19445"/>
        </row>
        <row r="19446">
          <cell r="A19446"/>
          <cell r="B19446"/>
          <cell r="C19446"/>
          <cell r="D19446"/>
          <cell r="E19446"/>
        </row>
        <row r="19447">
          <cell r="A19447"/>
          <cell r="B19447"/>
          <cell r="C19447"/>
          <cell r="D19447"/>
          <cell r="E19447"/>
        </row>
        <row r="19448">
          <cell r="A19448"/>
          <cell r="B19448"/>
          <cell r="C19448"/>
          <cell r="D19448"/>
          <cell r="E19448"/>
        </row>
        <row r="19449">
          <cell r="A19449"/>
          <cell r="B19449"/>
          <cell r="C19449"/>
          <cell r="D19449"/>
          <cell r="E19449"/>
        </row>
        <row r="19450">
          <cell r="A19450"/>
          <cell r="B19450"/>
          <cell r="C19450"/>
          <cell r="D19450"/>
          <cell r="E19450"/>
        </row>
        <row r="19451">
          <cell r="A19451"/>
          <cell r="B19451"/>
          <cell r="C19451"/>
          <cell r="D19451"/>
          <cell r="E19451"/>
        </row>
        <row r="19452">
          <cell r="A19452"/>
          <cell r="B19452"/>
          <cell r="C19452"/>
          <cell r="D19452"/>
          <cell r="E19452"/>
        </row>
        <row r="19453">
          <cell r="A19453"/>
          <cell r="B19453"/>
          <cell r="C19453"/>
          <cell r="D19453"/>
          <cell r="E19453"/>
        </row>
        <row r="19454">
          <cell r="A19454"/>
          <cell r="B19454"/>
          <cell r="C19454"/>
          <cell r="D19454"/>
          <cell r="E19454"/>
        </row>
        <row r="19455">
          <cell r="A19455"/>
          <cell r="B19455"/>
          <cell r="C19455"/>
          <cell r="D19455"/>
          <cell r="E19455"/>
        </row>
        <row r="19456">
          <cell r="A19456"/>
          <cell r="B19456"/>
          <cell r="C19456"/>
          <cell r="D19456"/>
          <cell r="E19456"/>
        </row>
        <row r="19457">
          <cell r="A19457"/>
          <cell r="B19457"/>
          <cell r="C19457"/>
          <cell r="D19457"/>
          <cell r="E19457"/>
        </row>
        <row r="19458">
          <cell r="A19458"/>
          <cell r="B19458"/>
          <cell r="C19458"/>
          <cell r="D19458"/>
          <cell r="E19458"/>
        </row>
        <row r="19459">
          <cell r="A19459"/>
          <cell r="B19459"/>
          <cell r="C19459"/>
          <cell r="D19459"/>
          <cell r="E19459"/>
        </row>
        <row r="19460">
          <cell r="A19460"/>
          <cell r="B19460"/>
          <cell r="C19460"/>
          <cell r="D19460"/>
          <cell r="E19460"/>
        </row>
        <row r="19461">
          <cell r="A19461"/>
          <cell r="B19461"/>
          <cell r="C19461"/>
          <cell r="D19461"/>
          <cell r="E19461"/>
        </row>
        <row r="19462">
          <cell r="A19462"/>
          <cell r="B19462"/>
          <cell r="C19462"/>
          <cell r="D19462"/>
          <cell r="E19462"/>
        </row>
        <row r="19463">
          <cell r="A19463"/>
          <cell r="B19463"/>
          <cell r="C19463"/>
          <cell r="D19463"/>
          <cell r="E19463"/>
        </row>
        <row r="19464">
          <cell r="A19464"/>
          <cell r="B19464"/>
          <cell r="C19464"/>
          <cell r="D19464"/>
          <cell r="E19464"/>
        </row>
        <row r="19465">
          <cell r="A19465"/>
          <cell r="B19465"/>
          <cell r="C19465"/>
          <cell r="D19465"/>
          <cell r="E19465"/>
        </row>
        <row r="19466">
          <cell r="A19466"/>
          <cell r="B19466"/>
          <cell r="C19466"/>
          <cell r="D19466"/>
          <cell r="E19466"/>
        </row>
        <row r="19467">
          <cell r="A19467"/>
          <cell r="B19467"/>
          <cell r="C19467"/>
          <cell r="D19467"/>
          <cell r="E19467"/>
        </row>
        <row r="19468">
          <cell r="A19468"/>
          <cell r="B19468"/>
          <cell r="C19468"/>
          <cell r="D19468"/>
          <cell r="E19468"/>
        </row>
        <row r="19469">
          <cell r="A19469"/>
          <cell r="B19469"/>
          <cell r="C19469"/>
          <cell r="D19469"/>
          <cell r="E19469"/>
        </row>
        <row r="19470">
          <cell r="A19470"/>
          <cell r="B19470"/>
          <cell r="C19470"/>
          <cell r="D19470"/>
          <cell r="E19470"/>
        </row>
        <row r="19471">
          <cell r="A19471"/>
          <cell r="B19471"/>
          <cell r="C19471"/>
          <cell r="D19471"/>
          <cell r="E19471"/>
        </row>
        <row r="19472">
          <cell r="A19472"/>
          <cell r="B19472"/>
          <cell r="C19472"/>
          <cell r="D19472"/>
          <cell r="E19472"/>
        </row>
        <row r="19473">
          <cell r="A19473"/>
          <cell r="B19473"/>
          <cell r="C19473"/>
          <cell r="D19473"/>
          <cell r="E19473"/>
        </row>
        <row r="19474">
          <cell r="A19474"/>
          <cell r="B19474"/>
          <cell r="C19474"/>
          <cell r="D19474"/>
          <cell r="E19474"/>
        </row>
        <row r="19475">
          <cell r="A19475"/>
          <cell r="B19475"/>
          <cell r="C19475"/>
          <cell r="D19475"/>
          <cell r="E19475"/>
        </row>
        <row r="19476">
          <cell r="A19476"/>
          <cell r="B19476"/>
          <cell r="C19476"/>
          <cell r="D19476"/>
          <cell r="E19476"/>
        </row>
        <row r="19477">
          <cell r="A19477"/>
          <cell r="B19477"/>
          <cell r="C19477"/>
          <cell r="D19477"/>
          <cell r="E19477"/>
        </row>
        <row r="19478">
          <cell r="A19478"/>
          <cell r="B19478"/>
          <cell r="C19478"/>
          <cell r="D19478"/>
          <cell r="E19478"/>
        </row>
        <row r="19479">
          <cell r="A19479"/>
          <cell r="B19479"/>
          <cell r="C19479"/>
          <cell r="D19479"/>
          <cell r="E19479"/>
        </row>
        <row r="19480">
          <cell r="A19480"/>
          <cell r="B19480"/>
          <cell r="C19480"/>
          <cell r="D19480"/>
          <cell r="E19480"/>
        </row>
        <row r="19481">
          <cell r="A19481"/>
          <cell r="B19481"/>
          <cell r="C19481"/>
          <cell r="D19481"/>
          <cell r="E19481"/>
        </row>
        <row r="19482">
          <cell r="A19482"/>
          <cell r="B19482"/>
          <cell r="C19482"/>
          <cell r="D19482"/>
          <cell r="E19482"/>
        </row>
        <row r="19483">
          <cell r="A19483"/>
          <cell r="B19483"/>
          <cell r="C19483"/>
          <cell r="D19483"/>
          <cell r="E19483"/>
        </row>
        <row r="19484">
          <cell r="A19484"/>
          <cell r="B19484"/>
          <cell r="C19484"/>
          <cell r="D19484"/>
          <cell r="E19484"/>
        </row>
        <row r="19485">
          <cell r="A19485"/>
          <cell r="B19485"/>
          <cell r="C19485"/>
          <cell r="D19485"/>
          <cell r="E19485"/>
        </row>
        <row r="19486">
          <cell r="A19486"/>
          <cell r="B19486"/>
          <cell r="C19486"/>
          <cell r="D19486"/>
          <cell r="E19486"/>
        </row>
        <row r="19487">
          <cell r="A19487"/>
          <cell r="B19487"/>
          <cell r="C19487"/>
          <cell r="D19487"/>
          <cell r="E19487"/>
        </row>
        <row r="19488">
          <cell r="A19488"/>
          <cell r="B19488"/>
          <cell r="C19488"/>
          <cell r="D19488"/>
          <cell r="E19488"/>
        </row>
        <row r="19489">
          <cell r="A19489"/>
          <cell r="B19489"/>
          <cell r="C19489"/>
          <cell r="D19489"/>
          <cell r="E19489"/>
        </row>
        <row r="19490">
          <cell r="A19490"/>
          <cell r="B19490"/>
          <cell r="C19490"/>
          <cell r="D19490"/>
          <cell r="E19490"/>
        </row>
        <row r="19491">
          <cell r="A19491"/>
          <cell r="B19491"/>
          <cell r="C19491"/>
          <cell r="D19491"/>
          <cell r="E19491"/>
        </row>
        <row r="19492">
          <cell r="A19492"/>
          <cell r="B19492"/>
          <cell r="C19492"/>
          <cell r="D19492"/>
          <cell r="E19492"/>
        </row>
        <row r="19493">
          <cell r="A19493"/>
          <cell r="B19493"/>
          <cell r="C19493"/>
          <cell r="D19493"/>
          <cell r="E19493"/>
        </row>
        <row r="19494">
          <cell r="A19494"/>
          <cell r="B19494"/>
          <cell r="C19494"/>
          <cell r="D19494"/>
          <cell r="E19494"/>
        </row>
        <row r="19495">
          <cell r="A19495"/>
          <cell r="B19495"/>
          <cell r="C19495"/>
          <cell r="D19495"/>
          <cell r="E19495"/>
        </row>
        <row r="19496">
          <cell r="A19496"/>
          <cell r="B19496"/>
          <cell r="C19496"/>
          <cell r="D19496"/>
          <cell r="E19496"/>
        </row>
        <row r="19497">
          <cell r="A19497"/>
          <cell r="B19497"/>
          <cell r="C19497"/>
          <cell r="D19497"/>
          <cell r="E19497"/>
        </row>
        <row r="19498">
          <cell r="A19498"/>
          <cell r="B19498"/>
          <cell r="C19498"/>
          <cell r="D19498"/>
          <cell r="E19498"/>
        </row>
        <row r="19499">
          <cell r="A19499"/>
          <cell r="B19499"/>
          <cell r="C19499"/>
          <cell r="D19499"/>
          <cell r="E19499"/>
        </row>
        <row r="19500">
          <cell r="A19500"/>
          <cell r="B19500"/>
          <cell r="C19500"/>
          <cell r="D19500"/>
          <cell r="E19500"/>
        </row>
        <row r="19501">
          <cell r="A19501"/>
          <cell r="B19501"/>
          <cell r="C19501"/>
          <cell r="D19501"/>
          <cell r="E19501"/>
        </row>
        <row r="19502">
          <cell r="A19502"/>
          <cell r="B19502"/>
          <cell r="C19502"/>
          <cell r="D19502"/>
          <cell r="E19502"/>
        </row>
        <row r="19503">
          <cell r="A19503"/>
          <cell r="B19503"/>
          <cell r="C19503"/>
          <cell r="D19503"/>
          <cell r="E19503"/>
        </row>
        <row r="19504">
          <cell r="A19504"/>
          <cell r="B19504"/>
          <cell r="C19504"/>
          <cell r="D19504"/>
          <cell r="E19504"/>
        </row>
        <row r="19505">
          <cell r="A19505"/>
          <cell r="B19505"/>
          <cell r="C19505"/>
          <cell r="D19505"/>
          <cell r="E19505"/>
        </row>
        <row r="19506">
          <cell r="A19506"/>
          <cell r="B19506"/>
          <cell r="C19506"/>
          <cell r="D19506"/>
          <cell r="E19506"/>
        </row>
        <row r="19507">
          <cell r="A19507"/>
          <cell r="B19507"/>
          <cell r="C19507"/>
          <cell r="D19507"/>
          <cell r="E19507"/>
        </row>
        <row r="19508">
          <cell r="A19508"/>
          <cell r="B19508"/>
          <cell r="C19508"/>
          <cell r="D19508"/>
          <cell r="E19508"/>
        </row>
        <row r="19509">
          <cell r="A19509"/>
          <cell r="B19509"/>
          <cell r="C19509"/>
          <cell r="D19509"/>
          <cell r="E19509"/>
        </row>
        <row r="19510">
          <cell r="A19510"/>
          <cell r="B19510"/>
          <cell r="C19510"/>
          <cell r="D19510"/>
          <cell r="E19510"/>
        </row>
        <row r="19511">
          <cell r="A19511"/>
          <cell r="B19511"/>
          <cell r="C19511"/>
          <cell r="D19511"/>
          <cell r="E19511"/>
        </row>
        <row r="19512">
          <cell r="A19512"/>
          <cell r="B19512"/>
          <cell r="C19512"/>
          <cell r="D19512"/>
          <cell r="E19512"/>
        </row>
        <row r="19513">
          <cell r="A19513"/>
          <cell r="B19513"/>
          <cell r="C19513"/>
          <cell r="D19513"/>
          <cell r="E19513"/>
        </row>
        <row r="19514">
          <cell r="A19514"/>
          <cell r="B19514"/>
          <cell r="C19514"/>
          <cell r="D19514"/>
          <cell r="E19514"/>
        </row>
        <row r="19515">
          <cell r="A19515"/>
          <cell r="B19515"/>
          <cell r="C19515"/>
          <cell r="D19515"/>
          <cell r="E19515"/>
        </row>
        <row r="19516">
          <cell r="A19516"/>
          <cell r="B19516"/>
          <cell r="C19516"/>
          <cell r="D19516"/>
          <cell r="E19516"/>
        </row>
        <row r="19517">
          <cell r="A19517"/>
          <cell r="B19517"/>
          <cell r="C19517"/>
          <cell r="D19517"/>
          <cell r="E19517"/>
        </row>
        <row r="19518">
          <cell r="A19518"/>
          <cell r="B19518"/>
          <cell r="C19518"/>
          <cell r="D19518"/>
          <cell r="E19518"/>
        </row>
        <row r="19519">
          <cell r="A19519"/>
          <cell r="B19519"/>
          <cell r="C19519"/>
          <cell r="D19519"/>
          <cell r="E19519"/>
        </row>
        <row r="19520">
          <cell r="A19520"/>
          <cell r="B19520"/>
          <cell r="C19520"/>
          <cell r="D19520"/>
          <cell r="E19520"/>
        </row>
        <row r="19521">
          <cell r="A19521"/>
          <cell r="B19521"/>
          <cell r="C19521"/>
          <cell r="D19521"/>
          <cell r="E19521"/>
        </row>
        <row r="19522">
          <cell r="A19522"/>
          <cell r="B19522"/>
          <cell r="C19522"/>
          <cell r="D19522"/>
          <cell r="E19522"/>
        </row>
        <row r="19523">
          <cell r="A19523"/>
          <cell r="B19523"/>
          <cell r="C19523"/>
          <cell r="D19523"/>
          <cell r="E19523"/>
        </row>
        <row r="19524">
          <cell r="A19524"/>
          <cell r="B19524"/>
          <cell r="C19524"/>
          <cell r="D19524"/>
          <cell r="E19524"/>
        </row>
        <row r="19525">
          <cell r="A19525"/>
          <cell r="B19525"/>
          <cell r="C19525"/>
          <cell r="D19525"/>
          <cell r="E19525"/>
        </row>
        <row r="19526">
          <cell r="A19526"/>
          <cell r="B19526"/>
          <cell r="C19526"/>
          <cell r="D19526"/>
          <cell r="E19526"/>
        </row>
        <row r="19527">
          <cell r="A19527"/>
          <cell r="B19527"/>
          <cell r="C19527"/>
          <cell r="D19527"/>
          <cell r="E19527"/>
        </row>
        <row r="19528">
          <cell r="A19528"/>
          <cell r="B19528"/>
          <cell r="C19528"/>
          <cell r="D19528"/>
          <cell r="E19528"/>
        </row>
        <row r="19529">
          <cell r="A19529"/>
          <cell r="B19529"/>
          <cell r="C19529"/>
          <cell r="D19529"/>
          <cell r="E19529"/>
        </row>
        <row r="19530">
          <cell r="A19530"/>
          <cell r="B19530"/>
          <cell r="C19530"/>
          <cell r="D19530"/>
          <cell r="E19530"/>
        </row>
        <row r="19531">
          <cell r="A19531"/>
          <cell r="B19531"/>
          <cell r="C19531"/>
          <cell r="D19531"/>
          <cell r="E19531"/>
        </row>
        <row r="19532">
          <cell r="A19532"/>
          <cell r="B19532"/>
          <cell r="C19532"/>
          <cell r="D19532"/>
          <cell r="E19532"/>
        </row>
        <row r="19533">
          <cell r="A19533"/>
          <cell r="B19533"/>
          <cell r="C19533"/>
          <cell r="D19533"/>
          <cell r="E19533"/>
        </row>
        <row r="19534">
          <cell r="A19534"/>
          <cell r="B19534"/>
          <cell r="C19534"/>
          <cell r="D19534"/>
          <cell r="E19534"/>
        </row>
        <row r="19535">
          <cell r="A19535"/>
          <cell r="B19535"/>
          <cell r="C19535"/>
          <cell r="D19535"/>
          <cell r="E19535"/>
        </row>
        <row r="19536">
          <cell r="A19536"/>
          <cell r="B19536"/>
          <cell r="C19536"/>
          <cell r="D19536"/>
          <cell r="E19536"/>
        </row>
        <row r="19537">
          <cell r="A19537"/>
          <cell r="B19537"/>
          <cell r="C19537"/>
          <cell r="D19537"/>
          <cell r="E19537"/>
        </row>
        <row r="19538">
          <cell r="A19538"/>
          <cell r="B19538"/>
          <cell r="C19538"/>
          <cell r="D19538"/>
          <cell r="E19538"/>
        </row>
        <row r="19539">
          <cell r="A19539"/>
          <cell r="B19539"/>
          <cell r="C19539"/>
          <cell r="D19539"/>
          <cell r="E19539"/>
        </row>
        <row r="19540">
          <cell r="A19540"/>
          <cell r="B19540"/>
          <cell r="C19540"/>
          <cell r="D19540"/>
          <cell r="E19540"/>
        </row>
        <row r="19541">
          <cell r="A19541"/>
          <cell r="B19541"/>
          <cell r="C19541"/>
          <cell r="D19541"/>
          <cell r="E19541"/>
        </row>
        <row r="19542">
          <cell r="A19542"/>
          <cell r="B19542"/>
          <cell r="C19542"/>
          <cell r="D19542"/>
          <cell r="E19542"/>
        </row>
        <row r="19543">
          <cell r="A19543"/>
          <cell r="B19543"/>
          <cell r="C19543"/>
          <cell r="D19543"/>
          <cell r="E19543"/>
        </row>
        <row r="19544">
          <cell r="A19544"/>
          <cell r="B19544"/>
          <cell r="C19544"/>
          <cell r="D19544"/>
          <cell r="E19544"/>
        </row>
        <row r="19545">
          <cell r="A19545"/>
          <cell r="B19545"/>
          <cell r="C19545"/>
          <cell r="D19545"/>
          <cell r="E19545"/>
        </row>
        <row r="19546">
          <cell r="A19546"/>
          <cell r="B19546"/>
          <cell r="C19546"/>
          <cell r="D19546"/>
          <cell r="E19546"/>
        </row>
        <row r="19547">
          <cell r="A19547"/>
          <cell r="B19547"/>
          <cell r="C19547"/>
          <cell r="D19547"/>
          <cell r="E19547"/>
        </row>
        <row r="19548">
          <cell r="A19548"/>
          <cell r="B19548"/>
          <cell r="C19548"/>
          <cell r="D19548"/>
          <cell r="E19548"/>
        </row>
        <row r="19549">
          <cell r="A19549"/>
          <cell r="B19549"/>
          <cell r="C19549"/>
          <cell r="D19549"/>
          <cell r="E19549"/>
        </row>
        <row r="19550">
          <cell r="A19550"/>
          <cell r="B19550"/>
          <cell r="C19550"/>
          <cell r="D19550"/>
          <cell r="E19550"/>
        </row>
        <row r="19551">
          <cell r="A19551"/>
          <cell r="B19551"/>
          <cell r="C19551"/>
          <cell r="D19551"/>
          <cell r="E19551"/>
        </row>
        <row r="19552">
          <cell r="A19552"/>
          <cell r="B19552"/>
          <cell r="C19552"/>
          <cell r="D19552"/>
          <cell r="E19552"/>
        </row>
        <row r="19553">
          <cell r="A19553"/>
          <cell r="B19553"/>
          <cell r="C19553"/>
          <cell r="D19553"/>
          <cell r="E19553"/>
        </row>
        <row r="19554">
          <cell r="A19554"/>
          <cell r="B19554"/>
          <cell r="C19554"/>
          <cell r="D19554"/>
          <cell r="E19554"/>
        </row>
        <row r="19555">
          <cell r="A19555"/>
          <cell r="B19555"/>
          <cell r="C19555"/>
          <cell r="D19555"/>
          <cell r="E19555"/>
        </row>
        <row r="19556">
          <cell r="A19556"/>
          <cell r="B19556"/>
          <cell r="C19556"/>
          <cell r="D19556"/>
          <cell r="E19556"/>
        </row>
        <row r="19557">
          <cell r="A19557"/>
          <cell r="B19557"/>
          <cell r="C19557"/>
          <cell r="D19557"/>
          <cell r="E19557"/>
        </row>
        <row r="19558">
          <cell r="A19558"/>
          <cell r="B19558"/>
          <cell r="C19558"/>
          <cell r="D19558"/>
          <cell r="E19558"/>
        </row>
        <row r="19559">
          <cell r="A19559"/>
          <cell r="B19559"/>
          <cell r="C19559"/>
          <cell r="D19559"/>
          <cell r="E19559"/>
        </row>
        <row r="19560">
          <cell r="A19560"/>
          <cell r="B19560"/>
          <cell r="C19560"/>
          <cell r="D19560"/>
          <cell r="E19560"/>
        </row>
        <row r="19561">
          <cell r="A19561"/>
          <cell r="B19561"/>
          <cell r="C19561"/>
          <cell r="D19561"/>
          <cell r="E19561"/>
        </row>
        <row r="19562">
          <cell r="A19562"/>
          <cell r="B19562"/>
          <cell r="C19562"/>
          <cell r="D19562"/>
          <cell r="E19562"/>
        </row>
        <row r="19563">
          <cell r="A19563"/>
          <cell r="B19563"/>
          <cell r="C19563"/>
          <cell r="D19563"/>
          <cell r="E19563"/>
        </row>
        <row r="19564">
          <cell r="A19564"/>
          <cell r="B19564"/>
          <cell r="C19564"/>
          <cell r="D19564"/>
          <cell r="E19564"/>
        </row>
        <row r="19565">
          <cell r="A19565"/>
          <cell r="B19565"/>
          <cell r="C19565"/>
          <cell r="D19565"/>
          <cell r="E19565"/>
        </row>
        <row r="19566">
          <cell r="A19566"/>
          <cell r="B19566"/>
          <cell r="C19566"/>
          <cell r="D19566"/>
          <cell r="E19566"/>
        </row>
        <row r="19567">
          <cell r="A19567"/>
          <cell r="B19567"/>
          <cell r="C19567"/>
          <cell r="D19567"/>
          <cell r="E19567"/>
        </row>
        <row r="19568">
          <cell r="A19568"/>
          <cell r="B19568"/>
          <cell r="C19568"/>
          <cell r="D19568"/>
          <cell r="E19568"/>
        </row>
        <row r="19569">
          <cell r="A19569"/>
          <cell r="B19569"/>
          <cell r="C19569"/>
          <cell r="D19569"/>
          <cell r="E19569"/>
        </row>
        <row r="19570">
          <cell r="A19570"/>
          <cell r="B19570"/>
          <cell r="C19570"/>
          <cell r="D19570"/>
          <cell r="E19570"/>
        </row>
        <row r="19571">
          <cell r="A19571"/>
          <cell r="B19571"/>
          <cell r="C19571"/>
          <cell r="D19571"/>
          <cell r="E19571"/>
        </row>
        <row r="19572">
          <cell r="A19572"/>
          <cell r="B19572"/>
          <cell r="C19572"/>
          <cell r="D19572"/>
          <cell r="E19572"/>
        </row>
        <row r="19573">
          <cell r="A19573"/>
          <cell r="B19573"/>
          <cell r="C19573"/>
          <cell r="D19573"/>
          <cell r="E19573"/>
        </row>
        <row r="19574">
          <cell r="A19574"/>
          <cell r="B19574"/>
          <cell r="C19574"/>
          <cell r="D19574"/>
          <cell r="E19574"/>
        </row>
        <row r="19575">
          <cell r="A19575"/>
          <cell r="B19575"/>
          <cell r="C19575"/>
          <cell r="D19575"/>
          <cell r="E19575"/>
        </row>
        <row r="19576">
          <cell r="A19576"/>
          <cell r="B19576"/>
          <cell r="C19576"/>
          <cell r="D19576"/>
          <cell r="E19576"/>
        </row>
        <row r="19577">
          <cell r="A19577"/>
          <cell r="B19577"/>
          <cell r="C19577"/>
          <cell r="D19577"/>
          <cell r="E19577"/>
        </row>
        <row r="19578">
          <cell r="A19578"/>
          <cell r="B19578"/>
          <cell r="C19578"/>
          <cell r="D19578"/>
          <cell r="E19578"/>
        </row>
        <row r="19579">
          <cell r="A19579"/>
          <cell r="B19579"/>
          <cell r="C19579"/>
          <cell r="D19579"/>
          <cell r="E19579"/>
        </row>
        <row r="19580">
          <cell r="A19580"/>
          <cell r="B19580"/>
          <cell r="C19580"/>
          <cell r="D19580"/>
          <cell r="E19580"/>
        </row>
        <row r="19581">
          <cell r="A19581"/>
          <cell r="B19581"/>
          <cell r="C19581"/>
          <cell r="D19581"/>
          <cell r="E19581"/>
        </row>
        <row r="19582">
          <cell r="A19582"/>
          <cell r="B19582"/>
          <cell r="C19582"/>
          <cell r="D19582"/>
          <cell r="E19582"/>
        </row>
        <row r="19583">
          <cell r="A19583"/>
          <cell r="B19583"/>
          <cell r="C19583"/>
          <cell r="D19583"/>
          <cell r="E19583"/>
        </row>
        <row r="19584">
          <cell r="A19584"/>
          <cell r="B19584"/>
          <cell r="C19584"/>
          <cell r="D19584"/>
          <cell r="E19584"/>
        </row>
        <row r="19585">
          <cell r="A19585"/>
          <cell r="B19585"/>
          <cell r="C19585"/>
          <cell r="D19585"/>
          <cell r="E19585"/>
        </row>
        <row r="19586">
          <cell r="A19586"/>
          <cell r="B19586"/>
          <cell r="C19586"/>
          <cell r="D19586"/>
          <cell r="E19586"/>
        </row>
        <row r="19587">
          <cell r="A19587"/>
          <cell r="B19587"/>
          <cell r="C19587"/>
          <cell r="D19587"/>
          <cell r="E19587"/>
        </row>
        <row r="19588">
          <cell r="A19588"/>
          <cell r="B19588"/>
          <cell r="C19588"/>
          <cell r="D19588"/>
          <cell r="E19588"/>
        </row>
        <row r="19589">
          <cell r="A19589"/>
          <cell r="B19589"/>
          <cell r="C19589"/>
          <cell r="D19589"/>
          <cell r="E19589"/>
        </row>
        <row r="19590">
          <cell r="A19590"/>
          <cell r="B19590"/>
          <cell r="C19590"/>
          <cell r="D19590"/>
          <cell r="E19590"/>
        </row>
        <row r="19591">
          <cell r="A19591"/>
          <cell r="B19591"/>
          <cell r="C19591"/>
          <cell r="D19591"/>
          <cell r="E19591"/>
        </row>
        <row r="19592">
          <cell r="A19592"/>
          <cell r="B19592"/>
          <cell r="C19592"/>
          <cell r="D19592"/>
          <cell r="E19592"/>
        </row>
        <row r="19593">
          <cell r="A19593"/>
          <cell r="B19593"/>
          <cell r="C19593"/>
          <cell r="D19593"/>
          <cell r="E19593"/>
        </row>
        <row r="19594">
          <cell r="A19594"/>
          <cell r="B19594"/>
          <cell r="C19594"/>
          <cell r="D19594"/>
          <cell r="E19594"/>
        </row>
        <row r="19595">
          <cell r="A19595"/>
          <cell r="B19595"/>
          <cell r="C19595"/>
          <cell r="D19595"/>
          <cell r="E19595"/>
        </row>
        <row r="19596">
          <cell r="A19596"/>
          <cell r="B19596"/>
          <cell r="C19596"/>
          <cell r="D19596"/>
          <cell r="E19596"/>
        </row>
        <row r="19597">
          <cell r="A19597"/>
          <cell r="B19597"/>
          <cell r="C19597"/>
          <cell r="D19597"/>
          <cell r="E19597"/>
        </row>
        <row r="19598">
          <cell r="A19598"/>
          <cell r="B19598"/>
          <cell r="C19598"/>
          <cell r="D19598"/>
          <cell r="E19598"/>
        </row>
        <row r="19599">
          <cell r="A19599"/>
          <cell r="B19599"/>
          <cell r="C19599"/>
          <cell r="D19599"/>
          <cell r="E19599"/>
        </row>
        <row r="19600">
          <cell r="A19600"/>
          <cell r="B19600"/>
          <cell r="C19600"/>
          <cell r="D19600"/>
          <cell r="E19600"/>
        </row>
        <row r="19601">
          <cell r="A19601"/>
          <cell r="B19601"/>
          <cell r="C19601"/>
          <cell r="D19601"/>
          <cell r="E19601"/>
        </row>
        <row r="19602">
          <cell r="A19602"/>
          <cell r="B19602"/>
          <cell r="C19602"/>
          <cell r="D19602"/>
          <cell r="E19602"/>
        </row>
        <row r="19603">
          <cell r="A19603"/>
          <cell r="B19603"/>
          <cell r="C19603"/>
          <cell r="D19603"/>
          <cell r="E19603"/>
        </row>
        <row r="19604">
          <cell r="A19604"/>
          <cell r="B19604"/>
          <cell r="C19604"/>
          <cell r="D19604"/>
          <cell r="E19604"/>
        </row>
        <row r="19605">
          <cell r="A19605"/>
          <cell r="B19605"/>
          <cell r="C19605"/>
          <cell r="D19605"/>
          <cell r="E19605"/>
        </row>
        <row r="19606">
          <cell r="A19606"/>
          <cell r="B19606"/>
          <cell r="C19606"/>
          <cell r="D19606"/>
          <cell r="E19606"/>
        </row>
        <row r="19607">
          <cell r="A19607"/>
          <cell r="B19607"/>
          <cell r="C19607"/>
          <cell r="D19607"/>
          <cell r="E19607"/>
        </row>
        <row r="19608">
          <cell r="A19608"/>
          <cell r="B19608"/>
          <cell r="C19608"/>
          <cell r="D19608"/>
          <cell r="E19608"/>
        </row>
        <row r="19609">
          <cell r="A19609"/>
          <cell r="B19609"/>
          <cell r="C19609"/>
          <cell r="D19609"/>
          <cell r="E19609"/>
        </row>
        <row r="19610">
          <cell r="A19610"/>
          <cell r="B19610"/>
          <cell r="C19610"/>
          <cell r="D19610"/>
          <cell r="E19610"/>
        </row>
        <row r="19611">
          <cell r="A19611"/>
          <cell r="B19611"/>
          <cell r="C19611"/>
          <cell r="D19611"/>
          <cell r="E19611"/>
        </row>
        <row r="19612">
          <cell r="A19612"/>
          <cell r="B19612"/>
          <cell r="C19612"/>
          <cell r="D19612"/>
          <cell r="E19612"/>
        </row>
        <row r="19613">
          <cell r="A19613"/>
          <cell r="B19613"/>
          <cell r="C19613"/>
          <cell r="D19613"/>
          <cell r="E19613"/>
        </row>
        <row r="19614">
          <cell r="A19614"/>
          <cell r="B19614"/>
          <cell r="C19614"/>
          <cell r="D19614"/>
          <cell r="E19614"/>
        </row>
        <row r="19615">
          <cell r="A19615"/>
          <cell r="B19615"/>
          <cell r="C19615"/>
          <cell r="D19615"/>
          <cell r="E19615"/>
        </row>
        <row r="19616">
          <cell r="A19616"/>
          <cell r="B19616"/>
          <cell r="C19616"/>
          <cell r="D19616"/>
          <cell r="E19616"/>
        </row>
        <row r="19617">
          <cell r="A19617"/>
          <cell r="B19617"/>
          <cell r="C19617"/>
          <cell r="D19617"/>
          <cell r="E19617"/>
        </row>
        <row r="19618">
          <cell r="A19618"/>
          <cell r="B19618"/>
          <cell r="C19618"/>
          <cell r="D19618"/>
          <cell r="E19618"/>
        </row>
        <row r="19619">
          <cell r="A19619"/>
          <cell r="B19619"/>
          <cell r="C19619"/>
          <cell r="D19619"/>
          <cell r="E19619"/>
        </row>
        <row r="19620">
          <cell r="A19620"/>
          <cell r="B19620"/>
          <cell r="C19620"/>
          <cell r="D19620"/>
          <cell r="E19620"/>
        </row>
        <row r="19621">
          <cell r="A19621"/>
          <cell r="B19621"/>
          <cell r="C19621"/>
          <cell r="D19621"/>
          <cell r="E19621"/>
        </row>
        <row r="19622">
          <cell r="A19622"/>
          <cell r="B19622"/>
          <cell r="C19622"/>
          <cell r="D19622"/>
          <cell r="E19622"/>
        </row>
        <row r="19623">
          <cell r="A19623"/>
          <cell r="B19623"/>
          <cell r="C19623"/>
          <cell r="D19623"/>
          <cell r="E19623"/>
        </row>
        <row r="19624">
          <cell r="A19624"/>
          <cell r="B19624"/>
          <cell r="C19624"/>
          <cell r="D19624"/>
          <cell r="E19624"/>
        </row>
        <row r="19625">
          <cell r="A19625"/>
          <cell r="B19625"/>
          <cell r="C19625"/>
          <cell r="D19625"/>
          <cell r="E19625"/>
        </row>
        <row r="19626">
          <cell r="A19626"/>
          <cell r="B19626"/>
          <cell r="C19626"/>
          <cell r="D19626"/>
          <cell r="E19626"/>
        </row>
        <row r="19627">
          <cell r="A19627"/>
          <cell r="B19627"/>
          <cell r="C19627"/>
          <cell r="D19627"/>
          <cell r="E19627"/>
        </row>
        <row r="19628">
          <cell r="A19628"/>
          <cell r="B19628"/>
          <cell r="C19628"/>
          <cell r="D19628"/>
          <cell r="E19628"/>
        </row>
        <row r="19629">
          <cell r="A19629"/>
          <cell r="B19629"/>
          <cell r="C19629"/>
          <cell r="D19629"/>
          <cell r="E19629"/>
        </row>
        <row r="19630">
          <cell r="A19630"/>
          <cell r="B19630"/>
          <cell r="C19630"/>
          <cell r="D19630"/>
          <cell r="E19630"/>
        </row>
        <row r="19631">
          <cell r="A19631"/>
          <cell r="B19631"/>
          <cell r="C19631"/>
          <cell r="D19631"/>
          <cell r="E19631"/>
        </row>
        <row r="19632">
          <cell r="A19632"/>
          <cell r="B19632"/>
          <cell r="C19632"/>
          <cell r="D19632"/>
          <cell r="E19632"/>
        </row>
        <row r="19633">
          <cell r="A19633"/>
          <cell r="B19633"/>
          <cell r="C19633"/>
          <cell r="D19633"/>
          <cell r="E19633"/>
        </row>
        <row r="19634">
          <cell r="A19634"/>
          <cell r="B19634"/>
          <cell r="C19634"/>
          <cell r="D19634"/>
          <cell r="E19634"/>
        </row>
        <row r="19635">
          <cell r="A19635"/>
          <cell r="B19635"/>
          <cell r="C19635"/>
          <cell r="D19635"/>
          <cell r="E19635"/>
        </row>
        <row r="19636">
          <cell r="A19636"/>
          <cell r="B19636"/>
          <cell r="C19636"/>
          <cell r="D19636"/>
          <cell r="E19636"/>
        </row>
        <row r="19637">
          <cell r="A19637"/>
          <cell r="B19637"/>
          <cell r="C19637"/>
          <cell r="D19637"/>
          <cell r="E19637"/>
        </row>
        <row r="19638">
          <cell r="A19638"/>
          <cell r="B19638"/>
          <cell r="C19638"/>
          <cell r="D19638"/>
          <cell r="E19638"/>
        </row>
        <row r="19639">
          <cell r="A19639"/>
          <cell r="B19639"/>
          <cell r="C19639"/>
          <cell r="D19639"/>
          <cell r="E19639"/>
        </row>
        <row r="19640">
          <cell r="A19640"/>
          <cell r="B19640"/>
          <cell r="C19640"/>
          <cell r="D19640"/>
          <cell r="E19640"/>
        </row>
        <row r="19641">
          <cell r="A19641"/>
          <cell r="B19641"/>
          <cell r="C19641"/>
          <cell r="D19641"/>
          <cell r="E19641"/>
        </row>
        <row r="19642">
          <cell r="A19642"/>
          <cell r="B19642"/>
          <cell r="C19642"/>
          <cell r="D19642"/>
          <cell r="E19642"/>
        </row>
        <row r="19643">
          <cell r="A19643"/>
          <cell r="B19643"/>
          <cell r="C19643"/>
          <cell r="D19643"/>
          <cell r="E19643"/>
        </row>
        <row r="19644">
          <cell r="A19644"/>
          <cell r="B19644"/>
          <cell r="C19644"/>
          <cell r="D19644"/>
          <cell r="E19644"/>
        </row>
        <row r="19645">
          <cell r="A19645"/>
          <cell r="B19645"/>
          <cell r="C19645"/>
          <cell r="D19645"/>
          <cell r="E19645"/>
        </row>
        <row r="19646">
          <cell r="A19646"/>
          <cell r="B19646"/>
          <cell r="C19646"/>
          <cell r="D19646"/>
          <cell r="E19646"/>
        </row>
        <row r="19647">
          <cell r="A19647"/>
          <cell r="B19647"/>
          <cell r="C19647"/>
          <cell r="D19647"/>
          <cell r="E19647"/>
        </row>
        <row r="19648">
          <cell r="A19648"/>
          <cell r="B19648"/>
          <cell r="C19648"/>
          <cell r="D19648"/>
          <cell r="E19648"/>
        </row>
        <row r="19649">
          <cell r="A19649"/>
          <cell r="B19649"/>
          <cell r="C19649"/>
          <cell r="D19649"/>
          <cell r="E19649"/>
        </row>
        <row r="19650">
          <cell r="A19650"/>
          <cell r="B19650"/>
          <cell r="C19650"/>
          <cell r="D19650"/>
          <cell r="E19650"/>
        </row>
        <row r="19651">
          <cell r="A19651"/>
          <cell r="B19651"/>
          <cell r="C19651"/>
          <cell r="D19651"/>
          <cell r="E19651"/>
        </row>
        <row r="19652">
          <cell r="A19652"/>
          <cell r="B19652"/>
          <cell r="C19652"/>
          <cell r="D19652"/>
          <cell r="E19652"/>
        </row>
        <row r="19653">
          <cell r="A19653"/>
          <cell r="B19653"/>
          <cell r="C19653"/>
          <cell r="D19653"/>
          <cell r="E19653"/>
        </row>
        <row r="19654">
          <cell r="A19654"/>
          <cell r="B19654"/>
          <cell r="C19654"/>
          <cell r="D19654"/>
          <cell r="E19654"/>
        </row>
        <row r="19655">
          <cell r="A19655"/>
          <cell r="B19655"/>
          <cell r="C19655"/>
          <cell r="D19655"/>
          <cell r="E19655"/>
        </row>
        <row r="19656">
          <cell r="A19656"/>
          <cell r="B19656"/>
          <cell r="C19656"/>
          <cell r="D19656"/>
          <cell r="E19656"/>
        </row>
        <row r="19657">
          <cell r="A19657"/>
          <cell r="B19657"/>
          <cell r="C19657"/>
          <cell r="D19657"/>
          <cell r="E19657"/>
        </row>
        <row r="19658">
          <cell r="A19658"/>
          <cell r="B19658"/>
          <cell r="C19658"/>
          <cell r="D19658"/>
          <cell r="E19658"/>
        </row>
        <row r="19659">
          <cell r="A19659"/>
          <cell r="B19659"/>
          <cell r="C19659"/>
          <cell r="D19659"/>
          <cell r="E19659"/>
        </row>
        <row r="19660">
          <cell r="A19660"/>
          <cell r="B19660"/>
          <cell r="C19660"/>
          <cell r="D19660"/>
          <cell r="E19660"/>
        </row>
        <row r="19661">
          <cell r="A19661"/>
          <cell r="B19661"/>
          <cell r="C19661"/>
          <cell r="D19661"/>
          <cell r="E19661"/>
        </row>
        <row r="19662">
          <cell r="A19662"/>
          <cell r="B19662"/>
          <cell r="C19662"/>
          <cell r="D19662"/>
          <cell r="E19662"/>
        </row>
        <row r="19663">
          <cell r="A19663"/>
          <cell r="B19663"/>
          <cell r="C19663"/>
          <cell r="D19663"/>
          <cell r="E19663"/>
        </row>
        <row r="19664">
          <cell r="A19664"/>
          <cell r="B19664"/>
          <cell r="C19664"/>
          <cell r="D19664"/>
          <cell r="E19664"/>
        </row>
        <row r="19665">
          <cell r="A19665"/>
          <cell r="B19665"/>
          <cell r="C19665"/>
          <cell r="D19665"/>
          <cell r="E19665"/>
        </row>
        <row r="19666">
          <cell r="A19666"/>
          <cell r="B19666"/>
          <cell r="C19666"/>
          <cell r="D19666"/>
          <cell r="E19666"/>
        </row>
        <row r="19667">
          <cell r="A19667"/>
          <cell r="B19667"/>
          <cell r="C19667"/>
          <cell r="D19667"/>
          <cell r="E19667"/>
        </row>
        <row r="19668">
          <cell r="A19668"/>
          <cell r="B19668"/>
          <cell r="C19668"/>
          <cell r="D19668"/>
          <cell r="E19668"/>
        </row>
        <row r="19669">
          <cell r="A19669"/>
          <cell r="B19669"/>
          <cell r="C19669"/>
          <cell r="D19669"/>
          <cell r="E19669"/>
        </row>
        <row r="19670">
          <cell r="A19670"/>
          <cell r="B19670"/>
          <cell r="C19670"/>
          <cell r="D19670"/>
          <cell r="E19670"/>
        </row>
        <row r="19671">
          <cell r="A19671"/>
          <cell r="B19671"/>
          <cell r="C19671"/>
          <cell r="D19671"/>
          <cell r="E19671"/>
        </row>
        <row r="19672">
          <cell r="A19672"/>
          <cell r="B19672"/>
          <cell r="C19672"/>
          <cell r="D19672"/>
          <cell r="E19672"/>
        </row>
        <row r="19673">
          <cell r="A19673"/>
          <cell r="B19673"/>
          <cell r="C19673"/>
          <cell r="D19673"/>
          <cell r="E19673"/>
        </row>
        <row r="19674">
          <cell r="A19674"/>
          <cell r="B19674"/>
          <cell r="C19674"/>
          <cell r="D19674"/>
          <cell r="E19674"/>
        </row>
        <row r="19675">
          <cell r="A19675"/>
          <cell r="B19675"/>
          <cell r="C19675"/>
          <cell r="D19675"/>
          <cell r="E19675"/>
        </row>
        <row r="19676">
          <cell r="A19676"/>
          <cell r="B19676"/>
          <cell r="C19676"/>
          <cell r="D19676"/>
          <cell r="E19676"/>
        </row>
        <row r="19677">
          <cell r="A19677"/>
          <cell r="B19677"/>
          <cell r="C19677"/>
          <cell r="D19677"/>
          <cell r="E19677"/>
        </row>
        <row r="19678">
          <cell r="A19678"/>
          <cell r="B19678"/>
          <cell r="C19678"/>
          <cell r="D19678"/>
          <cell r="E19678"/>
        </row>
        <row r="19679">
          <cell r="A19679"/>
          <cell r="B19679"/>
          <cell r="C19679"/>
          <cell r="D19679"/>
          <cell r="E19679"/>
        </row>
        <row r="19680">
          <cell r="A19680"/>
          <cell r="B19680"/>
          <cell r="C19680"/>
          <cell r="D19680"/>
          <cell r="E19680"/>
        </row>
        <row r="19681">
          <cell r="A19681"/>
          <cell r="B19681"/>
          <cell r="C19681"/>
          <cell r="D19681"/>
          <cell r="E19681"/>
        </row>
        <row r="19682">
          <cell r="A19682"/>
          <cell r="B19682"/>
          <cell r="C19682"/>
          <cell r="D19682"/>
          <cell r="E19682"/>
        </row>
        <row r="19683">
          <cell r="A19683"/>
          <cell r="B19683"/>
          <cell r="C19683"/>
          <cell r="D19683"/>
          <cell r="E19683"/>
        </row>
        <row r="19684">
          <cell r="A19684"/>
          <cell r="B19684"/>
          <cell r="C19684"/>
          <cell r="D19684"/>
          <cell r="E19684"/>
        </row>
        <row r="19685">
          <cell r="A19685"/>
          <cell r="B19685"/>
          <cell r="C19685"/>
          <cell r="D19685"/>
          <cell r="E19685"/>
        </row>
        <row r="19686">
          <cell r="A19686"/>
          <cell r="B19686"/>
          <cell r="C19686"/>
          <cell r="D19686"/>
          <cell r="E19686"/>
        </row>
        <row r="19687">
          <cell r="A19687"/>
          <cell r="B19687"/>
          <cell r="C19687"/>
          <cell r="D19687"/>
          <cell r="E19687"/>
        </row>
        <row r="19688">
          <cell r="A19688"/>
          <cell r="B19688"/>
          <cell r="C19688"/>
          <cell r="D19688"/>
          <cell r="E19688"/>
        </row>
        <row r="19689">
          <cell r="A19689"/>
          <cell r="B19689"/>
          <cell r="C19689"/>
          <cell r="D19689"/>
          <cell r="E19689"/>
        </row>
        <row r="19690">
          <cell r="A19690"/>
          <cell r="B19690"/>
          <cell r="C19690"/>
          <cell r="D19690"/>
          <cell r="E19690"/>
        </row>
        <row r="19691">
          <cell r="A19691"/>
          <cell r="B19691"/>
          <cell r="C19691"/>
          <cell r="D19691"/>
          <cell r="E19691"/>
        </row>
        <row r="19692">
          <cell r="A19692"/>
          <cell r="B19692"/>
          <cell r="C19692"/>
          <cell r="D19692"/>
          <cell r="E19692"/>
        </row>
        <row r="19693">
          <cell r="A19693"/>
          <cell r="B19693"/>
          <cell r="C19693"/>
          <cell r="D19693"/>
          <cell r="E19693"/>
        </row>
        <row r="19694">
          <cell r="A19694"/>
          <cell r="B19694"/>
          <cell r="C19694"/>
          <cell r="D19694"/>
          <cell r="E19694"/>
        </row>
        <row r="19695">
          <cell r="A19695"/>
          <cell r="B19695"/>
          <cell r="C19695"/>
          <cell r="D19695"/>
          <cell r="E19695"/>
        </row>
        <row r="19696">
          <cell r="A19696"/>
          <cell r="B19696"/>
          <cell r="C19696"/>
          <cell r="D19696"/>
          <cell r="E19696"/>
        </row>
        <row r="19697">
          <cell r="A19697"/>
          <cell r="B19697"/>
          <cell r="C19697"/>
          <cell r="D19697"/>
          <cell r="E19697"/>
        </row>
        <row r="19698">
          <cell r="A19698"/>
          <cell r="B19698"/>
          <cell r="C19698"/>
          <cell r="D19698"/>
          <cell r="E19698"/>
        </row>
        <row r="19699">
          <cell r="A19699"/>
          <cell r="B19699"/>
          <cell r="C19699"/>
          <cell r="D19699"/>
          <cell r="E19699"/>
        </row>
        <row r="19700">
          <cell r="A19700"/>
          <cell r="B19700"/>
          <cell r="C19700"/>
          <cell r="D19700"/>
          <cell r="E19700"/>
        </row>
        <row r="19701">
          <cell r="A19701"/>
          <cell r="B19701"/>
          <cell r="C19701"/>
          <cell r="D19701"/>
          <cell r="E19701"/>
        </row>
        <row r="19702">
          <cell r="A19702"/>
          <cell r="B19702"/>
          <cell r="C19702"/>
          <cell r="D19702"/>
          <cell r="E19702"/>
        </row>
        <row r="19703">
          <cell r="A19703"/>
          <cell r="B19703"/>
          <cell r="C19703"/>
          <cell r="D19703"/>
          <cell r="E19703"/>
        </row>
        <row r="19704">
          <cell r="A19704"/>
          <cell r="B19704"/>
          <cell r="C19704"/>
          <cell r="D19704"/>
          <cell r="E19704"/>
        </row>
        <row r="19705">
          <cell r="A19705"/>
          <cell r="B19705"/>
          <cell r="C19705"/>
          <cell r="D19705"/>
          <cell r="E19705"/>
        </row>
        <row r="19706">
          <cell r="A19706"/>
          <cell r="B19706"/>
          <cell r="C19706"/>
          <cell r="D19706"/>
          <cell r="E19706"/>
        </row>
        <row r="19707">
          <cell r="A19707"/>
          <cell r="B19707"/>
          <cell r="C19707"/>
          <cell r="D19707"/>
          <cell r="E19707"/>
        </row>
        <row r="19708">
          <cell r="A19708"/>
          <cell r="B19708"/>
          <cell r="C19708"/>
          <cell r="D19708"/>
          <cell r="E19708"/>
        </row>
        <row r="19709">
          <cell r="A19709"/>
          <cell r="B19709"/>
          <cell r="C19709"/>
          <cell r="D19709"/>
          <cell r="E19709"/>
        </row>
        <row r="19710">
          <cell r="A19710"/>
          <cell r="B19710"/>
          <cell r="C19710"/>
          <cell r="D19710"/>
          <cell r="E19710"/>
        </row>
        <row r="19711">
          <cell r="A19711"/>
          <cell r="B19711"/>
          <cell r="C19711"/>
          <cell r="D19711"/>
          <cell r="E19711"/>
        </row>
        <row r="19712">
          <cell r="A19712"/>
          <cell r="B19712"/>
          <cell r="C19712"/>
          <cell r="D19712"/>
          <cell r="E19712"/>
        </row>
        <row r="19713">
          <cell r="A19713"/>
          <cell r="B19713"/>
          <cell r="C19713"/>
          <cell r="D19713"/>
          <cell r="E19713"/>
        </row>
        <row r="19714">
          <cell r="A19714"/>
          <cell r="B19714"/>
          <cell r="C19714"/>
          <cell r="D19714"/>
          <cell r="E19714"/>
        </row>
        <row r="19715">
          <cell r="A19715"/>
          <cell r="B19715"/>
          <cell r="C19715"/>
          <cell r="D19715"/>
          <cell r="E19715"/>
        </row>
        <row r="19716">
          <cell r="A19716"/>
          <cell r="B19716"/>
          <cell r="C19716"/>
          <cell r="D19716"/>
          <cell r="E19716"/>
        </row>
        <row r="19717">
          <cell r="A19717"/>
          <cell r="B19717"/>
          <cell r="C19717"/>
          <cell r="D19717"/>
          <cell r="E19717"/>
        </row>
        <row r="19718">
          <cell r="A19718"/>
          <cell r="B19718"/>
          <cell r="C19718"/>
          <cell r="D19718"/>
          <cell r="E19718"/>
        </row>
        <row r="19719">
          <cell r="A19719"/>
          <cell r="B19719"/>
          <cell r="C19719"/>
          <cell r="D19719"/>
          <cell r="E19719"/>
        </row>
        <row r="19720">
          <cell r="A19720"/>
          <cell r="B19720"/>
          <cell r="C19720"/>
          <cell r="D19720"/>
          <cell r="E19720"/>
        </row>
        <row r="19721">
          <cell r="A19721"/>
          <cell r="B19721"/>
          <cell r="C19721"/>
          <cell r="D19721"/>
          <cell r="E19721"/>
        </row>
        <row r="19722">
          <cell r="A19722"/>
          <cell r="B19722"/>
          <cell r="C19722"/>
          <cell r="D19722"/>
          <cell r="E19722"/>
        </row>
        <row r="19723">
          <cell r="A19723"/>
          <cell r="B19723"/>
          <cell r="C19723"/>
          <cell r="D19723"/>
          <cell r="E19723"/>
        </row>
        <row r="19724">
          <cell r="A19724"/>
          <cell r="B19724"/>
          <cell r="C19724"/>
          <cell r="D19724"/>
          <cell r="E19724"/>
        </row>
        <row r="19725">
          <cell r="A19725"/>
          <cell r="B19725"/>
          <cell r="C19725"/>
          <cell r="D19725"/>
          <cell r="E19725"/>
        </row>
        <row r="19726">
          <cell r="A19726"/>
          <cell r="B19726"/>
          <cell r="C19726"/>
          <cell r="D19726"/>
          <cell r="E19726"/>
        </row>
        <row r="19727">
          <cell r="A19727"/>
          <cell r="B19727"/>
          <cell r="C19727"/>
          <cell r="D19727"/>
          <cell r="E19727"/>
        </row>
        <row r="19728">
          <cell r="A19728"/>
          <cell r="B19728"/>
          <cell r="C19728"/>
          <cell r="D19728"/>
          <cell r="E19728"/>
        </row>
        <row r="19729">
          <cell r="A19729"/>
          <cell r="B19729"/>
          <cell r="C19729"/>
          <cell r="D19729"/>
          <cell r="E19729"/>
        </row>
        <row r="19730">
          <cell r="A19730"/>
          <cell r="B19730"/>
          <cell r="C19730"/>
          <cell r="D19730"/>
          <cell r="E19730"/>
        </row>
        <row r="19731">
          <cell r="A19731"/>
          <cell r="B19731"/>
          <cell r="C19731"/>
          <cell r="D19731"/>
          <cell r="E19731"/>
        </row>
        <row r="19732">
          <cell r="A19732"/>
          <cell r="B19732"/>
          <cell r="C19732"/>
          <cell r="D19732"/>
          <cell r="E19732"/>
        </row>
        <row r="19733">
          <cell r="A19733"/>
          <cell r="B19733"/>
          <cell r="C19733"/>
          <cell r="D19733"/>
          <cell r="E19733"/>
        </row>
        <row r="19734">
          <cell r="A19734"/>
          <cell r="B19734"/>
          <cell r="C19734"/>
          <cell r="D19734"/>
          <cell r="E19734"/>
        </row>
        <row r="19735">
          <cell r="A19735"/>
          <cell r="B19735"/>
          <cell r="C19735"/>
          <cell r="D19735"/>
          <cell r="E19735"/>
        </row>
        <row r="19736">
          <cell r="A19736"/>
          <cell r="B19736"/>
          <cell r="C19736"/>
          <cell r="D19736"/>
          <cell r="E19736"/>
        </row>
        <row r="19737">
          <cell r="A19737"/>
          <cell r="B19737"/>
          <cell r="C19737"/>
          <cell r="D19737"/>
          <cell r="E19737"/>
        </row>
        <row r="19738">
          <cell r="A19738"/>
          <cell r="B19738"/>
          <cell r="C19738"/>
          <cell r="D19738"/>
          <cell r="E19738"/>
        </row>
        <row r="19739">
          <cell r="A19739"/>
          <cell r="B19739"/>
          <cell r="C19739"/>
          <cell r="D19739"/>
          <cell r="E19739"/>
        </row>
        <row r="19740">
          <cell r="A19740"/>
          <cell r="B19740"/>
          <cell r="C19740"/>
          <cell r="D19740"/>
          <cell r="E19740"/>
        </row>
        <row r="19741">
          <cell r="A19741"/>
          <cell r="B19741"/>
          <cell r="C19741"/>
          <cell r="D19741"/>
          <cell r="E19741"/>
        </row>
        <row r="19742">
          <cell r="A19742"/>
          <cell r="B19742"/>
          <cell r="C19742"/>
          <cell r="D19742"/>
          <cell r="E19742"/>
        </row>
        <row r="19743">
          <cell r="A19743"/>
          <cell r="B19743"/>
          <cell r="C19743"/>
          <cell r="D19743"/>
          <cell r="E19743"/>
        </row>
        <row r="19744">
          <cell r="A19744"/>
          <cell r="B19744"/>
          <cell r="C19744"/>
          <cell r="D19744"/>
          <cell r="E19744"/>
        </row>
        <row r="19745">
          <cell r="A19745"/>
          <cell r="B19745"/>
          <cell r="C19745"/>
          <cell r="D19745"/>
          <cell r="E19745"/>
        </row>
        <row r="19746">
          <cell r="A19746"/>
          <cell r="B19746"/>
          <cell r="C19746"/>
          <cell r="D19746"/>
          <cell r="E19746"/>
        </row>
        <row r="19747">
          <cell r="A19747"/>
          <cell r="B19747"/>
          <cell r="C19747"/>
          <cell r="D19747"/>
          <cell r="E19747"/>
        </row>
        <row r="19748">
          <cell r="A19748"/>
          <cell r="B19748"/>
          <cell r="C19748"/>
          <cell r="D19748"/>
          <cell r="E19748"/>
        </row>
        <row r="19749">
          <cell r="A19749"/>
          <cell r="B19749"/>
          <cell r="C19749"/>
          <cell r="D19749"/>
          <cell r="E19749"/>
        </row>
        <row r="19750">
          <cell r="A19750"/>
          <cell r="B19750"/>
          <cell r="C19750"/>
          <cell r="D19750"/>
          <cell r="E19750"/>
        </row>
        <row r="19751">
          <cell r="A19751"/>
          <cell r="B19751"/>
          <cell r="C19751"/>
          <cell r="D19751"/>
          <cell r="E19751"/>
        </row>
        <row r="19752">
          <cell r="A19752"/>
          <cell r="B19752"/>
          <cell r="C19752"/>
          <cell r="D19752"/>
          <cell r="E19752"/>
        </row>
        <row r="19753">
          <cell r="A19753"/>
          <cell r="B19753"/>
          <cell r="C19753"/>
          <cell r="D19753"/>
          <cell r="E19753"/>
        </row>
        <row r="19754">
          <cell r="A19754"/>
          <cell r="B19754"/>
          <cell r="C19754"/>
          <cell r="D19754"/>
          <cell r="E19754"/>
        </row>
        <row r="19755">
          <cell r="A19755"/>
          <cell r="B19755"/>
          <cell r="C19755"/>
          <cell r="D19755"/>
          <cell r="E19755"/>
        </row>
        <row r="19756">
          <cell r="A19756"/>
          <cell r="B19756"/>
          <cell r="C19756"/>
          <cell r="D19756"/>
          <cell r="E19756"/>
        </row>
        <row r="19757">
          <cell r="A19757"/>
          <cell r="B19757"/>
          <cell r="C19757"/>
          <cell r="D19757"/>
          <cell r="E19757"/>
        </row>
        <row r="19758">
          <cell r="A19758"/>
          <cell r="B19758"/>
          <cell r="C19758"/>
          <cell r="D19758"/>
          <cell r="E19758"/>
        </row>
        <row r="19759">
          <cell r="A19759"/>
          <cell r="B19759"/>
          <cell r="C19759"/>
          <cell r="D19759"/>
          <cell r="E19759"/>
        </row>
        <row r="19760">
          <cell r="A19760"/>
          <cell r="B19760"/>
          <cell r="C19760"/>
          <cell r="D19760"/>
          <cell r="E19760"/>
        </row>
        <row r="19761">
          <cell r="A19761"/>
          <cell r="B19761"/>
          <cell r="C19761"/>
          <cell r="D19761"/>
          <cell r="E19761"/>
        </row>
        <row r="19762">
          <cell r="A19762"/>
          <cell r="B19762"/>
          <cell r="C19762"/>
          <cell r="D19762"/>
          <cell r="E19762"/>
        </row>
        <row r="19763">
          <cell r="A19763"/>
          <cell r="B19763"/>
          <cell r="C19763"/>
          <cell r="D19763"/>
          <cell r="E19763"/>
        </row>
        <row r="19764">
          <cell r="A19764"/>
          <cell r="B19764"/>
          <cell r="C19764"/>
          <cell r="D19764"/>
          <cell r="E19764"/>
        </row>
        <row r="19765">
          <cell r="A19765"/>
          <cell r="B19765"/>
          <cell r="C19765"/>
          <cell r="D19765"/>
          <cell r="E19765"/>
        </row>
        <row r="19766">
          <cell r="A19766"/>
          <cell r="B19766"/>
          <cell r="C19766"/>
          <cell r="D19766"/>
          <cell r="E19766"/>
        </row>
        <row r="19767">
          <cell r="A19767"/>
          <cell r="B19767"/>
          <cell r="C19767"/>
          <cell r="D19767"/>
          <cell r="E19767"/>
        </row>
        <row r="19768">
          <cell r="A19768"/>
          <cell r="B19768"/>
          <cell r="C19768"/>
          <cell r="D19768"/>
          <cell r="E19768"/>
        </row>
        <row r="19769">
          <cell r="A19769"/>
          <cell r="B19769"/>
          <cell r="C19769"/>
          <cell r="D19769"/>
          <cell r="E19769"/>
        </row>
        <row r="19770">
          <cell r="A19770"/>
          <cell r="B19770"/>
          <cell r="C19770"/>
          <cell r="D19770"/>
          <cell r="E19770"/>
        </row>
        <row r="19771">
          <cell r="A19771"/>
          <cell r="B19771"/>
          <cell r="C19771"/>
          <cell r="D19771"/>
          <cell r="E19771"/>
        </row>
        <row r="19772">
          <cell r="A19772"/>
          <cell r="B19772"/>
          <cell r="C19772"/>
          <cell r="D19772"/>
          <cell r="E19772"/>
        </row>
        <row r="19773">
          <cell r="A19773"/>
          <cell r="B19773"/>
          <cell r="C19773"/>
          <cell r="D19773"/>
          <cell r="E19773"/>
        </row>
        <row r="19774">
          <cell r="A19774"/>
          <cell r="B19774"/>
          <cell r="C19774"/>
          <cell r="D19774"/>
          <cell r="E19774"/>
        </row>
        <row r="19775">
          <cell r="A19775"/>
          <cell r="B19775"/>
          <cell r="C19775"/>
          <cell r="D19775"/>
          <cell r="E19775"/>
        </row>
        <row r="19776">
          <cell r="A19776"/>
          <cell r="B19776"/>
          <cell r="C19776"/>
          <cell r="D19776"/>
          <cell r="E19776"/>
        </row>
        <row r="19777">
          <cell r="A19777"/>
          <cell r="B19777"/>
          <cell r="C19777"/>
          <cell r="D19777"/>
          <cell r="E19777"/>
        </row>
        <row r="19778">
          <cell r="A19778"/>
          <cell r="B19778"/>
          <cell r="C19778"/>
          <cell r="D19778"/>
          <cell r="E19778"/>
        </row>
        <row r="19779">
          <cell r="A19779"/>
          <cell r="B19779"/>
          <cell r="C19779"/>
          <cell r="D19779"/>
          <cell r="E19779"/>
        </row>
        <row r="19780">
          <cell r="A19780"/>
          <cell r="B19780"/>
          <cell r="C19780"/>
          <cell r="D19780"/>
          <cell r="E19780"/>
        </row>
        <row r="19781">
          <cell r="A19781"/>
          <cell r="B19781"/>
          <cell r="C19781"/>
          <cell r="D19781"/>
          <cell r="E19781"/>
        </row>
        <row r="19782">
          <cell r="A19782"/>
          <cell r="B19782"/>
          <cell r="C19782"/>
          <cell r="D19782"/>
          <cell r="E19782"/>
        </row>
        <row r="19783">
          <cell r="A19783"/>
          <cell r="B19783"/>
          <cell r="C19783"/>
          <cell r="D19783"/>
          <cell r="E19783"/>
        </row>
        <row r="19784">
          <cell r="A19784"/>
          <cell r="B19784"/>
          <cell r="C19784"/>
          <cell r="D19784"/>
          <cell r="E19784"/>
        </row>
        <row r="19785">
          <cell r="A19785"/>
          <cell r="B19785"/>
          <cell r="C19785"/>
          <cell r="D19785"/>
          <cell r="E19785"/>
        </row>
        <row r="19786">
          <cell r="A19786"/>
          <cell r="B19786"/>
          <cell r="C19786"/>
          <cell r="D19786"/>
          <cell r="E19786"/>
        </row>
        <row r="19787">
          <cell r="A19787"/>
          <cell r="B19787"/>
          <cell r="C19787"/>
          <cell r="D19787"/>
          <cell r="E19787"/>
        </row>
        <row r="19788">
          <cell r="A19788"/>
          <cell r="B19788"/>
          <cell r="C19788"/>
          <cell r="D19788"/>
          <cell r="E19788"/>
        </row>
        <row r="19789">
          <cell r="A19789"/>
          <cell r="B19789"/>
          <cell r="C19789"/>
          <cell r="D19789"/>
          <cell r="E19789"/>
        </row>
        <row r="19790">
          <cell r="A19790"/>
          <cell r="B19790"/>
          <cell r="C19790"/>
          <cell r="D19790"/>
          <cell r="E19790"/>
        </row>
        <row r="19791">
          <cell r="A19791"/>
          <cell r="B19791"/>
          <cell r="C19791"/>
          <cell r="D19791"/>
          <cell r="E19791"/>
        </row>
        <row r="19792">
          <cell r="A19792"/>
          <cell r="B19792"/>
          <cell r="C19792"/>
          <cell r="D19792"/>
          <cell r="E19792"/>
        </row>
        <row r="19793">
          <cell r="A19793"/>
          <cell r="B19793"/>
          <cell r="C19793"/>
          <cell r="D19793"/>
          <cell r="E19793"/>
        </row>
        <row r="19794">
          <cell r="A19794"/>
          <cell r="B19794"/>
          <cell r="C19794"/>
          <cell r="D19794"/>
          <cell r="E19794"/>
        </row>
        <row r="19795">
          <cell r="A19795"/>
          <cell r="B19795"/>
          <cell r="C19795"/>
          <cell r="D19795"/>
          <cell r="E19795"/>
        </row>
        <row r="19796">
          <cell r="A19796"/>
          <cell r="B19796"/>
          <cell r="C19796"/>
          <cell r="D19796"/>
          <cell r="E19796"/>
        </row>
        <row r="19797">
          <cell r="A19797"/>
          <cell r="B19797"/>
          <cell r="C19797"/>
          <cell r="D19797"/>
          <cell r="E19797"/>
        </row>
        <row r="19798">
          <cell r="A19798"/>
          <cell r="B19798"/>
          <cell r="C19798"/>
          <cell r="D19798"/>
          <cell r="E19798"/>
        </row>
        <row r="19799">
          <cell r="A19799"/>
          <cell r="B19799"/>
          <cell r="C19799"/>
          <cell r="D19799"/>
          <cell r="E19799"/>
        </row>
        <row r="19800">
          <cell r="A19800"/>
          <cell r="B19800"/>
          <cell r="C19800"/>
          <cell r="D19800"/>
          <cell r="E19800"/>
        </row>
        <row r="19801">
          <cell r="A19801"/>
          <cell r="B19801"/>
          <cell r="C19801"/>
          <cell r="D19801"/>
          <cell r="E19801"/>
        </row>
        <row r="19802">
          <cell r="A19802"/>
          <cell r="B19802"/>
          <cell r="C19802"/>
          <cell r="D19802"/>
          <cell r="E19802"/>
        </row>
        <row r="19803">
          <cell r="A19803"/>
          <cell r="B19803"/>
          <cell r="C19803"/>
          <cell r="D19803"/>
          <cell r="E19803"/>
        </row>
        <row r="19804">
          <cell r="A19804"/>
          <cell r="B19804"/>
          <cell r="C19804"/>
          <cell r="D19804"/>
          <cell r="E19804"/>
        </row>
        <row r="19805">
          <cell r="A19805"/>
          <cell r="B19805"/>
          <cell r="C19805"/>
          <cell r="D19805"/>
          <cell r="E19805"/>
        </row>
        <row r="19806">
          <cell r="A19806"/>
          <cell r="B19806"/>
          <cell r="C19806"/>
          <cell r="D19806"/>
          <cell r="E19806"/>
        </row>
        <row r="19807">
          <cell r="A19807"/>
          <cell r="B19807"/>
          <cell r="C19807"/>
          <cell r="D19807"/>
          <cell r="E19807"/>
        </row>
        <row r="19808">
          <cell r="A19808"/>
          <cell r="B19808"/>
          <cell r="C19808"/>
          <cell r="D19808"/>
          <cell r="E19808"/>
        </row>
        <row r="19809">
          <cell r="A19809"/>
          <cell r="B19809"/>
          <cell r="C19809"/>
          <cell r="D19809"/>
          <cell r="E19809"/>
        </row>
        <row r="19810">
          <cell r="A19810"/>
          <cell r="B19810"/>
          <cell r="C19810"/>
          <cell r="D19810"/>
          <cell r="E19810"/>
        </row>
        <row r="19811">
          <cell r="A19811"/>
          <cell r="B19811"/>
          <cell r="C19811"/>
          <cell r="D19811"/>
          <cell r="E19811"/>
        </row>
        <row r="19812">
          <cell r="A19812"/>
          <cell r="B19812"/>
          <cell r="C19812"/>
          <cell r="D19812"/>
          <cell r="E19812"/>
        </row>
        <row r="19813">
          <cell r="A19813"/>
          <cell r="B19813"/>
          <cell r="C19813"/>
          <cell r="D19813"/>
          <cell r="E19813"/>
        </row>
        <row r="19814">
          <cell r="A19814"/>
          <cell r="B19814"/>
          <cell r="C19814"/>
          <cell r="D19814"/>
          <cell r="E19814"/>
        </row>
        <row r="19815">
          <cell r="A19815"/>
          <cell r="B19815"/>
          <cell r="C19815"/>
          <cell r="D19815"/>
          <cell r="E19815"/>
        </row>
        <row r="19816">
          <cell r="A19816"/>
          <cell r="B19816"/>
          <cell r="C19816"/>
          <cell r="D19816"/>
          <cell r="E19816"/>
        </row>
        <row r="19817">
          <cell r="A19817"/>
          <cell r="B19817"/>
          <cell r="C19817"/>
          <cell r="D19817"/>
          <cell r="E19817"/>
        </row>
        <row r="19818">
          <cell r="A19818"/>
          <cell r="B19818"/>
          <cell r="C19818"/>
          <cell r="D19818"/>
          <cell r="E19818"/>
        </row>
        <row r="19819">
          <cell r="A19819"/>
          <cell r="B19819"/>
          <cell r="C19819"/>
          <cell r="D19819"/>
          <cell r="E19819"/>
        </row>
        <row r="19820">
          <cell r="A19820"/>
          <cell r="B19820"/>
          <cell r="C19820"/>
          <cell r="D19820"/>
          <cell r="E19820"/>
        </row>
        <row r="19821">
          <cell r="A19821"/>
          <cell r="B19821"/>
          <cell r="C19821"/>
          <cell r="D19821"/>
          <cell r="E19821"/>
        </row>
        <row r="19822">
          <cell r="A19822"/>
          <cell r="B19822"/>
          <cell r="C19822"/>
          <cell r="D19822"/>
          <cell r="E19822"/>
        </row>
        <row r="19823">
          <cell r="A19823"/>
          <cell r="B19823"/>
          <cell r="C19823"/>
          <cell r="D19823"/>
          <cell r="E19823"/>
        </row>
        <row r="19824">
          <cell r="A19824"/>
          <cell r="B19824"/>
          <cell r="C19824"/>
          <cell r="D19824"/>
          <cell r="E19824"/>
        </row>
        <row r="19825">
          <cell r="A19825"/>
          <cell r="B19825"/>
          <cell r="C19825"/>
          <cell r="D19825"/>
          <cell r="E19825"/>
        </row>
        <row r="19826">
          <cell r="A19826"/>
          <cell r="B19826"/>
          <cell r="C19826"/>
          <cell r="D19826"/>
          <cell r="E19826"/>
        </row>
        <row r="19827">
          <cell r="A19827"/>
          <cell r="B19827"/>
          <cell r="C19827"/>
          <cell r="D19827"/>
          <cell r="E19827"/>
        </row>
        <row r="19828">
          <cell r="A19828"/>
          <cell r="B19828"/>
          <cell r="C19828"/>
          <cell r="D19828"/>
          <cell r="E19828"/>
        </row>
        <row r="19829">
          <cell r="A19829"/>
          <cell r="B19829"/>
          <cell r="C19829"/>
          <cell r="D19829"/>
          <cell r="E19829"/>
        </row>
        <row r="19830">
          <cell r="A19830"/>
          <cell r="B19830"/>
          <cell r="C19830"/>
          <cell r="D19830"/>
          <cell r="E19830"/>
        </row>
        <row r="19831">
          <cell r="A19831"/>
          <cell r="B19831"/>
          <cell r="C19831"/>
          <cell r="D19831"/>
          <cell r="E19831"/>
        </row>
        <row r="19832">
          <cell r="A19832"/>
          <cell r="B19832"/>
          <cell r="C19832"/>
          <cell r="D19832"/>
          <cell r="E19832"/>
        </row>
        <row r="19833">
          <cell r="A19833"/>
          <cell r="B19833"/>
          <cell r="C19833"/>
          <cell r="D19833"/>
          <cell r="E19833"/>
        </row>
        <row r="19834">
          <cell r="A19834"/>
          <cell r="B19834"/>
          <cell r="C19834"/>
          <cell r="D19834"/>
          <cell r="E19834"/>
        </row>
        <row r="19835">
          <cell r="A19835"/>
          <cell r="B19835"/>
          <cell r="C19835"/>
          <cell r="D19835"/>
          <cell r="E19835"/>
        </row>
        <row r="19836">
          <cell r="A19836"/>
          <cell r="B19836"/>
          <cell r="C19836"/>
          <cell r="D19836"/>
          <cell r="E19836"/>
        </row>
        <row r="19837">
          <cell r="A19837"/>
          <cell r="B19837"/>
          <cell r="C19837"/>
          <cell r="D19837"/>
          <cell r="E19837"/>
        </row>
        <row r="19838">
          <cell r="A19838"/>
          <cell r="B19838"/>
          <cell r="C19838"/>
          <cell r="D19838"/>
          <cell r="E19838"/>
        </row>
        <row r="19839">
          <cell r="A19839"/>
          <cell r="B19839"/>
          <cell r="C19839"/>
          <cell r="D19839"/>
          <cell r="E19839"/>
        </row>
        <row r="19840">
          <cell r="A19840"/>
          <cell r="B19840"/>
          <cell r="C19840"/>
          <cell r="D19840"/>
          <cell r="E19840"/>
        </row>
        <row r="19841">
          <cell r="A19841"/>
          <cell r="B19841"/>
          <cell r="C19841"/>
          <cell r="D19841"/>
          <cell r="E19841"/>
        </row>
        <row r="19842">
          <cell r="A19842"/>
          <cell r="B19842"/>
          <cell r="C19842"/>
          <cell r="D19842"/>
          <cell r="E19842"/>
        </row>
        <row r="19843">
          <cell r="A19843"/>
          <cell r="B19843"/>
          <cell r="C19843"/>
          <cell r="D19843"/>
          <cell r="E19843"/>
        </row>
        <row r="19844">
          <cell r="A19844"/>
          <cell r="B19844"/>
          <cell r="C19844"/>
          <cell r="D19844"/>
          <cell r="E19844"/>
        </row>
        <row r="19845">
          <cell r="A19845"/>
          <cell r="B19845"/>
          <cell r="C19845"/>
          <cell r="D19845"/>
          <cell r="E19845"/>
        </row>
        <row r="19846">
          <cell r="A19846"/>
          <cell r="B19846"/>
          <cell r="C19846"/>
          <cell r="D19846"/>
          <cell r="E19846"/>
        </row>
        <row r="19847">
          <cell r="A19847"/>
          <cell r="B19847"/>
          <cell r="C19847"/>
          <cell r="D19847"/>
          <cell r="E19847"/>
        </row>
        <row r="19848">
          <cell r="A19848"/>
          <cell r="B19848"/>
          <cell r="C19848"/>
          <cell r="D19848"/>
          <cell r="E19848"/>
        </row>
        <row r="19849">
          <cell r="A19849"/>
          <cell r="B19849"/>
          <cell r="C19849"/>
          <cell r="D19849"/>
          <cell r="E19849"/>
        </row>
        <row r="19850">
          <cell r="A19850"/>
          <cell r="B19850"/>
          <cell r="C19850"/>
          <cell r="D19850"/>
          <cell r="E19850"/>
        </row>
        <row r="19851">
          <cell r="A19851"/>
          <cell r="B19851"/>
          <cell r="C19851"/>
          <cell r="D19851"/>
          <cell r="E19851"/>
        </row>
        <row r="19852">
          <cell r="A19852"/>
          <cell r="B19852"/>
          <cell r="C19852"/>
          <cell r="D19852"/>
          <cell r="E19852"/>
        </row>
        <row r="19853">
          <cell r="A19853"/>
          <cell r="B19853"/>
          <cell r="C19853"/>
          <cell r="D19853"/>
          <cell r="E19853"/>
        </row>
        <row r="19854">
          <cell r="A19854"/>
          <cell r="B19854"/>
          <cell r="C19854"/>
          <cell r="D19854"/>
          <cell r="E19854"/>
        </row>
        <row r="19855">
          <cell r="A19855"/>
          <cell r="B19855"/>
          <cell r="C19855"/>
          <cell r="D19855"/>
          <cell r="E19855"/>
        </row>
        <row r="19856">
          <cell r="A19856"/>
          <cell r="B19856"/>
          <cell r="C19856"/>
          <cell r="D19856"/>
          <cell r="E19856"/>
        </row>
        <row r="19857">
          <cell r="A19857"/>
          <cell r="B19857"/>
          <cell r="C19857"/>
          <cell r="D19857"/>
          <cell r="E19857"/>
        </row>
        <row r="19858">
          <cell r="A19858"/>
          <cell r="B19858"/>
          <cell r="C19858"/>
          <cell r="D19858"/>
          <cell r="E19858"/>
        </row>
        <row r="19859">
          <cell r="A19859"/>
          <cell r="B19859"/>
          <cell r="C19859"/>
          <cell r="D19859"/>
          <cell r="E19859"/>
        </row>
        <row r="19860">
          <cell r="A19860"/>
          <cell r="B19860"/>
          <cell r="C19860"/>
          <cell r="D19860"/>
          <cell r="E19860"/>
        </row>
        <row r="19861">
          <cell r="A19861"/>
          <cell r="B19861"/>
          <cell r="C19861"/>
          <cell r="D19861"/>
          <cell r="E19861"/>
        </row>
        <row r="19862">
          <cell r="A19862"/>
          <cell r="B19862"/>
          <cell r="C19862"/>
          <cell r="D19862"/>
          <cell r="E19862"/>
        </row>
        <row r="19863">
          <cell r="A19863"/>
          <cell r="B19863"/>
          <cell r="C19863"/>
          <cell r="D19863"/>
          <cell r="E19863"/>
        </row>
        <row r="19864">
          <cell r="A19864"/>
          <cell r="B19864"/>
          <cell r="C19864"/>
          <cell r="D19864"/>
          <cell r="E19864"/>
        </row>
        <row r="19865">
          <cell r="A19865"/>
          <cell r="B19865"/>
          <cell r="C19865"/>
          <cell r="D19865"/>
          <cell r="E19865"/>
        </row>
        <row r="19866">
          <cell r="A19866"/>
          <cell r="B19866"/>
          <cell r="C19866"/>
          <cell r="D19866"/>
          <cell r="E19866"/>
        </row>
        <row r="19867">
          <cell r="A19867"/>
          <cell r="B19867"/>
          <cell r="C19867"/>
          <cell r="D19867"/>
          <cell r="E19867"/>
        </row>
        <row r="19868">
          <cell r="A19868"/>
          <cell r="B19868"/>
          <cell r="C19868"/>
          <cell r="D19868"/>
          <cell r="E19868"/>
        </row>
        <row r="19869">
          <cell r="A19869"/>
          <cell r="B19869"/>
          <cell r="C19869"/>
          <cell r="D19869"/>
          <cell r="E19869"/>
        </row>
        <row r="19870">
          <cell r="A19870"/>
          <cell r="B19870"/>
          <cell r="C19870"/>
          <cell r="D19870"/>
          <cell r="E19870"/>
        </row>
        <row r="19871">
          <cell r="A19871"/>
          <cell r="B19871"/>
          <cell r="C19871"/>
          <cell r="D19871"/>
          <cell r="E19871"/>
        </row>
        <row r="19872">
          <cell r="A19872"/>
          <cell r="B19872"/>
          <cell r="C19872"/>
          <cell r="D19872"/>
          <cell r="E19872"/>
        </row>
        <row r="19873">
          <cell r="A19873"/>
          <cell r="B19873"/>
          <cell r="C19873"/>
          <cell r="D19873"/>
          <cell r="E19873"/>
        </row>
        <row r="19874">
          <cell r="A19874"/>
          <cell r="B19874"/>
          <cell r="C19874"/>
          <cell r="D19874"/>
          <cell r="E19874"/>
        </row>
        <row r="19875">
          <cell r="A19875"/>
          <cell r="B19875"/>
          <cell r="C19875"/>
          <cell r="D19875"/>
          <cell r="E19875"/>
        </row>
        <row r="19876">
          <cell r="A19876"/>
          <cell r="B19876"/>
          <cell r="C19876"/>
          <cell r="D19876"/>
          <cell r="E19876"/>
        </row>
        <row r="19877">
          <cell r="A19877"/>
          <cell r="B19877"/>
          <cell r="C19877"/>
          <cell r="D19877"/>
          <cell r="E19877"/>
        </row>
        <row r="19878">
          <cell r="A19878"/>
          <cell r="B19878"/>
          <cell r="C19878"/>
          <cell r="D19878"/>
          <cell r="E19878"/>
        </row>
        <row r="19879">
          <cell r="A19879"/>
          <cell r="B19879"/>
          <cell r="C19879"/>
          <cell r="D19879"/>
          <cell r="E19879"/>
        </row>
        <row r="19880">
          <cell r="A19880"/>
          <cell r="B19880"/>
          <cell r="C19880"/>
          <cell r="D19880"/>
          <cell r="E19880"/>
        </row>
        <row r="19881">
          <cell r="A19881"/>
          <cell r="B19881"/>
          <cell r="C19881"/>
          <cell r="D19881"/>
          <cell r="E19881"/>
        </row>
        <row r="19882">
          <cell r="A19882"/>
          <cell r="B19882"/>
          <cell r="C19882"/>
          <cell r="D19882"/>
          <cell r="E19882"/>
        </row>
        <row r="19883">
          <cell r="A19883"/>
          <cell r="B19883"/>
          <cell r="C19883"/>
          <cell r="D19883"/>
          <cell r="E19883"/>
        </row>
        <row r="19884">
          <cell r="A19884"/>
          <cell r="B19884"/>
          <cell r="C19884"/>
          <cell r="D19884"/>
          <cell r="E19884"/>
        </row>
        <row r="19885">
          <cell r="A19885"/>
          <cell r="B19885"/>
          <cell r="C19885"/>
          <cell r="D19885"/>
          <cell r="E19885"/>
        </row>
        <row r="19886">
          <cell r="A19886"/>
          <cell r="B19886"/>
          <cell r="C19886"/>
          <cell r="D19886"/>
          <cell r="E19886"/>
        </row>
        <row r="19887">
          <cell r="A19887"/>
          <cell r="B19887"/>
          <cell r="C19887"/>
          <cell r="D19887"/>
          <cell r="E19887"/>
        </row>
        <row r="19888">
          <cell r="A19888"/>
          <cell r="B19888"/>
          <cell r="C19888"/>
          <cell r="D19888"/>
          <cell r="E19888"/>
        </row>
        <row r="19889">
          <cell r="A19889"/>
          <cell r="B19889"/>
          <cell r="C19889"/>
          <cell r="D19889"/>
          <cell r="E19889"/>
        </row>
        <row r="19890">
          <cell r="A19890"/>
          <cell r="B19890"/>
          <cell r="C19890"/>
          <cell r="D19890"/>
          <cell r="E19890"/>
        </row>
        <row r="19891">
          <cell r="A19891"/>
          <cell r="B19891"/>
          <cell r="C19891"/>
          <cell r="D19891"/>
          <cell r="E19891"/>
        </row>
        <row r="19892">
          <cell r="A19892"/>
          <cell r="B19892"/>
          <cell r="C19892"/>
          <cell r="D19892"/>
          <cell r="E19892"/>
        </row>
        <row r="19893">
          <cell r="A19893"/>
          <cell r="B19893"/>
          <cell r="C19893"/>
          <cell r="D19893"/>
          <cell r="E19893"/>
        </row>
        <row r="19894">
          <cell r="A19894"/>
          <cell r="B19894"/>
          <cell r="C19894"/>
          <cell r="D19894"/>
          <cell r="E19894"/>
        </row>
        <row r="19895">
          <cell r="A19895"/>
          <cell r="B19895"/>
          <cell r="C19895"/>
          <cell r="D19895"/>
          <cell r="E19895"/>
        </row>
        <row r="19896">
          <cell r="A19896"/>
          <cell r="B19896"/>
          <cell r="C19896"/>
          <cell r="D19896"/>
          <cell r="E19896"/>
        </row>
        <row r="19897">
          <cell r="A19897"/>
          <cell r="B19897"/>
          <cell r="C19897"/>
          <cell r="D19897"/>
          <cell r="E19897"/>
        </row>
        <row r="19898">
          <cell r="A19898"/>
          <cell r="B19898"/>
          <cell r="C19898"/>
          <cell r="D19898"/>
          <cell r="E19898"/>
        </row>
        <row r="19899">
          <cell r="A19899"/>
          <cell r="B19899"/>
          <cell r="C19899"/>
          <cell r="D19899"/>
          <cell r="E19899"/>
        </row>
        <row r="19900">
          <cell r="A19900"/>
          <cell r="B19900"/>
          <cell r="C19900"/>
          <cell r="D19900"/>
          <cell r="E19900"/>
        </row>
        <row r="19901">
          <cell r="A19901"/>
          <cell r="B19901"/>
          <cell r="C19901"/>
          <cell r="D19901"/>
          <cell r="E19901"/>
        </row>
        <row r="19902">
          <cell r="A19902"/>
          <cell r="B19902"/>
          <cell r="C19902"/>
          <cell r="D19902"/>
          <cell r="E19902"/>
        </row>
        <row r="19903">
          <cell r="A19903"/>
          <cell r="B19903"/>
          <cell r="C19903"/>
          <cell r="D19903"/>
          <cell r="E19903"/>
        </row>
        <row r="19904">
          <cell r="A19904"/>
          <cell r="B19904"/>
          <cell r="C19904"/>
          <cell r="D19904"/>
          <cell r="E19904"/>
        </row>
        <row r="19905">
          <cell r="A19905"/>
          <cell r="B19905"/>
          <cell r="C19905"/>
          <cell r="D19905"/>
          <cell r="E19905"/>
        </row>
        <row r="19906">
          <cell r="A19906"/>
          <cell r="B19906"/>
          <cell r="C19906"/>
          <cell r="D19906"/>
          <cell r="E19906"/>
        </row>
        <row r="19907">
          <cell r="A19907"/>
          <cell r="B19907"/>
          <cell r="C19907"/>
          <cell r="D19907"/>
          <cell r="E19907"/>
        </row>
        <row r="19908">
          <cell r="A19908"/>
          <cell r="B19908"/>
          <cell r="C19908"/>
          <cell r="D19908"/>
          <cell r="E19908"/>
        </row>
        <row r="19909">
          <cell r="A19909"/>
          <cell r="B19909"/>
          <cell r="C19909"/>
          <cell r="D19909"/>
          <cell r="E19909"/>
        </row>
        <row r="19910">
          <cell r="A19910"/>
          <cell r="B19910"/>
          <cell r="C19910"/>
          <cell r="D19910"/>
          <cell r="E19910"/>
        </row>
        <row r="19911">
          <cell r="A19911"/>
          <cell r="B19911"/>
          <cell r="C19911"/>
          <cell r="D19911"/>
          <cell r="E19911"/>
        </row>
        <row r="19912">
          <cell r="A19912"/>
          <cell r="B19912"/>
          <cell r="C19912"/>
          <cell r="D19912"/>
          <cell r="E19912"/>
        </row>
        <row r="19913">
          <cell r="A19913"/>
          <cell r="B19913"/>
          <cell r="C19913"/>
          <cell r="D19913"/>
          <cell r="E19913"/>
        </row>
        <row r="19914">
          <cell r="A19914"/>
          <cell r="B19914"/>
          <cell r="C19914"/>
          <cell r="D19914"/>
          <cell r="E19914"/>
        </row>
        <row r="19915">
          <cell r="A19915"/>
          <cell r="B19915"/>
          <cell r="C19915"/>
          <cell r="D19915"/>
          <cell r="E19915"/>
        </row>
        <row r="19916">
          <cell r="A19916"/>
          <cell r="B19916"/>
          <cell r="C19916"/>
          <cell r="D19916"/>
          <cell r="E19916"/>
        </row>
        <row r="19917">
          <cell r="A19917"/>
          <cell r="B19917"/>
          <cell r="C19917"/>
          <cell r="D19917"/>
          <cell r="E19917"/>
        </row>
        <row r="19918">
          <cell r="A19918"/>
          <cell r="B19918"/>
          <cell r="C19918"/>
          <cell r="D19918"/>
          <cell r="E19918"/>
        </row>
        <row r="19919">
          <cell r="A19919"/>
          <cell r="B19919"/>
          <cell r="C19919"/>
          <cell r="D19919"/>
          <cell r="E19919"/>
        </row>
        <row r="19920">
          <cell r="A19920"/>
          <cell r="B19920"/>
          <cell r="C19920"/>
          <cell r="D19920"/>
          <cell r="E19920"/>
        </row>
        <row r="19921">
          <cell r="A19921"/>
          <cell r="B19921"/>
          <cell r="C19921"/>
          <cell r="D19921"/>
          <cell r="E19921"/>
        </row>
        <row r="19922">
          <cell r="A19922"/>
          <cell r="B19922"/>
          <cell r="C19922"/>
          <cell r="D19922"/>
          <cell r="E19922"/>
        </row>
        <row r="19923">
          <cell r="A19923"/>
          <cell r="B19923"/>
          <cell r="C19923"/>
          <cell r="D19923"/>
          <cell r="E19923"/>
        </row>
        <row r="19924">
          <cell r="A19924"/>
          <cell r="B19924"/>
          <cell r="C19924"/>
          <cell r="D19924"/>
          <cell r="E19924"/>
        </row>
        <row r="19925">
          <cell r="A19925"/>
          <cell r="B19925"/>
          <cell r="C19925"/>
          <cell r="D19925"/>
          <cell r="E19925"/>
        </row>
        <row r="19926">
          <cell r="A19926"/>
          <cell r="B19926"/>
          <cell r="C19926"/>
          <cell r="D19926"/>
          <cell r="E19926"/>
        </row>
        <row r="19927">
          <cell r="A19927"/>
          <cell r="B19927"/>
          <cell r="C19927"/>
          <cell r="D19927"/>
          <cell r="E19927"/>
        </row>
        <row r="19928">
          <cell r="A19928"/>
          <cell r="B19928"/>
          <cell r="C19928"/>
          <cell r="D19928"/>
          <cell r="E19928"/>
        </row>
        <row r="19929">
          <cell r="A19929"/>
          <cell r="B19929"/>
          <cell r="C19929"/>
          <cell r="D19929"/>
          <cell r="E19929"/>
        </row>
        <row r="19930">
          <cell r="A19930"/>
          <cell r="B19930"/>
          <cell r="C19930"/>
          <cell r="D19930"/>
          <cell r="E19930"/>
        </row>
        <row r="19931">
          <cell r="A19931"/>
          <cell r="B19931"/>
          <cell r="C19931"/>
          <cell r="D19931"/>
          <cell r="E19931"/>
        </row>
        <row r="19932">
          <cell r="A19932"/>
          <cell r="B19932"/>
          <cell r="C19932"/>
          <cell r="D19932"/>
          <cell r="E19932"/>
        </row>
        <row r="19933">
          <cell r="A19933"/>
          <cell r="B19933"/>
          <cell r="C19933"/>
          <cell r="D19933"/>
          <cell r="E19933"/>
        </row>
        <row r="19934">
          <cell r="A19934"/>
          <cell r="B19934"/>
          <cell r="C19934"/>
          <cell r="D19934"/>
          <cell r="E19934"/>
        </row>
        <row r="19935">
          <cell r="A19935"/>
          <cell r="B19935"/>
          <cell r="C19935"/>
          <cell r="D19935"/>
          <cell r="E19935"/>
        </row>
        <row r="19936">
          <cell r="A19936"/>
          <cell r="B19936"/>
          <cell r="C19936"/>
          <cell r="D19936"/>
          <cell r="E19936"/>
        </row>
        <row r="19937">
          <cell r="A19937"/>
          <cell r="B19937"/>
          <cell r="C19937"/>
          <cell r="D19937"/>
          <cell r="E19937"/>
        </row>
        <row r="19938">
          <cell r="A19938"/>
          <cell r="B19938"/>
          <cell r="C19938"/>
          <cell r="D19938"/>
          <cell r="E19938"/>
        </row>
        <row r="19939">
          <cell r="A19939"/>
          <cell r="B19939"/>
          <cell r="C19939"/>
          <cell r="D19939"/>
          <cell r="E19939"/>
        </row>
        <row r="19940">
          <cell r="A19940"/>
          <cell r="B19940"/>
          <cell r="C19940"/>
          <cell r="D19940"/>
          <cell r="E19940"/>
        </row>
        <row r="19941">
          <cell r="A19941"/>
          <cell r="B19941"/>
          <cell r="C19941"/>
          <cell r="D19941"/>
          <cell r="E19941"/>
        </row>
        <row r="19942">
          <cell r="A19942"/>
          <cell r="B19942"/>
          <cell r="C19942"/>
          <cell r="D19942"/>
          <cell r="E19942"/>
        </row>
        <row r="19943">
          <cell r="A19943"/>
          <cell r="B19943"/>
          <cell r="C19943"/>
          <cell r="D19943"/>
          <cell r="E19943"/>
        </row>
        <row r="19944">
          <cell r="A19944"/>
          <cell r="B19944"/>
          <cell r="C19944"/>
          <cell r="D19944"/>
          <cell r="E19944"/>
        </row>
        <row r="19945">
          <cell r="A19945"/>
          <cell r="B19945"/>
          <cell r="C19945"/>
          <cell r="D19945"/>
          <cell r="E19945"/>
        </row>
        <row r="19946">
          <cell r="A19946"/>
          <cell r="B19946"/>
          <cell r="C19946"/>
          <cell r="D19946"/>
          <cell r="E19946"/>
        </row>
        <row r="19947">
          <cell r="A19947"/>
          <cell r="B19947"/>
          <cell r="C19947"/>
          <cell r="D19947"/>
          <cell r="E19947"/>
        </row>
        <row r="19948">
          <cell r="A19948"/>
          <cell r="B19948"/>
          <cell r="C19948"/>
          <cell r="D19948"/>
          <cell r="E19948"/>
        </row>
        <row r="19949">
          <cell r="A19949"/>
          <cell r="B19949"/>
          <cell r="C19949"/>
          <cell r="D19949"/>
          <cell r="E19949"/>
        </row>
        <row r="19950">
          <cell r="A19950"/>
          <cell r="B19950"/>
          <cell r="C19950"/>
          <cell r="D19950"/>
          <cell r="E19950"/>
        </row>
        <row r="19951">
          <cell r="A19951"/>
          <cell r="B19951"/>
          <cell r="C19951"/>
          <cell r="D19951"/>
          <cell r="E19951"/>
        </row>
        <row r="19952">
          <cell r="A19952"/>
          <cell r="B19952"/>
          <cell r="C19952"/>
          <cell r="D19952"/>
          <cell r="E19952"/>
        </row>
        <row r="19953">
          <cell r="A19953"/>
          <cell r="B19953"/>
          <cell r="C19953"/>
          <cell r="D19953"/>
          <cell r="E19953"/>
        </row>
        <row r="19954">
          <cell r="A19954"/>
          <cell r="B19954"/>
          <cell r="C19954"/>
          <cell r="D19954"/>
          <cell r="E19954"/>
        </row>
        <row r="19955">
          <cell r="A19955"/>
          <cell r="B19955"/>
          <cell r="C19955"/>
          <cell r="D19955"/>
          <cell r="E19955"/>
        </row>
        <row r="19956">
          <cell r="A19956"/>
          <cell r="B19956"/>
          <cell r="C19956"/>
          <cell r="D19956"/>
          <cell r="E19956"/>
        </row>
        <row r="19957">
          <cell r="A19957"/>
          <cell r="B19957"/>
          <cell r="C19957"/>
          <cell r="D19957"/>
          <cell r="E19957"/>
        </row>
        <row r="19958">
          <cell r="A19958"/>
          <cell r="B19958"/>
          <cell r="C19958"/>
          <cell r="D19958"/>
          <cell r="E19958"/>
        </row>
        <row r="19959">
          <cell r="A19959"/>
          <cell r="B19959"/>
          <cell r="C19959"/>
          <cell r="D19959"/>
          <cell r="E19959"/>
        </row>
        <row r="19960">
          <cell r="A19960"/>
          <cell r="B19960"/>
          <cell r="C19960"/>
          <cell r="D19960"/>
          <cell r="E19960"/>
        </row>
        <row r="19961">
          <cell r="A19961"/>
          <cell r="B19961"/>
          <cell r="C19961"/>
          <cell r="D19961"/>
          <cell r="E19961"/>
        </row>
        <row r="19962">
          <cell r="A19962"/>
          <cell r="B19962"/>
          <cell r="C19962"/>
          <cell r="D19962"/>
          <cell r="E19962"/>
        </row>
        <row r="19963">
          <cell r="A19963"/>
          <cell r="B19963"/>
          <cell r="C19963"/>
          <cell r="D19963"/>
          <cell r="E19963"/>
        </row>
        <row r="19964">
          <cell r="A19964"/>
          <cell r="B19964"/>
          <cell r="C19964"/>
          <cell r="D19964"/>
          <cell r="E19964"/>
        </row>
        <row r="19965">
          <cell r="A19965"/>
          <cell r="B19965"/>
          <cell r="C19965"/>
          <cell r="D19965"/>
          <cell r="E19965"/>
        </row>
        <row r="19966">
          <cell r="A19966"/>
          <cell r="B19966"/>
          <cell r="C19966"/>
          <cell r="D19966"/>
          <cell r="E19966"/>
        </row>
        <row r="19967">
          <cell r="A19967"/>
          <cell r="B19967"/>
          <cell r="C19967"/>
          <cell r="D19967"/>
          <cell r="E19967"/>
        </row>
        <row r="19968">
          <cell r="A19968"/>
          <cell r="B19968"/>
          <cell r="C19968"/>
          <cell r="D19968"/>
          <cell r="E19968"/>
        </row>
        <row r="19969">
          <cell r="A19969"/>
          <cell r="B19969"/>
          <cell r="C19969"/>
          <cell r="D19969"/>
          <cell r="E19969"/>
        </row>
        <row r="19970">
          <cell r="A19970"/>
          <cell r="B19970"/>
          <cell r="C19970"/>
          <cell r="D19970"/>
          <cell r="E19970"/>
        </row>
        <row r="19971">
          <cell r="A19971"/>
          <cell r="B19971"/>
          <cell r="C19971"/>
          <cell r="D19971"/>
          <cell r="E19971"/>
        </row>
        <row r="19972">
          <cell r="A19972"/>
          <cell r="B19972"/>
          <cell r="C19972"/>
          <cell r="D19972"/>
          <cell r="E19972"/>
        </row>
        <row r="19973">
          <cell r="A19973"/>
          <cell r="B19973"/>
          <cell r="C19973"/>
          <cell r="D19973"/>
          <cell r="E19973"/>
        </row>
        <row r="19974">
          <cell r="A19974"/>
          <cell r="B19974"/>
          <cell r="C19974"/>
          <cell r="D19974"/>
          <cell r="E19974"/>
        </row>
        <row r="19975">
          <cell r="A19975"/>
          <cell r="B19975"/>
          <cell r="C19975"/>
          <cell r="D19975"/>
          <cell r="E19975"/>
        </row>
        <row r="19976">
          <cell r="A19976"/>
          <cell r="B19976"/>
          <cell r="C19976"/>
          <cell r="D19976"/>
          <cell r="E19976"/>
        </row>
        <row r="19977">
          <cell r="A19977"/>
          <cell r="B19977"/>
          <cell r="C19977"/>
          <cell r="D19977"/>
          <cell r="E19977"/>
        </row>
        <row r="19978">
          <cell r="A19978"/>
          <cell r="B19978"/>
          <cell r="C19978"/>
          <cell r="D19978"/>
          <cell r="E19978"/>
        </row>
        <row r="19979">
          <cell r="A19979"/>
          <cell r="B19979"/>
          <cell r="C19979"/>
          <cell r="D19979"/>
          <cell r="E19979"/>
        </row>
        <row r="19980">
          <cell r="A19980"/>
          <cell r="B19980"/>
          <cell r="C19980"/>
          <cell r="D19980"/>
          <cell r="E19980"/>
        </row>
        <row r="19981">
          <cell r="A19981"/>
          <cell r="B19981"/>
          <cell r="C19981"/>
          <cell r="D19981"/>
          <cell r="E19981"/>
        </row>
        <row r="19982">
          <cell r="A19982"/>
          <cell r="B19982"/>
          <cell r="C19982"/>
          <cell r="D19982"/>
          <cell r="E19982"/>
        </row>
        <row r="19983">
          <cell r="A19983"/>
          <cell r="B19983"/>
          <cell r="C19983"/>
          <cell r="D19983"/>
          <cell r="E19983"/>
        </row>
        <row r="19984">
          <cell r="A19984"/>
          <cell r="B19984"/>
          <cell r="C19984"/>
          <cell r="D19984"/>
          <cell r="E19984"/>
        </row>
        <row r="19985">
          <cell r="A19985"/>
          <cell r="B19985"/>
          <cell r="C19985"/>
          <cell r="D19985"/>
          <cell r="E19985"/>
        </row>
        <row r="19986">
          <cell r="A19986"/>
          <cell r="B19986"/>
          <cell r="C19986"/>
          <cell r="D19986"/>
          <cell r="E19986"/>
        </row>
        <row r="19987">
          <cell r="A19987"/>
          <cell r="B19987"/>
          <cell r="C19987"/>
          <cell r="D19987"/>
          <cell r="E19987"/>
        </row>
        <row r="19988">
          <cell r="A19988"/>
          <cell r="B19988"/>
          <cell r="C19988"/>
          <cell r="D19988"/>
          <cell r="E19988"/>
        </row>
        <row r="19989">
          <cell r="A19989"/>
          <cell r="B19989"/>
          <cell r="C19989"/>
          <cell r="D19989"/>
          <cell r="E19989"/>
        </row>
        <row r="19990">
          <cell r="A19990"/>
          <cell r="B19990"/>
          <cell r="C19990"/>
          <cell r="D19990"/>
          <cell r="E19990"/>
        </row>
        <row r="19991">
          <cell r="A19991"/>
          <cell r="B19991"/>
          <cell r="C19991"/>
          <cell r="D19991"/>
          <cell r="E19991"/>
        </row>
        <row r="19992">
          <cell r="A19992"/>
          <cell r="B19992"/>
          <cell r="C19992"/>
          <cell r="D19992"/>
          <cell r="E19992"/>
        </row>
        <row r="19993">
          <cell r="A19993"/>
          <cell r="B19993"/>
          <cell r="C19993"/>
          <cell r="D19993"/>
          <cell r="E19993"/>
        </row>
        <row r="19994">
          <cell r="A19994"/>
          <cell r="B19994"/>
          <cell r="C19994"/>
          <cell r="D19994"/>
          <cell r="E19994"/>
        </row>
        <row r="19995">
          <cell r="A19995"/>
          <cell r="B19995"/>
          <cell r="C19995"/>
          <cell r="D19995"/>
          <cell r="E19995"/>
        </row>
        <row r="19996">
          <cell r="A19996"/>
          <cell r="B19996"/>
          <cell r="C19996"/>
          <cell r="D19996"/>
          <cell r="E19996"/>
        </row>
        <row r="19997">
          <cell r="A19997"/>
          <cell r="B19997"/>
          <cell r="C19997"/>
          <cell r="D19997"/>
          <cell r="E19997"/>
        </row>
        <row r="19998">
          <cell r="A19998"/>
          <cell r="B19998"/>
          <cell r="C19998"/>
          <cell r="D19998"/>
          <cell r="E19998"/>
        </row>
        <row r="19999">
          <cell r="A19999"/>
          <cell r="B19999"/>
          <cell r="C19999"/>
          <cell r="D19999"/>
          <cell r="E19999"/>
        </row>
        <row r="20000">
          <cell r="A20000"/>
          <cell r="B20000"/>
          <cell r="C20000"/>
          <cell r="D20000"/>
          <cell r="E20000"/>
        </row>
        <row r="20001">
          <cell r="A20001"/>
          <cell r="B20001"/>
          <cell r="C20001"/>
          <cell r="D20001"/>
          <cell r="E20001"/>
        </row>
        <row r="20002">
          <cell r="A20002"/>
          <cell r="B20002"/>
          <cell r="C20002"/>
          <cell r="D20002"/>
          <cell r="E20002"/>
        </row>
        <row r="20003">
          <cell r="A20003"/>
          <cell r="B20003"/>
          <cell r="C20003"/>
          <cell r="D20003"/>
          <cell r="E20003"/>
        </row>
        <row r="20004">
          <cell r="A20004"/>
          <cell r="B20004"/>
          <cell r="C20004"/>
          <cell r="D20004"/>
          <cell r="E20004"/>
        </row>
        <row r="20005">
          <cell r="A20005"/>
          <cell r="B20005"/>
          <cell r="C20005"/>
          <cell r="D20005"/>
          <cell r="E20005"/>
        </row>
        <row r="20006">
          <cell r="A20006"/>
          <cell r="B20006"/>
          <cell r="C20006"/>
          <cell r="D20006"/>
          <cell r="E20006"/>
        </row>
        <row r="20007">
          <cell r="A20007"/>
          <cell r="B20007"/>
          <cell r="C20007"/>
          <cell r="D20007"/>
          <cell r="E20007"/>
        </row>
        <row r="20008">
          <cell r="A20008"/>
          <cell r="B20008"/>
          <cell r="C20008"/>
          <cell r="D20008"/>
          <cell r="E20008"/>
        </row>
        <row r="20009">
          <cell r="A20009"/>
          <cell r="B20009"/>
          <cell r="C20009"/>
          <cell r="D20009"/>
          <cell r="E20009"/>
        </row>
        <row r="20010">
          <cell r="A20010"/>
          <cell r="B20010"/>
          <cell r="C20010"/>
          <cell r="D20010"/>
          <cell r="E20010"/>
        </row>
        <row r="20011">
          <cell r="A20011"/>
          <cell r="B20011"/>
          <cell r="C20011"/>
          <cell r="D20011"/>
          <cell r="E20011"/>
        </row>
        <row r="20012">
          <cell r="A20012"/>
          <cell r="B20012"/>
          <cell r="C20012"/>
          <cell r="D20012"/>
          <cell r="E20012"/>
        </row>
        <row r="20013">
          <cell r="A20013"/>
          <cell r="B20013"/>
          <cell r="C20013"/>
          <cell r="D20013"/>
          <cell r="E20013"/>
        </row>
        <row r="20014">
          <cell r="A20014"/>
          <cell r="B20014"/>
          <cell r="C20014"/>
          <cell r="D20014"/>
          <cell r="E20014"/>
        </row>
        <row r="20015">
          <cell r="A20015"/>
          <cell r="B20015"/>
          <cell r="C20015"/>
          <cell r="D20015"/>
          <cell r="E20015"/>
        </row>
        <row r="20016">
          <cell r="A20016"/>
          <cell r="B20016"/>
          <cell r="C20016"/>
          <cell r="D20016"/>
          <cell r="E20016"/>
        </row>
        <row r="20017">
          <cell r="A20017"/>
          <cell r="B20017"/>
          <cell r="C20017"/>
          <cell r="D20017"/>
          <cell r="E20017"/>
        </row>
        <row r="20018">
          <cell r="A20018"/>
          <cell r="B20018"/>
          <cell r="C20018"/>
          <cell r="D20018"/>
          <cell r="E20018"/>
        </row>
        <row r="20019">
          <cell r="A20019"/>
          <cell r="B20019"/>
          <cell r="C20019"/>
          <cell r="D20019"/>
          <cell r="E20019"/>
        </row>
        <row r="20020">
          <cell r="A20020"/>
          <cell r="B20020"/>
          <cell r="C20020"/>
          <cell r="D20020"/>
          <cell r="E20020"/>
        </row>
        <row r="20021">
          <cell r="A20021"/>
          <cell r="B20021"/>
          <cell r="C20021"/>
          <cell r="D20021"/>
          <cell r="E20021"/>
        </row>
        <row r="20022">
          <cell r="A20022"/>
          <cell r="B20022"/>
          <cell r="C20022"/>
          <cell r="D20022"/>
          <cell r="E20022"/>
        </row>
        <row r="20023">
          <cell r="A20023"/>
          <cell r="B20023"/>
          <cell r="C20023"/>
          <cell r="D20023"/>
          <cell r="E20023"/>
        </row>
        <row r="20024">
          <cell r="A20024"/>
          <cell r="B20024"/>
          <cell r="C20024"/>
          <cell r="D20024"/>
          <cell r="E20024"/>
        </row>
        <row r="20025">
          <cell r="A20025"/>
          <cell r="B20025"/>
          <cell r="C20025"/>
          <cell r="D20025"/>
          <cell r="E20025"/>
        </row>
        <row r="20026">
          <cell r="A20026"/>
          <cell r="B20026"/>
          <cell r="C20026"/>
          <cell r="D20026"/>
          <cell r="E20026"/>
        </row>
        <row r="20027">
          <cell r="A20027"/>
          <cell r="B20027"/>
          <cell r="C20027"/>
          <cell r="D20027"/>
          <cell r="E20027"/>
        </row>
        <row r="20028">
          <cell r="A20028"/>
          <cell r="B20028"/>
          <cell r="C20028"/>
          <cell r="D20028"/>
          <cell r="E20028"/>
        </row>
        <row r="20029">
          <cell r="A20029"/>
          <cell r="B20029"/>
          <cell r="C20029"/>
          <cell r="D20029"/>
          <cell r="E20029"/>
        </row>
        <row r="20030">
          <cell r="A20030"/>
          <cell r="B20030"/>
          <cell r="C20030"/>
          <cell r="D20030"/>
          <cell r="E20030"/>
        </row>
        <row r="20031">
          <cell r="A20031"/>
          <cell r="B20031"/>
          <cell r="C20031"/>
          <cell r="D20031"/>
          <cell r="E20031"/>
        </row>
        <row r="20032">
          <cell r="A20032"/>
          <cell r="B20032"/>
          <cell r="C20032"/>
          <cell r="D20032"/>
          <cell r="E20032"/>
        </row>
        <row r="20033">
          <cell r="A20033"/>
          <cell r="B20033"/>
          <cell r="C20033"/>
          <cell r="D20033"/>
          <cell r="E20033"/>
        </row>
        <row r="20034">
          <cell r="A20034"/>
          <cell r="B20034"/>
          <cell r="C20034"/>
          <cell r="D20034"/>
          <cell r="E20034"/>
        </row>
        <row r="20035">
          <cell r="A20035"/>
          <cell r="B20035"/>
          <cell r="C20035"/>
          <cell r="D20035"/>
          <cell r="E20035"/>
        </row>
        <row r="20036">
          <cell r="A20036"/>
          <cell r="B20036"/>
          <cell r="C20036"/>
          <cell r="D20036"/>
          <cell r="E20036"/>
        </row>
        <row r="20037">
          <cell r="A20037"/>
          <cell r="B20037"/>
          <cell r="C20037"/>
          <cell r="D20037"/>
          <cell r="E20037"/>
        </row>
        <row r="20038">
          <cell r="A20038"/>
          <cell r="B20038"/>
          <cell r="C20038"/>
          <cell r="D20038"/>
          <cell r="E20038"/>
        </row>
        <row r="20039">
          <cell r="A20039"/>
          <cell r="B20039"/>
          <cell r="C20039"/>
          <cell r="D20039"/>
          <cell r="E20039"/>
        </row>
        <row r="20040">
          <cell r="A20040"/>
          <cell r="B20040"/>
          <cell r="C20040"/>
          <cell r="D20040"/>
          <cell r="E20040"/>
        </row>
        <row r="20041">
          <cell r="A20041"/>
          <cell r="B20041"/>
          <cell r="C20041"/>
          <cell r="D20041"/>
          <cell r="E20041"/>
        </row>
        <row r="20042">
          <cell r="A20042"/>
          <cell r="B20042"/>
          <cell r="C20042"/>
          <cell r="D20042"/>
          <cell r="E20042"/>
        </row>
        <row r="20043">
          <cell r="A20043"/>
          <cell r="B20043"/>
          <cell r="C20043"/>
          <cell r="D20043"/>
          <cell r="E20043"/>
        </row>
        <row r="20044">
          <cell r="A20044"/>
          <cell r="B20044"/>
          <cell r="C20044"/>
          <cell r="D20044"/>
          <cell r="E20044"/>
        </row>
        <row r="20045">
          <cell r="A20045"/>
          <cell r="B20045"/>
          <cell r="C20045"/>
          <cell r="D20045"/>
          <cell r="E20045"/>
        </row>
        <row r="20046">
          <cell r="A20046"/>
          <cell r="B20046"/>
          <cell r="C20046"/>
          <cell r="D20046"/>
          <cell r="E20046"/>
        </row>
        <row r="20047">
          <cell r="A20047"/>
          <cell r="B20047"/>
          <cell r="C20047"/>
          <cell r="D20047"/>
          <cell r="E20047"/>
        </row>
        <row r="20048">
          <cell r="A20048"/>
          <cell r="B20048"/>
          <cell r="C20048"/>
          <cell r="D20048"/>
          <cell r="E20048"/>
        </row>
        <row r="20049">
          <cell r="A20049"/>
          <cell r="B20049"/>
          <cell r="C20049"/>
          <cell r="D20049"/>
          <cell r="E20049"/>
        </row>
        <row r="20050">
          <cell r="A20050"/>
          <cell r="B20050"/>
          <cell r="C20050"/>
          <cell r="D20050"/>
          <cell r="E20050"/>
        </row>
        <row r="20051">
          <cell r="A20051"/>
          <cell r="B20051"/>
          <cell r="C20051"/>
          <cell r="D20051"/>
          <cell r="E20051"/>
        </row>
        <row r="20052">
          <cell r="A20052"/>
          <cell r="B20052"/>
          <cell r="C20052"/>
          <cell r="D20052"/>
          <cell r="E20052"/>
        </row>
        <row r="20053">
          <cell r="A20053"/>
          <cell r="B20053"/>
          <cell r="C20053"/>
          <cell r="D20053"/>
          <cell r="E20053"/>
        </row>
        <row r="20054">
          <cell r="A20054"/>
          <cell r="B20054"/>
          <cell r="C20054"/>
          <cell r="D20054"/>
          <cell r="E20054"/>
        </row>
        <row r="20055">
          <cell r="A20055"/>
          <cell r="B20055"/>
          <cell r="C20055"/>
          <cell r="D20055"/>
          <cell r="E20055"/>
        </row>
        <row r="20056">
          <cell r="A20056"/>
          <cell r="B20056"/>
          <cell r="C20056"/>
          <cell r="D20056"/>
          <cell r="E20056"/>
        </row>
        <row r="20057">
          <cell r="A20057"/>
          <cell r="B20057"/>
          <cell r="C20057"/>
          <cell r="D20057"/>
          <cell r="E20057"/>
        </row>
        <row r="20058">
          <cell r="A20058"/>
          <cell r="B20058"/>
          <cell r="C20058"/>
          <cell r="D20058"/>
          <cell r="E20058"/>
        </row>
        <row r="20059">
          <cell r="A20059"/>
          <cell r="B20059"/>
          <cell r="C20059"/>
          <cell r="D20059"/>
          <cell r="E20059"/>
        </row>
        <row r="20060">
          <cell r="A20060"/>
          <cell r="B20060"/>
          <cell r="C20060"/>
          <cell r="D20060"/>
          <cell r="E20060"/>
        </row>
        <row r="20061">
          <cell r="A20061"/>
          <cell r="B20061"/>
          <cell r="C20061"/>
          <cell r="D20061"/>
          <cell r="E20061"/>
        </row>
        <row r="20062">
          <cell r="A20062"/>
          <cell r="B20062"/>
          <cell r="C20062"/>
          <cell r="D20062"/>
          <cell r="E20062"/>
        </row>
        <row r="20063">
          <cell r="A20063"/>
          <cell r="B20063"/>
          <cell r="C20063"/>
          <cell r="D20063"/>
          <cell r="E20063"/>
        </row>
        <row r="20064">
          <cell r="A20064"/>
          <cell r="B20064"/>
          <cell r="C20064"/>
          <cell r="D20064"/>
          <cell r="E20064"/>
        </row>
        <row r="20065">
          <cell r="A20065"/>
          <cell r="B20065"/>
          <cell r="C20065"/>
          <cell r="D20065"/>
          <cell r="E20065"/>
        </row>
        <row r="20066">
          <cell r="A20066"/>
          <cell r="B20066"/>
          <cell r="C20066"/>
          <cell r="D20066"/>
          <cell r="E20066"/>
        </row>
        <row r="20067">
          <cell r="A20067"/>
          <cell r="B20067"/>
          <cell r="C20067"/>
          <cell r="D20067"/>
          <cell r="E20067"/>
        </row>
        <row r="20068">
          <cell r="A20068"/>
          <cell r="B20068"/>
          <cell r="C20068"/>
          <cell r="D20068"/>
          <cell r="E20068"/>
        </row>
        <row r="20069">
          <cell r="A20069"/>
          <cell r="B20069"/>
          <cell r="C20069"/>
          <cell r="D20069"/>
          <cell r="E20069"/>
        </row>
        <row r="20070">
          <cell r="A20070"/>
          <cell r="B20070"/>
          <cell r="C20070"/>
          <cell r="D20070"/>
          <cell r="E20070"/>
        </row>
        <row r="20071">
          <cell r="A20071"/>
          <cell r="B20071"/>
          <cell r="C20071"/>
          <cell r="D20071"/>
          <cell r="E20071"/>
        </row>
        <row r="20072">
          <cell r="A20072"/>
          <cell r="B20072"/>
          <cell r="C20072"/>
          <cell r="D20072"/>
          <cell r="E20072"/>
        </row>
        <row r="20073">
          <cell r="A20073"/>
          <cell r="B20073"/>
          <cell r="C20073"/>
          <cell r="D20073"/>
          <cell r="E20073"/>
        </row>
        <row r="20074">
          <cell r="A20074"/>
          <cell r="B20074"/>
          <cell r="C20074"/>
          <cell r="D20074"/>
          <cell r="E20074"/>
        </row>
        <row r="20075">
          <cell r="A20075"/>
          <cell r="B20075"/>
          <cell r="C20075"/>
          <cell r="D20075"/>
          <cell r="E20075"/>
        </row>
        <row r="20076">
          <cell r="A20076"/>
          <cell r="B20076"/>
          <cell r="C20076"/>
          <cell r="D20076"/>
          <cell r="E20076"/>
        </row>
        <row r="20077">
          <cell r="A20077"/>
          <cell r="B20077"/>
          <cell r="C20077"/>
          <cell r="D20077"/>
          <cell r="E20077"/>
        </row>
        <row r="20078">
          <cell r="A20078"/>
          <cell r="B20078"/>
          <cell r="C20078"/>
          <cell r="D20078"/>
          <cell r="E20078"/>
        </row>
        <row r="20079">
          <cell r="A20079"/>
          <cell r="B20079"/>
          <cell r="C20079"/>
          <cell r="D20079"/>
          <cell r="E20079"/>
        </row>
        <row r="20080">
          <cell r="A20080"/>
          <cell r="B20080"/>
          <cell r="C20080"/>
          <cell r="D20080"/>
          <cell r="E20080"/>
        </row>
        <row r="20081">
          <cell r="A20081"/>
          <cell r="B20081"/>
          <cell r="C20081"/>
          <cell r="D20081"/>
          <cell r="E20081"/>
        </row>
        <row r="20082">
          <cell r="A20082"/>
          <cell r="B20082"/>
          <cell r="C20082"/>
          <cell r="D20082"/>
          <cell r="E20082"/>
        </row>
        <row r="20083">
          <cell r="A20083"/>
          <cell r="B20083"/>
          <cell r="C20083"/>
          <cell r="D20083"/>
          <cell r="E20083"/>
        </row>
        <row r="20084">
          <cell r="A20084"/>
          <cell r="B20084"/>
          <cell r="C20084"/>
          <cell r="D20084"/>
          <cell r="E20084"/>
        </row>
        <row r="20085">
          <cell r="A20085"/>
          <cell r="B20085"/>
          <cell r="C20085"/>
          <cell r="D20085"/>
          <cell r="E20085"/>
        </row>
        <row r="20086">
          <cell r="A20086"/>
          <cell r="B20086"/>
          <cell r="C20086"/>
          <cell r="D20086"/>
          <cell r="E20086"/>
        </row>
        <row r="20087">
          <cell r="A20087"/>
          <cell r="B20087"/>
          <cell r="C20087"/>
          <cell r="D20087"/>
          <cell r="E20087"/>
        </row>
        <row r="20088">
          <cell r="A20088"/>
          <cell r="B20088"/>
          <cell r="C20088"/>
          <cell r="D20088"/>
          <cell r="E20088"/>
        </row>
        <row r="20089">
          <cell r="A20089"/>
          <cell r="B20089"/>
          <cell r="C20089"/>
          <cell r="D20089"/>
          <cell r="E20089"/>
        </row>
        <row r="20090">
          <cell r="A20090"/>
          <cell r="B20090"/>
          <cell r="C20090"/>
          <cell r="D20090"/>
          <cell r="E20090"/>
        </row>
        <row r="20091">
          <cell r="A20091"/>
          <cell r="B20091"/>
          <cell r="C20091"/>
          <cell r="D20091"/>
          <cell r="E20091"/>
        </row>
        <row r="20092">
          <cell r="A20092"/>
          <cell r="B20092"/>
          <cell r="C20092"/>
          <cell r="D20092"/>
          <cell r="E20092"/>
        </row>
        <row r="20093">
          <cell r="A20093"/>
          <cell r="B20093"/>
          <cell r="C20093"/>
          <cell r="D20093"/>
          <cell r="E20093"/>
        </row>
        <row r="20094">
          <cell r="A20094"/>
          <cell r="B20094"/>
          <cell r="C20094"/>
          <cell r="D20094"/>
          <cell r="E20094"/>
        </row>
        <row r="20095">
          <cell r="A20095"/>
          <cell r="B20095"/>
          <cell r="C20095"/>
          <cell r="D20095"/>
          <cell r="E20095"/>
        </row>
        <row r="20096">
          <cell r="A20096"/>
          <cell r="B20096"/>
          <cell r="C20096"/>
          <cell r="D20096"/>
          <cell r="E20096"/>
        </row>
        <row r="20097">
          <cell r="A20097"/>
          <cell r="B20097"/>
          <cell r="C20097"/>
          <cell r="D20097"/>
          <cell r="E20097"/>
        </row>
        <row r="20098">
          <cell r="A20098"/>
          <cell r="B20098"/>
          <cell r="C20098"/>
          <cell r="D20098"/>
          <cell r="E20098"/>
        </row>
        <row r="20099">
          <cell r="A20099"/>
          <cell r="B20099"/>
          <cell r="C20099"/>
          <cell r="D20099"/>
          <cell r="E20099"/>
        </row>
        <row r="20100">
          <cell r="A20100"/>
          <cell r="B20100"/>
          <cell r="C20100"/>
          <cell r="D20100"/>
          <cell r="E20100"/>
        </row>
        <row r="20101">
          <cell r="A20101"/>
          <cell r="B20101"/>
          <cell r="C20101"/>
          <cell r="D20101"/>
          <cell r="E20101"/>
        </row>
        <row r="20102">
          <cell r="A20102"/>
          <cell r="B20102"/>
          <cell r="C20102"/>
          <cell r="D20102"/>
          <cell r="E20102"/>
        </row>
        <row r="20103">
          <cell r="A20103"/>
          <cell r="B20103"/>
          <cell r="C20103"/>
          <cell r="D20103"/>
          <cell r="E20103"/>
        </row>
        <row r="20104">
          <cell r="A20104"/>
          <cell r="B20104"/>
          <cell r="C20104"/>
          <cell r="D20104"/>
          <cell r="E20104"/>
        </row>
        <row r="20105">
          <cell r="A20105"/>
          <cell r="B20105"/>
          <cell r="C20105"/>
          <cell r="D20105"/>
          <cell r="E20105"/>
        </row>
        <row r="20106">
          <cell r="A20106"/>
          <cell r="B20106"/>
          <cell r="C20106"/>
          <cell r="D20106"/>
          <cell r="E20106"/>
        </row>
        <row r="20107">
          <cell r="A20107"/>
          <cell r="B20107"/>
          <cell r="C20107"/>
          <cell r="D20107"/>
          <cell r="E20107"/>
        </row>
        <row r="20108">
          <cell r="A20108"/>
          <cell r="B20108"/>
          <cell r="C20108"/>
          <cell r="D20108"/>
          <cell r="E20108"/>
        </row>
        <row r="20109">
          <cell r="A20109"/>
          <cell r="B20109"/>
          <cell r="C20109"/>
          <cell r="D20109"/>
          <cell r="E20109"/>
        </row>
        <row r="20110">
          <cell r="A20110"/>
          <cell r="B20110"/>
          <cell r="C20110"/>
          <cell r="D20110"/>
          <cell r="E20110"/>
        </row>
        <row r="20111">
          <cell r="A20111"/>
          <cell r="B20111"/>
          <cell r="C20111"/>
          <cell r="D20111"/>
          <cell r="E20111"/>
        </row>
        <row r="20112">
          <cell r="A20112"/>
          <cell r="B20112"/>
          <cell r="C20112"/>
          <cell r="D20112"/>
          <cell r="E20112"/>
        </row>
        <row r="20113">
          <cell r="A20113"/>
          <cell r="B20113"/>
          <cell r="C20113"/>
          <cell r="D20113"/>
          <cell r="E20113"/>
        </row>
        <row r="20114">
          <cell r="A20114"/>
          <cell r="B20114"/>
          <cell r="C20114"/>
          <cell r="D20114"/>
          <cell r="E20114"/>
        </row>
        <row r="20115">
          <cell r="A20115"/>
          <cell r="B20115"/>
          <cell r="C20115"/>
          <cell r="D20115"/>
          <cell r="E20115"/>
        </row>
        <row r="20116">
          <cell r="A20116"/>
          <cell r="B20116"/>
          <cell r="C20116"/>
          <cell r="D20116"/>
          <cell r="E20116"/>
        </row>
        <row r="20117">
          <cell r="A20117"/>
          <cell r="B20117"/>
          <cell r="C20117"/>
          <cell r="D20117"/>
          <cell r="E20117"/>
        </row>
        <row r="20118">
          <cell r="A20118"/>
          <cell r="B20118"/>
          <cell r="C20118"/>
          <cell r="D20118"/>
          <cell r="E20118"/>
        </row>
        <row r="20119">
          <cell r="A20119"/>
          <cell r="B20119"/>
          <cell r="C20119"/>
          <cell r="D20119"/>
          <cell r="E20119"/>
        </row>
        <row r="20120">
          <cell r="A20120"/>
          <cell r="B20120"/>
          <cell r="C20120"/>
          <cell r="D20120"/>
          <cell r="E20120"/>
        </row>
        <row r="20121">
          <cell r="A20121"/>
          <cell r="B20121"/>
          <cell r="C20121"/>
          <cell r="D20121"/>
          <cell r="E20121"/>
        </row>
        <row r="20122">
          <cell r="A20122"/>
          <cell r="B20122"/>
          <cell r="C20122"/>
          <cell r="D20122"/>
          <cell r="E20122"/>
        </row>
        <row r="20123">
          <cell r="A20123"/>
          <cell r="B20123"/>
          <cell r="C20123"/>
          <cell r="D20123"/>
          <cell r="E20123"/>
        </row>
        <row r="20124">
          <cell r="A20124"/>
          <cell r="B20124"/>
          <cell r="C20124"/>
          <cell r="D20124"/>
          <cell r="E20124"/>
        </row>
        <row r="20125">
          <cell r="A20125"/>
          <cell r="B20125"/>
          <cell r="C20125"/>
          <cell r="D20125"/>
          <cell r="E20125"/>
        </row>
        <row r="20126">
          <cell r="A20126"/>
          <cell r="B20126"/>
          <cell r="C20126"/>
          <cell r="D20126"/>
          <cell r="E20126"/>
        </row>
        <row r="20127">
          <cell r="A20127"/>
          <cell r="B20127"/>
          <cell r="C20127"/>
          <cell r="D20127"/>
          <cell r="E20127"/>
        </row>
        <row r="20128">
          <cell r="A20128"/>
          <cell r="B20128"/>
          <cell r="C20128"/>
          <cell r="D20128"/>
          <cell r="E20128"/>
        </row>
        <row r="20129">
          <cell r="A20129"/>
          <cell r="B20129"/>
          <cell r="C20129"/>
          <cell r="D20129"/>
          <cell r="E20129"/>
        </row>
        <row r="20130">
          <cell r="A20130"/>
          <cell r="B20130"/>
          <cell r="C20130"/>
          <cell r="D20130"/>
          <cell r="E20130"/>
        </row>
        <row r="20131">
          <cell r="A20131"/>
          <cell r="B20131"/>
          <cell r="C20131"/>
          <cell r="D20131"/>
          <cell r="E20131"/>
        </row>
        <row r="20132">
          <cell r="A20132"/>
          <cell r="B20132"/>
          <cell r="C20132"/>
          <cell r="D20132"/>
          <cell r="E20132"/>
        </row>
        <row r="20133">
          <cell r="A20133"/>
          <cell r="B20133"/>
          <cell r="C20133"/>
          <cell r="D20133"/>
          <cell r="E20133"/>
        </row>
        <row r="20134">
          <cell r="A20134"/>
          <cell r="B20134"/>
          <cell r="C20134"/>
          <cell r="D20134"/>
          <cell r="E20134"/>
        </row>
        <row r="20135">
          <cell r="A20135"/>
          <cell r="B20135"/>
          <cell r="C20135"/>
          <cell r="D20135"/>
          <cell r="E20135"/>
        </row>
        <row r="20136">
          <cell r="A20136"/>
          <cell r="B20136"/>
          <cell r="C20136"/>
          <cell r="D20136"/>
          <cell r="E20136"/>
        </row>
        <row r="20137">
          <cell r="A20137"/>
          <cell r="B20137"/>
          <cell r="C20137"/>
          <cell r="D20137"/>
          <cell r="E20137"/>
        </row>
        <row r="20138">
          <cell r="A20138"/>
          <cell r="B20138"/>
          <cell r="C20138"/>
          <cell r="D20138"/>
          <cell r="E20138"/>
        </row>
        <row r="20139">
          <cell r="A20139"/>
          <cell r="B20139"/>
          <cell r="C20139"/>
          <cell r="D20139"/>
          <cell r="E20139"/>
        </row>
        <row r="20140">
          <cell r="A20140"/>
          <cell r="B20140"/>
          <cell r="C20140"/>
          <cell r="D20140"/>
          <cell r="E20140"/>
        </row>
        <row r="20141">
          <cell r="A20141"/>
          <cell r="B20141"/>
          <cell r="C20141"/>
          <cell r="D20141"/>
          <cell r="E20141"/>
        </row>
        <row r="20142">
          <cell r="A20142"/>
          <cell r="B20142"/>
          <cell r="C20142"/>
          <cell r="D20142"/>
          <cell r="E20142"/>
        </row>
        <row r="20143">
          <cell r="A20143"/>
          <cell r="B20143"/>
          <cell r="C20143"/>
          <cell r="D20143"/>
          <cell r="E20143"/>
        </row>
        <row r="20144">
          <cell r="A20144"/>
          <cell r="B20144"/>
          <cell r="C20144"/>
          <cell r="D20144"/>
          <cell r="E20144"/>
        </row>
        <row r="20145">
          <cell r="A20145"/>
          <cell r="B20145"/>
          <cell r="C20145"/>
          <cell r="D20145"/>
          <cell r="E20145"/>
        </row>
        <row r="20146">
          <cell r="A20146"/>
          <cell r="B20146"/>
          <cell r="C20146"/>
          <cell r="D20146"/>
          <cell r="E20146"/>
        </row>
        <row r="20147">
          <cell r="A20147"/>
          <cell r="B20147"/>
          <cell r="C20147"/>
          <cell r="D20147"/>
          <cell r="E20147"/>
        </row>
        <row r="20148">
          <cell r="A20148"/>
          <cell r="B20148"/>
          <cell r="C20148"/>
          <cell r="D20148"/>
          <cell r="E20148"/>
        </row>
        <row r="20149">
          <cell r="A20149"/>
          <cell r="B20149"/>
          <cell r="C20149"/>
          <cell r="D20149"/>
          <cell r="E20149"/>
        </row>
        <row r="20150">
          <cell r="A20150"/>
          <cell r="B20150"/>
          <cell r="C20150"/>
          <cell r="D20150"/>
          <cell r="E20150"/>
        </row>
        <row r="20151">
          <cell r="A20151"/>
          <cell r="B20151"/>
          <cell r="C20151"/>
          <cell r="D20151"/>
          <cell r="E20151"/>
        </row>
        <row r="20152">
          <cell r="A20152"/>
          <cell r="B20152"/>
          <cell r="C20152"/>
          <cell r="D20152"/>
          <cell r="E20152"/>
        </row>
        <row r="20153">
          <cell r="A20153"/>
          <cell r="B20153"/>
          <cell r="C20153"/>
          <cell r="D20153"/>
          <cell r="E20153"/>
        </row>
        <row r="20154">
          <cell r="A20154"/>
          <cell r="B20154"/>
          <cell r="C20154"/>
          <cell r="D20154"/>
          <cell r="E20154"/>
        </row>
        <row r="20155">
          <cell r="A20155"/>
          <cell r="B20155"/>
          <cell r="C20155"/>
          <cell r="D20155"/>
          <cell r="E20155"/>
        </row>
        <row r="20156">
          <cell r="A20156"/>
          <cell r="B20156"/>
          <cell r="C20156"/>
          <cell r="D20156"/>
          <cell r="E20156"/>
        </row>
        <row r="20157">
          <cell r="A20157"/>
          <cell r="B20157"/>
          <cell r="C20157"/>
          <cell r="D20157"/>
          <cell r="E20157"/>
        </row>
        <row r="20158">
          <cell r="A20158"/>
          <cell r="B20158"/>
          <cell r="C20158"/>
          <cell r="D20158"/>
          <cell r="E20158"/>
        </row>
        <row r="20159">
          <cell r="A20159"/>
          <cell r="B20159"/>
          <cell r="C20159"/>
          <cell r="D20159"/>
          <cell r="E20159"/>
        </row>
        <row r="20160">
          <cell r="A20160"/>
          <cell r="B20160"/>
          <cell r="C20160"/>
          <cell r="D20160"/>
          <cell r="E20160"/>
        </row>
        <row r="20161">
          <cell r="A20161"/>
          <cell r="B20161"/>
          <cell r="C20161"/>
          <cell r="D20161"/>
          <cell r="E20161"/>
        </row>
        <row r="20162">
          <cell r="A20162"/>
          <cell r="B20162"/>
          <cell r="C20162"/>
          <cell r="D20162"/>
          <cell r="E20162"/>
        </row>
        <row r="20163">
          <cell r="A20163"/>
          <cell r="B20163"/>
          <cell r="C20163"/>
          <cell r="D20163"/>
          <cell r="E20163"/>
        </row>
        <row r="20164">
          <cell r="A20164"/>
          <cell r="B20164"/>
          <cell r="C20164"/>
          <cell r="D20164"/>
          <cell r="E20164"/>
        </row>
        <row r="20165">
          <cell r="A20165"/>
          <cell r="B20165"/>
          <cell r="C20165"/>
          <cell r="D20165"/>
          <cell r="E20165"/>
        </row>
        <row r="20166">
          <cell r="A20166"/>
          <cell r="B20166"/>
          <cell r="C20166"/>
          <cell r="D20166"/>
          <cell r="E20166"/>
        </row>
        <row r="20167">
          <cell r="A20167"/>
          <cell r="B20167"/>
          <cell r="C20167"/>
          <cell r="D20167"/>
          <cell r="E20167"/>
        </row>
        <row r="20168">
          <cell r="A20168"/>
          <cell r="B20168"/>
          <cell r="C20168"/>
          <cell r="D20168"/>
          <cell r="E20168"/>
        </row>
        <row r="20169">
          <cell r="A20169"/>
          <cell r="B20169"/>
          <cell r="C20169"/>
          <cell r="D20169"/>
          <cell r="E20169"/>
        </row>
        <row r="20170">
          <cell r="A20170"/>
          <cell r="B20170"/>
          <cell r="C20170"/>
          <cell r="D20170"/>
          <cell r="E20170"/>
        </row>
        <row r="20171">
          <cell r="A20171"/>
          <cell r="B20171"/>
          <cell r="C20171"/>
          <cell r="D20171"/>
          <cell r="E20171"/>
        </row>
        <row r="20172">
          <cell r="A20172"/>
          <cell r="B20172"/>
          <cell r="C20172"/>
          <cell r="D20172"/>
          <cell r="E20172"/>
        </row>
        <row r="20173">
          <cell r="A20173"/>
          <cell r="B20173"/>
          <cell r="C20173"/>
          <cell r="D20173"/>
          <cell r="E20173"/>
        </row>
        <row r="20174">
          <cell r="A20174"/>
          <cell r="B20174"/>
          <cell r="C20174"/>
          <cell r="D20174"/>
          <cell r="E20174"/>
        </row>
        <row r="20175">
          <cell r="A20175"/>
          <cell r="B20175"/>
          <cell r="C20175"/>
          <cell r="D20175"/>
          <cell r="E20175"/>
        </row>
        <row r="20176">
          <cell r="A20176"/>
          <cell r="B20176"/>
          <cell r="C20176"/>
          <cell r="D20176"/>
          <cell r="E20176"/>
        </row>
        <row r="20177">
          <cell r="A20177"/>
          <cell r="B20177"/>
          <cell r="C20177"/>
          <cell r="D20177"/>
          <cell r="E20177"/>
        </row>
        <row r="20178">
          <cell r="A20178"/>
          <cell r="B20178"/>
          <cell r="C20178"/>
          <cell r="D20178"/>
          <cell r="E20178"/>
        </row>
        <row r="20179">
          <cell r="A20179"/>
          <cell r="B20179"/>
          <cell r="C20179"/>
          <cell r="D20179"/>
          <cell r="E20179"/>
        </row>
        <row r="20180">
          <cell r="A20180"/>
          <cell r="B20180"/>
          <cell r="C20180"/>
          <cell r="D20180"/>
          <cell r="E20180"/>
        </row>
        <row r="20181">
          <cell r="A20181"/>
          <cell r="B20181"/>
          <cell r="C20181"/>
          <cell r="D20181"/>
          <cell r="E20181"/>
        </row>
        <row r="20182">
          <cell r="A20182"/>
          <cell r="B20182"/>
          <cell r="C20182"/>
          <cell r="D20182"/>
          <cell r="E20182"/>
        </row>
        <row r="20183">
          <cell r="A20183"/>
          <cell r="B20183"/>
          <cell r="C20183"/>
          <cell r="D20183"/>
          <cell r="E20183"/>
        </row>
        <row r="20184">
          <cell r="A20184"/>
          <cell r="B20184"/>
          <cell r="C20184"/>
          <cell r="D20184"/>
          <cell r="E20184"/>
        </row>
        <row r="20185">
          <cell r="A20185"/>
          <cell r="B20185"/>
          <cell r="C20185"/>
          <cell r="D20185"/>
          <cell r="E20185"/>
        </row>
        <row r="20186">
          <cell r="A20186"/>
          <cell r="B20186"/>
          <cell r="C20186"/>
          <cell r="D20186"/>
          <cell r="E20186"/>
        </row>
        <row r="20187">
          <cell r="A20187"/>
          <cell r="B20187"/>
          <cell r="C20187"/>
          <cell r="D20187"/>
          <cell r="E20187"/>
        </row>
        <row r="20188">
          <cell r="A20188"/>
          <cell r="B20188"/>
          <cell r="C20188"/>
          <cell r="D20188"/>
          <cell r="E20188"/>
        </row>
        <row r="20189">
          <cell r="A20189"/>
          <cell r="B20189"/>
          <cell r="C20189"/>
          <cell r="D20189"/>
          <cell r="E20189"/>
        </row>
        <row r="20190">
          <cell r="A20190"/>
          <cell r="B20190"/>
          <cell r="C20190"/>
          <cell r="D20190"/>
          <cell r="E20190"/>
        </row>
        <row r="20191">
          <cell r="A20191"/>
          <cell r="B20191"/>
          <cell r="C20191"/>
          <cell r="D20191"/>
          <cell r="E20191"/>
        </row>
        <row r="20192">
          <cell r="A20192"/>
          <cell r="B20192"/>
          <cell r="C20192"/>
          <cell r="D20192"/>
          <cell r="E20192"/>
        </row>
        <row r="20193">
          <cell r="A20193"/>
          <cell r="B20193"/>
          <cell r="C20193"/>
          <cell r="D20193"/>
          <cell r="E20193"/>
        </row>
        <row r="20194">
          <cell r="A20194"/>
          <cell r="B20194"/>
          <cell r="C20194"/>
          <cell r="D20194"/>
          <cell r="E20194"/>
        </row>
        <row r="20195">
          <cell r="A20195"/>
          <cell r="B20195"/>
          <cell r="C20195"/>
          <cell r="D20195"/>
          <cell r="E20195"/>
        </row>
        <row r="20196">
          <cell r="A20196"/>
          <cell r="B20196"/>
          <cell r="C20196"/>
          <cell r="D20196"/>
          <cell r="E20196"/>
        </row>
        <row r="20197">
          <cell r="A20197"/>
          <cell r="B20197"/>
          <cell r="C20197"/>
          <cell r="D20197"/>
          <cell r="E20197"/>
        </row>
        <row r="20198">
          <cell r="A20198"/>
          <cell r="B20198"/>
          <cell r="C20198"/>
          <cell r="D20198"/>
          <cell r="E20198"/>
        </row>
        <row r="20199">
          <cell r="A20199"/>
          <cell r="B20199"/>
          <cell r="C20199"/>
          <cell r="D20199"/>
          <cell r="E20199"/>
        </row>
        <row r="20200">
          <cell r="A20200"/>
          <cell r="B20200"/>
          <cell r="C20200"/>
          <cell r="D20200"/>
          <cell r="E20200"/>
        </row>
        <row r="20201">
          <cell r="A20201"/>
          <cell r="B20201"/>
          <cell r="C20201"/>
          <cell r="D20201"/>
          <cell r="E20201"/>
        </row>
        <row r="20202">
          <cell r="A20202"/>
          <cell r="B20202"/>
          <cell r="C20202"/>
          <cell r="D20202"/>
          <cell r="E20202"/>
        </row>
        <row r="20203">
          <cell r="A20203"/>
          <cell r="B20203"/>
          <cell r="C20203"/>
          <cell r="D20203"/>
          <cell r="E20203"/>
        </row>
        <row r="20204">
          <cell r="A20204"/>
          <cell r="B20204"/>
          <cell r="C20204"/>
          <cell r="D20204"/>
          <cell r="E20204"/>
        </row>
        <row r="20205">
          <cell r="A20205"/>
          <cell r="B20205"/>
          <cell r="C20205"/>
          <cell r="D20205"/>
          <cell r="E20205"/>
        </row>
        <row r="20206">
          <cell r="A20206"/>
          <cell r="B20206"/>
          <cell r="C20206"/>
          <cell r="D20206"/>
          <cell r="E20206"/>
        </row>
        <row r="20207">
          <cell r="A20207"/>
          <cell r="B20207"/>
          <cell r="C20207"/>
          <cell r="D20207"/>
          <cell r="E20207"/>
        </row>
        <row r="20208">
          <cell r="A20208"/>
          <cell r="B20208"/>
          <cell r="C20208"/>
          <cell r="D20208"/>
          <cell r="E20208"/>
        </row>
        <row r="20209">
          <cell r="A20209"/>
          <cell r="B20209"/>
          <cell r="C20209"/>
          <cell r="D20209"/>
          <cell r="E20209"/>
        </row>
        <row r="20210">
          <cell r="A20210"/>
          <cell r="B20210"/>
          <cell r="C20210"/>
          <cell r="D20210"/>
          <cell r="E20210"/>
        </row>
        <row r="20211">
          <cell r="A20211"/>
          <cell r="B20211"/>
          <cell r="C20211"/>
          <cell r="D20211"/>
          <cell r="E20211"/>
        </row>
        <row r="20212">
          <cell r="A20212"/>
          <cell r="B20212"/>
          <cell r="C20212"/>
          <cell r="D20212"/>
          <cell r="E20212"/>
        </row>
        <row r="20213">
          <cell r="A20213"/>
          <cell r="B20213"/>
          <cell r="C20213"/>
          <cell r="D20213"/>
          <cell r="E20213"/>
        </row>
        <row r="20214">
          <cell r="A20214"/>
          <cell r="B20214"/>
          <cell r="C20214"/>
          <cell r="D20214"/>
          <cell r="E20214"/>
        </row>
        <row r="20215">
          <cell r="A20215"/>
          <cell r="B20215"/>
          <cell r="C20215"/>
          <cell r="D20215"/>
          <cell r="E20215"/>
        </row>
        <row r="20216">
          <cell r="A20216"/>
          <cell r="B20216"/>
          <cell r="C20216"/>
          <cell r="D20216"/>
          <cell r="E20216"/>
        </row>
        <row r="20217">
          <cell r="A20217"/>
          <cell r="B20217"/>
          <cell r="C20217"/>
          <cell r="D20217"/>
          <cell r="E20217"/>
        </row>
        <row r="20218">
          <cell r="A20218"/>
          <cell r="B20218"/>
          <cell r="C20218"/>
          <cell r="D20218"/>
          <cell r="E20218"/>
        </row>
        <row r="20219">
          <cell r="A20219"/>
          <cell r="B20219"/>
          <cell r="C20219"/>
          <cell r="D20219"/>
          <cell r="E20219"/>
        </row>
        <row r="20220">
          <cell r="A20220"/>
          <cell r="B20220"/>
          <cell r="C20220"/>
          <cell r="D20220"/>
          <cell r="E20220"/>
        </row>
        <row r="20221">
          <cell r="A20221"/>
          <cell r="B20221"/>
          <cell r="C20221"/>
          <cell r="D20221"/>
          <cell r="E20221"/>
        </row>
        <row r="20222">
          <cell r="A20222"/>
          <cell r="B20222"/>
          <cell r="C20222"/>
          <cell r="D20222"/>
          <cell r="E20222"/>
        </row>
        <row r="20223">
          <cell r="A20223"/>
          <cell r="B20223"/>
          <cell r="C20223"/>
          <cell r="D20223"/>
          <cell r="E20223"/>
        </row>
        <row r="20224">
          <cell r="A20224"/>
          <cell r="B20224"/>
          <cell r="C20224"/>
          <cell r="D20224"/>
          <cell r="E20224"/>
        </row>
        <row r="20225">
          <cell r="A20225"/>
          <cell r="B20225"/>
          <cell r="C20225"/>
          <cell r="D20225"/>
          <cell r="E20225"/>
        </row>
        <row r="20226">
          <cell r="A20226"/>
          <cell r="B20226"/>
          <cell r="C20226"/>
          <cell r="D20226"/>
          <cell r="E20226"/>
        </row>
        <row r="20227">
          <cell r="A20227"/>
          <cell r="B20227"/>
          <cell r="C20227"/>
          <cell r="D20227"/>
          <cell r="E20227"/>
        </row>
        <row r="20228">
          <cell r="A20228"/>
          <cell r="B20228"/>
          <cell r="C20228"/>
          <cell r="D20228"/>
          <cell r="E20228"/>
        </row>
        <row r="20229">
          <cell r="A20229"/>
          <cell r="B20229"/>
          <cell r="C20229"/>
          <cell r="D20229"/>
          <cell r="E20229"/>
        </row>
        <row r="20230">
          <cell r="A20230"/>
          <cell r="B20230"/>
          <cell r="C20230"/>
          <cell r="D20230"/>
          <cell r="E20230"/>
        </row>
        <row r="20231">
          <cell r="A20231"/>
          <cell r="B20231"/>
          <cell r="C20231"/>
          <cell r="D20231"/>
          <cell r="E20231"/>
        </row>
        <row r="20232">
          <cell r="A20232"/>
          <cell r="B20232"/>
          <cell r="C20232"/>
          <cell r="D20232"/>
          <cell r="E20232"/>
        </row>
        <row r="20233">
          <cell r="A20233"/>
          <cell r="B20233"/>
          <cell r="C20233"/>
          <cell r="D20233"/>
          <cell r="E20233"/>
        </row>
        <row r="20234">
          <cell r="A20234"/>
          <cell r="B20234"/>
          <cell r="C20234"/>
          <cell r="D20234"/>
          <cell r="E20234"/>
        </row>
        <row r="20235">
          <cell r="A20235"/>
          <cell r="B20235"/>
          <cell r="C20235"/>
          <cell r="D20235"/>
          <cell r="E20235"/>
        </row>
        <row r="20236">
          <cell r="A20236"/>
          <cell r="B20236"/>
          <cell r="C20236"/>
          <cell r="D20236"/>
          <cell r="E20236"/>
        </row>
        <row r="20237">
          <cell r="A20237"/>
          <cell r="B20237"/>
          <cell r="C20237"/>
          <cell r="D20237"/>
          <cell r="E20237"/>
        </row>
        <row r="20238">
          <cell r="A20238"/>
          <cell r="B20238"/>
          <cell r="C20238"/>
          <cell r="D20238"/>
          <cell r="E20238"/>
        </row>
        <row r="20239">
          <cell r="A20239"/>
          <cell r="B20239"/>
          <cell r="C20239"/>
          <cell r="D20239"/>
          <cell r="E20239"/>
        </row>
        <row r="20240">
          <cell r="A20240"/>
          <cell r="B20240"/>
          <cell r="C20240"/>
          <cell r="D20240"/>
          <cell r="E20240"/>
        </row>
        <row r="20241">
          <cell r="A20241"/>
          <cell r="B20241"/>
          <cell r="C20241"/>
          <cell r="D20241"/>
          <cell r="E20241"/>
        </row>
        <row r="20242">
          <cell r="A20242"/>
          <cell r="B20242"/>
          <cell r="C20242"/>
          <cell r="D20242"/>
          <cell r="E20242"/>
        </row>
        <row r="20243">
          <cell r="A20243"/>
          <cell r="B20243"/>
          <cell r="C20243"/>
          <cell r="D20243"/>
          <cell r="E20243"/>
        </row>
        <row r="20244">
          <cell r="A20244"/>
          <cell r="B20244"/>
          <cell r="C20244"/>
          <cell r="D20244"/>
          <cell r="E20244"/>
        </row>
        <row r="20245">
          <cell r="A20245"/>
          <cell r="B20245"/>
          <cell r="C20245"/>
          <cell r="D20245"/>
          <cell r="E20245"/>
        </row>
        <row r="20246">
          <cell r="A20246"/>
          <cell r="B20246"/>
          <cell r="C20246"/>
          <cell r="D20246"/>
          <cell r="E20246"/>
        </row>
        <row r="20247">
          <cell r="A20247"/>
          <cell r="B20247"/>
          <cell r="C20247"/>
          <cell r="D20247"/>
          <cell r="E20247"/>
        </row>
        <row r="20248">
          <cell r="A20248"/>
          <cell r="B20248"/>
          <cell r="C20248"/>
          <cell r="D20248"/>
          <cell r="E20248"/>
        </row>
        <row r="20249">
          <cell r="A20249"/>
          <cell r="B20249"/>
          <cell r="C20249"/>
          <cell r="D20249"/>
          <cell r="E20249"/>
        </row>
        <row r="20250">
          <cell r="A20250"/>
          <cell r="B20250"/>
          <cell r="C20250"/>
          <cell r="D20250"/>
          <cell r="E20250"/>
        </row>
        <row r="20251">
          <cell r="A20251"/>
          <cell r="B20251"/>
          <cell r="C20251"/>
          <cell r="D20251"/>
          <cell r="E20251"/>
        </row>
        <row r="20252">
          <cell r="A20252"/>
          <cell r="B20252"/>
          <cell r="C20252"/>
          <cell r="D20252"/>
          <cell r="E20252"/>
        </row>
        <row r="20253">
          <cell r="A20253"/>
          <cell r="B20253"/>
          <cell r="C20253"/>
          <cell r="D20253"/>
          <cell r="E20253"/>
        </row>
        <row r="20254">
          <cell r="A20254"/>
          <cell r="B20254"/>
          <cell r="C20254"/>
          <cell r="D20254"/>
          <cell r="E20254"/>
        </row>
        <row r="20255">
          <cell r="A20255"/>
          <cell r="B20255"/>
          <cell r="C20255"/>
          <cell r="D20255"/>
          <cell r="E20255"/>
        </row>
        <row r="20256">
          <cell r="A20256"/>
          <cell r="B20256"/>
          <cell r="C20256"/>
          <cell r="D20256"/>
          <cell r="E20256"/>
        </row>
        <row r="20257">
          <cell r="A20257"/>
          <cell r="B20257"/>
          <cell r="C20257"/>
          <cell r="D20257"/>
          <cell r="E20257"/>
        </row>
        <row r="20258">
          <cell r="A20258"/>
          <cell r="B20258"/>
          <cell r="C20258"/>
          <cell r="D20258"/>
          <cell r="E20258"/>
        </row>
        <row r="20259">
          <cell r="A20259"/>
          <cell r="B20259"/>
          <cell r="C20259"/>
          <cell r="D20259"/>
          <cell r="E20259"/>
        </row>
        <row r="20260">
          <cell r="A20260"/>
          <cell r="B20260"/>
          <cell r="C20260"/>
          <cell r="D20260"/>
          <cell r="E20260"/>
        </row>
        <row r="20261">
          <cell r="A20261"/>
          <cell r="B20261"/>
          <cell r="C20261"/>
          <cell r="D20261"/>
          <cell r="E20261"/>
        </row>
        <row r="20262">
          <cell r="A20262"/>
          <cell r="B20262"/>
          <cell r="C20262"/>
          <cell r="D20262"/>
          <cell r="E20262"/>
        </row>
        <row r="20263">
          <cell r="A20263"/>
          <cell r="B20263"/>
          <cell r="C20263"/>
          <cell r="D20263"/>
          <cell r="E20263"/>
        </row>
        <row r="20264">
          <cell r="A20264"/>
          <cell r="B20264"/>
          <cell r="C20264"/>
          <cell r="D20264"/>
          <cell r="E20264"/>
        </row>
        <row r="20265">
          <cell r="A20265"/>
          <cell r="B20265"/>
          <cell r="C20265"/>
          <cell r="D20265"/>
          <cell r="E20265"/>
        </row>
        <row r="20266">
          <cell r="A20266"/>
          <cell r="B20266"/>
          <cell r="C20266"/>
          <cell r="D20266"/>
          <cell r="E20266"/>
        </row>
        <row r="20267">
          <cell r="A20267"/>
          <cell r="B20267"/>
          <cell r="C20267"/>
          <cell r="D20267"/>
          <cell r="E20267"/>
        </row>
        <row r="20268">
          <cell r="A20268"/>
          <cell r="B20268"/>
          <cell r="C20268"/>
          <cell r="D20268"/>
          <cell r="E20268"/>
        </row>
        <row r="20269">
          <cell r="A20269"/>
          <cell r="B20269"/>
          <cell r="C20269"/>
          <cell r="D20269"/>
          <cell r="E20269"/>
        </row>
        <row r="20270">
          <cell r="A20270"/>
          <cell r="B20270"/>
          <cell r="C20270"/>
          <cell r="D20270"/>
          <cell r="E20270"/>
        </row>
        <row r="20271">
          <cell r="A20271"/>
          <cell r="B20271"/>
          <cell r="C20271"/>
          <cell r="D20271"/>
          <cell r="E20271"/>
        </row>
        <row r="20272">
          <cell r="A20272"/>
          <cell r="B20272"/>
          <cell r="C20272"/>
          <cell r="D20272"/>
          <cell r="E20272"/>
        </row>
        <row r="20273">
          <cell r="A20273"/>
          <cell r="B20273"/>
          <cell r="C20273"/>
          <cell r="D20273"/>
          <cell r="E20273"/>
        </row>
        <row r="20274">
          <cell r="A20274"/>
          <cell r="B20274"/>
          <cell r="C20274"/>
          <cell r="D20274"/>
          <cell r="E20274"/>
        </row>
        <row r="20275">
          <cell r="A20275"/>
          <cell r="B20275"/>
          <cell r="C20275"/>
          <cell r="D20275"/>
          <cell r="E20275"/>
        </row>
        <row r="20276">
          <cell r="A20276"/>
          <cell r="B20276"/>
          <cell r="C20276"/>
          <cell r="D20276"/>
          <cell r="E20276"/>
        </row>
        <row r="20277">
          <cell r="A20277"/>
          <cell r="B20277"/>
          <cell r="C20277"/>
          <cell r="D20277"/>
          <cell r="E20277"/>
        </row>
        <row r="20278">
          <cell r="A20278"/>
          <cell r="B20278"/>
          <cell r="C20278"/>
          <cell r="D20278"/>
          <cell r="E20278"/>
        </row>
        <row r="20279">
          <cell r="A20279"/>
          <cell r="B20279"/>
          <cell r="C20279"/>
          <cell r="D20279"/>
          <cell r="E20279"/>
        </row>
        <row r="20280">
          <cell r="A20280"/>
          <cell r="B20280"/>
          <cell r="C20280"/>
          <cell r="D20280"/>
          <cell r="E20280"/>
        </row>
        <row r="20281">
          <cell r="A20281"/>
          <cell r="B20281"/>
          <cell r="C20281"/>
          <cell r="D20281"/>
          <cell r="E20281"/>
        </row>
        <row r="20282">
          <cell r="A20282"/>
          <cell r="B20282"/>
          <cell r="C20282"/>
          <cell r="D20282"/>
          <cell r="E20282"/>
        </row>
        <row r="20283">
          <cell r="A20283"/>
          <cell r="B20283"/>
          <cell r="C20283"/>
          <cell r="D20283"/>
          <cell r="E20283"/>
        </row>
        <row r="20284">
          <cell r="A20284"/>
          <cell r="B20284"/>
          <cell r="C20284"/>
          <cell r="D20284"/>
          <cell r="E20284"/>
        </row>
        <row r="20285">
          <cell r="A20285"/>
          <cell r="B20285"/>
          <cell r="C20285"/>
          <cell r="D20285"/>
          <cell r="E20285"/>
        </row>
        <row r="20286">
          <cell r="A20286"/>
          <cell r="B20286"/>
          <cell r="C20286"/>
          <cell r="D20286"/>
          <cell r="E20286"/>
        </row>
        <row r="20287">
          <cell r="A20287"/>
          <cell r="B20287"/>
          <cell r="C20287"/>
          <cell r="D20287"/>
          <cell r="E20287"/>
        </row>
        <row r="20288">
          <cell r="A20288"/>
          <cell r="B20288"/>
          <cell r="C20288"/>
          <cell r="D20288"/>
          <cell r="E20288"/>
        </row>
        <row r="20289">
          <cell r="A20289"/>
          <cell r="B20289"/>
          <cell r="C20289"/>
          <cell r="D20289"/>
          <cell r="E20289"/>
        </row>
        <row r="20290">
          <cell r="A20290"/>
          <cell r="B20290"/>
          <cell r="C20290"/>
          <cell r="D20290"/>
          <cell r="E20290"/>
        </row>
        <row r="20291">
          <cell r="A20291"/>
          <cell r="B20291"/>
          <cell r="C20291"/>
          <cell r="D20291"/>
          <cell r="E20291"/>
        </row>
        <row r="20292">
          <cell r="A20292"/>
          <cell r="B20292"/>
          <cell r="C20292"/>
          <cell r="D20292"/>
          <cell r="E20292"/>
        </row>
        <row r="20293">
          <cell r="A20293"/>
          <cell r="B20293"/>
          <cell r="C20293"/>
          <cell r="D20293"/>
          <cell r="E20293"/>
        </row>
        <row r="20294">
          <cell r="A20294"/>
          <cell r="B20294"/>
          <cell r="C20294"/>
          <cell r="D20294"/>
          <cell r="E20294"/>
        </row>
        <row r="20295">
          <cell r="A20295"/>
          <cell r="B20295"/>
          <cell r="C20295"/>
          <cell r="D20295"/>
          <cell r="E20295"/>
        </row>
        <row r="20296">
          <cell r="A20296"/>
          <cell r="B20296"/>
          <cell r="C20296"/>
          <cell r="D20296"/>
          <cell r="E20296"/>
        </row>
        <row r="20297">
          <cell r="A20297"/>
          <cell r="B20297"/>
          <cell r="C20297"/>
          <cell r="D20297"/>
          <cell r="E20297"/>
        </row>
        <row r="20298">
          <cell r="A20298"/>
          <cell r="B20298"/>
          <cell r="C20298"/>
          <cell r="D20298"/>
          <cell r="E20298"/>
        </row>
        <row r="20299">
          <cell r="A20299"/>
          <cell r="B20299"/>
          <cell r="C20299"/>
          <cell r="D20299"/>
          <cell r="E20299"/>
        </row>
        <row r="20300">
          <cell r="A20300"/>
          <cell r="B20300"/>
          <cell r="C20300"/>
          <cell r="D20300"/>
          <cell r="E20300"/>
        </row>
        <row r="20301">
          <cell r="A20301"/>
          <cell r="B20301"/>
          <cell r="C20301"/>
          <cell r="D20301"/>
          <cell r="E20301"/>
        </row>
        <row r="20302">
          <cell r="A20302"/>
          <cell r="B20302"/>
          <cell r="C20302"/>
          <cell r="D20302"/>
          <cell r="E20302"/>
        </row>
        <row r="20303">
          <cell r="A20303"/>
          <cell r="B20303"/>
          <cell r="C20303"/>
          <cell r="D20303"/>
          <cell r="E20303"/>
        </row>
        <row r="20304">
          <cell r="A20304"/>
          <cell r="B20304"/>
          <cell r="C20304"/>
          <cell r="D20304"/>
          <cell r="E20304"/>
        </row>
        <row r="20305">
          <cell r="A20305"/>
          <cell r="B20305"/>
          <cell r="C20305"/>
          <cell r="D20305"/>
          <cell r="E20305"/>
        </row>
        <row r="20306">
          <cell r="A20306"/>
          <cell r="B20306"/>
          <cell r="C20306"/>
          <cell r="D20306"/>
          <cell r="E20306"/>
        </row>
        <row r="20307">
          <cell r="A20307"/>
          <cell r="B20307"/>
          <cell r="C20307"/>
          <cell r="D20307"/>
          <cell r="E20307"/>
        </row>
        <row r="20308">
          <cell r="A20308"/>
          <cell r="B20308"/>
          <cell r="C20308"/>
          <cell r="D20308"/>
          <cell r="E20308"/>
        </row>
        <row r="20309">
          <cell r="A20309"/>
          <cell r="B20309"/>
          <cell r="C20309"/>
          <cell r="D20309"/>
          <cell r="E20309"/>
        </row>
        <row r="20310">
          <cell r="A20310"/>
          <cell r="B20310"/>
          <cell r="C20310"/>
          <cell r="D20310"/>
          <cell r="E20310"/>
        </row>
        <row r="20311">
          <cell r="A20311"/>
          <cell r="B20311"/>
          <cell r="C20311"/>
          <cell r="D20311"/>
          <cell r="E20311"/>
        </row>
        <row r="20312">
          <cell r="A20312"/>
          <cell r="B20312"/>
          <cell r="C20312"/>
          <cell r="D20312"/>
          <cell r="E20312"/>
        </row>
        <row r="20313">
          <cell r="A20313"/>
          <cell r="B20313"/>
          <cell r="C20313"/>
          <cell r="D20313"/>
          <cell r="E20313"/>
        </row>
        <row r="20314">
          <cell r="A20314"/>
          <cell r="B20314"/>
          <cell r="C20314"/>
          <cell r="D20314"/>
          <cell r="E20314"/>
        </row>
        <row r="20315">
          <cell r="A20315"/>
          <cell r="B20315"/>
          <cell r="C20315"/>
          <cell r="D20315"/>
          <cell r="E20315"/>
        </row>
        <row r="20316">
          <cell r="A20316"/>
          <cell r="B20316"/>
          <cell r="C20316"/>
          <cell r="D20316"/>
          <cell r="E20316"/>
        </row>
        <row r="20317">
          <cell r="A20317"/>
          <cell r="B20317"/>
          <cell r="C20317"/>
          <cell r="D20317"/>
          <cell r="E20317"/>
        </row>
        <row r="20318">
          <cell r="A20318"/>
          <cell r="B20318"/>
          <cell r="C20318"/>
          <cell r="D20318"/>
          <cell r="E20318"/>
        </row>
        <row r="20319">
          <cell r="A20319"/>
          <cell r="B20319"/>
          <cell r="C20319"/>
          <cell r="D20319"/>
          <cell r="E20319"/>
        </row>
        <row r="20320">
          <cell r="A20320"/>
          <cell r="B20320"/>
          <cell r="C20320"/>
          <cell r="D20320"/>
          <cell r="E20320"/>
        </row>
        <row r="20321">
          <cell r="A20321"/>
          <cell r="B20321"/>
          <cell r="C20321"/>
          <cell r="D20321"/>
          <cell r="E20321"/>
        </row>
        <row r="20322">
          <cell r="A20322"/>
          <cell r="B20322"/>
          <cell r="C20322"/>
          <cell r="D20322"/>
          <cell r="E20322"/>
        </row>
        <row r="20323">
          <cell r="A20323"/>
          <cell r="B20323"/>
          <cell r="C20323"/>
          <cell r="D20323"/>
          <cell r="E20323"/>
        </row>
        <row r="20324">
          <cell r="A20324"/>
          <cell r="B20324"/>
          <cell r="C20324"/>
          <cell r="D20324"/>
          <cell r="E20324"/>
        </row>
        <row r="20325">
          <cell r="A20325"/>
          <cell r="B20325"/>
          <cell r="C20325"/>
          <cell r="D20325"/>
          <cell r="E20325"/>
        </row>
        <row r="20326">
          <cell r="A20326"/>
          <cell r="B20326"/>
          <cell r="C20326"/>
          <cell r="D20326"/>
          <cell r="E20326"/>
        </row>
        <row r="20327">
          <cell r="A20327"/>
          <cell r="B20327"/>
          <cell r="C20327"/>
          <cell r="D20327"/>
          <cell r="E20327"/>
        </row>
        <row r="20328">
          <cell r="A20328"/>
          <cell r="B20328"/>
          <cell r="C20328"/>
          <cell r="D20328"/>
          <cell r="E20328"/>
        </row>
        <row r="20329">
          <cell r="A20329"/>
          <cell r="B20329"/>
          <cell r="C20329"/>
          <cell r="D20329"/>
          <cell r="E20329"/>
        </row>
        <row r="20330">
          <cell r="A20330"/>
          <cell r="B20330"/>
          <cell r="C20330"/>
          <cell r="D20330"/>
          <cell r="E20330"/>
        </row>
        <row r="20331">
          <cell r="A20331"/>
          <cell r="B20331"/>
          <cell r="C20331"/>
          <cell r="D20331"/>
          <cell r="E20331"/>
        </row>
        <row r="20332">
          <cell r="A20332"/>
          <cell r="B20332"/>
          <cell r="C20332"/>
          <cell r="D20332"/>
          <cell r="E20332"/>
        </row>
        <row r="20333">
          <cell r="A20333"/>
          <cell r="B20333"/>
          <cell r="C20333"/>
          <cell r="D20333"/>
          <cell r="E20333"/>
        </row>
        <row r="20334">
          <cell r="A20334"/>
          <cell r="B20334"/>
          <cell r="C20334"/>
          <cell r="D20334"/>
          <cell r="E20334"/>
        </row>
        <row r="20335">
          <cell r="A20335"/>
          <cell r="B20335"/>
          <cell r="C20335"/>
          <cell r="D20335"/>
          <cell r="E20335"/>
        </row>
        <row r="20336">
          <cell r="A20336"/>
          <cell r="B20336"/>
          <cell r="C20336"/>
          <cell r="D20336"/>
          <cell r="E20336"/>
        </row>
        <row r="20337">
          <cell r="A20337"/>
          <cell r="B20337"/>
          <cell r="C20337"/>
          <cell r="D20337"/>
          <cell r="E20337"/>
        </row>
        <row r="20338">
          <cell r="A20338"/>
          <cell r="B20338"/>
          <cell r="C20338"/>
          <cell r="D20338"/>
          <cell r="E20338"/>
        </row>
        <row r="20339">
          <cell r="A20339"/>
          <cell r="B20339"/>
          <cell r="C20339"/>
          <cell r="D20339"/>
          <cell r="E20339"/>
        </row>
        <row r="20340">
          <cell r="A20340"/>
          <cell r="B20340"/>
          <cell r="C20340"/>
          <cell r="D20340"/>
          <cell r="E20340"/>
        </row>
        <row r="20341">
          <cell r="A20341"/>
          <cell r="B20341"/>
          <cell r="C20341"/>
          <cell r="D20341"/>
          <cell r="E20341"/>
        </row>
        <row r="20342">
          <cell r="A20342"/>
          <cell r="B20342"/>
          <cell r="C20342"/>
          <cell r="D20342"/>
          <cell r="E20342"/>
        </row>
        <row r="20343">
          <cell r="A20343"/>
          <cell r="B20343"/>
          <cell r="C20343"/>
          <cell r="D20343"/>
          <cell r="E20343"/>
        </row>
        <row r="20344">
          <cell r="A20344"/>
          <cell r="B20344"/>
          <cell r="C20344"/>
          <cell r="D20344"/>
          <cell r="E20344"/>
        </row>
        <row r="20345">
          <cell r="A20345"/>
          <cell r="B20345"/>
          <cell r="C20345"/>
          <cell r="D20345"/>
          <cell r="E20345"/>
        </row>
        <row r="20346">
          <cell r="A20346"/>
          <cell r="B20346"/>
          <cell r="C20346"/>
          <cell r="D20346"/>
          <cell r="E20346"/>
        </row>
        <row r="20347">
          <cell r="A20347"/>
          <cell r="B20347"/>
          <cell r="C20347"/>
          <cell r="D20347"/>
          <cell r="E20347"/>
        </row>
        <row r="20348">
          <cell r="A20348"/>
          <cell r="B20348"/>
          <cell r="C20348"/>
          <cell r="D20348"/>
          <cell r="E20348"/>
        </row>
        <row r="20349">
          <cell r="A20349"/>
          <cell r="B20349"/>
          <cell r="C20349"/>
          <cell r="D20349"/>
          <cell r="E20349"/>
        </row>
        <row r="20350">
          <cell r="A20350"/>
          <cell r="B20350"/>
          <cell r="C20350"/>
          <cell r="D20350"/>
          <cell r="E20350"/>
        </row>
        <row r="20351">
          <cell r="A20351"/>
          <cell r="B20351"/>
          <cell r="C20351"/>
          <cell r="D20351"/>
          <cell r="E20351"/>
        </row>
        <row r="20352">
          <cell r="A20352"/>
          <cell r="B20352"/>
          <cell r="C20352"/>
          <cell r="D20352"/>
          <cell r="E20352"/>
        </row>
        <row r="20353">
          <cell r="A20353"/>
          <cell r="B20353"/>
          <cell r="C20353"/>
          <cell r="D20353"/>
          <cell r="E20353"/>
        </row>
        <row r="20354">
          <cell r="A20354"/>
          <cell r="B20354"/>
          <cell r="C20354"/>
          <cell r="D20354"/>
          <cell r="E20354"/>
        </row>
        <row r="20355">
          <cell r="A20355"/>
          <cell r="B20355"/>
          <cell r="C20355"/>
          <cell r="D20355"/>
          <cell r="E20355"/>
        </row>
        <row r="20356">
          <cell r="A20356"/>
          <cell r="B20356"/>
          <cell r="C20356"/>
          <cell r="D20356"/>
          <cell r="E20356"/>
        </row>
        <row r="20357">
          <cell r="A20357"/>
          <cell r="B20357"/>
          <cell r="C20357"/>
          <cell r="D20357"/>
          <cell r="E20357"/>
        </row>
        <row r="20358">
          <cell r="A20358"/>
          <cell r="B20358"/>
          <cell r="C20358"/>
          <cell r="D20358"/>
          <cell r="E20358"/>
        </row>
        <row r="20359">
          <cell r="A20359"/>
          <cell r="B20359"/>
          <cell r="C20359"/>
          <cell r="D20359"/>
          <cell r="E20359"/>
        </row>
        <row r="20360">
          <cell r="A20360"/>
          <cell r="B20360"/>
          <cell r="C20360"/>
          <cell r="D20360"/>
          <cell r="E20360"/>
        </row>
        <row r="20361">
          <cell r="A20361"/>
          <cell r="B20361"/>
          <cell r="C20361"/>
          <cell r="D20361"/>
          <cell r="E20361"/>
        </row>
        <row r="20362">
          <cell r="A20362"/>
          <cell r="B20362"/>
          <cell r="C20362"/>
          <cell r="D20362"/>
          <cell r="E20362"/>
        </row>
        <row r="20363">
          <cell r="A20363"/>
          <cell r="B20363"/>
          <cell r="C20363"/>
          <cell r="D20363"/>
          <cell r="E20363"/>
        </row>
        <row r="20364">
          <cell r="A20364"/>
          <cell r="B20364"/>
          <cell r="C20364"/>
          <cell r="D20364"/>
          <cell r="E20364"/>
        </row>
        <row r="20365">
          <cell r="A20365"/>
          <cell r="B20365"/>
          <cell r="C20365"/>
          <cell r="D20365"/>
          <cell r="E20365"/>
        </row>
        <row r="20366">
          <cell r="A20366"/>
          <cell r="B20366"/>
          <cell r="C20366"/>
          <cell r="D20366"/>
          <cell r="E20366"/>
        </row>
        <row r="20367">
          <cell r="A20367"/>
          <cell r="B20367"/>
          <cell r="C20367"/>
          <cell r="D20367"/>
          <cell r="E20367"/>
        </row>
        <row r="20368">
          <cell r="A20368"/>
          <cell r="B20368"/>
          <cell r="C20368"/>
          <cell r="D20368"/>
          <cell r="E20368"/>
        </row>
        <row r="20369">
          <cell r="A20369"/>
          <cell r="B20369"/>
          <cell r="C20369"/>
          <cell r="D20369"/>
          <cell r="E20369"/>
        </row>
        <row r="20370">
          <cell r="A20370"/>
          <cell r="B20370"/>
          <cell r="C20370"/>
          <cell r="D20370"/>
          <cell r="E20370"/>
        </row>
        <row r="20371">
          <cell r="A20371"/>
          <cell r="B20371"/>
          <cell r="C20371"/>
          <cell r="D20371"/>
          <cell r="E20371"/>
        </row>
        <row r="20372">
          <cell r="A20372"/>
          <cell r="B20372"/>
          <cell r="C20372"/>
          <cell r="D20372"/>
          <cell r="E20372"/>
        </row>
        <row r="20373">
          <cell r="A20373"/>
          <cell r="B20373"/>
          <cell r="C20373"/>
          <cell r="D20373"/>
          <cell r="E20373"/>
        </row>
        <row r="20374">
          <cell r="A20374"/>
          <cell r="B20374"/>
          <cell r="C20374"/>
          <cell r="D20374"/>
          <cell r="E20374"/>
        </row>
        <row r="20375">
          <cell r="A20375"/>
          <cell r="B20375"/>
          <cell r="C20375"/>
          <cell r="D20375"/>
          <cell r="E20375"/>
        </row>
        <row r="20376">
          <cell r="A20376"/>
          <cell r="B20376"/>
          <cell r="C20376"/>
          <cell r="D20376"/>
          <cell r="E20376"/>
        </row>
        <row r="20377">
          <cell r="A20377"/>
          <cell r="B20377"/>
          <cell r="C20377"/>
          <cell r="D20377"/>
          <cell r="E20377"/>
        </row>
        <row r="20378">
          <cell r="A20378"/>
          <cell r="B20378"/>
          <cell r="C20378"/>
          <cell r="D20378"/>
          <cell r="E20378"/>
        </row>
        <row r="20379">
          <cell r="A20379"/>
          <cell r="B20379"/>
          <cell r="C20379"/>
          <cell r="D20379"/>
          <cell r="E20379"/>
        </row>
        <row r="20380">
          <cell r="A20380"/>
          <cell r="B20380"/>
          <cell r="C20380"/>
          <cell r="D20380"/>
          <cell r="E20380"/>
        </row>
        <row r="20381">
          <cell r="A20381"/>
          <cell r="B20381"/>
          <cell r="C20381"/>
          <cell r="D20381"/>
          <cell r="E20381"/>
        </row>
        <row r="20382">
          <cell r="A20382"/>
          <cell r="B20382"/>
          <cell r="C20382"/>
          <cell r="D20382"/>
          <cell r="E20382"/>
        </row>
        <row r="20383">
          <cell r="A20383"/>
          <cell r="B20383"/>
          <cell r="C20383"/>
          <cell r="D20383"/>
          <cell r="E20383"/>
        </row>
        <row r="20384">
          <cell r="A20384"/>
          <cell r="B20384"/>
          <cell r="C20384"/>
          <cell r="D20384"/>
          <cell r="E20384"/>
        </row>
        <row r="20385">
          <cell r="A20385"/>
          <cell r="B20385"/>
          <cell r="C20385"/>
          <cell r="D20385"/>
          <cell r="E20385"/>
        </row>
        <row r="20386">
          <cell r="A20386"/>
          <cell r="B20386"/>
          <cell r="C20386"/>
          <cell r="D20386"/>
          <cell r="E20386"/>
        </row>
        <row r="20387">
          <cell r="A20387"/>
          <cell r="B20387"/>
          <cell r="C20387"/>
          <cell r="D20387"/>
          <cell r="E20387"/>
        </row>
        <row r="20388">
          <cell r="A20388"/>
          <cell r="B20388"/>
          <cell r="C20388"/>
          <cell r="D20388"/>
          <cell r="E20388"/>
        </row>
        <row r="20389">
          <cell r="A20389"/>
          <cell r="B20389"/>
          <cell r="C20389"/>
          <cell r="D20389"/>
          <cell r="E20389"/>
        </row>
        <row r="20390">
          <cell r="A20390"/>
          <cell r="B20390"/>
          <cell r="C20390"/>
          <cell r="D20390"/>
          <cell r="E20390"/>
        </row>
        <row r="20391">
          <cell r="A20391"/>
          <cell r="B20391"/>
          <cell r="C20391"/>
          <cell r="D20391"/>
          <cell r="E20391"/>
        </row>
        <row r="20392">
          <cell r="A20392"/>
          <cell r="B20392"/>
          <cell r="C20392"/>
          <cell r="D20392"/>
          <cell r="E20392"/>
        </row>
        <row r="20393">
          <cell r="A20393"/>
          <cell r="B20393"/>
          <cell r="C20393"/>
          <cell r="D20393"/>
          <cell r="E20393"/>
        </row>
        <row r="20394">
          <cell r="A20394"/>
          <cell r="B20394"/>
          <cell r="C20394"/>
          <cell r="D20394"/>
          <cell r="E20394"/>
        </row>
        <row r="20395">
          <cell r="A20395"/>
          <cell r="B20395"/>
          <cell r="C20395"/>
          <cell r="D20395"/>
          <cell r="E20395"/>
        </row>
        <row r="20396">
          <cell r="A20396"/>
          <cell r="B20396"/>
          <cell r="C20396"/>
          <cell r="D20396"/>
          <cell r="E20396"/>
        </row>
        <row r="20397">
          <cell r="A20397"/>
          <cell r="B20397"/>
          <cell r="C20397"/>
          <cell r="D20397"/>
          <cell r="E20397"/>
        </row>
        <row r="20398">
          <cell r="A20398"/>
          <cell r="B20398"/>
          <cell r="C20398"/>
          <cell r="D20398"/>
          <cell r="E20398"/>
        </row>
        <row r="20399">
          <cell r="A20399"/>
          <cell r="B20399"/>
          <cell r="C20399"/>
          <cell r="D20399"/>
          <cell r="E20399"/>
        </row>
        <row r="20400">
          <cell r="A20400"/>
          <cell r="B20400"/>
          <cell r="C20400"/>
          <cell r="D20400"/>
          <cell r="E20400"/>
        </row>
        <row r="20401">
          <cell r="A20401"/>
          <cell r="B20401"/>
          <cell r="C20401"/>
          <cell r="D20401"/>
          <cell r="E20401"/>
        </row>
        <row r="20402">
          <cell r="A20402"/>
          <cell r="B20402"/>
          <cell r="C20402"/>
          <cell r="D20402"/>
          <cell r="E20402"/>
        </row>
        <row r="20403">
          <cell r="A20403"/>
          <cell r="B20403"/>
          <cell r="C20403"/>
          <cell r="D20403"/>
          <cell r="E20403"/>
        </row>
        <row r="20404">
          <cell r="A20404"/>
          <cell r="B20404"/>
          <cell r="C20404"/>
          <cell r="D20404"/>
          <cell r="E20404"/>
        </row>
        <row r="20405">
          <cell r="A20405"/>
          <cell r="B20405"/>
          <cell r="C20405"/>
          <cell r="D20405"/>
          <cell r="E20405"/>
        </row>
        <row r="20406">
          <cell r="A20406"/>
          <cell r="B20406"/>
          <cell r="C20406"/>
          <cell r="D20406"/>
          <cell r="E20406"/>
        </row>
        <row r="20407">
          <cell r="A20407"/>
          <cell r="B20407"/>
          <cell r="C20407"/>
          <cell r="D20407"/>
          <cell r="E20407"/>
        </row>
        <row r="20408">
          <cell r="A20408"/>
          <cell r="B20408"/>
          <cell r="C20408"/>
          <cell r="D20408"/>
          <cell r="E20408"/>
        </row>
        <row r="20409">
          <cell r="A20409"/>
          <cell r="B20409"/>
          <cell r="C20409"/>
          <cell r="D20409"/>
          <cell r="E20409"/>
        </row>
        <row r="20410">
          <cell r="A20410"/>
          <cell r="B20410"/>
          <cell r="C20410"/>
          <cell r="D20410"/>
          <cell r="E20410"/>
        </row>
        <row r="20411">
          <cell r="A20411"/>
          <cell r="B20411"/>
          <cell r="C20411"/>
          <cell r="D20411"/>
          <cell r="E20411"/>
        </row>
        <row r="20412">
          <cell r="A20412"/>
          <cell r="B20412"/>
          <cell r="C20412"/>
          <cell r="D20412"/>
          <cell r="E20412"/>
        </row>
        <row r="20413">
          <cell r="A20413"/>
          <cell r="B20413"/>
          <cell r="C20413"/>
          <cell r="D20413"/>
          <cell r="E20413"/>
        </row>
        <row r="20414">
          <cell r="A20414"/>
          <cell r="B20414"/>
          <cell r="C20414"/>
          <cell r="D20414"/>
          <cell r="E20414"/>
        </row>
        <row r="20415">
          <cell r="A20415"/>
          <cell r="B20415"/>
          <cell r="C20415"/>
          <cell r="D20415"/>
          <cell r="E20415"/>
        </row>
        <row r="20416">
          <cell r="A20416"/>
          <cell r="B20416"/>
          <cell r="C20416"/>
          <cell r="D20416"/>
          <cell r="E20416"/>
        </row>
        <row r="20417">
          <cell r="A20417"/>
          <cell r="B20417"/>
          <cell r="C20417"/>
          <cell r="D20417"/>
          <cell r="E20417"/>
        </row>
        <row r="20418">
          <cell r="A20418"/>
          <cell r="B20418"/>
          <cell r="C20418"/>
          <cell r="D20418"/>
          <cell r="E20418"/>
        </row>
        <row r="20419">
          <cell r="A20419"/>
          <cell r="B20419"/>
          <cell r="C20419"/>
          <cell r="D20419"/>
          <cell r="E20419"/>
        </row>
        <row r="20420">
          <cell r="A20420"/>
          <cell r="B20420"/>
          <cell r="C20420"/>
          <cell r="D20420"/>
          <cell r="E20420"/>
        </row>
        <row r="20421">
          <cell r="A20421"/>
          <cell r="B20421"/>
          <cell r="C20421"/>
          <cell r="D20421"/>
          <cell r="E20421"/>
        </row>
        <row r="20422">
          <cell r="A20422"/>
          <cell r="B20422"/>
          <cell r="C20422"/>
          <cell r="D20422"/>
          <cell r="E20422"/>
        </row>
        <row r="20423">
          <cell r="A20423"/>
          <cell r="B20423"/>
          <cell r="C20423"/>
          <cell r="D20423"/>
          <cell r="E20423"/>
        </row>
        <row r="20424">
          <cell r="A20424"/>
          <cell r="B20424"/>
          <cell r="C20424"/>
          <cell r="D20424"/>
          <cell r="E20424"/>
        </row>
        <row r="20425">
          <cell r="A20425"/>
          <cell r="B20425"/>
          <cell r="C20425"/>
          <cell r="D20425"/>
          <cell r="E20425"/>
        </row>
        <row r="20426">
          <cell r="A20426"/>
          <cell r="B20426"/>
          <cell r="C20426"/>
          <cell r="D20426"/>
          <cell r="E20426"/>
        </row>
        <row r="20427">
          <cell r="A20427"/>
          <cell r="B20427"/>
          <cell r="C20427"/>
          <cell r="D20427"/>
          <cell r="E20427"/>
        </row>
        <row r="20428">
          <cell r="A20428"/>
          <cell r="B20428"/>
          <cell r="C20428"/>
          <cell r="D20428"/>
          <cell r="E20428"/>
        </row>
        <row r="20429">
          <cell r="A20429"/>
          <cell r="B20429"/>
          <cell r="C20429"/>
          <cell r="D20429"/>
          <cell r="E20429"/>
        </row>
        <row r="20430">
          <cell r="A20430"/>
          <cell r="B20430"/>
          <cell r="C20430"/>
          <cell r="D20430"/>
          <cell r="E20430"/>
        </row>
        <row r="20431">
          <cell r="A20431"/>
          <cell r="B20431"/>
          <cell r="C20431"/>
          <cell r="D20431"/>
          <cell r="E20431"/>
        </row>
        <row r="20432">
          <cell r="A20432"/>
          <cell r="B20432"/>
          <cell r="C20432"/>
          <cell r="D20432"/>
          <cell r="E20432"/>
        </row>
        <row r="20433">
          <cell r="A20433"/>
          <cell r="B20433"/>
          <cell r="C20433"/>
          <cell r="D20433"/>
          <cell r="E20433"/>
        </row>
        <row r="20434">
          <cell r="A20434"/>
          <cell r="B20434"/>
          <cell r="C20434"/>
          <cell r="D20434"/>
          <cell r="E20434"/>
        </row>
        <row r="20435">
          <cell r="A20435"/>
          <cell r="B20435"/>
          <cell r="C20435"/>
          <cell r="D20435"/>
          <cell r="E20435"/>
        </row>
        <row r="20436">
          <cell r="A20436"/>
          <cell r="B20436"/>
          <cell r="C20436"/>
          <cell r="D20436"/>
          <cell r="E20436"/>
        </row>
        <row r="20437">
          <cell r="A20437"/>
          <cell r="B20437"/>
          <cell r="C20437"/>
          <cell r="D20437"/>
          <cell r="E20437"/>
        </row>
        <row r="20438">
          <cell r="A20438"/>
          <cell r="B20438"/>
          <cell r="C20438"/>
          <cell r="D20438"/>
          <cell r="E20438"/>
        </row>
        <row r="20439">
          <cell r="A20439"/>
          <cell r="B20439"/>
          <cell r="C20439"/>
          <cell r="D20439"/>
          <cell r="E20439"/>
        </row>
        <row r="20440">
          <cell r="A20440"/>
          <cell r="B20440"/>
          <cell r="C20440"/>
          <cell r="D20440"/>
          <cell r="E20440"/>
        </row>
        <row r="20441">
          <cell r="A20441"/>
          <cell r="B20441"/>
          <cell r="C20441"/>
          <cell r="D20441"/>
          <cell r="E20441"/>
        </row>
        <row r="20442">
          <cell r="A20442"/>
          <cell r="B20442"/>
          <cell r="C20442"/>
          <cell r="D20442"/>
          <cell r="E20442"/>
        </row>
        <row r="20443">
          <cell r="A20443"/>
          <cell r="B20443"/>
          <cell r="C20443"/>
          <cell r="D20443"/>
          <cell r="E20443"/>
        </row>
        <row r="20444">
          <cell r="A20444"/>
          <cell r="B20444"/>
          <cell r="C20444"/>
          <cell r="D20444"/>
          <cell r="E20444"/>
        </row>
        <row r="20445">
          <cell r="A20445"/>
          <cell r="B20445"/>
          <cell r="C20445"/>
          <cell r="D20445"/>
          <cell r="E20445"/>
        </row>
        <row r="20446">
          <cell r="A20446"/>
          <cell r="B20446"/>
          <cell r="C20446"/>
          <cell r="D20446"/>
          <cell r="E20446"/>
        </row>
        <row r="20447">
          <cell r="A20447"/>
          <cell r="B20447"/>
          <cell r="C20447"/>
          <cell r="D20447"/>
          <cell r="E20447"/>
        </row>
        <row r="20448">
          <cell r="A20448"/>
          <cell r="B20448"/>
          <cell r="C20448"/>
          <cell r="D20448"/>
          <cell r="E20448"/>
        </row>
        <row r="20449">
          <cell r="A20449"/>
          <cell r="B20449"/>
          <cell r="C20449"/>
          <cell r="D20449"/>
          <cell r="E20449"/>
        </row>
        <row r="20450">
          <cell r="A20450"/>
          <cell r="B20450"/>
          <cell r="C20450"/>
          <cell r="D20450"/>
          <cell r="E20450"/>
        </row>
        <row r="20451">
          <cell r="A20451"/>
          <cell r="B20451"/>
          <cell r="C20451"/>
          <cell r="D20451"/>
          <cell r="E20451"/>
        </row>
        <row r="20452">
          <cell r="A20452"/>
          <cell r="B20452"/>
          <cell r="C20452"/>
          <cell r="D20452"/>
          <cell r="E20452"/>
        </row>
        <row r="20453">
          <cell r="A20453"/>
          <cell r="B20453"/>
          <cell r="C20453"/>
          <cell r="D20453"/>
          <cell r="E20453"/>
        </row>
        <row r="20454">
          <cell r="A20454"/>
          <cell r="B20454"/>
          <cell r="C20454"/>
          <cell r="D20454"/>
          <cell r="E20454"/>
        </row>
        <row r="20455">
          <cell r="A20455"/>
          <cell r="B20455"/>
          <cell r="C20455"/>
          <cell r="D20455"/>
          <cell r="E20455"/>
        </row>
        <row r="20456">
          <cell r="A20456"/>
          <cell r="B20456"/>
          <cell r="C20456"/>
          <cell r="D20456"/>
          <cell r="E20456"/>
        </row>
        <row r="20457">
          <cell r="A20457"/>
          <cell r="B20457"/>
          <cell r="C20457"/>
          <cell r="D20457"/>
          <cell r="E20457"/>
        </row>
        <row r="20458">
          <cell r="A20458"/>
          <cell r="B20458"/>
          <cell r="C20458"/>
          <cell r="D20458"/>
          <cell r="E20458"/>
        </row>
        <row r="20459">
          <cell r="A20459"/>
          <cell r="B20459"/>
          <cell r="C20459"/>
          <cell r="D20459"/>
          <cell r="E20459"/>
        </row>
        <row r="20460">
          <cell r="A20460"/>
          <cell r="B20460"/>
          <cell r="C20460"/>
          <cell r="D20460"/>
          <cell r="E20460"/>
        </row>
        <row r="20461">
          <cell r="A20461"/>
          <cell r="B20461"/>
          <cell r="C20461"/>
          <cell r="D20461"/>
          <cell r="E20461"/>
        </row>
        <row r="20462">
          <cell r="A20462"/>
          <cell r="B20462"/>
          <cell r="C20462"/>
          <cell r="D20462"/>
          <cell r="E20462"/>
        </row>
        <row r="20463">
          <cell r="A20463"/>
          <cell r="B20463"/>
          <cell r="C20463"/>
          <cell r="D20463"/>
          <cell r="E20463"/>
        </row>
        <row r="20464">
          <cell r="A20464"/>
          <cell r="B20464"/>
          <cell r="C20464"/>
          <cell r="D20464"/>
          <cell r="E20464"/>
        </row>
        <row r="20465">
          <cell r="A20465"/>
          <cell r="B20465"/>
          <cell r="C20465"/>
          <cell r="D20465"/>
          <cell r="E20465"/>
        </row>
        <row r="20466">
          <cell r="A20466"/>
          <cell r="B20466"/>
          <cell r="C20466"/>
          <cell r="D20466"/>
          <cell r="E20466"/>
        </row>
        <row r="20467">
          <cell r="A20467"/>
          <cell r="B20467"/>
          <cell r="C20467"/>
          <cell r="D20467"/>
          <cell r="E20467"/>
        </row>
        <row r="20468">
          <cell r="A20468"/>
          <cell r="B20468"/>
          <cell r="C20468"/>
          <cell r="D20468"/>
          <cell r="E20468"/>
        </row>
        <row r="20469">
          <cell r="A20469"/>
          <cell r="B20469"/>
          <cell r="C20469"/>
          <cell r="D20469"/>
          <cell r="E20469"/>
        </row>
        <row r="20470">
          <cell r="A20470"/>
          <cell r="B20470"/>
          <cell r="C20470"/>
          <cell r="D20470"/>
          <cell r="E20470"/>
        </row>
        <row r="20471">
          <cell r="A20471"/>
          <cell r="B20471"/>
          <cell r="C20471"/>
          <cell r="D20471"/>
          <cell r="E20471"/>
        </row>
        <row r="20472">
          <cell r="A20472"/>
          <cell r="B20472"/>
          <cell r="C20472"/>
          <cell r="D20472"/>
          <cell r="E20472"/>
        </row>
        <row r="20473">
          <cell r="A20473"/>
          <cell r="B20473"/>
          <cell r="C20473"/>
          <cell r="D20473"/>
          <cell r="E20473"/>
        </row>
        <row r="20474">
          <cell r="A20474"/>
          <cell r="B20474"/>
          <cell r="C20474"/>
          <cell r="D20474"/>
          <cell r="E20474"/>
        </row>
        <row r="20475">
          <cell r="A20475"/>
          <cell r="B20475"/>
          <cell r="C20475"/>
          <cell r="D20475"/>
          <cell r="E20475"/>
        </row>
        <row r="20476">
          <cell r="A20476"/>
          <cell r="B20476"/>
          <cell r="C20476"/>
          <cell r="D20476"/>
          <cell r="E20476"/>
        </row>
        <row r="20477">
          <cell r="A20477"/>
          <cell r="B20477"/>
          <cell r="C20477"/>
          <cell r="D20477"/>
          <cell r="E20477"/>
        </row>
        <row r="20478">
          <cell r="A20478"/>
          <cell r="B20478"/>
          <cell r="C20478"/>
          <cell r="D20478"/>
          <cell r="E20478"/>
        </row>
        <row r="20479">
          <cell r="A20479"/>
          <cell r="B20479"/>
          <cell r="C20479"/>
          <cell r="D20479"/>
          <cell r="E20479"/>
        </row>
        <row r="20480">
          <cell r="A20480"/>
          <cell r="B20480"/>
          <cell r="C20480"/>
          <cell r="D20480"/>
          <cell r="E20480"/>
        </row>
        <row r="20481">
          <cell r="A20481"/>
          <cell r="B20481"/>
          <cell r="C20481"/>
          <cell r="D20481"/>
          <cell r="E20481"/>
        </row>
        <row r="20482">
          <cell r="A20482"/>
          <cell r="B20482"/>
          <cell r="C20482"/>
          <cell r="D20482"/>
          <cell r="E20482"/>
        </row>
        <row r="20483">
          <cell r="A20483"/>
          <cell r="B20483"/>
          <cell r="C20483"/>
          <cell r="D20483"/>
          <cell r="E20483"/>
        </row>
        <row r="20484">
          <cell r="A20484"/>
          <cell r="B20484"/>
          <cell r="C20484"/>
          <cell r="D20484"/>
          <cell r="E20484"/>
        </row>
        <row r="20485">
          <cell r="A20485"/>
          <cell r="B20485"/>
          <cell r="C20485"/>
          <cell r="D20485"/>
          <cell r="E20485"/>
        </row>
        <row r="20486">
          <cell r="A20486"/>
          <cell r="B20486"/>
          <cell r="C20486"/>
          <cell r="D20486"/>
          <cell r="E20486"/>
        </row>
        <row r="20487">
          <cell r="A20487"/>
          <cell r="B20487"/>
          <cell r="C20487"/>
          <cell r="D20487"/>
          <cell r="E20487"/>
        </row>
        <row r="20488">
          <cell r="A20488"/>
          <cell r="B20488"/>
          <cell r="C20488"/>
          <cell r="D20488"/>
          <cell r="E20488"/>
        </row>
        <row r="20489">
          <cell r="A20489"/>
          <cell r="B20489"/>
          <cell r="C20489"/>
          <cell r="D20489"/>
          <cell r="E20489"/>
        </row>
        <row r="20490">
          <cell r="A20490"/>
          <cell r="B20490"/>
          <cell r="C20490"/>
          <cell r="D20490"/>
          <cell r="E20490"/>
        </row>
        <row r="20491">
          <cell r="A20491"/>
          <cell r="B20491"/>
          <cell r="C20491"/>
          <cell r="D20491"/>
          <cell r="E20491"/>
        </row>
        <row r="20492">
          <cell r="A20492"/>
          <cell r="B20492"/>
          <cell r="C20492"/>
          <cell r="D20492"/>
          <cell r="E20492"/>
        </row>
        <row r="20493">
          <cell r="A20493"/>
          <cell r="B20493"/>
          <cell r="C20493"/>
          <cell r="D20493"/>
          <cell r="E20493"/>
        </row>
        <row r="20494">
          <cell r="A20494"/>
          <cell r="B20494"/>
          <cell r="C20494"/>
          <cell r="D20494"/>
          <cell r="E20494"/>
        </row>
        <row r="20495">
          <cell r="A20495"/>
          <cell r="B20495"/>
          <cell r="C20495"/>
          <cell r="D20495"/>
          <cell r="E20495"/>
        </row>
        <row r="20496">
          <cell r="A20496"/>
          <cell r="B20496"/>
          <cell r="C20496"/>
          <cell r="D20496"/>
          <cell r="E20496"/>
        </row>
        <row r="20497">
          <cell r="A20497"/>
          <cell r="B20497"/>
          <cell r="C20497"/>
          <cell r="D20497"/>
          <cell r="E20497"/>
        </row>
        <row r="20498">
          <cell r="A20498"/>
          <cell r="B20498"/>
          <cell r="C20498"/>
          <cell r="D20498"/>
          <cell r="E20498"/>
        </row>
        <row r="20499">
          <cell r="A20499"/>
          <cell r="B20499"/>
          <cell r="C20499"/>
          <cell r="D20499"/>
          <cell r="E20499"/>
        </row>
        <row r="20500">
          <cell r="A20500"/>
          <cell r="B20500"/>
          <cell r="C20500"/>
          <cell r="D20500"/>
          <cell r="E20500"/>
        </row>
        <row r="20501">
          <cell r="A20501"/>
          <cell r="B20501"/>
          <cell r="C20501"/>
          <cell r="D20501"/>
          <cell r="E20501"/>
        </row>
        <row r="20502">
          <cell r="A20502"/>
          <cell r="B20502"/>
          <cell r="C20502"/>
          <cell r="D20502"/>
          <cell r="E20502"/>
        </row>
        <row r="20503">
          <cell r="A20503"/>
          <cell r="B20503"/>
          <cell r="C20503"/>
          <cell r="D20503"/>
          <cell r="E20503"/>
        </row>
        <row r="20504">
          <cell r="A20504"/>
          <cell r="B20504"/>
          <cell r="C20504"/>
          <cell r="D20504"/>
          <cell r="E20504"/>
        </row>
        <row r="20505">
          <cell r="A20505"/>
          <cell r="B20505"/>
          <cell r="C20505"/>
          <cell r="D20505"/>
          <cell r="E20505"/>
        </row>
        <row r="20506">
          <cell r="A20506"/>
          <cell r="B20506"/>
          <cell r="C20506"/>
          <cell r="D20506"/>
          <cell r="E20506"/>
        </row>
        <row r="20507">
          <cell r="A20507"/>
          <cell r="B20507"/>
          <cell r="C20507"/>
          <cell r="D20507"/>
          <cell r="E20507"/>
        </row>
        <row r="20508">
          <cell r="A20508"/>
          <cell r="B20508"/>
          <cell r="C20508"/>
          <cell r="D20508"/>
          <cell r="E20508"/>
        </row>
        <row r="20509">
          <cell r="A20509"/>
          <cell r="B20509"/>
          <cell r="C20509"/>
          <cell r="D20509"/>
          <cell r="E20509"/>
        </row>
        <row r="20510">
          <cell r="A20510"/>
          <cell r="B20510"/>
          <cell r="C20510"/>
          <cell r="D20510"/>
          <cell r="E20510"/>
        </row>
        <row r="20511">
          <cell r="A20511"/>
          <cell r="B20511"/>
          <cell r="C20511"/>
          <cell r="D20511"/>
          <cell r="E20511"/>
        </row>
        <row r="20512">
          <cell r="A20512"/>
          <cell r="B20512"/>
          <cell r="C20512"/>
          <cell r="D20512"/>
          <cell r="E20512"/>
        </row>
        <row r="20513">
          <cell r="A20513"/>
          <cell r="B20513"/>
          <cell r="C20513"/>
          <cell r="D20513"/>
          <cell r="E20513"/>
        </row>
        <row r="20514">
          <cell r="A20514"/>
          <cell r="B20514"/>
          <cell r="C20514"/>
          <cell r="D20514"/>
          <cell r="E20514"/>
        </row>
        <row r="20515">
          <cell r="A20515"/>
          <cell r="B20515"/>
          <cell r="C20515"/>
          <cell r="D20515"/>
          <cell r="E20515"/>
        </row>
        <row r="20516">
          <cell r="A20516"/>
          <cell r="B20516"/>
          <cell r="C20516"/>
          <cell r="D20516"/>
          <cell r="E20516"/>
        </row>
        <row r="20517">
          <cell r="A20517"/>
          <cell r="B20517"/>
          <cell r="C20517"/>
          <cell r="D20517"/>
          <cell r="E20517"/>
        </row>
        <row r="20518">
          <cell r="A20518"/>
          <cell r="B20518"/>
          <cell r="C20518"/>
          <cell r="D20518"/>
          <cell r="E20518"/>
        </row>
        <row r="20519">
          <cell r="A20519"/>
          <cell r="B20519"/>
          <cell r="C20519"/>
          <cell r="D20519"/>
          <cell r="E20519"/>
        </row>
        <row r="20520">
          <cell r="A20520"/>
          <cell r="B20520"/>
          <cell r="C20520"/>
          <cell r="D20520"/>
          <cell r="E20520"/>
        </row>
        <row r="20521">
          <cell r="A20521"/>
          <cell r="B20521"/>
          <cell r="C20521"/>
          <cell r="D20521"/>
          <cell r="E20521"/>
        </row>
        <row r="20522">
          <cell r="A20522"/>
          <cell r="B20522"/>
          <cell r="C20522"/>
          <cell r="D20522"/>
          <cell r="E20522"/>
        </row>
        <row r="20523">
          <cell r="A20523"/>
          <cell r="B20523"/>
          <cell r="C20523"/>
          <cell r="D20523"/>
          <cell r="E20523"/>
        </row>
        <row r="20524">
          <cell r="A20524"/>
          <cell r="B20524"/>
          <cell r="C20524"/>
          <cell r="D20524"/>
          <cell r="E20524"/>
        </row>
        <row r="20525">
          <cell r="A20525"/>
          <cell r="B20525"/>
          <cell r="C20525"/>
          <cell r="D20525"/>
          <cell r="E20525"/>
        </row>
        <row r="20526">
          <cell r="A20526"/>
          <cell r="B20526"/>
          <cell r="C20526"/>
          <cell r="D20526"/>
          <cell r="E20526"/>
        </row>
        <row r="20527">
          <cell r="A20527"/>
          <cell r="B20527"/>
          <cell r="C20527"/>
          <cell r="D20527"/>
          <cell r="E20527"/>
        </row>
        <row r="20528">
          <cell r="A20528"/>
          <cell r="B20528"/>
          <cell r="C20528"/>
          <cell r="D20528"/>
          <cell r="E20528"/>
        </row>
        <row r="20529">
          <cell r="A20529"/>
          <cell r="B20529"/>
          <cell r="C20529"/>
          <cell r="D20529"/>
          <cell r="E20529"/>
        </row>
        <row r="20530">
          <cell r="A20530"/>
          <cell r="B20530"/>
          <cell r="C20530"/>
          <cell r="D20530"/>
          <cell r="E20530"/>
        </row>
        <row r="20531">
          <cell r="A20531"/>
          <cell r="B20531"/>
          <cell r="C20531"/>
          <cell r="D20531"/>
          <cell r="E20531"/>
        </row>
        <row r="20532">
          <cell r="A20532"/>
          <cell r="B20532"/>
          <cell r="C20532"/>
          <cell r="D20532"/>
          <cell r="E20532"/>
        </row>
        <row r="20533">
          <cell r="A20533"/>
          <cell r="B20533"/>
          <cell r="C20533"/>
          <cell r="D20533"/>
          <cell r="E20533"/>
        </row>
        <row r="20534">
          <cell r="A20534"/>
          <cell r="B20534"/>
          <cell r="C20534"/>
          <cell r="D20534"/>
          <cell r="E20534"/>
        </row>
        <row r="20535">
          <cell r="A20535"/>
          <cell r="B20535"/>
          <cell r="C20535"/>
          <cell r="D20535"/>
          <cell r="E20535"/>
        </row>
        <row r="20536">
          <cell r="A20536"/>
          <cell r="B20536"/>
          <cell r="C20536"/>
          <cell r="D20536"/>
          <cell r="E20536"/>
        </row>
        <row r="20537">
          <cell r="A20537"/>
          <cell r="B20537"/>
          <cell r="C20537"/>
          <cell r="D20537"/>
          <cell r="E20537"/>
        </row>
        <row r="20538">
          <cell r="A20538"/>
          <cell r="B20538"/>
          <cell r="C20538"/>
          <cell r="D20538"/>
          <cell r="E20538"/>
        </row>
        <row r="20539">
          <cell r="A20539"/>
          <cell r="B20539"/>
          <cell r="C20539"/>
          <cell r="D20539"/>
          <cell r="E20539"/>
        </row>
        <row r="20540">
          <cell r="A20540"/>
          <cell r="B20540"/>
          <cell r="C20540"/>
          <cell r="D20540"/>
          <cell r="E20540"/>
        </row>
        <row r="20541">
          <cell r="A20541"/>
          <cell r="B20541"/>
          <cell r="C20541"/>
          <cell r="D20541"/>
          <cell r="E20541"/>
        </row>
        <row r="20542">
          <cell r="A20542"/>
          <cell r="B20542"/>
          <cell r="C20542"/>
          <cell r="D20542"/>
          <cell r="E20542"/>
        </row>
        <row r="20543">
          <cell r="A20543"/>
          <cell r="B20543"/>
          <cell r="C20543"/>
          <cell r="D20543"/>
          <cell r="E20543"/>
        </row>
        <row r="20544">
          <cell r="A20544"/>
          <cell r="B20544"/>
          <cell r="C20544"/>
          <cell r="D20544"/>
          <cell r="E20544"/>
        </row>
        <row r="20545">
          <cell r="A20545"/>
          <cell r="B20545"/>
          <cell r="C20545"/>
          <cell r="D20545"/>
          <cell r="E20545"/>
        </row>
        <row r="20546">
          <cell r="A20546"/>
          <cell r="B20546"/>
          <cell r="C20546"/>
          <cell r="D20546"/>
          <cell r="E20546"/>
        </row>
        <row r="20547">
          <cell r="A20547"/>
          <cell r="B20547"/>
          <cell r="C20547"/>
          <cell r="D20547"/>
          <cell r="E20547"/>
        </row>
        <row r="20548">
          <cell r="A20548"/>
          <cell r="B20548"/>
          <cell r="C20548"/>
          <cell r="D20548"/>
          <cell r="E20548"/>
        </row>
        <row r="20549">
          <cell r="A20549"/>
          <cell r="B20549"/>
          <cell r="C20549"/>
          <cell r="D20549"/>
          <cell r="E20549"/>
        </row>
        <row r="20550">
          <cell r="A20550"/>
          <cell r="B20550"/>
          <cell r="C20550"/>
          <cell r="D20550"/>
          <cell r="E20550"/>
        </row>
        <row r="20551">
          <cell r="A20551"/>
          <cell r="B20551"/>
          <cell r="C20551"/>
          <cell r="D20551"/>
          <cell r="E20551"/>
        </row>
        <row r="20552">
          <cell r="A20552"/>
          <cell r="B20552"/>
          <cell r="C20552"/>
          <cell r="D20552"/>
          <cell r="E20552"/>
        </row>
        <row r="20553">
          <cell r="A20553"/>
          <cell r="B20553"/>
          <cell r="C20553"/>
          <cell r="D20553"/>
          <cell r="E20553"/>
        </row>
        <row r="20554">
          <cell r="A20554"/>
          <cell r="B20554"/>
          <cell r="C20554"/>
          <cell r="D20554"/>
          <cell r="E20554"/>
        </row>
        <row r="20555">
          <cell r="A20555"/>
          <cell r="B20555"/>
          <cell r="C20555"/>
          <cell r="D20555"/>
          <cell r="E20555"/>
        </row>
        <row r="20556">
          <cell r="A20556"/>
          <cell r="B20556"/>
          <cell r="C20556"/>
          <cell r="D20556"/>
          <cell r="E20556"/>
        </row>
        <row r="20557">
          <cell r="A20557"/>
          <cell r="B20557"/>
          <cell r="C20557"/>
          <cell r="D20557"/>
          <cell r="E20557"/>
        </row>
        <row r="20558">
          <cell r="A20558"/>
          <cell r="B20558"/>
          <cell r="C20558"/>
          <cell r="D20558"/>
          <cell r="E20558"/>
        </row>
        <row r="20559">
          <cell r="A20559"/>
          <cell r="B20559"/>
          <cell r="C20559"/>
          <cell r="D20559"/>
          <cell r="E20559"/>
        </row>
        <row r="20560">
          <cell r="A20560"/>
          <cell r="B20560"/>
          <cell r="C20560"/>
          <cell r="D20560"/>
          <cell r="E20560"/>
        </row>
        <row r="20561">
          <cell r="A20561"/>
          <cell r="B20561"/>
          <cell r="C20561"/>
          <cell r="D20561"/>
          <cell r="E20561"/>
        </row>
        <row r="20562">
          <cell r="A20562"/>
          <cell r="B20562"/>
          <cell r="C20562"/>
          <cell r="D20562"/>
          <cell r="E20562"/>
        </row>
        <row r="20563">
          <cell r="A20563"/>
          <cell r="B20563"/>
          <cell r="C20563"/>
          <cell r="D20563"/>
          <cell r="E20563"/>
        </row>
        <row r="20564">
          <cell r="A20564"/>
          <cell r="B20564"/>
          <cell r="C20564"/>
          <cell r="D20564"/>
          <cell r="E20564"/>
        </row>
        <row r="20565">
          <cell r="A20565"/>
          <cell r="B20565"/>
          <cell r="C20565"/>
          <cell r="D20565"/>
          <cell r="E20565"/>
        </row>
        <row r="20566">
          <cell r="A20566"/>
          <cell r="B20566"/>
          <cell r="C20566"/>
          <cell r="D20566"/>
          <cell r="E20566"/>
        </row>
        <row r="20567">
          <cell r="A20567"/>
          <cell r="B20567"/>
          <cell r="C20567"/>
          <cell r="D20567"/>
          <cell r="E20567"/>
        </row>
        <row r="20568">
          <cell r="A20568"/>
          <cell r="B20568"/>
          <cell r="C20568"/>
          <cell r="D20568"/>
          <cell r="E20568"/>
        </row>
        <row r="20569">
          <cell r="A20569"/>
          <cell r="B20569"/>
          <cell r="C20569"/>
          <cell r="D20569"/>
          <cell r="E20569"/>
        </row>
        <row r="20570">
          <cell r="A20570"/>
          <cell r="B20570"/>
          <cell r="C20570"/>
          <cell r="D20570"/>
          <cell r="E20570"/>
        </row>
        <row r="20571">
          <cell r="A20571"/>
          <cell r="B20571"/>
          <cell r="C20571"/>
          <cell r="D20571"/>
          <cell r="E20571"/>
        </row>
        <row r="20572">
          <cell r="A20572"/>
          <cell r="B20572"/>
          <cell r="C20572"/>
          <cell r="D20572"/>
          <cell r="E20572"/>
        </row>
        <row r="20573">
          <cell r="A20573"/>
          <cell r="B20573"/>
          <cell r="C20573"/>
          <cell r="D20573"/>
          <cell r="E20573"/>
        </row>
        <row r="20574">
          <cell r="A20574"/>
          <cell r="B20574"/>
          <cell r="C20574"/>
          <cell r="D20574"/>
          <cell r="E20574"/>
        </row>
        <row r="20575">
          <cell r="A20575"/>
          <cell r="B20575"/>
          <cell r="C20575"/>
          <cell r="D20575"/>
          <cell r="E20575"/>
        </row>
        <row r="20576">
          <cell r="A20576"/>
          <cell r="B20576"/>
          <cell r="C20576"/>
          <cell r="D20576"/>
          <cell r="E20576"/>
        </row>
        <row r="20577">
          <cell r="A20577"/>
          <cell r="B20577"/>
          <cell r="C20577"/>
          <cell r="D20577"/>
          <cell r="E20577"/>
        </row>
        <row r="20578">
          <cell r="A20578"/>
          <cell r="B20578"/>
          <cell r="C20578"/>
          <cell r="D20578"/>
          <cell r="E20578"/>
        </row>
        <row r="20579">
          <cell r="A20579"/>
          <cell r="B20579"/>
          <cell r="C20579"/>
          <cell r="D20579"/>
          <cell r="E20579"/>
        </row>
        <row r="20580">
          <cell r="A20580"/>
          <cell r="B20580"/>
          <cell r="C20580"/>
          <cell r="D20580"/>
          <cell r="E20580"/>
        </row>
        <row r="20581">
          <cell r="A20581"/>
          <cell r="B20581"/>
          <cell r="C20581"/>
          <cell r="D20581"/>
          <cell r="E20581"/>
        </row>
        <row r="20582">
          <cell r="A20582"/>
          <cell r="B20582"/>
          <cell r="C20582"/>
          <cell r="D20582"/>
          <cell r="E20582"/>
        </row>
        <row r="20583">
          <cell r="A20583"/>
          <cell r="B20583"/>
          <cell r="C20583"/>
          <cell r="D20583"/>
          <cell r="E20583"/>
        </row>
        <row r="20584">
          <cell r="A20584"/>
          <cell r="B20584"/>
          <cell r="C20584"/>
          <cell r="D20584"/>
          <cell r="E20584"/>
        </row>
        <row r="20585">
          <cell r="A20585"/>
          <cell r="B20585"/>
          <cell r="C20585"/>
          <cell r="D20585"/>
          <cell r="E20585"/>
        </row>
        <row r="20586">
          <cell r="A20586"/>
          <cell r="B20586"/>
          <cell r="C20586"/>
          <cell r="D20586"/>
          <cell r="E20586"/>
        </row>
        <row r="20587">
          <cell r="A20587"/>
          <cell r="B20587"/>
          <cell r="C20587"/>
          <cell r="D20587"/>
          <cell r="E20587"/>
        </row>
        <row r="20588">
          <cell r="A20588"/>
          <cell r="B20588"/>
          <cell r="C20588"/>
          <cell r="D20588"/>
          <cell r="E20588"/>
        </row>
        <row r="20589">
          <cell r="A20589"/>
          <cell r="B20589"/>
          <cell r="C20589"/>
          <cell r="D20589"/>
          <cell r="E20589"/>
        </row>
        <row r="20590">
          <cell r="A20590"/>
          <cell r="B20590"/>
          <cell r="C20590"/>
          <cell r="D20590"/>
          <cell r="E20590"/>
        </row>
        <row r="20591">
          <cell r="A20591"/>
          <cell r="B20591"/>
          <cell r="C20591"/>
          <cell r="D20591"/>
          <cell r="E20591"/>
        </row>
        <row r="20592">
          <cell r="A20592"/>
          <cell r="B20592"/>
          <cell r="C20592"/>
          <cell r="D20592"/>
          <cell r="E20592"/>
        </row>
        <row r="20593">
          <cell r="A20593"/>
          <cell r="B20593"/>
          <cell r="C20593"/>
          <cell r="D20593"/>
          <cell r="E20593"/>
        </row>
        <row r="20594">
          <cell r="A20594"/>
          <cell r="B20594"/>
          <cell r="C20594"/>
          <cell r="D20594"/>
          <cell r="E20594"/>
        </row>
        <row r="20595">
          <cell r="A20595"/>
          <cell r="B20595"/>
          <cell r="C20595"/>
          <cell r="D20595"/>
          <cell r="E20595"/>
        </row>
        <row r="20596">
          <cell r="A20596"/>
          <cell r="B20596"/>
          <cell r="C20596"/>
          <cell r="D20596"/>
          <cell r="E20596"/>
        </row>
        <row r="20597">
          <cell r="A20597"/>
          <cell r="B20597"/>
          <cell r="C20597"/>
          <cell r="D20597"/>
          <cell r="E20597"/>
        </row>
        <row r="20598">
          <cell r="A20598"/>
          <cell r="B20598"/>
          <cell r="C20598"/>
          <cell r="D20598"/>
          <cell r="E20598"/>
        </row>
        <row r="20599">
          <cell r="A20599"/>
          <cell r="B20599"/>
          <cell r="C20599"/>
          <cell r="D20599"/>
          <cell r="E20599"/>
        </row>
        <row r="20600">
          <cell r="A20600"/>
          <cell r="B20600"/>
          <cell r="C20600"/>
          <cell r="D20600"/>
          <cell r="E20600"/>
        </row>
        <row r="20601">
          <cell r="A20601"/>
          <cell r="B20601"/>
          <cell r="C20601"/>
          <cell r="D20601"/>
          <cell r="E20601"/>
        </row>
        <row r="20602">
          <cell r="A20602"/>
          <cell r="B20602"/>
          <cell r="C20602"/>
          <cell r="D20602"/>
          <cell r="E20602"/>
        </row>
        <row r="20603">
          <cell r="A20603"/>
          <cell r="B20603"/>
          <cell r="C20603"/>
          <cell r="D20603"/>
          <cell r="E20603"/>
        </row>
        <row r="20604">
          <cell r="A20604"/>
          <cell r="B20604"/>
          <cell r="C20604"/>
          <cell r="D20604"/>
          <cell r="E20604"/>
        </row>
        <row r="20605">
          <cell r="A20605"/>
          <cell r="B20605"/>
          <cell r="C20605"/>
          <cell r="D20605"/>
          <cell r="E20605"/>
        </row>
        <row r="20606">
          <cell r="A20606"/>
          <cell r="B20606"/>
          <cell r="C20606"/>
          <cell r="D20606"/>
          <cell r="E20606"/>
        </row>
        <row r="20607">
          <cell r="A20607"/>
          <cell r="B20607"/>
          <cell r="C20607"/>
          <cell r="D20607"/>
          <cell r="E20607"/>
        </row>
        <row r="20608">
          <cell r="A20608"/>
          <cell r="B20608"/>
          <cell r="C20608"/>
          <cell r="D20608"/>
          <cell r="E20608"/>
        </row>
        <row r="20609">
          <cell r="A20609"/>
          <cell r="B20609"/>
          <cell r="C20609"/>
          <cell r="D20609"/>
          <cell r="E20609"/>
        </row>
        <row r="20610">
          <cell r="A20610"/>
          <cell r="B20610"/>
          <cell r="C20610"/>
          <cell r="D20610"/>
          <cell r="E20610"/>
        </row>
        <row r="20611">
          <cell r="A20611"/>
          <cell r="B20611"/>
          <cell r="C20611"/>
          <cell r="D20611"/>
          <cell r="E20611"/>
        </row>
        <row r="20612">
          <cell r="A20612"/>
          <cell r="B20612"/>
          <cell r="C20612"/>
          <cell r="D20612"/>
          <cell r="E20612"/>
        </row>
        <row r="20613">
          <cell r="A20613"/>
          <cell r="B20613"/>
          <cell r="C20613"/>
          <cell r="D20613"/>
          <cell r="E20613"/>
        </row>
        <row r="20614">
          <cell r="A20614"/>
          <cell r="B20614"/>
          <cell r="C20614"/>
          <cell r="D20614"/>
          <cell r="E20614"/>
        </row>
        <row r="20615">
          <cell r="A20615"/>
          <cell r="B20615"/>
          <cell r="C20615"/>
          <cell r="D20615"/>
          <cell r="E20615"/>
        </row>
        <row r="20616">
          <cell r="A20616"/>
          <cell r="B20616"/>
          <cell r="C20616"/>
          <cell r="D20616"/>
          <cell r="E20616"/>
        </row>
        <row r="20617">
          <cell r="A20617"/>
          <cell r="B20617"/>
          <cell r="C20617"/>
          <cell r="D20617"/>
          <cell r="E20617"/>
        </row>
        <row r="20618">
          <cell r="A20618"/>
          <cell r="B20618"/>
          <cell r="C20618"/>
          <cell r="D20618"/>
          <cell r="E20618"/>
        </row>
        <row r="20619">
          <cell r="A20619"/>
          <cell r="B20619"/>
          <cell r="C20619"/>
          <cell r="D20619"/>
          <cell r="E20619"/>
        </row>
        <row r="20620">
          <cell r="A20620"/>
          <cell r="B20620"/>
          <cell r="C20620"/>
          <cell r="D20620"/>
          <cell r="E20620"/>
        </row>
        <row r="20621">
          <cell r="A20621"/>
          <cell r="B20621"/>
          <cell r="C20621"/>
          <cell r="D20621"/>
          <cell r="E20621"/>
        </row>
        <row r="20622">
          <cell r="A20622"/>
          <cell r="B20622"/>
          <cell r="C20622"/>
          <cell r="D20622"/>
          <cell r="E20622"/>
        </row>
        <row r="20623">
          <cell r="A20623"/>
          <cell r="B20623"/>
          <cell r="C20623"/>
          <cell r="D20623"/>
          <cell r="E20623"/>
        </row>
        <row r="20624">
          <cell r="A20624"/>
          <cell r="B20624"/>
          <cell r="C20624"/>
          <cell r="D20624"/>
          <cell r="E20624"/>
        </row>
        <row r="20625">
          <cell r="A20625"/>
          <cell r="B20625"/>
          <cell r="C20625"/>
          <cell r="D20625"/>
          <cell r="E20625"/>
        </row>
        <row r="20626">
          <cell r="A20626"/>
          <cell r="B20626"/>
          <cell r="C20626"/>
          <cell r="D20626"/>
          <cell r="E20626"/>
        </row>
        <row r="20627">
          <cell r="A20627"/>
          <cell r="B20627"/>
          <cell r="C20627"/>
          <cell r="D20627"/>
          <cell r="E20627"/>
        </row>
        <row r="20628">
          <cell r="A20628"/>
          <cell r="B20628"/>
          <cell r="C20628"/>
          <cell r="D20628"/>
          <cell r="E20628"/>
        </row>
        <row r="20629">
          <cell r="A20629"/>
          <cell r="B20629"/>
          <cell r="C20629"/>
          <cell r="D20629"/>
          <cell r="E20629"/>
        </row>
        <row r="20630">
          <cell r="A20630"/>
          <cell r="B20630"/>
          <cell r="C20630"/>
          <cell r="D20630"/>
          <cell r="E20630"/>
        </row>
        <row r="20631">
          <cell r="A20631"/>
          <cell r="B20631"/>
          <cell r="C20631"/>
          <cell r="D20631"/>
          <cell r="E20631"/>
        </row>
        <row r="20632">
          <cell r="A20632"/>
          <cell r="B20632"/>
          <cell r="C20632"/>
          <cell r="D20632"/>
          <cell r="E20632"/>
        </row>
        <row r="20633">
          <cell r="A20633"/>
          <cell r="B20633"/>
          <cell r="C20633"/>
          <cell r="D20633"/>
          <cell r="E20633"/>
        </row>
        <row r="20634">
          <cell r="A20634"/>
          <cell r="B20634"/>
          <cell r="C20634"/>
          <cell r="D20634"/>
          <cell r="E20634"/>
        </row>
        <row r="20635">
          <cell r="A20635"/>
          <cell r="B20635"/>
          <cell r="C20635"/>
          <cell r="D20635"/>
          <cell r="E20635"/>
        </row>
        <row r="20636">
          <cell r="A20636"/>
          <cell r="B20636"/>
          <cell r="C20636"/>
          <cell r="D20636"/>
          <cell r="E20636"/>
        </row>
        <row r="20637">
          <cell r="A20637"/>
          <cell r="B20637"/>
          <cell r="C20637"/>
          <cell r="D20637"/>
          <cell r="E20637"/>
        </row>
        <row r="20638">
          <cell r="A20638"/>
          <cell r="B20638"/>
          <cell r="C20638"/>
          <cell r="D20638"/>
          <cell r="E20638"/>
        </row>
        <row r="20639">
          <cell r="A20639"/>
          <cell r="B20639"/>
          <cell r="C20639"/>
          <cell r="D20639"/>
          <cell r="E20639"/>
        </row>
        <row r="20640">
          <cell r="A20640"/>
          <cell r="B20640"/>
          <cell r="C20640"/>
          <cell r="D20640"/>
          <cell r="E20640"/>
        </row>
        <row r="20641">
          <cell r="A20641"/>
          <cell r="B20641"/>
          <cell r="C20641"/>
          <cell r="D20641"/>
          <cell r="E20641"/>
        </row>
        <row r="20642">
          <cell r="A20642"/>
          <cell r="B20642"/>
          <cell r="C20642"/>
          <cell r="D20642"/>
          <cell r="E20642"/>
        </row>
        <row r="20643">
          <cell r="A20643"/>
          <cell r="B20643"/>
          <cell r="C20643"/>
          <cell r="D20643"/>
          <cell r="E20643"/>
        </row>
        <row r="20644">
          <cell r="A20644"/>
          <cell r="B20644"/>
          <cell r="C20644"/>
          <cell r="D20644"/>
          <cell r="E20644"/>
        </row>
        <row r="20645">
          <cell r="A20645"/>
          <cell r="B20645"/>
          <cell r="C20645"/>
          <cell r="D20645"/>
          <cell r="E20645"/>
        </row>
        <row r="20646">
          <cell r="A20646"/>
          <cell r="B20646"/>
          <cell r="C20646"/>
          <cell r="D20646"/>
          <cell r="E20646"/>
        </row>
        <row r="20647">
          <cell r="A20647"/>
          <cell r="B20647"/>
          <cell r="C20647"/>
          <cell r="D20647"/>
          <cell r="E20647"/>
        </row>
        <row r="20648">
          <cell r="A20648"/>
          <cell r="B20648"/>
          <cell r="C20648"/>
          <cell r="D20648"/>
          <cell r="E20648"/>
        </row>
        <row r="20649">
          <cell r="A20649"/>
          <cell r="B20649"/>
          <cell r="C20649"/>
          <cell r="D20649"/>
          <cell r="E20649"/>
        </row>
        <row r="20650">
          <cell r="A20650"/>
          <cell r="B20650"/>
          <cell r="C20650"/>
          <cell r="D20650"/>
          <cell r="E20650"/>
        </row>
        <row r="20651">
          <cell r="A20651"/>
          <cell r="B20651"/>
          <cell r="C20651"/>
          <cell r="D20651"/>
          <cell r="E20651"/>
        </row>
        <row r="20652">
          <cell r="A20652"/>
          <cell r="B20652"/>
          <cell r="C20652"/>
          <cell r="D20652"/>
          <cell r="E20652"/>
        </row>
        <row r="20653">
          <cell r="A20653"/>
          <cell r="B20653"/>
          <cell r="C20653"/>
          <cell r="D20653"/>
          <cell r="E20653"/>
        </row>
        <row r="20654">
          <cell r="A20654"/>
          <cell r="B20654"/>
          <cell r="C20654"/>
          <cell r="D20654"/>
          <cell r="E20654"/>
        </row>
        <row r="20655">
          <cell r="A20655"/>
          <cell r="B20655"/>
          <cell r="C20655"/>
          <cell r="D20655"/>
          <cell r="E20655"/>
        </row>
        <row r="20656">
          <cell r="A20656"/>
          <cell r="B20656"/>
          <cell r="C20656"/>
          <cell r="D20656"/>
          <cell r="E20656"/>
        </row>
        <row r="20657">
          <cell r="A20657"/>
          <cell r="B20657"/>
          <cell r="C20657"/>
          <cell r="D20657"/>
          <cell r="E20657"/>
        </row>
        <row r="20658">
          <cell r="A20658"/>
          <cell r="B20658"/>
          <cell r="C20658"/>
          <cell r="D20658"/>
          <cell r="E20658"/>
        </row>
        <row r="20659">
          <cell r="A20659"/>
          <cell r="B20659"/>
          <cell r="C20659"/>
          <cell r="D20659"/>
          <cell r="E20659"/>
        </row>
        <row r="20660">
          <cell r="A20660"/>
          <cell r="B20660"/>
          <cell r="C20660"/>
          <cell r="D20660"/>
          <cell r="E20660"/>
        </row>
        <row r="20661">
          <cell r="A20661"/>
          <cell r="B20661"/>
          <cell r="C20661"/>
          <cell r="D20661"/>
          <cell r="E20661"/>
        </row>
        <row r="20662">
          <cell r="A20662"/>
          <cell r="B20662"/>
          <cell r="C20662"/>
          <cell r="D20662"/>
          <cell r="E20662"/>
        </row>
        <row r="20663">
          <cell r="A20663"/>
          <cell r="B20663"/>
          <cell r="C20663"/>
          <cell r="D20663"/>
          <cell r="E20663"/>
        </row>
        <row r="20664">
          <cell r="A20664"/>
          <cell r="B20664"/>
          <cell r="C20664"/>
          <cell r="D20664"/>
          <cell r="E20664"/>
        </row>
        <row r="20665">
          <cell r="A20665"/>
          <cell r="B20665"/>
          <cell r="C20665"/>
          <cell r="D20665"/>
          <cell r="E20665"/>
        </row>
        <row r="20666">
          <cell r="A20666"/>
          <cell r="B20666"/>
          <cell r="C20666"/>
          <cell r="D20666"/>
          <cell r="E20666"/>
        </row>
        <row r="20667">
          <cell r="A20667"/>
          <cell r="B20667"/>
          <cell r="C20667"/>
          <cell r="D20667"/>
          <cell r="E20667"/>
        </row>
        <row r="20668">
          <cell r="A20668"/>
          <cell r="B20668"/>
          <cell r="C20668"/>
          <cell r="D20668"/>
          <cell r="E20668"/>
        </row>
        <row r="20669">
          <cell r="A20669"/>
          <cell r="B20669"/>
          <cell r="C20669"/>
          <cell r="D20669"/>
          <cell r="E20669"/>
        </row>
        <row r="20670">
          <cell r="A20670"/>
          <cell r="B20670"/>
          <cell r="C20670"/>
          <cell r="D20670"/>
          <cell r="E20670"/>
        </row>
        <row r="20671">
          <cell r="A20671"/>
          <cell r="B20671"/>
          <cell r="C20671"/>
          <cell r="D20671"/>
          <cell r="E20671"/>
        </row>
        <row r="20672">
          <cell r="A20672"/>
          <cell r="B20672"/>
          <cell r="C20672"/>
          <cell r="D20672"/>
          <cell r="E20672"/>
        </row>
        <row r="20673">
          <cell r="A20673"/>
          <cell r="B20673"/>
          <cell r="C20673"/>
          <cell r="D20673"/>
          <cell r="E20673"/>
        </row>
        <row r="20674">
          <cell r="A20674"/>
          <cell r="B20674"/>
          <cell r="C20674"/>
          <cell r="D20674"/>
          <cell r="E20674"/>
        </row>
        <row r="20675">
          <cell r="A20675"/>
          <cell r="B20675"/>
          <cell r="C20675"/>
          <cell r="D20675"/>
          <cell r="E20675"/>
        </row>
        <row r="20676">
          <cell r="A20676"/>
          <cell r="B20676"/>
          <cell r="C20676"/>
          <cell r="D20676"/>
          <cell r="E20676"/>
        </row>
        <row r="20677">
          <cell r="A20677"/>
          <cell r="B20677"/>
          <cell r="C20677"/>
          <cell r="D20677"/>
          <cell r="E20677"/>
        </row>
        <row r="20678">
          <cell r="A20678"/>
          <cell r="B20678"/>
          <cell r="C20678"/>
          <cell r="D20678"/>
          <cell r="E20678"/>
        </row>
        <row r="20679">
          <cell r="A20679"/>
          <cell r="B20679"/>
          <cell r="C20679"/>
          <cell r="D20679"/>
          <cell r="E20679"/>
        </row>
        <row r="20680">
          <cell r="A20680"/>
          <cell r="B20680"/>
          <cell r="C20680"/>
          <cell r="D20680"/>
          <cell r="E20680"/>
        </row>
        <row r="20681">
          <cell r="A20681"/>
          <cell r="B20681"/>
          <cell r="C20681"/>
          <cell r="D20681"/>
          <cell r="E20681"/>
        </row>
        <row r="20682">
          <cell r="A20682"/>
          <cell r="B20682"/>
          <cell r="C20682"/>
          <cell r="D20682"/>
          <cell r="E20682"/>
        </row>
        <row r="20683">
          <cell r="A20683"/>
          <cell r="B20683"/>
          <cell r="C20683"/>
          <cell r="D20683"/>
          <cell r="E20683"/>
        </row>
        <row r="20684">
          <cell r="A20684"/>
          <cell r="B20684"/>
          <cell r="C20684"/>
          <cell r="D20684"/>
          <cell r="E20684"/>
        </row>
        <row r="20685">
          <cell r="A20685"/>
          <cell r="B20685"/>
          <cell r="C20685"/>
          <cell r="D20685"/>
          <cell r="E20685"/>
        </row>
        <row r="20686">
          <cell r="A20686"/>
          <cell r="B20686"/>
          <cell r="C20686"/>
          <cell r="D20686"/>
          <cell r="E20686"/>
        </row>
        <row r="20687">
          <cell r="A20687"/>
          <cell r="B20687"/>
          <cell r="C20687"/>
          <cell r="D20687"/>
          <cell r="E20687"/>
        </row>
        <row r="20688">
          <cell r="A20688"/>
          <cell r="B20688"/>
          <cell r="C20688"/>
          <cell r="D20688"/>
          <cell r="E20688"/>
        </row>
        <row r="20689">
          <cell r="A20689"/>
          <cell r="B20689"/>
          <cell r="C20689"/>
          <cell r="D20689"/>
          <cell r="E20689"/>
        </row>
        <row r="20690">
          <cell r="A20690"/>
          <cell r="B20690"/>
          <cell r="C20690"/>
          <cell r="D20690"/>
          <cell r="E20690"/>
        </row>
        <row r="20691">
          <cell r="A20691"/>
          <cell r="B20691"/>
          <cell r="C20691"/>
          <cell r="D20691"/>
          <cell r="E20691"/>
        </row>
        <row r="20692">
          <cell r="A20692"/>
          <cell r="B20692"/>
          <cell r="C20692"/>
          <cell r="D20692"/>
          <cell r="E20692"/>
        </row>
        <row r="20693">
          <cell r="A20693"/>
          <cell r="B20693"/>
          <cell r="C20693"/>
          <cell r="D20693"/>
          <cell r="E20693"/>
        </row>
        <row r="20694">
          <cell r="A20694"/>
          <cell r="B20694"/>
          <cell r="C20694"/>
          <cell r="D20694"/>
          <cell r="E20694"/>
        </row>
        <row r="20695">
          <cell r="A20695"/>
          <cell r="B20695"/>
          <cell r="C20695"/>
          <cell r="D20695"/>
          <cell r="E20695"/>
        </row>
        <row r="20696">
          <cell r="A20696"/>
          <cell r="B20696"/>
          <cell r="C20696"/>
          <cell r="D20696"/>
          <cell r="E20696"/>
        </row>
        <row r="20697">
          <cell r="A20697"/>
          <cell r="B20697"/>
          <cell r="C20697"/>
          <cell r="D20697"/>
          <cell r="E20697"/>
        </row>
        <row r="20698">
          <cell r="A20698"/>
          <cell r="B20698"/>
          <cell r="C20698"/>
          <cell r="D20698"/>
          <cell r="E20698"/>
        </row>
        <row r="20699">
          <cell r="A20699"/>
          <cell r="B20699"/>
          <cell r="C20699"/>
          <cell r="D20699"/>
          <cell r="E20699"/>
        </row>
        <row r="20700">
          <cell r="A20700"/>
          <cell r="B20700"/>
          <cell r="C20700"/>
          <cell r="D20700"/>
          <cell r="E20700"/>
        </row>
        <row r="20701">
          <cell r="A20701"/>
          <cell r="B20701"/>
          <cell r="C20701"/>
          <cell r="D20701"/>
          <cell r="E20701"/>
        </row>
        <row r="20702">
          <cell r="A20702"/>
          <cell r="B20702"/>
          <cell r="C20702"/>
          <cell r="D20702"/>
          <cell r="E20702"/>
        </row>
        <row r="20703">
          <cell r="A20703"/>
          <cell r="B20703"/>
          <cell r="C20703"/>
          <cell r="D20703"/>
          <cell r="E20703"/>
        </row>
        <row r="20704">
          <cell r="A20704"/>
          <cell r="B20704"/>
          <cell r="C20704"/>
          <cell r="D20704"/>
          <cell r="E20704"/>
        </row>
        <row r="20705">
          <cell r="A20705"/>
          <cell r="B20705"/>
          <cell r="C20705"/>
          <cell r="D20705"/>
          <cell r="E20705"/>
        </row>
        <row r="20706">
          <cell r="A20706"/>
          <cell r="B20706"/>
          <cell r="C20706"/>
          <cell r="D20706"/>
          <cell r="E20706"/>
        </row>
        <row r="20707">
          <cell r="A20707"/>
          <cell r="B20707"/>
          <cell r="C20707"/>
          <cell r="D20707"/>
          <cell r="E20707"/>
        </row>
        <row r="20708">
          <cell r="A20708"/>
          <cell r="B20708"/>
          <cell r="C20708"/>
          <cell r="D20708"/>
          <cell r="E20708"/>
        </row>
        <row r="20709">
          <cell r="A20709"/>
          <cell r="B20709"/>
          <cell r="C20709"/>
          <cell r="D20709"/>
          <cell r="E20709"/>
        </row>
        <row r="20710">
          <cell r="A20710"/>
          <cell r="B20710"/>
          <cell r="C20710"/>
          <cell r="D20710"/>
          <cell r="E20710"/>
        </row>
        <row r="20711">
          <cell r="A20711"/>
          <cell r="B20711"/>
          <cell r="C20711"/>
          <cell r="D20711"/>
          <cell r="E20711"/>
        </row>
        <row r="20712">
          <cell r="A20712"/>
          <cell r="B20712"/>
          <cell r="C20712"/>
          <cell r="D20712"/>
          <cell r="E20712"/>
        </row>
        <row r="20713">
          <cell r="A20713"/>
          <cell r="B20713"/>
          <cell r="C20713"/>
          <cell r="D20713"/>
          <cell r="E20713"/>
        </row>
        <row r="20714">
          <cell r="A20714"/>
          <cell r="B20714"/>
          <cell r="C20714"/>
          <cell r="D20714"/>
          <cell r="E20714"/>
        </row>
        <row r="20715">
          <cell r="A20715"/>
          <cell r="B20715"/>
          <cell r="C20715"/>
          <cell r="D20715"/>
          <cell r="E20715"/>
        </row>
        <row r="20716">
          <cell r="A20716"/>
          <cell r="B20716"/>
          <cell r="C20716"/>
          <cell r="D20716"/>
          <cell r="E20716"/>
        </row>
        <row r="20717">
          <cell r="A20717"/>
          <cell r="B20717"/>
          <cell r="C20717"/>
          <cell r="D20717"/>
          <cell r="E20717"/>
        </row>
        <row r="20718">
          <cell r="A20718"/>
          <cell r="B20718"/>
          <cell r="C20718"/>
          <cell r="D20718"/>
          <cell r="E20718"/>
        </row>
        <row r="20719">
          <cell r="A20719"/>
          <cell r="B20719"/>
          <cell r="C20719"/>
          <cell r="D20719"/>
          <cell r="E20719"/>
        </row>
        <row r="20720">
          <cell r="A20720"/>
          <cell r="B20720"/>
          <cell r="C20720"/>
          <cell r="D20720"/>
          <cell r="E20720"/>
        </row>
        <row r="20721">
          <cell r="A20721"/>
          <cell r="B20721"/>
          <cell r="C20721"/>
          <cell r="D20721"/>
          <cell r="E20721"/>
        </row>
        <row r="20722">
          <cell r="A20722"/>
          <cell r="B20722"/>
          <cell r="C20722"/>
          <cell r="D20722"/>
          <cell r="E20722"/>
        </row>
        <row r="20723">
          <cell r="A20723"/>
          <cell r="B20723"/>
          <cell r="C20723"/>
          <cell r="D20723"/>
          <cell r="E20723"/>
        </row>
        <row r="20724">
          <cell r="A20724"/>
          <cell r="B20724"/>
          <cell r="C20724"/>
          <cell r="D20724"/>
          <cell r="E20724"/>
        </row>
        <row r="20725">
          <cell r="A20725"/>
          <cell r="B20725"/>
          <cell r="C20725"/>
          <cell r="D20725"/>
          <cell r="E20725"/>
        </row>
        <row r="20726">
          <cell r="A20726"/>
          <cell r="B20726"/>
          <cell r="C20726"/>
          <cell r="D20726"/>
          <cell r="E20726"/>
        </row>
        <row r="20727">
          <cell r="A20727"/>
          <cell r="B20727"/>
          <cell r="C20727"/>
          <cell r="D20727"/>
          <cell r="E20727"/>
        </row>
        <row r="20728">
          <cell r="A20728"/>
          <cell r="B20728"/>
          <cell r="C20728"/>
          <cell r="D20728"/>
          <cell r="E20728"/>
        </row>
        <row r="20729">
          <cell r="A20729"/>
          <cell r="B20729"/>
          <cell r="C20729"/>
          <cell r="D20729"/>
          <cell r="E20729"/>
        </row>
        <row r="20730">
          <cell r="A20730"/>
          <cell r="B20730"/>
          <cell r="C20730"/>
          <cell r="D20730"/>
          <cell r="E20730"/>
        </row>
        <row r="20731">
          <cell r="A20731"/>
          <cell r="B20731"/>
          <cell r="C20731"/>
          <cell r="D20731"/>
          <cell r="E20731"/>
        </row>
        <row r="20732">
          <cell r="A20732"/>
          <cell r="B20732"/>
          <cell r="C20732"/>
          <cell r="D20732"/>
          <cell r="E20732"/>
        </row>
        <row r="20733">
          <cell r="A20733"/>
          <cell r="B20733"/>
          <cell r="C20733"/>
          <cell r="D20733"/>
          <cell r="E20733"/>
        </row>
        <row r="20734">
          <cell r="A20734"/>
          <cell r="B20734"/>
          <cell r="C20734"/>
          <cell r="D20734"/>
          <cell r="E20734"/>
        </row>
        <row r="20735">
          <cell r="A20735"/>
          <cell r="B20735"/>
          <cell r="C20735"/>
          <cell r="D20735"/>
          <cell r="E20735"/>
        </row>
        <row r="20736">
          <cell r="A20736"/>
          <cell r="B20736"/>
          <cell r="C20736"/>
          <cell r="D20736"/>
          <cell r="E20736"/>
        </row>
        <row r="20737">
          <cell r="A20737"/>
          <cell r="B20737"/>
          <cell r="C20737"/>
          <cell r="D20737"/>
          <cell r="E20737"/>
        </row>
        <row r="20738">
          <cell r="A20738"/>
          <cell r="B20738"/>
          <cell r="C20738"/>
          <cell r="D20738"/>
          <cell r="E20738"/>
        </row>
        <row r="20739">
          <cell r="A20739"/>
          <cell r="B20739"/>
          <cell r="C20739"/>
          <cell r="D20739"/>
          <cell r="E20739"/>
        </row>
        <row r="20740">
          <cell r="A20740"/>
          <cell r="B20740"/>
          <cell r="C20740"/>
          <cell r="D20740"/>
          <cell r="E20740"/>
        </row>
        <row r="20741">
          <cell r="A20741"/>
          <cell r="B20741"/>
          <cell r="C20741"/>
          <cell r="D20741"/>
          <cell r="E20741"/>
        </row>
        <row r="20742">
          <cell r="A20742"/>
          <cell r="B20742"/>
          <cell r="C20742"/>
          <cell r="D20742"/>
          <cell r="E20742"/>
        </row>
        <row r="20743">
          <cell r="A20743"/>
          <cell r="B20743"/>
          <cell r="C20743"/>
          <cell r="D20743"/>
          <cell r="E20743"/>
        </row>
        <row r="20744">
          <cell r="A20744"/>
          <cell r="B20744"/>
          <cell r="C20744"/>
          <cell r="D20744"/>
          <cell r="E20744"/>
        </row>
        <row r="20745">
          <cell r="A20745"/>
          <cell r="B20745"/>
          <cell r="C20745"/>
          <cell r="D20745"/>
          <cell r="E20745"/>
        </row>
        <row r="20746">
          <cell r="A20746"/>
          <cell r="B20746"/>
          <cell r="C20746"/>
          <cell r="D20746"/>
          <cell r="E20746"/>
        </row>
        <row r="20747">
          <cell r="A20747"/>
          <cell r="B20747"/>
          <cell r="C20747"/>
          <cell r="D20747"/>
          <cell r="E20747"/>
        </row>
        <row r="20748">
          <cell r="A20748"/>
          <cell r="B20748"/>
          <cell r="C20748"/>
          <cell r="D20748"/>
          <cell r="E20748"/>
        </row>
        <row r="20749">
          <cell r="A20749"/>
          <cell r="B20749"/>
          <cell r="C20749"/>
          <cell r="D20749"/>
          <cell r="E20749"/>
        </row>
        <row r="20750">
          <cell r="A20750"/>
          <cell r="B20750"/>
          <cell r="C20750"/>
          <cell r="D20750"/>
          <cell r="E20750"/>
        </row>
        <row r="20751">
          <cell r="A20751"/>
          <cell r="B20751"/>
          <cell r="C20751"/>
          <cell r="D20751"/>
          <cell r="E20751"/>
        </row>
        <row r="20752">
          <cell r="A20752"/>
          <cell r="B20752"/>
          <cell r="C20752"/>
          <cell r="D20752"/>
          <cell r="E20752"/>
        </row>
        <row r="20753">
          <cell r="A20753"/>
          <cell r="B20753"/>
          <cell r="C20753"/>
          <cell r="D20753"/>
          <cell r="E20753"/>
        </row>
        <row r="20754">
          <cell r="A20754"/>
          <cell r="B20754"/>
          <cell r="C20754"/>
          <cell r="D20754"/>
          <cell r="E20754"/>
        </row>
        <row r="20755">
          <cell r="A20755"/>
          <cell r="B20755"/>
          <cell r="C20755"/>
          <cell r="D20755"/>
          <cell r="E20755"/>
        </row>
        <row r="20756">
          <cell r="A20756"/>
          <cell r="B20756"/>
          <cell r="C20756"/>
          <cell r="D20756"/>
          <cell r="E20756"/>
        </row>
        <row r="20757">
          <cell r="A20757"/>
          <cell r="B20757"/>
          <cell r="C20757"/>
          <cell r="D20757"/>
          <cell r="E20757"/>
        </row>
        <row r="20758">
          <cell r="A20758"/>
          <cell r="B20758"/>
          <cell r="C20758"/>
          <cell r="D20758"/>
          <cell r="E20758"/>
        </row>
        <row r="20759">
          <cell r="A20759"/>
          <cell r="B20759"/>
          <cell r="C20759"/>
          <cell r="D20759"/>
          <cell r="E20759"/>
        </row>
        <row r="20760">
          <cell r="A20760"/>
          <cell r="B20760"/>
          <cell r="C20760"/>
          <cell r="D20760"/>
          <cell r="E20760"/>
        </row>
        <row r="20761">
          <cell r="A20761"/>
          <cell r="B20761"/>
          <cell r="C20761"/>
          <cell r="D20761"/>
          <cell r="E20761"/>
        </row>
        <row r="20762">
          <cell r="A20762"/>
          <cell r="B20762"/>
          <cell r="C20762"/>
          <cell r="D20762"/>
          <cell r="E20762"/>
        </row>
        <row r="20763">
          <cell r="A20763"/>
          <cell r="B20763"/>
          <cell r="C20763"/>
          <cell r="D20763"/>
          <cell r="E20763"/>
        </row>
        <row r="20764">
          <cell r="A20764"/>
          <cell r="B20764"/>
          <cell r="C20764"/>
          <cell r="D20764"/>
          <cell r="E20764"/>
        </row>
        <row r="20765">
          <cell r="A20765"/>
          <cell r="B20765"/>
          <cell r="C20765"/>
          <cell r="D20765"/>
          <cell r="E20765"/>
        </row>
        <row r="20766">
          <cell r="A20766"/>
          <cell r="B20766"/>
          <cell r="C20766"/>
          <cell r="D20766"/>
          <cell r="E20766"/>
        </row>
        <row r="20767">
          <cell r="A20767"/>
          <cell r="B20767"/>
          <cell r="C20767"/>
          <cell r="D20767"/>
          <cell r="E20767"/>
        </row>
        <row r="20768">
          <cell r="A20768"/>
          <cell r="B20768"/>
          <cell r="C20768"/>
          <cell r="D20768"/>
          <cell r="E20768"/>
        </row>
        <row r="20769">
          <cell r="A20769"/>
          <cell r="B20769"/>
          <cell r="C20769"/>
          <cell r="D20769"/>
          <cell r="E20769"/>
        </row>
        <row r="20770">
          <cell r="A20770"/>
          <cell r="B20770"/>
          <cell r="C20770"/>
          <cell r="D20770"/>
          <cell r="E20770"/>
        </row>
        <row r="20771">
          <cell r="A20771"/>
          <cell r="B20771"/>
          <cell r="C20771"/>
          <cell r="D20771"/>
          <cell r="E20771"/>
        </row>
        <row r="20772">
          <cell r="A20772"/>
          <cell r="B20772"/>
          <cell r="C20772"/>
          <cell r="D20772"/>
          <cell r="E20772"/>
        </row>
        <row r="20773">
          <cell r="A20773"/>
          <cell r="B20773"/>
          <cell r="C20773"/>
          <cell r="D20773"/>
          <cell r="E20773"/>
        </row>
        <row r="20774">
          <cell r="A20774"/>
          <cell r="B20774"/>
          <cell r="C20774"/>
          <cell r="D20774"/>
          <cell r="E20774"/>
        </row>
        <row r="20775">
          <cell r="A20775"/>
          <cell r="B20775"/>
          <cell r="C20775"/>
          <cell r="D20775"/>
          <cell r="E20775"/>
        </row>
        <row r="20776">
          <cell r="A20776"/>
          <cell r="B20776"/>
          <cell r="C20776"/>
          <cell r="D20776"/>
          <cell r="E20776"/>
        </row>
        <row r="20777">
          <cell r="A20777"/>
          <cell r="B20777"/>
          <cell r="C20777"/>
          <cell r="D20777"/>
          <cell r="E20777"/>
        </row>
        <row r="20778">
          <cell r="A20778"/>
          <cell r="B20778"/>
          <cell r="C20778"/>
          <cell r="D20778"/>
          <cell r="E20778"/>
        </row>
        <row r="20779">
          <cell r="A20779"/>
          <cell r="B20779"/>
          <cell r="C20779"/>
          <cell r="D20779"/>
          <cell r="E20779"/>
        </row>
        <row r="20780">
          <cell r="A20780"/>
          <cell r="B20780"/>
          <cell r="C20780"/>
          <cell r="D20780"/>
          <cell r="E20780"/>
        </row>
        <row r="20781">
          <cell r="A20781"/>
          <cell r="B20781"/>
          <cell r="C20781"/>
          <cell r="D20781"/>
          <cell r="E20781"/>
        </row>
        <row r="20782">
          <cell r="A20782"/>
          <cell r="B20782"/>
          <cell r="C20782"/>
          <cell r="D20782"/>
          <cell r="E20782"/>
        </row>
        <row r="20783">
          <cell r="A20783"/>
          <cell r="B20783"/>
          <cell r="C20783"/>
          <cell r="D20783"/>
          <cell r="E20783"/>
        </row>
        <row r="20784">
          <cell r="A20784"/>
          <cell r="B20784"/>
          <cell r="C20784"/>
          <cell r="D20784"/>
          <cell r="E20784"/>
        </row>
        <row r="20785">
          <cell r="A20785"/>
          <cell r="B20785"/>
          <cell r="C20785"/>
          <cell r="D20785"/>
          <cell r="E20785"/>
        </row>
        <row r="20786">
          <cell r="A20786"/>
          <cell r="B20786"/>
          <cell r="C20786"/>
          <cell r="D20786"/>
          <cell r="E20786"/>
        </row>
        <row r="20787">
          <cell r="A20787"/>
          <cell r="B20787"/>
          <cell r="C20787"/>
          <cell r="D20787"/>
          <cell r="E20787"/>
        </row>
        <row r="20788">
          <cell r="A20788"/>
          <cell r="B20788"/>
          <cell r="C20788"/>
          <cell r="D20788"/>
          <cell r="E20788"/>
        </row>
        <row r="20789">
          <cell r="A20789"/>
          <cell r="B20789"/>
          <cell r="C20789"/>
          <cell r="D20789"/>
          <cell r="E20789"/>
        </row>
        <row r="20790">
          <cell r="A20790"/>
          <cell r="B20790"/>
          <cell r="C20790"/>
          <cell r="D20790"/>
          <cell r="E20790"/>
        </row>
        <row r="20791">
          <cell r="A20791"/>
          <cell r="B20791"/>
          <cell r="C20791"/>
          <cell r="D20791"/>
          <cell r="E20791"/>
        </row>
        <row r="20792">
          <cell r="A20792"/>
          <cell r="B20792"/>
          <cell r="C20792"/>
          <cell r="D20792"/>
          <cell r="E20792"/>
        </row>
        <row r="20793">
          <cell r="A20793"/>
          <cell r="B20793"/>
          <cell r="C20793"/>
          <cell r="D20793"/>
          <cell r="E20793"/>
        </row>
        <row r="20794">
          <cell r="A20794"/>
          <cell r="B20794"/>
          <cell r="C20794"/>
          <cell r="D20794"/>
          <cell r="E20794"/>
        </row>
        <row r="20795">
          <cell r="A20795"/>
          <cell r="B20795"/>
          <cell r="C20795"/>
          <cell r="D20795"/>
          <cell r="E20795"/>
        </row>
        <row r="20796">
          <cell r="A20796"/>
          <cell r="B20796"/>
          <cell r="C20796"/>
          <cell r="D20796"/>
          <cell r="E20796"/>
        </row>
        <row r="20797">
          <cell r="A20797"/>
          <cell r="B20797"/>
          <cell r="C20797"/>
          <cell r="D20797"/>
          <cell r="E20797"/>
        </row>
        <row r="20798">
          <cell r="A20798"/>
          <cell r="B20798"/>
          <cell r="C20798"/>
          <cell r="D20798"/>
          <cell r="E20798"/>
        </row>
        <row r="20799">
          <cell r="A20799"/>
          <cell r="B20799"/>
          <cell r="C20799"/>
          <cell r="D20799"/>
          <cell r="E20799"/>
        </row>
        <row r="20800">
          <cell r="A20800"/>
          <cell r="B20800"/>
          <cell r="C20800"/>
          <cell r="D20800"/>
          <cell r="E20800"/>
        </row>
        <row r="20801">
          <cell r="A20801"/>
          <cell r="B20801"/>
          <cell r="C20801"/>
          <cell r="D20801"/>
          <cell r="E20801"/>
        </row>
        <row r="20802">
          <cell r="A20802"/>
          <cell r="B20802"/>
          <cell r="C20802"/>
          <cell r="D20802"/>
          <cell r="E20802"/>
        </row>
        <row r="20803">
          <cell r="A20803"/>
          <cell r="B20803"/>
          <cell r="C20803"/>
          <cell r="D20803"/>
          <cell r="E20803"/>
        </row>
        <row r="20804">
          <cell r="A20804"/>
          <cell r="B20804"/>
          <cell r="C20804"/>
          <cell r="D20804"/>
          <cell r="E20804"/>
        </row>
        <row r="20805">
          <cell r="A20805"/>
          <cell r="B20805"/>
          <cell r="C20805"/>
          <cell r="D20805"/>
          <cell r="E20805"/>
        </row>
        <row r="20806">
          <cell r="A20806"/>
          <cell r="B20806"/>
          <cell r="C20806"/>
          <cell r="D20806"/>
          <cell r="E20806"/>
        </row>
        <row r="20807">
          <cell r="A20807"/>
          <cell r="B20807"/>
          <cell r="C20807"/>
          <cell r="D20807"/>
          <cell r="E20807"/>
        </row>
        <row r="20808">
          <cell r="A20808"/>
          <cell r="B20808"/>
          <cell r="C20808"/>
          <cell r="D20808"/>
          <cell r="E20808"/>
        </row>
        <row r="20809">
          <cell r="A20809"/>
          <cell r="B20809"/>
          <cell r="C20809"/>
          <cell r="D20809"/>
          <cell r="E20809"/>
        </row>
        <row r="20810">
          <cell r="A20810"/>
          <cell r="B20810"/>
          <cell r="C20810"/>
          <cell r="D20810"/>
          <cell r="E20810"/>
        </row>
        <row r="20811">
          <cell r="A20811"/>
          <cell r="B20811"/>
          <cell r="C20811"/>
          <cell r="D20811"/>
          <cell r="E20811"/>
        </row>
        <row r="20812">
          <cell r="A20812"/>
          <cell r="B20812"/>
          <cell r="C20812"/>
          <cell r="D20812"/>
          <cell r="E20812"/>
        </row>
        <row r="20813">
          <cell r="A20813"/>
          <cell r="B20813"/>
          <cell r="C20813"/>
          <cell r="D20813"/>
          <cell r="E20813"/>
        </row>
        <row r="20814">
          <cell r="A20814"/>
          <cell r="B20814"/>
          <cell r="C20814"/>
          <cell r="D20814"/>
          <cell r="E20814"/>
        </row>
        <row r="20815">
          <cell r="A20815"/>
          <cell r="B20815"/>
          <cell r="C20815"/>
          <cell r="D20815"/>
          <cell r="E20815"/>
        </row>
        <row r="20816">
          <cell r="A20816"/>
          <cell r="B20816"/>
          <cell r="C20816"/>
          <cell r="D20816"/>
          <cell r="E20816"/>
        </row>
        <row r="20817">
          <cell r="A20817"/>
          <cell r="B20817"/>
          <cell r="C20817"/>
          <cell r="D20817"/>
          <cell r="E20817"/>
        </row>
        <row r="20818">
          <cell r="A20818"/>
          <cell r="B20818"/>
          <cell r="C20818"/>
          <cell r="D20818"/>
          <cell r="E20818"/>
        </row>
        <row r="20819">
          <cell r="A20819"/>
          <cell r="B20819"/>
          <cell r="C20819"/>
          <cell r="D20819"/>
          <cell r="E20819"/>
        </row>
        <row r="20820">
          <cell r="A20820"/>
          <cell r="B20820"/>
          <cell r="C20820"/>
          <cell r="D20820"/>
          <cell r="E20820"/>
        </row>
        <row r="20821">
          <cell r="A20821"/>
          <cell r="B20821"/>
          <cell r="C20821"/>
          <cell r="D20821"/>
          <cell r="E20821"/>
        </row>
        <row r="20822">
          <cell r="A20822"/>
          <cell r="B20822"/>
          <cell r="C20822"/>
          <cell r="D20822"/>
          <cell r="E20822"/>
        </row>
        <row r="20823">
          <cell r="A20823"/>
          <cell r="B20823"/>
          <cell r="C20823"/>
          <cell r="D20823"/>
          <cell r="E20823"/>
        </row>
        <row r="20824">
          <cell r="A20824"/>
          <cell r="B20824"/>
          <cell r="C20824"/>
          <cell r="D20824"/>
          <cell r="E20824"/>
        </row>
        <row r="20825">
          <cell r="A20825"/>
          <cell r="B20825"/>
          <cell r="C20825"/>
          <cell r="D20825"/>
          <cell r="E20825"/>
        </row>
        <row r="20826">
          <cell r="A20826"/>
          <cell r="B20826"/>
          <cell r="C20826"/>
          <cell r="D20826"/>
          <cell r="E20826"/>
        </row>
        <row r="20827">
          <cell r="A20827"/>
          <cell r="B20827"/>
          <cell r="C20827"/>
          <cell r="D20827"/>
          <cell r="E20827"/>
        </row>
        <row r="20828">
          <cell r="A20828"/>
          <cell r="B20828"/>
          <cell r="C20828"/>
          <cell r="D20828"/>
          <cell r="E20828"/>
        </row>
        <row r="20829">
          <cell r="A20829"/>
          <cell r="B20829"/>
          <cell r="C20829"/>
          <cell r="D20829"/>
          <cell r="E20829"/>
        </row>
        <row r="20830">
          <cell r="A20830"/>
          <cell r="B20830"/>
          <cell r="C20830"/>
          <cell r="D20830"/>
          <cell r="E20830"/>
        </row>
        <row r="20831">
          <cell r="A20831"/>
          <cell r="B20831"/>
          <cell r="C20831"/>
          <cell r="D20831"/>
          <cell r="E20831"/>
        </row>
        <row r="20832">
          <cell r="A20832"/>
          <cell r="B20832"/>
          <cell r="C20832"/>
          <cell r="D20832"/>
          <cell r="E20832"/>
        </row>
        <row r="20833">
          <cell r="A20833"/>
          <cell r="B20833"/>
          <cell r="C20833"/>
          <cell r="D20833"/>
          <cell r="E20833"/>
        </row>
        <row r="20834">
          <cell r="A20834"/>
          <cell r="B20834"/>
          <cell r="C20834"/>
          <cell r="D20834"/>
          <cell r="E20834"/>
        </row>
        <row r="20835">
          <cell r="A20835"/>
          <cell r="B20835"/>
          <cell r="C20835"/>
          <cell r="D20835"/>
          <cell r="E20835"/>
        </row>
        <row r="20836">
          <cell r="A20836"/>
          <cell r="B20836"/>
          <cell r="C20836"/>
          <cell r="D20836"/>
          <cell r="E20836"/>
        </row>
        <row r="20837">
          <cell r="A20837"/>
          <cell r="B20837"/>
          <cell r="C20837"/>
          <cell r="D20837"/>
          <cell r="E20837"/>
        </row>
        <row r="20838">
          <cell r="A20838"/>
          <cell r="B20838"/>
          <cell r="C20838"/>
          <cell r="D20838"/>
          <cell r="E20838"/>
        </row>
        <row r="20839">
          <cell r="A20839"/>
          <cell r="B20839"/>
          <cell r="C20839"/>
          <cell r="D20839"/>
          <cell r="E20839"/>
        </row>
        <row r="20840">
          <cell r="A20840"/>
          <cell r="B20840"/>
          <cell r="C20840"/>
          <cell r="D20840"/>
          <cell r="E20840"/>
        </row>
        <row r="20841">
          <cell r="A20841"/>
          <cell r="B20841"/>
          <cell r="C20841"/>
          <cell r="D20841"/>
          <cell r="E20841"/>
        </row>
        <row r="20842">
          <cell r="A20842"/>
          <cell r="B20842"/>
          <cell r="C20842"/>
          <cell r="D20842"/>
          <cell r="E20842"/>
        </row>
        <row r="20843">
          <cell r="A20843"/>
          <cell r="B20843"/>
          <cell r="C20843"/>
          <cell r="D20843"/>
          <cell r="E20843"/>
        </row>
        <row r="20844">
          <cell r="A20844"/>
          <cell r="B20844"/>
          <cell r="C20844"/>
          <cell r="D20844"/>
          <cell r="E20844"/>
        </row>
        <row r="20845">
          <cell r="A20845"/>
          <cell r="B20845"/>
          <cell r="C20845"/>
          <cell r="D20845"/>
          <cell r="E20845"/>
        </row>
        <row r="20846">
          <cell r="A20846"/>
          <cell r="B20846"/>
          <cell r="C20846"/>
          <cell r="D20846"/>
          <cell r="E20846"/>
        </row>
        <row r="20847">
          <cell r="A20847"/>
          <cell r="B20847"/>
          <cell r="C20847"/>
          <cell r="D20847"/>
          <cell r="E20847"/>
        </row>
        <row r="20848">
          <cell r="A20848"/>
          <cell r="B20848"/>
          <cell r="C20848"/>
          <cell r="D20848"/>
          <cell r="E20848"/>
        </row>
        <row r="20849">
          <cell r="A20849"/>
          <cell r="B20849"/>
          <cell r="C20849"/>
          <cell r="D20849"/>
          <cell r="E20849"/>
        </row>
        <row r="20850">
          <cell r="A20850"/>
          <cell r="B20850"/>
          <cell r="C20850"/>
          <cell r="D20850"/>
          <cell r="E20850"/>
        </row>
        <row r="20851">
          <cell r="A20851"/>
          <cell r="B20851"/>
          <cell r="C20851"/>
          <cell r="D20851"/>
          <cell r="E20851"/>
        </row>
        <row r="20852">
          <cell r="A20852"/>
          <cell r="B20852"/>
          <cell r="C20852"/>
          <cell r="D20852"/>
          <cell r="E20852"/>
        </row>
        <row r="20853">
          <cell r="A20853"/>
          <cell r="B20853"/>
          <cell r="C20853"/>
          <cell r="D20853"/>
          <cell r="E20853"/>
        </row>
        <row r="20854">
          <cell r="A20854"/>
          <cell r="B20854"/>
          <cell r="C20854"/>
          <cell r="D20854"/>
          <cell r="E20854"/>
        </row>
        <row r="20855">
          <cell r="A20855"/>
          <cell r="B20855"/>
          <cell r="C20855"/>
          <cell r="D20855"/>
          <cell r="E20855"/>
        </row>
        <row r="20856">
          <cell r="A20856"/>
          <cell r="B20856"/>
          <cell r="C20856"/>
          <cell r="D20856"/>
          <cell r="E20856"/>
        </row>
        <row r="20857">
          <cell r="A20857"/>
          <cell r="B20857"/>
          <cell r="C20857"/>
          <cell r="D20857"/>
          <cell r="E20857"/>
        </row>
        <row r="20858">
          <cell r="A20858"/>
          <cell r="B20858"/>
          <cell r="C20858"/>
          <cell r="D20858"/>
          <cell r="E20858"/>
        </row>
        <row r="20859">
          <cell r="A20859"/>
          <cell r="B20859"/>
          <cell r="C20859"/>
          <cell r="D20859"/>
          <cell r="E20859"/>
        </row>
        <row r="20860">
          <cell r="A20860"/>
          <cell r="B20860"/>
          <cell r="C20860"/>
          <cell r="D20860"/>
          <cell r="E20860"/>
        </row>
        <row r="20861">
          <cell r="A20861"/>
          <cell r="B20861"/>
          <cell r="C20861"/>
          <cell r="D20861"/>
          <cell r="E20861"/>
        </row>
        <row r="20862">
          <cell r="A20862"/>
          <cell r="B20862"/>
          <cell r="C20862"/>
          <cell r="D20862"/>
          <cell r="E20862"/>
        </row>
        <row r="20863">
          <cell r="A20863"/>
          <cell r="B20863"/>
          <cell r="C20863"/>
          <cell r="D20863"/>
          <cell r="E20863"/>
        </row>
        <row r="20864">
          <cell r="A20864"/>
          <cell r="B20864"/>
          <cell r="C20864"/>
          <cell r="D20864"/>
          <cell r="E20864"/>
        </row>
        <row r="20865">
          <cell r="A20865"/>
          <cell r="B20865"/>
          <cell r="C20865"/>
          <cell r="D20865"/>
          <cell r="E20865"/>
        </row>
        <row r="20866">
          <cell r="A20866"/>
          <cell r="B20866"/>
          <cell r="C20866"/>
          <cell r="D20866"/>
          <cell r="E20866"/>
        </row>
        <row r="20867">
          <cell r="A20867"/>
          <cell r="B20867"/>
          <cell r="C20867"/>
          <cell r="D20867"/>
          <cell r="E20867"/>
        </row>
        <row r="20868">
          <cell r="A20868"/>
          <cell r="B20868"/>
          <cell r="C20868"/>
          <cell r="D20868"/>
          <cell r="E20868"/>
        </row>
        <row r="20869">
          <cell r="A20869"/>
          <cell r="B20869"/>
          <cell r="C20869"/>
          <cell r="D20869"/>
          <cell r="E20869"/>
        </row>
        <row r="20870">
          <cell r="A20870"/>
          <cell r="B20870"/>
          <cell r="C20870"/>
          <cell r="D20870"/>
          <cell r="E20870"/>
        </row>
        <row r="20871">
          <cell r="A20871"/>
          <cell r="B20871"/>
          <cell r="C20871"/>
          <cell r="D20871"/>
          <cell r="E20871"/>
        </row>
        <row r="20872">
          <cell r="A20872"/>
          <cell r="B20872"/>
          <cell r="C20872"/>
          <cell r="D20872"/>
          <cell r="E20872"/>
        </row>
        <row r="20873">
          <cell r="A20873"/>
          <cell r="B20873"/>
          <cell r="C20873"/>
          <cell r="D20873"/>
          <cell r="E20873"/>
        </row>
        <row r="20874">
          <cell r="A20874"/>
          <cell r="B20874"/>
          <cell r="C20874"/>
          <cell r="D20874"/>
          <cell r="E20874"/>
        </row>
        <row r="20875">
          <cell r="A20875"/>
          <cell r="B20875"/>
          <cell r="C20875"/>
          <cell r="D20875"/>
          <cell r="E20875"/>
        </row>
        <row r="20876">
          <cell r="A20876"/>
          <cell r="B20876"/>
          <cell r="C20876"/>
          <cell r="D20876"/>
          <cell r="E20876"/>
        </row>
        <row r="20877">
          <cell r="A20877"/>
          <cell r="B20877"/>
          <cell r="C20877"/>
          <cell r="D20877"/>
          <cell r="E20877"/>
        </row>
        <row r="20878">
          <cell r="A20878"/>
          <cell r="B20878"/>
          <cell r="C20878"/>
          <cell r="D20878"/>
          <cell r="E20878"/>
        </row>
        <row r="20879">
          <cell r="A20879"/>
          <cell r="B20879"/>
          <cell r="C20879"/>
          <cell r="D20879"/>
          <cell r="E20879"/>
        </row>
        <row r="20880">
          <cell r="A20880"/>
          <cell r="B20880"/>
          <cell r="C20880"/>
          <cell r="D20880"/>
          <cell r="E20880"/>
        </row>
        <row r="20881">
          <cell r="A20881"/>
          <cell r="B20881"/>
          <cell r="C20881"/>
          <cell r="D20881"/>
          <cell r="E20881"/>
        </row>
        <row r="20882">
          <cell r="A20882"/>
          <cell r="B20882"/>
          <cell r="C20882"/>
          <cell r="D20882"/>
          <cell r="E20882"/>
        </row>
        <row r="20883">
          <cell r="A20883"/>
          <cell r="B20883"/>
          <cell r="C20883"/>
          <cell r="D20883"/>
          <cell r="E20883"/>
        </row>
        <row r="20884">
          <cell r="A20884"/>
          <cell r="B20884"/>
          <cell r="C20884"/>
          <cell r="D20884"/>
          <cell r="E20884"/>
        </row>
        <row r="20885">
          <cell r="A20885"/>
          <cell r="B20885"/>
          <cell r="C20885"/>
          <cell r="D20885"/>
          <cell r="E20885"/>
        </row>
        <row r="20886">
          <cell r="A20886"/>
          <cell r="B20886"/>
          <cell r="C20886"/>
          <cell r="D20886"/>
          <cell r="E20886"/>
        </row>
        <row r="20887">
          <cell r="A20887"/>
          <cell r="B20887"/>
          <cell r="C20887"/>
          <cell r="D20887"/>
          <cell r="E20887"/>
        </row>
        <row r="20888">
          <cell r="A20888"/>
          <cell r="B20888"/>
          <cell r="C20888"/>
          <cell r="D20888"/>
          <cell r="E20888"/>
        </row>
        <row r="20889">
          <cell r="A20889"/>
          <cell r="B20889"/>
          <cell r="C20889"/>
          <cell r="D20889"/>
          <cell r="E20889"/>
        </row>
        <row r="20890">
          <cell r="A20890"/>
          <cell r="B20890"/>
          <cell r="C20890"/>
          <cell r="D20890"/>
          <cell r="E20890"/>
        </row>
        <row r="20891">
          <cell r="A20891"/>
          <cell r="B20891"/>
          <cell r="C20891"/>
          <cell r="D20891"/>
          <cell r="E20891"/>
        </row>
        <row r="20892">
          <cell r="A20892"/>
          <cell r="B20892"/>
          <cell r="C20892"/>
          <cell r="D20892"/>
          <cell r="E20892"/>
        </row>
        <row r="20893">
          <cell r="A20893"/>
          <cell r="B20893"/>
          <cell r="C20893"/>
          <cell r="D20893"/>
          <cell r="E20893"/>
        </row>
        <row r="20894">
          <cell r="A20894"/>
          <cell r="B20894"/>
          <cell r="C20894"/>
          <cell r="D20894"/>
          <cell r="E20894"/>
        </row>
        <row r="20895">
          <cell r="A20895"/>
          <cell r="B20895"/>
          <cell r="C20895"/>
          <cell r="D20895"/>
          <cell r="E20895"/>
        </row>
        <row r="20896">
          <cell r="A20896"/>
          <cell r="B20896"/>
          <cell r="C20896"/>
          <cell r="D20896"/>
          <cell r="E20896"/>
        </row>
        <row r="20897">
          <cell r="A20897"/>
          <cell r="B20897"/>
          <cell r="C20897"/>
          <cell r="D20897"/>
          <cell r="E20897"/>
        </row>
        <row r="20898">
          <cell r="A20898"/>
          <cell r="B20898"/>
          <cell r="C20898"/>
          <cell r="D20898"/>
          <cell r="E20898"/>
        </row>
        <row r="20899">
          <cell r="A20899"/>
          <cell r="B20899"/>
          <cell r="C20899"/>
          <cell r="D20899"/>
          <cell r="E20899"/>
        </row>
        <row r="20900">
          <cell r="A20900"/>
          <cell r="B20900"/>
          <cell r="C20900"/>
          <cell r="D20900"/>
          <cell r="E20900"/>
        </row>
        <row r="20901">
          <cell r="A20901"/>
          <cell r="B20901"/>
          <cell r="C20901"/>
          <cell r="D20901"/>
          <cell r="E20901"/>
        </row>
        <row r="20902">
          <cell r="A20902"/>
          <cell r="B20902"/>
          <cell r="C20902"/>
          <cell r="D20902"/>
          <cell r="E20902"/>
        </row>
        <row r="20903">
          <cell r="A20903"/>
          <cell r="B20903"/>
          <cell r="C20903"/>
          <cell r="D20903"/>
          <cell r="E20903"/>
        </row>
        <row r="20904">
          <cell r="A20904"/>
          <cell r="B20904"/>
          <cell r="C20904"/>
          <cell r="D20904"/>
          <cell r="E20904"/>
        </row>
        <row r="20905">
          <cell r="A20905"/>
          <cell r="B20905"/>
          <cell r="C20905"/>
          <cell r="D20905"/>
          <cell r="E20905"/>
        </row>
        <row r="20906">
          <cell r="A20906"/>
          <cell r="B20906"/>
          <cell r="C20906"/>
          <cell r="D20906"/>
          <cell r="E20906"/>
        </row>
        <row r="20907">
          <cell r="A20907"/>
          <cell r="B20907"/>
          <cell r="C20907"/>
          <cell r="D20907"/>
          <cell r="E20907"/>
        </row>
        <row r="20908">
          <cell r="A20908"/>
          <cell r="B20908"/>
          <cell r="C20908"/>
          <cell r="D20908"/>
          <cell r="E20908"/>
        </row>
        <row r="20909">
          <cell r="A20909"/>
          <cell r="B20909"/>
          <cell r="C20909"/>
          <cell r="D20909"/>
          <cell r="E20909"/>
        </row>
        <row r="20910">
          <cell r="A20910"/>
          <cell r="B20910"/>
          <cell r="C20910"/>
          <cell r="D20910"/>
          <cell r="E20910"/>
        </row>
        <row r="20911">
          <cell r="A20911"/>
          <cell r="B20911"/>
          <cell r="C20911"/>
          <cell r="D20911"/>
          <cell r="E20911"/>
        </row>
        <row r="20912">
          <cell r="A20912"/>
          <cell r="B20912"/>
          <cell r="C20912"/>
          <cell r="D20912"/>
          <cell r="E20912"/>
        </row>
        <row r="20913">
          <cell r="A20913"/>
          <cell r="B20913"/>
          <cell r="C20913"/>
          <cell r="D20913"/>
          <cell r="E20913"/>
        </row>
        <row r="20914">
          <cell r="A20914"/>
          <cell r="B20914"/>
          <cell r="C20914"/>
          <cell r="D20914"/>
          <cell r="E20914"/>
        </row>
        <row r="20915">
          <cell r="A20915"/>
          <cell r="B20915"/>
          <cell r="C20915"/>
          <cell r="D20915"/>
          <cell r="E20915"/>
        </row>
        <row r="20916">
          <cell r="A20916"/>
          <cell r="B20916"/>
          <cell r="C20916"/>
          <cell r="D20916"/>
          <cell r="E20916"/>
        </row>
        <row r="20917">
          <cell r="A20917"/>
          <cell r="B20917"/>
          <cell r="C20917"/>
          <cell r="D20917"/>
          <cell r="E20917"/>
        </row>
        <row r="20918">
          <cell r="A20918"/>
          <cell r="B20918"/>
          <cell r="C20918"/>
          <cell r="D20918"/>
          <cell r="E20918"/>
        </row>
        <row r="20919">
          <cell r="A20919"/>
          <cell r="B20919"/>
          <cell r="C20919"/>
          <cell r="D20919"/>
          <cell r="E20919"/>
        </row>
        <row r="20920">
          <cell r="A20920"/>
          <cell r="B20920"/>
          <cell r="C20920"/>
          <cell r="D20920"/>
          <cell r="E20920"/>
        </row>
        <row r="20921">
          <cell r="A20921"/>
          <cell r="B20921"/>
          <cell r="C20921"/>
          <cell r="D20921"/>
          <cell r="E20921"/>
        </row>
        <row r="20922">
          <cell r="A20922"/>
          <cell r="B20922"/>
          <cell r="C20922"/>
          <cell r="D20922"/>
          <cell r="E20922"/>
        </row>
        <row r="20923">
          <cell r="A20923"/>
          <cell r="B20923"/>
          <cell r="C20923"/>
          <cell r="D20923"/>
          <cell r="E20923"/>
        </row>
        <row r="20924">
          <cell r="A20924"/>
          <cell r="B20924"/>
          <cell r="C20924"/>
          <cell r="D20924"/>
          <cell r="E20924"/>
        </row>
        <row r="20925">
          <cell r="A20925"/>
          <cell r="B20925"/>
          <cell r="C20925"/>
          <cell r="D20925"/>
          <cell r="E20925"/>
        </row>
        <row r="20926">
          <cell r="A20926"/>
          <cell r="B20926"/>
          <cell r="C20926"/>
          <cell r="D20926"/>
          <cell r="E20926"/>
        </row>
        <row r="20927">
          <cell r="A20927"/>
          <cell r="B20927"/>
          <cell r="C20927"/>
          <cell r="D20927"/>
          <cell r="E20927"/>
        </row>
        <row r="20928">
          <cell r="A20928"/>
          <cell r="B20928"/>
          <cell r="C20928"/>
          <cell r="D20928"/>
          <cell r="E20928"/>
        </row>
        <row r="20929">
          <cell r="A20929"/>
          <cell r="B20929"/>
          <cell r="C20929"/>
          <cell r="D20929"/>
          <cell r="E20929"/>
        </row>
        <row r="20930">
          <cell r="A20930"/>
          <cell r="B20930"/>
          <cell r="C20930"/>
          <cell r="D20930"/>
          <cell r="E20930"/>
        </row>
        <row r="20931">
          <cell r="A20931"/>
          <cell r="B20931"/>
          <cell r="C20931"/>
          <cell r="D20931"/>
          <cell r="E20931"/>
        </row>
        <row r="20932">
          <cell r="A20932"/>
          <cell r="B20932"/>
          <cell r="C20932"/>
          <cell r="D20932"/>
          <cell r="E20932"/>
        </row>
        <row r="20933">
          <cell r="A20933"/>
          <cell r="B20933"/>
          <cell r="C20933"/>
          <cell r="D20933"/>
          <cell r="E20933"/>
        </row>
        <row r="20934">
          <cell r="A20934"/>
          <cell r="B20934"/>
          <cell r="C20934"/>
          <cell r="D20934"/>
          <cell r="E20934"/>
        </row>
        <row r="20935">
          <cell r="A20935"/>
          <cell r="B20935"/>
          <cell r="C20935"/>
          <cell r="D20935"/>
          <cell r="E20935"/>
        </row>
        <row r="20936">
          <cell r="A20936"/>
          <cell r="B20936"/>
          <cell r="C20936"/>
          <cell r="D20936"/>
          <cell r="E20936"/>
        </row>
        <row r="20937">
          <cell r="A20937"/>
          <cell r="B20937"/>
          <cell r="C20937"/>
          <cell r="D20937"/>
          <cell r="E20937"/>
        </row>
        <row r="20938">
          <cell r="A20938"/>
          <cell r="B20938"/>
          <cell r="C20938"/>
          <cell r="D20938"/>
          <cell r="E20938"/>
        </row>
        <row r="20939">
          <cell r="A20939"/>
          <cell r="B20939"/>
          <cell r="C20939"/>
          <cell r="D20939"/>
          <cell r="E20939"/>
        </row>
        <row r="20940">
          <cell r="A20940"/>
          <cell r="B20940"/>
          <cell r="C20940"/>
          <cell r="D20940"/>
          <cell r="E20940"/>
        </row>
        <row r="20941">
          <cell r="A20941"/>
          <cell r="B20941"/>
          <cell r="C20941"/>
          <cell r="D20941"/>
          <cell r="E20941"/>
        </row>
        <row r="20942">
          <cell r="A20942"/>
          <cell r="B20942"/>
          <cell r="C20942"/>
          <cell r="D20942"/>
          <cell r="E20942"/>
        </row>
        <row r="20943">
          <cell r="A20943"/>
          <cell r="B20943"/>
          <cell r="C20943"/>
          <cell r="D20943"/>
          <cell r="E20943"/>
        </row>
        <row r="20944">
          <cell r="A20944"/>
          <cell r="B20944"/>
          <cell r="C20944"/>
          <cell r="D20944"/>
          <cell r="E20944"/>
        </row>
        <row r="20945">
          <cell r="A20945"/>
          <cell r="B20945"/>
          <cell r="C20945"/>
          <cell r="D20945"/>
          <cell r="E20945"/>
        </row>
        <row r="20946">
          <cell r="A20946"/>
          <cell r="B20946"/>
          <cell r="C20946"/>
          <cell r="D20946"/>
          <cell r="E20946"/>
        </row>
        <row r="20947">
          <cell r="A20947"/>
          <cell r="B20947"/>
          <cell r="C20947"/>
          <cell r="D20947"/>
          <cell r="E20947"/>
        </row>
        <row r="20948">
          <cell r="A20948"/>
          <cell r="B20948"/>
          <cell r="C20948"/>
          <cell r="D20948"/>
          <cell r="E20948"/>
        </row>
        <row r="20949">
          <cell r="A20949"/>
          <cell r="B20949"/>
          <cell r="C20949"/>
          <cell r="D20949"/>
          <cell r="E20949"/>
        </row>
        <row r="20950">
          <cell r="A20950"/>
          <cell r="B20950"/>
          <cell r="C20950"/>
          <cell r="D20950"/>
          <cell r="E20950"/>
        </row>
        <row r="20951">
          <cell r="A20951"/>
          <cell r="B20951"/>
          <cell r="C20951"/>
          <cell r="D20951"/>
          <cell r="E20951"/>
        </row>
        <row r="20952">
          <cell r="A20952"/>
          <cell r="B20952"/>
          <cell r="C20952"/>
          <cell r="D20952"/>
          <cell r="E20952"/>
        </row>
        <row r="20953">
          <cell r="A20953"/>
          <cell r="B20953"/>
          <cell r="C20953"/>
          <cell r="D20953"/>
          <cell r="E20953"/>
        </row>
        <row r="20954">
          <cell r="A20954"/>
          <cell r="B20954"/>
          <cell r="C20954"/>
          <cell r="D20954"/>
          <cell r="E20954"/>
        </row>
        <row r="20955">
          <cell r="A20955"/>
          <cell r="B20955"/>
          <cell r="C20955"/>
          <cell r="D20955"/>
          <cell r="E20955"/>
        </row>
        <row r="20956">
          <cell r="A20956"/>
          <cell r="B20956"/>
          <cell r="C20956"/>
          <cell r="D20956"/>
          <cell r="E20956"/>
        </row>
        <row r="20957">
          <cell r="A20957"/>
          <cell r="B20957"/>
          <cell r="C20957"/>
          <cell r="D20957"/>
          <cell r="E20957"/>
        </row>
        <row r="20958">
          <cell r="A20958"/>
          <cell r="B20958"/>
          <cell r="C20958"/>
          <cell r="D20958"/>
          <cell r="E20958"/>
        </row>
        <row r="20959">
          <cell r="A20959"/>
          <cell r="B20959"/>
          <cell r="C20959"/>
          <cell r="D20959"/>
          <cell r="E20959"/>
        </row>
        <row r="20960">
          <cell r="A20960"/>
          <cell r="B20960"/>
          <cell r="C20960"/>
          <cell r="D20960"/>
          <cell r="E20960"/>
        </row>
        <row r="20961">
          <cell r="A20961"/>
          <cell r="B20961"/>
          <cell r="C20961"/>
          <cell r="D20961"/>
          <cell r="E20961"/>
        </row>
        <row r="20962">
          <cell r="A20962"/>
          <cell r="B20962"/>
          <cell r="C20962"/>
          <cell r="D20962"/>
          <cell r="E20962"/>
        </row>
        <row r="20963">
          <cell r="A20963"/>
          <cell r="B20963"/>
          <cell r="C20963"/>
          <cell r="D20963"/>
          <cell r="E20963"/>
        </row>
        <row r="20964">
          <cell r="A20964"/>
          <cell r="B20964"/>
          <cell r="C20964"/>
          <cell r="D20964"/>
          <cell r="E20964"/>
        </row>
        <row r="20965">
          <cell r="A20965"/>
          <cell r="B20965"/>
          <cell r="C20965"/>
          <cell r="D20965"/>
          <cell r="E20965"/>
        </row>
        <row r="20966">
          <cell r="A20966"/>
          <cell r="B20966"/>
          <cell r="C20966"/>
          <cell r="D20966"/>
          <cell r="E20966"/>
        </row>
        <row r="20967">
          <cell r="A20967"/>
          <cell r="B20967"/>
          <cell r="C20967"/>
          <cell r="D20967"/>
          <cell r="E20967"/>
        </row>
        <row r="20968">
          <cell r="A20968"/>
          <cell r="B20968"/>
          <cell r="C20968"/>
          <cell r="D20968"/>
          <cell r="E20968"/>
        </row>
        <row r="20969">
          <cell r="A20969"/>
          <cell r="B20969"/>
          <cell r="C20969"/>
          <cell r="D20969"/>
          <cell r="E20969"/>
        </row>
        <row r="20970">
          <cell r="A20970"/>
          <cell r="B20970"/>
          <cell r="C20970"/>
          <cell r="D20970"/>
          <cell r="E20970"/>
        </row>
        <row r="20971">
          <cell r="A20971"/>
          <cell r="B20971"/>
          <cell r="C20971"/>
          <cell r="D20971"/>
          <cell r="E20971"/>
        </row>
        <row r="20972">
          <cell r="A20972"/>
          <cell r="B20972"/>
          <cell r="C20972"/>
          <cell r="D20972"/>
          <cell r="E20972"/>
        </row>
        <row r="20973">
          <cell r="A20973"/>
          <cell r="B20973"/>
          <cell r="C20973"/>
          <cell r="D20973"/>
          <cell r="E20973"/>
        </row>
        <row r="20974">
          <cell r="A20974"/>
          <cell r="B20974"/>
          <cell r="C20974"/>
          <cell r="D20974"/>
          <cell r="E20974"/>
        </row>
        <row r="20975">
          <cell r="A20975"/>
          <cell r="B20975"/>
          <cell r="C20975"/>
          <cell r="D20975"/>
          <cell r="E20975"/>
        </row>
        <row r="20976">
          <cell r="A20976"/>
          <cell r="B20976"/>
          <cell r="C20976"/>
          <cell r="D20976"/>
          <cell r="E20976"/>
        </row>
        <row r="20977">
          <cell r="A20977"/>
          <cell r="B20977"/>
          <cell r="C20977"/>
          <cell r="D20977"/>
          <cell r="E20977"/>
        </row>
        <row r="20978">
          <cell r="A20978"/>
          <cell r="B20978"/>
          <cell r="C20978"/>
          <cell r="D20978"/>
          <cell r="E20978"/>
        </row>
        <row r="20979">
          <cell r="A20979"/>
          <cell r="B20979"/>
          <cell r="C20979"/>
          <cell r="D20979"/>
          <cell r="E20979"/>
        </row>
        <row r="20980">
          <cell r="A20980"/>
          <cell r="B20980"/>
          <cell r="C20980"/>
          <cell r="D20980"/>
          <cell r="E20980"/>
        </row>
        <row r="20981">
          <cell r="A20981"/>
          <cell r="B20981"/>
          <cell r="C20981"/>
          <cell r="D20981"/>
          <cell r="E20981"/>
        </row>
        <row r="20982">
          <cell r="A20982"/>
          <cell r="B20982"/>
          <cell r="C20982"/>
          <cell r="D20982"/>
          <cell r="E20982"/>
        </row>
        <row r="20983">
          <cell r="A20983"/>
          <cell r="B20983"/>
          <cell r="C20983"/>
          <cell r="D20983"/>
          <cell r="E20983"/>
        </row>
        <row r="20984">
          <cell r="A20984"/>
          <cell r="B20984"/>
          <cell r="C20984"/>
          <cell r="D20984"/>
          <cell r="E20984"/>
        </row>
        <row r="20985">
          <cell r="A20985"/>
          <cell r="B20985"/>
          <cell r="C20985"/>
          <cell r="D20985"/>
          <cell r="E20985"/>
        </row>
        <row r="20986">
          <cell r="A20986"/>
          <cell r="B20986"/>
          <cell r="C20986"/>
          <cell r="D20986"/>
          <cell r="E20986"/>
        </row>
        <row r="20987">
          <cell r="A20987"/>
          <cell r="B20987"/>
          <cell r="C20987"/>
          <cell r="D20987"/>
          <cell r="E20987"/>
        </row>
        <row r="20988">
          <cell r="A20988"/>
          <cell r="B20988"/>
          <cell r="C20988"/>
          <cell r="D20988"/>
          <cell r="E20988"/>
        </row>
        <row r="20989">
          <cell r="A20989"/>
          <cell r="B20989"/>
          <cell r="C20989"/>
          <cell r="D20989"/>
          <cell r="E20989"/>
        </row>
        <row r="20990">
          <cell r="A20990"/>
          <cell r="B20990"/>
          <cell r="C20990"/>
          <cell r="D20990"/>
          <cell r="E20990"/>
        </row>
        <row r="20991">
          <cell r="A20991"/>
          <cell r="B20991"/>
          <cell r="C20991"/>
          <cell r="D20991"/>
          <cell r="E20991"/>
        </row>
        <row r="20992">
          <cell r="A20992"/>
          <cell r="B20992"/>
          <cell r="C20992"/>
          <cell r="D20992"/>
          <cell r="E20992"/>
        </row>
        <row r="20993">
          <cell r="A20993"/>
          <cell r="B20993"/>
          <cell r="C20993"/>
          <cell r="D20993"/>
          <cell r="E20993"/>
        </row>
        <row r="20994">
          <cell r="A20994"/>
          <cell r="B20994"/>
          <cell r="C20994"/>
          <cell r="D20994"/>
          <cell r="E20994"/>
        </row>
        <row r="20995">
          <cell r="A20995"/>
          <cell r="B20995"/>
          <cell r="C20995"/>
          <cell r="D20995"/>
          <cell r="E20995"/>
        </row>
        <row r="20996">
          <cell r="A20996"/>
          <cell r="B20996"/>
          <cell r="C20996"/>
          <cell r="D20996"/>
          <cell r="E20996"/>
        </row>
        <row r="20997">
          <cell r="A20997"/>
          <cell r="B20997"/>
          <cell r="C20997"/>
          <cell r="D20997"/>
          <cell r="E20997"/>
        </row>
        <row r="20998">
          <cell r="A20998"/>
          <cell r="B20998"/>
          <cell r="C20998"/>
          <cell r="D20998"/>
          <cell r="E20998"/>
        </row>
        <row r="20999">
          <cell r="A20999"/>
          <cell r="B20999"/>
          <cell r="C20999"/>
          <cell r="D20999"/>
          <cell r="E20999"/>
        </row>
        <row r="21000">
          <cell r="A21000"/>
          <cell r="B21000"/>
          <cell r="C21000"/>
          <cell r="D21000"/>
          <cell r="E21000"/>
        </row>
        <row r="21001">
          <cell r="A21001"/>
          <cell r="B21001"/>
          <cell r="C21001"/>
          <cell r="D21001"/>
          <cell r="E21001"/>
        </row>
        <row r="21002">
          <cell r="A21002"/>
          <cell r="B21002"/>
          <cell r="C21002"/>
          <cell r="D21002"/>
          <cell r="E21002"/>
        </row>
        <row r="21003">
          <cell r="A21003"/>
          <cell r="B21003"/>
          <cell r="C21003"/>
          <cell r="D21003"/>
          <cell r="E21003"/>
        </row>
        <row r="21004">
          <cell r="A21004"/>
          <cell r="B21004"/>
          <cell r="C21004"/>
          <cell r="D21004"/>
          <cell r="E21004"/>
        </row>
        <row r="21005">
          <cell r="A21005"/>
          <cell r="B21005"/>
          <cell r="C21005"/>
          <cell r="D21005"/>
          <cell r="E21005"/>
        </row>
        <row r="21006">
          <cell r="A21006"/>
          <cell r="B21006"/>
          <cell r="C21006"/>
          <cell r="D21006"/>
          <cell r="E21006"/>
        </row>
        <row r="21007">
          <cell r="A21007"/>
          <cell r="B21007"/>
          <cell r="C21007"/>
          <cell r="D21007"/>
          <cell r="E21007"/>
        </row>
        <row r="21008">
          <cell r="A21008"/>
          <cell r="B21008"/>
          <cell r="C21008"/>
          <cell r="D21008"/>
          <cell r="E21008"/>
        </row>
        <row r="21009">
          <cell r="A21009"/>
          <cell r="B21009"/>
          <cell r="C21009"/>
          <cell r="D21009"/>
          <cell r="E21009"/>
        </row>
        <row r="21010">
          <cell r="A21010"/>
          <cell r="B21010"/>
          <cell r="C21010"/>
          <cell r="D21010"/>
          <cell r="E21010"/>
        </row>
        <row r="21011">
          <cell r="A21011"/>
          <cell r="B21011"/>
          <cell r="C21011"/>
          <cell r="D21011"/>
          <cell r="E21011"/>
        </row>
        <row r="21012">
          <cell r="A21012"/>
          <cell r="B21012"/>
          <cell r="C21012"/>
          <cell r="D21012"/>
          <cell r="E21012"/>
        </row>
        <row r="21013">
          <cell r="A21013"/>
          <cell r="B21013"/>
          <cell r="C21013"/>
          <cell r="D21013"/>
          <cell r="E21013"/>
        </row>
        <row r="21014">
          <cell r="A21014"/>
          <cell r="B21014"/>
          <cell r="C21014"/>
          <cell r="D21014"/>
          <cell r="E21014"/>
        </row>
        <row r="21015">
          <cell r="A21015"/>
          <cell r="B21015"/>
          <cell r="C21015"/>
          <cell r="D21015"/>
          <cell r="E21015"/>
        </row>
        <row r="21016">
          <cell r="A21016"/>
          <cell r="B21016"/>
          <cell r="C21016"/>
          <cell r="D21016"/>
          <cell r="E21016"/>
        </row>
        <row r="21017">
          <cell r="A21017"/>
          <cell r="B21017"/>
          <cell r="C21017"/>
          <cell r="D21017"/>
          <cell r="E21017"/>
        </row>
        <row r="21018">
          <cell r="A21018"/>
          <cell r="B21018"/>
          <cell r="C21018"/>
          <cell r="D21018"/>
          <cell r="E21018"/>
        </row>
        <row r="21019">
          <cell r="A21019"/>
          <cell r="B21019"/>
          <cell r="C21019"/>
          <cell r="D21019"/>
          <cell r="E21019"/>
        </row>
        <row r="21020">
          <cell r="A21020"/>
          <cell r="B21020"/>
          <cell r="C21020"/>
          <cell r="D21020"/>
          <cell r="E21020"/>
        </row>
        <row r="21021">
          <cell r="A21021"/>
          <cell r="B21021"/>
          <cell r="C21021"/>
          <cell r="D21021"/>
          <cell r="E21021"/>
        </row>
        <row r="21022">
          <cell r="A21022"/>
          <cell r="B21022"/>
          <cell r="C21022"/>
          <cell r="D21022"/>
          <cell r="E21022"/>
        </row>
        <row r="21023">
          <cell r="A21023"/>
          <cell r="B21023"/>
          <cell r="C21023"/>
          <cell r="D21023"/>
          <cell r="E21023"/>
        </row>
        <row r="21024">
          <cell r="A21024"/>
          <cell r="B21024"/>
          <cell r="C21024"/>
          <cell r="D21024"/>
          <cell r="E21024"/>
        </row>
        <row r="21025">
          <cell r="A21025"/>
          <cell r="B21025"/>
          <cell r="C21025"/>
          <cell r="D21025"/>
          <cell r="E21025"/>
        </row>
        <row r="21026">
          <cell r="A21026"/>
          <cell r="B21026"/>
          <cell r="C21026"/>
          <cell r="D21026"/>
          <cell r="E21026"/>
        </row>
        <row r="21027">
          <cell r="A21027"/>
          <cell r="B21027"/>
          <cell r="C21027"/>
          <cell r="D21027"/>
          <cell r="E21027"/>
        </row>
        <row r="21028">
          <cell r="A21028"/>
          <cell r="B21028"/>
          <cell r="C21028"/>
          <cell r="D21028"/>
          <cell r="E21028"/>
        </row>
        <row r="21029">
          <cell r="A21029"/>
          <cell r="B21029"/>
          <cell r="C21029"/>
          <cell r="D21029"/>
          <cell r="E21029"/>
        </row>
        <row r="21030">
          <cell r="A21030"/>
          <cell r="B21030"/>
          <cell r="C21030"/>
          <cell r="D21030"/>
          <cell r="E21030"/>
        </row>
        <row r="21031">
          <cell r="A21031"/>
          <cell r="B21031"/>
          <cell r="C21031"/>
          <cell r="D21031"/>
          <cell r="E21031"/>
        </row>
        <row r="21032">
          <cell r="A21032"/>
          <cell r="B21032"/>
          <cell r="C21032"/>
          <cell r="D21032"/>
          <cell r="E21032"/>
        </row>
        <row r="21033">
          <cell r="A21033"/>
          <cell r="B21033"/>
          <cell r="C21033"/>
          <cell r="D21033"/>
          <cell r="E21033"/>
        </row>
        <row r="21034">
          <cell r="A21034"/>
          <cell r="B21034"/>
          <cell r="C21034"/>
          <cell r="D21034"/>
          <cell r="E21034"/>
        </row>
        <row r="21035">
          <cell r="A21035"/>
          <cell r="B21035"/>
          <cell r="C21035"/>
          <cell r="D21035"/>
          <cell r="E21035"/>
        </row>
        <row r="21036">
          <cell r="A21036"/>
          <cell r="B21036"/>
          <cell r="C21036"/>
          <cell r="D21036"/>
          <cell r="E21036"/>
        </row>
        <row r="21037">
          <cell r="A21037"/>
          <cell r="B21037"/>
          <cell r="C21037"/>
          <cell r="D21037"/>
          <cell r="E21037"/>
        </row>
        <row r="21038">
          <cell r="A21038"/>
          <cell r="B21038"/>
          <cell r="C21038"/>
          <cell r="D21038"/>
          <cell r="E21038"/>
        </row>
        <row r="21039">
          <cell r="A21039"/>
          <cell r="B21039"/>
          <cell r="C21039"/>
          <cell r="D21039"/>
          <cell r="E21039"/>
        </row>
        <row r="21040">
          <cell r="A21040"/>
          <cell r="B21040"/>
          <cell r="C21040"/>
          <cell r="D21040"/>
          <cell r="E21040"/>
        </row>
        <row r="21041">
          <cell r="A21041"/>
          <cell r="B21041"/>
          <cell r="C21041"/>
          <cell r="D21041"/>
          <cell r="E21041"/>
        </row>
        <row r="21042">
          <cell r="A21042"/>
          <cell r="B21042"/>
          <cell r="C21042"/>
          <cell r="D21042"/>
          <cell r="E21042"/>
        </row>
        <row r="21043">
          <cell r="A21043"/>
          <cell r="B21043"/>
          <cell r="C21043"/>
          <cell r="D21043"/>
          <cell r="E21043"/>
        </row>
        <row r="21044">
          <cell r="A21044"/>
          <cell r="B21044"/>
          <cell r="C21044"/>
          <cell r="D21044"/>
          <cell r="E21044"/>
        </row>
        <row r="21045">
          <cell r="A21045"/>
          <cell r="B21045"/>
          <cell r="C21045"/>
          <cell r="D21045"/>
          <cell r="E21045"/>
        </row>
        <row r="21046">
          <cell r="A21046"/>
          <cell r="B21046"/>
          <cell r="C21046"/>
          <cell r="D21046"/>
          <cell r="E21046"/>
        </row>
        <row r="21047">
          <cell r="A21047"/>
          <cell r="B21047"/>
          <cell r="C21047"/>
          <cell r="D21047"/>
          <cell r="E21047"/>
        </row>
        <row r="21048">
          <cell r="A21048"/>
          <cell r="B21048"/>
          <cell r="C21048"/>
          <cell r="D21048"/>
          <cell r="E21048"/>
        </row>
        <row r="21049">
          <cell r="A21049"/>
          <cell r="B21049"/>
          <cell r="C21049"/>
          <cell r="D21049"/>
          <cell r="E21049"/>
        </row>
        <row r="21050">
          <cell r="A21050"/>
          <cell r="B21050"/>
          <cell r="C21050"/>
          <cell r="D21050"/>
          <cell r="E21050"/>
        </row>
        <row r="21051">
          <cell r="A21051"/>
          <cell r="B21051"/>
          <cell r="C21051"/>
          <cell r="D21051"/>
          <cell r="E21051"/>
        </row>
        <row r="21052">
          <cell r="A21052"/>
          <cell r="B21052"/>
          <cell r="C21052"/>
          <cell r="D21052"/>
          <cell r="E21052"/>
        </row>
        <row r="21053">
          <cell r="A21053"/>
          <cell r="B21053"/>
          <cell r="C21053"/>
          <cell r="D21053"/>
          <cell r="E21053"/>
        </row>
        <row r="21054">
          <cell r="A21054"/>
          <cell r="B21054"/>
          <cell r="C21054"/>
          <cell r="D21054"/>
          <cell r="E21054"/>
        </row>
        <row r="21055">
          <cell r="A21055"/>
          <cell r="B21055"/>
          <cell r="C21055"/>
          <cell r="D21055"/>
          <cell r="E21055"/>
        </row>
        <row r="21056">
          <cell r="A21056"/>
          <cell r="B21056"/>
          <cell r="C21056"/>
          <cell r="D21056"/>
          <cell r="E21056"/>
        </row>
        <row r="21057">
          <cell r="A21057"/>
          <cell r="B21057"/>
          <cell r="C21057"/>
          <cell r="D21057"/>
          <cell r="E21057"/>
        </row>
        <row r="21058">
          <cell r="A21058"/>
          <cell r="B21058"/>
          <cell r="C21058"/>
          <cell r="D21058"/>
          <cell r="E21058"/>
        </row>
        <row r="21059">
          <cell r="A21059"/>
          <cell r="B21059"/>
          <cell r="C21059"/>
          <cell r="D21059"/>
          <cell r="E21059"/>
        </row>
        <row r="21060">
          <cell r="A21060"/>
          <cell r="B21060"/>
          <cell r="C21060"/>
          <cell r="D21060"/>
          <cell r="E21060"/>
        </row>
        <row r="21061">
          <cell r="A21061"/>
          <cell r="B21061"/>
          <cell r="C21061"/>
          <cell r="D21061"/>
          <cell r="E21061"/>
        </row>
        <row r="21062">
          <cell r="A21062"/>
          <cell r="B21062"/>
          <cell r="C21062"/>
          <cell r="D21062"/>
          <cell r="E21062"/>
        </row>
        <row r="21063">
          <cell r="A21063"/>
          <cell r="B21063"/>
          <cell r="C21063"/>
          <cell r="D21063"/>
          <cell r="E21063"/>
        </row>
        <row r="21064">
          <cell r="A21064"/>
          <cell r="B21064"/>
          <cell r="C21064"/>
          <cell r="D21064"/>
          <cell r="E21064"/>
        </row>
        <row r="21065">
          <cell r="A21065"/>
          <cell r="B21065"/>
          <cell r="C21065"/>
          <cell r="D21065"/>
          <cell r="E21065"/>
        </row>
        <row r="21066">
          <cell r="A21066"/>
          <cell r="B21066"/>
          <cell r="C21066"/>
          <cell r="D21066"/>
          <cell r="E21066"/>
        </row>
        <row r="21067">
          <cell r="A21067"/>
          <cell r="B21067"/>
          <cell r="C21067"/>
          <cell r="D21067"/>
          <cell r="E21067"/>
        </row>
        <row r="21068">
          <cell r="A21068"/>
          <cell r="B21068"/>
          <cell r="C21068"/>
          <cell r="D21068"/>
          <cell r="E21068"/>
        </row>
        <row r="21069">
          <cell r="A21069"/>
          <cell r="B21069"/>
          <cell r="C21069"/>
          <cell r="D21069"/>
          <cell r="E21069"/>
        </row>
        <row r="21070">
          <cell r="A21070"/>
          <cell r="B21070"/>
          <cell r="C21070"/>
          <cell r="D21070"/>
          <cell r="E21070"/>
        </row>
        <row r="21071">
          <cell r="A21071"/>
          <cell r="B21071"/>
          <cell r="C21071"/>
          <cell r="D21071"/>
          <cell r="E21071"/>
        </row>
        <row r="21072">
          <cell r="A21072"/>
          <cell r="B21072"/>
          <cell r="C21072"/>
          <cell r="D21072"/>
          <cell r="E21072"/>
        </row>
        <row r="21073">
          <cell r="A21073"/>
          <cell r="B21073"/>
          <cell r="C21073"/>
          <cell r="D21073"/>
          <cell r="E21073"/>
        </row>
        <row r="21074">
          <cell r="A21074"/>
          <cell r="B21074"/>
          <cell r="C21074"/>
          <cell r="D21074"/>
          <cell r="E21074"/>
        </row>
        <row r="21075">
          <cell r="A21075"/>
          <cell r="B21075"/>
          <cell r="C21075"/>
          <cell r="D21075"/>
          <cell r="E21075"/>
        </row>
        <row r="21076">
          <cell r="A21076"/>
          <cell r="B21076"/>
          <cell r="C21076"/>
          <cell r="D21076"/>
          <cell r="E21076"/>
        </row>
        <row r="21077">
          <cell r="A21077"/>
          <cell r="B21077"/>
          <cell r="C21077"/>
          <cell r="D21077"/>
          <cell r="E21077"/>
        </row>
        <row r="21078">
          <cell r="A21078"/>
          <cell r="B21078"/>
          <cell r="C21078"/>
          <cell r="D21078"/>
          <cell r="E21078"/>
        </row>
        <row r="21079">
          <cell r="A21079"/>
          <cell r="B21079"/>
          <cell r="C21079"/>
          <cell r="D21079"/>
          <cell r="E21079"/>
        </row>
        <row r="21080">
          <cell r="A21080"/>
          <cell r="B21080"/>
          <cell r="C21080"/>
          <cell r="D21080"/>
          <cell r="E21080"/>
        </row>
        <row r="21081">
          <cell r="A21081"/>
          <cell r="B21081"/>
          <cell r="C21081"/>
          <cell r="D21081"/>
          <cell r="E21081"/>
        </row>
        <row r="21082">
          <cell r="A21082"/>
          <cell r="B21082"/>
          <cell r="C21082"/>
          <cell r="D21082"/>
          <cell r="E21082"/>
        </row>
        <row r="21083">
          <cell r="A21083"/>
          <cell r="B21083"/>
          <cell r="C21083"/>
          <cell r="D21083"/>
          <cell r="E21083"/>
        </row>
        <row r="21084">
          <cell r="A21084"/>
          <cell r="B21084"/>
          <cell r="C21084"/>
          <cell r="D21084"/>
          <cell r="E21084"/>
        </row>
        <row r="21085">
          <cell r="A21085"/>
          <cell r="B21085"/>
          <cell r="C21085"/>
          <cell r="D21085"/>
          <cell r="E21085"/>
        </row>
        <row r="21086">
          <cell r="A21086"/>
          <cell r="B21086"/>
          <cell r="C21086"/>
          <cell r="D21086"/>
          <cell r="E21086"/>
        </row>
        <row r="21087">
          <cell r="A21087"/>
          <cell r="B21087"/>
          <cell r="C21087"/>
          <cell r="D21087"/>
          <cell r="E21087"/>
        </row>
        <row r="21088">
          <cell r="A21088"/>
          <cell r="B21088"/>
          <cell r="C21088"/>
          <cell r="D21088"/>
          <cell r="E21088"/>
        </row>
        <row r="21089">
          <cell r="A21089"/>
          <cell r="B21089"/>
          <cell r="C21089"/>
          <cell r="D21089"/>
          <cell r="E21089"/>
        </row>
        <row r="21090">
          <cell r="A21090"/>
          <cell r="B21090"/>
          <cell r="C21090"/>
          <cell r="D21090"/>
          <cell r="E21090"/>
        </row>
        <row r="21091">
          <cell r="A21091"/>
          <cell r="B21091"/>
          <cell r="C21091"/>
          <cell r="D21091"/>
          <cell r="E21091"/>
        </row>
        <row r="21092">
          <cell r="A21092"/>
          <cell r="B21092"/>
          <cell r="C21092"/>
          <cell r="D21092"/>
          <cell r="E21092"/>
        </row>
        <row r="21093">
          <cell r="A21093"/>
          <cell r="B21093"/>
          <cell r="C21093"/>
          <cell r="D21093"/>
          <cell r="E21093"/>
        </row>
        <row r="21094">
          <cell r="A21094"/>
          <cell r="B21094"/>
          <cell r="C21094"/>
          <cell r="D21094"/>
          <cell r="E21094"/>
        </row>
        <row r="21095">
          <cell r="A21095"/>
          <cell r="B21095"/>
          <cell r="C21095"/>
          <cell r="D21095"/>
          <cell r="E21095"/>
        </row>
        <row r="21096">
          <cell r="A21096"/>
          <cell r="B21096"/>
          <cell r="C21096"/>
          <cell r="D21096"/>
          <cell r="E21096"/>
        </row>
        <row r="21097">
          <cell r="A21097"/>
          <cell r="B21097"/>
          <cell r="C21097"/>
          <cell r="D21097"/>
          <cell r="E21097"/>
        </row>
        <row r="21098">
          <cell r="A21098"/>
          <cell r="B21098"/>
          <cell r="C21098"/>
          <cell r="D21098"/>
          <cell r="E21098"/>
        </row>
        <row r="21099">
          <cell r="A21099"/>
          <cell r="B21099"/>
          <cell r="C21099"/>
          <cell r="D21099"/>
          <cell r="E21099"/>
        </row>
        <row r="21100">
          <cell r="A21100"/>
          <cell r="B21100"/>
          <cell r="C21100"/>
          <cell r="D21100"/>
          <cell r="E21100"/>
        </row>
        <row r="21101">
          <cell r="A21101"/>
          <cell r="B21101"/>
          <cell r="C21101"/>
          <cell r="D21101"/>
          <cell r="E21101"/>
        </row>
        <row r="21102">
          <cell r="A21102"/>
          <cell r="B21102"/>
          <cell r="C21102"/>
          <cell r="D21102"/>
          <cell r="E21102"/>
        </row>
        <row r="21103">
          <cell r="A21103"/>
          <cell r="B21103"/>
          <cell r="C21103"/>
          <cell r="D21103"/>
          <cell r="E21103"/>
        </row>
        <row r="21104">
          <cell r="A21104"/>
          <cell r="B21104"/>
          <cell r="C21104"/>
          <cell r="D21104"/>
          <cell r="E21104"/>
        </row>
        <row r="21105">
          <cell r="A21105"/>
          <cell r="B21105"/>
          <cell r="C21105"/>
          <cell r="D21105"/>
          <cell r="E21105"/>
        </row>
        <row r="21106">
          <cell r="A21106"/>
          <cell r="B21106"/>
          <cell r="C21106"/>
          <cell r="D21106"/>
          <cell r="E21106"/>
        </row>
        <row r="21107">
          <cell r="A21107"/>
          <cell r="B21107"/>
          <cell r="C21107"/>
          <cell r="D21107"/>
          <cell r="E21107"/>
        </row>
        <row r="21108">
          <cell r="A21108"/>
          <cell r="B21108"/>
          <cell r="C21108"/>
          <cell r="D21108"/>
          <cell r="E21108"/>
        </row>
        <row r="21109">
          <cell r="A21109"/>
          <cell r="B21109"/>
          <cell r="C21109"/>
          <cell r="D21109"/>
          <cell r="E21109"/>
        </row>
        <row r="21110">
          <cell r="A21110"/>
          <cell r="B21110"/>
          <cell r="C21110"/>
          <cell r="D21110"/>
          <cell r="E21110"/>
        </row>
        <row r="21111">
          <cell r="A21111"/>
          <cell r="B21111"/>
          <cell r="C21111"/>
          <cell r="D21111"/>
          <cell r="E21111"/>
        </row>
        <row r="21112">
          <cell r="A21112"/>
          <cell r="B21112"/>
          <cell r="C21112"/>
          <cell r="D21112"/>
          <cell r="E21112"/>
        </row>
        <row r="21113">
          <cell r="A21113"/>
          <cell r="B21113"/>
          <cell r="C21113"/>
          <cell r="D21113"/>
          <cell r="E21113"/>
        </row>
        <row r="21114">
          <cell r="A21114"/>
          <cell r="B21114"/>
          <cell r="C21114"/>
          <cell r="D21114"/>
          <cell r="E21114"/>
        </row>
        <row r="21115">
          <cell r="A21115"/>
          <cell r="B21115"/>
          <cell r="C21115"/>
          <cell r="D21115"/>
          <cell r="E21115"/>
        </row>
        <row r="21116">
          <cell r="A21116"/>
          <cell r="B21116"/>
          <cell r="C21116"/>
          <cell r="D21116"/>
          <cell r="E21116"/>
        </row>
        <row r="21117">
          <cell r="A21117"/>
          <cell r="B21117"/>
          <cell r="C21117"/>
          <cell r="D21117"/>
          <cell r="E21117"/>
        </row>
        <row r="21118">
          <cell r="A21118"/>
          <cell r="B21118"/>
          <cell r="C21118"/>
          <cell r="D21118"/>
          <cell r="E21118"/>
        </row>
        <row r="21119">
          <cell r="A21119"/>
          <cell r="B21119"/>
          <cell r="C21119"/>
          <cell r="D21119"/>
          <cell r="E21119"/>
        </row>
        <row r="21120">
          <cell r="A21120"/>
          <cell r="B21120"/>
          <cell r="C21120"/>
          <cell r="D21120"/>
          <cell r="E21120"/>
        </row>
        <row r="21121">
          <cell r="A21121"/>
          <cell r="B21121"/>
          <cell r="C21121"/>
          <cell r="D21121"/>
          <cell r="E21121"/>
        </row>
        <row r="21122">
          <cell r="A21122"/>
          <cell r="B21122"/>
          <cell r="C21122"/>
          <cell r="D21122"/>
          <cell r="E21122"/>
        </row>
        <row r="21123">
          <cell r="A21123"/>
          <cell r="B21123"/>
          <cell r="C21123"/>
          <cell r="D21123"/>
          <cell r="E21123"/>
        </row>
        <row r="21124">
          <cell r="A21124"/>
          <cell r="B21124"/>
          <cell r="C21124"/>
          <cell r="D21124"/>
          <cell r="E21124"/>
        </row>
        <row r="21125">
          <cell r="A21125"/>
          <cell r="B21125"/>
          <cell r="C21125"/>
          <cell r="D21125"/>
          <cell r="E21125"/>
        </row>
        <row r="21126">
          <cell r="A21126"/>
          <cell r="B21126"/>
          <cell r="C21126"/>
          <cell r="D21126"/>
          <cell r="E21126"/>
        </row>
        <row r="21127">
          <cell r="A21127"/>
          <cell r="B21127"/>
          <cell r="C21127"/>
          <cell r="D21127"/>
          <cell r="E21127"/>
        </row>
        <row r="21128">
          <cell r="A21128"/>
          <cell r="B21128"/>
          <cell r="C21128"/>
          <cell r="D21128"/>
          <cell r="E21128"/>
        </row>
        <row r="21129">
          <cell r="A21129"/>
          <cell r="B21129"/>
          <cell r="C21129"/>
          <cell r="D21129"/>
          <cell r="E21129"/>
        </row>
        <row r="21130">
          <cell r="A21130"/>
          <cell r="B21130"/>
          <cell r="C21130"/>
          <cell r="D21130"/>
          <cell r="E21130"/>
        </row>
        <row r="21131">
          <cell r="A21131"/>
          <cell r="B21131"/>
          <cell r="C21131"/>
          <cell r="D21131"/>
          <cell r="E21131"/>
        </row>
        <row r="21132">
          <cell r="A21132"/>
          <cell r="B21132"/>
          <cell r="C21132"/>
          <cell r="D21132"/>
          <cell r="E21132"/>
        </row>
        <row r="21133">
          <cell r="A21133"/>
          <cell r="B21133"/>
          <cell r="C21133"/>
          <cell r="D21133"/>
          <cell r="E21133"/>
        </row>
        <row r="21134">
          <cell r="A21134"/>
          <cell r="B21134"/>
          <cell r="C21134"/>
          <cell r="D21134"/>
          <cell r="E21134"/>
        </row>
        <row r="21135">
          <cell r="A21135"/>
          <cell r="B21135"/>
          <cell r="C21135"/>
          <cell r="D21135"/>
          <cell r="E21135"/>
        </row>
        <row r="21136">
          <cell r="A21136"/>
          <cell r="B21136"/>
          <cell r="C21136"/>
          <cell r="D21136"/>
          <cell r="E21136"/>
        </row>
        <row r="21137">
          <cell r="A21137"/>
          <cell r="B21137"/>
          <cell r="C21137"/>
          <cell r="D21137"/>
          <cell r="E21137"/>
        </row>
        <row r="21138">
          <cell r="A21138"/>
          <cell r="B21138"/>
          <cell r="C21138"/>
          <cell r="D21138"/>
          <cell r="E21138"/>
        </row>
        <row r="21139">
          <cell r="A21139"/>
          <cell r="B21139"/>
          <cell r="C21139"/>
          <cell r="D21139"/>
          <cell r="E21139"/>
        </row>
        <row r="21140">
          <cell r="A21140"/>
          <cell r="B21140"/>
          <cell r="C21140"/>
          <cell r="D21140"/>
          <cell r="E21140"/>
        </row>
        <row r="21141">
          <cell r="A21141"/>
          <cell r="B21141"/>
          <cell r="C21141"/>
          <cell r="D21141"/>
          <cell r="E21141"/>
        </row>
        <row r="21142">
          <cell r="A21142"/>
          <cell r="B21142"/>
          <cell r="C21142"/>
          <cell r="D21142"/>
          <cell r="E21142"/>
        </row>
        <row r="21143">
          <cell r="A21143"/>
          <cell r="B21143"/>
          <cell r="C21143"/>
          <cell r="D21143"/>
          <cell r="E21143"/>
        </row>
        <row r="21144">
          <cell r="A21144"/>
          <cell r="B21144"/>
          <cell r="C21144"/>
          <cell r="D21144"/>
          <cell r="E21144"/>
        </row>
        <row r="21145">
          <cell r="A21145"/>
          <cell r="B21145"/>
          <cell r="C21145"/>
          <cell r="D21145"/>
          <cell r="E21145"/>
        </row>
        <row r="21146">
          <cell r="A21146"/>
          <cell r="B21146"/>
          <cell r="C21146"/>
          <cell r="D21146"/>
          <cell r="E21146"/>
        </row>
        <row r="21147">
          <cell r="A21147"/>
          <cell r="B21147"/>
          <cell r="C21147"/>
          <cell r="D21147"/>
          <cell r="E21147"/>
        </row>
        <row r="21148">
          <cell r="A21148"/>
          <cell r="B21148"/>
          <cell r="C21148"/>
          <cell r="D21148"/>
          <cell r="E21148"/>
        </row>
        <row r="21149">
          <cell r="A21149"/>
          <cell r="B21149"/>
          <cell r="C21149"/>
          <cell r="D21149"/>
          <cell r="E21149"/>
        </row>
        <row r="21150">
          <cell r="A21150"/>
          <cell r="B21150"/>
          <cell r="C21150"/>
          <cell r="D21150"/>
          <cell r="E21150"/>
        </row>
        <row r="21151">
          <cell r="A21151"/>
          <cell r="B21151"/>
          <cell r="C21151"/>
          <cell r="D21151"/>
          <cell r="E21151"/>
        </row>
        <row r="21152">
          <cell r="A21152"/>
          <cell r="B21152"/>
          <cell r="C21152"/>
          <cell r="D21152"/>
          <cell r="E21152"/>
        </row>
        <row r="21153">
          <cell r="A21153"/>
          <cell r="B21153"/>
          <cell r="C21153"/>
          <cell r="D21153"/>
          <cell r="E21153"/>
        </row>
        <row r="21154">
          <cell r="A21154"/>
          <cell r="B21154"/>
          <cell r="C21154"/>
          <cell r="D21154"/>
          <cell r="E21154"/>
        </row>
        <row r="21155">
          <cell r="A21155"/>
          <cell r="B21155"/>
          <cell r="C21155"/>
          <cell r="D21155"/>
          <cell r="E21155"/>
        </row>
        <row r="21156">
          <cell r="A21156"/>
          <cell r="B21156"/>
          <cell r="C21156"/>
          <cell r="D21156"/>
          <cell r="E21156"/>
        </row>
        <row r="21157">
          <cell r="A21157"/>
          <cell r="B21157"/>
          <cell r="C21157"/>
          <cell r="D21157"/>
          <cell r="E21157"/>
        </row>
        <row r="21158">
          <cell r="A21158"/>
          <cell r="B21158"/>
          <cell r="C21158"/>
          <cell r="D21158"/>
          <cell r="E21158"/>
        </row>
        <row r="21159">
          <cell r="A21159"/>
          <cell r="B21159"/>
          <cell r="C21159"/>
          <cell r="D21159"/>
          <cell r="E21159"/>
        </row>
        <row r="21160">
          <cell r="A21160"/>
          <cell r="B21160"/>
          <cell r="C21160"/>
          <cell r="D21160"/>
          <cell r="E21160"/>
        </row>
        <row r="21161">
          <cell r="A21161"/>
          <cell r="B21161"/>
          <cell r="C21161"/>
          <cell r="D21161"/>
          <cell r="E21161"/>
        </row>
        <row r="21162">
          <cell r="A21162"/>
          <cell r="B21162"/>
          <cell r="C21162"/>
          <cell r="D21162"/>
          <cell r="E21162"/>
        </row>
        <row r="21163">
          <cell r="A21163"/>
          <cell r="B21163"/>
          <cell r="C21163"/>
          <cell r="D21163"/>
          <cell r="E21163"/>
        </row>
        <row r="21164">
          <cell r="A21164"/>
          <cell r="B21164"/>
          <cell r="C21164"/>
          <cell r="D21164"/>
          <cell r="E21164"/>
        </row>
        <row r="21165">
          <cell r="A21165"/>
          <cell r="B21165"/>
          <cell r="C21165"/>
          <cell r="D21165"/>
          <cell r="E21165"/>
        </row>
        <row r="21166">
          <cell r="A21166"/>
          <cell r="B21166"/>
          <cell r="C21166"/>
          <cell r="D21166"/>
          <cell r="E21166"/>
        </row>
        <row r="21167">
          <cell r="A21167"/>
          <cell r="B21167"/>
          <cell r="C21167"/>
          <cell r="D21167"/>
          <cell r="E21167"/>
        </row>
        <row r="21168">
          <cell r="A21168"/>
          <cell r="B21168"/>
          <cell r="C21168"/>
          <cell r="D21168"/>
          <cell r="E21168"/>
        </row>
        <row r="21169">
          <cell r="A21169"/>
          <cell r="B21169"/>
          <cell r="C21169"/>
          <cell r="D21169"/>
          <cell r="E21169"/>
        </row>
        <row r="21170">
          <cell r="A21170"/>
          <cell r="B21170"/>
          <cell r="C21170"/>
          <cell r="D21170"/>
          <cell r="E21170"/>
        </row>
        <row r="21171">
          <cell r="A21171"/>
          <cell r="B21171"/>
          <cell r="C21171"/>
          <cell r="D21171"/>
          <cell r="E21171"/>
        </row>
        <row r="21172">
          <cell r="A21172"/>
          <cell r="B21172"/>
          <cell r="C21172"/>
          <cell r="D21172"/>
          <cell r="E21172"/>
        </row>
        <row r="21173">
          <cell r="A21173"/>
          <cell r="B21173"/>
          <cell r="C21173"/>
          <cell r="D21173"/>
          <cell r="E21173"/>
        </row>
        <row r="21174">
          <cell r="A21174"/>
          <cell r="B21174"/>
          <cell r="C21174"/>
          <cell r="D21174"/>
          <cell r="E21174"/>
        </row>
        <row r="21175">
          <cell r="A21175"/>
          <cell r="B21175"/>
          <cell r="C21175"/>
          <cell r="D21175"/>
          <cell r="E21175"/>
        </row>
        <row r="21176">
          <cell r="A21176"/>
          <cell r="B21176"/>
          <cell r="C21176"/>
          <cell r="D21176"/>
          <cell r="E21176"/>
        </row>
        <row r="21177">
          <cell r="A21177"/>
          <cell r="B21177"/>
          <cell r="C21177"/>
          <cell r="D21177"/>
          <cell r="E21177"/>
        </row>
        <row r="21178">
          <cell r="A21178"/>
          <cell r="B21178"/>
          <cell r="C21178"/>
          <cell r="D21178"/>
          <cell r="E21178"/>
        </row>
        <row r="21179">
          <cell r="A21179"/>
          <cell r="B21179"/>
          <cell r="C21179"/>
          <cell r="D21179"/>
          <cell r="E21179"/>
        </row>
        <row r="21180">
          <cell r="A21180"/>
          <cell r="B21180"/>
          <cell r="C21180"/>
          <cell r="D21180"/>
          <cell r="E21180"/>
        </row>
        <row r="21181">
          <cell r="A21181"/>
          <cell r="B21181"/>
          <cell r="C21181"/>
          <cell r="D21181"/>
          <cell r="E21181"/>
        </row>
        <row r="21182">
          <cell r="A21182"/>
          <cell r="B21182"/>
          <cell r="C21182"/>
          <cell r="D21182"/>
          <cell r="E21182"/>
        </row>
        <row r="21183">
          <cell r="A21183"/>
          <cell r="B21183"/>
          <cell r="C21183"/>
          <cell r="D21183"/>
          <cell r="E21183"/>
        </row>
        <row r="21184">
          <cell r="A21184"/>
          <cell r="B21184"/>
          <cell r="C21184"/>
          <cell r="D21184"/>
          <cell r="E21184"/>
        </row>
        <row r="21185">
          <cell r="A21185"/>
          <cell r="B21185"/>
          <cell r="C21185"/>
          <cell r="D21185"/>
          <cell r="E21185"/>
        </row>
        <row r="21186">
          <cell r="A21186"/>
          <cell r="B21186"/>
          <cell r="C21186"/>
          <cell r="D21186"/>
          <cell r="E21186"/>
        </row>
        <row r="21187">
          <cell r="A21187"/>
          <cell r="B21187"/>
          <cell r="C21187"/>
          <cell r="D21187"/>
          <cell r="E21187"/>
        </row>
        <row r="21188">
          <cell r="A21188"/>
          <cell r="B21188"/>
          <cell r="C21188"/>
          <cell r="D21188"/>
          <cell r="E21188"/>
        </row>
        <row r="21189">
          <cell r="A21189"/>
          <cell r="B21189"/>
          <cell r="C21189"/>
          <cell r="D21189"/>
          <cell r="E21189"/>
        </row>
        <row r="21190">
          <cell r="A21190"/>
          <cell r="B21190"/>
          <cell r="C21190"/>
          <cell r="D21190"/>
          <cell r="E21190"/>
        </row>
        <row r="21191">
          <cell r="A21191"/>
          <cell r="B21191"/>
          <cell r="C21191"/>
          <cell r="D21191"/>
          <cell r="E21191"/>
        </row>
        <row r="21192">
          <cell r="A21192"/>
          <cell r="B21192"/>
          <cell r="C21192"/>
          <cell r="D21192"/>
          <cell r="E21192"/>
        </row>
        <row r="21193">
          <cell r="A21193"/>
          <cell r="B21193"/>
          <cell r="C21193"/>
          <cell r="D21193"/>
          <cell r="E21193"/>
        </row>
        <row r="21194">
          <cell r="A21194"/>
          <cell r="B21194"/>
          <cell r="C21194"/>
          <cell r="D21194"/>
          <cell r="E21194"/>
        </row>
        <row r="21195">
          <cell r="A21195"/>
          <cell r="B21195"/>
          <cell r="C21195"/>
          <cell r="D21195"/>
          <cell r="E21195"/>
        </row>
        <row r="21196">
          <cell r="A21196"/>
          <cell r="B21196"/>
          <cell r="C21196"/>
          <cell r="D21196"/>
          <cell r="E21196"/>
        </row>
        <row r="21197">
          <cell r="A21197"/>
          <cell r="B21197"/>
          <cell r="C21197"/>
          <cell r="D21197"/>
          <cell r="E21197"/>
        </row>
        <row r="21198">
          <cell r="A21198"/>
          <cell r="B21198"/>
          <cell r="C21198"/>
          <cell r="D21198"/>
          <cell r="E21198"/>
        </row>
        <row r="21199">
          <cell r="A21199"/>
          <cell r="B21199"/>
          <cell r="C21199"/>
          <cell r="D21199"/>
          <cell r="E21199"/>
        </row>
        <row r="21200">
          <cell r="A21200"/>
          <cell r="B21200"/>
          <cell r="C21200"/>
          <cell r="D21200"/>
          <cell r="E21200"/>
        </row>
        <row r="21201">
          <cell r="A21201"/>
          <cell r="B21201"/>
          <cell r="C21201"/>
          <cell r="D21201"/>
          <cell r="E21201"/>
        </row>
        <row r="21202">
          <cell r="A21202"/>
          <cell r="B21202"/>
          <cell r="C21202"/>
          <cell r="D21202"/>
          <cell r="E21202"/>
        </row>
        <row r="21203">
          <cell r="A21203"/>
          <cell r="B21203"/>
          <cell r="C21203"/>
          <cell r="D21203"/>
          <cell r="E21203"/>
        </row>
        <row r="21204">
          <cell r="A21204"/>
          <cell r="B21204"/>
          <cell r="C21204"/>
          <cell r="D21204"/>
          <cell r="E21204"/>
        </row>
        <row r="21205">
          <cell r="A21205"/>
          <cell r="B21205"/>
          <cell r="C21205"/>
          <cell r="D21205"/>
          <cell r="E21205"/>
        </row>
        <row r="21206">
          <cell r="A21206"/>
          <cell r="B21206"/>
          <cell r="C21206"/>
          <cell r="D21206"/>
          <cell r="E21206"/>
        </row>
        <row r="21207">
          <cell r="A21207"/>
          <cell r="B21207"/>
          <cell r="C21207"/>
          <cell r="D21207"/>
          <cell r="E21207"/>
        </row>
        <row r="21208">
          <cell r="A21208"/>
          <cell r="B21208"/>
          <cell r="C21208"/>
          <cell r="D21208"/>
          <cell r="E21208"/>
        </row>
        <row r="21209">
          <cell r="A21209"/>
          <cell r="B21209"/>
          <cell r="C21209"/>
          <cell r="D21209"/>
          <cell r="E21209"/>
        </row>
        <row r="21210">
          <cell r="A21210"/>
          <cell r="B21210"/>
          <cell r="C21210"/>
          <cell r="D21210"/>
          <cell r="E21210"/>
        </row>
        <row r="21211">
          <cell r="A21211"/>
          <cell r="B21211"/>
          <cell r="C21211"/>
          <cell r="D21211"/>
          <cell r="E21211"/>
        </row>
        <row r="21212">
          <cell r="A21212"/>
          <cell r="B21212"/>
          <cell r="C21212"/>
          <cell r="D21212"/>
          <cell r="E21212"/>
        </row>
        <row r="21213">
          <cell r="A21213"/>
          <cell r="B21213"/>
          <cell r="C21213"/>
          <cell r="D21213"/>
          <cell r="E21213"/>
        </row>
        <row r="21214">
          <cell r="A21214"/>
          <cell r="B21214"/>
          <cell r="C21214"/>
          <cell r="D21214"/>
          <cell r="E21214"/>
        </row>
        <row r="21215">
          <cell r="A21215"/>
          <cell r="B21215"/>
          <cell r="C21215"/>
          <cell r="D21215"/>
          <cell r="E21215"/>
        </row>
        <row r="21216">
          <cell r="A21216"/>
          <cell r="B21216"/>
          <cell r="C21216"/>
          <cell r="D21216"/>
          <cell r="E21216"/>
        </row>
        <row r="21217">
          <cell r="A21217"/>
          <cell r="B21217"/>
          <cell r="C21217"/>
          <cell r="D21217"/>
          <cell r="E21217"/>
        </row>
        <row r="21218">
          <cell r="A21218"/>
          <cell r="B21218"/>
          <cell r="C21218"/>
          <cell r="D21218"/>
          <cell r="E21218"/>
        </row>
        <row r="21219">
          <cell r="A21219"/>
          <cell r="B21219"/>
          <cell r="C21219"/>
          <cell r="D21219"/>
          <cell r="E21219"/>
        </row>
        <row r="21220">
          <cell r="A21220"/>
          <cell r="B21220"/>
          <cell r="C21220"/>
          <cell r="D21220"/>
          <cell r="E21220"/>
        </row>
        <row r="21221">
          <cell r="A21221"/>
          <cell r="B21221"/>
          <cell r="C21221"/>
          <cell r="D21221"/>
          <cell r="E21221"/>
        </row>
        <row r="21222">
          <cell r="A21222"/>
          <cell r="B21222"/>
          <cell r="C21222"/>
          <cell r="D21222"/>
          <cell r="E21222"/>
        </row>
        <row r="21223">
          <cell r="A21223"/>
          <cell r="B21223"/>
          <cell r="C21223"/>
          <cell r="D21223"/>
          <cell r="E21223"/>
        </row>
        <row r="21224">
          <cell r="A21224"/>
          <cell r="B21224"/>
          <cell r="C21224"/>
          <cell r="D21224"/>
          <cell r="E21224"/>
        </row>
        <row r="21225">
          <cell r="A21225"/>
          <cell r="B21225"/>
          <cell r="C21225"/>
          <cell r="D21225"/>
          <cell r="E21225"/>
        </row>
        <row r="21226">
          <cell r="A21226"/>
          <cell r="B21226"/>
          <cell r="C21226"/>
          <cell r="D21226"/>
          <cell r="E21226"/>
        </row>
        <row r="21227">
          <cell r="A21227"/>
          <cell r="B21227"/>
          <cell r="C21227"/>
          <cell r="D21227"/>
          <cell r="E21227"/>
        </row>
        <row r="21228">
          <cell r="A21228"/>
          <cell r="B21228"/>
          <cell r="C21228"/>
          <cell r="D21228"/>
          <cell r="E21228"/>
        </row>
        <row r="21229">
          <cell r="A21229"/>
          <cell r="B21229"/>
          <cell r="C21229"/>
          <cell r="D21229"/>
          <cell r="E21229"/>
        </row>
        <row r="21230">
          <cell r="A21230"/>
          <cell r="B21230"/>
          <cell r="C21230"/>
          <cell r="D21230"/>
          <cell r="E21230"/>
        </row>
        <row r="21231">
          <cell r="A21231"/>
          <cell r="B21231"/>
          <cell r="C21231"/>
          <cell r="D21231"/>
          <cell r="E21231"/>
        </row>
        <row r="21232">
          <cell r="A21232"/>
          <cell r="B21232"/>
          <cell r="C21232"/>
          <cell r="D21232"/>
          <cell r="E21232"/>
        </row>
        <row r="21233">
          <cell r="A21233"/>
          <cell r="B21233"/>
          <cell r="C21233"/>
          <cell r="D21233"/>
          <cell r="E21233"/>
        </row>
        <row r="21234">
          <cell r="A21234"/>
          <cell r="B21234"/>
          <cell r="C21234"/>
          <cell r="D21234"/>
          <cell r="E21234"/>
        </row>
        <row r="21235">
          <cell r="A21235"/>
          <cell r="B21235"/>
          <cell r="C21235"/>
          <cell r="D21235"/>
          <cell r="E21235"/>
        </row>
        <row r="21236">
          <cell r="A21236"/>
          <cell r="B21236"/>
          <cell r="C21236"/>
          <cell r="D21236"/>
          <cell r="E21236"/>
        </row>
        <row r="21237">
          <cell r="A21237"/>
          <cell r="B21237"/>
          <cell r="C21237"/>
          <cell r="D21237"/>
          <cell r="E21237"/>
        </row>
        <row r="21238">
          <cell r="A21238"/>
          <cell r="B21238"/>
          <cell r="C21238"/>
          <cell r="D21238"/>
          <cell r="E21238"/>
        </row>
        <row r="21239">
          <cell r="A21239"/>
          <cell r="B21239"/>
          <cell r="C21239"/>
          <cell r="D21239"/>
          <cell r="E21239"/>
        </row>
        <row r="21240">
          <cell r="A21240"/>
          <cell r="B21240"/>
          <cell r="C21240"/>
          <cell r="D21240"/>
          <cell r="E21240"/>
        </row>
        <row r="21241">
          <cell r="A21241"/>
          <cell r="B21241"/>
          <cell r="C21241"/>
          <cell r="D21241"/>
          <cell r="E21241"/>
        </row>
        <row r="21242">
          <cell r="A21242"/>
          <cell r="B21242"/>
          <cell r="C21242"/>
          <cell r="D21242"/>
          <cell r="E21242"/>
        </row>
        <row r="21243">
          <cell r="A21243"/>
          <cell r="B21243"/>
          <cell r="C21243"/>
          <cell r="D21243"/>
          <cell r="E21243"/>
        </row>
        <row r="21244">
          <cell r="A21244"/>
          <cell r="B21244"/>
          <cell r="C21244"/>
          <cell r="D21244"/>
          <cell r="E21244"/>
        </row>
        <row r="21245">
          <cell r="A21245"/>
          <cell r="B21245"/>
          <cell r="C21245"/>
          <cell r="D21245"/>
          <cell r="E21245"/>
        </row>
        <row r="21246">
          <cell r="A21246"/>
          <cell r="B21246"/>
          <cell r="C21246"/>
          <cell r="D21246"/>
          <cell r="E21246"/>
        </row>
        <row r="21247">
          <cell r="A21247"/>
          <cell r="B21247"/>
          <cell r="C21247"/>
          <cell r="D21247"/>
          <cell r="E21247"/>
        </row>
        <row r="21248">
          <cell r="A21248"/>
          <cell r="B21248"/>
          <cell r="C21248"/>
          <cell r="D21248"/>
          <cell r="E21248"/>
        </row>
        <row r="21249">
          <cell r="A21249"/>
          <cell r="B21249"/>
          <cell r="C21249"/>
          <cell r="D21249"/>
          <cell r="E21249"/>
        </row>
        <row r="21250">
          <cell r="A21250"/>
          <cell r="B21250"/>
          <cell r="C21250"/>
          <cell r="D21250"/>
          <cell r="E21250"/>
        </row>
        <row r="21251">
          <cell r="A21251"/>
          <cell r="B21251"/>
          <cell r="C21251"/>
          <cell r="D21251"/>
          <cell r="E21251"/>
        </row>
        <row r="21252">
          <cell r="A21252"/>
          <cell r="B21252"/>
          <cell r="C21252"/>
          <cell r="D21252"/>
          <cell r="E21252"/>
        </row>
        <row r="21253">
          <cell r="A21253"/>
          <cell r="B21253"/>
          <cell r="C21253"/>
          <cell r="D21253"/>
          <cell r="E21253"/>
        </row>
        <row r="21254">
          <cell r="A21254"/>
          <cell r="B21254"/>
          <cell r="C21254"/>
          <cell r="D21254"/>
          <cell r="E21254"/>
        </row>
        <row r="21255">
          <cell r="A21255"/>
          <cell r="B21255"/>
          <cell r="C21255"/>
          <cell r="D21255"/>
          <cell r="E21255"/>
        </row>
        <row r="21256">
          <cell r="A21256"/>
          <cell r="B21256"/>
          <cell r="C21256"/>
          <cell r="D21256"/>
          <cell r="E21256"/>
        </row>
        <row r="21257">
          <cell r="A21257"/>
          <cell r="B21257"/>
          <cell r="C21257"/>
          <cell r="D21257"/>
          <cell r="E21257"/>
        </row>
        <row r="21258">
          <cell r="A21258"/>
          <cell r="B21258"/>
          <cell r="C21258"/>
          <cell r="D21258"/>
          <cell r="E21258"/>
        </row>
        <row r="21259">
          <cell r="A21259"/>
          <cell r="B21259"/>
          <cell r="C21259"/>
          <cell r="D21259"/>
          <cell r="E21259"/>
        </row>
        <row r="21260">
          <cell r="A21260"/>
          <cell r="B21260"/>
          <cell r="C21260"/>
          <cell r="D21260"/>
          <cell r="E21260"/>
        </row>
        <row r="21261">
          <cell r="A21261"/>
          <cell r="B21261"/>
          <cell r="C21261"/>
          <cell r="D21261"/>
          <cell r="E21261"/>
        </row>
        <row r="21262">
          <cell r="A21262"/>
          <cell r="B21262"/>
          <cell r="C21262"/>
          <cell r="D21262"/>
          <cell r="E21262"/>
        </row>
        <row r="21263">
          <cell r="A21263"/>
          <cell r="B21263"/>
          <cell r="C21263"/>
          <cell r="D21263"/>
          <cell r="E21263"/>
        </row>
        <row r="21264">
          <cell r="A21264"/>
          <cell r="B21264"/>
          <cell r="C21264"/>
          <cell r="D21264"/>
          <cell r="E21264"/>
        </row>
        <row r="21265">
          <cell r="A21265"/>
          <cell r="B21265"/>
          <cell r="C21265"/>
          <cell r="D21265"/>
          <cell r="E21265"/>
        </row>
        <row r="21266">
          <cell r="A21266"/>
          <cell r="B21266"/>
          <cell r="C21266"/>
          <cell r="D21266"/>
          <cell r="E21266"/>
        </row>
        <row r="21267">
          <cell r="A21267"/>
          <cell r="B21267"/>
          <cell r="C21267"/>
          <cell r="D21267"/>
          <cell r="E21267"/>
        </row>
        <row r="21268">
          <cell r="A21268"/>
          <cell r="B21268"/>
          <cell r="C21268"/>
          <cell r="D21268"/>
          <cell r="E21268"/>
        </row>
        <row r="21269">
          <cell r="A21269"/>
          <cell r="B21269"/>
          <cell r="C21269"/>
          <cell r="D21269"/>
          <cell r="E21269"/>
        </row>
        <row r="21270">
          <cell r="A21270"/>
          <cell r="B21270"/>
          <cell r="C21270"/>
          <cell r="D21270"/>
          <cell r="E21270"/>
        </row>
        <row r="21271">
          <cell r="A21271"/>
          <cell r="B21271"/>
          <cell r="C21271"/>
          <cell r="D21271"/>
          <cell r="E21271"/>
        </row>
        <row r="21272">
          <cell r="A21272"/>
          <cell r="B21272"/>
          <cell r="C21272"/>
          <cell r="D21272"/>
          <cell r="E21272"/>
        </row>
        <row r="21273">
          <cell r="A21273"/>
          <cell r="B21273"/>
          <cell r="C21273"/>
          <cell r="D21273"/>
          <cell r="E21273"/>
        </row>
        <row r="21274">
          <cell r="A21274"/>
          <cell r="B21274"/>
          <cell r="C21274"/>
          <cell r="D21274"/>
          <cell r="E21274"/>
        </row>
        <row r="21275">
          <cell r="A21275"/>
          <cell r="B21275"/>
          <cell r="C21275"/>
          <cell r="D21275"/>
          <cell r="E21275"/>
        </row>
        <row r="21276">
          <cell r="A21276"/>
          <cell r="B21276"/>
          <cell r="C21276"/>
          <cell r="D21276"/>
          <cell r="E21276"/>
        </row>
        <row r="21277">
          <cell r="A21277"/>
          <cell r="B21277"/>
          <cell r="C21277"/>
          <cell r="D21277"/>
          <cell r="E21277"/>
        </row>
        <row r="21278">
          <cell r="A21278"/>
          <cell r="B21278"/>
          <cell r="C21278"/>
          <cell r="D21278"/>
          <cell r="E21278"/>
        </row>
        <row r="21279">
          <cell r="A21279"/>
          <cell r="B21279"/>
          <cell r="C21279"/>
          <cell r="D21279"/>
          <cell r="E21279"/>
        </row>
        <row r="21280">
          <cell r="A21280"/>
          <cell r="B21280"/>
          <cell r="C21280"/>
          <cell r="D21280"/>
          <cell r="E21280"/>
        </row>
        <row r="21281">
          <cell r="A21281"/>
          <cell r="B21281"/>
          <cell r="C21281"/>
          <cell r="D21281"/>
          <cell r="E21281"/>
        </row>
        <row r="21282">
          <cell r="A21282"/>
          <cell r="B21282"/>
          <cell r="C21282"/>
          <cell r="D21282"/>
          <cell r="E21282"/>
        </row>
        <row r="21283">
          <cell r="A21283"/>
          <cell r="B21283"/>
          <cell r="C21283"/>
          <cell r="D21283"/>
          <cell r="E21283"/>
        </row>
        <row r="21284">
          <cell r="A21284"/>
          <cell r="B21284"/>
          <cell r="C21284"/>
          <cell r="D21284"/>
          <cell r="E21284"/>
        </row>
        <row r="21285">
          <cell r="A21285"/>
          <cell r="B21285"/>
          <cell r="C21285"/>
          <cell r="D21285"/>
          <cell r="E21285"/>
        </row>
        <row r="21286">
          <cell r="A21286"/>
          <cell r="B21286"/>
          <cell r="C21286"/>
          <cell r="D21286"/>
          <cell r="E21286"/>
        </row>
        <row r="21287">
          <cell r="A21287"/>
          <cell r="B21287"/>
          <cell r="C21287"/>
          <cell r="D21287"/>
          <cell r="E21287"/>
        </row>
        <row r="21288">
          <cell r="A21288"/>
          <cell r="B21288"/>
          <cell r="C21288"/>
          <cell r="D21288"/>
          <cell r="E21288"/>
        </row>
        <row r="21289">
          <cell r="A21289"/>
          <cell r="B21289"/>
          <cell r="C21289"/>
          <cell r="D21289"/>
          <cell r="E21289"/>
        </row>
        <row r="21290">
          <cell r="A21290"/>
          <cell r="B21290"/>
          <cell r="C21290"/>
          <cell r="D21290"/>
          <cell r="E21290"/>
        </row>
        <row r="21291">
          <cell r="A21291"/>
          <cell r="B21291"/>
          <cell r="C21291"/>
          <cell r="D21291"/>
          <cell r="E21291"/>
        </row>
        <row r="21292">
          <cell r="A21292"/>
          <cell r="B21292"/>
          <cell r="C21292"/>
          <cell r="D21292"/>
          <cell r="E21292"/>
        </row>
        <row r="21293">
          <cell r="A21293"/>
          <cell r="B21293"/>
          <cell r="C21293"/>
          <cell r="D21293"/>
          <cell r="E21293"/>
        </row>
        <row r="21294">
          <cell r="A21294"/>
          <cell r="B21294"/>
          <cell r="C21294"/>
          <cell r="D21294"/>
          <cell r="E21294"/>
        </row>
        <row r="21295">
          <cell r="A21295"/>
          <cell r="B21295"/>
          <cell r="C21295"/>
          <cell r="D21295"/>
          <cell r="E21295"/>
        </row>
        <row r="21296">
          <cell r="A21296"/>
          <cell r="B21296"/>
          <cell r="C21296"/>
          <cell r="D21296"/>
          <cell r="E21296"/>
        </row>
        <row r="21297">
          <cell r="A21297"/>
          <cell r="B21297"/>
          <cell r="C21297"/>
          <cell r="D21297"/>
          <cell r="E21297"/>
        </row>
        <row r="21298">
          <cell r="A21298"/>
          <cell r="B21298"/>
          <cell r="C21298"/>
          <cell r="D21298"/>
          <cell r="E21298"/>
        </row>
        <row r="21299">
          <cell r="A21299"/>
          <cell r="B21299"/>
          <cell r="C21299"/>
          <cell r="D21299"/>
          <cell r="E21299"/>
        </row>
        <row r="21300">
          <cell r="A21300"/>
          <cell r="B21300"/>
          <cell r="C21300"/>
          <cell r="D21300"/>
          <cell r="E21300"/>
        </row>
        <row r="21301">
          <cell r="A21301"/>
          <cell r="B21301"/>
          <cell r="C21301"/>
          <cell r="D21301"/>
          <cell r="E21301"/>
        </row>
        <row r="21302">
          <cell r="A21302"/>
          <cell r="B21302"/>
          <cell r="C21302"/>
          <cell r="D21302"/>
          <cell r="E21302"/>
        </row>
        <row r="21303">
          <cell r="A21303"/>
          <cell r="B21303"/>
          <cell r="C21303"/>
          <cell r="D21303"/>
          <cell r="E21303"/>
        </row>
        <row r="21304">
          <cell r="A21304"/>
          <cell r="B21304"/>
          <cell r="C21304"/>
          <cell r="D21304"/>
          <cell r="E21304"/>
        </row>
        <row r="21305">
          <cell r="A21305"/>
          <cell r="B21305"/>
          <cell r="C21305"/>
          <cell r="D21305"/>
          <cell r="E21305"/>
        </row>
        <row r="21306">
          <cell r="A21306"/>
          <cell r="B21306"/>
          <cell r="C21306"/>
          <cell r="D21306"/>
          <cell r="E21306"/>
        </row>
        <row r="21307">
          <cell r="A21307"/>
          <cell r="B21307"/>
          <cell r="C21307"/>
          <cell r="D21307"/>
          <cell r="E21307"/>
        </row>
        <row r="21308">
          <cell r="A21308"/>
          <cell r="B21308"/>
          <cell r="C21308"/>
          <cell r="D21308"/>
          <cell r="E21308"/>
        </row>
        <row r="21309">
          <cell r="A21309"/>
          <cell r="B21309"/>
          <cell r="C21309"/>
          <cell r="D21309"/>
          <cell r="E21309"/>
        </row>
        <row r="21310">
          <cell r="A21310"/>
          <cell r="B21310"/>
          <cell r="C21310"/>
          <cell r="D21310"/>
          <cell r="E21310"/>
        </row>
        <row r="21311">
          <cell r="A21311"/>
          <cell r="B21311"/>
          <cell r="C21311"/>
          <cell r="D21311"/>
          <cell r="E21311"/>
        </row>
        <row r="21312">
          <cell r="A21312"/>
          <cell r="B21312"/>
          <cell r="C21312"/>
          <cell r="D21312"/>
          <cell r="E21312"/>
        </row>
        <row r="21313">
          <cell r="A21313"/>
          <cell r="B21313"/>
          <cell r="C21313"/>
          <cell r="D21313"/>
          <cell r="E21313"/>
        </row>
        <row r="21314">
          <cell r="A21314"/>
          <cell r="B21314"/>
          <cell r="C21314"/>
          <cell r="D21314"/>
          <cell r="E21314"/>
        </row>
        <row r="21315">
          <cell r="A21315"/>
          <cell r="B21315"/>
          <cell r="C21315"/>
          <cell r="D21315"/>
          <cell r="E21315"/>
        </row>
        <row r="21316">
          <cell r="A21316"/>
          <cell r="B21316"/>
          <cell r="C21316"/>
          <cell r="D21316"/>
          <cell r="E21316"/>
        </row>
        <row r="21317">
          <cell r="A21317"/>
          <cell r="B21317"/>
          <cell r="C21317"/>
          <cell r="D21317"/>
          <cell r="E21317"/>
        </row>
        <row r="21318">
          <cell r="A21318"/>
          <cell r="B21318"/>
          <cell r="C21318"/>
          <cell r="D21318"/>
          <cell r="E21318"/>
        </row>
        <row r="21319">
          <cell r="A21319"/>
          <cell r="B21319"/>
          <cell r="C21319"/>
          <cell r="D21319"/>
          <cell r="E21319"/>
        </row>
        <row r="21320">
          <cell r="A21320"/>
          <cell r="B21320"/>
          <cell r="C21320"/>
          <cell r="D21320"/>
          <cell r="E21320"/>
        </row>
        <row r="21321">
          <cell r="A21321"/>
          <cell r="B21321"/>
          <cell r="C21321"/>
          <cell r="D21321"/>
          <cell r="E21321"/>
        </row>
        <row r="21322">
          <cell r="A21322"/>
          <cell r="B21322"/>
          <cell r="C21322"/>
          <cell r="D21322"/>
          <cell r="E21322"/>
        </row>
        <row r="21323">
          <cell r="A21323"/>
          <cell r="B21323"/>
          <cell r="C21323"/>
          <cell r="D21323"/>
          <cell r="E21323"/>
        </row>
        <row r="21324">
          <cell r="A21324"/>
          <cell r="B21324"/>
          <cell r="C21324"/>
          <cell r="D21324"/>
          <cell r="E21324"/>
        </row>
        <row r="21325">
          <cell r="A21325"/>
          <cell r="B21325"/>
          <cell r="C21325"/>
          <cell r="D21325"/>
          <cell r="E21325"/>
        </row>
        <row r="21326">
          <cell r="A21326"/>
          <cell r="B21326"/>
          <cell r="C21326"/>
          <cell r="D21326"/>
          <cell r="E21326"/>
        </row>
        <row r="21327">
          <cell r="A21327"/>
          <cell r="B21327"/>
          <cell r="C21327"/>
          <cell r="D21327"/>
          <cell r="E21327"/>
        </row>
        <row r="21328">
          <cell r="A21328"/>
          <cell r="B21328"/>
          <cell r="C21328"/>
          <cell r="D21328"/>
          <cell r="E21328"/>
        </row>
        <row r="21329">
          <cell r="A21329"/>
          <cell r="B21329"/>
          <cell r="C21329"/>
          <cell r="D21329"/>
          <cell r="E21329"/>
        </row>
        <row r="21330">
          <cell r="A21330"/>
          <cell r="B21330"/>
          <cell r="C21330"/>
          <cell r="D21330"/>
          <cell r="E21330"/>
        </row>
        <row r="21331">
          <cell r="A21331"/>
          <cell r="B21331"/>
          <cell r="C21331"/>
          <cell r="D21331"/>
          <cell r="E21331"/>
        </row>
        <row r="21332">
          <cell r="A21332"/>
          <cell r="B21332"/>
          <cell r="C21332"/>
          <cell r="D21332"/>
          <cell r="E21332"/>
        </row>
        <row r="21333">
          <cell r="A21333"/>
          <cell r="B21333"/>
          <cell r="C21333"/>
          <cell r="D21333"/>
          <cell r="E21333"/>
        </row>
        <row r="21334">
          <cell r="A21334"/>
          <cell r="B21334"/>
          <cell r="C21334"/>
          <cell r="D21334"/>
          <cell r="E21334"/>
        </row>
        <row r="21335">
          <cell r="A21335"/>
          <cell r="B21335"/>
          <cell r="C21335"/>
          <cell r="D21335"/>
          <cell r="E21335"/>
        </row>
        <row r="21336">
          <cell r="A21336"/>
          <cell r="B21336"/>
          <cell r="C21336"/>
          <cell r="D21336"/>
          <cell r="E21336"/>
        </row>
        <row r="21337">
          <cell r="A21337"/>
          <cell r="B21337"/>
          <cell r="C21337"/>
          <cell r="D21337"/>
          <cell r="E21337"/>
        </row>
        <row r="21338">
          <cell r="A21338"/>
          <cell r="B21338"/>
          <cell r="C21338"/>
          <cell r="D21338"/>
          <cell r="E21338"/>
        </row>
        <row r="21339">
          <cell r="A21339"/>
          <cell r="B21339"/>
          <cell r="C21339"/>
          <cell r="D21339"/>
          <cell r="E21339"/>
        </row>
        <row r="21340">
          <cell r="A21340"/>
          <cell r="B21340"/>
          <cell r="C21340"/>
          <cell r="D21340"/>
          <cell r="E21340"/>
        </row>
        <row r="21341">
          <cell r="A21341"/>
          <cell r="B21341"/>
          <cell r="C21341"/>
          <cell r="D21341"/>
          <cell r="E21341"/>
        </row>
        <row r="21342">
          <cell r="A21342"/>
          <cell r="B21342"/>
          <cell r="C21342"/>
          <cell r="D21342"/>
          <cell r="E21342"/>
        </row>
        <row r="21343">
          <cell r="A21343"/>
          <cell r="B21343"/>
          <cell r="C21343"/>
          <cell r="D21343"/>
          <cell r="E21343"/>
        </row>
        <row r="21344">
          <cell r="A21344"/>
          <cell r="B21344"/>
          <cell r="C21344"/>
          <cell r="D21344"/>
          <cell r="E21344"/>
        </row>
        <row r="21345">
          <cell r="A21345"/>
          <cell r="B21345"/>
          <cell r="C21345"/>
          <cell r="D21345"/>
          <cell r="E21345"/>
        </row>
        <row r="21346">
          <cell r="A21346"/>
          <cell r="B21346"/>
          <cell r="C21346"/>
          <cell r="D21346"/>
          <cell r="E21346"/>
        </row>
        <row r="21347">
          <cell r="A21347"/>
          <cell r="B21347"/>
          <cell r="C21347"/>
          <cell r="D21347"/>
          <cell r="E21347"/>
        </row>
        <row r="21348">
          <cell r="A21348"/>
          <cell r="B21348"/>
          <cell r="C21348"/>
          <cell r="D21348"/>
          <cell r="E21348"/>
        </row>
        <row r="21349">
          <cell r="A21349"/>
          <cell r="B21349"/>
          <cell r="C21349"/>
          <cell r="D21349"/>
          <cell r="E21349"/>
        </row>
        <row r="21350">
          <cell r="A21350"/>
          <cell r="B21350"/>
          <cell r="C21350"/>
          <cell r="D21350"/>
          <cell r="E21350"/>
        </row>
        <row r="21351">
          <cell r="A21351"/>
          <cell r="B21351"/>
          <cell r="C21351"/>
          <cell r="D21351"/>
          <cell r="E21351"/>
        </row>
        <row r="21352">
          <cell r="A21352"/>
          <cell r="B21352"/>
          <cell r="C21352"/>
          <cell r="D21352"/>
          <cell r="E21352"/>
        </row>
        <row r="21353">
          <cell r="A21353"/>
          <cell r="B21353"/>
          <cell r="C21353"/>
          <cell r="D21353"/>
          <cell r="E21353"/>
        </row>
        <row r="21354">
          <cell r="A21354"/>
          <cell r="B21354"/>
          <cell r="C21354"/>
          <cell r="D21354"/>
          <cell r="E21354"/>
        </row>
        <row r="21355">
          <cell r="A21355"/>
          <cell r="B21355"/>
          <cell r="C21355"/>
          <cell r="D21355"/>
          <cell r="E21355"/>
        </row>
        <row r="21356">
          <cell r="A21356"/>
          <cell r="B21356"/>
          <cell r="C21356"/>
          <cell r="D21356"/>
          <cell r="E21356"/>
        </row>
        <row r="21357">
          <cell r="A21357"/>
          <cell r="B21357"/>
          <cell r="C21357"/>
          <cell r="D21357"/>
          <cell r="E21357"/>
        </row>
        <row r="21358">
          <cell r="A21358"/>
          <cell r="B21358"/>
          <cell r="C21358"/>
          <cell r="D21358"/>
          <cell r="E21358"/>
        </row>
        <row r="21359">
          <cell r="A21359"/>
          <cell r="B21359"/>
          <cell r="C21359"/>
          <cell r="D21359"/>
          <cell r="E21359"/>
        </row>
        <row r="21360">
          <cell r="A21360"/>
          <cell r="B21360"/>
          <cell r="C21360"/>
          <cell r="D21360"/>
          <cell r="E21360"/>
        </row>
        <row r="21361">
          <cell r="A21361"/>
          <cell r="B21361"/>
          <cell r="C21361"/>
          <cell r="D21361"/>
          <cell r="E21361"/>
        </row>
        <row r="21362">
          <cell r="A21362"/>
          <cell r="B21362"/>
          <cell r="C21362"/>
          <cell r="D21362"/>
          <cell r="E21362"/>
        </row>
        <row r="21363">
          <cell r="A21363"/>
          <cell r="B21363"/>
          <cell r="C21363"/>
          <cell r="D21363"/>
          <cell r="E21363"/>
        </row>
        <row r="21364">
          <cell r="A21364"/>
          <cell r="B21364"/>
          <cell r="C21364"/>
          <cell r="D21364"/>
          <cell r="E21364"/>
        </row>
        <row r="21365">
          <cell r="A21365"/>
          <cell r="B21365"/>
          <cell r="C21365"/>
          <cell r="D21365"/>
          <cell r="E21365"/>
        </row>
        <row r="21366">
          <cell r="A21366"/>
          <cell r="B21366"/>
          <cell r="C21366"/>
          <cell r="D21366"/>
          <cell r="E21366"/>
        </row>
        <row r="21367">
          <cell r="A21367"/>
          <cell r="B21367"/>
          <cell r="C21367"/>
          <cell r="D21367"/>
          <cell r="E21367"/>
        </row>
        <row r="21368">
          <cell r="A21368"/>
          <cell r="B21368"/>
          <cell r="C21368"/>
          <cell r="D21368"/>
          <cell r="E21368"/>
        </row>
        <row r="21369">
          <cell r="A21369"/>
          <cell r="B21369"/>
          <cell r="C21369"/>
          <cell r="D21369"/>
          <cell r="E21369"/>
        </row>
        <row r="21370">
          <cell r="A21370"/>
          <cell r="B21370"/>
          <cell r="C21370"/>
          <cell r="D21370"/>
          <cell r="E21370"/>
        </row>
        <row r="21371">
          <cell r="A21371"/>
          <cell r="B21371"/>
          <cell r="C21371"/>
          <cell r="D21371"/>
          <cell r="E21371"/>
        </row>
        <row r="21372">
          <cell r="A21372"/>
          <cell r="B21372"/>
          <cell r="C21372"/>
          <cell r="D21372"/>
          <cell r="E21372"/>
        </row>
        <row r="21373">
          <cell r="A21373"/>
          <cell r="B21373"/>
          <cell r="C21373"/>
          <cell r="D21373"/>
          <cell r="E21373"/>
        </row>
        <row r="21374">
          <cell r="A21374"/>
          <cell r="B21374"/>
          <cell r="C21374"/>
          <cell r="D21374"/>
          <cell r="E21374"/>
        </row>
        <row r="21375">
          <cell r="A21375"/>
          <cell r="B21375"/>
          <cell r="C21375"/>
          <cell r="D21375"/>
          <cell r="E21375"/>
        </row>
        <row r="21376">
          <cell r="A21376"/>
          <cell r="B21376"/>
          <cell r="C21376"/>
          <cell r="D21376"/>
          <cell r="E21376"/>
        </row>
        <row r="21377">
          <cell r="A21377"/>
          <cell r="B21377"/>
          <cell r="C21377"/>
          <cell r="D21377"/>
          <cell r="E21377"/>
        </row>
        <row r="21378">
          <cell r="A21378"/>
          <cell r="B21378"/>
          <cell r="C21378"/>
          <cell r="D21378"/>
          <cell r="E21378"/>
        </row>
        <row r="21379">
          <cell r="A21379"/>
          <cell r="B21379"/>
          <cell r="C21379"/>
          <cell r="D21379"/>
          <cell r="E21379"/>
        </row>
        <row r="21380">
          <cell r="A21380"/>
          <cell r="B21380"/>
          <cell r="C21380"/>
          <cell r="D21380"/>
          <cell r="E21380"/>
        </row>
        <row r="21381">
          <cell r="A21381"/>
          <cell r="B21381"/>
          <cell r="C21381"/>
          <cell r="D21381"/>
          <cell r="E21381"/>
        </row>
        <row r="21382">
          <cell r="A21382"/>
          <cell r="B21382"/>
          <cell r="C21382"/>
          <cell r="D21382"/>
          <cell r="E21382"/>
        </row>
        <row r="21383">
          <cell r="A21383"/>
          <cell r="B21383"/>
          <cell r="C21383"/>
          <cell r="D21383"/>
          <cell r="E21383"/>
        </row>
        <row r="21384">
          <cell r="A21384"/>
          <cell r="B21384"/>
          <cell r="C21384"/>
          <cell r="D21384"/>
          <cell r="E21384"/>
        </row>
        <row r="21385">
          <cell r="A21385"/>
          <cell r="B21385"/>
          <cell r="C21385"/>
          <cell r="D21385"/>
          <cell r="E21385"/>
        </row>
        <row r="21386">
          <cell r="A21386"/>
          <cell r="B21386"/>
          <cell r="C21386"/>
          <cell r="D21386"/>
          <cell r="E21386"/>
        </row>
        <row r="21387">
          <cell r="A21387"/>
          <cell r="B21387"/>
          <cell r="C21387"/>
          <cell r="D21387"/>
          <cell r="E21387"/>
        </row>
        <row r="21388">
          <cell r="A21388"/>
          <cell r="B21388"/>
          <cell r="C21388"/>
          <cell r="D21388"/>
          <cell r="E21388"/>
        </row>
        <row r="21389">
          <cell r="A21389"/>
          <cell r="B21389"/>
          <cell r="C21389"/>
          <cell r="D21389"/>
          <cell r="E21389"/>
        </row>
        <row r="21390">
          <cell r="A21390"/>
          <cell r="B21390"/>
          <cell r="C21390"/>
          <cell r="D21390"/>
          <cell r="E21390"/>
        </row>
        <row r="21391">
          <cell r="A21391"/>
          <cell r="B21391"/>
          <cell r="C21391"/>
          <cell r="D21391"/>
          <cell r="E21391"/>
        </row>
        <row r="21392">
          <cell r="A21392"/>
          <cell r="B21392"/>
          <cell r="C21392"/>
          <cell r="D21392"/>
          <cell r="E21392"/>
        </row>
        <row r="21393">
          <cell r="A21393"/>
          <cell r="B21393"/>
          <cell r="C21393"/>
          <cell r="D21393"/>
          <cell r="E21393"/>
        </row>
        <row r="21394">
          <cell r="A21394"/>
          <cell r="B21394"/>
          <cell r="C21394"/>
          <cell r="D21394"/>
          <cell r="E21394"/>
        </row>
        <row r="21395">
          <cell r="A21395"/>
          <cell r="B21395"/>
          <cell r="C21395"/>
          <cell r="D21395"/>
          <cell r="E21395"/>
        </row>
        <row r="21396">
          <cell r="A21396"/>
          <cell r="B21396"/>
          <cell r="C21396"/>
          <cell r="D21396"/>
          <cell r="E21396"/>
        </row>
        <row r="21397">
          <cell r="A21397"/>
          <cell r="B21397"/>
          <cell r="C21397"/>
          <cell r="D21397"/>
          <cell r="E21397"/>
        </row>
        <row r="21398">
          <cell r="A21398"/>
          <cell r="B21398"/>
          <cell r="C21398"/>
          <cell r="D21398"/>
          <cell r="E21398"/>
        </row>
        <row r="21399">
          <cell r="A21399"/>
          <cell r="B21399"/>
          <cell r="C21399"/>
          <cell r="D21399"/>
          <cell r="E21399"/>
        </row>
        <row r="21400">
          <cell r="A21400"/>
          <cell r="B21400"/>
          <cell r="C21400"/>
          <cell r="D21400"/>
          <cell r="E21400"/>
        </row>
        <row r="21401">
          <cell r="A21401"/>
          <cell r="B21401"/>
          <cell r="C21401"/>
          <cell r="D21401"/>
          <cell r="E21401"/>
        </row>
        <row r="21402">
          <cell r="A21402"/>
          <cell r="B21402"/>
          <cell r="C21402"/>
          <cell r="D21402"/>
          <cell r="E21402"/>
        </row>
        <row r="21403">
          <cell r="A21403"/>
          <cell r="B21403"/>
          <cell r="C21403"/>
          <cell r="D21403"/>
          <cell r="E21403"/>
        </row>
        <row r="21404">
          <cell r="A21404"/>
          <cell r="B21404"/>
          <cell r="C21404"/>
          <cell r="D21404"/>
          <cell r="E21404"/>
        </row>
        <row r="21405">
          <cell r="A21405"/>
          <cell r="B21405"/>
          <cell r="C21405"/>
          <cell r="D21405"/>
          <cell r="E21405"/>
        </row>
        <row r="21406">
          <cell r="A21406"/>
          <cell r="B21406"/>
          <cell r="C21406"/>
          <cell r="D21406"/>
          <cell r="E21406"/>
        </row>
        <row r="21407">
          <cell r="A21407"/>
          <cell r="B21407"/>
          <cell r="C21407"/>
          <cell r="D21407"/>
          <cell r="E21407"/>
        </row>
        <row r="21408">
          <cell r="A21408"/>
          <cell r="B21408"/>
          <cell r="C21408"/>
          <cell r="D21408"/>
          <cell r="E21408"/>
        </row>
        <row r="21409">
          <cell r="A21409"/>
          <cell r="B21409"/>
          <cell r="C21409"/>
          <cell r="D21409"/>
          <cell r="E21409"/>
        </row>
        <row r="21410">
          <cell r="A21410"/>
          <cell r="B21410"/>
          <cell r="C21410"/>
          <cell r="D21410"/>
          <cell r="E21410"/>
        </row>
        <row r="21411">
          <cell r="A21411"/>
          <cell r="B21411"/>
          <cell r="C21411"/>
          <cell r="D21411"/>
          <cell r="E21411"/>
        </row>
        <row r="21412">
          <cell r="A21412"/>
          <cell r="B21412"/>
          <cell r="C21412"/>
          <cell r="D21412"/>
          <cell r="E21412"/>
        </row>
        <row r="21413">
          <cell r="A21413"/>
          <cell r="B21413"/>
          <cell r="C21413"/>
          <cell r="D21413"/>
          <cell r="E21413"/>
        </row>
        <row r="21414">
          <cell r="A21414"/>
          <cell r="B21414"/>
          <cell r="C21414"/>
          <cell r="D21414"/>
          <cell r="E21414"/>
        </row>
        <row r="21415">
          <cell r="A21415"/>
          <cell r="B21415"/>
          <cell r="C21415"/>
          <cell r="D21415"/>
          <cell r="E21415"/>
        </row>
        <row r="21416">
          <cell r="A21416"/>
          <cell r="B21416"/>
          <cell r="C21416"/>
          <cell r="D21416"/>
          <cell r="E21416"/>
        </row>
        <row r="21417">
          <cell r="A21417"/>
          <cell r="B21417"/>
          <cell r="C21417"/>
          <cell r="D21417"/>
          <cell r="E21417"/>
        </row>
        <row r="21418">
          <cell r="A21418"/>
          <cell r="B21418"/>
          <cell r="C21418"/>
          <cell r="D21418"/>
          <cell r="E21418"/>
        </row>
        <row r="21419">
          <cell r="A21419"/>
          <cell r="B21419"/>
          <cell r="C21419"/>
          <cell r="D21419"/>
          <cell r="E21419"/>
        </row>
        <row r="21420">
          <cell r="A21420"/>
          <cell r="B21420"/>
          <cell r="C21420"/>
          <cell r="D21420"/>
          <cell r="E21420"/>
        </row>
        <row r="21421">
          <cell r="A21421"/>
          <cell r="B21421"/>
          <cell r="C21421"/>
          <cell r="D21421"/>
          <cell r="E21421"/>
        </row>
        <row r="21422">
          <cell r="A21422"/>
          <cell r="B21422"/>
          <cell r="C21422"/>
          <cell r="D21422"/>
          <cell r="E21422"/>
        </row>
        <row r="21423">
          <cell r="A21423"/>
          <cell r="B21423"/>
          <cell r="C21423"/>
          <cell r="D21423"/>
          <cell r="E21423"/>
        </row>
        <row r="21424">
          <cell r="A21424"/>
          <cell r="B21424"/>
          <cell r="C21424"/>
          <cell r="D21424"/>
          <cell r="E21424"/>
        </row>
        <row r="21425">
          <cell r="A21425"/>
          <cell r="B21425"/>
          <cell r="C21425"/>
          <cell r="D21425"/>
          <cell r="E21425"/>
        </row>
        <row r="21426">
          <cell r="A21426"/>
          <cell r="B21426"/>
          <cell r="C21426"/>
          <cell r="D21426"/>
          <cell r="E21426"/>
        </row>
        <row r="21427">
          <cell r="A21427"/>
          <cell r="B21427"/>
          <cell r="C21427"/>
          <cell r="D21427"/>
          <cell r="E21427"/>
        </row>
        <row r="21428">
          <cell r="A21428"/>
          <cell r="B21428"/>
          <cell r="C21428"/>
          <cell r="D21428"/>
          <cell r="E21428"/>
        </row>
        <row r="21429">
          <cell r="A21429"/>
          <cell r="B21429"/>
          <cell r="C21429"/>
          <cell r="D21429"/>
          <cell r="E21429"/>
        </row>
        <row r="21430">
          <cell r="A21430"/>
          <cell r="B21430"/>
          <cell r="C21430"/>
          <cell r="D21430"/>
          <cell r="E21430"/>
        </row>
        <row r="21431">
          <cell r="A21431"/>
          <cell r="B21431"/>
          <cell r="C21431"/>
          <cell r="D21431"/>
          <cell r="E21431"/>
        </row>
        <row r="21432">
          <cell r="A21432"/>
          <cell r="B21432"/>
          <cell r="C21432"/>
          <cell r="D21432"/>
          <cell r="E21432"/>
        </row>
        <row r="21433">
          <cell r="A21433"/>
          <cell r="B21433"/>
          <cell r="C21433"/>
          <cell r="D21433"/>
          <cell r="E21433"/>
        </row>
        <row r="21434">
          <cell r="A21434"/>
          <cell r="B21434"/>
          <cell r="C21434"/>
          <cell r="D21434"/>
          <cell r="E21434"/>
        </row>
        <row r="21435">
          <cell r="A21435"/>
          <cell r="B21435"/>
          <cell r="C21435"/>
          <cell r="D21435"/>
          <cell r="E21435"/>
        </row>
        <row r="21436">
          <cell r="A21436"/>
          <cell r="B21436"/>
          <cell r="C21436"/>
          <cell r="D21436"/>
          <cell r="E21436"/>
        </row>
        <row r="21437">
          <cell r="A21437"/>
          <cell r="B21437"/>
          <cell r="C21437"/>
          <cell r="D21437"/>
          <cell r="E21437"/>
        </row>
        <row r="21438">
          <cell r="A21438"/>
          <cell r="B21438"/>
          <cell r="C21438"/>
          <cell r="D21438"/>
          <cell r="E21438"/>
        </row>
        <row r="21439">
          <cell r="A21439"/>
          <cell r="B21439"/>
          <cell r="C21439"/>
          <cell r="D21439"/>
          <cell r="E21439"/>
        </row>
        <row r="21440">
          <cell r="A21440"/>
          <cell r="B21440"/>
          <cell r="C21440"/>
          <cell r="D21440"/>
          <cell r="E21440"/>
        </row>
        <row r="21441">
          <cell r="A21441"/>
          <cell r="B21441"/>
          <cell r="C21441"/>
          <cell r="D21441"/>
          <cell r="E21441"/>
        </row>
        <row r="21442">
          <cell r="A21442"/>
          <cell r="B21442"/>
          <cell r="C21442"/>
          <cell r="D21442"/>
          <cell r="E21442"/>
        </row>
        <row r="21443">
          <cell r="A21443"/>
          <cell r="B21443"/>
          <cell r="C21443"/>
          <cell r="D21443"/>
          <cell r="E21443"/>
        </row>
        <row r="21444">
          <cell r="A21444"/>
          <cell r="B21444"/>
          <cell r="C21444"/>
          <cell r="D21444"/>
          <cell r="E21444"/>
        </row>
        <row r="21445">
          <cell r="A21445"/>
          <cell r="B21445"/>
          <cell r="C21445"/>
          <cell r="D21445"/>
          <cell r="E21445"/>
        </row>
        <row r="21446">
          <cell r="A21446"/>
          <cell r="B21446"/>
          <cell r="C21446"/>
          <cell r="D21446"/>
          <cell r="E21446"/>
        </row>
        <row r="21447">
          <cell r="A21447"/>
          <cell r="B21447"/>
          <cell r="C21447"/>
          <cell r="D21447"/>
          <cell r="E21447"/>
        </row>
        <row r="21448">
          <cell r="A21448"/>
          <cell r="B21448"/>
          <cell r="C21448"/>
          <cell r="D21448"/>
          <cell r="E21448"/>
        </row>
        <row r="21449">
          <cell r="A21449"/>
          <cell r="B21449"/>
          <cell r="C21449"/>
          <cell r="D21449"/>
          <cell r="E21449"/>
        </row>
        <row r="21450">
          <cell r="A21450"/>
          <cell r="B21450"/>
          <cell r="C21450"/>
          <cell r="D21450"/>
          <cell r="E21450"/>
        </row>
        <row r="21451">
          <cell r="A21451"/>
          <cell r="B21451"/>
          <cell r="C21451"/>
          <cell r="D21451"/>
          <cell r="E21451"/>
        </row>
        <row r="21452">
          <cell r="A21452"/>
          <cell r="B21452"/>
          <cell r="C21452"/>
          <cell r="D21452"/>
          <cell r="E21452"/>
        </row>
        <row r="21453">
          <cell r="A21453"/>
          <cell r="B21453"/>
          <cell r="C21453"/>
          <cell r="D21453"/>
          <cell r="E21453"/>
        </row>
        <row r="21454">
          <cell r="A21454"/>
          <cell r="B21454"/>
          <cell r="C21454"/>
          <cell r="D21454"/>
          <cell r="E21454"/>
        </row>
        <row r="21455">
          <cell r="A21455"/>
          <cell r="B21455"/>
          <cell r="C21455"/>
          <cell r="D21455"/>
          <cell r="E21455"/>
        </row>
        <row r="21456">
          <cell r="A21456"/>
          <cell r="B21456"/>
          <cell r="C21456"/>
          <cell r="D21456"/>
          <cell r="E21456"/>
        </row>
        <row r="21457">
          <cell r="A21457"/>
          <cell r="B21457"/>
          <cell r="C21457"/>
          <cell r="D21457"/>
          <cell r="E21457"/>
        </row>
        <row r="21458">
          <cell r="A21458"/>
          <cell r="B21458"/>
          <cell r="C21458"/>
          <cell r="D21458"/>
          <cell r="E21458"/>
        </row>
        <row r="21459">
          <cell r="A21459"/>
          <cell r="B21459"/>
          <cell r="C21459"/>
          <cell r="D21459"/>
          <cell r="E21459"/>
        </row>
        <row r="21460">
          <cell r="A21460"/>
          <cell r="B21460"/>
          <cell r="C21460"/>
          <cell r="D21460"/>
          <cell r="E21460"/>
        </row>
        <row r="21461">
          <cell r="A21461"/>
          <cell r="B21461"/>
          <cell r="C21461"/>
          <cell r="D21461"/>
          <cell r="E21461"/>
        </row>
        <row r="21462">
          <cell r="A21462"/>
          <cell r="B21462"/>
          <cell r="C21462"/>
          <cell r="D21462"/>
          <cell r="E21462"/>
        </row>
        <row r="21463">
          <cell r="A21463"/>
          <cell r="B21463"/>
          <cell r="C21463"/>
          <cell r="D21463"/>
          <cell r="E21463"/>
        </row>
        <row r="21464">
          <cell r="A21464"/>
          <cell r="B21464"/>
          <cell r="C21464"/>
          <cell r="D21464"/>
          <cell r="E21464"/>
        </row>
        <row r="21465">
          <cell r="A21465"/>
          <cell r="B21465"/>
          <cell r="C21465"/>
          <cell r="D21465"/>
          <cell r="E21465"/>
        </row>
        <row r="21466">
          <cell r="A21466"/>
          <cell r="B21466"/>
          <cell r="C21466"/>
          <cell r="D21466"/>
          <cell r="E21466"/>
        </row>
        <row r="21467">
          <cell r="A21467"/>
          <cell r="B21467"/>
          <cell r="C21467"/>
          <cell r="D21467"/>
          <cell r="E21467"/>
        </row>
        <row r="21468">
          <cell r="A21468"/>
          <cell r="B21468"/>
          <cell r="C21468"/>
          <cell r="D21468"/>
          <cell r="E21468"/>
        </row>
        <row r="21469">
          <cell r="A21469"/>
          <cell r="B21469"/>
          <cell r="C21469"/>
          <cell r="D21469"/>
          <cell r="E21469"/>
        </row>
        <row r="21470">
          <cell r="A21470"/>
          <cell r="B21470"/>
          <cell r="C21470"/>
          <cell r="D21470"/>
          <cell r="E21470"/>
        </row>
        <row r="21471">
          <cell r="A21471"/>
          <cell r="B21471"/>
          <cell r="C21471"/>
          <cell r="D21471"/>
          <cell r="E21471"/>
        </row>
        <row r="21472">
          <cell r="A21472"/>
          <cell r="B21472"/>
          <cell r="C21472"/>
          <cell r="D21472"/>
          <cell r="E21472"/>
        </row>
        <row r="21473">
          <cell r="A21473"/>
          <cell r="B21473"/>
          <cell r="C21473"/>
          <cell r="D21473"/>
          <cell r="E21473"/>
        </row>
        <row r="21474">
          <cell r="A21474"/>
          <cell r="B21474"/>
          <cell r="C21474"/>
          <cell r="D21474"/>
          <cell r="E21474"/>
        </row>
        <row r="21475">
          <cell r="A21475"/>
          <cell r="B21475"/>
          <cell r="C21475"/>
          <cell r="D21475"/>
          <cell r="E21475"/>
        </row>
        <row r="21476">
          <cell r="A21476"/>
          <cell r="B21476"/>
          <cell r="C21476"/>
          <cell r="D21476"/>
          <cell r="E21476"/>
        </row>
        <row r="21477">
          <cell r="A21477"/>
          <cell r="B21477"/>
          <cell r="C21477"/>
          <cell r="D21477"/>
          <cell r="E21477"/>
        </row>
        <row r="21478">
          <cell r="A21478"/>
          <cell r="B21478"/>
          <cell r="C21478"/>
          <cell r="D21478"/>
          <cell r="E21478"/>
        </row>
        <row r="21479">
          <cell r="A21479"/>
          <cell r="B21479"/>
          <cell r="C21479"/>
          <cell r="D21479"/>
          <cell r="E21479"/>
        </row>
        <row r="21480">
          <cell r="A21480"/>
          <cell r="B21480"/>
          <cell r="C21480"/>
          <cell r="D21480"/>
          <cell r="E21480"/>
        </row>
        <row r="21481">
          <cell r="A21481"/>
          <cell r="B21481"/>
          <cell r="C21481"/>
          <cell r="D21481"/>
          <cell r="E21481"/>
        </row>
        <row r="21482">
          <cell r="A21482"/>
          <cell r="B21482"/>
          <cell r="C21482"/>
          <cell r="D21482"/>
          <cell r="E21482"/>
        </row>
        <row r="21483">
          <cell r="A21483"/>
          <cell r="B21483"/>
          <cell r="C21483"/>
          <cell r="D21483"/>
          <cell r="E21483"/>
        </row>
        <row r="21484">
          <cell r="A21484"/>
          <cell r="B21484"/>
          <cell r="C21484"/>
          <cell r="D21484"/>
          <cell r="E21484"/>
        </row>
        <row r="21485">
          <cell r="A21485"/>
          <cell r="B21485"/>
          <cell r="C21485"/>
          <cell r="D21485"/>
          <cell r="E21485"/>
        </row>
        <row r="21486">
          <cell r="A21486"/>
          <cell r="B21486"/>
          <cell r="C21486"/>
          <cell r="D21486"/>
          <cell r="E21486"/>
        </row>
        <row r="21487">
          <cell r="A21487"/>
          <cell r="B21487"/>
          <cell r="C21487"/>
          <cell r="D21487"/>
          <cell r="E21487"/>
        </row>
        <row r="21488">
          <cell r="A21488"/>
          <cell r="B21488"/>
          <cell r="C21488"/>
          <cell r="D21488"/>
          <cell r="E21488"/>
        </row>
        <row r="21489">
          <cell r="A21489"/>
          <cell r="B21489"/>
          <cell r="C21489"/>
          <cell r="D21489"/>
          <cell r="E21489"/>
        </row>
        <row r="21490">
          <cell r="A21490"/>
          <cell r="B21490"/>
          <cell r="C21490"/>
          <cell r="D21490"/>
          <cell r="E21490"/>
        </row>
        <row r="21491">
          <cell r="A21491"/>
          <cell r="B21491"/>
          <cell r="C21491"/>
          <cell r="D21491"/>
          <cell r="E21491"/>
        </row>
        <row r="21492">
          <cell r="A21492"/>
          <cell r="B21492"/>
          <cell r="C21492"/>
          <cell r="D21492"/>
          <cell r="E21492"/>
        </row>
        <row r="21493">
          <cell r="A21493"/>
          <cell r="B21493"/>
          <cell r="C21493"/>
          <cell r="D21493"/>
          <cell r="E21493"/>
        </row>
        <row r="21494">
          <cell r="A21494"/>
          <cell r="B21494"/>
          <cell r="C21494"/>
          <cell r="D21494"/>
          <cell r="E21494"/>
        </row>
        <row r="21495">
          <cell r="A21495"/>
          <cell r="B21495"/>
          <cell r="C21495"/>
          <cell r="D21495"/>
          <cell r="E21495"/>
        </row>
        <row r="21496">
          <cell r="A21496"/>
          <cell r="B21496"/>
          <cell r="C21496"/>
          <cell r="D21496"/>
          <cell r="E21496"/>
        </row>
        <row r="21497">
          <cell r="A21497"/>
          <cell r="B21497"/>
          <cell r="C21497"/>
          <cell r="D21497"/>
          <cell r="E21497"/>
        </row>
        <row r="21498">
          <cell r="A21498"/>
          <cell r="B21498"/>
          <cell r="C21498"/>
          <cell r="D21498"/>
          <cell r="E21498"/>
        </row>
        <row r="21499">
          <cell r="A21499"/>
          <cell r="B21499"/>
          <cell r="C21499"/>
          <cell r="D21499"/>
          <cell r="E21499"/>
        </row>
        <row r="21500">
          <cell r="A21500"/>
          <cell r="B21500"/>
          <cell r="C21500"/>
          <cell r="D21500"/>
          <cell r="E21500"/>
        </row>
        <row r="21501">
          <cell r="A21501"/>
          <cell r="B21501"/>
          <cell r="C21501"/>
          <cell r="D21501"/>
          <cell r="E21501"/>
        </row>
        <row r="21502">
          <cell r="A21502"/>
          <cell r="B21502"/>
          <cell r="C21502"/>
          <cell r="D21502"/>
          <cell r="E21502"/>
        </row>
        <row r="21503">
          <cell r="A21503"/>
          <cell r="B21503"/>
          <cell r="C21503"/>
          <cell r="D21503"/>
          <cell r="E21503"/>
        </row>
        <row r="21504">
          <cell r="A21504"/>
          <cell r="B21504"/>
          <cell r="C21504"/>
          <cell r="D21504"/>
          <cell r="E21504"/>
        </row>
        <row r="21505">
          <cell r="A21505"/>
          <cell r="B21505"/>
          <cell r="C21505"/>
          <cell r="D21505"/>
          <cell r="E21505"/>
        </row>
        <row r="21506">
          <cell r="A21506"/>
          <cell r="B21506"/>
          <cell r="C21506"/>
          <cell r="D21506"/>
          <cell r="E21506"/>
        </row>
        <row r="21507">
          <cell r="A21507"/>
          <cell r="B21507"/>
          <cell r="C21507"/>
          <cell r="D21507"/>
          <cell r="E21507"/>
        </row>
        <row r="21508">
          <cell r="A21508"/>
          <cell r="B21508"/>
          <cell r="C21508"/>
          <cell r="D21508"/>
          <cell r="E21508"/>
        </row>
        <row r="21509">
          <cell r="A21509"/>
          <cell r="B21509"/>
          <cell r="C21509"/>
          <cell r="D21509"/>
          <cell r="E21509"/>
        </row>
        <row r="21510">
          <cell r="A21510"/>
          <cell r="B21510"/>
          <cell r="C21510"/>
          <cell r="D21510"/>
          <cell r="E21510"/>
        </row>
        <row r="21511">
          <cell r="A21511"/>
          <cell r="B21511"/>
          <cell r="C21511"/>
          <cell r="D21511"/>
          <cell r="E21511"/>
        </row>
        <row r="21512">
          <cell r="A21512"/>
          <cell r="B21512"/>
          <cell r="C21512"/>
          <cell r="D21512"/>
          <cell r="E21512"/>
        </row>
        <row r="21513">
          <cell r="A21513"/>
          <cell r="B21513"/>
          <cell r="C21513"/>
          <cell r="D21513"/>
          <cell r="E21513"/>
        </row>
        <row r="21514">
          <cell r="A21514"/>
          <cell r="B21514"/>
          <cell r="C21514"/>
          <cell r="D21514"/>
          <cell r="E21514"/>
        </row>
        <row r="21515">
          <cell r="A21515"/>
          <cell r="B21515"/>
          <cell r="C21515"/>
          <cell r="D21515"/>
          <cell r="E21515"/>
        </row>
        <row r="21516">
          <cell r="A21516"/>
          <cell r="B21516"/>
          <cell r="C21516"/>
          <cell r="D21516"/>
          <cell r="E21516"/>
        </row>
        <row r="21517">
          <cell r="A21517"/>
          <cell r="B21517"/>
          <cell r="C21517"/>
          <cell r="D21517"/>
          <cell r="E21517"/>
        </row>
        <row r="21518">
          <cell r="A21518"/>
          <cell r="B21518"/>
          <cell r="C21518"/>
          <cell r="D21518"/>
          <cell r="E21518"/>
        </row>
        <row r="21519">
          <cell r="A21519"/>
          <cell r="B21519"/>
          <cell r="C21519"/>
          <cell r="D21519"/>
          <cell r="E21519"/>
        </row>
        <row r="21520">
          <cell r="A21520"/>
          <cell r="B21520"/>
          <cell r="C21520"/>
          <cell r="D21520"/>
          <cell r="E21520"/>
        </row>
        <row r="21521">
          <cell r="A21521"/>
          <cell r="B21521"/>
          <cell r="C21521"/>
          <cell r="D21521"/>
          <cell r="E21521"/>
        </row>
        <row r="21522">
          <cell r="A21522"/>
          <cell r="B21522"/>
          <cell r="C21522"/>
          <cell r="D21522"/>
          <cell r="E21522"/>
        </row>
        <row r="21523">
          <cell r="A21523"/>
          <cell r="B21523"/>
          <cell r="C21523"/>
          <cell r="D21523"/>
          <cell r="E21523"/>
        </row>
        <row r="21524">
          <cell r="A21524"/>
          <cell r="B21524"/>
          <cell r="C21524"/>
          <cell r="D21524"/>
          <cell r="E21524"/>
        </row>
        <row r="21525">
          <cell r="A21525"/>
          <cell r="B21525"/>
          <cell r="C21525"/>
          <cell r="D21525"/>
          <cell r="E21525"/>
        </row>
        <row r="21526">
          <cell r="A21526"/>
          <cell r="B21526"/>
          <cell r="C21526"/>
          <cell r="D21526"/>
          <cell r="E21526"/>
        </row>
        <row r="21527">
          <cell r="A21527"/>
          <cell r="B21527"/>
          <cell r="C21527"/>
          <cell r="D21527"/>
          <cell r="E21527"/>
        </row>
        <row r="21528">
          <cell r="A21528"/>
          <cell r="B21528"/>
          <cell r="C21528"/>
          <cell r="D21528"/>
          <cell r="E21528"/>
        </row>
        <row r="21529">
          <cell r="A21529"/>
          <cell r="B21529"/>
          <cell r="C21529"/>
          <cell r="D21529"/>
          <cell r="E21529"/>
        </row>
        <row r="21530">
          <cell r="A21530"/>
          <cell r="B21530"/>
          <cell r="C21530"/>
          <cell r="D21530"/>
          <cell r="E21530"/>
        </row>
        <row r="21531">
          <cell r="A21531"/>
          <cell r="B21531"/>
          <cell r="C21531"/>
          <cell r="D21531"/>
          <cell r="E21531"/>
        </row>
        <row r="21532">
          <cell r="A21532"/>
          <cell r="B21532"/>
          <cell r="C21532"/>
          <cell r="D21532"/>
          <cell r="E21532"/>
        </row>
        <row r="21533">
          <cell r="A21533"/>
          <cell r="B21533"/>
          <cell r="C21533"/>
          <cell r="D21533"/>
          <cell r="E21533"/>
        </row>
        <row r="21534">
          <cell r="A21534"/>
          <cell r="B21534"/>
          <cell r="C21534"/>
          <cell r="D21534"/>
          <cell r="E21534"/>
        </row>
        <row r="21535">
          <cell r="A21535"/>
          <cell r="B21535"/>
          <cell r="C21535"/>
          <cell r="D21535"/>
          <cell r="E21535"/>
        </row>
        <row r="21536">
          <cell r="A21536"/>
          <cell r="B21536"/>
          <cell r="C21536"/>
          <cell r="D21536"/>
          <cell r="E21536"/>
        </row>
        <row r="21537">
          <cell r="A21537"/>
          <cell r="B21537"/>
          <cell r="C21537"/>
          <cell r="D21537"/>
          <cell r="E21537"/>
        </row>
        <row r="21538">
          <cell r="A21538"/>
          <cell r="B21538"/>
          <cell r="C21538"/>
          <cell r="D21538"/>
          <cell r="E21538"/>
        </row>
        <row r="21539">
          <cell r="A21539"/>
          <cell r="B21539"/>
          <cell r="C21539"/>
          <cell r="D21539"/>
          <cell r="E21539"/>
        </row>
        <row r="21540">
          <cell r="A21540"/>
          <cell r="B21540"/>
          <cell r="C21540"/>
          <cell r="D21540"/>
          <cell r="E21540"/>
        </row>
        <row r="21541">
          <cell r="A21541"/>
          <cell r="B21541"/>
          <cell r="C21541"/>
          <cell r="D21541"/>
          <cell r="E21541"/>
        </row>
        <row r="21542">
          <cell r="A21542"/>
          <cell r="B21542"/>
          <cell r="C21542"/>
          <cell r="D21542"/>
          <cell r="E21542"/>
        </row>
        <row r="21543">
          <cell r="A21543"/>
          <cell r="B21543"/>
          <cell r="C21543"/>
          <cell r="D21543"/>
          <cell r="E21543"/>
        </row>
        <row r="21544">
          <cell r="A21544"/>
          <cell r="B21544"/>
          <cell r="C21544"/>
          <cell r="D21544"/>
          <cell r="E21544"/>
        </row>
        <row r="21545">
          <cell r="A21545"/>
          <cell r="B21545"/>
          <cell r="C21545"/>
          <cell r="D21545"/>
          <cell r="E21545"/>
        </row>
        <row r="21546">
          <cell r="A21546"/>
          <cell r="B21546"/>
          <cell r="C21546"/>
          <cell r="D21546"/>
          <cell r="E21546"/>
        </row>
        <row r="21547">
          <cell r="A21547"/>
          <cell r="B21547"/>
          <cell r="C21547"/>
          <cell r="D21547"/>
          <cell r="E21547"/>
        </row>
        <row r="21548">
          <cell r="A21548"/>
          <cell r="B21548"/>
          <cell r="C21548"/>
          <cell r="D21548"/>
          <cell r="E21548"/>
        </row>
        <row r="21549">
          <cell r="A21549"/>
          <cell r="B21549"/>
          <cell r="C21549"/>
          <cell r="D21549"/>
          <cell r="E21549"/>
        </row>
        <row r="21550">
          <cell r="A21550"/>
          <cell r="B21550"/>
          <cell r="C21550"/>
          <cell r="D21550"/>
          <cell r="E21550"/>
        </row>
        <row r="21551">
          <cell r="A21551"/>
          <cell r="B21551"/>
          <cell r="C21551"/>
          <cell r="D21551"/>
          <cell r="E21551"/>
        </row>
        <row r="21552">
          <cell r="A21552"/>
          <cell r="B21552"/>
          <cell r="C21552"/>
          <cell r="D21552"/>
          <cell r="E21552"/>
        </row>
        <row r="21553">
          <cell r="A21553"/>
          <cell r="B21553"/>
          <cell r="C21553"/>
          <cell r="D21553"/>
          <cell r="E21553"/>
        </row>
        <row r="21554">
          <cell r="A21554"/>
          <cell r="B21554"/>
          <cell r="C21554"/>
          <cell r="D21554"/>
          <cell r="E21554"/>
        </row>
        <row r="21555">
          <cell r="A21555"/>
          <cell r="B21555"/>
          <cell r="C21555"/>
          <cell r="D21555"/>
          <cell r="E21555"/>
        </row>
        <row r="21556">
          <cell r="A21556"/>
          <cell r="B21556"/>
          <cell r="C21556"/>
          <cell r="D21556"/>
          <cell r="E21556"/>
        </row>
        <row r="21557">
          <cell r="A21557"/>
          <cell r="B21557"/>
          <cell r="C21557"/>
          <cell r="D21557"/>
          <cell r="E21557"/>
        </row>
        <row r="21558">
          <cell r="A21558"/>
          <cell r="B21558"/>
          <cell r="C21558"/>
          <cell r="D21558"/>
          <cell r="E21558"/>
        </row>
        <row r="21559">
          <cell r="A21559"/>
          <cell r="B21559"/>
          <cell r="C21559"/>
          <cell r="D21559"/>
          <cell r="E21559"/>
        </row>
        <row r="21560">
          <cell r="A21560"/>
          <cell r="B21560"/>
          <cell r="C21560"/>
          <cell r="D21560"/>
          <cell r="E21560"/>
        </row>
        <row r="21561">
          <cell r="A21561"/>
          <cell r="B21561"/>
          <cell r="C21561"/>
          <cell r="D21561"/>
          <cell r="E21561"/>
        </row>
        <row r="21562">
          <cell r="A21562"/>
          <cell r="B21562"/>
          <cell r="C21562"/>
          <cell r="D21562"/>
          <cell r="E21562"/>
        </row>
        <row r="21563">
          <cell r="A21563"/>
          <cell r="B21563"/>
          <cell r="C21563"/>
          <cell r="D21563"/>
          <cell r="E21563"/>
        </row>
        <row r="21564">
          <cell r="A21564"/>
          <cell r="B21564"/>
          <cell r="C21564"/>
          <cell r="D21564"/>
          <cell r="E21564"/>
        </row>
        <row r="21565">
          <cell r="A21565"/>
          <cell r="B21565"/>
          <cell r="C21565"/>
          <cell r="D21565"/>
          <cell r="E21565"/>
        </row>
        <row r="21566">
          <cell r="A21566"/>
          <cell r="B21566"/>
          <cell r="C21566"/>
          <cell r="D21566"/>
          <cell r="E21566"/>
        </row>
        <row r="21567">
          <cell r="A21567"/>
          <cell r="B21567"/>
          <cell r="C21567"/>
          <cell r="D21567"/>
          <cell r="E21567"/>
        </row>
        <row r="21568">
          <cell r="A21568"/>
          <cell r="B21568"/>
          <cell r="C21568"/>
          <cell r="D21568"/>
          <cell r="E21568"/>
        </row>
        <row r="21569">
          <cell r="A21569"/>
          <cell r="B21569"/>
          <cell r="C21569"/>
          <cell r="D21569"/>
          <cell r="E21569"/>
        </row>
        <row r="21570">
          <cell r="A21570"/>
          <cell r="B21570"/>
          <cell r="C21570"/>
          <cell r="D21570"/>
          <cell r="E21570"/>
        </row>
        <row r="21571">
          <cell r="A21571"/>
          <cell r="B21571"/>
          <cell r="C21571"/>
          <cell r="D21571"/>
          <cell r="E21571"/>
        </row>
        <row r="21572">
          <cell r="A21572"/>
          <cell r="B21572"/>
          <cell r="C21572"/>
          <cell r="D21572"/>
          <cell r="E21572"/>
        </row>
        <row r="21573">
          <cell r="A21573"/>
          <cell r="B21573"/>
          <cell r="C21573"/>
          <cell r="D21573"/>
          <cell r="E21573"/>
        </row>
        <row r="21574">
          <cell r="A21574"/>
          <cell r="B21574"/>
          <cell r="C21574"/>
          <cell r="D21574"/>
          <cell r="E21574"/>
        </row>
        <row r="21575">
          <cell r="A21575"/>
          <cell r="B21575"/>
          <cell r="C21575"/>
          <cell r="D21575"/>
          <cell r="E21575"/>
        </row>
        <row r="21576">
          <cell r="A21576"/>
          <cell r="B21576"/>
          <cell r="C21576"/>
          <cell r="D21576"/>
          <cell r="E21576"/>
        </row>
        <row r="21577">
          <cell r="A21577"/>
          <cell r="B21577"/>
          <cell r="C21577"/>
          <cell r="D21577"/>
          <cell r="E21577"/>
        </row>
        <row r="21578">
          <cell r="A21578"/>
          <cell r="B21578"/>
          <cell r="C21578"/>
          <cell r="D21578"/>
          <cell r="E21578"/>
        </row>
        <row r="21579">
          <cell r="A21579"/>
          <cell r="B21579"/>
          <cell r="C21579"/>
          <cell r="D21579"/>
          <cell r="E21579"/>
        </row>
        <row r="21580">
          <cell r="A21580"/>
          <cell r="B21580"/>
          <cell r="C21580"/>
          <cell r="D21580"/>
          <cell r="E21580"/>
        </row>
        <row r="21581">
          <cell r="A21581"/>
          <cell r="B21581"/>
          <cell r="C21581"/>
          <cell r="D21581"/>
          <cell r="E21581"/>
        </row>
        <row r="21582">
          <cell r="A21582"/>
          <cell r="B21582"/>
          <cell r="C21582"/>
          <cell r="D21582"/>
          <cell r="E21582"/>
        </row>
        <row r="21583">
          <cell r="A21583"/>
          <cell r="B21583"/>
          <cell r="C21583"/>
          <cell r="D21583"/>
          <cell r="E21583"/>
        </row>
        <row r="21584">
          <cell r="A21584"/>
          <cell r="B21584"/>
          <cell r="C21584"/>
          <cell r="D21584"/>
          <cell r="E21584"/>
        </row>
        <row r="21585">
          <cell r="A21585"/>
          <cell r="B21585"/>
          <cell r="C21585"/>
          <cell r="D21585"/>
          <cell r="E21585"/>
        </row>
        <row r="21586">
          <cell r="A21586"/>
          <cell r="B21586"/>
          <cell r="C21586"/>
          <cell r="D21586"/>
          <cell r="E21586"/>
        </row>
        <row r="21587">
          <cell r="A21587"/>
          <cell r="B21587"/>
          <cell r="C21587"/>
          <cell r="D21587"/>
          <cell r="E21587"/>
        </row>
        <row r="21588">
          <cell r="A21588"/>
          <cell r="B21588"/>
          <cell r="C21588"/>
          <cell r="D21588"/>
          <cell r="E21588"/>
        </row>
        <row r="21589">
          <cell r="A21589"/>
          <cell r="B21589"/>
          <cell r="C21589"/>
          <cell r="D21589"/>
          <cell r="E21589"/>
        </row>
        <row r="21590">
          <cell r="A21590"/>
          <cell r="B21590"/>
          <cell r="C21590"/>
          <cell r="D21590"/>
          <cell r="E21590"/>
        </row>
        <row r="21591">
          <cell r="A21591"/>
          <cell r="B21591"/>
          <cell r="C21591"/>
          <cell r="D21591"/>
          <cell r="E21591"/>
        </row>
        <row r="21592">
          <cell r="A21592"/>
          <cell r="B21592"/>
          <cell r="C21592"/>
          <cell r="D21592"/>
          <cell r="E21592"/>
        </row>
        <row r="21593">
          <cell r="A21593"/>
          <cell r="B21593"/>
          <cell r="C21593"/>
          <cell r="D21593"/>
          <cell r="E21593"/>
        </row>
        <row r="21594">
          <cell r="A21594"/>
          <cell r="B21594"/>
          <cell r="C21594"/>
          <cell r="D21594"/>
          <cell r="E21594"/>
        </row>
        <row r="21595">
          <cell r="A21595"/>
          <cell r="B21595"/>
          <cell r="C21595"/>
          <cell r="D21595"/>
          <cell r="E21595"/>
        </row>
        <row r="21596">
          <cell r="A21596"/>
          <cell r="B21596"/>
          <cell r="C21596"/>
          <cell r="D21596"/>
          <cell r="E21596"/>
        </row>
        <row r="21597">
          <cell r="A21597"/>
          <cell r="B21597"/>
          <cell r="C21597"/>
          <cell r="D21597"/>
          <cell r="E21597"/>
        </row>
        <row r="21598">
          <cell r="A21598"/>
          <cell r="B21598"/>
          <cell r="C21598"/>
          <cell r="D21598"/>
          <cell r="E21598"/>
        </row>
        <row r="21599">
          <cell r="A21599"/>
          <cell r="B21599"/>
          <cell r="C21599"/>
          <cell r="D21599"/>
          <cell r="E21599"/>
        </row>
        <row r="21600">
          <cell r="A21600"/>
          <cell r="B21600"/>
          <cell r="C21600"/>
          <cell r="D21600"/>
          <cell r="E21600"/>
        </row>
        <row r="21601">
          <cell r="A21601"/>
          <cell r="B21601"/>
          <cell r="C21601"/>
          <cell r="D21601"/>
          <cell r="E21601"/>
        </row>
        <row r="21602">
          <cell r="A21602"/>
          <cell r="B21602"/>
          <cell r="C21602"/>
          <cell r="D21602"/>
          <cell r="E21602"/>
        </row>
        <row r="21603">
          <cell r="A21603"/>
          <cell r="B21603"/>
          <cell r="C21603"/>
          <cell r="D21603"/>
          <cell r="E21603"/>
        </row>
        <row r="21604">
          <cell r="A21604"/>
          <cell r="B21604"/>
          <cell r="C21604"/>
          <cell r="D21604"/>
          <cell r="E21604"/>
        </row>
        <row r="21605">
          <cell r="A21605"/>
          <cell r="B21605"/>
          <cell r="C21605"/>
          <cell r="D21605"/>
          <cell r="E21605"/>
        </row>
        <row r="21606">
          <cell r="A21606"/>
          <cell r="B21606"/>
          <cell r="C21606"/>
          <cell r="D21606"/>
          <cell r="E21606"/>
        </row>
        <row r="21607">
          <cell r="A21607"/>
          <cell r="B21607"/>
          <cell r="C21607"/>
          <cell r="D21607"/>
          <cell r="E21607"/>
        </row>
        <row r="21608">
          <cell r="A21608"/>
          <cell r="B21608"/>
          <cell r="C21608"/>
          <cell r="D21608"/>
          <cell r="E21608"/>
        </row>
        <row r="21609">
          <cell r="A21609"/>
          <cell r="B21609"/>
          <cell r="C21609"/>
          <cell r="D21609"/>
          <cell r="E21609"/>
        </row>
        <row r="21610">
          <cell r="A21610"/>
          <cell r="B21610"/>
          <cell r="C21610"/>
          <cell r="D21610"/>
          <cell r="E21610"/>
        </row>
        <row r="21611">
          <cell r="A21611"/>
          <cell r="B21611"/>
          <cell r="C21611"/>
          <cell r="D21611"/>
          <cell r="E21611"/>
        </row>
        <row r="21612">
          <cell r="A21612"/>
          <cell r="B21612"/>
          <cell r="C21612"/>
          <cell r="D21612"/>
          <cell r="E21612"/>
        </row>
        <row r="21613">
          <cell r="A21613"/>
          <cell r="B21613"/>
          <cell r="C21613"/>
          <cell r="D21613"/>
          <cell r="E21613"/>
        </row>
        <row r="21614">
          <cell r="A21614"/>
          <cell r="B21614"/>
          <cell r="C21614"/>
          <cell r="D21614"/>
          <cell r="E21614"/>
        </row>
        <row r="21615">
          <cell r="A21615"/>
          <cell r="B21615"/>
          <cell r="C21615"/>
          <cell r="D21615"/>
          <cell r="E21615"/>
        </row>
        <row r="21616">
          <cell r="A21616"/>
          <cell r="B21616"/>
          <cell r="C21616"/>
          <cell r="D21616"/>
          <cell r="E21616"/>
        </row>
        <row r="21617">
          <cell r="A21617"/>
          <cell r="B21617"/>
          <cell r="C21617"/>
          <cell r="D21617"/>
          <cell r="E21617"/>
        </row>
        <row r="21618">
          <cell r="A21618"/>
          <cell r="B21618"/>
          <cell r="C21618"/>
          <cell r="D21618"/>
          <cell r="E21618"/>
        </row>
        <row r="21619">
          <cell r="A21619"/>
          <cell r="B21619"/>
          <cell r="C21619"/>
          <cell r="D21619"/>
          <cell r="E21619"/>
        </row>
        <row r="21620">
          <cell r="A21620"/>
          <cell r="B21620"/>
          <cell r="C21620"/>
          <cell r="D21620"/>
          <cell r="E21620"/>
        </row>
        <row r="21621">
          <cell r="A21621"/>
          <cell r="B21621"/>
          <cell r="C21621"/>
          <cell r="D21621"/>
          <cell r="E21621"/>
        </row>
        <row r="21622">
          <cell r="A21622"/>
          <cell r="B21622"/>
          <cell r="C21622"/>
          <cell r="D21622"/>
          <cell r="E21622"/>
        </row>
        <row r="21623">
          <cell r="A21623"/>
          <cell r="B21623"/>
          <cell r="C21623"/>
          <cell r="D21623"/>
          <cell r="E21623"/>
        </row>
        <row r="21624">
          <cell r="A21624"/>
          <cell r="B21624"/>
          <cell r="C21624"/>
          <cell r="D21624"/>
          <cell r="E21624"/>
        </row>
        <row r="21625">
          <cell r="A21625"/>
          <cell r="B21625"/>
          <cell r="C21625"/>
          <cell r="D21625"/>
          <cell r="E21625"/>
        </row>
        <row r="21626">
          <cell r="A21626"/>
          <cell r="B21626"/>
          <cell r="C21626"/>
          <cell r="D21626"/>
          <cell r="E21626"/>
        </row>
        <row r="21627">
          <cell r="A21627"/>
          <cell r="B21627"/>
          <cell r="C21627"/>
          <cell r="D21627"/>
          <cell r="E21627"/>
        </row>
        <row r="21628">
          <cell r="A21628"/>
          <cell r="B21628"/>
          <cell r="C21628"/>
          <cell r="D21628"/>
          <cell r="E21628"/>
        </row>
        <row r="21629">
          <cell r="A21629"/>
          <cell r="B21629"/>
          <cell r="C21629"/>
          <cell r="D21629"/>
          <cell r="E21629"/>
        </row>
        <row r="21630">
          <cell r="A21630"/>
          <cell r="B21630"/>
          <cell r="C21630"/>
          <cell r="D21630"/>
          <cell r="E21630"/>
        </row>
        <row r="21631">
          <cell r="A21631"/>
          <cell r="B21631"/>
          <cell r="C21631"/>
          <cell r="D21631"/>
          <cell r="E21631"/>
        </row>
        <row r="21632">
          <cell r="A21632"/>
          <cell r="B21632"/>
          <cell r="C21632"/>
          <cell r="D21632"/>
          <cell r="E21632"/>
        </row>
        <row r="21633">
          <cell r="A21633"/>
          <cell r="B21633"/>
          <cell r="C21633"/>
          <cell r="D21633"/>
          <cell r="E21633"/>
        </row>
        <row r="21634">
          <cell r="A21634"/>
          <cell r="B21634"/>
          <cell r="C21634"/>
          <cell r="D21634"/>
          <cell r="E21634"/>
        </row>
        <row r="21635">
          <cell r="A21635"/>
          <cell r="B21635"/>
          <cell r="C21635"/>
          <cell r="D21635"/>
          <cell r="E21635"/>
        </row>
        <row r="21636">
          <cell r="A21636"/>
          <cell r="B21636"/>
          <cell r="C21636"/>
          <cell r="D21636"/>
          <cell r="E21636"/>
        </row>
        <row r="21637">
          <cell r="A21637"/>
          <cell r="B21637"/>
          <cell r="C21637"/>
          <cell r="D21637"/>
          <cell r="E21637"/>
        </row>
        <row r="21638">
          <cell r="A21638"/>
          <cell r="B21638"/>
          <cell r="C21638"/>
          <cell r="D21638"/>
          <cell r="E21638"/>
        </row>
        <row r="21639">
          <cell r="A21639"/>
          <cell r="B21639"/>
          <cell r="C21639"/>
          <cell r="D21639"/>
          <cell r="E21639"/>
        </row>
        <row r="21640">
          <cell r="A21640"/>
          <cell r="B21640"/>
          <cell r="C21640"/>
          <cell r="D21640"/>
          <cell r="E21640"/>
        </row>
        <row r="21641">
          <cell r="A21641"/>
          <cell r="B21641"/>
          <cell r="C21641"/>
          <cell r="D21641"/>
          <cell r="E21641"/>
        </row>
        <row r="21642">
          <cell r="A21642"/>
          <cell r="B21642"/>
          <cell r="C21642"/>
          <cell r="D21642"/>
          <cell r="E21642"/>
        </row>
        <row r="21643">
          <cell r="A21643"/>
          <cell r="B21643"/>
          <cell r="C21643"/>
          <cell r="D21643"/>
          <cell r="E21643"/>
        </row>
        <row r="21644">
          <cell r="A21644"/>
          <cell r="B21644"/>
          <cell r="C21644"/>
          <cell r="D21644"/>
          <cell r="E21644"/>
        </row>
        <row r="21645">
          <cell r="A21645"/>
          <cell r="B21645"/>
          <cell r="C21645"/>
          <cell r="D21645"/>
          <cell r="E21645"/>
        </row>
        <row r="21646">
          <cell r="A21646"/>
          <cell r="B21646"/>
          <cell r="C21646"/>
          <cell r="D21646"/>
          <cell r="E21646"/>
        </row>
        <row r="21647">
          <cell r="A21647"/>
          <cell r="B21647"/>
          <cell r="C21647"/>
          <cell r="D21647"/>
          <cell r="E21647"/>
        </row>
        <row r="21648">
          <cell r="A21648"/>
          <cell r="B21648"/>
          <cell r="C21648"/>
          <cell r="D21648"/>
          <cell r="E21648"/>
        </row>
        <row r="21649">
          <cell r="A21649"/>
          <cell r="B21649"/>
          <cell r="C21649"/>
          <cell r="D21649"/>
          <cell r="E21649"/>
        </row>
        <row r="21650">
          <cell r="A21650"/>
          <cell r="B21650"/>
          <cell r="C21650"/>
          <cell r="D21650"/>
          <cell r="E21650"/>
        </row>
        <row r="21651">
          <cell r="A21651"/>
          <cell r="B21651"/>
          <cell r="C21651"/>
          <cell r="D21651"/>
          <cell r="E21651"/>
        </row>
        <row r="21652">
          <cell r="A21652"/>
          <cell r="B21652"/>
          <cell r="C21652"/>
          <cell r="D21652"/>
          <cell r="E21652"/>
        </row>
        <row r="21653">
          <cell r="A21653"/>
          <cell r="B21653"/>
          <cell r="C21653"/>
          <cell r="D21653"/>
          <cell r="E21653"/>
        </row>
        <row r="21654">
          <cell r="A21654"/>
          <cell r="B21654"/>
          <cell r="C21654"/>
          <cell r="D21654"/>
          <cell r="E21654"/>
        </row>
        <row r="21655">
          <cell r="A21655"/>
          <cell r="B21655"/>
          <cell r="C21655"/>
          <cell r="D21655"/>
          <cell r="E21655"/>
        </row>
        <row r="21656">
          <cell r="A21656"/>
          <cell r="B21656"/>
          <cell r="C21656"/>
          <cell r="D21656"/>
          <cell r="E21656"/>
        </row>
        <row r="21657">
          <cell r="A21657"/>
          <cell r="B21657"/>
          <cell r="C21657"/>
          <cell r="D21657"/>
          <cell r="E21657"/>
        </row>
        <row r="21658">
          <cell r="A21658"/>
          <cell r="B21658"/>
          <cell r="C21658"/>
          <cell r="D21658"/>
          <cell r="E21658"/>
        </row>
        <row r="21659">
          <cell r="A21659"/>
          <cell r="B21659"/>
          <cell r="C21659"/>
          <cell r="D21659"/>
          <cell r="E21659"/>
        </row>
        <row r="21660">
          <cell r="A21660"/>
          <cell r="B21660"/>
          <cell r="C21660"/>
          <cell r="D21660"/>
          <cell r="E21660"/>
        </row>
        <row r="21661">
          <cell r="A21661"/>
          <cell r="B21661"/>
          <cell r="C21661"/>
          <cell r="D21661"/>
          <cell r="E21661"/>
        </row>
        <row r="21662">
          <cell r="A21662"/>
          <cell r="B21662"/>
          <cell r="C21662"/>
          <cell r="D21662"/>
          <cell r="E21662"/>
        </row>
        <row r="21663">
          <cell r="A21663"/>
          <cell r="B21663"/>
          <cell r="C21663"/>
          <cell r="D21663"/>
          <cell r="E21663"/>
        </row>
        <row r="21664">
          <cell r="A21664"/>
          <cell r="B21664"/>
          <cell r="C21664"/>
          <cell r="D21664"/>
          <cell r="E21664"/>
        </row>
        <row r="21665">
          <cell r="A21665"/>
          <cell r="B21665"/>
          <cell r="C21665"/>
          <cell r="D21665"/>
          <cell r="E21665"/>
        </row>
        <row r="21666">
          <cell r="A21666"/>
          <cell r="B21666"/>
          <cell r="C21666"/>
          <cell r="D21666"/>
          <cell r="E21666"/>
        </row>
        <row r="21667">
          <cell r="A21667"/>
          <cell r="B21667"/>
          <cell r="C21667"/>
          <cell r="D21667"/>
          <cell r="E21667"/>
        </row>
        <row r="21668">
          <cell r="A21668"/>
          <cell r="B21668"/>
          <cell r="C21668"/>
          <cell r="D21668"/>
          <cell r="E21668"/>
        </row>
        <row r="21669">
          <cell r="A21669"/>
          <cell r="B21669"/>
          <cell r="C21669"/>
          <cell r="D21669"/>
          <cell r="E21669"/>
        </row>
        <row r="21670">
          <cell r="A21670"/>
          <cell r="B21670"/>
          <cell r="C21670"/>
          <cell r="D21670"/>
          <cell r="E21670"/>
        </row>
        <row r="21671">
          <cell r="A21671"/>
          <cell r="B21671"/>
          <cell r="C21671"/>
          <cell r="D21671"/>
          <cell r="E21671"/>
        </row>
        <row r="21672">
          <cell r="A21672"/>
          <cell r="B21672"/>
          <cell r="C21672"/>
          <cell r="D21672"/>
          <cell r="E21672"/>
        </row>
        <row r="21673">
          <cell r="A21673"/>
          <cell r="B21673"/>
          <cell r="C21673"/>
          <cell r="D21673"/>
          <cell r="E21673"/>
        </row>
        <row r="21674">
          <cell r="A21674"/>
          <cell r="B21674"/>
          <cell r="C21674"/>
          <cell r="D21674"/>
          <cell r="E21674"/>
        </row>
        <row r="21675">
          <cell r="A21675"/>
          <cell r="B21675"/>
          <cell r="C21675"/>
          <cell r="D21675"/>
          <cell r="E21675"/>
        </row>
        <row r="21676">
          <cell r="A21676"/>
          <cell r="B21676"/>
          <cell r="C21676"/>
          <cell r="D21676"/>
          <cell r="E21676"/>
        </row>
        <row r="21677">
          <cell r="A21677"/>
          <cell r="B21677"/>
          <cell r="C21677"/>
          <cell r="D21677"/>
          <cell r="E21677"/>
        </row>
        <row r="21678">
          <cell r="A21678"/>
          <cell r="B21678"/>
          <cell r="C21678"/>
          <cell r="D21678"/>
          <cell r="E21678"/>
        </row>
        <row r="21679">
          <cell r="A21679"/>
          <cell r="B21679"/>
          <cell r="C21679"/>
          <cell r="D21679"/>
          <cell r="E21679"/>
        </row>
        <row r="21680">
          <cell r="A21680"/>
          <cell r="B21680"/>
          <cell r="C21680"/>
          <cell r="D21680"/>
          <cell r="E21680"/>
        </row>
        <row r="21681">
          <cell r="A21681"/>
          <cell r="B21681"/>
          <cell r="C21681"/>
          <cell r="D21681"/>
          <cell r="E21681"/>
        </row>
        <row r="21682">
          <cell r="A21682"/>
          <cell r="B21682"/>
          <cell r="C21682"/>
          <cell r="D21682"/>
          <cell r="E21682"/>
        </row>
        <row r="21683">
          <cell r="A21683"/>
          <cell r="B21683"/>
          <cell r="C21683"/>
          <cell r="D21683"/>
          <cell r="E21683"/>
        </row>
        <row r="21684">
          <cell r="A21684"/>
          <cell r="B21684"/>
          <cell r="C21684"/>
          <cell r="D21684"/>
          <cell r="E21684"/>
        </row>
        <row r="21685">
          <cell r="A21685"/>
          <cell r="B21685"/>
          <cell r="C21685"/>
          <cell r="D21685"/>
          <cell r="E21685"/>
        </row>
        <row r="21686">
          <cell r="A21686"/>
          <cell r="B21686"/>
          <cell r="C21686"/>
          <cell r="D21686"/>
          <cell r="E21686"/>
        </row>
        <row r="21687">
          <cell r="A21687"/>
          <cell r="B21687"/>
          <cell r="C21687"/>
          <cell r="D21687"/>
          <cell r="E21687"/>
        </row>
        <row r="21688">
          <cell r="A21688"/>
          <cell r="B21688"/>
          <cell r="C21688"/>
          <cell r="D21688"/>
          <cell r="E21688"/>
        </row>
        <row r="21689">
          <cell r="A21689"/>
          <cell r="B21689"/>
          <cell r="C21689"/>
          <cell r="D21689"/>
          <cell r="E21689"/>
        </row>
        <row r="21690">
          <cell r="A21690"/>
          <cell r="B21690"/>
          <cell r="C21690"/>
          <cell r="D21690"/>
          <cell r="E21690"/>
        </row>
        <row r="21691">
          <cell r="A21691"/>
          <cell r="B21691"/>
          <cell r="C21691"/>
          <cell r="D21691"/>
          <cell r="E21691"/>
        </row>
        <row r="21692">
          <cell r="A21692"/>
          <cell r="B21692"/>
          <cell r="C21692"/>
          <cell r="D21692"/>
          <cell r="E21692"/>
        </row>
        <row r="21693">
          <cell r="A21693"/>
          <cell r="B21693"/>
          <cell r="C21693"/>
          <cell r="D21693"/>
          <cell r="E21693"/>
        </row>
        <row r="21694">
          <cell r="A21694"/>
          <cell r="B21694"/>
          <cell r="C21694"/>
          <cell r="D21694"/>
          <cell r="E21694"/>
        </row>
        <row r="21695">
          <cell r="A21695"/>
          <cell r="B21695"/>
          <cell r="C21695"/>
          <cell r="D21695"/>
          <cell r="E21695"/>
        </row>
        <row r="21696">
          <cell r="A21696"/>
          <cell r="B21696"/>
          <cell r="C21696"/>
          <cell r="D21696"/>
          <cell r="E21696"/>
        </row>
        <row r="21697">
          <cell r="A21697"/>
          <cell r="B21697"/>
          <cell r="C21697"/>
          <cell r="D21697"/>
          <cell r="E21697"/>
        </row>
        <row r="21698">
          <cell r="A21698"/>
          <cell r="B21698"/>
          <cell r="C21698"/>
          <cell r="D21698"/>
          <cell r="E21698"/>
        </row>
        <row r="21699">
          <cell r="A21699"/>
          <cell r="B21699"/>
          <cell r="C21699"/>
          <cell r="D21699"/>
          <cell r="E21699"/>
        </row>
        <row r="21700">
          <cell r="A21700"/>
          <cell r="B21700"/>
          <cell r="C21700"/>
          <cell r="D21700"/>
          <cell r="E21700"/>
        </row>
        <row r="21701">
          <cell r="A21701"/>
          <cell r="B21701"/>
          <cell r="C21701"/>
          <cell r="D21701"/>
          <cell r="E21701"/>
        </row>
        <row r="21702">
          <cell r="A21702"/>
          <cell r="B21702"/>
          <cell r="C21702"/>
          <cell r="D21702"/>
          <cell r="E21702"/>
        </row>
        <row r="21703">
          <cell r="A21703"/>
          <cell r="B21703"/>
          <cell r="C21703"/>
          <cell r="D21703"/>
          <cell r="E21703"/>
        </row>
        <row r="21704">
          <cell r="A21704"/>
          <cell r="B21704"/>
          <cell r="C21704"/>
          <cell r="D21704"/>
          <cell r="E21704"/>
        </row>
        <row r="21705">
          <cell r="A21705"/>
          <cell r="B21705"/>
          <cell r="C21705"/>
          <cell r="D21705"/>
          <cell r="E21705"/>
        </row>
        <row r="21706">
          <cell r="A21706"/>
          <cell r="B21706"/>
          <cell r="C21706"/>
          <cell r="D21706"/>
          <cell r="E21706"/>
        </row>
        <row r="21707">
          <cell r="A21707"/>
          <cell r="B21707"/>
          <cell r="C21707"/>
          <cell r="D21707"/>
          <cell r="E21707"/>
        </row>
        <row r="21708">
          <cell r="A21708"/>
          <cell r="B21708"/>
          <cell r="C21708"/>
          <cell r="D21708"/>
          <cell r="E21708"/>
        </row>
        <row r="21709">
          <cell r="A21709"/>
          <cell r="B21709"/>
          <cell r="C21709"/>
          <cell r="D21709"/>
          <cell r="E21709"/>
        </row>
        <row r="21710">
          <cell r="A21710"/>
          <cell r="B21710"/>
          <cell r="C21710"/>
          <cell r="D21710"/>
          <cell r="E21710"/>
        </row>
        <row r="21711">
          <cell r="A21711"/>
          <cell r="B21711"/>
          <cell r="C21711"/>
          <cell r="D21711"/>
          <cell r="E21711"/>
        </row>
        <row r="21712">
          <cell r="A21712"/>
          <cell r="B21712"/>
          <cell r="C21712"/>
          <cell r="D21712"/>
          <cell r="E21712"/>
        </row>
        <row r="21713">
          <cell r="A21713"/>
          <cell r="B21713"/>
          <cell r="C21713"/>
          <cell r="D21713"/>
          <cell r="E21713"/>
        </row>
        <row r="21714">
          <cell r="A21714"/>
          <cell r="B21714"/>
          <cell r="C21714"/>
          <cell r="D21714"/>
          <cell r="E21714"/>
        </row>
        <row r="21715">
          <cell r="A21715"/>
          <cell r="B21715"/>
          <cell r="C21715"/>
          <cell r="D21715"/>
          <cell r="E21715"/>
        </row>
        <row r="21716">
          <cell r="A21716"/>
          <cell r="B21716"/>
          <cell r="C21716"/>
          <cell r="D21716"/>
          <cell r="E21716"/>
        </row>
        <row r="21717">
          <cell r="A21717"/>
          <cell r="B21717"/>
          <cell r="C21717"/>
          <cell r="D21717"/>
          <cell r="E21717"/>
        </row>
        <row r="21718">
          <cell r="A21718"/>
          <cell r="B21718"/>
          <cell r="C21718"/>
          <cell r="D21718"/>
          <cell r="E21718"/>
        </row>
        <row r="21719">
          <cell r="A21719"/>
          <cell r="B21719"/>
          <cell r="C21719"/>
          <cell r="D21719"/>
          <cell r="E21719"/>
        </row>
        <row r="21720">
          <cell r="A21720"/>
          <cell r="B21720"/>
          <cell r="C21720"/>
          <cell r="D21720"/>
          <cell r="E21720"/>
        </row>
        <row r="21721">
          <cell r="A21721"/>
          <cell r="B21721"/>
          <cell r="C21721"/>
          <cell r="D21721"/>
          <cell r="E21721"/>
        </row>
        <row r="21722">
          <cell r="A21722"/>
          <cell r="B21722"/>
          <cell r="C21722"/>
          <cell r="D21722"/>
          <cell r="E21722"/>
        </row>
        <row r="21723">
          <cell r="A21723"/>
          <cell r="B21723"/>
          <cell r="C21723"/>
          <cell r="D21723"/>
          <cell r="E21723"/>
        </row>
        <row r="21724">
          <cell r="A21724"/>
          <cell r="B21724"/>
          <cell r="C21724"/>
          <cell r="D21724"/>
          <cell r="E21724"/>
        </row>
        <row r="21725">
          <cell r="A21725"/>
          <cell r="B21725"/>
          <cell r="C21725"/>
          <cell r="D21725"/>
          <cell r="E21725"/>
        </row>
        <row r="21726">
          <cell r="A21726"/>
          <cell r="B21726"/>
          <cell r="C21726"/>
          <cell r="D21726"/>
          <cell r="E21726"/>
        </row>
        <row r="21727">
          <cell r="A21727"/>
          <cell r="B21727"/>
          <cell r="C21727"/>
          <cell r="D21727"/>
          <cell r="E21727"/>
        </row>
        <row r="21728">
          <cell r="A21728"/>
          <cell r="B21728"/>
          <cell r="C21728"/>
          <cell r="D21728"/>
          <cell r="E21728"/>
        </row>
        <row r="21729">
          <cell r="A21729"/>
          <cell r="B21729"/>
          <cell r="C21729"/>
          <cell r="D21729"/>
          <cell r="E21729"/>
        </row>
        <row r="21730">
          <cell r="A21730"/>
          <cell r="B21730"/>
          <cell r="C21730"/>
          <cell r="D21730"/>
          <cell r="E21730"/>
        </row>
        <row r="21731">
          <cell r="A21731"/>
          <cell r="B21731"/>
          <cell r="C21731"/>
          <cell r="D21731"/>
          <cell r="E21731"/>
        </row>
        <row r="21732">
          <cell r="A21732"/>
          <cell r="B21732"/>
          <cell r="C21732"/>
          <cell r="D21732"/>
          <cell r="E21732"/>
        </row>
        <row r="21733">
          <cell r="A21733"/>
          <cell r="B21733"/>
          <cell r="C21733"/>
          <cell r="D21733"/>
          <cell r="E21733"/>
        </row>
        <row r="21734">
          <cell r="A21734"/>
          <cell r="B21734"/>
          <cell r="C21734"/>
          <cell r="D21734"/>
          <cell r="E21734"/>
        </row>
        <row r="21735">
          <cell r="A21735"/>
          <cell r="B21735"/>
          <cell r="C21735"/>
          <cell r="D21735"/>
          <cell r="E21735"/>
        </row>
        <row r="21736">
          <cell r="A21736"/>
          <cell r="B21736"/>
          <cell r="C21736"/>
          <cell r="D21736"/>
          <cell r="E21736"/>
        </row>
        <row r="21737">
          <cell r="A21737"/>
          <cell r="B21737"/>
          <cell r="C21737"/>
          <cell r="D21737"/>
          <cell r="E21737"/>
        </row>
        <row r="21738">
          <cell r="A21738"/>
          <cell r="B21738"/>
          <cell r="C21738"/>
          <cell r="D21738"/>
          <cell r="E21738"/>
        </row>
        <row r="21739">
          <cell r="A21739"/>
          <cell r="B21739"/>
          <cell r="C21739"/>
          <cell r="D21739"/>
          <cell r="E21739"/>
        </row>
        <row r="21740">
          <cell r="A21740"/>
          <cell r="B21740"/>
          <cell r="C21740"/>
          <cell r="D21740"/>
          <cell r="E21740"/>
        </row>
        <row r="21741">
          <cell r="A21741"/>
          <cell r="B21741"/>
          <cell r="C21741"/>
          <cell r="D21741"/>
          <cell r="E21741"/>
        </row>
        <row r="21742">
          <cell r="A21742"/>
          <cell r="B21742"/>
          <cell r="C21742"/>
          <cell r="D21742"/>
          <cell r="E21742"/>
        </row>
        <row r="21743">
          <cell r="A21743"/>
          <cell r="B21743"/>
          <cell r="C21743"/>
          <cell r="D21743"/>
          <cell r="E21743"/>
        </row>
        <row r="21744">
          <cell r="A21744"/>
          <cell r="B21744"/>
          <cell r="C21744"/>
          <cell r="D21744"/>
          <cell r="E21744"/>
        </row>
        <row r="21745">
          <cell r="A21745"/>
          <cell r="B21745"/>
          <cell r="C21745"/>
          <cell r="D21745"/>
          <cell r="E21745"/>
        </row>
        <row r="21746">
          <cell r="A21746"/>
          <cell r="B21746"/>
          <cell r="C21746"/>
          <cell r="D21746"/>
          <cell r="E21746"/>
        </row>
        <row r="21747">
          <cell r="A21747"/>
          <cell r="B21747"/>
          <cell r="C21747"/>
          <cell r="D21747"/>
          <cell r="E21747"/>
        </row>
        <row r="21748">
          <cell r="A21748"/>
          <cell r="B21748"/>
          <cell r="C21748"/>
          <cell r="D21748"/>
          <cell r="E21748"/>
        </row>
        <row r="21749">
          <cell r="A21749"/>
          <cell r="B21749"/>
          <cell r="C21749"/>
          <cell r="D21749"/>
          <cell r="E21749"/>
        </row>
        <row r="21750">
          <cell r="A21750"/>
          <cell r="B21750"/>
          <cell r="C21750"/>
          <cell r="D21750"/>
          <cell r="E21750"/>
        </row>
        <row r="21751">
          <cell r="A21751"/>
          <cell r="B21751"/>
          <cell r="C21751"/>
          <cell r="D21751"/>
          <cell r="E21751"/>
        </row>
        <row r="21752">
          <cell r="A21752"/>
          <cell r="B21752"/>
          <cell r="C21752"/>
          <cell r="D21752"/>
          <cell r="E21752"/>
        </row>
        <row r="21753">
          <cell r="A21753"/>
          <cell r="B21753"/>
          <cell r="C21753"/>
          <cell r="D21753"/>
          <cell r="E21753"/>
        </row>
        <row r="21754">
          <cell r="A21754"/>
          <cell r="B21754"/>
          <cell r="C21754"/>
          <cell r="D21754"/>
          <cell r="E21754"/>
        </row>
        <row r="21755">
          <cell r="A21755"/>
          <cell r="B21755"/>
          <cell r="C21755"/>
          <cell r="D21755"/>
          <cell r="E21755"/>
        </row>
        <row r="21756">
          <cell r="A21756"/>
          <cell r="B21756"/>
          <cell r="C21756"/>
          <cell r="D21756"/>
          <cell r="E21756"/>
        </row>
        <row r="21757">
          <cell r="A21757"/>
          <cell r="B21757"/>
          <cell r="C21757"/>
          <cell r="D21757"/>
          <cell r="E21757"/>
        </row>
        <row r="21758">
          <cell r="A21758"/>
          <cell r="B21758"/>
          <cell r="C21758"/>
          <cell r="D21758"/>
          <cell r="E21758"/>
        </row>
        <row r="21759">
          <cell r="A21759"/>
          <cell r="B21759"/>
          <cell r="C21759"/>
          <cell r="D21759"/>
          <cell r="E21759"/>
        </row>
        <row r="21760">
          <cell r="A21760"/>
          <cell r="B21760"/>
          <cell r="C21760"/>
          <cell r="D21760"/>
          <cell r="E21760"/>
        </row>
        <row r="21761">
          <cell r="A21761"/>
          <cell r="B21761"/>
          <cell r="C21761"/>
          <cell r="D21761"/>
          <cell r="E21761"/>
        </row>
        <row r="21762">
          <cell r="A21762"/>
          <cell r="B21762"/>
          <cell r="C21762"/>
          <cell r="D21762"/>
          <cell r="E21762"/>
        </row>
        <row r="21763">
          <cell r="A21763"/>
          <cell r="B21763"/>
          <cell r="C21763"/>
          <cell r="D21763"/>
          <cell r="E21763"/>
        </row>
        <row r="21764">
          <cell r="A21764"/>
          <cell r="B21764"/>
          <cell r="C21764"/>
          <cell r="D21764"/>
          <cell r="E21764"/>
        </row>
        <row r="21765">
          <cell r="A21765"/>
          <cell r="B21765"/>
          <cell r="C21765"/>
          <cell r="D21765"/>
          <cell r="E21765"/>
        </row>
        <row r="21766">
          <cell r="A21766"/>
          <cell r="B21766"/>
          <cell r="C21766"/>
          <cell r="D21766"/>
          <cell r="E21766"/>
        </row>
        <row r="21767">
          <cell r="A21767"/>
          <cell r="B21767"/>
          <cell r="C21767"/>
          <cell r="D21767"/>
          <cell r="E21767"/>
        </row>
        <row r="21768">
          <cell r="A21768"/>
          <cell r="B21768"/>
          <cell r="C21768"/>
          <cell r="D21768"/>
          <cell r="E21768"/>
        </row>
        <row r="21769">
          <cell r="A21769"/>
          <cell r="B21769"/>
          <cell r="C21769"/>
          <cell r="D21769"/>
          <cell r="E21769"/>
        </row>
        <row r="21770">
          <cell r="A21770"/>
          <cell r="B21770"/>
          <cell r="C21770"/>
          <cell r="D21770"/>
          <cell r="E21770"/>
        </row>
        <row r="21771">
          <cell r="A21771"/>
          <cell r="B21771"/>
          <cell r="C21771"/>
          <cell r="D21771"/>
          <cell r="E21771"/>
        </row>
        <row r="21772">
          <cell r="A21772"/>
          <cell r="B21772"/>
          <cell r="C21772"/>
          <cell r="D21772"/>
          <cell r="E21772"/>
        </row>
        <row r="21773">
          <cell r="A21773"/>
          <cell r="B21773"/>
          <cell r="C21773"/>
          <cell r="D21773"/>
          <cell r="E21773"/>
        </row>
        <row r="21774">
          <cell r="A21774"/>
          <cell r="B21774"/>
          <cell r="C21774"/>
          <cell r="D21774"/>
          <cell r="E21774"/>
        </row>
        <row r="21775">
          <cell r="A21775"/>
          <cell r="B21775"/>
          <cell r="C21775"/>
          <cell r="D21775"/>
          <cell r="E21775"/>
        </row>
        <row r="21776">
          <cell r="A21776"/>
          <cell r="B21776"/>
          <cell r="C21776"/>
          <cell r="D21776"/>
          <cell r="E21776"/>
        </row>
        <row r="21777">
          <cell r="A21777"/>
          <cell r="B21777"/>
          <cell r="C21777"/>
          <cell r="D21777"/>
          <cell r="E21777"/>
        </row>
        <row r="21778">
          <cell r="A21778"/>
          <cell r="B21778"/>
          <cell r="C21778"/>
          <cell r="D21778"/>
          <cell r="E21778"/>
        </row>
        <row r="21779">
          <cell r="A21779"/>
          <cell r="B21779"/>
          <cell r="C21779"/>
          <cell r="D21779"/>
          <cell r="E21779"/>
        </row>
        <row r="21780">
          <cell r="A21780"/>
          <cell r="B21780"/>
          <cell r="C21780"/>
          <cell r="D21780"/>
          <cell r="E21780"/>
        </row>
        <row r="21781">
          <cell r="A21781"/>
          <cell r="B21781"/>
          <cell r="C21781"/>
          <cell r="D21781"/>
          <cell r="E21781"/>
        </row>
        <row r="21782">
          <cell r="A21782"/>
          <cell r="B21782"/>
          <cell r="C21782"/>
          <cell r="D21782"/>
          <cell r="E21782"/>
        </row>
        <row r="21783">
          <cell r="A21783"/>
          <cell r="B21783"/>
          <cell r="C21783"/>
          <cell r="D21783"/>
          <cell r="E21783"/>
        </row>
        <row r="21784">
          <cell r="A21784"/>
          <cell r="B21784"/>
          <cell r="C21784"/>
          <cell r="D21784"/>
          <cell r="E21784"/>
        </row>
        <row r="21785">
          <cell r="A21785"/>
          <cell r="B21785"/>
          <cell r="C21785"/>
          <cell r="D21785"/>
          <cell r="E21785"/>
        </row>
        <row r="21786">
          <cell r="A21786"/>
          <cell r="B21786"/>
          <cell r="C21786"/>
          <cell r="D21786"/>
          <cell r="E21786"/>
        </row>
        <row r="21787">
          <cell r="A21787"/>
          <cell r="B21787"/>
          <cell r="C21787"/>
          <cell r="D21787"/>
          <cell r="E21787"/>
        </row>
        <row r="21788">
          <cell r="A21788"/>
          <cell r="B21788"/>
          <cell r="C21788"/>
          <cell r="D21788"/>
          <cell r="E21788"/>
        </row>
        <row r="21789">
          <cell r="A21789"/>
          <cell r="B21789"/>
          <cell r="C21789"/>
          <cell r="D21789"/>
          <cell r="E21789"/>
        </row>
        <row r="21790">
          <cell r="A21790"/>
          <cell r="B21790"/>
          <cell r="C21790"/>
          <cell r="D21790"/>
          <cell r="E21790"/>
        </row>
        <row r="21791">
          <cell r="A21791"/>
          <cell r="B21791"/>
          <cell r="C21791"/>
          <cell r="D21791"/>
          <cell r="E21791"/>
        </row>
        <row r="21792">
          <cell r="A21792"/>
          <cell r="B21792"/>
          <cell r="C21792"/>
          <cell r="D21792"/>
          <cell r="E21792"/>
        </row>
        <row r="21793">
          <cell r="A21793"/>
          <cell r="B21793"/>
          <cell r="C21793"/>
          <cell r="D21793"/>
          <cell r="E21793"/>
        </row>
        <row r="21794">
          <cell r="A21794"/>
          <cell r="B21794"/>
          <cell r="C21794"/>
          <cell r="D21794"/>
          <cell r="E21794"/>
        </row>
        <row r="21795">
          <cell r="A21795"/>
          <cell r="B21795"/>
          <cell r="C21795"/>
          <cell r="D21795"/>
          <cell r="E21795"/>
        </row>
        <row r="21796">
          <cell r="A21796"/>
          <cell r="B21796"/>
          <cell r="C21796"/>
          <cell r="D21796"/>
          <cell r="E21796"/>
        </row>
        <row r="21797">
          <cell r="A21797"/>
          <cell r="B21797"/>
          <cell r="C21797"/>
          <cell r="D21797"/>
          <cell r="E21797"/>
        </row>
        <row r="21798">
          <cell r="A21798"/>
          <cell r="B21798"/>
          <cell r="C21798"/>
          <cell r="D21798"/>
          <cell r="E21798"/>
        </row>
        <row r="21799">
          <cell r="A21799"/>
          <cell r="B21799"/>
          <cell r="C21799"/>
          <cell r="D21799"/>
          <cell r="E21799"/>
        </row>
        <row r="21800">
          <cell r="A21800"/>
          <cell r="B21800"/>
          <cell r="C21800"/>
          <cell r="D21800"/>
          <cell r="E21800"/>
        </row>
        <row r="21801">
          <cell r="A21801"/>
          <cell r="B21801"/>
          <cell r="C21801"/>
          <cell r="D21801"/>
          <cell r="E21801"/>
        </row>
        <row r="21802">
          <cell r="A21802"/>
          <cell r="B21802"/>
          <cell r="C21802"/>
          <cell r="D21802"/>
          <cell r="E21802"/>
        </row>
        <row r="21803">
          <cell r="A21803"/>
          <cell r="B21803"/>
          <cell r="C21803"/>
          <cell r="D21803"/>
          <cell r="E21803"/>
        </row>
        <row r="21804">
          <cell r="A21804"/>
          <cell r="B21804"/>
          <cell r="C21804"/>
          <cell r="D21804"/>
          <cell r="E21804"/>
        </row>
        <row r="21805">
          <cell r="A21805"/>
          <cell r="B21805"/>
          <cell r="C21805"/>
          <cell r="D21805"/>
          <cell r="E21805"/>
        </row>
        <row r="21806">
          <cell r="A21806"/>
          <cell r="B21806"/>
          <cell r="C21806"/>
          <cell r="D21806"/>
          <cell r="E21806"/>
        </row>
        <row r="21807">
          <cell r="A21807"/>
          <cell r="B21807"/>
          <cell r="C21807"/>
          <cell r="D21807"/>
          <cell r="E21807"/>
        </row>
        <row r="21808">
          <cell r="A21808"/>
          <cell r="B21808"/>
          <cell r="C21808"/>
          <cell r="D21808"/>
          <cell r="E21808"/>
        </row>
        <row r="21809">
          <cell r="A21809"/>
          <cell r="B21809"/>
          <cell r="C21809"/>
          <cell r="D21809"/>
          <cell r="E21809"/>
        </row>
        <row r="21810">
          <cell r="A21810"/>
          <cell r="B21810"/>
          <cell r="C21810"/>
          <cell r="D21810"/>
          <cell r="E21810"/>
        </row>
        <row r="21811">
          <cell r="A21811"/>
          <cell r="B21811"/>
          <cell r="C21811"/>
          <cell r="D21811"/>
          <cell r="E21811"/>
        </row>
        <row r="21812">
          <cell r="A21812"/>
          <cell r="B21812"/>
          <cell r="C21812"/>
          <cell r="D21812"/>
          <cell r="E21812"/>
        </row>
        <row r="21813">
          <cell r="A21813"/>
          <cell r="B21813"/>
          <cell r="C21813"/>
          <cell r="D21813"/>
          <cell r="E21813"/>
        </row>
        <row r="21814">
          <cell r="A21814"/>
          <cell r="B21814"/>
          <cell r="C21814"/>
          <cell r="D21814"/>
          <cell r="E21814"/>
        </row>
        <row r="21815">
          <cell r="A21815"/>
          <cell r="B21815"/>
          <cell r="C21815"/>
          <cell r="D21815"/>
          <cell r="E21815"/>
        </row>
        <row r="21816">
          <cell r="A21816"/>
          <cell r="B21816"/>
          <cell r="C21816"/>
          <cell r="D21816"/>
          <cell r="E21816"/>
        </row>
        <row r="21817">
          <cell r="A21817"/>
          <cell r="B21817"/>
          <cell r="C21817"/>
          <cell r="D21817"/>
          <cell r="E21817"/>
        </row>
        <row r="21818">
          <cell r="A21818"/>
          <cell r="B21818"/>
          <cell r="C21818"/>
          <cell r="D21818"/>
          <cell r="E21818"/>
        </row>
        <row r="21819">
          <cell r="A21819"/>
          <cell r="B21819"/>
          <cell r="C21819"/>
          <cell r="D21819"/>
          <cell r="E21819"/>
        </row>
        <row r="21820">
          <cell r="A21820"/>
          <cell r="B21820"/>
          <cell r="C21820"/>
          <cell r="D21820"/>
          <cell r="E21820"/>
        </row>
        <row r="21821">
          <cell r="A21821"/>
          <cell r="B21821"/>
          <cell r="C21821"/>
          <cell r="D21821"/>
          <cell r="E21821"/>
        </row>
        <row r="21822">
          <cell r="A21822"/>
          <cell r="B21822"/>
          <cell r="C21822"/>
          <cell r="D21822"/>
          <cell r="E21822"/>
        </row>
        <row r="21823">
          <cell r="A21823"/>
          <cell r="B21823"/>
          <cell r="C21823"/>
          <cell r="D21823"/>
          <cell r="E21823"/>
        </row>
        <row r="21824">
          <cell r="A21824"/>
          <cell r="B21824"/>
          <cell r="C21824"/>
          <cell r="D21824"/>
          <cell r="E21824"/>
        </row>
        <row r="21825">
          <cell r="A21825"/>
          <cell r="B21825"/>
          <cell r="C21825"/>
          <cell r="D21825"/>
          <cell r="E21825"/>
        </row>
        <row r="21826">
          <cell r="A21826"/>
          <cell r="B21826"/>
          <cell r="C21826"/>
          <cell r="D21826"/>
          <cell r="E21826"/>
        </row>
        <row r="21827">
          <cell r="A21827"/>
          <cell r="B21827"/>
          <cell r="C21827"/>
          <cell r="D21827"/>
          <cell r="E21827"/>
        </row>
        <row r="21828">
          <cell r="A21828"/>
          <cell r="B21828"/>
          <cell r="C21828"/>
          <cell r="D21828"/>
          <cell r="E21828"/>
        </row>
        <row r="21829">
          <cell r="A21829"/>
          <cell r="B21829"/>
          <cell r="C21829"/>
          <cell r="D21829"/>
          <cell r="E21829"/>
        </row>
        <row r="21830">
          <cell r="A21830"/>
          <cell r="B21830"/>
          <cell r="C21830"/>
          <cell r="D21830"/>
          <cell r="E21830"/>
        </row>
        <row r="21831">
          <cell r="A21831"/>
          <cell r="C21831"/>
          <cell r="D21831"/>
          <cell r="E21831"/>
        </row>
        <row r="21832">
          <cell r="A21832"/>
          <cell r="C21832"/>
          <cell r="D21832"/>
          <cell r="E21832"/>
        </row>
        <row r="21833">
          <cell r="A21833"/>
          <cell r="C21833"/>
          <cell r="D21833"/>
          <cell r="E21833"/>
        </row>
        <row r="21834">
          <cell r="A21834"/>
          <cell r="C21834"/>
          <cell r="D21834"/>
          <cell r="E21834"/>
        </row>
        <row r="21835">
          <cell r="A21835"/>
          <cell r="C21835"/>
          <cell r="D21835"/>
          <cell r="E21835"/>
        </row>
        <row r="21836">
          <cell r="A21836"/>
          <cell r="C21836"/>
          <cell r="D21836"/>
          <cell r="E21836"/>
        </row>
        <row r="21837">
          <cell r="A21837"/>
          <cell r="C21837"/>
          <cell r="D21837"/>
          <cell r="E21837"/>
        </row>
        <row r="21838">
          <cell r="A21838"/>
          <cell r="C21838"/>
          <cell r="D21838"/>
          <cell r="E21838"/>
        </row>
        <row r="21839">
          <cell r="A21839"/>
          <cell r="C21839"/>
          <cell r="D21839"/>
          <cell r="E21839"/>
        </row>
        <row r="21840">
          <cell r="A21840"/>
          <cell r="C21840"/>
          <cell r="D21840"/>
          <cell r="E21840"/>
        </row>
        <row r="21841">
          <cell r="A21841"/>
          <cell r="C21841"/>
          <cell r="D21841"/>
          <cell r="E21841"/>
        </row>
        <row r="21842">
          <cell r="A21842"/>
          <cell r="C21842"/>
          <cell r="D21842"/>
          <cell r="E21842"/>
        </row>
        <row r="21843">
          <cell r="A21843"/>
          <cell r="C21843"/>
          <cell r="D21843"/>
          <cell r="E21843"/>
        </row>
        <row r="21844">
          <cell r="A21844"/>
          <cell r="C21844"/>
          <cell r="D21844"/>
          <cell r="E21844"/>
        </row>
        <row r="21845">
          <cell r="A21845"/>
          <cell r="C21845"/>
          <cell r="D21845"/>
          <cell r="E21845"/>
        </row>
        <row r="21846">
          <cell r="A21846"/>
          <cell r="C21846"/>
          <cell r="D21846"/>
          <cell r="E21846"/>
        </row>
        <row r="21847">
          <cell r="A21847"/>
          <cell r="C21847"/>
          <cell r="D21847"/>
          <cell r="E21847"/>
        </row>
        <row r="21848">
          <cell r="A21848"/>
          <cell r="C21848"/>
          <cell r="D21848"/>
          <cell r="E21848"/>
        </row>
        <row r="21849">
          <cell r="A21849"/>
          <cell r="C21849"/>
          <cell r="D21849"/>
          <cell r="E21849"/>
        </row>
        <row r="21850">
          <cell r="A21850"/>
          <cell r="C21850"/>
          <cell r="D21850"/>
          <cell r="E21850"/>
        </row>
        <row r="21851">
          <cell r="A21851"/>
          <cell r="C21851"/>
          <cell r="D21851"/>
          <cell r="E21851"/>
        </row>
        <row r="21852">
          <cell r="A21852"/>
          <cell r="C21852"/>
          <cell r="D21852"/>
          <cell r="E21852"/>
        </row>
        <row r="21853">
          <cell r="A21853"/>
          <cell r="C21853"/>
          <cell r="D21853"/>
          <cell r="E21853"/>
        </row>
        <row r="21854">
          <cell r="A21854"/>
          <cell r="C21854"/>
          <cell r="D21854"/>
          <cell r="E21854"/>
        </row>
        <row r="21855">
          <cell r="A21855"/>
          <cell r="C21855"/>
          <cell r="D21855"/>
          <cell r="E21855"/>
        </row>
        <row r="21856">
          <cell r="A21856"/>
          <cell r="B21856"/>
          <cell r="C21856"/>
          <cell r="D21856"/>
          <cell r="E21856"/>
        </row>
        <row r="21857">
          <cell r="A21857"/>
          <cell r="B21857"/>
          <cell r="C21857"/>
          <cell r="D21857"/>
          <cell r="E21857"/>
        </row>
        <row r="21858">
          <cell r="A21858"/>
          <cell r="B21858"/>
          <cell r="C21858"/>
          <cell r="D21858"/>
          <cell r="E21858"/>
        </row>
        <row r="21859">
          <cell r="A21859"/>
          <cell r="B21859"/>
          <cell r="C21859"/>
          <cell r="D21859"/>
          <cell r="E21859"/>
        </row>
        <row r="21860">
          <cell r="A21860"/>
          <cell r="B21860"/>
          <cell r="C21860"/>
          <cell r="D21860"/>
          <cell r="E21860"/>
        </row>
        <row r="21861">
          <cell r="A21861"/>
          <cell r="B21861"/>
          <cell r="C21861"/>
          <cell r="D21861"/>
          <cell r="E21861"/>
        </row>
        <row r="21862">
          <cell r="A21862"/>
          <cell r="B21862"/>
          <cell r="C21862"/>
          <cell r="D21862"/>
          <cell r="E21862"/>
        </row>
        <row r="21863">
          <cell r="A21863"/>
          <cell r="B21863"/>
          <cell r="C21863"/>
          <cell r="D21863"/>
          <cell r="E21863"/>
        </row>
        <row r="21864">
          <cell r="A21864"/>
          <cell r="B21864"/>
          <cell r="C21864"/>
          <cell r="D21864"/>
          <cell r="E21864"/>
        </row>
        <row r="21865">
          <cell r="A21865"/>
          <cell r="B21865"/>
          <cell r="C21865"/>
          <cell r="D21865"/>
          <cell r="E21865"/>
        </row>
        <row r="21866">
          <cell r="A21866"/>
          <cell r="B21866"/>
          <cell r="C21866"/>
          <cell r="D21866"/>
          <cell r="E21866"/>
        </row>
        <row r="21867">
          <cell r="A21867"/>
          <cell r="B21867"/>
          <cell r="C21867"/>
          <cell r="D21867"/>
          <cell r="E21867"/>
        </row>
        <row r="21868">
          <cell r="A21868"/>
          <cell r="B21868"/>
          <cell r="C21868"/>
          <cell r="D21868"/>
          <cell r="E21868"/>
        </row>
        <row r="21869">
          <cell r="A21869"/>
          <cell r="B21869"/>
          <cell r="C21869"/>
          <cell r="D21869"/>
          <cell r="E21869"/>
        </row>
        <row r="21870">
          <cell r="A21870"/>
          <cell r="B21870"/>
          <cell r="C21870"/>
          <cell r="D21870"/>
          <cell r="E21870"/>
        </row>
        <row r="21871">
          <cell r="A21871"/>
          <cell r="B21871"/>
          <cell r="C21871"/>
          <cell r="D21871"/>
          <cell r="E21871"/>
        </row>
        <row r="21872">
          <cell r="A21872"/>
          <cell r="B21872"/>
          <cell r="C21872"/>
          <cell r="D21872"/>
          <cell r="E21872"/>
        </row>
        <row r="21873">
          <cell r="A21873"/>
          <cell r="B21873"/>
          <cell r="C21873"/>
          <cell r="D21873"/>
          <cell r="E21873"/>
        </row>
        <row r="21874">
          <cell r="A21874"/>
          <cell r="B21874"/>
          <cell r="C21874"/>
          <cell r="D21874"/>
          <cell r="E21874"/>
        </row>
        <row r="21875">
          <cell r="A21875"/>
          <cell r="B21875"/>
          <cell r="C21875"/>
          <cell r="D21875"/>
          <cell r="E21875"/>
        </row>
        <row r="21876">
          <cell r="A21876"/>
          <cell r="B21876"/>
          <cell r="C21876"/>
          <cell r="D21876"/>
          <cell r="E21876"/>
        </row>
        <row r="21877">
          <cell r="A21877"/>
          <cell r="B21877"/>
          <cell r="C21877"/>
          <cell r="D21877"/>
          <cell r="E21877"/>
        </row>
        <row r="21878">
          <cell r="A21878"/>
          <cell r="B21878"/>
          <cell r="C21878"/>
          <cell r="D21878"/>
          <cell r="E21878"/>
        </row>
        <row r="21879">
          <cell r="A21879"/>
          <cell r="B21879"/>
          <cell r="C21879"/>
          <cell r="D21879"/>
          <cell r="E21879"/>
        </row>
        <row r="21880">
          <cell r="A21880"/>
          <cell r="B21880"/>
          <cell r="C21880"/>
          <cell r="D21880"/>
          <cell r="E21880"/>
        </row>
        <row r="21881">
          <cell r="A21881"/>
          <cell r="B21881"/>
          <cell r="C21881"/>
          <cell r="D21881"/>
          <cell r="E21881"/>
        </row>
        <row r="21882">
          <cell r="A21882"/>
          <cell r="B21882"/>
          <cell r="C21882"/>
          <cell r="D21882"/>
          <cell r="E21882"/>
        </row>
        <row r="21883">
          <cell r="A21883"/>
          <cell r="B21883"/>
          <cell r="C21883"/>
          <cell r="D21883"/>
          <cell r="E21883"/>
        </row>
        <row r="21884">
          <cell r="A21884"/>
          <cell r="B21884"/>
          <cell r="C21884"/>
          <cell r="D21884"/>
          <cell r="E21884"/>
        </row>
        <row r="21885">
          <cell r="A21885"/>
          <cell r="B21885"/>
          <cell r="C21885"/>
          <cell r="D21885"/>
          <cell r="E21885"/>
        </row>
        <row r="21886">
          <cell r="A21886"/>
          <cell r="B21886"/>
          <cell r="C21886"/>
          <cell r="D21886"/>
          <cell r="E21886"/>
        </row>
        <row r="21887">
          <cell r="A21887"/>
          <cell r="B21887"/>
          <cell r="C21887"/>
          <cell r="D21887"/>
          <cell r="E21887"/>
        </row>
        <row r="21888">
          <cell r="A21888"/>
          <cell r="B21888"/>
          <cell r="C21888"/>
          <cell r="D21888"/>
          <cell r="E21888"/>
        </row>
        <row r="21889">
          <cell r="A21889"/>
          <cell r="B21889"/>
          <cell r="C21889"/>
          <cell r="D21889"/>
          <cell r="E21889"/>
        </row>
        <row r="21890">
          <cell r="A21890"/>
          <cell r="B21890"/>
          <cell r="C21890"/>
          <cell r="D21890"/>
          <cell r="E21890"/>
        </row>
        <row r="21891">
          <cell r="A21891"/>
          <cell r="B21891"/>
          <cell r="C21891"/>
          <cell r="D21891"/>
          <cell r="E21891"/>
        </row>
        <row r="21892">
          <cell r="A21892"/>
          <cell r="B21892"/>
          <cell r="C21892"/>
          <cell r="D21892"/>
          <cell r="E21892"/>
        </row>
        <row r="21893">
          <cell r="A21893"/>
          <cell r="B21893"/>
          <cell r="C21893"/>
          <cell r="D21893"/>
          <cell r="E21893"/>
        </row>
        <row r="21894">
          <cell r="A21894"/>
          <cell r="B21894"/>
          <cell r="C21894"/>
          <cell r="D21894"/>
          <cell r="E21894"/>
        </row>
        <row r="21895">
          <cell r="A21895"/>
          <cell r="B21895"/>
          <cell r="C21895"/>
          <cell r="D21895"/>
          <cell r="E21895"/>
        </row>
        <row r="21896">
          <cell r="A21896"/>
          <cell r="B21896"/>
          <cell r="C21896"/>
          <cell r="D21896"/>
          <cell r="E21896"/>
        </row>
        <row r="21897">
          <cell r="A21897"/>
          <cell r="B21897"/>
          <cell r="C21897"/>
          <cell r="D21897"/>
          <cell r="E21897"/>
        </row>
        <row r="21898">
          <cell r="A21898"/>
          <cell r="B21898"/>
          <cell r="C21898"/>
          <cell r="D21898"/>
          <cell r="E21898"/>
        </row>
        <row r="21899">
          <cell r="A21899"/>
          <cell r="B21899"/>
          <cell r="C21899"/>
          <cell r="D21899"/>
          <cell r="E21899"/>
        </row>
        <row r="21900">
          <cell r="A21900"/>
          <cell r="B21900"/>
          <cell r="C21900"/>
          <cell r="D21900"/>
          <cell r="E21900"/>
        </row>
        <row r="21901">
          <cell r="A21901"/>
          <cell r="B21901"/>
          <cell r="C21901"/>
          <cell r="D21901"/>
          <cell r="E21901"/>
        </row>
        <row r="21902">
          <cell r="A21902"/>
          <cell r="B21902"/>
          <cell r="C21902"/>
          <cell r="D21902"/>
          <cell r="E21902"/>
        </row>
        <row r="21903">
          <cell r="A21903"/>
          <cell r="B21903"/>
          <cell r="C21903"/>
          <cell r="D21903"/>
          <cell r="E21903"/>
        </row>
        <row r="21904">
          <cell r="A21904"/>
          <cell r="B21904"/>
          <cell r="C21904"/>
          <cell r="D21904"/>
          <cell r="E21904"/>
        </row>
        <row r="21905">
          <cell r="A21905"/>
          <cell r="B21905"/>
          <cell r="C21905"/>
          <cell r="D21905"/>
          <cell r="E21905"/>
        </row>
        <row r="21906">
          <cell r="A21906"/>
          <cell r="B21906"/>
          <cell r="C21906"/>
          <cell r="D21906"/>
          <cell r="E21906"/>
        </row>
        <row r="21907">
          <cell r="A21907"/>
          <cell r="B21907"/>
          <cell r="C21907"/>
          <cell r="D21907"/>
          <cell r="E21907"/>
        </row>
        <row r="21908">
          <cell r="A21908"/>
          <cell r="B21908"/>
          <cell r="C21908"/>
          <cell r="D21908"/>
          <cell r="E21908"/>
        </row>
        <row r="21909">
          <cell r="A21909"/>
          <cell r="B21909"/>
          <cell r="C21909"/>
          <cell r="D21909"/>
          <cell r="E21909"/>
        </row>
        <row r="21910">
          <cell r="A21910"/>
          <cell r="B21910"/>
          <cell r="C21910"/>
          <cell r="D21910"/>
          <cell r="E21910"/>
        </row>
        <row r="21911">
          <cell r="A21911"/>
          <cell r="B21911"/>
          <cell r="C21911"/>
          <cell r="D21911"/>
          <cell r="E21911"/>
        </row>
        <row r="21912">
          <cell r="A21912"/>
          <cell r="B21912"/>
          <cell r="C21912"/>
          <cell r="D21912"/>
          <cell r="E21912"/>
        </row>
        <row r="21913">
          <cell r="A21913"/>
          <cell r="B21913"/>
          <cell r="C21913"/>
          <cell r="D21913"/>
          <cell r="E21913"/>
        </row>
        <row r="21914">
          <cell r="A21914"/>
          <cell r="B21914"/>
          <cell r="C21914"/>
          <cell r="D21914"/>
          <cell r="E21914"/>
        </row>
        <row r="21915">
          <cell r="A21915"/>
          <cell r="B21915"/>
          <cell r="C21915"/>
          <cell r="D21915"/>
          <cell r="E21915"/>
        </row>
        <row r="21916">
          <cell r="A21916"/>
          <cell r="B21916"/>
          <cell r="C21916"/>
          <cell r="D21916"/>
          <cell r="E21916"/>
        </row>
        <row r="21917">
          <cell r="A21917"/>
          <cell r="B21917"/>
          <cell r="C21917"/>
          <cell r="D21917"/>
          <cell r="E21917"/>
        </row>
        <row r="21918">
          <cell r="A21918"/>
          <cell r="B21918"/>
          <cell r="C21918"/>
          <cell r="D21918"/>
          <cell r="E21918"/>
        </row>
        <row r="21919">
          <cell r="A21919"/>
          <cell r="B21919"/>
          <cell r="C21919"/>
          <cell r="D21919"/>
          <cell r="E21919"/>
        </row>
        <row r="21920">
          <cell r="A21920"/>
          <cell r="B21920"/>
          <cell r="C21920"/>
          <cell r="D21920"/>
          <cell r="E21920"/>
        </row>
        <row r="21921">
          <cell r="A21921"/>
          <cell r="B21921"/>
          <cell r="C21921"/>
          <cell r="D21921"/>
          <cell r="E21921"/>
        </row>
        <row r="21922">
          <cell r="A21922"/>
          <cell r="B21922"/>
          <cell r="C21922"/>
          <cell r="D21922"/>
          <cell r="E21922"/>
        </row>
        <row r="21923">
          <cell r="A21923"/>
          <cell r="B21923"/>
          <cell r="C21923"/>
          <cell r="D21923"/>
          <cell r="E21923"/>
        </row>
        <row r="21924">
          <cell r="A21924"/>
          <cell r="B21924"/>
          <cell r="C21924"/>
          <cell r="D21924"/>
          <cell r="E21924"/>
        </row>
        <row r="21925">
          <cell r="A21925"/>
          <cell r="B21925"/>
          <cell r="C21925"/>
          <cell r="D21925"/>
          <cell r="E21925"/>
        </row>
        <row r="21926">
          <cell r="A21926"/>
          <cell r="B21926"/>
          <cell r="C21926"/>
          <cell r="D21926"/>
          <cell r="E21926"/>
        </row>
        <row r="21927">
          <cell r="A21927"/>
          <cell r="B21927"/>
          <cell r="C21927"/>
          <cell r="D21927"/>
          <cell r="E21927"/>
        </row>
        <row r="21928">
          <cell r="A21928"/>
          <cell r="B21928"/>
          <cell r="C21928"/>
          <cell r="D21928"/>
          <cell r="E21928"/>
        </row>
        <row r="21929">
          <cell r="A21929"/>
          <cell r="B21929"/>
          <cell r="C21929"/>
          <cell r="D21929"/>
          <cell r="E21929"/>
        </row>
        <row r="21930">
          <cell r="A21930"/>
          <cell r="B21930"/>
          <cell r="C21930"/>
          <cell r="D21930"/>
          <cell r="E21930"/>
        </row>
        <row r="21931">
          <cell r="A21931"/>
          <cell r="B21931"/>
          <cell r="C21931"/>
          <cell r="D21931"/>
          <cell r="E21931"/>
        </row>
        <row r="21932">
          <cell r="A21932"/>
          <cell r="B21932"/>
          <cell r="C21932"/>
          <cell r="D21932"/>
          <cell r="E21932"/>
        </row>
        <row r="21933">
          <cell r="A21933"/>
          <cell r="B21933"/>
          <cell r="C21933"/>
          <cell r="D21933"/>
          <cell r="E21933"/>
        </row>
        <row r="21934">
          <cell r="A21934"/>
          <cell r="B21934"/>
          <cell r="C21934"/>
          <cell r="D21934"/>
          <cell r="E21934"/>
        </row>
        <row r="21935">
          <cell r="A21935"/>
          <cell r="B21935"/>
          <cell r="C21935"/>
          <cell r="D21935"/>
          <cell r="E21935"/>
        </row>
        <row r="21936">
          <cell r="A21936"/>
          <cell r="B21936"/>
          <cell r="C21936"/>
          <cell r="D21936"/>
          <cell r="E21936"/>
        </row>
        <row r="21937">
          <cell r="A21937"/>
          <cell r="B21937"/>
          <cell r="C21937"/>
          <cell r="D21937"/>
          <cell r="E21937"/>
        </row>
        <row r="21938">
          <cell r="A21938"/>
          <cell r="B21938"/>
          <cell r="C21938"/>
          <cell r="D21938"/>
          <cell r="E21938"/>
        </row>
        <row r="21939">
          <cell r="A21939"/>
          <cell r="B21939"/>
          <cell r="C21939"/>
          <cell r="D21939"/>
          <cell r="E21939"/>
        </row>
        <row r="21940">
          <cell r="A21940"/>
          <cell r="B21940"/>
          <cell r="C21940"/>
          <cell r="D21940"/>
          <cell r="E21940"/>
        </row>
        <row r="21941">
          <cell r="A21941"/>
          <cell r="B21941"/>
          <cell r="C21941"/>
          <cell r="D21941"/>
          <cell r="E21941"/>
        </row>
        <row r="21942">
          <cell r="A21942"/>
          <cell r="B21942"/>
          <cell r="C21942"/>
          <cell r="D21942"/>
          <cell r="E21942"/>
        </row>
        <row r="21943">
          <cell r="A21943"/>
          <cell r="B21943"/>
          <cell r="C21943"/>
          <cell r="D21943"/>
          <cell r="E21943"/>
        </row>
        <row r="21944">
          <cell r="A21944"/>
          <cell r="B21944"/>
          <cell r="C21944"/>
          <cell r="D21944"/>
          <cell r="E21944"/>
        </row>
        <row r="21945">
          <cell r="A21945"/>
          <cell r="B21945"/>
          <cell r="C21945"/>
          <cell r="D21945"/>
          <cell r="E21945"/>
        </row>
        <row r="21946">
          <cell r="A21946"/>
          <cell r="B21946"/>
          <cell r="C21946"/>
          <cell r="D21946"/>
          <cell r="E21946"/>
        </row>
        <row r="21947">
          <cell r="A21947"/>
          <cell r="B21947"/>
          <cell r="C21947"/>
          <cell r="D21947"/>
          <cell r="E21947"/>
        </row>
        <row r="21948">
          <cell r="A21948"/>
          <cell r="B21948"/>
          <cell r="C21948"/>
          <cell r="D21948"/>
          <cell r="E21948"/>
        </row>
        <row r="21949">
          <cell r="A21949"/>
          <cell r="B21949"/>
          <cell r="C21949"/>
          <cell r="D21949"/>
          <cell r="E21949"/>
        </row>
        <row r="21950">
          <cell r="A21950"/>
          <cell r="B21950"/>
          <cell r="C21950"/>
          <cell r="D21950"/>
          <cell r="E21950"/>
        </row>
        <row r="21951">
          <cell r="A21951"/>
          <cell r="B21951"/>
          <cell r="C21951"/>
          <cell r="D21951"/>
          <cell r="E21951"/>
        </row>
        <row r="21952">
          <cell r="A21952"/>
          <cell r="B21952"/>
          <cell r="C21952"/>
          <cell r="D21952"/>
          <cell r="E21952"/>
        </row>
        <row r="21953">
          <cell r="A21953"/>
          <cell r="B21953"/>
          <cell r="C21953"/>
          <cell r="D21953"/>
          <cell r="E21953"/>
        </row>
        <row r="21954">
          <cell r="A21954"/>
          <cell r="B21954"/>
          <cell r="C21954"/>
          <cell r="D21954"/>
          <cell r="E21954"/>
        </row>
        <row r="21955">
          <cell r="A21955"/>
          <cell r="B21955"/>
          <cell r="C21955"/>
          <cell r="D21955"/>
          <cell r="E21955"/>
        </row>
        <row r="21956">
          <cell r="A21956"/>
          <cell r="B21956"/>
          <cell r="C21956"/>
          <cell r="D21956"/>
          <cell r="E21956"/>
        </row>
        <row r="21957">
          <cell r="A21957"/>
          <cell r="B21957"/>
          <cell r="C21957"/>
          <cell r="D21957"/>
          <cell r="E21957"/>
        </row>
        <row r="21958">
          <cell r="A21958"/>
          <cell r="B21958"/>
          <cell r="C21958"/>
          <cell r="D21958"/>
          <cell r="E21958"/>
        </row>
        <row r="21959">
          <cell r="A21959"/>
          <cell r="B21959"/>
          <cell r="C21959"/>
          <cell r="D21959"/>
          <cell r="E21959"/>
        </row>
        <row r="21960">
          <cell r="A21960"/>
          <cell r="B21960"/>
          <cell r="C21960"/>
          <cell r="D21960"/>
          <cell r="E21960"/>
        </row>
        <row r="21961">
          <cell r="A21961"/>
          <cell r="B21961"/>
          <cell r="C21961"/>
          <cell r="D21961"/>
          <cell r="E21961"/>
        </row>
        <row r="21962">
          <cell r="A21962"/>
          <cell r="B21962"/>
          <cell r="C21962"/>
          <cell r="D21962"/>
          <cell r="E21962"/>
        </row>
        <row r="21963">
          <cell r="A21963"/>
          <cell r="B21963"/>
          <cell r="C21963"/>
          <cell r="D21963"/>
          <cell r="E21963"/>
        </row>
        <row r="21964">
          <cell r="A21964"/>
          <cell r="B21964"/>
          <cell r="C21964"/>
          <cell r="D21964"/>
          <cell r="E21964"/>
        </row>
        <row r="21965">
          <cell r="A21965"/>
          <cell r="B21965"/>
          <cell r="C21965"/>
          <cell r="D21965"/>
          <cell r="E21965"/>
        </row>
        <row r="21966">
          <cell r="A21966"/>
          <cell r="B21966"/>
          <cell r="C21966"/>
          <cell r="D21966"/>
          <cell r="E21966"/>
        </row>
        <row r="21967">
          <cell r="A21967"/>
          <cell r="B21967"/>
          <cell r="C21967"/>
          <cell r="D21967"/>
          <cell r="E21967"/>
        </row>
        <row r="21968">
          <cell r="A21968"/>
          <cell r="B21968"/>
          <cell r="C21968"/>
          <cell r="D21968"/>
          <cell r="E21968"/>
        </row>
        <row r="21969">
          <cell r="A21969"/>
          <cell r="B21969"/>
          <cell r="C21969"/>
          <cell r="D21969"/>
          <cell r="E21969"/>
        </row>
        <row r="21970">
          <cell r="A21970"/>
          <cell r="B21970"/>
          <cell r="C21970"/>
          <cell r="D21970"/>
          <cell r="E21970"/>
        </row>
        <row r="21971">
          <cell r="A21971"/>
          <cell r="B21971"/>
          <cell r="C21971"/>
          <cell r="D21971"/>
          <cell r="E21971"/>
        </row>
        <row r="21972">
          <cell r="A21972"/>
          <cell r="B21972"/>
          <cell r="C21972"/>
          <cell r="D21972"/>
          <cell r="E21972"/>
        </row>
        <row r="21973">
          <cell r="A21973"/>
          <cell r="B21973"/>
          <cell r="C21973"/>
          <cell r="D21973"/>
          <cell r="E21973"/>
        </row>
        <row r="21974">
          <cell r="A21974"/>
          <cell r="B21974"/>
          <cell r="C21974"/>
          <cell r="D21974"/>
          <cell r="E21974"/>
        </row>
        <row r="21975">
          <cell r="A21975"/>
          <cell r="B21975"/>
          <cell r="C21975"/>
          <cell r="D21975"/>
          <cell r="E21975"/>
        </row>
        <row r="21976">
          <cell r="A21976"/>
          <cell r="B21976"/>
          <cell r="C21976"/>
          <cell r="D21976"/>
          <cell r="E21976"/>
        </row>
        <row r="21977">
          <cell r="A21977"/>
          <cell r="B21977"/>
          <cell r="C21977"/>
          <cell r="D21977"/>
          <cell r="E21977"/>
        </row>
        <row r="21978">
          <cell r="A21978"/>
          <cell r="B21978"/>
          <cell r="C21978"/>
          <cell r="D21978"/>
          <cell r="E21978"/>
        </row>
        <row r="21979">
          <cell r="A21979"/>
          <cell r="B21979"/>
          <cell r="C21979"/>
          <cell r="D21979"/>
          <cell r="E21979"/>
        </row>
        <row r="21980">
          <cell r="A21980"/>
          <cell r="B21980"/>
          <cell r="C21980"/>
          <cell r="D21980"/>
          <cell r="E21980"/>
        </row>
        <row r="21981">
          <cell r="A21981"/>
          <cell r="B21981"/>
          <cell r="C21981"/>
          <cell r="D21981"/>
          <cell r="E21981"/>
        </row>
        <row r="21982">
          <cell r="A21982"/>
          <cell r="B21982"/>
          <cell r="C21982"/>
          <cell r="D21982"/>
          <cell r="E21982"/>
        </row>
        <row r="21983">
          <cell r="A21983"/>
          <cell r="B21983"/>
          <cell r="C21983"/>
          <cell r="D21983"/>
          <cell r="E21983"/>
        </row>
        <row r="21984">
          <cell r="A21984"/>
          <cell r="B21984"/>
          <cell r="C21984"/>
          <cell r="D21984"/>
          <cell r="E21984"/>
        </row>
        <row r="21985">
          <cell r="A21985"/>
          <cell r="B21985"/>
          <cell r="C21985"/>
          <cell r="D21985"/>
          <cell r="E21985"/>
        </row>
        <row r="21986">
          <cell r="A21986"/>
          <cell r="B21986"/>
          <cell r="C21986"/>
          <cell r="D21986"/>
          <cell r="E21986"/>
        </row>
        <row r="21987">
          <cell r="A21987"/>
          <cell r="B21987"/>
          <cell r="C21987"/>
          <cell r="D21987"/>
          <cell r="E21987"/>
        </row>
        <row r="21988">
          <cell r="A21988"/>
          <cell r="B21988"/>
          <cell r="C21988"/>
          <cell r="D21988"/>
          <cell r="E21988"/>
        </row>
        <row r="21989">
          <cell r="A21989"/>
          <cell r="B21989"/>
          <cell r="C21989"/>
          <cell r="D21989"/>
          <cell r="E21989"/>
        </row>
        <row r="21990">
          <cell r="A21990"/>
          <cell r="B21990"/>
          <cell r="C21990"/>
          <cell r="D21990"/>
          <cell r="E21990"/>
        </row>
        <row r="21991">
          <cell r="A21991"/>
          <cell r="B21991"/>
          <cell r="C21991"/>
          <cell r="D21991"/>
          <cell r="E21991"/>
        </row>
        <row r="21992">
          <cell r="A21992"/>
          <cell r="B21992"/>
          <cell r="C21992"/>
          <cell r="D21992"/>
          <cell r="E21992"/>
        </row>
        <row r="21993">
          <cell r="A21993"/>
          <cell r="B21993"/>
          <cell r="C21993"/>
          <cell r="D21993"/>
          <cell r="E21993"/>
        </row>
        <row r="21994">
          <cell r="A21994"/>
          <cell r="B21994"/>
          <cell r="C21994"/>
          <cell r="D21994"/>
          <cell r="E21994"/>
        </row>
        <row r="21995">
          <cell r="A21995"/>
          <cell r="B21995"/>
          <cell r="C21995"/>
          <cell r="D21995"/>
          <cell r="E21995"/>
        </row>
        <row r="21996">
          <cell r="A21996"/>
          <cell r="B21996"/>
          <cell r="C21996"/>
          <cell r="D21996"/>
          <cell r="E21996"/>
        </row>
        <row r="21997">
          <cell r="A21997"/>
          <cell r="B21997"/>
          <cell r="C21997"/>
          <cell r="D21997"/>
          <cell r="E21997"/>
        </row>
        <row r="21998">
          <cell r="A21998"/>
          <cell r="B21998"/>
          <cell r="C21998"/>
          <cell r="D21998"/>
          <cell r="E21998"/>
        </row>
        <row r="21999">
          <cell r="A21999"/>
          <cell r="B21999"/>
          <cell r="C21999"/>
          <cell r="D21999"/>
          <cell r="E21999"/>
        </row>
        <row r="22000">
          <cell r="A22000"/>
          <cell r="B22000"/>
          <cell r="C22000"/>
          <cell r="D22000"/>
          <cell r="E22000"/>
        </row>
        <row r="22001">
          <cell r="A22001"/>
          <cell r="B22001"/>
          <cell r="C22001"/>
          <cell r="D22001"/>
          <cell r="E22001"/>
        </row>
        <row r="22002">
          <cell r="A22002"/>
          <cell r="B22002"/>
          <cell r="C22002"/>
          <cell r="D22002"/>
          <cell r="E22002"/>
        </row>
        <row r="22003">
          <cell r="A22003"/>
          <cell r="B22003"/>
          <cell r="C22003"/>
          <cell r="D22003"/>
          <cell r="E22003"/>
        </row>
        <row r="22004">
          <cell r="A22004"/>
          <cell r="B22004"/>
          <cell r="C22004"/>
          <cell r="D22004"/>
          <cell r="E22004"/>
        </row>
        <row r="22005">
          <cell r="A22005"/>
          <cell r="B22005"/>
          <cell r="C22005"/>
          <cell r="D22005"/>
          <cell r="E22005"/>
        </row>
        <row r="22006">
          <cell r="A22006"/>
          <cell r="B22006"/>
          <cell r="C22006"/>
          <cell r="D22006"/>
          <cell r="E22006"/>
        </row>
        <row r="22007">
          <cell r="A22007"/>
          <cell r="B22007"/>
          <cell r="C22007"/>
          <cell r="D22007"/>
          <cell r="E22007"/>
        </row>
        <row r="22008">
          <cell r="A22008"/>
          <cell r="B22008"/>
          <cell r="C22008"/>
          <cell r="D22008"/>
          <cell r="E22008"/>
        </row>
        <row r="22009">
          <cell r="A22009"/>
          <cell r="B22009"/>
          <cell r="C22009"/>
          <cell r="D22009"/>
          <cell r="E22009"/>
        </row>
        <row r="22010">
          <cell r="A22010"/>
          <cell r="B22010"/>
          <cell r="C22010"/>
          <cell r="D22010"/>
          <cell r="E22010"/>
        </row>
        <row r="22011">
          <cell r="A22011"/>
          <cell r="B22011"/>
          <cell r="C22011"/>
          <cell r="D22011"/>
          <cell r="E22011"/>
        </row>
        <row r="22012">
          <cell r="A22012"/>
          <cell r="B22012"/>
          <cell r="C22012"/>
          <cell r="D22012"/>
          <cell r="E22012"/>
        </row>
        <row r="22013">
          <cell r="A22013"/>
          <cell r="B22013"/>
          <cell r="C22013"/>
          <cell r="D22013"/>
          <cell r="E22013"/>
        </row>
        <row r="22014">
          <cell r="A22014"/>
          <cell r="B22014"/>
          <cell r="C22014"/>
          <cell r="D22014"/>
          <cell r="E22014"/>
        </row>
        <row r="22015">
          <cell r="A22015"/>
          <cell r="B22015"/>
          <cell r="C22015"/>
          <cell r="D22015"/>
          <cell r="E22015"/>
        </row>
        <row r="22016">
          <cell r="A22016"/>
          <cell r="B22016"/>
          <cell r="C22016"/>
          <cell r="D22016"/>
          <cell r="E22016"/>
        </row>
        <row r="22017">
          <cell r="A22017"/>
          <cell r="B22017"/>
          <cell r="C22017"/>
          <cell r="D22017"/>
          <cell r="E22017"/>
        </row>
        <row r="22018">
          <cell r="A22018"/>
          <cell r="B22018"/>
          <cell r="C22018"/>
          <cell r="D22018"/>
          <cell r="E22018"/>
        </row>
        <row r="22019">
          <cell r="A22019"/>
          <cell r="B22019"/>
          <cell r="C22019"/>
          <cell r="D22019"/>
          <cell r="E22019"/>
        </row>
        <row r="22020">
          <cell r="A22020"/>
          <cell r="B22020"/>
          <cell r="C22020"/>
          <cell r="D22020"/>
          <cell r="E22020"/>
        </row>
        <row r="22021">
          <cell r="A22021"/>
          <cell r="B22021"/>
          <cell r="C22021"/>
          <cell r="D22021"/>
          <cell r="E22021"/>
        </row>
        <row r="22022">
          <cell r="A22022"/>
          <cell r="B22022"/>
          <cell r="C22022"/>
          <cell r="D22022"/>
          <cell r="E22022"/>
        </row>
        <row r="22023">
          <cell r="A22023"/>
          <cell r="B22023"/>
          <cell r="C22023"/>
          <cell r="D22023"/>
          <cell r="E22023"/>
        </row>
        <row r="22024">
          <cell r="A22024"/>
          <cell r="B22024"/>
          <cell r="C22024"/>
          <cell r="D22024"/>
          <cell r="E22024"/>
        </row>
        <row r="22025">
          <cell r="A22025"/>
          <cell r="B22025"/>
          <cell r="C22025"/>
          <cell r="D22025"/>
          <cell r="E22025"/>
        </row>
        <row r="22026">
          <cell r="A22026"/>
          <cell r="B22026"/>
          <cell r="C22026"/>
          <cell r="D22026"/>
          <cell r="E22026"/>
        </row>
        <row r="22027">
          <cell r="A22027"/>
          <cell r="B22027"/>
          <cell r="C22027"/>
          <cell r="D22027"/>
          <cell r="E22027"/>
        </row>
        <row r="22028">
          <cell r="A22028"/>
          <cell r="B22028"/>
          <cell r="C22028"/>
          <cell r="D22028"/>
          <cell r="E22028"/>
        </row>
        <row r="22029">
          <cell r="A22029"/>
          <cell r="B22029"/>
          <cell r="C22029"/>
          <cell r="D22029"/>
          <cell r="E22029"/>
        </row>
        <row r="22030">
          <cell r="A22030"/>
          <cell r="B22030"/>
          <cell r="C22030"/>
          <cell r="D22030"/>
          <cell r="E22030"/>
        </row>
        <row r="22031">
          <cell r="A22031"/>
          <cell r="B22031"/>
          <cell r="C22031"/>
          <cell r="D22031"/>
          <cell r="E22031"/>
        </row>
        <row r="22032">
          <cell r="A22032"/>
          <cell r="B22032"/>
          <cell r="C22032"/>
          <cell r="D22032"/>
          <cell r="E22032"/>
        </row>
        <row r="22033">
          <cell r="A22033"/>
          <cell r="B22033"/>
          <cell r="C22033"/>
          <cell r="D22033"/>
          <cell r="E22033"/>
        </row>
        <row r="22034">
          <cell r="A22034"/>
          <cell r="B22034"/>
          <cell r="C22034"/>
          <cell r="D22034"/>
          <cell r="E22034"/>
        </row>
        <row r="22035">
          <cell r="A22035"/>
          <cell r="B22035"/>
          <cell r="C22035"/>
          <cell r="D22035"/>
          <cell r="E22035"/>
        </row>
        <row r="22036">
          <cell r="A22036"/>
          <cell r="B22036"/>
          <cell r="C22036"/>
          <cell r="D22036"/>
          <cell r="E22036"/>
        </row>
        <row r="22037">
          <cell r="A22037"/>
          <cell r="B22037"/>
          <cell r="C22037"/>
          <cell r="D22037"/>
          <cell r="E22037"/>
        </row>
        <row r="22038">
          <cell r="A22038"/>
          <cell r="B22038"/>
          <cell r="C22038"/>
          <cell r="D22038"/>
          <cell r="E22038"/>
        </row>
        <row r="22039">
          <cell r="A22039"/>
          <cell r="B22039"/>
          <cell r="C22039"/>
          <cell r="D22039"/>
          <cell r="E22039"/>
        </row>
        <row r="22040">
          <cell r="A22040"/>
          <cell r="B22040"/>
          <cell r="C22040"/>
          <cell r="D22040"/>
          <cell r="E22040"/>
        </row>
        <row r="22041">
          <cell r="A22041"/>
          <cell r="B22041"/>
          <cell r="C22041"/>
          <cell r="D22041"/>
          <cell r="E22041"/>
        </row>
        <row r="22042">
          <cell r="A22042"/>
          <cell r="B22042"/>
          <cell r="C22042"/>
          <cell r="D22042"/>
          <cell r="E22042"/>
        </row>
        <row r="22043">
          <cell r="A22043"/>
          <cell r="B22043"/>
          <cell r="C22043"/>
          <cell r="D22043"/>
          <cell r="E22043"/>
        </row>
        <row r="22044">
          <cell r="A22044"/>
          <cell r="B22044"/>
          <cell r="C22044"/>
          <cell r="D22044"/>
          <cell r="E22044"/>
        </row>
        <row r="22045">
          <cell r="A22045"/>
          <cell r="B22045"/>
          <cell r="C22045"/>
          <cell r="D22045"/>
          <cell r="E22045"/>
        </row>
        <row r="22046">
          <cell r="A22046"/>
          <cell r="B22046"/>
          <cell r="C22046"/>
          <cell r="D22046"/>
          <cell r="E22046"/>
        </row>
        <row r="22047">
          <cell r="A22047"/>
          <cell r="B22047"/>
          <cell r="C22047"/>
          <cell r="D22047"/>
          <cell r="E22047"/>
        </row>
        <row r="22048">
          <cell r="A22048"/>
          <cell r="B22048"/>
          <cell r="C22048"/>
          <cell r="D22048"/>
          <cell r="E22048"/>
        </row>
        <row r="22049">
          <cell r="A22049"/>
          <cell r="B22049"/>
          <cell r="C22049"/>
          <cell r="D22049"/>
          <cell r="E22049"/>
        </row>
        <row r="22050">
          <cell r="A22050"/>
          <cell r="B22050"/>
          <cell r="C22050"/>
          <cell r="D22050"/>
          <cell r="E22050"/>
        </row>
        <row r="22051">
          <cell r="A22051"/>
          <cell r="B22051"/>
          <cell r="C22051"/>
          <cell r="D22051"/>
          <cell r="E22051"/>
        </row>
        <row r="22052">
          <cell r="A22052"/>
          <cell r="B22052"/>
          <cell r="C22052"/>
          <cell r="D22052"/>
          <cell r="E22052"/>
        </row>
        <row r="22053">
          <cell r="A22053"/>
          <cell r="B22053"/>
          <cell r="C22053"/>
          <cell r="D22053"/>
          <cell r="E22053"/>
        </row>
        <row r="22054">
          <cell r="A22054"/>
          <cell r="B22054"/>
          <cell r="C22054"/>
          <cell r="D22054"/>
          <cell r="E22054"/>
        </row>
        <row r="22055">
          <cell r="A22055"/>
          <cell r="B22055"/>
          <cell r="C22055"/>
          <cell r="D22055"/>
          <cell r="E22055"/>
        </row>
        <row r="22056">
          <cell r="A22056"/>
          <cell r="B22056"/>
          <cell r="C22056"/>
          <cell r="D22056"/>
          <cell r="E22056"/>
        </row>
        <row r="22057">
          <cell r="A22057"/>
          <cell r="B22057"/>
          <cell r="C22057"/>
          <cell r="D22057"/>
          <cell r="E22057"/>
        </row>
        <row r="22058">
          <cell r="A22058"/>
          <cell r="B22058"/>
          <cell r="C22058"/>
          <cell r="D22058"/>
          <cell r="E22058"/>
        </row>
        <row r="22059">
          <cell r="A22059"/>
          <cell r="B22059"/>
          <cell r="C22059"/>
          <cell r="D22059"/>
          <cell r="E22059"/>
        </row>
        <row r="22060">
          <cell r="A22060"/>
          <cell r="B22060"/>
          <cell r="C22060"/>
          <cell r="D22060"/>
          <cell r="E22060"/>
        </row>
        <row r="22061">
          <cell r="A22061"/>
          <cell r="B22061"/>
          <cell r="C22061"/>
          <cell r="D22061"/>
          <cell r="E22061"/>
        </row>
        <row r="22062">
          <cell r="A22062"/>
          <cell r="B22062"/>
          <cell r="C22062"/>
          <cell r="D22062"/>
          <cell r="E22062"/>
        </row>
        <row r="22063">
          <cell r="A22063"/>
          <cell r="B22063"/>
          <cell r="C22063"/>
          <cell r="D22063"/>
          <cell r="E22063"/>
        </row>
        <row r="22064">
          <cell r="A22064"/>
          <cell r="B22064"/>
          <cell r="C22064"/>
          <cell r="D22064"/>
          <cell r="E22064"/>
        </row>
        <row r="22065">
          <cell r="A22065"/>
          <cell r="B22065"/>
          <cell r="C22065"/>
          <cell r="D22065"/>
          <cell r="E22065"/>
        </row>
        <row r="22066">
          <cell r="A22066"/>
          <cell r="B22066"/>
          <cell r="C22066"/>
          <cell r="D22066"/>
          <cell r="E22066"/>
        </row>
        <row r="22067">
          <cell r="A22067"/>
          <cell r="B22067"/>
          <cell r="C22067"/>
          <cell r="D22067"/>
          <cell r="E22067"/>
        </row>
        <row r="22068">
          <cell r="A22068"/>
          <cell r="B22068"/>
          <cell r="C22068"/>
          <cell r="D22068"/>
          <cell r="E22068"/>
        </row>
        <row r="22069">
          <cell r="A22069"/>
          <cell r="B22069"/>
          <cell r="C22069"/>
          <cell r="D22069"/>
          <cell r="E22069"/>
        </row>
        <row r="22070">
          <cell r="A22070"/>
          <cell r="B22070"/>
          <cell r="C22070"/>
          <cell r="D22070"/>
          <cell r="E22070"/>
        </row>
        <row r="22071">
          <cell r="A22071"/>
          <cell r="B22071"/>
          <cell r="C22071"/>
          <cell r="D22071"/>
          <cell r="E22071"/>
        </row>
        <row r="22072">
          <cell r="A22072"/>
          <cell r="B22072"/>
          <cell r="C22072"/>
          <cell r="D22072"/>
          <cell r="E22072"/>
        </row>
        <row r="22073">
          <cell r="A22073"/>
          <cell r="B22073"/>
          <cell r="C22073"/>
          <cell r="D22073"/>
          <cell r="E22073"/>
        </row>
        <row r="22074">
          <cell r="A22074"/>
          <cell r="B22074"/>
          <cell r="C22074"/>
          <cell r="D22074"/>
          <cell r="E22074"/>
        </row>
        <row r="22075">
          <cell r="A22075"/>
          <cell r="B22075"/>
          <cell r="C22075"/>
          <cell r="D22075"/>
          <cell r="E22075"/>
        </row>
        <row r="22076">
          <cell r="A22076"/>
          <cell r="B22076"/>
          <cell r="C22076"/>
          <cell r="D22076"/>
          <cell r="E22076"/>
        </row>
        <row r="22077">
          <cell r="A22077"/>
          <cell r="B22077"/>
          <cell r="C22077"/>
          <cell r="D22077"/>
          <cell r="E22077"/>
        </row>
        <row r="22078">
          <cell r="A22078"/>
          <cell r="B22078"/>
          <cell r="C22078"/>
          <cell r="D22078"/>
          <cell r="E22078"/>
        </row>
        <row r="22079">
          <cell r="A22079"/>
          <cell r="B22079"/>
          <cell r="C22079"/>
          <cell r="D22079"/>
          <cell r="E22079"/>
        </row>
        <row r="22080">
          <cell r="A22080"/>
          <cell r="B22080"/>
          <cell r="C22080"/>
          <cell r="D22080"/>
          <cell r="E22080"/>
        </row>
        <row r="22081">
          <cell r="A22081"/>
          <cell r="B22081"/>
          <cell r="C22081"/>
          <cell r="D22081"/>
          <cell r="E22081"/>
        </row>
        <row r="22082">
          <cell r="A22082"/>
          <cell r="B22082"/>
          <cell r="C22082"/>
          <cell r="D22082"/>
          <cell r="E22082"/>
        </row>
        <row r="22083">
          <cell r="A22083"/>
          <cell r="B22083"/>
          <cell r="C22083"/>
          <cell r="D22083"/>
          <cell r="E22083"/>
        </row>
        <row r="22084">
          <cell r="A22084"/>
          <cell r="B22084"/>
          <cell r="C22084"/>
          <cell r="D22084"/>
          <cell r="E22084"/>
        </row>
        <row r="22085">
          <cell r="A22085"/>
          <cell r="B22085"/>
          <cell r="C22085"/>
          <cell r="D22085"/>
          <cell r="E22085"/>
        </row>
        <row r="22086">
          <cell r="A22086"/>
          <cell r="B22086"/>
          <cell r="C22086"/>
          <cell r="D22086"/>
          <cell r="E22086"/>
        </row>
        <row r="22087">
          <cell r="A22087"/>
          <cell r="B22087"/>
          <cell r="C22087"/>
          <cell r="D22087"/>
          <cell r="E22087"/>
        </row>
        <row r="22088">
          <cell r="A22088"/>
          <cell r="B22088"/>
          <cell r="C22088"/>
          <cell r="D22088"/>
          <cell r="E22088"/>
        </row>
        <row r="22089">
          <cell r="A22089"/>
          <cell r="B22089"/>
          <cell r="C22089"/>
          <cell r="D22089"/>
          <cell r="E22089"/>
        </row>
        <row r="22090">
          <cell r="A22090"/>
          <cell r="B22090"/>
          <cell r="C22090"/>
          <cell r="D22090"/>
          <cell r="E22090"/>
        </row>
        <row r="22091">
          <cell r="A22091"/>
          <cell r="B22091"/>
          <cell r="C22091"/>
          <cell r="D22091"/>
          <cell r="E22091"/>
        </row>
        <row r="22092">
          <cell r="A22092"/>
          <cell r="B22092"/>
          <cell r="C22092"/>
          <cell r="D22092"/>
          <cell r="E22092"/>
        </row>
        <row r="22093">
          <cell r="A22093"/>
          <cell r="B22093"/>
          <cell r="C22093"/>
          <cell r="D22093"/>
          <cell r="E22093"/>
        </row>
        <row r="22094">
          <cell r="A22094"/>
          <cell r="B22094"/>
          <cell r="C22094"/>
          <cell r="D22094"/>
          <cell r="E22094"/>
        </row>
        <row r="22095">
          <cell r="A22095"/>
          <cell r="B22095"/>
          <cell r="C22095"/>
          <cell r="D22095"/>
          <cell r="E22095"/>
        </row>
        <row r="22096">
          <cell r="A22096"/>
          <cell r="B22096"/>
          <cell r="C22096"/>
          <cell r="D22096"/>
          <cell r="E22096"/>
        </row>
        <row r="22097">
          <cell r="A22097"/>
          <cell r="B22097"/>
          <cell r="C22097"/>
          <cell r="D22097"/>
          <cell r="E22097"/>
        </row>
        <row r="22098">
          <cell r="A22098"/>
          <cell r="B22098"/>
          <cell r="C22098"/>
          <cell r="D22098"/>
          <cell r="E22098"/>
        </row>
        <row r="22099">
          <cell r="A22099"/>
          <cell r="B22099"/>
          <cell r="C22099"/>
          <cell r="D22099"/>
          <cell r="E22099"/>
        </row>
        <row r="22100">
          <cell r="A22100"/>
          <cell r="B22100"/>
          <cell r="C22100"/>
          <cell r="D22100"/>
          <cell r="E22100"/>
        </row>
        <row r="22101">
          <cell r="A22101"/>
          <cell r="B22101"/>
          <cell r="C22101"/>
          <cell r="D22101"/>
          <cell r="E22101"/>
        </row>
        <row r="22102">
          <cell r="A22102"/>
          <cell r="B22102"/>
          <cell r="C22102"/>
          <cell r="D22102"/>
          <cell r="E22102"/>
        </row>
        <row r="22103">
          <cell r="A22103"/>
          <cell r="B22103"/>
          <cell r="C22103"/>
          <cell r="D22103"/>
          <cell r="E22103"/>
        </row>
        <row r="22104">
          <cell r="A22104"/>
          <cell r="B22104"/>
          <cell r="C22104"/>
          <cell r="D22104"/>
          <cell r="E22104"/>
        </row>
        <row r="22105">
          <cell r="A22105"/>
          <cell r="B22105"/>
          <cell r="C22105"/>
          <cell r="D22105"/>
          <cell r="E22105"/>
        </row>
        <row r="22106">
          <cell r="A22106"/>
          <cell r="B22106"/>
          <cell r="C22106"/>
          <cell r="D22106"/>
          <cell r="E22106"/>
        </row>
        <row r="22107">
          <cell r="A22107"/>
          <cell r="B22107"/>
          <cell r="C22107"/>
          <cell r="D22107"/>
          <cell r="E22107"/>
        </row>
        <row r="22108">
          <cell r="A22108"/>
          <cell r="B22108"/>
          <cell r="C22108"/>
          <cell r="D22108"/>
          <cell r="E22108"/>
        </row>
        <row r="22109">
          <cell r="A22109"/>
          <cell r="B22109"/>
          <cell r="C22109"/>
          <cell r="D22109"/>
          <cell r="E22109"/>
        </row>
        <row r="22110">
          <cell r="A22110"/>
          <cell r="B22110"/>
          <cell r="C22110"/>
          <cell r="D22110"/>
          <cell r="E22110"/>
        </row>
        <row r="22111">
          <cell r="A22111"/>
          <cell r="B22111"/>
          <cell r="C22111"/>
          <cell r="D22111"/>
          <cell r="E22111"/>
        </row>
        <row r="22112">
          <cell r="A22112"/>
          <cell r="B22112"/>
          <cell r="C22112"/>
          <cell r="D22112"/>
          <cell r="E22112"/>
        </row>
        <row r="22113">
          <cell r="A22113"/>
          <cell r="B22113"/>
          <cell r="C22113"/>
          <cell r="D22113"/>
          <cell r="E22113"/>
        </row>
        <row r="22114">
          <cell r="A22114"/>
          <cell r="B22114"/>
          <cell r="C22114"/>
          <cell r="D22114"/>
          <cell r="E22114"/>
        </row>
        <row r="22115">
          <cell r="A22115"/>
          <cell r="B22115"/>
          <cell r="C22115"/>
          <cell r="D22115"/>
          <cell r="E22115"/>
        </row>
        <row r="22116">
          <cell r="A22116"/>
          <cell r="B22116"/>
          <cell r="C22116"/>
          <cell r="D22116"/>
          <cell r="E22116"/>
        </row>
        <row r="22117">
          <cell r="A22117"/>
          <cell r="B22117"/>
          <cell r="C22117"/>
          <cell r="D22117"/>
          <cell r="E22117"/>
        </row>
        <row r="22118">
          <cell r="A22118"/>
          <cell r="B22118"/>
          <cell r="C22118"/>
          <cell r="D22118"/>
          <cell r="E22118"/>
        </row>
        <row r="22119">
          <cell r="A22119"/>
          <cell r="B22119"/>
          <cell r="C22119"/>
          <cell r="D22119"/>
          <cell r="E22119"/>
        </row>
        <row r="22120">
          <cell r="A22120"/>
          <cell r="B22120"/>
          <cell r="C22120"/>
          <cell r="D22120"/>
          <cell r="E22120"/>
        </row>
        <row r="22121">
          <cell r="A22121"/>
          <cell r="B22121"/>
          <cell r="C22121"/>
          <cell r="D22121"/>
          <cell r="E22121"/>
        </row>
        <row r="22122">
          <cell r="A22122"/>
          <cell r="B22122"/>
          <cell r="C22122"/>
          <cell r="D22122"/>
          <cell r="E22122"/>
        </row>
        <row r="22123">
          <cell r="A22123"/>
          <cell r="B22123"/>
          <cell r="C22123"/>
          <cell r="D22123"/>
          <cell r="E22123"/>
        </row>
        <row r="22124">
          <cell r="A22124"/>
          <cell r="B22124"/>
          <cell r="C22124"/>
          <cell r="D22124"/>
          <cell r="E22124"/>
        </row>
        <row r="22125">
          <cell r="A22125"/>
          <cell r="B22125"/>
          <cell r="C22125"/>
          <cell r="D22125"/>
          <cell r="E22125"/>
        </row>
        <row r="22126">
          <cell r="A22126"/>
          <cell r="B22126"/>
          <cell r="C22126"/>
          <cell r="D22126"/>
          <cell r="E22126"/>
        </row>
        <row r="22127">
          <cell r="A22127"/>
          <cell r="B22127"/>
          <cell r="C22127"/>
          <cell r="D22127"/>
          <cell r="E22127"/>
        </row>
        <row r="22128">
          <cell r="A22128"/>
          <cell r="B22128"/>
          <cell r="C22128"/>
          <cell r="D22128"/>
          <cell r="E22128"/>
        </row>
        <row r="22129">
          <cell r="A22129"/>
          <cell r="B22129"/>
          <cell r="C22129"/>
          <cell r="D22129"/>
          <cell r="E22129"/>
        </row>
        <row r="22130">
          <cell r="A22130"/>
          <cell r="B22130"/>
          <cell r="C22130"/>
          <cell r="D22130"/>
          <cell r="E22130"/>
        </row>
        <row r="22131">
          <cell r="A22131"/>
          <cell r="B22131"/>
          <cell r="C22131"/>
          <cell r="D22131"/>
          <cell r="E22131"/>
        </row>
        <row r="22132">
          <cell r="A22132"/>
          <cell r="B22132"/>
          <cell r="C22132"/>
          <cell r="D22132"/>
          <cell r="E22132"/>
        </row>
        <row r="22133">
          <cell r="A22133"/>
          <cell r="B22133"/>
          <cell r="C22133"/>
          <cell r="D22133"/>
          <cell r="E22133"/>
        </row>
        <row r="22134">
          <cell r="A22134"/>
          <cell r="B22134"/>
          <cell r="C22134"/>
          <cell r="D22134"/>
          <cell r="E22134"/>
        </row>
        <row r="22135">
          <cell r="A22135"/>
          <cell r="B22135"/>
          <cell r="C22135"/>
          <cell r="D22135"/>
          <cell r="E22135"/>
        </row>
        <row r="22136">
          <cell r="A22136"/>
          <cell r="B22136"/>
          <cell r="C22136"/>
          <cell r="D22136"/>
          <cell r="E22136"/>
        </row>
        <row r="22137">
          <cell r="A22137"/>
          <cell r="B22137"/>
          <cell r="C22137"/>
          <cell r="D22137"/>
          <cell r="E22137"/>
        </row>
        <row r="22138">
          <cell r="A22138"/>
          <cell r="B22138"/>
          <cell r="C22138"/>
          <cell r="D22138"/>
          <cell r="E22138"/>
        </row>
        <row r="22139">
          <cell r="A22139"/>
          <cell r="B22139"/>
          <cell r="C22139"/>
          <cell r="D22139"/>
          <cell r="E22139"/>
        </row>
        <row r="22140">
          <cell r="A22140"/>
          <cell r="B22140"/>
          <cell r="C22140"/>
          <cell r="D22140"/>
          <cell r="E22140"/>
        </row>
        <row r="22141">
          <cell r="A22141"/>
          <cell r="B22141"/>
          <cell r="C22141"/>
          <cell r="D22141"/>
          <cell r="E22141"/>
        </row>
        <row r="22142">
          <cell r="A22142"/>
          <cell r="B22142"/>
          <cell r="C22142"/>
          <cell r="D22142"/>
          <cell r="E22142"/>
        </row>
        <row r="22143">
          <cell r="A22143"/>
          <cell r="B22143"/>
          <cell r="C22143"/>
          <cell r="D22143"/>
          <cell r="E22143"/>
        </row>
        <row r="22144">
          <cell r="A22144"/>
          <cell r="B22144"/>
          <cell r="C22144"/>
          <cell r="D22144"/>
          <cell r="E22144"/>
        </row>
        <row r="22145">
          <cell r="A22145"/>
          <cell r="B22145"/>
          <cell r="C22145"/>
          <cell r="D22145"/>
          <cell r="E22145"/>
        </row>
        <row r="22146">
          <cell r="A22146"/>
          <cell r="B22146"/>
          <cell r="C22146"/>
          <cell r="D22146"/>
          <cell r="E22146"/>
        </row>
        <row r="22147">
          <cell r="A22147"/>
          <cell r="B22147"/>
          <cell r="C22147"/>
          <cell r="D22147"/>
          <cell r="E22147"/>
        </row>
        <row r="22148">
          <cell r="A22148"/>
          <cell r="B22148"/>
          <cell r="C22148"/>
          <cell r="D22148"/>
          <cell r="E22148"/>
        </row>
        <row r="22149">
          <cell r="A22149"/>
          <cell r="B22149"/>
          <cell r="C22149"/>
          <cell r="D22149"/>
          <cell r="E22149"/>
        </row>
        <row r="22150">
          <cell r="A22150"/>
          <cell r="B22150"/>
          <cell r="C22150"/>
          <cell r="D22150"/>
          <cell r="E22150"/>
        </row>
        <row r="22151">
          <cell r="A22151"/>
          <cell r="B22151"/>
          <cell r="C22151"/>
          <cell r="D22151"/>
          <cell r="E22151"/>
        </row>
        <row r="22152">
          <cell r="A22152"/>
          <cell r="B22152"/>
          <cell r="C22152"/>
          <cell r="D22152"/>
          <cell r="E22152"/>
        </row>
        <row r="22153">
          <cell r="A22153"/>
          <cell r="B22153"/>
          <cell r="C22153"/>
          <cell r="D22153"/>
          <cell r="E22153"/>
        </row>
        <row r="22154">
          <cell r="A22154"/>
          <cell r="B22154"/>
          <cell r="C22154"/>
          <cell r="D22154"/>
          <cell r="E22154"/>
        </row>
        <row r="22155">
          <cell r="A22155"/>
          <cell r="B22155"/>
          <cell r="C22155"/>
          <cell r="D22155"/>
          <cell r="E22155"/>
        </row>
        <row r="22156">
          <cell r="A22156"/>
          <cell r="B22156"/>
          <cell r="C22156"/>
          <cell r="D22156"/>
          <cell r="E22156"/>
        </row>
        <row r="22157">
          <cell r="A22157"/>
          <cell r="B22157"/>
          <cell r="C22157"/>
          <cell r="D22157"/>
          <cell r="E22157"/>
        </row>
        <row r="22158">
          <cell r="A22158"/>
          <cell r="B22158"/>
          <cell r="C22158"/>
          <cell r="D22158"/>
          <cell r="E22158"/>
        </row>
        <row r="22159">
          <cell r="A22159"/>
          <cell r="B22159"/>
          <cell r="C22159"/>
          <cell r="D22159"/>
          <cell r="E22159"/>
        </row>
        <row r="22160">
          <cell r="A22160"/>
          <cell r="B22160"/>
          <cell r="C22160"/>
          <cell r="D22160"/>
          <cell r="E22160"/>
        </row>
        <row r="22161">
          <cell r="A22161"/>
          <cell r="B22161"/>
          <cell r="C22161"/>
          <cell r="D22161"/>
          <cell r="E22161"/>
        </row>
        <row r="22162">
          <cell r="A22162"/>
          <cell r="B22162"/>
          <cell r="C22162"/>
          <cell r="D22162"/>
          <cell r="E22162"/>
        </row>
        <row r="22163">
          <cell r="A22163"/>
          <cell r="B22163"/>
          <cell r="C22163"/>
          <cell r="D22163"/>
          <cell r="E22163"/>
        </row>
        <row r="22164">
          <cell r="A22164"/>
          <cell r="B22164"/>
          <cell r="C22164"/>
          <cell r="D22164"/>
          <cell r="E22164"/>
        </row>
        <row r="22165">
          <cell r="A22165"/>
          <cell r="B22165"/>
          <cell r="C22165"/>
          <cell r="D22165"/>
          <cell r="E22165"/>
        </row>
        <row r="22166">
          <cell r="A22166"/>
          <cell r="B22166"/>
          <cell r="C22166"/>
          <cell r="D22166"/>
          <cell r="E22166"/>
        </row>
        <row r="22167">
          <cell r="A22167"/>
          <cell r="B22167"/>
          <cell r="C22167"/>
          <cell r="D22167"/>
          <cell r="E22167"/>
        </row>
        <row r="22168">
          <cell r="A22168"/>
          <cell r="B22168"/>
          <cell r="C22168"/>
          <cell r="D22168"/>
          <cell r="E22168"/>
        </row>
        <row r="22169">
          <cell r="A22169"/>
          <cell r="B22169"/>
          <cell r="C22169"/>
          <cell r="D22169"/>
          <cell r="E22169"/>
        </row>
        <row r="22170">
          <cell r="A22170"/>
          <cell r="B22170"/>
          <cell r="C22170"/>
          <cell r="D22170"/>
          <cell r="E22170"/>
        </row>
        <row r="22171">
          <cell r="A22171"/>
          <cell r="B22171"/>
          <cell r="C22171"/>
          <cell r="D22171"/>
          <cell r="E22171"/>
        </row>
        <row r="22172">
          <cell r="A22172"/>
          <cell r="B22172"/>
          <cell r="C22172"/>
          <cell r="D22172"/>
          <cell r="E22172"/>
        </row>
        <row r="22173">
          <cell r="A22173"/>
          <cell r="B22173"/>
          <cell r="C22173"/>
          <cell r="D22173"/>
          <cell r="E22173"/>
        </row>
        <row r="22174">
          <cell r="A22174"/>
          <cell r="B22174"/>
          <cell r="C22174"/>
          <cell r="D22174"/>
          <cell r="E22174"/>
        </row>
        <row r="22175">
          <cell r="A22175"/>
          <cell r="B22175"/>
          <cell r="C22175"/>
          <cell r="D22175"/>
          <cell r="E22175"/>
        </row>
        <row r="22176">
          <cell r="A22176"/>
          <cell r="B22176"/>
          <cell r="C22176"/>
          <cell r="D22176"/>
          <cell r="E22176"/>
        </row>
        <row r="22177">
          <cell r="A22177"/>
          <cell r="B22177"/>
          <cell r="C22177"/>
          <cell r="D22177"/>
          <cell r="E22177"/>
        </row>
        <row r="22178">
          <cell r="A22178"/>
          <cell r="B22178"/>
          <cell r="C22178"/>
          <cell r="D22178"/>
          <cell r="E22178"/>
        </row>
        <row r="22179">
          <cell r="A22179"/>
          <cell r="B22179"/>
          <cell r="C22179"/>
          <cell r="D22179"/>
          <cell r="E22179"/>
        </row>
        <row r="22180">
          <cell r="A22180"/>
          <cell r="B22180"/>
          <cell r="C22180"/>
          <cell r="D22180"/>
          <cell r="E22180"/>
        </row>
        <row r="22181">
          <cell r="A22181"/>
          <cell r="B22181"/>
          <cell r="C22181"/>
          <cell r="D22181"/>
          <cell r="E22181"/>
        </row>
        <row r="22182">
          <cell r="A22182"/>
          <cell r="B22182"/>
          <cell r="C22182"/>
          <cell r="D22182"/>
          <cell r="E22182"/>
        </row>
        <row r="22183">
          <cell r="A22183"/>
          <cell r="B22183"/>
          <cell r="C22183"/>
          <cell r="D22183"/>
          <cell r="E22183"/>
        </row>
        <row r="22184">
          <cell r="A22184"/>
          <cell r="B22184"/>
          <cell r="C22184"/>
          <cell r="D22184"/>
          <cell r="E22184"/>
        </row>
        <row r="22185">
          <cell r="A22185"/>
          <cell r="B22185"/>
          <cell r="C22185"/>
          <cell r="D22185"/>
          <cell r="E22185"/>
        </row>
        <row r="22186">
          <cell r="A22186"/>
          <cell r="B22186"/>
          <cell r="C22186"/>
          <cell r="D22186"/>
          <cell r="E22186"/>
        </row>
        <row r="22187">
          <cell r="A22187"/>
          <cell r="B22187"/>
          <cell r="C22187"/>
          <cell r="D22187"/>
          <cell r="E22187"/>
        </row>
        <row r="22188">
          <cell r="A22188"/>
          <cell r="B22188"/>
          <cell r="C22188"/>
          <cell r="D22188"/>
          <cell r="E22188"/>
        </row>
        <row r="22189">
          <cell r="A22189"/>
          <cell r="B22189"/>
          <cell r="C22189"/>
          <cell r="D22189"/>
          <cell r="E22189"/>
        </row>
        <row r="22190">
          <cell r="A22190"/>
          <cell r="B22190"/>
          <cell r="C22190"/>
          <cell r="D22190"/>
          <cell r="E22190"/>
        </row>
        <row r="22191">
          <cell r="A22191"/>
          <cell r="B22191"/>
          <cell r="C22191"/>
          <cell r="D22191"/>
          <cell r="E22191"/>
        </row>
        <row r="22192">
          <cell r="A22192"/>
          <cell r="B22192"/>
          <cell r="C22192"/>
          <cell r="D22192"/>
          <cell r="E22192"/>
        </row>
        <row r="22193">
          <cell r="A22193"/>
          <cell r="B22193"/>
          <cell r="C22193"/>
          <cell r="D22193"/>
          <cell r="E22193"/>
        </row>
        <row r="22194">
          <cell r="A22194"/>
          <cell r="B22194"/>
          <cell r="C22194"/>
          <cell r="D22194"/>
          <cell r="E22194"/>
        </row>
        <row r="22195">
          <cell r="A22195"/>
          <cell r="B22195"/>
          <cell r="C22195"/>
          <cell r="D22195"/>
          <cell r="E22195"/>
        </row>
        <row r="22196">
          <cell r="A22196"/>
          <cell r="B22196"/>
          <cell r="C22196"/>
          <cell r="D22196"/>
          <cell r="E22196"/>
        </row>
        <row r="22197">
          <cell r="A22197"/>
          <cell r="B22197"/>
          <cell r="C22197"/>
          <cell r="D22197"/>
          <cell r="E22197"/>
        </row>
        <row r="22198">
          <cell r="A22198"/>
          <cell r="B22198"/>
          <cell r="C22198"/>
          <cell r="D22198"/>
          <cell r="E22198"/>
        </row>
        <row r="22199">
          <cell r="A22199"/>
          <cell r="B22199"/>
          <cell r="C22199"/>
          <cell r="D22199"/>
          <cell r="E22199"/>
        </row>
        <row r="22200">
          <cell r="A22200"/>
          <cell r="B22200"/>
          <cell r="C22200"/>
          <cell r="D22200"/>
          <cell r="E22200"/>
        </row>
        <row r="22201">
          <cell r="A22201"/>
          <cell r="B22201"/>
          <cell r="C22201"/>
          <cell r="D22201"/>
          <cell r="E22201"/>
        </row>
        <row r="22202">
          <cell r="A22202"/>
          <cell r="B22202"/>
          <cell r="C22202"/>
          <cell r="D22202"/>
          <cell r="E22202"/>
        </row>
        <row r="22203">
          <cell r="A22203"/>
          <cell r="B22203"/>
          <cell r="C22203"/>
          <cell r="D22203"/>
          <cell r="E22203"/>
        </row>
        <row r="22204">
          <cell r="A22204"/>
          <cell r="B22204"/>
          <cell r="C22204"/>
          <cell r="D22204"/>
          <cell r="E22204"/>
        </row>
        <row r="22205">
          <cell r="A22205"/>
          <cell r="B22205"/>
          <cell r="C22205"/>
          <cell r="D22205"/>
          <cell r="E22205"/>
        </row>
        <row r="22206">
          <cell r="A22206"/>
          <cell r="B22206"/>
          <cell r="C22206"/>
          <cell r="D22206"/>
          <cell r="E22206"/>
        </row>
        <row r="22207">
          <cell r="A22207"/>
          <cell r="B22207"/>
          <cell r="C22207"/>
          <cell r="D22207"/>
          <cell r="E22207"/>
        </row>
        <row r="22208">
          <cell r="A22208"/>
          <cell r="B22208"/>
          <cell r="C22208"/>
          <cell r="D22208"/>
          <cell r="E22208"/>
        </row>
        <row r="22209">
          <cell r="A22209"/>
          <cell r="B22209"/>
          <cell r="C22209"/>
          <cell r="D22209"/>
          <cell r="E22209"/>
        </row>
        <row r="22210">
          <cell r="A22210"/>
          <cell r="B22210"/>
          <cell r="C22210"/>
          <cell r="D22210"/>
          <cell r="E22210"/>
        </row>
        <row r="22211">
          <cell r="A22211"/>
          <cell r="B22211"/>
          <cell r="C22211"/>
          <cell r="D22211"/>
          <cell r="E22211"/>
        </row>
        <row r="22212">
          <cell r="A22212"/>
          <cell r="B22212"/>
          <cell r="C22212"/>
          <cell r="D22212"/>
          <cell r="E22212"/>
        </row>
        <row r="22213">
          <cell r="A22213"/>
          <cell r="B22213"/>
          <cell r="C22213"/>
          <cell r="D22213"/>
          <cell r="E22213"/>
        </row>
        <row r="22214">
          <cell r="A22214"/>
          <cell r="B22214"/>
          <cell r="C22214"/>
          <cell r="D22214"/>
          <cell r="E22214"/>
        </row>
        <row r="22215">
          <cell r="A22215"/>
          <cell r="B22215"/>
          <cell r="C22215"/>
          <cell r="D22215"/>
          <cell r="E22215"/>
        </row>
        <row r="22216">
          <cell r="A22216"/>
          <cell r="B22216"/>
          <cell r="C22216"/>
          <cell r="D22216"/>
          <cell r="E22216"/>
        </row>
        <row r="22217">
          <cell r="A22217"/>
          <cell r="B22217"/>
          <cell r="C22217"/>
          <cell r="D22217"/>
          <cell r="E22217"/>
        </row>
        <row r="22218">
          <cell r="A22218"/>
          <cell r="B22218"/>
          <cell r="C22218"/>
          <cell r="D22218"/>
          <cell r="E22218"/>
        </row>
        <row r="22219">
          <cell r="A22219"/>
          <cell r="B22219"/>
          <cell r="C22219"/>
          <cell r="D22219"/>
          <cell r="E22219"/>
        </row>
        <row r="22220">
          <cell r="A22220"/>
          <cell r="B22220"/>
          <cell r="C22220"/>
          <cell r="D22220"/>
          <cell r="E22220"/>
        </row>
        <row r="22221">
          <cell r="A22221"/>
          <cell r="B22221"/>
          <cell r="C22221"/>
          <cell r="D22221"/>
          <cell r="E22221"/>
        </row>
        <row r="22222">
          <cell r="A22222"/>
          <cell r="B22222"/>
          <cell r="C22222"/>
          <cell r="D22222"/>
          <cell r="E22222"/>
        </row>
        <row r="22223">
          <cell r="A22223"/>
          <cell r="B22223"/>
          <cell r="C22223"/>
          <cell r="D22223"/>
          <cell r="E22223"/>
        </row>
        <row r="22224">
          <cell r="A22224"/>
          <cell r="B22224"/>
          <cell r="C22224"/>
          <cell r="D22224"/>
          <cell r="E22224"/>
        </row>
        <row r="22225">
          <cell r="A22225"/>
          <cell r="B22225"/>
          <cell r="C22225"/>
          <cell r="D22225"/>
          <cell r="E22225"/>
        </row>
        <row r="22226">
          <cell r="A22226"/>
          <cell r="B22226"/>
          <cell r="C22226"/>
          <cell r="D22226"/>
          <cell r="E22226"/>
        </row>
        <row r="22227">
          <cell r="A22227"/>
          <cell r="B22227"/>
          <cell r="C22227"/>
          <cell r="D22227"/>
          <cell r="E22227"/>
        </row>
        <row r="22228">
          <cell r="A22228"/>
          <cell r="B22228"/>
          <cell r="C22228"/>
          <cell r="D22228"/>
          <cell r="E22228"/>
        </row>
        <row r="22229">
          <cell r="A22229"/>
          <cell r="B22229"/>
          <cell r="C22229"/>
          <cell r="D22229"/>
          <cell r="E22229"/>
        </row>
        <row r="22230">
          <cell r="A22230"/>
          <cell r="B22230"/>
          <cell r="C22230"/>
          <cell r="D22230"/>
          <cell r="E22230"/>
        </row>
        <row r="22231">
          <cell r="A22231"/>
          <cell r="B22231"/>
          <cell r="C22231"/>
          <cell r="D22231"/>
          <cell r="E22231"/>
        </row>
        <row r="22232">
          <cell r="A22232"/>
          <cell r="B22232"/>
          <cell r="C22232"/>
          <cell r="D22232"/>
          <cell r="E22232"/>
        </row>
        <row r="22233">
          <cell r="A22233"/>
          <cell r="B22233"/>
          <cell r="C22233"/>
          <cell r="D22233"/>
          <cell r="E22233"/>
        </row>
        <row r="22234">
          <cell r="A22234"/>
          <cell r="B22234"/>
          <cell r="C22234"/>
          <cell r="D22234"/>
          <cell r="E22234"/>
        </row>
        <row r="22235">
          <cell r="A22235"/>
          <cell r="B22235"/>
          <cell r="C22235"/>
          <cell r="D22235"/>
          <cell r="E22235"/>
        </row>
        <row r="22236">
          <cell r="A22236"/>
          <cell r="B22236"/>
          <cell r="C22236"/>
          <cell r="D22236"/>
          <cell r="E22236"/>
        </row>
        <row r="22237">
          <cell r="A22237"/>
          <cell r="B22237"/>
          <cell r="C22237"/>
          <cell r="D22237"/>
          <cell r="E22237"/>
        </row>
        <row r="22238">
          <cell r="A22238"/>
          <cell r="B22238"/>
          <cell r="C22238"/>
          <cell r="D22238"/>
          <cell r="E22238"/>
        </row>
        <row r="22239">
          <cell r="A22239"/>
          <cell r="B22239"/>
          <cell r="C22239"/>
          <cell r="D22239"/>
          <cell r="E22239"/>
        </row>
        <row r="22240">
          <cell r="A22240"/>
          <cell r="B22240"/>
          <cell r="C22240"/>
          <cell r="D22240"/>
          <cell r="E22240"/>
        </row>
        <row r="22241">
          <cell r="A22241"/>
          <cell r="B22241"/>
          <cell r="C22241"/>
          <cell r="D22241"/>
          <cell r="E22241"/>
        </row>
        <row r="22242">
          <cell r="A22242"/>
          <cell r="B22242"/>
          <cell r="C22242"/>
          <cell r="D22242"/>
          <cell r="E22242"/>
        </row>
        <row r="22243">
          <cell r="A22243"/>
          <cell r="B22243"/>
          <cell r="C22243"/>
          <cell r="D22243"/>
          <cell r="E22243"/>
        </row>
        <row r="22244">
          <cell r="A22244"/>
          <cell r="B22244"/>
          <cell r="C22244"/>
          <cell r="D22244"/>
          <cell r="E22244"/>
        </row>
        <row r="22245">
          <cell r="A22245"/>
          <cell r="B22245"/>
          <cell r="C22245"/>
          <cell r="D22245"/>
          <cell r="E22245"/>
        </row>
        <row r="22246">
          <cell r="A22246"/>
          <cell r="B22246"/>
          <cell r="C22246"/>
          <cell r="D22246"/>
          <cell r="E22246"/>
        </row>
        <row r="22247">
          <cell r="A22247"/>
          <cell r="B22247"/>
          <cell r="C22247"/>
          <cell r="D22247"/>
          <cell r="E22247"/>
        </row>
        <row r="22248">
          <cell r="A22248"/>
          <cell r="B22248"/>
          <cell r="C22248"/>
          <cell r="D22248"/>
          <cell r="E22248"/>
        </row>
        <row r="22249">
          <cell r="A22249"/>
          <cell r="B22249"/>
          <cell r="C22249"/>
          <cell r="D22249"/>
          <cell r="E22249"/>
        </row>
        <row r="22250">
          <cell r="A22250"/>
          <cell r="B22250"/>
          <cell r="C22250"/>
          <cell r="D22250"/>
          <cell r="E22250"/>
        </row>
        <row r="22251">
          <cell r="A22251"/>
          <cell r="B22251"/>
          <cell r="C22251"/>
          <cell r="D22251"/>
          <cell r="E22251"/>
        </row>
        <row r="22252">
          <cell r="A22252"/>
          <cell r="B22252"/>
          <cell r="C22252"/>
          <cell r="D22252"/>
          <cell r="E22252"/>
        </row>
        <row r="22253">
          <cell r="A22253"/>
          <cell r="B22253"/>
          <cell r="C22253"/>
          <cell r="D22253"/>
          <cell r="E22253"/>
        </row>
        <row r="22254">
          <cell r="A22254"/>
          <cell r="B22254"/>
          <cell r="C22254"/>
          <cell r="D22254"/>
          <cell r="E22254"/>
        </row>
        <row r="22255">
          <cell r="A22255"/>
          <cell r="B22255"/>
          <cell r="C22255"/>
          <cell r="D22255"/>
          <cell r="E22255"/>
        </row>
        <row r="22256">
          <cell r="A22256"/>
          <cell r="B22256"/>
          <cell r="C22256"/>
          <cell r="D22256"/>
          <cell r="E22256"/>
        </row>
        <row r="22257">
          <cell r="A22257"/>
          <cell r="B22257"/>
          <cell r="C22257"/>
          <cell r="D22257"/>
          <cell r="E22257"/>
        </row>
        <row r="22258">
          <cell r="A22258"/>
          <cell r="B22258"/>
          <cell r="C22258"/>
          <cell r="D22258"/>
          <cell r="E22258"/>
        </row>
        <row r="22259">
          <cell r="A22259"/>
          <cell r="B22259"/>
          <cell r="C22259"/>
          <cell r="D22259"/>
          <cell r="E22259"/>
        </row>
        <row r="22260">
          <cell r="A22260"/>
          <cell r="B22260"/>
          <cell r="C22260"/>
          <cell r="D22260"/>
          <cell r="E22260"/>
        </row>
        <row r="22261">
          <cell r="A22261"/>
          <cell r="B22261"/>
          <cell r="C22261"/>
          <cell r="D22261"/>
          <cell r="E22261"/>
        </row>
        <row r="22262">
          <cell r="A22262"/>
          <cell r="B22262"/>
          <cell r="C22262"/>
          <cell r="D22262"/>
          <cell r="E22262"/>
        </row>
        <row r="22263">
          <cell r="A22263"/>
          <cell r="B22263"/>
          <cell r="C22263"/>
          <cell r="D22263"/>
          <cell r="E22263"/>
        </row>
        <row r="22264">
          <cell r="A22264"/>
          <cell r="B22264"/>
          <cell r="C22264"/>
          <cell r="D22264"/>
          <cell r="E22264"/>
        </row>
        <row r="22265">
          <cell r="A22265"/>
          <cell r="B22265"/>
          <cell r="C22265"/>
          <cell r="D22265"/>
          <cell r="E22265"/>
        </row>
        <row r="22266">
          <cell r="A22266"/>
          <cell r="B22266"/>
          <cell r="C22266"/>
          <cell r="D22266"/>
          <cell r="E22266"/>
        </row>
        <row r="22267">
          <cell r="A22267"/>
          <cell r="B22267"/>
          <cell r="C22267"/>
          <cell r="D22267"/>
          <cell r="E22267"/>
        </row>
        <row r="22268">
          <cell r="A22268"/>
          <cell r="B22268"/>
          <cell r="C22268"/>
          <cell r="D22268"/>
          <cell r="E22268"/>
        </row>
        <row r="22269">
          <cell r="A22269"/>
          <cell r="B22269"/>
          <cell r="C22269"/>
          <cell r="D22269"/>
          <cell r="E22269"/>
        </row>
        <row r="22270">
          <cell r="A22270"/>
          <cell r="B22270"/>
          <cell r="C22270"/>
          <cell r="D22270"/>
          <cell r="E22270"/>
        </row>
        <row r="22271">
          <cell r="A22271"/>
          <cell r="B22271"/>
          <cell r="C22271"/>
          <cell r="D22271"/>
          <cell r="E22271"/>
        </row>
        <row r="22272">
          <cell r="A22272"/>
          <cell r="B22272"/>
          <cell r="C22272"/>
          <cell r="D22272"/>
          <cell r="E22272"/>
        </row>
        <row r="22273">
          <cell r="A22273"/>
          <cell r="B22273"/>
          <cell r="C22273"/>
          <cell r="D22273"/>
          <cell r="E22273"/>
        </row>
        <row r="22274">
          <cell r="A22274"/>
          <cell r="B22274"/>
          <cell r="C22274"/>
          <cell r="D22274"/>
          <cell r="E22274"/>
        </row>
        <row r="22275">
          <cell r="A22275"/>
          <cell r="B22275"/>
          <cell r="C22275"/>
          <cell r="D22275"/>
          <cell r="E22275"/>
        </row>
        <row r="22276">
          <cell r="A22276"/>
          <cell r="B22276"/>
          <cell r="C22276"/>
          <cell r="D22276"/>
          <cell r="E22276"/>
        </row>
        <row r="22277">
          <cell r="A22277"/>
          <cell r="B22277"/>
          <cell r="C22277"/>
          <cell r="D22277"/>
          <cell r="E22277"/>
        </row>
        <row r="22278">
          <cell r="A22278"/>
          <cell r="B22278"/>
          <cell r="C22278"/>
          <cell r="D22278"/>
          <cell r="E22278"/>
        </row>
        <row r="22279">
          <cell r="A22279"/>
          <cell r="B22279"/>
          <cell r="C22279"/>
          <cell r="D22279"/>
          <cell r="E22279"/>
        </row>
        <row r="22280">
          <cell r="A22280"/>
          <cell r="B22280"/>
          <cell r="C22280"/>
          <cell r="D22280"/>
          <cell r="E22280"/>
        </row>
        <row r="22281">
          <cell r="A22281"/>
          <cell r="B22281"/>
          <cell r="C22281"/>
          <cell r="D22281"/>
          <cell r="E22281"/>
        </row>
        <row r="22282">
          <cell r="A22282"/>
          <cell r="B22282"/>
          <cell r="C22282"/>
          <cell r="D22282"/>
          <cell r="E22282"/>
        </row>
        <row r="22283">
          <cell r="A22283"/>
          <cell r="B22283"/>
          <cell r="C22283"/>
          <cell r="D22283"/>
          <cell r="E22283"/>
        </row>
        <row r="22284">
          <cell r="A22284"/>
          <cell r="B22284"/>
          <cell r="C22284"/>
          <cell r="D22284"/>
          <cell r="E22284"/>
        </row>
        <row r="22285">
          <cell r="A22285"/>
          <cell r="B22285"/>
          <cell r="C22285"/>
          <cell r="D22285"/>
          <cell r="E22285"/>
        </row>
        <row r="22286">
          <cell r="A22286"/>
          <cell r="B22286"/>
          <cell r="C22286"/>
          <cell r="D22286"/>
          <cell r="E22286"/>
        </row>
        <row r="22287">
          <cell r="A22287"/>
          <cell r="B22287"/>
          <cell r="C22287"/>
          <cell r="D22287"/>
          <cell r="E22287"/>
        </row>
        <row r="22288">
          <cell r="A22288"/>
          <cell r="B22288"/>
          <cell r="C22288"/>
          <cell r="D22288"/>
          <cell r="E22288"/>
        </row>
        <row r="22289">
          <cell r="A22289"/>
          <cell r="B22289"/>
          <cell r="C22289"/>
          <cell r="D22289"/>
          <cell r="E22289"/>
        </row>
        <row r="22290">
          <cell r="A22290"/>
          <cell r="B22290"/>
          <cell r="C22290"/>
          <cell r="D22290"/>
          <cell r="E22290"/>
        </row>
        <row r="22291">
          <cell r="A22291"/>
          <cell r="B22291"/>
          <cell r="C22291"/>
          <cell r="D22291"/>
          <cell r="E22291"/>
        </row>
        <row r="22292">
          <cell r="A22292"/>
          <cell r="B22292"/>
          <cell r="C22292"/>
          <cell r="D22292"/>
          <cell r="E22292"/>
        </row>
        <row r="22293">
          <cell r="A22293"/>
          <cell r="B22293"/>
          <cell r="C22293"/>
          <cell r="D22293"/>
          <cell r="E22293"/>
        </row>
        <row r="22294">
          <cell r="A22294"/>
          <cell r="B22294"/>
          <cell r="C22294"/>
          <cell r="D22294"/>
          <cell r="E22294"/>
        </row>
        <row r="22295">
          <cell r="A22295"/>
          <cell r="B22295"/>
          <cell r="C22295"/>
          <cell r="D22295"/>
          <cell r="E22295"/>
        </row>
        <row r="22296">
          <cell r="A22296"/>
          <cell r="B22296"/>
          <cell r="C22296"/>
          <cell r="D22296"/>
          <cell r="E22296"/>
        </row>
        <row r="22297">
          <cell r="A22297"/>
          <cell r="B22297"/>
          <cell r="C22297"/>
          <cell r="D22297"/>
          <cell r="E22297"/>
        </row>
        <row r="22298">
          <cell r="A22298"/>
          <cell r="B22298"/>
          <cell r="C22298"/>
          <cell r="D22298"/>
          <cell r="E22298"/>
        </row>
        <row r="22299">
          <cell r="A22299"/>
          <cell r="B22299"/>
          <cell r="C22299"/>
          <cell r="D22299"/>
          <cell r="E22299"/>
        </row>
        <row r="22300">
          <cell r="A22300"/>
          <cell r="B22300"/>
          <cell r="C22300"/>
          <cell r="D22300"/>
          <cell r="E22300"/>
        </row>
        <row r="22301">
          <cell r="A22301"/>
          <cell r="B22301"/>
          <cell r="C22301"/>
          <cell r="D22301"/>
          <cell r="E22301"/>
        </row>
        <row r="22302">
          <cell r="A22302"/>
          <cell r="B22302"/>
          <cell r="C22302"/>
          <cell r="D22302"/>
          <cell r="E22302"/>
        </row>
        <row r="22303">
          <cell r="A22303"/>
          <cell r="B22303"/>
          <cell r="C22303"/>
          <cell r="D22303"/>
          <cell r="E22303"/>
        </row>
        <row r="22304">
          <cell r="A22304"/>
          <cell r="B22304"/>
          <cell r="C22304"/>
          <cell r="D22304"/>
          <cell r="E22304"/>
        </row>
        <row r="22305">
          <cell r="A22305"/>
          <cell r="B22305"/>
          <cell r="C22305"/>
          <cell r="D22305"/>
          <cell r="E22305"/>
        </row>
        <row r="22306">
          <cell r="A22306"/>
          <cell r="B22306"/>
          <cell r="C22306"/>
          <cell r="D22306"/>
          <cell r="E22306"/>
        </row>
        <row r="22307">
          <cell r="A22307"/>
          <cell r="B22307"/>
          <cell r="C22307"/>
          <cell r="D22307"/>
          <cell r="E22307"/>
        </row>
        <row r="22308">
          <cell r="A22308"/>
          <cell r="B22308"/>
          <cell r="C22308"/>
          <cell r="D22308"/>
          <cell r="E22308"/>
        </row>
        <row r="22309">
          <cell r="A22309"/>
          <cell r="B22309"/>
          <cell r="C22309"/>
          <cell r="D22309"/>
          <cell r="E22309"/>
        </row>
        <row r="22310">
          <cell r="A22310"/>
          <cell r="B22310"/>
          <cell r="C22310"/>
          <cell r="D22310"/>
          <cell r="E22310"/>
        </row>
        <row r="22311">
          <cell r="A22311"/>
          <cell r="B22311"/>
          <cell r="C22311"/>
          <cell r="D22311"/>
          <cell r="E22311"/>
        </row>
        <row r="22312">
          <cell r="A22312"/>
          <cell r="B22312"/>
          <cell r="C22312"/>
          <cell r="D22312"/>
          <cell r="E22312"/>
        </row>
        <row r="22313">
          <cell r="A22313"/>
          <cell r="B22313"/>
          <cell r="C22313"/>
          <cell r="D22313"/>
          <cell r="E22313"/>
        </row>
        <row r="22314">
          <cell r="A22314"/>
          <cell r="B22314"/>
          <cell r="C22314"/>
          <cell r="D22314"/>
          <cell r="E22314"/>
        </row>
        <row r="22315">
          <cell r="A22315"/>
          <cell r="B22315"/>
          <cell r="C22315"/>
          <cell r="D22315"/>
          <cell r="E22315"/>
        </row>
        <row r="22316">
          <cell r="A22316"/>
          <cell r="B22316"/>
          <cell r="C22316"/>
          <cell r="D22316"/>
          <cell r="E22316"/>
        </row>
        <row r="22317">
          <cell r="A22317"/>
          <cell r="B22317"/>
          <cell r="C22317"/>
          <cell r="D22317"/>
          <cell r="E22317"/>
        </row>
        <row r="22318">
          <cell r="A22318"/>
          <cell r="B22318"/>
          <cell r="C22318"/>
          <cell r="D22318"/>
          <cell r="E22318"/>
        </row>
        <row r="22319">
          <cell r="A22319"/>
          <cell r="B22319"/>
          <cell r="C22319"/>
          <cell r="D22319"/>
          <cell r="E22319"/>
        </row>
        <row r="22320">
          <cell r="A22320"/>
          <cell r="B22320"/>
          <cell r="C22320"/>
          <cell r="D22320"/>
          <cell r="E22320"/>
        </row>
        <row r="22321">
          <cell r="A22321"/>
          <cell r="B22321"/>
          <cell r="C22321"/>
          <cell r="D22321"/>
          <cell r="E22321"/>
        </row>
        <row r="22322">
          <cell r="A22322"/>
          <cell r="B22322"/>
          <cell r="C22322"/>
          <cell r="D22322"/>
          <cell r="E22322"/>
        </row>
        <row r="22323">
          <cell r="A22323"/>
          <cell r="B22323"/>
          <cell r="C22323"/>
          <cell r="D22323"/>
          <cell r="E22323"/>
        </row>
        <row r="22324">
          <cell r="A22324"/>
          <cell r="B22324"/>
          <cell r="C22324"/>
          <cell r="D22324"/>
          <cell r="E22324"/>
        </row>
        <row r="22325">
          <cell r="A22325"/>
          <cell r="B22325"/>
          <cell r="C22325"/>
          <cell r="D22325"/>
          <cell r="E22325"/>
        </row>
        <row r="22326">
          <cell r="A22326"/>
          <cell r="B22326"/>
          <cell r="C22326"/>
          <cell r="D22326"/>
          <cell r="E22326"/>
        </row>
        <row r="22327">
          <cell r="A22327"/>
          <cell r="B22327"/>
          <cell r="C22327"/>
          <cell r="D22327"/>
          <cell r="E22327"/>
        </row>
        <row r="22328">
          <cell r="A22328"/>
          <cell r="B22328"/>
          <cell r="C22328"/>
          <cell r="D22328"/>
          <cell r="E22328"/>
        </row>
        <row r="22329">
          <cell r="A22329"/>
          <cell r="B22329"/>
          <cell r="C22329"/>
          <cell r="D22329"/>
          <cell r="E22329"/>
        </row>
        <row r="22330">
          <cell r="A22330"/>
          <cell r="B22330"/>
          <cell r="C22330"/>
          <cell r="D22330"/>
          <cell r="E22330"/>
        </row>
        <row r="22331">
          <cell r="A22331"/>
          <cell r="B22331"/>
          <cell r="C22331"/>
          <cell r="D22331"/>
          <cell r="E22331"/>
        </row>
        <row r="22332">
          <cell r="A22332"/>
          <cell r="B22332"/>
          <cell r="C22332"/>
          <cell r="D22332"/>
          <cell r="E22332"/>
        </row>
        <row r="22333">
          <cell r="A22333"/>
          <cell r="B22333"/>
          <cell r="C22333"/>
          <cell r="D22333"/>
          <cell r="E22333"/>
        </row>
        <row r="22334">
          <cell r="A22334"/>
          <cell r="B22334"/>
          <cell r="C22334"/>
          <cell r="D22334"/>
          <cell r="E22334"/>
        </row>
        <row r="22335">
          <cell r="A22335"/>
          <cell r="B22335"/>
          <cell r="C22335"/>
          <cell r="D22335"/>
          <cell r="E22335"/>
        </row>
        <row r="22336">
          <cell r="A22336"/>
          <cell r="B22336"/>
          <cell r="C22336"/>
          <cell r="D22336"/>
          <cell r="E22336"/>
        </row>
        <row r="22337">
          <cell r="A22337"/>
          <cell r="B22337"/>
          <cell r="C22337"/>
          <cell r="D22337"/>
          <cell r="E22337"/>
        </row>
        <row r="22338">
          <cell r="A22338"/>
          <cell r="B22338"/>
          <cell r="C22338"/>
          <cell r="D22338"/>
          <cell r="E22338"/>
        </row>
        <row r="22339">
          <cell r="A22339"/>
          <cell r="B22339"/>
          <cell r="C22339"/>
          <cell r="D22339"/>
          <cell r="E22339"/>
        </row>
        <row r="22340">
          <cell r="A22340"/>
          <cell r="B22340"/>
          <cell r="C22340"/>
          <cell r="D22340"/>
          <cell r="E22340"/>
        </row>
        <row r="22341">
          <cell r="A22341"/>
          <cell r="B22341"/>
          <cell r="C22341"/>
          <cell r="D22341"/>
          <cell r="E22341"/>
        </row>
        <row r="22342">
          <cell r="A22342"/>
          <cell r="B22342"/>
          <cell r="C22342"/>
          <cell r="D22342"/>
          <cell r="E22342"/>
        </row>
        <row r="22343">
          <cell r="A22343"/>
          <cell r="B22343"/>
          <cell r="C22343"/>
          <cell r="D22343"/>
          <cell r="E22343"/>
        </row>
        <row r="22344">
          <cell r="A22344"/>
          <cell r="B22344"/>
          <cell r="C22344"/>
          <cell r="D22344"/>
          <cell r="E22344"/>
        </row>
        <row r="22345">
          <cell r="A22345"/>
          <cell r="B22345"/>
          <cell r="C22345"/>
          <cell r="D22345"/>
          <cell r="E22345"/>
        </row>
        <row r="22346">
          <cell r="A22346"/>
          <cell r="B22346"/>
          <cell r="C22346"/>
          <cell r="D22346"/>
          <cell r="E22346"/>
        </row>
        <row r="22347">
          <cell r="A22347"/>
          <cell r="B22347"/>
          <cell r="C22347"/>
          <cell r="D22347"/>
          <cell r="E22347"/>
        </row>
        <row r="22348">
          <cell r="A22348"/>
          <cell r="B22348"/>
          <cell r="C22348"/>
          <cell r="D22348"/>
          <cell r="E22348"/>
        </row>
        <row r="22349">
          <cell r="A22349"/>
          <cell r="B22349"/>
          <cell r="C22349"/>
          <cell r="D22349"/>
          <cell r="E22349"/>
        </row>
        <row r="22350">
          <cell r="A22350"/>
          <cell r="B22350"/>
          <cell r="C22350"/>
          <cell r="D22350"/>
          <cell r="E22350"/>
        </row>
        <row r="22351">
          <cell r="A22351"/>
          <cell r="B22351"/>
          <cell r="C22351"/>
          <cell r="D22351"/>
          <cell r="E22351"/>
        </row>
        <row r="22352">
          <cell r="A22352"/>
          <cell r="B22352"/>
          <cell r="C22352"/>
          <cell r="D22352"/>
          <cell r="E22352"/>
        </row>
        <row r="22353">
          <cell r="A22353"/>
          <cell r="B22353"/>
          <cell r="C22353"/>
          <cell r="D22353"/>
          <cell r="E22353"/>
        </row>
        <row r="22354">
          <cell r="A22354"/>
          <cell r="B22354"/>
          <cell r="C22354"/>
          <cell r="D22354"/>
          <cell r="E22354"/>
        </row>
        <row r="22355">
          <cell r="A22355"/>
          <cell r="B22355"/>
          <cell r="C22355"/>
          <cell r="D22355"/>
          <cell r="E22355"/>
        </row>
        <row r="22356">
          <cell r="A22356"/>
          <cell r="B22356"/>
          <cell r="C22356"/>
          <cell r="D22356"/>
          <cell r="E22356"/>
        </row>
        <row r="22357">
          <cell r="A22357"/>
          <cell r="B22357"/>
          <cell r="C22357"/>
          <cell r="D22357"/>
          <cell r="E22357"/>
        </row>
        <row r="22358">
          <cell r="A22358"/>
          <cell r="B22358"/>
          <cell r="C22358"/>
          <cell r="D22358"/>
          <cell r="E22358"/>
        </row>
        <row r="22359">
          <cell r="A22359"/>
          <cell r="B22359"/>
          <cell r="C22359"/>
          <cell r="D22359"/>
          <cell r="E22359"/>
        </row>
        <row r="22360">
          <cell r="A22360"/>
          <cell r="B22360"/>
          <cell r="C22360"/>
          <cell r="D22360"/>
          <cell r="E22360"/>
        </row>
        <row r="22361">
          <cell r="A22361"/>
          <cell r="B22361"/>
          <cell r="C22361"/>
          <cell r="D22361"/>
          <cell r="E22361"/>
        </row>
        <row r="22362">
          <cell r="A22362"/>
          <cell r="B22362"/>
          <cell r="C22362"/>
          <cell r="D22362"/>
          <cell r="E22362"/>
        </row>
        <row r="22363">
          <cell r="A22363"/>
          <cell r="B22363"/>
          <cell r="C22363"/>
          <cell r="D22363"/>
          <cell r="E22363"/>
        </row>
        <row r="22364">
          <cell r="A22364"/>
          <cell r="B22364"/>
          <cell r="C22364"/>
          <cell r="D22364"/>
          <cell r="E22364"/>
        </row>
        <row r="22365">
          <cell r="A22365"/>
          <cell r="B22365"/>
          <cell r="C22365"/>
          <cell r="D22365"/>
          <cell r="E22365"/>
        </row>
        <row r="22366">
          <cell r="A22366"/>
          <cell r="B22366"/>
          <cell r="C22366"/>
          <cell r="D22366"/>
          <cell r="E22366"/>
        </row>
        <row r="22367">
          <cell r="A22367"/>
          <cell r="B22367"/>
          <cell r="C22367"/>
          <cell r="D22367"/>
          <cell r="E22367"/>
        </row>
        <row r="22368">
          <cell r="A22368"/>
          <cell r="B22368"/>
          <cell r="C22368"/>
          <cell r="D22368"/>
          <cell r="E22368"/>
        </row>
        <row r="22369">
          <cell r="A22369"/>
          <cell r="B22369"/>
          <cell r="C22369"/>
          <cell r="D22369"/>
          <cell r="E22369"/>
        </row>
        <row r="22370">
          <cell r="A22370"/>
          <cell r="B22370"/>
          <cell r="C22370"/>
          <cell r="D22370"/>
          <cell r="E22370"/>
        </row>
        <row r="22371">
          <cell r="A22371"/>
          <cell r="B22371"/>
          <cell r="C22371"/>
          <cell r="D22371"/>
          <cell r="E22371"/>
        </row>
        <row r="22372">
          <cell r="A22372"/>
          <cell r="B22372"/>
          <cell r="C22372"/>
          <cell r="D22372"/>
          <cell r="E22372"/>
        </row>
        <row r="22373">
          <cell r="A22373"/>
          <cell r="B22373"/>
          <cell r="C22373"/>
          <cell r="D22373"/>
          <cell r="E22373"/>
        </row>
        <row r="22374">
          <cell r="A22374"/>
          <cell r="B22374"/>
          <cell r="C22374"/>
          <cell r="D22374"/>
          <cell r="E22374"/>
        </row>
        <row r="22375">
          <cell r="A22375"/>
          <cell r="B22375"/>
          <cell r="C22375"/>
          <cell r="D22375"/>
          <cell r="E22375"/>
        </row>
        <row r="22376">
          <cell r="A22376"/>
          <cell r="B22376"/>
          <cell r="C22376"/>
          <cell r="D22376"/>
          <cell r="E22376"/>
        </row>
        <row r="22377">
          <cell r="A22377"/>
          <cell r="B22377"/>
          <cell r="C22377"/>
          <cell r="D22377"/>
          <cell r="E22377"/>
        </row>
        <row r="22378">
          <cell r="A22378"/>
          <cell r="B22378"/>
          <cell r="C22378"/>
          <cell r="D22378"/>
          <cell r="E22378"/>
        </row>
        <row r="22379">
          <cell r="A22379"/>
          <cell r="B22379"/>
          <cell r="C22379"/>
          <cell r="D22379"/>
          <cell r="E22379"/>
        </row>
        <row r="22380">
          <cell r="A22380"/>
          <cell r="B22380"/>
          <cell r="C22380"/>
          <cell r="D22380"/>
          <cell r="E22380"/>
        </row>
        <row r="22381">
          <cell r="A22381"/>
          <cell r="B22381"/>
          <cell r="C22381"/>
          <cell r="D22381"/>
          <cell r="E22381"/>
        </row>
        <row r="22382">
          <cell r="A22382"/>
          <cell r="B22382"/>
          <cell r="C22382"/>
          <cell r="D22382"/>
          <cell r="E22382"/>
        </row>
        <row r="22383">
          <cell r="A22383"/>
          <cell r="B22383"/>
          <cell r="C22383"/>
          <cell r="D22383"/>
          <cell r="E22383"/>
        </row>
        <row r="22384">
          <cell r="A22384"/>
          <cell r="B22384"/>
          <cell r="C22384"/>
          <cell r="D22384"/>
          <cell r="E22384"/>
        </row>
        <row r="22385">
          <cell r="A22385"/>
          <cell r="B22385"/>
          <cell r="C22385"/>
          <cell r="D22385"/>
          <cell r="E22385"/>
        </row>
        <row r="22386">
          <cell r="A22386"/>
          <cell r="B22386"/>
          <cell r="C22386"/>
          <cell r="D22386"/>
          <cell r="E22386"/>
        </row>
        <row r="22387">
          <cell r="A22387"/>
          <cell r="B22387"/>
          <cell r="C22387"/>
          <cell r="D22387"/>
          <cell r="E22387"/>
        </row>
        <row r="22388">
          <cell r="A22388"/>
          <cell r="B22388"/>
          <cell r="C22388"/>
          <cell r="D22388"/>
          <cell r="E22388"/>
        </row>
        <row r="22389">
          <cell r="A22389"/>
          <cell r="B22389"/>
          <cell r="C22389"/>
          <cell r="D22389"/>
          <cell r="E22389"/>
        </row>
        <row r="22390">
          <cell r="A22390"/>
          <cell r="B22390"/>
          <cell r="C22390"/>
          <cell r="D22390"/>
          <cell r="E22390"/>
        </row>
        <row r="22391">
          <cell r="A22391"/>
          <cell r="B22391"/>
          <cell r="C22391"/>
          <cell r="D22391"/>
          <cell r="E22391"/>
        </row>
        <row r="22392">
          <cell r="A22392"/>
          <cell r="B22392"/>
          <cell r="C22392"/>
          <cell r="D22392"/>
          <cell r="E22392"/>
        </row>
        <row r="22393">
          <cell r="A22393"/>
          <cell r="B22393"/>
          <cell r="C22393"/>
          <cell r="D22393"/>
          <cell r="E22393"/>
        </row>
        <row r="22394">
          <cell r="A22394"/>
          <cell r="B22394"/>
          <cell r="C22394"/>
          <cell r="D22394"/>
          <cell r="E22394"/>
        </row>
        <row r="22395">
          <cell r="A22395"/>
          <cell r="B22395"/>
          <cell r="C22395"/>
          <cell r="D22395"/>
          <cell r="E22395"/>
        </row>
        <row r="22396">
          <cell r="A22396"/>
          <cell r="B22396"/>
          <cell r="C22396"/>
          <cell r="D22396"/>
          <cell r="E22396"/>
        </row>
        <row r="22397">
          <cell r="A22397"/>
          <cell r="B22397"/>
          <cell r="C22397"/>
          <cell r="D22397"/>
          <cell r="E22397"/>
        </row>
        <row r="22398">
          <cell r="A22398"/>
          <cell r="B22398"/>
          <cell r="C22398"/>
          <cell r="D22398"/>
          <cell r="E22398"/>
        </row>
        <row r="22399">
          <cell r="A22399"/>
          <cell r="B22399"/>
          <cell r="C22399"/>
          <cell r="D22399"/>
          <cell r="E22399"/>
        </row>
        <row r="22400">
          <cell r="A22400"/>
          <cell r="B22400"/>
          <cell r="C22400"/>
          <cell r="D22400"/>
          <cell r="E22400"/>
        </row>
        <row r="22401">
          <cell r="A22401"/>
          <cell r="B22401"/>
          <cell r="C22401"/>
          <cell r="D22401"/>
          <cell r="E22401"/>
        </row>
        <row r="22402">
          <cell r="A22402"/>
          <cell r="B22402"/>
          <cell r="C22402"/>
          <cell r="D22402"/>
          <cell r="E22402"/>
        </row>
        <row r="22403">
          <cell r="A22403"/>
          <cell r="B22403"/>
          <cell r="C22403"/>
          <cell r="D22403"/>
          <cell r="E22403"/>
        </row>
        <row r="22404">
          <cell r="A22404"/>
          <cell r="B22404"/>
          <cell r="C22404"/>
          <cell r="D22404"/>
          <cell r="E22404"/>
        </row>
        <row r="22405">
          <cell r="A22405"/>
          <cell r="B22405"/>
          <cell r="C22405"/>
          <cell r="D22405"/>
          <cell r="E22405"/>
        </row>
        <row r="22406">
          <cell r="A22406"/>
          <cell r="B22406"/>
          <cell r="C22406"/>
          <cell r="D22406"/>
          <cell r="E22406"/>
        </row>
        <row r="22407">
          <cell r="A22407"/>
          <cell r="B22407"/>
          <cell r="C22407"/>
          <cell r="D22407"/>
          <cell r="E22407"/>
        </row>
        <row r="22408">
          <cell r="A22408"/>
          <cell r="B22408"/>
          <cell r="C22408"/>
          <cell r="D22408"/>
          <cell r="E22408"/>
        </row>
        <row r="22409">
          <cell r="A22409"/>
          <cell r="B22409"/>
          <cell r="C22409"/>
          <cell r="D22409"/>
          <cell r="E22409"/>
        </row>
        <row r="22410">
          <cell r="A22410"/>
          <cell r="B22410"/>
          <cell r="C22410"/>
          <cell r="D22410"/>
          <cell r="E22410"/>
        </row>
        <row r="22411">
          <cell r="A22411"/>
          <cell r="B22411"/>
          <cell r="C22411"/>
          <cell r="D22411"/>
          <cell r="E22411"/>
        </row>
        <row r="22412">
          <cell r="A22412"/>
          <cell r="B22412"/>
          <cell r="C22412"/>
          <cell r="D22412"/>
          <cell r="E22412"/>
        </row>
        <row r="22413">
          <cell r="A22413"/>
          <cell r="B22413"/>
          <cell r="C22413"/>
          <cell r="D22413"/>
          <cell r="E22413"/>
        </row>
        <row r="22414">
          <cell r="A22414"/>
          <cell r="B22414"/>
          <cell r="C22414"/>
          <cell r="D22414"/>
          <cell r="E22414"/>
        </row>
        <row r="22415">
          <cell r="A22415"/>
          <cell r="B22415"/>
          <cell r="C22415"/>
          <cell r="D22415"/>
          <cell r="E22415"/>
        </row>
        <row r="22416">
          <cell r="A22416"/>
          <cell r="B22416"/>
          <cell r="C22416"/>
          <cell r="D22416"/>
          <cell r="E22416"/>
        </row>
        <row r="22417">
          <cell r="A22417"/>
          <cell r="B22417"/>
          <cell r="C22417"/>
          <cell r="D22417"/>
          <cell r="E22417"/>
        </row>
        <row r="22418">
          <cell r="A22418"/>
          <cell r="B22418"/>
          <cell r="C22418"/>
          <cell r="D22418"/>
          <cell r="E22418"/>
        </row>
        <row r="22419">
          <cell r="A22419"/>
          <cell r="B22419"/>
          <cell r="C22419"/>
          <cell r="D22419"/>
          <cell r="E22419"/>
        </row>
        <row r="22420">
          <cell r="A22420"/>
          <cell r="B22420"/>
          <cell r="C22420"/>
          <cell r="D22420"/>
          <cell r="E22420"/>
        </row>
        <row r="22421">
          <cell r="A22421"/>
          <cell r="B22421"/>
          <cell r="C22421"/>
          <cell r="D22421"/>
          <cell r="E22421"/>
        </row>
        <row r="22422">
          <cell r="A22422"/>
          <cell r="B22422"/>
          <cell r="C22422"/>
          <cell r="D22422"/>
          <cell r="E22422"/>
        </row>
        <row r="22423">
          <cell r="A22423"/>
          <cell r="B22423"/>
          <cell r="C22423"/>
          <cell r="D22423"/>
          <cell r="E22423"/>
        </row>
        <row r="22424">
          <cell r="A22424"/>
          <cell r="B22424"/>
          <cell r="C22424"/>
          <cell r="D22424"/>
          <cell r="E22424"/>
        </row>
        <row r="22425">
          <cell r="A22425"/>
          <cell r="B22425"/>
          <cell r="C22425"/>
          <cell r="D22425"/>
          <cell r="E22425"/>
        </row>
        <row r="22426">
          <cell r="A22426"/>
          <cell r="B22426"/>
          <cell r="C22426"/>
          <cell r="D22426"/>
          <cell r="E22426"/>
        </row>
        <row r="22427">
          <cell r="A22427"/>
          <cell r="B22427"/>
          <cell r="C22427"/>
          <cell r="D22427"/>
          <cell r="E22427"/>
        </row>
        <row r="22428">
          <cell r="A22428"/>
          <cell r="B22428"/>
          <cell r="C22428"/>
          <cell r="D22428"/>
          <cell r="E22428"/>
        </row>
        <row r="22429">
          <cell r="A22429"/>
          <cell r="B22429"/>
          <cell r="C22429"/>
          <cell r="D22429"/>
          <cell r="E22429"/>
        </row>
        <row r="22430">
          <cell r="A22430"/>
          <cell r="B22430"/>
          <cell r="C22430"/>
          <cell r="D22430"/>
          <cell r="E22430"/>
        </row>
        <row r="22431">
          <cell r="A22431"/>
          <cell r="B22431"/>
          <cell r="C22431"/>
          <cell r="D22431"/>
          <cell r="E22431"/>
        </row>
        <row r="22432">
          <cell r="A22432"/>
          <cell r="B22432"/>
          <cell r="C22432"/>
          <cell r="D22432"/>
          <cell r="E22432"/>
        </row>
        <row r="22433">
          <cell r="A22433"/>
          <cell r="B22433"/>
          <cell r="C22433"/>
          <cell r="D22433"/>
          <cell r="E22433"/>
        </row>
        <row r="22434">
          <cell r="A22434"/>
          <cell r="B22434"/>
          <cell r="C22434"/>
          <cell r="D22434"/>
          <cell r="E22434"/>
        </row>
        <row r="22435">
          <cell r="A22435"/>
          <cell r="B22435"/>
          <cell r="C22435"/>
          <cell r="D22435"/>
          <cell r="E22435"/>
        </row>
        <row r="22436">
          <cell r="A22436"/>
          <cell r="B22436"/>
          <cell r="C22436"/>
          <cell r="D22436"/>
          <cell r="E22436"/>
        </row>
        <row r="22437">
          <cell r="A22437"/>
          <cell r="B22437"/>
          <cell r="C22437"/>
          <cell r="D22437"/>
          <cell r="E22437"/>
        </row>
        <row r="22438">
          <cell r="A22438"/>
          <cell r="B22438"/>
          <cell r="C22438"/>
          <cell r="D22438"/>
          <cell r="E22438"/>
        </row>
        <row r="22439">
          <cell r="A22439"/>
          <cell r="B22439"/>
          <cell r="C22439"/>
          <cell r="D22439"/>
          <cell r="E22439"/>
        </row>
        <row r="22440">
          <cell r="A22440"/>
          <cell r="B22440"/>
          <cell r="C22440"/>
          <cell r="D22440"/>
          <cell r="E22440"/>
        </row>
        <row r="22441">
          <cell r="A22441"/>
          <cell r="B22441"/>
          <cell r="C22441"/>
          <cell r="D22441"/>
          <cell r="E22441"/>
        </row>
        <row r="22442">
          <cell r="A22442"/>
          <cell r="B22442"/>
          <cell r="C22442"/>
          <cell r="D22442"/>
          <cell r="E22442"/>
        </row>
        <row r="22443">
          <cell r="A22443"/>
          <cell r="B22443"/>
          <cell r="C22443"/>
          <cell r="D22443"/>
          <cell r="E22443"/>
        </row>
        <row r="22444">
          <cell r="A22444"/>
          <cell r="B22444"/>
          <cell r="C22444"/>
          <cell r="D22444"/>
          <cell r="E22444"/>
        </row>
        <row r="22445">
          <cell r="A22445"/>
          <cell r="B22445"/>
          <cell r="C22445"/>
          <cell r="D22445"/>
          <cell r="E22445"/>
        </row>
        <row r="22446">
          <cell r="A22446"/>
          <cell r="B22446"/>
          <cell r="C22446"/>
          <cell r="D22446"/>
          <cell r="E22446"/>
        </row>
        <row r="22447">
          <cell r="A22447"/>
          <cell r="B22447"/>
          <cell r="C22447"/>
          <cell r="D22447"/>
          <cell r="E22447"/>
        </row>
        <row r="22448">
          <cell r="A22448"/>
          <cell r="B22448"/>
          <cell r="C22448"/>
          <cell r="D22448"/>
          <cell r="E22448"/>
        </row>
        <row r="22449">
          <cell r="A22449"/>
          <cell r="B22449"/>
          <cell r="C22449"/>
          <cell r="D22449"/>
          <cell r="E22449"/>
        </row>
        <row r="22450">
          <cell r="A22450"/>
          <cell r="B22450"/>
          <cell r="C22450"/>
          <cell r="D22450"/>
          <cell r="E22450"/>
        </row>
        <row r="22451">
          <cell r="A22451"/>
          <cell r="B22451"/>
          <cell r="C22451"/>
          <cell r="D22451"/>
          <cell r="E22451"/>
        </row>
        <row r="22452">
          <cell r="A22452"/>
          <cell r="B22452"/>
          <cell r="C22452"/>
          <cell r="D22452"/>
          <cell r="E22452"/>
        </row>
        <row r="22453">
          <cell r="A22453"/>
          <cell r="B22453"/>
          <cell r="C22453"/>
          <cell r="D22453"/>
          <cell r="E22453"/>
        </row>
        <row r="22454">
          <cell r="A22454"/>
          <cell r="B22454"/>
          <cell r="C22454"/>
          <cell r="D22454"/>
          <cell r="E22454"/>
        </row>
        <row r="22455">
          <cell r="A22455"/>
          <cell r="B22455"/>
          <cell r="C22455"/>
          <cell r="D22455"/>
          <cell r="E22455"/>
        </row>
        <row r="22456">
          <cell r="A22456"/>
          <cell r="B22456"/>
          <cell r="C22456"/>
          <cell r="D22456"/>
          <cell r="E22456"/>
        </row>
        <row r="22457">
          <cell r="A22457"/>
          <cell r="B22457"/>
          <cell r="C22457"/>
          <cell r="D22457"/>
          <cell r="E22457"/>
        </row>
        <row r="22458">
          <cell r="A22458"/>
          <cell r="B22458"/>
          <cell r="C22458"/>
          <cell r="D22458"/>
          <cell r="E22458"/>
        </row>
        <row r="22459">
          <cell r="A22459"/>
          <cell r="B22459"/>
          <cell r="C22459"/>
          <cell r="D22459"/>
          <cell r="E22459"/>
        </row>
        <row r="22460">
          <cell r="A22460"/>
          <cell r="B22460"/>
          <cell r="C22460"/>
          <cell r="D22460"/>
          <cell r="E22460"/>
        </row>
        <row r="22461">
          <cell r="A22461"/>
          <cell r="B22461"/>
          <cell r="C22461"/>
          <cell r="D22461"/>
          <cell r="E22461"/>
        </row>
        <row r="22462">
          <cell r="A22462"/>
          <cell r="B22462"/>
          <cell r="C22462"/>
          <cell r="D22462"/>
          <cell r="E22462"/>
        </row>
        <row r="22463">
          <cell r="A22463"/>
          <cell r="B22463"/>
          <cell r="C22463"/>
          <cell r="D22463"/>
          <cell r="E22463"/>
        </row>
        <row r="22464">
          <cell r="A22464"/>
          <cell r="B22464"/>
          <cell r="C22464"/>
          <cell r="D22464"/>
          <cell r="E22464"/>
        </row>
        <row r="22465">
          <cell r="A22465"/>
          <cell r="B22465"/>
          <cell r="C22465"/>
          <cell r="D22465"/>
          <cell r="E22465"/>
        </row>
        <row r="22466">
          <cell r="A22466"/>
          <cell r="B22466"/>
          <cell r="C22466"/>
          <cell r="D22466"/>
          <cell r="E22466"/>
        </row>
        <row r="22467">
          <cell r="A22467"/>
          <cell r="B22467"/>
          <cell r="C22467"/>
          <cell r="D22467"/>
          <cell r="E22467"/>
        </row>
        <row r="22468">
          <cell r="A22468"/>
          <cell r="B22468"/>
          <cell r="C22468"/>
          <cell r="D22468"/>
          <cell r="E22468"/>
        </row>
        <row r="22469">
          <cell r="A22469"/>
          <cell r="B22469"/>
          <cell r="C22469"/>
          <cell r="D22469"/>
          <cell r="E22469"/>
        </row>
        <row r="22470">
          <cell r="A22470"/>
          <cell r="B22470"/>
          <cell r="C22470"/>
          <cell r="D22470"/>
          <cell r="E22470"/>
        </row>
        <row r="22471">
          <cell r="A22471"/>
          <cell r="B22471"/>
          <cell r="C22471"/>
          <cell r="D22471"/>
          <cell r="E22471"/>
        </row>
        <row r="22472">
          <cell r="A22472"/>
          <cell r="B22472"/>
          <cell r="C22472"/>
          <cell r="D22472"/>
          <cell r="E22472"/>
        </row>
        <row r="22473">
          <cell r="A22473"/>
          <cell r="B22473"/>
          <cell r="C22473"/>
          <cell r="D22473"/>
          <cell r="E22473"/>
        </row>
        <row r="22474">
          <cell r="A22474"/>
          <cell r="B22474"/>
          <cell r="C22474"/>
          <cell r="D22474"/>
          <cell r="E22474"/>
        </row>
        <row r="22475">
          <cell r="A22475"/>
          <cell r="B22475"/>
          <cell r="C22475"/>
          <cell r="D22475"/>
          <cell r="E22475"/>
        </row>
        <row r="22476">
          <cell r="A22476"/>
          <cell r="B22476"/>
          <cell r="C22476"/>
          <cell r="D22476"/>
          <cell r="E22476"/>
        </row>
        <row r="22477">
          <cell r="A22477"/>
          <cell r="B22477"/>
          <cell r="C22477"/>
          <cell r="D22477"/>
          <cell r="E22477"/>
        </row>
        <row r="22478">
          <cell r="A22478"/>
          <cell r="B22478"/>
          <cell r="C22478"/>
          <cell r="D22478"/>
          <cell r="E22478"/>
        </row>
        <row r="22479">
          <cell r="A22479"/>
          <cell r="B22479"/>
          <cell r="C22479"/>
          <cell r="D22479"/>
          <cell r="E22479"/>
        </row>
        <row r="22480">
          <cell r="A22480"/>
          <cell r="B22480"/>
          <cell r="C22480"/>
          <cell r="D22480"/>
          <cell r="E22480"/>
        </row>
        <row r="22481">
          <cell r="A22481"/>
          <cell r="B22481"/>
          <cell r="C22481"/>
          <cell r="D22481"/>
          <cell r="E22481"/>
        </row>
        <row r="22482">
          <cell r="A22482"/>
          <cell r="B22482"/>
          <cell r="C22482"/>
          <cell r="D22482"/>
          <cell r="E22482"/>
        </row>
        <row r="22483">
          <cell r="A22483"/>
          <cell r="B22483"/>
          <cell r="C22483"/>
          <cell r="D22483"/>
          <cell r="E22483"/>
        </row>
        <row r="22484">
          <cell r="A22484"/>
          <cell r="B22484"/>
          <cell r="C22484"/>
          <cell r="D22484"/>
          <cell r="E22484"/>
        </row>
        <row r="22485">
          <cell r="A22485"/>
          <cell r="B22485"/>
          <cell r="C22485"/>
          <cell r="D22485"/>
          <cell r="E22485"/>
        </row>
        <row r="22486">
          <cell r="A22486"/>
          <cell r="B22486"/>
          <cell r="C22486"/>
          <cell r="D22486"/>
          <cell r="E22486"/>
        </row>
        <row r="22487">
          <cell r="A22487"/>
          <cell r="B22487"/>
          <cell r="C22487"/>
          <cell r="D22487"/>
          <cell r="E22487"/>
        </row>
        <row r="22488">
          <cell r="A22488"/>
          <cell r="B22488"/>
          <cell r="C22488"/>
          <cell r="D22488"/>
          <cell r="E22488"/>
        </row>
        <row r="22489">
          <cell r="A22489"/>
          <cell r="B22489"/>
          <cell r="C22489"/>
          <cell r="D22489"/>
          <cell r="E22489"/>
        </row>
        <row r="22490">
          <cell r="A22490"/>
          <cell r="B22490"/>
          <cell r="C22490"/>
          <cell r="D22490"/>
          <cell r="E22490"/>
        </row>
        <row r="22491">
          <cell r="A22491"/>
          <cell r="B22491"/>
          <cell r="C22491"/>
          <cell r="D22491"/>
          <cell r="E22491"/>
        </row>
        <row r="22492">
          <cell r="A22492"/>
          <cell r="B22492"/>
          <cell r="C22492"/>
          <cell r="D22492"/>
          <cell r="E22492"/>
        </row>
        <row r="22493">
          <cell r="A22493"/>
          <cell r="B22493"/>
          <cell r="C22493"/>
          <cell r="D22493"/>
          <cell r="E22493"/>
        </row>
        <row r="22494">
          <cell r="A22494"/>
          <cell r="B22494"/>
          <cell r="C22494"/>
          <cell r="D22494"/>
          <cell r="E22494"/>
        </row>
        <row r="22495">
          <cell r="A22495"/>
          <cell r="B22495"/>
          <cell r="C22495"/>
          <cell r="D22495"/>
          <cell r="E22495"/>
        </row>
        <row r="22496">
          <cell r="A22496"/>
          <cell r="B22496"/>
          <cell r="C22496"/>
          <cell r="D22496"/>
          <cell r="E22496"/>
        </row>
        <row r="22497">
          <cell r="A22497"/>
          <cell r="B22497"/>
          <cell r="C22497"/>
          <cell r="D22497"/>
          <cell r="E22497"/>
        </row>
        <row r="22498">
          <cell r="A22498"/>
          <cell r="B22498"/>
          <cell r="C22498"/>
          <cell r="D22498"/>
          <cell r="E22498"/>
        </row>
        <row r="22499">
          <cell r="A22499"/>
          <cell r="B22499"/>
          <cell r="C22499"/>
          <cell r="D22499"/>
          <cell r="E22499"/>
        </row>
        <row r="22500">
          <cell r="A22500"/>
          <cell r="B22500"/>
          <cell r="C22500"/>
          <cell r="D22500"/>
          <cell r="E22500"/>
        </row>
        <row r="22501">
          <cell r="A22501"/>
          <cell r="B22501"/>
          <cell r="C22501"/>
          <cell r="D22501"/>
          <cell r="E22501"/>
        </row>
        <row r="22502">
          <cell r="A22502"/>
          <cell r="B22502"/>
          <cell r="C22502"/>
          <cell r="D22502"/>
          <cell r="E22502"/>
        </row>
        <row r="22503">
          <cell r="A22503"/>
          <cell r="B22503"/>
          <cell r="C22503"/>
          <cell r="D22503"/>
          <cell r="E22503"/>
        </row>
        <row r="22504">
          <cell r="A22504"/>
          <cell r="B22504"/>
          <cell r="C22504"/>
          <cell r="D22504"/>
          <cell r="E22504"/>
        </row>
        <row r="22505">
          <cell r="A22505"/>
          <cell r="B22505"/>
          <cell r="C22505"/>
          <cell r="D22505"/>
          <cell r="E22505"/>
        </row>
        <row r="22506">
          <cell r="A22506"/>
          <cell r="B22506"/>
          <cell r="C22506"/>
          <cell r="D22506"/>
          <cell r="E22506"/>
        </row>
        <row r="22507">
          <cell r="A22507"/>
          <cell r="B22507"/>
          <cell r="C22507"/>
          <cell r="D22507"/>
          <cell r="E22507"/>
        </row>
        <row r="22508">
          <cell r="A22508"/>
          <cell r="B22508"/>
          <cell r="C22508"/>
          <cell r="D22508"/>
          <cell r="E22508"/>
        </row>
        <row r="22509">
          <cell r="A22509"/>
          <cell r="B22509"/>
          <cell r="C22509"/>
          <cell r="D22509"/>
          <cell r="E22509"/>
        </row>
        <row r="22510">
          <cell r="A22510"/>
          <cell r="B22510"/>
          <cell r="C22510"/>
          <cell r="D22510"/>
          <cell r="E22510"/>
        </row>
        <row r="22511">
          <cell r="A22511"/>
          <cell r="B22511"/>
          <cell r="C22511"/>
          <cell r="D22511"/>
          <cell r="E22511"/>
        </row>
        <row r="22512">
          <cell r="A22512"/>
          <cell r="B22512"/>
          <cell r="C22512"/>
          <cell r="D22512"/>
          <cell r="E22512"/>
        </row>
        <row r="22513">
          <cell r="A22513"/>
          <cell r="B22513"/>
          <cell r="C22513"/>
          <cell r="D22513"/>
          <cell r="E22513"/>
        </row>
        <row r="22514">
          <cell r="A22514"/>
          <cell r="B22514"/>
          <cell r="C22514"/>
          <cell r="D22514"/>
          <cell r="E22514"/>
        </row>
        <row r="22515">
          <cell r="A22515"/>
          <cell r="B22515"/>
          <cell r="C22515"/>
          <cell r="D22515"/>
          <cell r="E22515"/>
        </row>
        <row r="22516">
          <cell r="A22516"/>
          <cell r="B22516"/>
          <cell r="C22516"/>
          <cell r="D22516"/>
          <cell r="E22516"/>
        </row>
        <row r="22517">
          <cell r="A22517"/>
          <cell r="B22517"/>
          <cell r="C22517"/>
          <cell r="D22517"/>
          <cell r="E22517"/>
        </row>
        <row r="22518">
          <cell r="A22518"/>
          <cell r="B22518"/>
          <cell r="C22518"/>
          <cell r="D22518"/>
          <cell r="E22518"/>
        </row>
        <row r="22519">
          <cell r="A22519"/>
          <cell r="B22519"/>
          <cell r="C22519"/>
          <cell r="D22519"/>
          <cell r="E22519"/>
        </row>
        <row r="22520">
          <cell r="A22520"/>
          <cell r="B22520"/>
          <cell r="C22520"/>
          <cell r="D22520"/>
          <cell r="E22520"/>
        </row>
        <row r="22521">
          <cell r="A22521"/>
          <cell r="B22521"/>
          <cell r="C22521"/>
          <cell r="D22521"/>
          <cell r="E22521"/>
        </row>
        <row r="22522">
          <cell r="A22522"/>
          <cell r="B22522"/>
          <cell r="C22522"/>
          <cell r="D22522"/>
          <cell r="E22522"/>
        </row>
        <row r="22523">
          <cell r="A22523"/>
          <cell r="B22523"/>
          <cell r="C22523"/>
          <cell r="D22523"/>
          <cell r="E22523"/>
        </row>
        <row r="22524">
          <cell r="A22524"/>
          <cell r="B22524"/>
          <cell r="C22524"/>
          <cell r="D22524"/>
          <cell r="E22524"/>
        </row>
        <row r="22525">
          <cell r="A22525"/>
          <cell r="B22525"/>
          <cell r="C22525"/>
          <cell r="D22525"/>
          <cell r="E22525"/>
        </row>
        <row r="22526">
          <cell r="A22526"/>
          <cell r="B22526"/>
          <cell r="C22526"/>
          <cell r="D22526"/>
          <cell r="E22526"/>
        </row>
        <row r="22527">
          <cell r="A22527"/>
          <cell r="B22527"/>
          <cell r="C22527"/>
          <cell r="D22527"/>
          <cell r="E22527"/>
        </row>
        <row r="22528">
          <cell r="A22528"/>
          <cell r="B22528"/>
          <cell r="C22528"/>
          <cell r="D22528"/>
          <cell r="E22528"/>
        </row>
        <row r="22529">
          <cell r="A22529"/>
          <cell r="B22529"/>
          <cell r="C22529"/>
          <cell r="D22529"/>
          <cell r="E22529"/>
        </row>
        <row r="22530">
          <cell r="A22530"/>
          <cell r="B22530"/>
          <cell r="C22530"/>
          <cell r="D22530"/>
          <cell r="E22530"/>
        </row>
        <row r="22531">
          <cell r="A22531"/>
          <cell r="B22531"/>
          <cell r="C22531"/>
          <cell r="D22531"/>
          <cell r="E22531"/>
        </row>
        <row r="22532">
          <cell r="A22532"/>
          <cell r="B22532"/>
          <cell r="C22532"/>
          <cell r="D22532"/>
          <cell r="E22532"/>
        </row>
        <row r="22533">
          <cell r="A22533"/>
          <cell r="B22533"/>
          <cell r="C22533"/>
          <cell r="D22533"/>
          <cell r="E22533"/>
        </row>
        <row r="22534">
          <cell r="A22534"/>
          <cell r="B22534"/>
          <cell r="C22534"/>
          <cell r="D22534"/>
          <cell r="E22534"/>
        </row>
        <row r="22535">
          <cell r="A22535"/>
          <cell r="B22535"/>
          <cell r="C22535"/>
          <cell r="D22535"/>
          <cell r="E22535"/>
        </row>
        <row r="22536">
          <cell r="A22536"/>
          <cell r="B22536"/>
          <cell r="C22536"/>
          <cell r="D22536"/>
          <cell r="E22536"/>
        </row>
        <row r="22537">
          <cell r="A22537"/>
          <cell r="B22537"/>
          <cell r="C22537"/>
          <cell r="D22537"/>
          <cell r="E22537"/>
        </row>
        <row r="22538">
          <cell r="A22538"/>
          <cell r="B22538"/>
          <cell r="C22538"/>
          <cell r="D22538"/>
          <cell r="E22538"/>
        </row>
        <row r="22539">
          <cell r="A22539"/>
          <cell r="B22539"/>
          <cell r="C22539"/>
          <cell r="D22539"/>
          <cell r="E22539"/>
        </row>
        <row r="22540">
          <cell r="A22540"/>
          <cell r="B22540"/>
          <cell r="C22540"/>
          <cell r="D22540"/>
          <cell r="E22540"/>
        </row>
        <row r="22541">
          <cell r="A22541"/>
          <cell r="B22541"/>
          <cell r="C22541"/>
          <cell r="D22541"/>
          <cell r="E22541"/>
        </row>
        <row r="22542">
          <cell r="A22542"/>
          <cell r="B22542"/>
          <cell r="C22542"/>
          <cell r="D22542"/>
          <cell r="E22542"/>
        </row>
        <row r="22543">
          <cell r="A22543"/>
          <cell r="B22543"/>
          <cell r="C22543"/>
          <cell r="D22543"/>
          <cell r="E22543"/>
        </row>
        <row r="22544">
          <cell r="A22544"/>
          <cell r="B22544"/>
          <cell r="C22544"/>
          <cell r="D22544"/>
          <cell r="E22544"/>
        </row>
        <row r="22545">
          <cell r="A22545"/>
          <cell r="B22545"/>
          <cell r="C22545"/>
          <cell r="D22545"/>
          <cell r="E22545"/>
        </row>
        <row r="22546">
          <cell r="A22546"/>
          <cell r="B22546"/>
          <cell r="C22546"/>
          <cell r="D22546"/>
          <cell r="E22546"/>
        </row>
        <row r="22547">
          <cell r="A22547"/>
          <cell r="B22547"/>
          <cell r="C22547"/>
          <cell r="D22547"/>
          <cell r="E22547"/>
        </row>
        <row r="22548">
          <cell r="A22548"/>
          <cell r="B22548"/>
          <cell r="C22548"/>
          <cell r="D22548"/>
          <cell r="E22548"/>
        </row>
        <row r="22549">
          <cell r="A22549"/>
          <cell r="B22549"/>
          <cell r="C22549"/>
          <cell r="D22549"/>
          <cell r="E22549"/>
        </row>
        <row r="22550">
          <cell r="A22550"/>
          <cell r="B22550"/>
          <cell r="C22550"/>
          <cell r="D22550"/>
          <cell r="E22550"/>
        </row>
        <row r="22551">
          <cell r="A22551"/>
          <cell r="B22551"/>
          <cell r="C22551"/>
          <cell r="D22551"/>
          <cell r="E22551"/>
        </row>
        <row r="22552">
          <cell r="A22552"/>
          <cell r="B22552"/>
          <cell r="C22552"/>
          <cell r="D22552"/>
          <cell r="E22552"/>
        </row>
        <row r="22553">
          <cell r="A22553"/>
          <cell r="B22553"/>
          <cell r="C22553"/>
          <cell r="D22553"/>
          <cell r="E22553"/>
        </row>
        <row r="22554">
          <cell r="A22554"/>
          <cell r="B22554"/>
          <cell r="C22554"/>
          <cell r="D22554"/>
          <cell r="E22554"/>
        </row>
        <row r="22555">
          <cell r="A22555"/>
          <cell r="B22555"/>
          <cell r="C22555"/>
          <cell r="D22555"/>
          <cell r="E22555"/>
        </row>
        <row r="22556">
          <cell r="A22556"/>
          <cell r="B22556"/>
          <cell r="C22556"/>
          <cell r="D22556"/>
          <cell r="E22556"/>
        </row>
        <row r="22557">
          <cell r="A22557"/>
          <cell r="B22557"/>
          <cell r="C22557"/>
          <cell r="D22557"/>
          <cell r="E22557"/>
        </row>
        <row r="22558">
          <cell r="A22558"/>
          <cell r="B22558"/>
          <cell r="C22558"/>
          <cell r="D22558"/>
          <cell r="E22558"/>
        </row>
        <row r="22559">
          <cell r="A22559"/>
          <cell r="B22559"/>
          <cell r="C22559"/>
          <cell r="D22559"/>
          <cell r="E22559"/>
        </row>
        <row r="22560">
          <cell r="A22560"/>
          <cell r="B22560"/>
          <cell r="C22560"/>
          <cell r="D22560"/>
          <cell r="E22560"/>
        </row>
        <row r="22561">
          <cell r="A22561"/>
          <cell r="B22561"/>
          <cell r="C22561"/>
          <cell r="D22561"/>
          <cell r="E22561"/>
        </row>
        <row r="22562">
          <cell r="A22562"/>
          <cell r="B22562"/>
          <cell r="C22562"/>
          <cell r="D22562"/>
          <cell r="E22562"/>
        </row>
        <row r="22563">
          <cell r="A22563"/>
          <cell r="B22563"/>
          <cell r="C22563"/>
          <cell r="D22563"/>
          <cell r="E22563"/>
        </row>
        <row r="22564">
          <cell r="A22564"/>
          <cell r="B22564"/>
          <cell r="C22564"/>
          <cell r="D22564"/>
          <cell r="E22564"/>
        </row>
        <row r="22565">
          <cell r="A22565"/>
          <cell r="B22565"/>
          <cell r="C22565"/>
          <cell r="D22565"/>
          <cell r="E22565"/>
        </row>
        <row r="22566">
          <cell r="A22566"/>
          <cell r="B22566"/>
          <cell r="C22566"/>
          <cell r="D22566"/>
          <cell r="E22566"/>
        </row>
        <row r="22567">
          <cell r="A22567"/>
          <cell r="B22567"/>
          <cell r="C22567"/>
          <cell r="D22567"/>
          <cell r="E22567"/>
        </row>
        <row r="22568">
          <cell r="A22568"/>
          <cell r="B22568"/>
          <cell r="C22568"/>
          <cell r="D22568"/>
          <cell r="E22568"/>
        </row>
        <row r="22569">
          <cell r="A22569"/>
          <cell r="B22569"/>
          <cell r="C22569"/>
          <cell r="D22569"/>
          <cell r="E22569"/>
        </row>
        <row r="22570">
          <cell r="A22570"/>
          <cell r="B22570"/>
          <cell r="C22570"/>
          <cell r="D22570"/>
          <cell r="E22570"/>
        </row>
        <row r="22571">
          <cell r="A22571"/>
          <cell r="B22571"/>
          <cell r="C22571"/>
          <cell r="D22571"/>
          <cell r="E22571"/>
        </row>
        <row r="22572">
          <cell r="A22572"/>
          <cell r="B22572"/>
          <cell r="C22572"/>
          <cell r="D22572"/>
          <cell r="E22572"/>
        </row>
        <row r="22573">
          <cell r="A22573"/>
          <cell r="B22573"/>
          <cell r="C22573"/>
          <cell r="D22573"/>
          <cell r="E22573"/>
        </row>
        <row r="22574">
          <cell r="A22574"/>
          <cell r="B22574"/>
          <cell r="C22574"/>
          <cell r="D22574"/>
          <cell r="E22574"/>
        </row>
        <row r="22575">
          <cell r="A22575"/>
          <cell r="B22575"/>
          <cell r="C22575"/>
          <cell r="D22575"/>
          <cell r="E22575"/>
        </row>
        <row r="22576">
          <cell r="A22576"/>
          <cell r="B22576"/>
          <cell r="C22576"/>
          <cell r="D22576"/>
          <cell r="E22576"/>
        </row>
        <row r="22577">
          <cell r="A22577"/>
          <cell r="B22577"/>
          <cell r="C22577"/>
          <cell r="D22577"/>
          <cell r="E22577"/>
        </row>
        <row r="22578">
          <cell r="A22578"/>
          <cell r="B22578"/>
          <cell r="C22578"/>
          <cell r="D22578"/>
          <cell r="E22578"/>
        </row>
        <row r="22579">
          <cell r="A22579"/>
          <cell r="B22579"/>
          <cell r="C22579"/>
          <cell r="D22579"/>
          <cell r="E22579"/>
        </row>
        <row r="22580">
          <cell r="A22580"/>
          <cell r="B22580"/>
          <cell r="C22580"/>
          <cell r="D22580"/>
          <cell r="E22580"/>
        </row>
        <row r="22581">
          <cell r="A22581"/>
          <cell r="B22581"/>
          <cell r="C22581"/>
          <cell r="D22581"/>
          <cell r="E22581"/>
        </row>
        <row r="22582">
          <cell r="A22582"/>
        </row>
        <row r="22583">
          <cell r="A22583"/>
        </row>
        <row r="22584">
          <cell r="A22584"/>
        </row>
        <row r="22585">
          <cell r="A22585"/>
        </row>
        <row r="22586">
          <cell r="A22586"/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PP SIDE SEAL"/>
      <sheetName val="PP BOTTOM SEAL"/>
      <sheetName val="PP PRD"/>
      <sheetName val="LD PRD"/>
      <sheetName val="LD DISPATCH"/>
      <sheetName val="PP DISPATCH"/>
      <sheetName val="PP F.G entries"/>
      <sheetName val="FG STOCK"/>
      <sheetName val="LD ROLL IN"/>
      <sheetName val="item list"/>
    </sheetNames>
    <sheetDataSet>
      <sheetData sheetId="0"/>
      <sheetData sheetId="1">
        <row r="1">
          <cell r="D1" t="str">
            <v>DATE</v>
          </cell>
          <cell r="H1" t="str">
            <v>GUAGE</v>
          </cell>
          <cell r="I1" t="str">
            <v>TUBE SIZE</v>
          </cell>
          <cell r="L1" t="str">
            <v>NET WEIGHT</v>
          </cell>
        </row>
        <row r="2">
          <cell r="D2">
            <v>45658</v>
          </cell>
          <cell r="H2">
            <v>5</v>
          </cell>
          <cell r="I2">
            <v>0</v>
          </cell>
          <cell r="L2">
            <v>125</v>
          </cell>
        </row>
        <row r="3">
          <cell r="D3">
            <v>45658</v>
          </cell>
          <cell r="H3">
            <v>5</v>
          </cell>
          <cell r="I3">
            <v>0</v>
          </cell>
          <cell r="L3">
            <v>25</v>
          </cell>
        </row>
        <row r="4">
          <cell r="D4">
            <v>45658</v>
          </cell>
          <cell r="H4">
            <v>5</v>
          </cell>
          <cell r="I4">
            <v>0</v>
          </cell>
          <cell r="L4">
            <v>75</v>
          </cell>
        </row>
        <row r="5">
          <cell r="D5">
            <v>45658</v>
          </cell>
          <cell r="H5">
            <v>10</v>
          </cell>
          <cell r="I5">
            <v>0</v>
          </cell>
          <cell r="L5">
            <v>75</v>
          </cell>
        </row>
        <row r="6">
          <cell r="D6">
            <v>45658</v>
          </cell>
          <cell r="H6">
            <v>10</v>
          </cell>
          <cell r="I6">
            <v>0</v>
          </cell>
          <cell r="L6">
            <v>104.5</v>
          </cell>
        </row>
        <row r="7">
          <cell r="D7">
            <v>45658</v>
          </cell>
          <cell r="H7">
            <v>5</v>
          </cell>
          <cell r="I7">
            <v>0</v>
          </cell>
          <cell r="L7">
            <v>150</v>
          </cell>
        </row>
        <row r="8">
          <cell r="D8">
            <v>45658</v>
          </cell>
          <cell r="H8">
            <v>5</v>
          </cell>
          <cell r="I8">
            <v>0</v>
          </cell>
          <cell r="L8">
            <v>100</v>
          </cell>
        </row>
        <row r="9">
          <cell r="D9">
            <v>45658</v>
          </cell>
          <cell r="H9">
            <v>5</v>
          </cell>
          <cell r="I9">
            <v>0</v>
          </cell>
          <cell r="L9">
            <v>25</v>
          </cell>
        </row>
        <row r="10">
          <cell r="D10">
            <v>45658</v>
          </cell>
          <cell r="H10">
            <v>5</v>
          </cell>
          <cell r="I10">
            <v>0</v>
          </cell>
          <cell r="L10">
            <v>75</v>
          </cell>
        </row>
        <row r="11">
          <cell r="D11">
            <v>45658</v>
          </cell>
          <cell r="H11">
            <v>6</v>
          </cell>
          <cell r="I11">
            <v>0</v>
          </cell>
          <cell r="L11">
            <v>100</v>
          </cell>
        </row>
        <row r="12">
          <cell r="D12">
            <v>45658</v>
          </cell>
          <cell r="H12" t="str">
            <v>-</v>
          </cell>
          <cell r="I12" t="str">
            <v>-</v>
          </cell>
          <cell r="L12">
            <v>75</v>
          </cell>
        </row>
        <row r="13">
          <cell r="D13">
            <v>45658</v>
          </cell>
          <cell r="H13">
            <v>5</v>
          </cell>
          <cell r="I13">
            <v>0</v>
          </cell>
          <cell r="L13">
            <v>100</v>
          </cell>
        </row>
        <row r="14">
          <cell r="D14">
            <v>45658</v>
          </cell>
          <cell r="H14">
            <v>10</v>
          </cell>
          <cell r="I14">
            <v>0</v>
          </cell>
          <cell r="L14">
            <v>16.5</v>
          </cell>
        </row>
        <row r="15">
          <cell r="D15">
            <v>45659</v>
          </cell>
          <cell r="H15" t="str">
            <v>5.5/6</v>
          </cell>
          <cell r="I15">
            <v>0</v>
          </cell>
          <cell r="L15">
            <v>275</v>
          </cell>
        </row>
        <row r="16">
          <cell r="D16">
            <v>45659</v>
          </cell>
          <cell r="H16">
            <v>5</v>
          </cell>
          <cell r="I16">
            <v>0</v>
          </cell>
          <cell r="L16">
            <v>25</v>
          </cell>
        </row>
        <row r="17">
          <cell r="D17">
            <v>45659</v>
          </cell>
          <cell r="H17" t="str">
            <v>5.5/6</v>
          </cell>
          <cell r="I17">
            <v>0</v>
          </cell>
          <cell r="L17">
            <v>225</v>
          </cell>
        </row>
        <row r="18">
          <cell r="D18">
            <v>45659</v>
          </cell>
          <cell r="H18">
            <v>5</v>
          </cell>
          <cell r="I18">
            <v>0</v>
          </cell>
          <cell r="L18">
            <v>50</v>
          </cell>
        </row>
        <row r="19">
          <cell r="D19">
            <v>45659</v>
          </cell>
          <cell r="H19">
            <v>5</v>
          </cell>
          <cell r="I19">
            <v>0</v>
          </cell>
          <cell r="L19">
            <v>75</v>
          </cell>
        </row>
        <row r="20">
          <cell r="D20">
            <v>45659</v>
          </cell>
          <cell r="H20">
            <v>5</v>
          </cell>
          <cell r="I20">
            <v>0</v>
          </cell>
          <cell r="L20">
            <v>130</v>
          </cell>
        </row>
        <row r="21">
          <cell r="D21">
            <v>45659</v>
          </cell>
          <cell r="H21">
            <v>10</v>
          </cell>
          <cell r="I21">
            <v>0</v>
          </cell>
          <cell r="L21">
            <v>55.6</v>
          </cell>
        </row>
        <row r="22">
          <cell r="D22">
            <v>45659</v>
          </cell>
          <cell r="H22">
            <v>10</v>
          </cell>
          <cell r="I22">
            <v>0</v>
          </cell>
          <cell r="L22">
            <v>50</v>
          </cell>
        </row>
        <row r="23">
          <cell r="D23">
            <v>45659</v>
          </cell>
          <cell r="H23">
            <v>5</v>
          </cell>
          <cell r="I23">
            <v>0</v>
          </cell>
          <cell r="L23">
            <v>100</v>
          </cell>
        </row>
        <row r="24">
          <cell r="D24">
            <v>45659</v>
          </cell>
          <cell r="H24">
            <v>10</v>
          </cell>
          <cell r="I24">
            <v>0</v>
          </cell>
          <cell r="L24">
            <v>75</v>
          </cell>
        </row>
        <row r="25">
          <cell r="D25">
            <v>45660</v>
          </cell>
          <cell r="H25">
            <v>10</v>
          </cell>
          <cell r="I25">
            <v>0</v>
          </cell>
          <cell r="L25">
            <v>36.35</v>
          </cell>
        </row>
        <row r="26">
          <cell r="D26">
            <v>45660</v>
          </cell>
          <cell r="H26">
            <v>5</v>
          </cell>
          <cell r="I26">
            <v>0</v>
          </cell>
          <cell r="L26">
            <v>125</v>
          </cell>
        </row>
        <row r="27">
          <cell r="D27">
            <v>45660</v>
          </cell>
          <cell r="H27">
            <v>14</v>
          </cell>
          <cell r="I27">
            <v>0</v>
          </cell>
          <cell r="L27">
            <v>30</v>
          </cell>
        </row>
        <row r="28">
          <cell r="D28">
            <v>45660</v>
          </cell>
          <cell r="H28">
            <v>5</v>
          </cell>
          <cell r="I28">
            <v>0</v>
          </cell>
          <cell r="L28">
            <v>100</v>
          </cell>
        </row>
        <row r="29">
          <cell r="D29">
            <v>45660</v>
          </cell>
          <cell r="H29">
            <v>14</v>
          </cell>
          <cell r="I29">
            <v>0</v>
          </cell>
          <cell r="L29">
            <v>60</v>
          </cell>
        </row>
        <row r="30">
          <cell r="D30">
            <v>45660</v>
          </cell>
          <cell r="H30">
            <v>14</v>
          </cell>
          <cell r="I30">
            <v>0</v>
          </cell>
          <cell r="L30">
            <v>120</v>
          </cell>
        </row>
        <row r="31">
          <cell r="D31">
            <v>45661</v>
          </cell>
          <cell r="H31">
            <v>14</v>
          </cell>
          <cell r="I31">
            <v>0</v>
          </cell>
          <cell r="L31">
            <v>120</v>
          </cell>
        </row>
        <row r="32">
          <cell r="D32">
            <v>45661</v>
          </cell>
          <cell r="H32">
            <v>5</v>
          </cell>
          <cell r="I32">
            <v>0</v>
          </cell>
          <cell r="L32">
            <v>200</v>
          </cell>
        </row>
        <row r="33">
          <cell r="D33">
            <v>45661</v>
          </cell>
          <cell r="H33">
            <v>14</v>
          </cell>
          <cell r="I33">
            <v>0</v>
          </cell>
          <cell r="L33">
            <v>120</v>
          </cell>
        </row>
        <row r="34">
          <cell r="D34">
            <v>45661</v>
          </cell>
          <cell r="H34">
            <v>14</v>
          </cell>
          <cell r="I34">
            <v>0</v>
          </cell>
          <cell r="L34">
            <v>120</v>
          </cell>
        </row>
        <row r="35">
          <cell r="D35">
            <v>45663</v>
          </cell>
          <cell r="H35">
            <v>14</v>
          </cell>
          <cell r="I35">
            <v>0</v>
          </cell>
          <cell r="L35">
            <v>164</v>
          </cell>
        </row>
        <row r="36">
          <cell r="D36">
            <v>45663</v>
          </cell>
          <cell r="H36" t="str">
            <v>5.5-6</v>
          </cell>
          <cell r="I36">
            <v>0</v>
          </cell>
          <cell r="L36">
            <v>100</v>
          </cell>
        </row>
        <row r="37">
          <cell r="D37">
            <v>45663</v>
          </cell>
          <cell r="H37">
            <v>14</v>
          </cell>
          <cell r="I37">
            <v>0</v>
          </cell>
          <cell r="L37">
            <v>22.7</v>
          </cell>
        </row>
        <row r="38">
          <cell r="D38">
            <v>45663</v>
          </cell>
          <cell r="H38" t="str">
            <v>5.5-6</v>
          </cell>
          <cell r="I38">
            <v>0</v>
          </cell>
          <cell r="L38">
            <v>275</v>
          </cell>
        </row>
        <row r="39">
          <cell r="D39">
            <v>45663</v>
          </cell>
          <cell r="H39" t="str">
            <v>5.5-6</v>
          </cell>
          <cell r="I39">
            <v>0</v>
          </cell>
          <cell r="L39">
            <v>250</v>
          </cell>
        </row>
        <row r="40">
          <cell r="D40">
            <v>45663</v>
          </cell>
          <cell r="H40" t="str">
            <v>5.5-6</v>
          </cell>
          <cell r="I40">
            <v>0</v>
          </cell>
          <cell r="L40">
            <v>350</v>
          </cell>
        </row>
        <row r="41">
          <cell r="D41">
            <v>45664</v>
          </cell>
          <cell r="H41" t="str">
            <v>5.5-6</v>
          </cell>
          <cell r="I41">
            <v>0</v>
          </cell>
          <cell r="L41">
            <v>375</v>
          </cell>
        </row>
        <row r="42">
          <cell r="D42">
            <v>45664</v>
          </cell>
          <cell r="H42">
            <v>5</v>
          </cell>
          <cell r="I42">
            <v>0</v>
          </cell>
          <cell r="L42">
            <v>250</v>
          </cell>
        </row>
        <row r="43">
          <cell r="D43">
            <v>45664</v>
          </cell>
          <cell r="H43" t="str">
            <v>5.5-6</v>
          </cell>
          <cell r="I43">
            <v>0</v>
          </cell>
          <cell r="L43">
            <v>75</v>
          </cell>
        </row>
        <row r="44">
          <cell r="D44">
            <v>45664</v>
          </cell>
          <cell r="H44">
            <v>5</v>
          </cell>
          <cell r="I44">
            <v>0</v>
          </cell>
          <cell r="L44">
            <v>275</v>
          </cell>
        </row>
        <row r="45">
          <cell r="D45">
            <v>45664</v>
          </cell>
          <cell r="H45" t="str">
            <v>5.5-6</v>
          </cell>
          <cell r="I45">
            <v>0</v>
          </cell>
          <cell r="L45">
            <v>75</v>
          </cell>
        </row>
        <row r="46">
          <cell r="D46">
            <v>45664</v>
          </cell>
          <cell r="H46">
            <v>5</v>
          </cell>
          <cell r="I46">
            <v>0</v>
          </cell>
          <cell r="L46">
            <v>300</v>
          </cell>
        </row>
        <row r="47">
          <cell r="D47">
            <v>45665</v>
          </cell>
          <cell r="H47">
            <v>5</v>
          </cell>
          <cell r="I47">
            <v>0</v>
          </cell>
          <cell r="L47">
            <v>225</v>
          </cell>
        </row>
        <row r="48">
          <cell r="D48">
            <v>45665</v>
          </cell>
          <cell r="H48">
            <v>5</v>
          </cell>
          <cell r="I48">
            <v>0</v>
          </cell>
          <cell r="L48">
            <v>50</v>
          </cell>
        </row>
        <row r="49">
          <cell r="D49">
            <v>45665</v>
          </cell>
          <cell r="H49">
            <v>5</v>
          </cell>
          <cell r="I49">
            <v>0</v>
          </cell>
          <cell r="L49">
            <v>75</v>
          </cell>
        </row>
        <row r="50">
          <cell r="D50">
            <v>45665</v>
          </cell>
          <cell r="H50">
            <v>5</v>
          </cell>
          <cell r="I50">
            <v>0</v>
          </cell>
          <cell r="L50">
            <v>100</v>
          </cell>
        </row>
        <row r="51">
          <cell r="D51">
            <v>45665</v>
          </cell>
          <cell r="H51">
            <v>5</v>
          </cell>
          <cell r="I51">
            <v>0</v>
          </cell>
          <cell r="L51">
            <v>75</v>
          </cell>
        </row>
        <row r="52">
          <cell r="D52">
            <v>45665</v>
          </cell>
          <cell r="H52">
            <v>5</v>
          </cell>
          <cell r="I52">
            <v>0</v>
          </cell>
          <cell r="L52">
            <v>50</v>
          </cell>
        </row>
        <row r="53">
          <cell r="D53">
            <v>45665</v>
          </cell>
          <cell r="H53">
            <v>5</v>
          </cell>
          <cell r="I53">
            <v>0</v>
          </cell>
          <cell r="L53">
            <v>100</v>
          </cell>
        </row>
        <row r="54">
          <cell r="D54">
            <v>45665</v>
          </cell>
          <cell r="H54">
            <v>5</v>
          </cell>
          <cell r="I54">
            <v>0</v>
          </cell>
          <cell r="L54">
            <v>50</v>
          </cell>
        </row>
        <row r="55">
          <cell r="D55">
            <v>45665</v>
          </cell>
          <cell r="H55">
            <v>5</v>
          </cell>
          <cell r="I55">
            <v>0</v>
          </cell>
          <cell r="L55">
            <v>150</v>
          </cell>
        </row>
        <row r="56">
          <cell r="D56">
            <v>45665</v>
          </cell>
          <cell r="H56">
            <v>5</v>
          </cell>
          <cell r="I56">
            <v>0</v>
          </cell>
          <cell r="L56">
            <v>75</v>
          </cell>
        </row>
        <row r="57">
          <cell r="D57">
            <v>45666</v>
          </cell>
          <cell r="H57">
            <v>5</v>
          </cell>
          <cell r="I57">
            <v>0</v>
          </cell>
          <cell r="L57">
            <v>100</v>
          </cell>
        </row>
        <row r="58">
          <cell r="D58">
            <v>45666</v>
          </cell>
          <cell r="H58">
            <v>5</v>
          </cell>
          <cell r="I58">
            <v>0</v>
          </cell>
          <cell r="L58">
            <v>50</v>
          </cell>
        </row>
        <row r="59">
          <cell r="D59">
            <v>45666</v>
          </cell>
          <cell r="H59">
            <v>5</v>
          </cell>
          <cell r="I59">
            <v>0</v>
          </cell>
          <cell r="L59">
            <v>225</v>
          </cell>
        </row>
        <row r="60">
          <cell r="D60">
            <v>45666</v>
          </cell>
          <cell r="H60">
            <v>5</v>
          </cell>
          <cell r="I60">
            <v>0</v>
          </cell>
          <cell r="L60">
            <v>26.85</v>
          </cell>
        </row>
        <row r="61">
          <cell r="D61">
            <v>45666</v>
          </cell>
          <cell r="H61">
            <v>5</v>
          </cell>
          <cell r="I61">
            <v>0</v>
          </cell>
          <cell r="L61">
            <v>125</v>
          </cell>
        </row>
        <row r="62">
          <cell r="D62">
            <v>45666</v>
          </cell>
          <cell r="H62">
            <v>0</v>
          </cell>
          <cell r="I62">
            <v>0</v>
          </cell>
          <cell r="L62">
            <v>50</v>
          </cell>
        </row>
        <row r="63">
          <cell r="D63">
            <v>45666</v>
          </cell>
          <cell r="H63">
            <v>5</v>
          </cell>
          <cell r="I63">
            <v>0</v>
          </cell>
          <cell r="L63">
            <v>100</v>
          </cell>
        </row>
        <row r="64">
          <cell r="D64">
            <v>45666</v>
          </cell>
          <cell r="H64">
            <v>5</v>
          </cell>
          <cell r="I64">
            <v>0</v>
          </cell>
          <cell r="L64">
            <v>100</v>
          </cell>
        </row>
        <row r="65">
          <cell r="D65">
            <v>45666</v>
          </cell>
          <cell r="H65">
            <v>5</v>
          </cell>
          <cell r="I65">
            <v>0</v>
          </cell>
          <cell r="L65">
            <v>25</v>
          </cell>
        </row>
        <row r="66">
          <cell r="D66">
            <v>45667</v>
          </cell>
          <cell r="H66">
            <v>0</v>
          </cell>
          <cell r="I66">
            <v>0</v>
          </cell>
          <cell r="L66">
            <v>75</v>
          </cell>
        </row>
        <row r="67">
          <cell r="D67">
            <v>45667</v>
          </cell>
          <cell r="H67">
            <v>0</v>
          </cell>
          <cell r="I67">
            <v>0</v>
          </cell>
          <cell r="L67">
            <v>75</v>
          </cell>
        </row>
        <row r="68">
          <cell r="D68">
            <v>45667</v>
          </cell>
          <cell r="H68">
            <v>5</v>
          </cell>
          <cell r="I68">
            <v>0</v>
          </cell>
          <cell r="L68">
            <v>150</v>
          </cell>
        </row>
        <row r="69">
          <cell r="D69">
            <v>45667</v>
          </cell>
          <cell r="H69">
            <v>0</v>
          </cell>
          <cell r="I69">
            <v>0</v>
          </cell>
          <cell r="L69">
            <v>50</v>
          </cell>
        </row>
        <row r="70">
          <cell r="D70">
            <v>45667</v>
          </cell>
          <cell r="H70">
            <v>5</v>
          </cell>
          <cell r="I70">
            <v>0</v>
          </cell>
          <cell r="L70">
            <v>125</v>
          </cell>
        </row>
        <row r="71">
          <cell r="D71">
            <v>45667</v>
          </cell>
          <cell r="H71">
            <v>5</v>
          </cell>
          <cell r="I71">
            <v>0</v>
          </cell>
          <cell r="L71">
            <v>25</v>
          </cell>
        </row>
        <row r="72">
          <cell r="D72">
            <v>45667</v>
          </cell>
          <cell r="H72">
            <v>5</v>
          </cell>
          <cell r="I72">
            <v>0</v>
          </cell>
          <cell r="L72">
            <v>75</v>
          </cell>
        </row>
        <row r="73">
          <cell r="D73">
            <v>45667</v>
          </cell>
          <cell r="H73">
            <v>5</v>
          </cell>
          <cell r="I73">
            <v>0</v>
          </cell>
          <cell r="L73">
            <v>125</v>
          </cell>
        </row>
        <row r="74">
          <cell r="D74">
            <v>45668</v>
          </cell>
          <cell r="H74">
            <v>5</v>
          </cell>
          <cell r="I74">
            <v>0</v>
          </cell>
          <cell r="L74">
            <v>100</v>
          </cell>
        </row>
        <row r="75">
          <cell r="D75">
            <v>45668</v>
          </cell>
          <cell r="H75">
            <v>5</v>
          </cell>
          <cell r="I75">
            <v>0</v>
          </cell>
          <cell r="L75">
            <v>100</v>
          </cell>
        </row>
        <row r="76">
          <cell r="D76">
            <v>45668</v>
          </cell>
          <cell r="H76">
            <v>5</v>
          </cell>
          <cell r="I76">
            <v>0</v>
          </cell>
          <cell r="L76">
            <v>25</v>
          </cell>
        </row>
        <row r="77">
          <cell r="D77">
            <v>45668</v>
          </cell>
          <cell r="H77">
            <v>5</v>
          </cell>
          <cell r="I77">
            <v>0</v>
          </cell>
          <cell r="L77">
            <v>75</v>
          </cell>
        </row>
        <row r="78">
          <cell r="D78">
            <v>45668</v>
          </cell>
          <cell r="H78">
            <v>5</v>
          </cell>
          <cell r="I78">
            <v>0</v>
          </cell>
          <cell r="L78">
            <v>100</v>
          </cell>
        </row>
        <row r="79">
          <cell r="D79">
            <v>45670</v>
          </cell>
          <cell r="H79">
            <v>5</v>
          </cell>
          <cell r="I79">
            <v>0</v>
          </cell>
          <cell r="L79">
            <v>20</v>
          </cell>
        </row>
        <row r="80">
          <cell r="D80">
            <v>45670</v>
          </cell>
          <cell r="H80">
            <v>6</v>
          </cell>
          <cell r="I80">
            <v>0</v>
          </cell>
          <cell r="L80">
            <v>300</v>
          </cell>
        </row>
        <row r="81">
          <cell r="D81">
            <v>45670</v>
          </cell>
          <cell r="H81">
            <v>6</v>
          </cell>
          <cell r="I81">
            <v>0</v>
          </cell>
          <cell r="L81">
            <v>250</v>
          </cell>
        </row>
        <row r="82">
          <cell r="D82">
            <v>45670</v>
          </cell>
          <cell r="H82">
            <v>6</v>
          </cell>
          <cell r="I82">
            <v>0</v>
          </cell>
          <cell r="L82">
            <v>275</v>
          </cell>
        </row>
        <row r="83">
          <cell r="D83">
            <v>45671</v>
          </cell>
          <cell r="H83">
            <v>6</v>
          </cell>
          <cell r="I83">
            <v>0</v>
          </cell>
          <cell r="L83">
            <v>50</v>
          </cell>
        </row>
        <row r="84">
          <cell r="D84">
            <v>45671</v>
          </cell>
          <cell r="H84" t="str">
            <v>-</v>
          </cell>
          <cell r="I84" t="str">
            <v>-</v>
          </cell>
          <cell r="L84">
            <v>175</v>
          </cell>
        </row>
        <row r="85">
          <cell r="D85">
            <v>45671</v>
          </cell>
          <cell r="H85" t="str">
            <v>4.5-5</v>
          </cell>
          <cell r="I85">
            <v>0</v>
          </cell>
          <cell r="L85">
            <v>125</v>
          </cell>
        </row>
        <row r="86">
          <cell r="D86">
            <v>45671</v>
          </cell>
          <cell r="H86">
            <v>6</v>
          </cell>
          <cell r="I86">
            <v>0</v>
          </cell>
          <cell r="L86">
            <v>150.85</v>
          </cell>
        </row>
        <row r="87">
          <cell r="D87">
            <v>45671</v>
          </cell>
          <cell r="H87" t="str">
            <v>6-6.5</v>
          </cell>
          <cell r="I87">
            <v>0</v>
          </cell>
          <cell r="L87">
            <v>107.5</v>
          </cell>
        </row>
        <row r="88">
          <cell r="D88">
            <v>45671</v>
          </cell>
          <cell r="H88">
            <v>5</v>
          </cell>
          <cell r="I88">
            <v>0</v>
          </cell>
          <cell r="L88">
            <v>100</v>
          </cell>
        </row>
        <row r="89">
          <cell r="D89">
            <v>45671</v>
          </cell>
          <cell r="H89" t="str">
            <v>4.5-5</v>
          </cell>
          <cell r="I89">
            <v>0</v>
          </cell>
          <cell r="L89">
            <v>125</v>
          </cell>
        </row>
        <row r="90">
          <cell r="D90">
            <v>45671</v>
          </cell>
          <cell r="H90" t="str">
            <v>4.5-5</v>
          </cell>
          <cell r="I90">
            <v>0</v>
          </cell>
          <cell r="L90">
            <v>25</v>
          </cell>
        </row>
        <row r="91">
          <cell r="D91">
            <v>45671</v>
          </cell>
          <cell r="H91" t="str">
            <v>-</v>
          </cell>
          <cell r="I91" t="str">
            <v>-</v>
          </cell>
          <cell r="L91">
            <v>100</v>
          </cell>
        </row>
        <row r="92">
          <cell r="D92">
            <v>45672</v>
          </cell>
          <cell r="H92" t="str">
            <v>-</v>
          </cell>
          <cell r="I92" t="str">
            <v>-</v>
          </cell>
          <cell r="L92">
            <v>100</v>
          </cell>
        </row>
        <row r="93">
          <cell r="D93">
            <v>45672</v>
          </cell>
          <cell r="H93" t="str">
            <v>-</v>
          </cell>
          <cell r="I93" t="str">
            <v>-</v>
          </cell>
          <cell r="L93">
            <v>100</v>
          </cell>
        </row>
        <row r="94">
          <cell r="D94">
            <v>45672</v>
          </cell>
          <cell r="H94">
            <v>5</v>
          </cell>
          <cell r="I94">
            <v>0</v>
          </cell>
          <cell r="L94">
            <v>250</v>
          </cell>
        </row>
        <row r="95">
          <cell r="D95">
            <v>45672</v>
          </cell>
          <cell r="H95" t="str">
            <v>-</v>
          </cell>
          <cell r="I95" t="str">
            <v>-</v>
          </cell>
          <cell r="L95">
            <v>25</v>
          </cell>
        </row>
        <row r="96">
          <cell r="D96">
            <v>45673</v>
          </cell>
          <cell r="H96">
            <v>5</v>
          </cell>
          <cell r="I96">
            <v>0</v>
          </cell>
          <cell r="L96">
            <v>250</v>
          </cell>
        </row>
        <row r="97">
          <cell r="D97">
            <v>45673</v>
          </cell>
          <cell r="H97">
            <v>5</v>
          </cell>
          <cell r="I97">
            <v>0</v>
          </cell>
          <cell r="L97">
            <v>125</v>
          </cell>
        </row>
        <row r="98">
          <cell r="D98">
            <v>45673</v>
          </cell>
          <cell r="H98" t="str">
            <v>-</v>
          </cell>
          <cell r="I98" t="str">
            <v>-</v>
          </cell>
          <cell r="L98">
            <v>125</v>
          </cell>
        </row>
        <row r="99">
          <cell r="D99">
            <v>45674</v>
          </cell>
          <cell r="H99" t="str">
            <v>-</v>
          </cell>
          <cell r="I99" t="str">
            <v>-</v>
          </cell>
          <cell r="L99">
            <v>25</v>
          </cell>
        </row>
        <row r="100">
          <cell r="D100">
            <v>45674</v>
          </cell>
          <cell r="H100" t="str">
            <v>5.5-6</v>
          </cell>
          <cell r="I100">
            <v>0</v>
          </cell>
          <cell r="L100">
            <v>300</v>
          </cell>
        </row>
        <row r="101">
          <cell r="D101">
            <v>45674</v>
          </cell>
          <cell r="H101" t="str">
            <v>5.5-6</v>
          </cell>
          <cell r="I101">
            <v>0</v>
          </cell>
          <cell r="L101">
            <v>250</v>
          </cell>
        </row>
        <row r="102">
          <cell r="D102">
            <v>45674</v>
          </cell>
          <cell r="H102" t="str">
            <v>5.5-6</v>
          </cell>
          <cell r="I102">
            <v>0</v>
          </cell>
          <cell r="L102">
            <v>325</v>
          </cell>
        </row>
        <row r="103">
          <cell r="D103">
            <v>45675</v>
          </cell>
          <cell r="H103" t="str">
            <v>-</v>
          </cell>
          <cell r="I103" t="str">
            <v>-</v>
          </cell>
          <cell r="L103">
            <v>100</v>
          </cell>
        </row>
        <row r="104">
          <cell r="D104">
            <v>45675</v>
          </cell>
          <cell r="H104" t="str">
            <v>5.5-6</v>
          </cell>
          <cell r="I104">
            <v>0</v>
          </cell>
          <cell r="L104">
            <v>125</v>
          </cell>
        </row>
        <row r="105">
          <cell r="D105">
            <v>45675</v>
          </cell>
          <cell r="H105" t="str">
            <v>5-5.5</v>
          </cell>
          <cell r="I105" t="str">
            <v>-</v>
          </cell>
          <cell r="L105">
            <v>150</v>
          </cell>
        </row>
        <row r="106">
          <cell r="D106">
            <v>45675</v>
          </cell>
          <cell r="H106" t="str">
            <v>5-5.5</v>
          </cell>
          <cell r="I106" t="str">
            <v>-</v>
          </cell>
          <cell r="L106">
            <v>175</v>
          </cell>
        </row>
        <row r="107">
          <cell r="D107">
            <v>45677</v>
          </cell>
          <cell r="H107" t="str">
            <v>6-6.5/12-13</v>
          </cell>
          <cell r="I107" t="str">
            <v>اورنج</v>
          </cell>
          <cell r="L107">
            <v>275</v>
          </cell>
        </row>
        <row r="108">
          <cell r="D108">
            <v>45677</v>
          </cell>
          <cell r="H108" t="str">
            <v>5-5.5</v>
          </cell>
          <cell r="I108" t="str">
            <v>-</v>
          </cell>
          <cell r="L108">
            <v>25</v>
          </cell>
        </row>
        <row r="109">
          <cell r="D109">
            <v>45677</v>
          </cell>
          <cell r="H109" t="str">
            <v>6-6.5/12-13</v>
          </cell>
          <cell r="I109" t="str">
            <v>اورنج</v>
          </cell>
          <cell r="L109">
            <v>275</v>
          </cell>
        </row>
        <row r="110">
          <cell r="D110">
            <v>45677</v>
          </cell>
          <cell r="H110" t="str">
            <v>5-5.5</v>
          </cell>
          <cell r="I110" t="str">
            <v>-</v>
          </cell>
          <cell r="L110">
            <v>50</v>
          </cell>
        </row>
        <row r="111">
          <cell r="D111">
            <v>45677</v>
          </cell>
          <cell r="H111" t="str">
            <v>5-5.5</v>
          </cell>
          <cell r="I111" t="str">
            <v>-</v>
          </cell>
          <cell r="L111">
            <v>250</v>
          </cell>
        </row>
        <row r="112">
          <cell r="D112">
            <v>45677</v>
          </cell>
          <cell r="H112" t="str">
            <v>5-5.5</v>
          </cell>
          <cell r="I112" t="str">
            <v>-</v>
          </cell>
          <cell r="L112">
            <v>50</v>
          </cell>
        </row>
        <row r="113">
          <cell r="D113">
            <v>45677</v>
          </cell>
          <cell r="H113" t="str">
            <v>5-5.5</v>
          </cell>
          <cell r="I113" t="str">
            <v>-</v>
          </cell>
          <cell r="L113">
            <v>175</v>
          </cell>
        </row>
        <row r="114">
          <cell r="D114">
            <v>45677</v>
          </cell>
          <cell r="H114" t="str">
            <v>5-5.5</v>
          </cell>
          <cell r="I114" t="str">
            <v>-</v>
          </cell>
          <cell r="L114">
            <v>50</v>
          </cell>
        </row>
        <row r="115">
          <cell r="D115">
            <v>45678</v>
          </cell>
          <cell r="H115" t="str">
            <v>5-5.5</v>
          </cell>
          <cell r="I115" t="str">
            <v>-</v>
          </cell>
          <cell r="L115">
            <v>25</v>
          </cell>
        </row>
        <row r="116">
          <cell r="D116">
            <v>45678</v>
          </cell>
          <cell r="H116" t="str">
            <v>5-5.5</v>
          </cell>
          <cell r="I116" t="str">
            <v>-</v>
          </cell>
          <cell r="L116">
            <v>203</v>
          </cell>
        </row>
        <row r="117">
          <cell r="D117">
            <v>45678</v>
          </cell>
          <cell r="H117" t="str">
            <v>5-5.5</v>
          </cell>
          <cell r="I117" t="str">
            <v>-</v>
          </cell>
          <cell r="L117">
            <v>221.1</v>
          </cell>
        </row>
        <row r="118">
          <cell r="D118">
            <v>45679</v>
          </cell>
          <cell r="H118" t="str">
            <v>5-5.5</v>
          </cell>
          <cell r="I118" t="str">
            <v>-</v>
          </cell>
          <cell r="L118">
            <v>197.45</v>
          </cell>
        </row>
        <row r="119">
          <cell r="D119">
            <v>45680</v>
          </cell>
          <cell r="H119">
            <v>5</v>
          </cell>
          <cell r="I119">
            <v>0</v>
          </cell>
          <cell r="L119">
            <v>75</v>
          </cell>
        </row>
        <row r="120">
          <cell r="D120">
            <v>45680</v>
          </cell>
          <cell r="H120">
            <v>5</v>
          </cell>
          <cell r="I120">
            <v>0</v>
          </cell>
          <cell r="L120">
            <v>100</v>
          </cell>
        </row>
        <row r="121">
          <cell r="D121">
            <v>45681</v>
          </cell>
          <cell r="H121">
            <v>5</v>
          </cell>
          <cell r="I121">
            <v>0</v>
          </cell>
          <cell r="L121">
            <v>25</v>
          </cell>
        </row>
        <row r="122">
          <cell r="D122">
            <v>45681</v>
          </cell>
          <cell r="H122">
            <v>5</v>
          </cell>
          <cell r="I122">
            <v>0</v>
          </cell>
          <cell r="L122">
            <v>100</v>
          </cell>
        </row>
        <row r="123">
          <cell r="D123">
            <v>45681</v>
          </cell>
          <cell r="H123">
            <v>5</v>
          </cell>
          <cell r="I123">
            <v>0</v>
          </cell>
          <cell r="L123">
            <v>100</v>
          </cell>
        </row>
        <row r="124">
          <cell r="D124">
            <v>45684</v>
          </cell>
          <cell r="H124">
            <v>5</v>
          </cell>
          <cell r="I124">
            <v>0</v>
          </cell>
          <cell r="L124">
            <v>200</v>
          </cell>
        </row>
        <row r="125">
          <cell r="D125">
            <v>45684</v>
          </cell>
          <cell r="H125">
            <v>5</v>
          </cell>
          <cell r="I125">
            <v>0</v>
          </cell>
          <cell r="L125">
            <v>175</v>
          </cell>
        </row>
        <row r="126">
          <cell r="D126">
            <v>45684</v>
          </cell>
          <cell r="H126">
            <v>5</v>
          </cell>
          <cell r="I126">
            <v>0</v>
          </cell>
          <cell r="L126">
            <v>332.5</v>
          </cell>
        </row>
        <row r="127">
          <cell r="D127">
            <v>45684</v>
          </cell>
          <cell r="H127">
            <v>5</v>
          </cell>
          <cell r="I127">
            <v>0</v>
          </cell>
          <cell r="L127">
            <v>50</v>
          </cell>
        </row>
        <row r="128">
          <cell r="D128">
            <v>45685</v>
          </cell>
          <cell r="H128">
            <v>5</v>
          </cell>
          <cell r="I128">
            <v>0</v>
          </cell>
          <cell r="L128">
            <v>106.9</v>
          </cell>
        </row>
        <row r="129">
          <cell r="D129">
            <v>45685</v>
          </cell>
          <cell r="H129">
            <v>5</v>
          </cell>
          <cell r="I129">
            <v>0</v>
          </cell>
          <cell r="L129">
            <v>50</v>
          </cell>
        </row>
        <row r="130">
          <cell r="D130">
            <v>45685</v>
          </cell>
          <cell r="H130">
            <v>5</v>
          </cell>
          <cell r="I130">
            <v>0</v>
          </cell>
          <cell r="L130">
            <v>75</v>
          </cell>
        </row>
        <row r="131">
          <cell r="D131">
            <v>45686</v>
          </cell>
          <cell r="H131">
            <v>5</v>
          </cell>
          <cell r="I131">
            <v>0</v>
          </cell>
          <cell r="L131">
            <v>250</v>
          </cell>
        </row>
        <row r="132">
          <cell r="D132">
            <v>45686</v>
          </cell>
          <cell r="H132">
            <v>5</v>
          </cell>
          <cell r="I132">
            <v>0</v>
          </cell>
          <cell r="L132">
            <v>250</v>
          </cell>
        </row>
        <row r="133">
          <cell r="D133">
            <v>45687</v>
          </cell>
          <cell r="H133" t="str">
            <v>5.5-6</v>
          </cell>
          <cell r="I133" t="str">
            <v>ABA پیور</v>
          </cell>
          <cell r="L133">
            <v>75</v>
          </cell>
        </row>
        <row r="134">
          <cell r="D134">
            <v>45687</v>
          </cell>
          <cell r="H134" t="str">
            <v>5.5-6</v>
          </cell>
          <cell r="I134" t="str">
            <v>ABA پیور</v>
          </cell>
          <cell r="L134">
            <v>23.6</v>
          </cell>
        </row>
        <row r="135">
          <cell r="D135">
            <v>45687</v>
          </cell>
          <cell r="H135">
            <v>5</v>
          </cell>
          <cell r="I135">
            <v>0</v>
          </cell>
          <cell r="L135">
            <v>100</v>
          </cell>
        </row>
        <row r="136">
          <cell r="D136">
            <v>45689</v>
          </cell>
          <cell r="H136">
            <v>9</v>
          </cell>
          <cell r="I136">
            <v>0</v>
          </cell>
          <cell r="L136">
            <v>128</v>
          </cell>
        </row>
        <row r="137">
          <cell r="D137">
            <v>45689</v>
          </cell>
          <cell r="H137">
            <v>9</v>
          </cell>
          <cell r="I137">
            <v>0</v>
          </cell>
          <cell r="L137">
            <v>50</v>
          </cell>
        </row>
        <row r="138">
          <cell r="D138">
            <v>45689</v>
          </cell>
          <cell r="H138">
            <v>9</v>
          </cell>
          <cell r="I138">
            <v>0</v>
          </cell>
          <cell r="L138">
            <v>165.8</v>
          </cell>
        </row>
        <row r="139">
          <cell r="D139">
            <v>45689</v>
          </cell>
          <cell r="H139">
            <v>9</v>
          </cell>
          <cell r="I139">
            <v>0</v>
          </cell>
          <cell r="L139">
            <v>50</v>
          </cell>
        </row>
        <row r="140">
          <cell r="D140">
            <v>45690</v>
          </cell>
          <cell r="H140">
            <v>9</v>
          </cell>
          <cell r="I140">
            <v>0</v>
          </cell>
          <cell r="L140">
            <v>111.7</v>
          </cell>
        </row>
        <row r="141">
          <cell r="D141">
            <v>45690</v>
          </cell>
          <cell r="H141">
            <v>9</v>
          </cell>
          <cell r="I141">
            <v>0</v>
          </cell>
          <cell r="L141">
            <v>50</v>
          </cell>
        </row>
        <row r="142">
          <cell r="D142">
            <v>45693</v>
          </cell>
          <cell r="H142">
            <v>14</v>
          </cell>
          <cell r="I142">
            <v>0</v>
          </cell>
          <cell r="L142">
            <v>161.5</v>
          </cell>
        </row>
        <row r="143">
          <cell r="D143">
            <v>45693</v>
          </cell>
          <cell r="H143">
            <v>5</v>
          </cell>
          <cell r="I143">
            <v>0</v>
          </cell>
          <cell r="L143">
            <v>50</v>
          </cell>
        </row>
        <row r="144">
          <cell r="D144">
            <v>45693</v>
          </cell>
          <cell r="H144">
            <v>5</v>
          </cell>
          <cell r="I144">
            <v>0</v>
          </cell>
          <cell r="L144">
            <v>150</v>
          </cell>
        </row>
        <row r="145">
          <cell r="D145">
            <v>45693</v>
          </cell>
          <cell r="H145">
            <v>14</v>
          </cell>
          <cell r="I145">
            <v>0</v>
          </cell>
          <cell r="L145">
            <v>30</v>
          </cell>
        </row>
        <row r="146">
          <cell r="D146">
            <v>45694</v>
          </cell>
          <cell r="H146">
            <v>6</v>
          </cell>
          <cell r="I146">
            <v>0</v>
          </cell>
          <cell r="L146">
            <v>100</v>
          </cell>
        </row>
        <row r="147">
          <cell r="D147">
            <v>45694</v>
          </cell>
          <cell r="H147">
            <v>14</v>
          </cell>
          <cell r="I147">
            <v>0</v>
          </cell>
          <cell r="L147">
            <v>60</v>
          </cell>
        </row>
        <row r="148">
          <cell r="D148">
            <v>45694</v>
          </cell>
          <cell r="H148">
            <v>14</v>
          </cell>
          <cell r="I148">
            <v>0</v>
          </cell>
          <cell r="L148">
            <v>210</v>
          </cell>
        </row>
        <row r="149">
          <cell r="D149">
            <v>45694</v>
          </cell>
          <cell r="H149">
            <v>14</v>
          </cell>
          <cell r="I149">
            <v>0</v>
          </cell>
          <cell r="L149">
            <v>210</v>
          </cell>
        </row>
        <row r="150">
          <cell r="D150">
            <v>45694</v>
          </cell>
          <cell r="H150">
            <v>14</v>
          </cell>
          <cell r="I150">
            <v>0</v>
          </cell>
          <cell r="L150">
            <v>210</v>
          </cell>
        </row>
        <row r="151">
          <cell r="D151">
            <v>45695</v>
          </cell>
          <cell r="H151">
            <v>14</v>
          </cell>
          <cell r="I151">
            <v>0</v>
          </cell>
          <cell r="L151">
            <v>180</v>
          </cell>
        </row>
        <row r="152">
          <cell r="D152">
            <v>45695</v>
          </cell>
          <cell r="H152">
            <v>14</v>
          </cell>
          <cell r="I152">
            <v>0</v>
          </cell>
          <cell r="L152">
            <v>180</v>
          </cell>
        </row>
        <row r="153">
          <cell r="D153">
            <v>45695</v>
          </cell>
          <cell r="H153">
            <v>14</v>
          </cell>
          <cell r="I153">
            <v>0</v>
          </cell>
          <cell r="L153">
            <v>180</v>
          </cell>
        </row>
        <row r="154">
          <cell r="D154">
            <v>45695</v>
          </cell>
          <cell r="H154">
            <v>14</v>
          </cell>
          <cell r="I154">
            <v>0</v>
          </cell>
          <cell r="L154">
            <v>180</v>
          </cell>
        </row>
        <row r="155">
          <cell r="D155">
            <v>45696</v>
          </cell>
          <cell r="H155" t="str">
            <v>5.5-6</v>
          </cell>
          <cell r="I155">
            <v>0</v>
          </cell>
          <cell r="L155">
            <v>350</v>
          </cell>
        </row>
        <row r="156">
          <cell r="D156">
            <v>45696</v>
          </cell>
          <cell r="H156" t="str">
            <v>5.5-6</v>
          </cell>
          <cell r="I156">
            <v>0</v>
          </cell>
          <cell r="L156">
            <v>320</v>
          </cell>
        </row>
        <row r="157">
          <cell r="D157">
            <v>45696</v>
          </cell>
          <cell r="H157">
            <v>14</v>
          </cell>
          <cell r="I157">
            <v>0</v>
          </cell>
          <cell r="L157">
            <v>30</v>
          </cell>
        </row>
        <row r="158">
          <cell r="D158">
            <v>45696</v>
          </cell>
          <cell r="H158" t="str">
            <v>5.5-6</v>
          </cell>
          <cell r="I158">
            <v>0</v>
          </cell>
          <cell r="L158">
            <v>175</v>
          </cell>
        </row>
        <row r="159">
          <cell r="D159">
            <v>45696</v>
          </cell>
          <cell r="H159" t="str">
            <v>5.5-6</v>
          </cell>
          <cell r="I159">
            <v>0</v>
          </cell>
          <cell r="L159">
            <v>175</v>
          </cell>
        </row>
        <row r="160">
          <cell r="D160">
            <v>45696</v>
          </cell>
          <cell r="H160" t="str">
            <v>5.5-6</v>
          </cell>
          <cell r="I160">
            <v>0</v>
          </cell>
          <cell r="L160">
            <v>175</v>
          </cell>
        </row>
        <row r="161">
          <cell r="D161">
            <v>45696</v>
          </cell>
          <cell r="H161" t="str">
            <v>5.5-6</v>
          </cell>
          <cell r="I161">
            <v>0</v>
          </cell>
          <cell r="L161">
            <v>175</v>
          </cell>
        </row>
        <row r="162">
          <cell r="D162">
            <v>45697</v>
          </cell>
          <cell r="H162" t="str">
            <v>5.5-6</v>
          </cell>
          <cell r="I162">
            <v>0</v>
          </cell>
          <cell r="L162">
            <v>300</v>
          </cell>
        </row>
        <row r="163">
          <cell r="D163">
            <v>45697</v>
          </cell>
          <cell r="H163" t="str">
            <v>5.5-6</v>
          </cell>
          <cell r="I163">
            <v>0</v>
          </cell>
          <cell r="L163">
            <v>300</v>
          </cell>
        </row>
        <row r="164">
          <cell r="D164">
            <v>45697</v>
          </cell>
          <cell r="H164">
            <v>14</v>
          </cell>
          <cell r="I164">
            <v>0</v>
          </cell>
          <cell r="L164">
            <v>180</v>
          </cell>
        </row>
        <row r="165">
          <cell r="D165">
            <v>45697</v>
          </cell>
          <cell r="H165" t="str">
            <v>5.5-6</v>
          </cell>
          <cell r="I165">
            <v>0</v>
          </cell>
          <cell r="L165">
            <v>50</v>
          </cell>
        </row>
        <row r="166">
          <cell r="D166">
            <v>45697</v>
          </cell>
          <cell r="H166">
            <v>14</v>
          </cell>
          <cell r="I166">
            <v>0</v>
          </cell>
          <cell r="L166">
            <v>150</v>
          </cell>
        </row>
        <row r="167">
          <cell r="D167">
            <v>45698</v>
          </cell>
          <cell r="H167">
            <v>14</v>
          </cell>
          <cell r="I167">
            <v>0</v>
          </cell>
          <cell r="L167">
            <v>159</v>
          </cell>
        </row>
        <row r="168">
          <cell r="D168">
            <v>45698</v>
          </cell>
          <cell r="H168">
            <v>9</v>
          </cell>
          <cell r="I168">
            <v>0</v>
          </cell>
          <cell r="L168">
            <v>25</v>
          </cell>
        </row>
        <row r="169">
          <cell r="D169">
            <v>45698</v>
          </cell>
          <cell r="H169">
            <v>9</v>
          </cell>
          <cell r="I169">
            <v>0</v>
          </cell>
          <cell r="L169">
            <v>82</v>
          </cell>
        </row>
        <row r="170">
          <cell r="D170">
            <v>45698</v>
          </cell>
          <cell r="H170">
            <v>9</v>
          </cell>
          <cell r="I170">
            <v>0</v>
          </cell>
          <cell r="L170">
            <v>106</v>
          </cell>
        </row>
        <row r="171">
          <cell r="D171">
            <v>45698</v>
          </cell>
          <cell r="H171">
            <v>14</v>
          </cell>
          <cell r="I171">
            <v>0</v>
          </cell>
          <cell r="L171">
            <v>136</v>
          </cell>
        </row>
        <row r="172">
          <cell r="D172">
            <v>45699</v>
          </cell>
          <cell r="H172">
            <v>6</v>
          </cell>
          <cell r="I172">
            <v>0</v>
          </cell>
          <cell r="L172">
            <v>100</v>
          </cell>
        </row>
        <row r="173">
          <cell r="D173">
            <v>45699</v>
          </cell>
          <cell r="H173">
            <v>6</v>
          </cell>
          <cell r="I173">
            <v>0</v>
          </cell>
          <cell r="L173">
            <v>50</v>
          </cell>
        </row>
        <row r="174">
          <cell r="D174">
            <v>45699</v>
          </cell>
          <cell r="H174" t="str">
            <v>5-5.5</v>
          </cell>
          <cell r="I174">
            <v>0</v>
          </cell>
          <cell r="L174">
            <v>75</v>
          </cell>
        </row>
        <row r="175">
          <cell r="D175">
            <v>45699</v>
          </cell>
          <cell r="H175" t="str">
            <v>5-5.5</v>
          </cell>
          <cell r="I175">
            <v>0</v>
          </cell>
          <cell r="L175">
            <v>275</v>
          </cell>
        </row>
        <row r="176">
          <cell r="D176">
            <v>45699</v>
          </cell>
          <cell r="H176" t="str">
            <v>5-5.5</v>
          </cell>
          <cell r="I176">
            <v>0</v>
          </cell>
          <cell r="L176">
            <v>275</v>
          </cell>
        </row>
        <row r="177">
          <cell r="D177">
            <v>45700</v>
          </cell>
          <cell r="H177">
            <v>6</v>
          </cell>
          <cell r="I177">
            <v>0</v>
          </cell>
          <cell r="L177">
            <v>50</v>
          </cell>
        </row>
        <row r="178">
          <cell r="D178">
            <v>45700</v>
          </cell>
          <cell r="H178">
            <v>6</v>
          </cell>
          <cell r="I178">
            <v>0</v>
          </cell>
          <cell r="L178">
            <v>100</v>
          </cell>
        </row>
        <row r="179">
          <cell r="D179">
            <v>45700</v>
          </cell>
          <cell r="H179">
            <v>4.5</v>
          </cell>
          <cell r="I179">
            <v>0</v>
          </cell>
          <cell r="L179">
            <v>100</v>
          </cell>
        </row>
        <row r="180">
          <cell r="D180">
            <v>45701</v>
          </cell>
          <cell r="H180">
            <v>5</v>
          </cell>
          <cell r="I180">
            <v>0</v>
          </cell>
          <cell r="L180">
            <v>251.15</v>
          </cell>
        </row>
        <row r="181">
          <cell r="D181">
            <v>45701</v>
          </cell>
          <cell r="H181">
            <v>4.5</v>
          </cell>
          <cell r="I181">
            <v>0</v>
          </cell>
          <cell r="L181">
            <v>100</v>
          </cell>
        </row>
        <row r="182">
          <cell r="D182">
            <v>45701</v>
          </cell>
          <cell r="H182">
            <v>5</v>
          </cell>
          <cell r="I182">
            <v>0</v>
          </cell>
          <cell r="L182">
            <v>25</v>
          </cell>
        </row>
        <row r="183">
          <cell r="D183">
            <v>45701</v>
          </cell>
          <cell r="H183">
            <v>5</v>
          </cell>
          <cell r="I183">
            <v>0</v>
          </cell>
          <cell r="L183">
            <v>100</v>
          </cell>
        </row>
        <row r="184">
          <cell r="D184">
            <v>45701</v>
          </cell>
          <cell r="H184">
            <v>5</v>
          </cell>
          <cell r="I184">
            <v>0</v>
          </cell>
          <cell r="L184">
            <v>100</v>
          </cell>
        </row>
        <row r="185">
          <cell r="D185">
            <v>45701</v>
          </cell>
          <cell r="H185">
            <v>5</v>
          </cell>
          <cell r="I185">
            <v>0</v>
          </cell>
          <cell r="L185">
            <v>125</v>
          </cell>
        </row>
        <row r="186">
          <cell r="D186">
            <v>45701</v>
          </cell>
          <cell r="H186">
            <v>5</v>
          </cell>
          <cell r="I186">
            <v>0</v>
          </cell>
          <cell r="L186">
            <v>50</v>
          </cell>
        </row>
        <row r="187">
          <cell r="D187">
            <v>45702</v>
          </cell>
          <cell r="H187">
            <v>5</v>
          </cell>
          <cell r="I187">
            <v>0</v>
          </cell>
          <cell r="L187">
            <v>150</v>
          </cell>
        </row>
        <row r="188">
          <cell r="D188">
            <v>45702</v>
          </cell>
          <cell r="H188">
            <v>5</v>
          </cell>
          <cell r="I188">
            <v>0</v>
          </cell>
          <cell r="L188">
            <v>25</v>
          </cell>
        </row>
        <row r="189">
          <cell r="D189">
            <v>45702</v>
          </cell>
          <cell r="H189">
            <v>5</v>
          </cell>
          <cell r="I189">
            <v>0</v>
          </cell>
          <cell r="L189">
            <v>125</v>
          </cell>
        </row>
        <row r="190">
          <cell r="D190">
            <v>45708</v>
          </cell>
          <cell r="H190">
            <v>5.5</v>
          </cell>
          <cell r="I190">
            <v>0</v>
          </cell>
          <cell r="L190">
            <v>200</v>
          </cell>
        </row>
        <row r="191">
          <cell r="D191">
            <v>45708</v>
          </cell>
          <cell r="H191">
            <v>5</v>
          </cell>
          <cell r="I191">
            <v>0</v>
          </cell>
          <cell r="L191">
            <v>150</v>
          </cell>
        </row>
        <row r="192">
          <cell r="D192">
            <v>45708</v>
          </cell>
          <cell r="H192">
            <v>5.5</v>
          </cell>
          <cell r="I192">
            <v>0</v>
          </cell>
          <cell r="L192">
            <v>25</v>
          </cell>
        </row>
        <row r="193">
          <cell r="D193">
            <v>45708</v>
          </cell>
          <cell r="H193">
            <v>5</v>
          </cell>
          <cell r="I193">
            <v>0</v>
          </cell>
          <cell r="L193">
            <v>175</v>
          </cell>
        </row>
        <row r="194">
          <cell r="D194">
            <v>45708</v>
          </cell>
          <cell r="H194">
            <v>5</v>
          </cell>
          <cell r="I194">
            <v>0</v>
          </cell>
          <cell r="L194">
            <v>150</v>
          </cell>
        </row>
        <row r="195">
          <cell r="D195">
            <v>45708</v>
          </cell>
          <cell r="H195">
            <v>5.5</v>
          </cell>
          <cell r="I195">
            <v>0</v>
          </cell>
          <cell r="L195">
            <v>175</v>
          </cell>
        </row>
        <row r="196">
          <cell r="D196">
            <v>45708</v>
          </cell>
          <cell r="H196" t="str">
            <v>-</v>
          </cell>
          <cell r="I196" t="str">
            <v>-</v>
          </cell>
          <cell r="L196">
            <v>40</v>
          </cell>
        </row>
        <row r="197">
          <cell r="D197">
            <v>45709</v>
          </cell>
          <cell r="H197" t="str">
            <v>-</v>
          </cell>
          <cell r="I197" t="str">
            <v>-</v>
          </cell>
          <cell r="L197">
            <v>80</v>
          </cell>
        </row>
        <row r="198">
          <cell r="D198">
            <v>45709</v>
          </cell>
          <cell r="H198">
            <v>5</v>
          </cell>
          <cell r="I198">
            <v>0</v>
          </cell>
          <cell r="L198">
            <v>46.8</v>
          </cell>
        </row>
        <row r="199">
          <cell r="D199">
            <v>45709</v>
          </cell>
          <cell r="H199" t="str">
            <v>-</v>
          </cell>
          <cell r="I199" t="str">
            <v>-</v>
          </cell>
          <cell r="L199">
            <v>80</v>
          </cell>
        </row>
        <row r="200">
          <cell r="D200">
            <v>45710</v>
          </cell>
          <cell r="H200" t="str">
            <v>-</v>
          </cell>
          <cell r="I200" t="str">
            <v>-</v>
          </cell>
          <cell r="L200">
            <v>80</v>
          </cell>
        </row>
        <row r="201">
          <cell r="D201">
            <v>45710</v>
          </cell>
          <cell r="H201" t="str">
            <v>-</v>
          </cell>
          <cell r="I201" t="str">
            <v>-</v>
          </cell>
          <cell r="L201">
            <v>80</v>
          </cell>
        </row>
        <row r="202">
          <cell r="D202">
            <v>45710</v>
          </cell>
          <cell r="H202" t="str">
            <v>-</v>
          </cell>
          <cell r="I202" t="str">
            <v>-</v>
          </cell>
          <cell r="L202">
            <v>80</v>
          </cell>
        </row>
        <row r="203">
          <cell r="D203">
            <v>45710</v>
          </cell>
          <cell r="H203" t="str">
            <v>-</v>
          </cell>
          <cell r="I203" t="str">
            <v>-</v>
          </cell>
          <cell r="L203">
            <v>120</v>
          </cell>
        </row>
        <row r="204">
          <cell r="D204">
            <v>45711</v>
          </cell>
          <cell r="H204" t="str">
            <v>-</v>
          </cell>
          <cell r="I204" t="str">
            <v>-</v>
          </cell>
          <cell r="L204">
            <v>80</v>
          </cell>
        </row>
        <row r="205">
          <cell r="D205">
            <v>45711</v>
          </cell>
          <cell r="H205" t="str">
            <v>-</v>
          </cell>
          <cell r="I205" t="str">
            <v>-</v>
          </cell>
          <cell r="L205">
            <v>120</v>
          </cell>
        </row>
        <row r="206">
          <cell r="D206">
            <v>45711</v>
          </cell>
          <cell r="H206" t="str">
            <v>-</v>
          </cell>
          <cell r="I206" t="str">
            <v>-</v>
          </cell>
          <cell r="L206">
            <v>80</v>
          </cell>
        </row>
        <row r="207">
          <cell r="D207">
            <v>45711</v>
          </cell>
          <cell r="H207" t="str">
            <v>-</v>
          </cell>
          <cell r="I207" t="str">
            <v>-</v>
          </cell>
          <cell r="L207">
            <v>80</v>
          </cell>
        </row>
        <row r="208">
          <cell r="D208">
            <v>45712</v>
          </cell>
          <cell r="H208" t="str">
            <v>-</v>
          </cell>
          <cell r="I208" t="str">
            <v>-</v>
          </cell>
          <cell r="L208">
            <v>120</v>
          </cell>
        </row>
        <row r="209">
          <cell r="D209">
            <v>45712</v>
          </cell>
          <cell r="H209">
            <v>5</v>
          </cell>
          <cell r="I209">
            <v>0</v>
          </cell>
          <cell r="L209">
            <v>200</v>
          </cell>
        </row>
        <row r="210">
          <cell r="D210">
            <v>45712</v>
          </cell>
          <cell r="H210">
            <v>5</v>
          </cell>
          <cell r="I210">
            <v>0</v>
          </cell>
          <cell r="L210">
            <v>25</v>
          </cell>
        </row>
        <row r="211">
          <cell r="D211">
            <v>45712</v>
          </cell>
          <cell r="H211" t="str">
            <v>-</v>
          </cell>
          <cell r="I211" t="str">
            <v>-</v>
          </cell>
          <cell r="L211">
            <v>120</v>
          </cell>
        </row>
        <row r="212">
          <cell r="D212">
            <v>45713</v>
          </cell>
          <cell r="H212">
            <v>5</v>
          </cell>
          <cell r="I212">
            <v>0</v>
          </cell>
          <cell r="L212">
            <v>228</v>
          </cell>
        </row>
        <row r="213">
          <cell r="D213">
            <v>45713</v>
          </cell>
          <cell r="H213" t="str">
            <v>-</v>
          </cell>
          <cell r="I213" t="str">
            <v>-</v>
          </cell>
          <cell r="L213">
            <v>20</v>
          </cell>
        </row>
        <row r="214">
          <cell r="D214">
            <v>45713</v>
          </cell>
          <cell r="H214" t="str">
            <v>-</v>
          </cell>
          <cell r="I214" t="str">
            <v>-</v>
          </cell>
          <cell r="L214">
            <v>40</v>
          </cell>
        </row>
        <row r="215">
          <cell r="D215">
            <v>45713</v>
          </cell>
          <cell r="H215" t="str">
            <v>-</v>
          </cell>
          <cell r="I215" t="str">
            <v>-</v>
          </cell>
          <cell r="L215">
            <v>120</v>
          </cell>
        </row>
        <row r="216">
          <cell r="D216">
            <v>45714</v>
          </cell>
          <cell r="H216" t="str">
            <v>-</v>
          </cell>
          <cell r="I216" t="str">
            <v>-</v>
          </cell>
          <cell r="L216">
            <v>120</v>
          </cell>
        </row>
        <row r="217">
          <cell r="D217">
            <v>45714</v>
          </cell>
          <cell r="H217">
            <v>10</v>
          </cell>
          <cell r="I217">
            <v>0</v>
          </cell>
          <cell r="L217">
            <v>159.19999999999999</v>
          </cell>
        </row>
        <row r="218">
          <cell r="D218">
            <v>45714</v>
          </cell>
          <cell r="H218">
            <v>5.5</v>
          </cell>
          <cell r="I218">
            <v>0</v>
          </cell>
          <cell r="L218">
            <v>125</v>
          </cell>
        </row>
        <row r="219">
          <cell r="D219">
            <v>45714</v>
          </cell>
          <cell r="H219" t="str">
            <v>-</v>
          </cell>
          <cell r="I219" t="str">
            <v>-</v>
          </cell>
          <cell r="L219">
            <v>120</v>
          </cell>
        </row>
        <row r="220">
          <cell r="D220">
            <v>45715</v>
          </cell>
          <cell r="H220" t="str">
            <v>-</v>
          </cell>
          <cell r="I220" t="str">
            <v>-</v>
          </cell>
          <cell r="L220">
            <v>104</v>
          </cell>
        </row>
        <row r="221">
          <cell r="D221">
            <v>45715</v>
          </cell>
          <cell r="H221">
            <v>5.5</v>
          </cell>
          <cell r="I221">
            <v>0</v>
          </cell>
          <cell r="L221">
            <v>75</v>
          </cell>
        </row>
        <row r="222">
          <cell r="D222">
            <v>45715</v>
          </cell>
          <cell r="H222">
            <v>5</v>
          </cell>
          <cell r="I222">
            <v>0</v>
          </cell>
          <cell r="L222">
            <v>50</v>
          </cell>
        </row>
        <row r="223">
          <cell r="D223">
            <v>45715</v>
          </cell>
          <cell r="H223" t="str">
            <v>-</v>
          </cell>
          <cell r="I223" t="str">
            <v>-</v>
          </cell>
          <cell r="L223">
            <v>150</v>
          </cell>
        </row>
        <row r="224">
          <cell r="D224">
            <v>45715</v>
          </cell>
          <cell r="H224" t="str">
            <v>-</v>
          </cell>
          <cell r="I224" t="str">
            <v>-</v>
          </cell>
          <cell r="L224">
            <v>325</v>
          </cell>
        </row>
        <row r="225">
          <cell r="D225">
            <v>45715</v>
          </cell>
          <cell r="H225" t="str">
            <v>-</v>
          </cell>
          <cell r="I225" t="str">
            <v>-</v>
          </cell>
          <cell r="L225">
            <v>325</v>
          </cell>
        </row>
        <row r="226">
          <cell r="D226">
            <v>45716</v>
          </cell>
          <cell r="H226" t="str">
            <v>-</v>
          </cell>
          <cell r="I226" t="str">
            <v>-</v>
          </cell>
          <cell r="L226">
            <v>300</v>
          </cell>
        </row>
        <row r="227">
          <cell r="D227">
            <v>45716</v>
          </cell>
          <cell r="H227" t="str">
            <v>-</v>
          </cell>
          <cell r="I227" t="str">
            <v>-</v>
          </cell>
          <cell r="L227">
            <v>25</v>
          </cell>
        </row>
        <row r="228">
          <cell r="D228">
            <v>45716</v>
          </cell>
          <cell r="H228">
            <v>5.5</v>
          </cell>
          <cell r="I228">
            <v>0</v>
          </cell>
          <cell r="L228">
            <v>50</v>
          </cell>
        </row>
        <row r="229">
          <cell r="D229">
            <v>45716</v>
          </cell>
          <cell r="H229" t="str">
            <v>5-5.5</v>
          </cell>
          <cell r="I229">
            <v>0</v>
          </cell>
          <cell r="L229">
            <v>200</v>
          </cell>
        </row>
        <row r="230">
          <cell r="D230">
            <v>45716</v>
          </cell>
          <cell r="H230" t="str">
            <v>-</v>
          </cell>
          <cell r="I230" t="str">
            <v>-</v>
          </cell>
          <cell r="L230">
            <v>300</v>
          </cell>
        </row>
        <row r="231">
          <cell r="D231">
            <v>45716</v>
          </cell>
          <cell r="H231" t="str">
            <v>-</v>
          </cell>
          <cell r="I231" t="str">
            <v>-</v>
          </cell>
          <cell r="L231">
            <v>50</v>
          </cell>
        </row>
        <row r="232">
          <cell r="D232">
            <v>45716</v>
          </cell>
          <cell r="H232">
            <v>5</v>
          </cell>
          <cell r="I232">
            <v>0</v>
          </cell>
          <cell r="L232">
            <v>100</v>
          </cell>
        </row>
        <row r="233">
          <cell r="D233">
            <v>45716</v>
          </cell>
          <cell r="H233">
            <v>5</v>
          </cell>
          <cell r="I233">
            <v>0</v>
          </cell>
          <cell r="L233">
            <v>50</v>
          </cell>
        </row>
        <row r="234">
          <cell r="D234">
            <v>45717</v>
          </cell>
          <cell r="H234">
            <v>12</v>
          </cell>
          <cell r="I234">
            <v>0</v>
          </cell>
          <cell r="L234">
            <v>86.9</v>
          </cell>
        </row>
        <row r="235">
          <cell r="D235">
            <v>45717</v>
          </cell>
          <cell r="H235">
            <v>5</v>
          </cell>
          <cell r="I235">
            <v>0</v>
          </cell>
          <cell r="L235">
            <v>112</v>
          </cell>
        </row>
        <row r="236">
          <cell r="D236">
            <v>45717</v>
          </cell>
          <cell r="H236">
            <v>5</v>
          </cell>
          <cell r="I236">
            <v>0</v>
          </cell>
          <cell r="L236">
            <v>113.3</v>
          </cell>
        </row>
        <row r="237">
          <cell r="D237">
            <v>45717</v>
          </cell>
          <cell r="H237">
            <v>5</v>
          </cell>
          <cell r="I237">
            <v>0</v>
          </cell>
          <cell r="L237">
            <v>100</v>
          </cell>
        </row>
        <row r="238">
          <cell r="D238">
            <v>45717</v>
          </cell>
          <cell r="H238">
            <v>5</v>
          </cell>
          <cell r="I238">
            <v>0</v>
          </cell>
          <cell r="L238">
            <v>100</v>
          </cell>
        </row>
        <row r="239">
          <cell r="D239">
            <v>45717</v>
          </cell>
          <cell r="H239">
            <v>5</v>
          </cell>
          <cell r="I239">
            <v>0</v>
          </cell>
          <cell r="L239">
            <v>90</v>
          </cell>
        </row>
        <row r="240">
          <cell r="D240">
            <v>45717</v>
          </cell>
          <cell r="H240">
            <v>5</v>
          </cell>
          <cell r="I240">
            <v>0</v>
          </cell>
          <cell r="L240">
            <v>25</v>
          </cell>
        </row>
        <row r="241">
          <cell r="D241">
            <v>45717</v>
          </cell>
          <cell r="H241">
            <v>5</v>
          </cell>
          <cell r="I241">
            <v>0</v>
          </cell>
          <cell r="L241">
            <v>150</v>
          </cell>
        </row>
        <row r="242">
          <cell r="D242">
            <v>45718</v>
          </cell>
          <cell r="H242">
            <v>5</v>
          </cell>
          <cell r="I242">
            <v>0</v>
          </cell>
          <cell r="L242">
            <v>71.900000000000006</v>
          </cell>
        </row>
        <row r="243">
          <cell r="D243">
            <v>45718</v>
          </cell>
          <cell r="H243">
            <v>12</v>
          </cell>
          <cell r="I243">
            <v>0</v>
          </cell>
          <cell r="L243">
            <v>77.5</v>
          </cell>
        </row>
        <row r="244">
          <cell r="D244">
            <v>45718</v>
          </cell>
          <cell r="H244" t="str">
            <v>-</v>
          </cell>
          <cell r="I244" t="str">
            <v>-</v>
          </cell>
          <cell r="L244">
            <v>25</v>
          </cell>
        </row>
        <row r="245">
          <cell r="D245">
            <v>45718</v>
          </cell>
          <cell r="H245">
            <v>5</v>
          </cell>
          <cell r="I245">
            <v>0</v>
          </cell>
          <cell r="L245">
            <v>228.9</v>
          </cell>
        </row>
        <row r="246">
          <cell r="D246">
            <v>45718</v>
          </cell>
          <cell r="H246">
            <v>5</v>
          </cell>
          <cell r="I246">
            <v>0</v>
          </cell>
          <cell r="L246">
            <v>50</v>
          </cell>
        </row>
        <row r="247">
          <cell r="D247">
            <v>45718</v>
          </cell>
          <cell r="H247">
            <v>5</v>
          </cell>
          <cell r="I247">
            <v>0</v>
          </cell>
          <cell r="L247">
            <v>50</v>
          </cell>
        </row>
        <row r="248">
          <cell r="D248">
            <v>45718</v>
          </cell>
          <cell r="H248" t="str">
            <v>5.5-6</v>
          </cell>
          <cell r="I248">
            <v>0</v>
          </cell>
          <cell r="L248">
            <v>100</v>
          </cell>
        </row>
        <row r="249">
          <cell r="D249">
            <v>45718</v>
          </cell>
          <cell r="H249">
            <v>12</v>
          </cell>
          <cell r="I249">
            <v>0</v>
          </cell>
          <cell r="L249">
            <v>100.6</v>
          </cell>
        </row>
        <row r="250">
          <cell r="D250">
            <v>45718</v>
          </cell>
          <cell r="H250">
            <v>5</v>
          </cell>
          <cell r="I250">
            <v>0</v>
          </cell>
          <cell r="L250">
            <v>264</v>
          </cell>
        </row>
        <row r="251">
          <cell r="D251">
            <v>45719</v>
          </cell>
          <cell r="H251">
            <v>5</v>
          </cell>
          <cell r="I251">
            <v>0</v>
          </cell>
          <cell r="L251">
            <v>75</v>
          </cell>
        </row>
        <row r="252">
          <cell r="D252">
            <v>45719</v>
          </cell>
          <cell r="H252" t="str">
            <v>-</v>
          </cell>
          <cell r="I252" t="str">
            <v>-</v>
          </cell>
          <cell r="L252">
            <v>175</v>
          </cell>
        </row>
        <row r="253">
          <cell r="D253">
            <v>45719</v>
          </cell>
          <cell r="H253">
            <v>5</v>
          </cell>
          <cell r="I253">
            <v>0</v>
          </cell>
          <cell r="L253">
            <v>25</v>
          </cell>
        </row>
        <row r="254">
          <cell r="D254">
            <v>45719</v>
          </cell>
          <cell r="H254" t="str">
            <v>-</v>
          </cell>
          <cell r="I254" t="str">
            <v>-</v>
          </cell>
          <cell r="L254">
            <v>275</v>
          </cell>
        </row>
        <row r="255">
          <cell r="D255">
            <v>45719</v>
          </cell>
          <cell r="H255">
            <v>5</v>
          </cell>
          <cell r="I255">
            <v>0</v>
          </cell>
          <cell r="L255">
            <v>225</v>
          </cell>
        </row>
        <row r="256">
          <cell r="D256">
            <v>45719</v>
          </cell>
          <cell r="H256">
            <v>14</v>
          </cell>
          <cell r="I256">
            <v>0</v>
          </cell>
          <cell r="L256">
            <v>139.1</v>
          </cell>
        </row>
        <row r="257">
          <cell r="D257">
            <v>45719</v>
          </cell>
          <cell r="H257" t="str">
            <v>5-5.5</v>
          </cell>
          <cell r="I257">
            <v>0</v>
          </cell>
          <cell r="L257">
            <v>50</v>
          </cell>
        </row>
        <row r="258">
          <cell r="D258">
            <v>45719</v>
          </cell>
          <cell r="H258" t="str">
            <v>5-5.5</v>
          </cell>
          <cell r="I258">
            <v>0</v>
          </cell>
          <cell r="L258">
            <v>225</v>
          </cell>
        </row>
        <row r="259">
          <cell r="D259">
            <v>45725</v>
          </cell>
          <cell r="H259" t="str">
            <v>5-5.5</v>
          </cell>
          <cell r="I259">
            <v>0</v>
          </cell>
          <cell r="L259">
            <v>325</v>
          </cell>
        </row>
        <row r="260">
          <cell r="D260">
            <v>45725</v>
          </cell>
          <cell r="H260" t="str">
            <v>5-5.5</v>
          </cell>
          <cell r="I260">
            <v>0</v>
          </cell>
          <cell r="L260">
            <v>275</v>
          </cell>
        </row>
        <row r="261">
          <cell r="D261">
            <v>45725</v>
          </cell>
          <cell r="H261" t="str">
            <v>5-5.5</v>
          </cell>
          <cell r="I261">
            <v>0</v>
          </cell>
          <cell r="L261">
            <v>325</v>
          </cell>
        </row>
        <row r="262">
          <cell r="D262">
            <v>45725</v>
          </cell>
          <cell r="H262" t="str">
            <v>5-5.5</v>
          </cell>
          <cell r="I262">
            <v>0</v>
          </cell>
          <cell r="L262">
            <v>275</v>
          </cell>
        </row>
        <row r="263">
          <cell r="D263">
            <v>45726</v>
          </cell>
          <cell r="H263" t="str">
            <v>5-5.5</v>
          </cell>
          <cell r="I263">
            <v>0</v>
          </cell>
          <cell r="L263">
            <v>60</v>
          </cell>
        </row>
        <row r="264">
          <cell r="D264">
            <v>45726</v>
          </cell>
          <cell r="H264">
            <v>5</v>
          </cell>
          <cell r="I264">
            <v>0</v>
          </cell>
          <cell r="L264">
            <v>200</v>
          </cell>
        </row>
        <row r="265">
          <cell r="D265">
            <v>45726</v>
          </cell>
          <cell r="H265" t="str">
            <v>5-5.5</v>
          </cell>
          <cell r="I265">
            <v>0</v>
          </cell>
          <cell r="L265">
            <v>218.9</v>
          </cell>
        </row>
        <row r="266">
          <cell r="D266">
            <v>45726</v>
          </cell>
          <cell r="H266">
            <v>5</v>
          </cell>
          <cell r="I266">
            <v>0</v>
          </cell>
          <cell r="L266">
            <v>50</v>
          </cell>
        </row>
        <row r="267">
          <cell r="D267">
            <v>45726</v>
          </cell>
          <cell r="H267">
            <v>5</v>
          </cell>
          <cell r="I267">
            <v>0</v>
          </cell>
          <cell r="L267">
            <v>300</v>
          </cell>
        </row>
        <row r="268">
          <cell r="D268">
            <v>45727</v>
          </cell>
          <cell r="H268" t="str">
            <v>5.5-6</v>
          </cell>
          <cell r="I268">
            <v>0</v>
          </cell>
          <cell r="L268">
            <v>275</v>
          </cell>
        </row>
        <row r="269">
          <cell r="D269">
            <v>45727</v>
          </cell>
          <cell r="H269" t="str">
            <v>5.5-6</v>
          </cell>
          <cell r="I269">
            <v>0</v>
          </cell>
          <cell r="L269">
            <v>200</v>
          </cell>
        </row>
        <row r="270">
          <cell r="D270">
            <v>45727</v>
          </cell>
          <cell r="H270" t="str">
            <v>4.5-5</v>
          </cell>
          <cell r="I270">
            <v>0</v>
          </cell>
          <cell r="L270">
            <v>50</v>
          </cell>
        </row>
        <row r="271">
          <cell r="D271">
            <v>45727</v>
          </cell>
          <cell r="H271">
            <v>5</v>
          </cell>
          <cell r="I271">
            <v>0</v>
          </cell>
          <cell r="L271">
            <v>50</v>
          </cell>
        </row>
        <row r="272">
          <cell r="D272">
            <v>45727</v>
          </cell>
          <cell r="H272" t="str">
            <v>5.5-6</v>
          </cell>
          <cell r="I272">
            <v>0</v>
          </cell>
          <cell r="L272">
            <v>275</v>
          </cell>
        </row>
        <row r="273">
          <cell r="D273">
            <v>45727</v>
          </cell>
          <cell r="H273" t="str">
            <v>5.5-6</v>
          </cell>
          <cell r="I273">
            <v>0</v>
          </cell>
          <cell r="L273">
            <v>250</v>
          </cell>
        </row>
        <row r="274">
          <cell r="D274">
            <v>45729</v>
          </cell>
          <cell r="H274" t="str">
            <v>5-5.5</v>
          </cell>
          <cell r="I274" t="str">
            <v>.1:1</v>
          </cell>
          <cell r="L274">
            <v>125</v>
          </cell>
        </row>
        <row r="275">
          <cell r="D275">
            <v>45729</v>
          </cell>
          <cell r="H275" t="str">
            <v>5-5.5</v>
          </cell>
          <cell r="I275" t="str">
            <v>.1:1</v>
          </cell>
          <cell r="L275">
            <v>125</v>
          </cell>
        </row>
        <row r="276">
          <cell r="D276">
            <v>45730</v>
          </cell>
          <cell r="H276" t="str">
            <v>5-5.5</v>
          </cell>
          <cell r="I276" t="str">
            <v>.1:1</v>
          </cell>
          <cell r="L276">
            <v>66.3</v>
          </cell>
        </row>
        <row r="277">
          <cell r="D277">
            <v>45730</v>
          </cell>
          <cell r="H277" t="str">
            <v>5-5.5</v>
          </cell>
          <cell r="I277">
            <v>0</v>
          </cell>
          <cell r="L277">
            <v>100</v>
          </cell>
        </row>
        <row r="278">
          <cell r="D278">
            <v>45730</v>
          </cell>
          <cell r="H278">
            <v>5</v>
          </cell>
          <cell r="I278">
            <v>0</v>
          </cell>
          <cell r="L278">
            <v>50</v>
          </cell>
        </row>
        <row r="279">
          <cell r="D279">
            <v>45730</v>
          </cell>
          <cell r="H279" t="str">
            <v>5-5.5</v>
          </cell>
          <cell r="I279">
            <v>0</v>
          </cell>
          <cell r="L279">
            <v>250</v>
          </cell>
        </row>
        <row r="280">
          <cell r="D280">
            <v>45730</v>
          </cell>
          <cell r="H280">
            <v>5</v>
          </cell>
          <cell r="I280">
            <v>0</v>
          </cell>
          <cell r="L280">
            <v>50</v>
          </cell>
        </row>
        <row r="281">
          <cell r="D281">
            <v>45731</v>
          </cell>
          <cell r="H281">
            <v>5</v>
          </cell>
          <cell r="I281">
            <v>0</v>
          </cell>
          <cell r="L281">
            <v>150</v>
          </cell>
        </row>
        <row r="282">
          <cell r="D282">
            <v>45731</v>
          </cell>
          <cell r="H282">
            <v>5</v>
          </cell>
          <cell r="I282">
            <v>0</v>
          </cell>
          <cell r="L282">
            <v>121</v>
          </cell>
        </row>
        <row r="283">
          <cell r="D283">
            <v>45732</v>
          </cell>
          <cell r="H283">
            <v>5</v>
          </cell>
          <cell r="I283">
            <v>0</v>
          </cell>
          <cell r="L283">
            <v>242.5</v>
          </cell>
        </row>
        <row r="284">
          <cell r="D284">
            <v>45733</v>
          </cell>
          <cell r="H284">
            <v>5</v>
          </cell>
          <cell r="I284">
            <v>0</v>
          </cell>
          <cell r="L284">
            <v>56.3</v>
          </cell>
        </row>
        <row r="285">
          <cell r="D285">
            <v>45733</v>
          </cell>
          <cell r="H285">
            <v>5</v>
          </cell>
          <cell r="I285">
            <v>0</v>
          </cell>
          <cell r="L285">
            <v>75</v>
          </cell>
        </row>
        <row r="286">
          <cell r="D286">
            <v>45733</v>
          </cell>
          <cell r="H286">
            <v>5</v>
          </cell>
          <cell r="I286">
            <v>0</v>
          </cell>
          <cell r="L286">
            <v>56.6</v>
          </cell>
        </row>
        <row r="287">
          <cell r="D287">
            <v>45733</v>
          </cell>
          <cell r="H287">
            <v>5</v>
          </cell>
          <cell r="I287">
            <v>0</v>
          </cell>
          <cell r="L287">
            <v>75</v>
          </cell>
        </row>
        <row r="288">
          <cell r="D288">
            <v>45734</v>
          </cell>
          <cell r="H288">
            <v>5</v>
          </cell>
          <cell r="I288">
            <v>0</v>
          </cell>
          <cell r="L288">
            <v>58.6</v>
          </cell>
        </row>
        <row r="289">
          <cell r="D289">
            <v>45736</v>
          </cell>
          <cell r="H289">
            <v>5</v>
          </cell>
          <cell r="I289">
            <v>0</v>
          </cell>
          <cell r="L289">
            <v>125</v>
          </cell>
        </row>
        <row r="290">
          <cell r="D290">
            <v>45736</v>
          </cell>
          <cell r="H290" t="str">
            <v>-</v>
          </cell>
          <cell r="I290" t="str">
            <v>-</v>
          </cell>
          <cell r="L290">
            <v>125</v>
          </cell>
        </row>
        <row r="291">
          <cell r="D291">
            <v>45736</v>
          </cell>
          <cell r="H291" t="str">
            <v>-</v>
          </cell>
          <cell r="I291" t="str">
            <v>-</v>
          </cell>
          <cell r="L291">
            <v>125</v>
          </cell>
        </row>
        <row r="292">
          <cell r="D292">
            <v>45736</v>
          </cell>
          <cell r="H292" t="str">
            <v>-</v>
          </cell>
          <cell r="I292" t="str">
            <v>-</v>
          </cell>
          <cell r="L292">
            <v>100</v>
          </cell>
        </row>
        <row r="293">
          <cell r="D293">
            <v>45737</v>
          </cell>
          <cell r="H293">
            <v>5</v>
          </cell>
          <cell r="I293">
            <v>0</v>
          </cell>
          <cell r="L293">
            <v>125</v>
          </cell>
        </row>
        <row r="294">
          <cell r="D294">
            <v>45737</v>
          </cell>
          <cell r="H294" t="str">
            <v>-</v>
          </cell>
          <cell r="I294" t="str">
            <v>-</v>
          </cell>
          <cell r="L294">
            <v>25</v>
          </cell>
        </row>
        <row r="295">
          <cell r="D295">
            <v>45737</v>
          </cell>
          <cell r="H295">
            <v>5</v>
          </cell>
          <cell r="I295">
            <v>0</v>
          </cell>
          <cell r="L295">
            <v>100</v>
          </cell>
        </row>
        <row r="296">
          <cell r="D296">
            <v>45738</v>
          </cell>
          <cell r="H296" t="str">
            <v>-</v>
          </cell>
          <cell r="I296" t="str">
            <v>-</v>
          </cell>
          <cell r="L296">
            <v>50</v>
          </cell>
        </row>
        <row r="297">
          <cell r="D297">
            <v>45738</v>
          </cell>
          <cell r="H297">
            <v>6</v>
          </cell>
          <cell r="I297">
            <v>0</v>
          </cell>
          <cell r="L297">
            <v>125</v>
          </cell>
        </row>
        <row r="298">
          <cell r="D298">
            <v>45738</v>
          </cell>
          <cell r="H298" t="str">
            <v>-</v>
          </cell>
          <cell r="I298" t="str">
            <v>-</v>
          </cell>
          <cell r="L298">
            <v>75</v>
          </cell>
        </row>
        <row r="299">
          <cell r="D299">
            <v>45738</v>
          </cell>
          <cell r="H299">
            <v>6</v>
          </cell>
          <cell r="I299">
            <v>0</v>
          </cell>
          <cell r="L299">
            <v>100</v>
          </cell>
        </row>
        <row r="300">
          <cell r="D300">
            <v>45740</v>
          </cell>
          <cell r="H300" t="str">
            <v>5.5/6</v>
          </cell>
          <cell r="I300">
            <v>0</v>
          </cell>
          <cell r="L300">
            <v>125</v>
          </cell>
        </row>
        <row r="301">
          <cell r="D301">
            <v>45740</v>
          </cell>
          <cell r="H301" t="str">
            <v>5.5/6</v>
          </cell>
          <cell r="I301">
            <v>0</v>
          </cell>
          <cell r="L301">
            <v>125</v>
          </cell>
        </row>
        <row r="302">
          <cell r="D302">
            <v>45741</v>
          </cell>
          <cell r="H302" t="str">
            <v>5.5/6</v>
          </cell>
          <cell r="I302">
            <v>0</v>
          </cell>
          <cell r="L302">
            <v>300</v>
          </cell>
        </row>
        <row r="303">
          <cell r="D303">
            <v>45741</v>
          </cell>
          <cell r="H303" t="str">
            <v>5.5/6</v>
          </cell>
          <cell r="I303">
            <v>0</v>
          </cell>
          <cell r="L303">
            <v>300</v>
          </cell>
        </row>
        <row r="304">
          <cell r="D304">
            <v>45741</v>
          </cell>
          <cell r="H304" t="str">
            <v>5.5/6</v>
          </cell>
          <cell r="I304">
            <v>0</v>
          </cell>
          <cell r="L304">
            <v>300</v>
          </cell>
        </row>
        <row r="305">
          <cell r="D305">
            <v>45741</v>
          </cell>
          <cell r="H305" t="str">
            <v>5.5/6</v>
          </cell>
          <cell r="I305">
            <v>0</v>
          </cell>
          <cell r="L305">
            <v>150</v>
          </cell>
        </row>
        <row r="306">
          <cell r="D306">
            <v>45741</v>
          </cell>
          <cell r="H306" t="str">
            <v>5.5/6</v>
          </cell>
          <cell r="I306">
            <v>0</v>
          </cell>
          <cell r="L306">
            <v>150</v>
          </cell>
        </row>
        <row r="307">
          <cell r="D307">
            <v>45742</v>
          </cell>
          <cell r="H307" t="str">
            <v>5.5/6</v>
          </cell>
          <cell r="I307">
            <v>0</v>
          </cell>
          <cell r="L307">
            <v>50</v>
          </cell>
        </row>
        <row r="308">
          <cell r="D308">
            <v>45742</v>
          </cell>
          <cell r="H308">
            <v>5</v>
          </cell>
          <cell r="I308">
            <v>0</v>
          </cell>
          <cell r="L308">
            <v>50</v>
          </cell>
        </row>
        <row r="309">
          <cell r="D309">
            <v>45756</v>
          </cell>
          <cell r="H309">
            <v>5</v>
          </cell>
          <cell r="I309">
            <v>0</v>
          </cell>
          <cell r="L309">
            <v>75</v>
          </cell>
        </row>
        <row r="310">
          <cell r="D310">
            <v>45756</v>
          </cell>
          <cell r="H310" t="str">
            <v>5-5.5</v>
          </cell>
          <cell r="I310">
            <v>0</v>
          </cell>
          <cell r="L310">
            <v>200</v>
          </cell>
        </row>
        <row r="311">
          <cell r="D311">
            <v>45756</v>
          </cell>
          <cell r="H311">
            <v>5</v>
          </cell>
          <cell r="I311">
            <v>0</v>
          </cell>
          <cell r="L311">
            <v>119</v>
          </cell>
        </row>
        <row r="312">
          <cell r="D312">
            <v>45756</v>
          </cell>
          <cell r="H312">
            <v>5</v>
          </cell>
          <cell r="I312">
            <v>0</v>
          </cell>
          <cell r="L312">
            <v>75</v>
          </cell>
        </row>
        <row r="313">
          <cell r="D313">
            <v>45757</v>
          </cell>
          <cell r="H313">
            <v>5</v>
          </cell>
          <cell r="I313">
            <v>0</v>
          </cell>
          <cell r="L313">
            <v>125</v>
          </cell>
        </row>
        <row r="314">
          <cell r="D314">
            <v>45757</v>
          </cell>
          <cell r="H314">
            <v>5</v>
          </cell>
          <cell r="I314">
            <v>0</v>
          </cell>
          <cell r="L314">
            <v>25</v>
          </cell>
        </row>
        <row r="315">
          <cell r="D315">
            <v>45757</v>
          </cell>
          <cell r="H315">
            <v>5</v>
          </cell>
          <cell r="I315">
            <v>0</v>
          </cell>
          <cell r="L315">
            <v>125</v>
          </cell>
        </row>
        <row r="316">
          <cell r="D316">
            <v>45757</v>
          </cell>
          <cell r="H316">
            <v>5</v>
          </cell>
          <cell r="I316">
            <v>0</v>
          </cell>
          <cell r="L316">
            <v>200</v>
          </cell>
        </row>
        <row r="317">
          <cell r="D317">
            <v>45758</v>
          </cell>
          <cell r="H317">
            <v>5</v>
          </cell>
          <cell r="I317">
            <v>0</v>
          </cell>
          <cell r="L317">
            <v>125</v>
          </cell>
        </row>
        <row r="318">
          <cell r="D318">
            <v>45758</v>
          </cell>
          <cell r="H318">
            <v>5</v>
          </cell>
          <cell r="I318">
            <v>0</v>
          </cell>
          <cell r="L318">
            <v>125</v>
          </cell>
        </row>
        <row r="319">
          <cell r="D319">
            <v>45758</v>
          </cell>
          <cell r="H319">
            <v>5</v>
          </cell>
          <cell r="I319">
            <v>0</v>
          </cell>
          <cell r="L319">
            <v>39.6</v>
          </cell>
        </row>
        <row r="320">
          <cell r="D320">
            <v>45758</v>
          </cell>
          <cell r="H320">
            <v>5</v>
          </cell>
          <cell r="I320">
            <v>0</v>
          </cell>
          <cell r="L320">
            <v>175</v>
          </cell>
        </row>
        <row r="321">
          <cell r="D321">
            <v>45758</v>
          </cell>
          <cell r="H321">
            <v>5</v>
          </cell>
          <cell r="I321">
            <v>0</v>
          </cell>
          <cell r="L321">
            <v>125</v>
          </cell>
        </row>
        <row r="322">
          <cell r="D322">
            <v>45758</v>
          </cell>
          <cell r="H322">
            <v>5</v>
          </cell>
          <cell r="I322">
            <v>0</v>
          </cell>
          <cell r="L322">
            <v>100</v>
          </cell>
        </row>
        <row r="323">
          <cell r="D323">
            <v>45759</v>
          </cell>
          <cell r="H323">
            <v>5</v>
          </cell>
          <cell r="I323">
            <v>0</v>
          </cell>
          <cell r="L323">
            <v>100</v>
          </cell>
        </row>
        <row r="324">
          <cell r="D324">
            <v>45759</v>
          </cell>
          <cell r="H324">
            <v>5</v>
          </cell>
          <cell r="I324">
            <v>0</v>
          </cell>
          <cell r="L324">
            <v>75</v>
          </cell>
        </row>
        <row r="325">
          <cell r="D325">
            <v>45759</v>
          </cell>
          <cell r="H325">
            <v>15</v>
          </cell>
          <cell r="I325">
            <v>0</v>
          </cell>
          <cell r="L325">
            <v>30</v>
          </cell>
        </row>
        <row r="326">
          <cell r="D326">
            <v>45759</v>
          </cell>
          <cell r="H326">
            <v>15</v>
          </cell>
          <cell r="I326">
            <v>0</v>
          </cell>
          <cell r="L326">
            <v>150</v>
          </cell>
        </row>
        <row r="327">
          <cell r="D327">
            <v>45759</v>
          </cell>
          <cell r="H327">
            <v>15</v>
          </cell>
          <cell r="I327">
            <v>0</v>
          </cell>
          <cell r="L327">
            <v>150</v>
          </cell>
        </row>
        <row r="328">
          <cell r="D328">
            <v>45761</v>
          </cell>
          <cell r="H328">
            <v>15</v>
          </cell>
          <cell r="I328">
            <v>0</v>
          </cell>
          <cell r="L328">
            <v>120</v>
          </cell>
        </row>
        <row r="329">
          <cell r="D329">
            <v>45761</v>
          </cell>
          <cell r="H329">
            <v>15</v>
          </cell>
          <cell r="I329">
            <v>0</v>
          </cell>
          <cell r="L329">
            <v>150</v>
          </cell>
        </row>
        <row r="330">
          <cell r="D330">
            <v>45761</v>
          </cell>
          <cell r="H330">
            <v>15</v>
          </cell>
          <cell r="I330">
            <v>0</v>
          </cell>
          <cell r="L330">
            <v>84.6</v>
          </cell>
        </row>
        <row r="331">
          <cell r="D331">
            <v>45761</v>
          </cell>
          <cell r="H331">
            <v>6.5</v>
          </cell>
          <cell r="I331">
            <v>0</v>
          </cell>
          <cell r="L331">
            <v>100</v>
          </cell>
        </row>
        <row r="332">
          <cell r="D332">
            <v>45761</v>
          </cell>
          <cell r="H332">
            <v>5</v>
          </cell>
          <cell r="I332">
            <v>0</v>
          </cell>
          <cell r="L332">
            <v>250</v>
          </cell>
        </row>
        <row r="333">
          <cell r="D333">
            <v>45763</v>
          </cell>
          <cell r="H333" t="str">
            <v>5.5-6</v>
          </cell>
          <cell r="I333">
            <v>0</v>
          </cell>
          <cell r="L333">
            <v>300</v>
          </cell>
        </row>
        <row r="334">
          <cell r="D334">
            <v>45763</v>
          </cell>
          <cell r="H334" t="str">
            <v>5.5-6</v>
          </cell>
          <cell r="I334">
            <v>0</v>
          </cell>
          <cell r="L334">
            <v>275</v>
          </cell>
        </row>
        <row r="335">
          <cell r="D335">
            <v>45764</v>
          </cell>
          <cell r="H335" t="str">
            <v>5.5-6</v>
          </cell>
          <cell r="I335">
            <v>0</v>
          </cell>
          <cell r="L335">
            <v>300</v>
          </cell>
        </row>
        <row r="336">
          <cell r="D336">
            <v>45764</v>
          </cell>
          <cell r="H336" t="str">
            <v>5.5-6</v>
          </cell>
          <cell r="I336">
            <v>0</v>
          </cell>
          <cell r="L336">
            <v>275</v>
          </cell>
        </row>
        <row r="337">
          <cell r="D337">
            <v>45764</v>
          </cell>
          <cell r="H337" t="str">
            <v>5.5-6</v>
          </cell>
          <cell r="I337">
            <v>0</v>
          </cell>
          <cell r="L337">
            <v>300</v>
          </cell>
        </row>
        <row r="338">
          <cell r="D338">
            <v>45764</v>
          </cell>
          <cell r="H338" t="str">
            <v>5.5-6</v>
          </cell>
          <cell r="I338">
            <v>0</v>
          </cell>
          <cell r="L338">
            <v>300</v>
          </cell>
        </row>
        <row r="339">
          <cell r="D339">
            <v>45765</v>
          </cell>
          <cell r="H339" t="str">
            <v>5.5-6</v>
          </cell>
          <cell r="I339">
            <v>0</v>
          </cell>
          <cell r="L339">
            <v>125</v>
          </cell>
        </row>
        <row r="340">
          <cell r="D340">
            <v>45765</v>
          </cell>
          <cell r="H340" t="str">
            <v>5.5-6</v>
          </cell>
          <cell r="I340">
            <v>0</v>
          </cell>
          <cell r="L340">
            <v>100</v>
          </cell>
        </row>
        <row r="341">
          <cell r="D341">
            <v>45765</v>
          </cell>
          <cell r="H341" t="str">
            <v>5.5-6</v>
          </cell>
          <cell r="I341">
            <v>0</v>
          </cell>
          <cell r="L341">
            <v>100</v>
          </cell>
        </row>
        <row r="342">
          <cell r="D342">
            <v>45765</v>
          </cell>
          <cell r="H342" t="str">
            <v>5.5-6</v>
          </cell>
          <cell r="I342">
            <v>0</v>
          </cell>
          <cell r="L342">
            <v>125</v>
          </cell>
        </row>
        <row r="343">
          <cell r="D343">
            <v>45765</v>
          </cell>
          <cell r="H343" t="str">
            <v>5-5.5</v>
          </cell>
          <cell r="I343" t="str">
            <v>-</v>
          </cell>
          <cell r="L343">
            <v>50</v>
          </cell>
        </row>
        <row r="344">
          <cell r="D344">
            <v>45765</v>
          </cell>
          <cell r="H344" t="str">
            <v>5-5.5</v>
          </cell>
          <cell r="I344" t="str">
            <v>-</v>
          </cell>
          <cell r="L344">
            <v>190.9</v>
          </cell>
        </row>
        <row r="345">
          <cell r="D345">
            <v>45766</v>
          </cell>
          <cell r="H345" t="str">
            <v>5.5-6</v>
          </cell>
          <cell r="I345">
            <v>0</v>
          </cell>
          <cell r="L345">
            <v>175</v>
          </cell>
        </row>
        <row r="346">
          <cell r="D346">
            <v>45766</v>
          </cell>
          <cell r="H346" t="str">
            <v>5-5.5</v>
          </cell>
          <cell r="I346" t="str">
            <v>-</v>
          </cell>
          <cell r="L346">
            <v>150</v>
          </cell>
        </row>
        <row r="347">
          <cell r="D347">
            <v>45766</v>
          </cell>
          <cell r="H347" t="str">
            <v>5.5-6</v>
          </cell>
          <cell r="I347">
            <v>0</v>
          </cell>
          <cell r="L347">
            <v>25</v>
          </cell>
        </row>
        <row r="348">
          <cell r="D348">
            <v>45766</v>
          </cell>
          <cell r="H348" t="str">
            <v>5.5-6</v>
          </cell>
          <cell r="I348">
            <v>0</v>
          </cell>
          <cell r="L348">
            <v>150</v>
          </cell>
        </row>
        <row r="349">
          <cell r="D349">
            <v>45766</v>
          </cell>
          <cell r="H349" t="str">
            <v>5-5.5</v>
          </cell>
          <cell r="I349" t="str">
            <v>-</v>
          </cell>
          <cell r="L349">
            <v>71.2</v>
          </cell>
        </row>
        <row r="350">
          <cell r="D350">
            <v>45766</v>
          </cell>
          <cell r="H350" t="str">
            <v>5.5-6</v>
          </cell>
          <cell r="I350">
            <v>0</v>
          </cell>
          <cell r="L350">
            <v>50</v>
          </cell>
        </row>
        <row r="351">
          <cell r="D351">
            <v>45768</v>
          </cell>
          <cell r="H351">
            <v>5</v>
          </cell>
          <cell r="I351">
            <v>0</v>
          </cell>
          <cell r="L351">
            <v>50</v>
          </cell>
        </row>
        <row r="352">
          <cell r="D352">
            <v>45768</v>
          </cell>
          <cell r="H352">
            <v>5</v>
          </cell>
          <cell r="I352">
            <v>0</v>
          </cell>
          <cell r="L352">
            <v>50</v>
          </cell>
        </row>
        <row r="353">
          <cell r="D353">
            <v>45768</v>
          </cell>
          <cell r="H353">
            <v>5</v>
          </cell>
          <cell r="I353">
            <v>0</v>
          </cell>
          <cell r="L353">
            <v>200</v>
          </cell>
        </row>
        <row r="354">
          <cell r="D354">
            <v>45768</v>
          </cell>
          <cell r="H354">
            <v>5</v>
          </cell>
          <cell r="I354">
            <v>0</v>
          </cell>
          <cell r="L354">
            <v>50</v>
          </cell>
        </row>
        <row r="355">
          <cell r="D355">
            <v>45768</v>
          </cell>
          <cell r="H355">
            <v>5</v>
          </cell>
          <cell r="I355">
            <v>0</v>
          </cell>
          <cell r="L355">
            <v>100</v>
          </cell>
        </row>
        <row r="356">
          <cell r="D356">
            <v>45768</v>
          </cell>
          <cell r="H356">
            <v>5</v>
          </cell>
          <cell r="I356">
            <v>0</v>
          </cell>
          <cell r="L356">
            <v>50</v>
          </cell>
        </row>
        <row r="357">
          <cell r="D357">
            <v>45769</v>
          </cell>
          <cell r="H357">
            <v>5</v>
          </cell>
          <cell r="I357">
            <v>0</v>
          </cell>
          <cell r="L357">
            <v>100</v>
          </cell>
        </row>
        <row r="358">
          <cell r="D358">
            <v>45769</v>
          </cell>
          <cell r="H358">
            <v>5</v>
          </cell>
          <cell r="I358">
            <v>0</v>
          </cell>
          <cell r="L358">
            <v>100</v>
          </cell>
        </row>
        <row r="359">
          <cell r="D359">
            <v>45769</v>
          </cell>
          <cell r="H359">
            <v>5</v>
          </cell>
          <cell r="I359">
            <v>0</v>
          </cell>
          <cell r="L359">
            <v>100</v>
          </cell>
        </row>
        <row r="360">
          <cell r="D360">
            <v>45769</v>
          </cell>
          <cell r="H360">
            <v>5</v>
          </cell>
          <cell r="I360">
            <v>0</v>
          </cell>
          <cell r="L360">
            <v>50</v>
          </cell>
        </row>
        <row r="361">
          <cell r="D361">
            <v>45769</v>
          </cell>
          <cell r="H361">
            <v>5</v>
          </cell>
          <cell r="I361">
            <v>0</v>
          </cell>
          <cell r="L361">
            <v>100</v>
          </cell>
        </row>
        <row r="362">
          <cell r="D362">
            <v>45769</v>
          </cell>
          <cell r="H362">
            <v>5</v>
          </cell>
          <cell r="I362">
            <v>0</v>
          </cell>
          <cell r="L362">
            <v>100</v>
          </cell>
        </row>
        <row r="363">
          <cell r="D363">
            <v>45769</v>
          </cell>
          <cell r="H363">
            <v>5.5</v>
          </cell>
          <cell r="I363">
            <v>0</v>
          </cell>
          <cell r="L363">
            <v>100</v>
          </cell>
        </row>
        <row r="364">
          <cell r="D364">
            <v>45769</v>
          </cell>
          <cell r="H364">
            <v>5</v>
          </cell>
          <cell r="I364">
            <v>0</v>
          </cell>
          <cell r="L364">
            <v>100</v>
          </cell>
        </row>
        <row r="365">
          <cell r="D365">
            <v>45770</v>
          </cell>
          <cell r="H365">
            <v>5</v>
          </cell>
          <cell r="I365">
            <v>0</v>
          </cell>
          <cell r="L365">
            <v>50</v>
          </cell>
        </row>
        <row r="366">
          <cell r="D366">
            <v>45770</v>
          </cell>
          <cell r="H366">
            <v>5</v>
          </cell>
          <cell r="I366">
            <v>0</v>
          </cell>
          <cell r="L366">
            <v>50</v>
          </cell>
        </row>
        <row r="367">
          <cell r="D367">
            <v>45770</v>
          </cell>
          <cell r="H367">
            <v>5</v>
          </cell>
          <cell r="I367">
            <v>0</v>
          </cell>
          <cell r="L367">
            <v>25</v>
          </cell>
        </row>
        <row r="368">
          <cell r="D368">
            <v>45770</v>
          </cell>
          <cell r="H368">
            <v>5</v>
          </cell>
          <cell r="I368">
            <v>0</v>
          </cell>
          <cell r="L368">
            <v>225</v>
          </cell>
        </row>
        <row r="369">
          <cell r="D369">
            <v>45770</v>
          </cell>
          <cell r="H369">
            <v>5</v>
          </cell>
          <cell r="I369">
            <v>0</v>
          </cell>
          <cell r="L369">
            <v>80</v>
          </cell>
        </row>
        <row r="370">
          <cell r="D370">
            <v>45770</v>
          </cell>
          <cell r="H370">
            <v>5</v>
          </cell>
          <cell r="I370">
            <v>0</v>
          </cell>
          <cell r="L370">
            <v>125</v>
          </cell>
        </row>
        <row r="371">
          <cell r="D371">
            <v>45770</v>
          </cell>
          <cell r="H371">
            <v>5</v>
          </cell>
          <cell r="I371">
            <v>0</v>
          </cell>
          <cell r="L371">
            <v>25</v>
          </cell>
        </row>
        <row r="372">
          <cell r="D372">
            <v>45770</v>
          </cell>
          <cell r="H372">
            <v>5</v>
          </cell>
          <cell r="I372">
            <v>0</v>
          </cell>
          <cell r="L372">
            <v>25</v>
          </cell>
        </row>
        <row r="373">
          <cell r="D373">
            <v>45770</v>
          </cell>
          <cell r="H373">
            <v>5</v>
          </cell>
          <cell r="I373">
            <v>0</v>
          </cell>
          <cell r="L373">
            <v>163</v>
          </cell>
        </row>
        <row r="374">
          <cell r="D374">
            <v>45771</v>
          </cell>
          <cell r="H374">
            <v>5</v>
          </cell>
          <cell r="I374">
            <v>0</v>
          </cell>
          <cell r="L374">
            <v>125</v>
          </cell>
        </row>
        <row r="375">
          <cell r="D375">
            <v>45771</v>
          </cell>
          <cell r="H375">
            <v>5</v>
          </cell>
          <cell r="I375">
            <v>0</v>
          </cell>
          <cell r="L375">
            <v>43.6</v>
          </cell>
        </row>
        <row r="376">
          <cell r="D376">
            <v>45771</v>
          </cell>
          <cell r="H376">
            <v>5</v>
          </cell>
          <cell r="I376">
            <v>0</v>
          </cell>
          <cell r="L376">
            <v>50</v>
          </cell>
        </row>
        <row r="377">
          <cell r="D377">
            <v>45771</v>
          </cell>
          <cell r="H377" t="str">
            <v>6-6.5</v>
          </cell>
          <cell r="I377">
            <v>0</v>
          </cell>
          <cell r="L377">
            <v>210</v>
          </cell>
        </row>
        <row r="378">
          <cell r="D378">
            <v>45771</v>
          </cell>
          <cell r="H378">
            <v>5</v>
          </cell>
          <cell r="I378">
            <v>0</v>
          </cell>
          <cell r="L378">
            <v>75</v>
          </cell>
        </row>
        <row r="379">
          <cell r="D379">
            <v>45771</v>
          </cell>
          <cell r="H379" t="str">
            <v>-</v>
          </cell>
          <cell r="I379" t="str">
            <v>-</v>
          </cell>
          <cell r="L379">
            <v>75</v>
          </cell>
        </row>
        <row r="380">
          <cell r="D380">
            <v>45771</v>
          </cell>
          <cell r="H380" t="str">
            <v>6-6.5</v>
          </cell>
          <cell r="I380">
            <v>0</v>
          </cell>
          <cell r="L380">
            <v>270</v>
          </cell>
        </row>
        <row r="381">
          <cell r="D381">
            <v>45772</v>
          </cell>
          <cell r="H381">
            <v>5</v>
          </cell>
          <cell r="I381">
            <v>0</v>
          </cell>
          <cell r="L381">
            <v>98.5</v>
          </cell>
        </row>
        <row r="382">
          <cell r="D382">
            <v>45772</v>
          </cell>
          <cell r="H382">
            <v>5</v>
          </cell>
          <cell r="I382">
            <v>0</v>
          </cell>
          <cell r="L382">
            <v>100</v>
          </cell>
        </row>
        <row r="383">
          <cell r="D383">
            <v>45772</v>
          </cell>
          <cell r="H383" t="str">
            <v>6-6.5</v>
          </cell>
          <cell r="I383">
            <v>0</v>
          </cell>
          <cell r="L383">
            <v>143.6</v>
          </cell>
        </row>
        <row r="384">
          <cell r="D384">
            <v>45772</v>
          </cell>
          <cell r="H384" t="str">
            <v>5-5.5</v>
          </cell>
          <cell r="I384">
            <v>0</v>
          </cell>
          <cell r="L384">
            <v>138.19999999999999</v>
          </cell>
        </row>
        <row r="385">
          <cell r="D385">
            <v>45772</v>
          </cell>
          <cell r="H385">
            <v>5</v>
          </cell>
          <cell r="I385">
            <v>0</v>
          </cell>
          <cell r="L385">
            <v>150</v>
          </cell>
        </row>
        <row r="386">
          <cell r="D386">
            <v>45772</v>
          </cell>
          <cell r="H386" t="str">
            <v>5-5.5</v>
          </cell>
          <cell r="I386">
            <v>0</v>
          </cell>
          <cell r="L386">
            <v>75</v>
          </cell>
        </row>
        <row r="387">
          <cell r="D387">
            <v>45772</v>
          </cell>
          <cell r="H387">
            <v>5</v>
          </cell>
          <cell r="I387">
            <v>0</v>
          </cell>
          <cell r="L387">
            <v>125</v>
          </cell>
        </row>
        <row r="388">
          <cell r="D388">
            <v>45772</v>
          </cell>
          <cell r="H388" t="str">
            <v>5-5.5</v>
          </cell>
          <cell r="I388">
            <v>0</v>
          </cell>
          <cell r="L388">
            <v>75</v>
          </cell>
        </row>
        <row r="389">
          <cell r="D389">
            <v>45773</v>
          </cell>
          <cell r="H389" t="str">
            <v>5-5.5</v>
          </cell>
          <cell r="I389">
            <v>0</v>
          </cell>
          <cell r="L389">
            <v>53</v>
          </cell>
        </row>
        <row r="390">
          <cell r="D390">
            <v>45773</v>
          </cell>
          <cell r="H390">
            <v>5</v>
          </cell>
          <cell r="I390">
            <v>0</v>
          </cell>
          <cell r="L390">
            <v>50</v>
          </cell>
        </row>
        <row r="391">
          <cell r="D391">
            <v>45773</v>
          </cell>
          <cell r="H391">
            <v>5</v>
          </cell>
          <cell r="I391">
            <v>0</v>
          </cell>
          <cell r="L391">
            <v>50</v>
          </cell>
        </row>
        <row r="392">
          <cell r="D392">
            <v>45773</v>
          </cell>
          <cell r="H392">
            <v>5</v>
          </cell>
          <cell r="I392">
            <v>0</v>
          </cell>
          <cell r="L392">
            <v>75</v>
          </cell>
        </row>
        <row r="393">
          <cell r="D393">
            <v>45773</v>
          </cell>
          <cell r="H393">
            <v>5</v>
          </cell>
          <cell r="I393">
            <v>0</v>
          </cell>
          <cell r="L393">
            <v>50</v>
          </cell>
        </row>
        <row r="394">
          <cell r="D394">
            <v>45773</v>
          </cell>
          <cell r="H394">
            <v>5</v>
          </cell>
          <cell r="I394">
            <v>0</v>
          </cell>
          <cell r="L394">
            <v>50</v>
          </cell>
        </row>
        <row r="395">
          <cell r="D395">
            <v>45776</v>
          </cell>
          <cell r="H395" t="str">
            <v>5-5.5</v>
          </cell>
          <cell r="I395">
            <v>0</v>
          </cell>
          <cell r="L395">
            <v>100</v>
          </cell>
        </row>
        <row r="396">
          <cell r="D396">
            <v>45776</v>
          </cell>
          <cell r="H396" t="str">
            <v>5-5.5</v>
          </cell>
          <cell r="I396">
            <v>0</v>
          </cell>
          <cell r="L396">
            <v>200</v>
          </cell>
        </row>
        <row r="397">
          <cell r="D397">
            <v>45777</v>
          </cell>
          <cell r="H397" t="str">
            <v>5-5.5</v>
          </cell>
          <cell r="I397">
            <v>0</v>
          </cell>
          <cell r="L397">
            <v>225</v>
          </cell>
        </row>
        <row r="398">
          <cell r="D398">
            <v>45777</v>
          </cell>
          <cell r="H398" t="str">
            <v>5-5.5</v>
          </cell>
          <cell r="I398">
            <v>0</v>
          </cell>
          <cell r="L398">
            <v>125</v>
          </cell>
        </row>
        <row r="399">
          <cell r="D399">
            <v>45777</v>
          </cell>
          <cell r="H399">
            <v>6</v>
          </cell>
          <cell r="I399">
            <v>0</v>
          </cell>
          <cell r="L399">
            <v>50</v>
          </cell>
        </row>
        <row r="400">
          <cell r="D400">
            <v>45777</v>
          </cell>
          <cell r="H400">
            <v>6</v>
          </cell>
          <cell r="I400">
            <v>0</v>
          </cell>
          <cell r="L400">
            <v>50</v>
          </cell>
        </row>
        <row r="401">
          <cell r="D401">
            <v>45777</v>
          </cell>
          <cell r="H401">
            <v>6</v>
          </cell>
          <cell r="I401">
            <v>0</v>
          </cell>
          <cell r="L401">
            <v>50</v>
          </cell>
        </row>
        <row r="402">
          <cell r="D402">
            <v>45777</v>
          </cell>
          <cell r="H402" t="str">
            <v>5-5.5</v>
          </cell>
          <cell r="I402">
            <v>0</v>
          </cell>
          <cell r="L402">
            <v>225</v>
          </cell>
        </row>
        <row r="403">
          <cell r="D403">
            <v>45778</v>
          </cell>
          <cell r="H403" t="str">
            <v>5-5.5</v>
          </cell>
          <cell r="I403">
            <v>0</v>
          </cell>
          <cell r="L403">
            <v>200</v>
          </cell>
        </row>
        <row r="404">
          <cell r="D404">
            <v>45779</v>
          </cell>
          <cell r="H404" t="str">
            <v>5-5.5</v>
          </cell>
          <cell r="I404">
            <v>0</v>
          </cell>
          <cell r="L404">
            <v>50</v>
          </cell>
        </row>
        <row r="405">
          <cell r="D405">
            <v>45782</v>
          </cell>
          <cell r="H405" t="str">
            <v>24</v>
          </cell>
          <cell r="I405" t="str">
            <v>پیور</v>
          </cell>
          <cell r="L405">
            <v>204.95</v>
          </cell>
        </row>
        <row r="406">
          <cell r="D406">
            <v>45783</v>
          </cell>
          <cell r="H406" t="str">
            <v>24</v>
          </cell>
          <cell r="I406" t="str">
            <v>پیور</v>
          </cell>
          <cell r="L406">
            <v>267.2</v>
          </cell>
        </row>
        <row r="407">
          <cell r="D407">
            <v>45784</v>
          </cell>
          <cell r="H407" t="str">
            <v>24</v>
          </cell>
          <cell r="I407" t="str">
            <v>پیور</v>
          </cell>
          <cell r="L407">
            <v>92.87</v>
          </cell>
        </row>
        <row r="408">
          <cell r="D408">
            <v>45784</v>
          </cell>
          <cell r="H408">
            <v>9</v>
          </cell>
          <cell r="I408">
            <v>0</v>
          </cell>
          <cell r="L408">
            <v>125</v>
          </cell>
        </row>
        <row r="409">
          <cell r="D409">
            <v>45784</v>
          </cell>
          <cell r="H409" t="str">
            <v>5-5.5</v>
          </cell>
          <cell r="I409">
            <v>0</v>
          </cell>
          <cell r="L409">
            <v>200</v>
          </cell>
        </row>
        <row r="410">
          <cell r="D410">
            <v>45784</v>
          </cell>
          <cell r="H410">
            <v>5</v>
          </cell>
          <cell r="I410">
            <v>0</v>
          </cell>
          <cell r="L410">
            <v>100</v>
          </cell>
        </row>
        <row r="411">
          <cell r="D411">
            <v>45784</v>
          </cell>
          <cell r="H411">
            <v>9</v>
          </cell>
          <cell r="I411">
            <v>0</v>
          </cell>
          <cell r="L411">
            <v>27.1</v>
          </cell>
        </row>
        <row r="412">
          <cell r="D412">
            <v>45784</v>
          </cell>
          <cell r="H412">
            <v>5</v>
          </cell>
          <cell r="I412">
            <v>0</v>
          </cell>
          <cell r="L412">
            <v>150</v>
          </cell>
        </row>
        <row r="413">
          <cell r="D413">
            <v>45785</v>
          </cell>
          <cell r="H413">
            <v>5</v>
          </cell>
          <cell r="I413">
            <v>0</v>
          </cell>
          <cell r="L413">
            <v>75</v>
          </cell>
        </row>
        <row r="414">
          <cell r="D414">
            <v>45785</v>
          </cell>
          <cell r="H414">
            <v>8</v>
          </cell>
          <cell r="I414">
            <v>0</v>
          </cell>
          <cell r="L414">
            <v>200</v>
          </cell>
        </row>
        <row r="415">
          <cell r="D415">
            <v>45785</v>
          </cell>
          <cell r="H415">
            <v>5</v>
          </cell>
          <cell r="I415">
            <v>0</v>
          </cell>
          <cell r="L415">
            <v>150</v>
          </cell>
        </row>
        <row r="416">
          <cell r="D416">
            <v>45785</v>
          </cell>
          <cell r="H416">
            <v>5</v>
          </cell>
          <cell r="I416">
            <v>0</v>
          </cell>
          <cell r="L416">
            <v>100</v>
          </cell>
        </row>
        <row r="417">
          <cell r="D417">
            <v>45785</v>
          </cell>
          <cell r="H417">
            <v>5</v>
          </cell>
          <cell r="I417">
            <v>0</v>
          </cell>
          <cell r="L417">
            <v>125</v>
          </cell>
        </row>
        <row r="418">
          <cell r="D418">
            <v>45785</v>
          </cell>
          <cell r="H418">
            <v>5</v>
          </cell>
          <cell r="I418">
            <v>0</v>
          </cell>
          <cell r="L418">
            <v>50</v>
          </cell>
        </row>
        <row r="419">
          <cell r="D419">
            <v>45786</v>
          </cell>
          <cell r="H419">
            <v>5</v>
          </cell>
          <cell r="I419">
            <v>0</v>
          </cell>
          <cell r="L419">
            <v>50</v>
          </cell>
        </row>
        <row r="420">
          <cell r="D420">
            <v>45786</v>
          </cell>
          <cell r="H420">
            <v>5</v>
          </cell>
          <cell r="I420">
            <v>0</v>
          </cell>
          <cell r="L420">
            <v>100</v>
          </cell>
        </row>
        <row r="421">
          <cell r="D421">
            <v>45786</v>
          </cell>
          <cell r="H421">
            <v>5</v>
          </cell>
          <cell r="I421">
            <v>0</v>
          </cell>
          <cell r="L421">
            <v>25</v>
          </cell>
        </row>
        <row r="422">
          <cell r="D422">
            <v>45786</v>
          </cell>
          <cell r="H422">
            <v>5</v>
          </cell>
          <cell r="I422">
            <v>0</v>
          </cell>
          <cell r="L422">
            <v>150</v>
          </cell>
        </row>
        <row r="423">
          <cell r="D423">
            <v>45787</v>
          </cell>
          <cell r="H423">
            <v>5</v>
          </cell>
          <cell r="I423">
            <v>0</v>
          </cell>
          <cell r="L423">
            <v>75</v>
          </cell>
        </row>
        <row r="424">
          <cell r="D424">
            <v>45787</v>
          </cell>
          <cell r="H424">
            <v>5</v>
          </cell>
          <cell r="I424">
            <v>0</v>
          </cell>
          <cell r="L424">
            <v>75</v>
          </cell>
        </row>
        <row r="425">
          <cell r="D425">
            <v>45787</v>
          </cell>
          <cell r="H425">
            <v>5</v>
          </cell>
          <cell r="I425">
            <v>0</v>
          </cell>
          <cell r="L425">
            <v>200</v>
          </cell>
        </row>
        <row r="426">
          <cell r="D426">
            <v>45789</v>
          </cell>
          <cell r="H426">
            <v>5</v>
          </cell>
          <cell r="I426">
            <v>0</v>
          </cell>
          <cell r="L426">
            <v>50</v>
          </cell>
        </row>
        <row r="427">
          <cell r="D427">
            <v>45789</v>
          </cell>
          <cell r="H427">
            <v>5</v>
          </cell>
          <cell r="I427">
            <v>0</v>
          </cell>
          <cell r="L427">
            <v>25</v>
          </cell>
        </row>
        <row r="428">
          <cell r="D428">
            <v>45789</v>
          </cell>
          <cell r="H428">
            <v>5</v>
          </cell>
          <cell r="I428">
            <v>0</v>
          </cell>
          <cell r="L428">
            <v>100</v>
          </cell>
        </row>
        <row r="429">
          <cell r="D429">
            <v>45789</v>
          </cell>
          <cell r="H429" t="str">
            <v>5-5.5</v>
          </cell>
          <cell r="I429">
            <v>0</v>
          </cell>
          <cell r="L429">
            <v>125</v>
          </cell>
        </row>
        <row r="430">
          <cell r="D430">
            <v>45789</v>
          </cell>
          <cell r="H430">
            <v>5</v>
          </cell>
          <cell r="I430">
            <v>0</v>
          </cell>
          <cell r="L430">
            <v>125</v>
          </cell>
        </row>
        <row r="431">
          <cell r="D431">
            <v>45789</v>
          </cell>
          <cell r="H431">
            <v>5</v>
          </cell>
          <cell r="I431">
            <v>0</v>
          </cell>
          <cell r="L431">
            <v>50</v>
          </cell>
        </row>
        <row r="432">
          <cell r="D432">
            <v>45789</v>
          </cell>
          <cell r="H432">
            <v>5</v>
          </cell>
          <cell r="I432">
            <v>0</v>
          </cell>
          <cell r="L432">
            <v>25</v>
          </cell>
        </row>
        <row r="433">
          <cell r="D433">
            <v>45789</v>
          </cell>
          <cell r="H433">
            <v>5</v>
          </cell>
          <cell r="I433">
            <v>0</v>
          </cell>
          <cell r="L433">
            <v>100</v>
          </cell>
        </row>
        <row r="434">
          <cell r="D434">
            <v>45790</v>
          </cell>
          <cell r="H434">
            <v>5.5</v>
          </cell>
          <cell r="I434">
            <v>0</v>
          </cell>
          <cell r="L434">
            <v>75</v>
          </cell>
        </row>
        <row r="435">
          <cell r="D435">
            <v>45790</v>
          </cell>
          <cell r="H435">
            <v>5.5</v>
          </cell>
          <cell r="I435">
            <v>0</v>
          </cell>
          <cell r="L435">
            <v>68.900000000000006</v>
          </cell>
        </row>
        <row r="436">
          <cell r="D436">
            <v>45792</v>
          </cell>
          <cell r="H436" t="str">
            <v>5-5.5</v>
          </cell>
          <cell r="I436" t="str">
            <v>-</v>
          </cell>
          <cell r="L436">
            <v>75</v>
          </cell>
        </row>
        <row r="437">
          <cell r="D437">
            <v>45792</v>
          </cell>
          <cell r="H437">
            <v>4.5</v>
          </cell>
          <cell r="I437">
            <v>0</v>
          </cell>
          <cell r="L437">
            <v>103.4</v>
          </cell>
        </row>
        <row r="438">
          <cell r="D438">
            <v>45793</v>
          </cell>
          <cell r="H438">
            <v>5</v>
          </cell>
          <cell r="I438">
            <v>0</v>
          </cell>
          <cell r="L438">
            <v>155.85</v>
          </cell>
        </row>
        <row r="439">
          <cell r="D439">
            <v>45793</v>
          </cell>
          <cell r="H439">
            <v>5</v>
          </cell>
          <cell r="I439">
            <v>0</v>
          </cell>
          <cell r="L439">
            <v>150</v>
          </cell>
        </row>
        <row r="440">
          <cell r="D440">
            <v>45793</v>
          </cell>
          <cell r="H440" t="str">
            <v>5-5.5</v>
          </cell>
          <cell r="I440">
            <v>0</v>
          </cell>
          <cell r="L440">
            <v>100</v>
          </cell>
        </row>
        <row r="441">
          <cell r="D441">
            <v>45793</v>
          </cell>
          <cell r="H441" t="str">
            <v>5-5.5</v>
          </cell>
          <cell r="I441">
            <v>0</v>
          </cell>
          <cell r="L441">
            <v>61.5</v>
          </cell>
        </row>
        <row r="442">
          <cell r="D442">
            <v>45794</v>
          </cell>
          <cell r="H442">
            <v>5</v>
          </cell>
          <cell r="I442">
            <v>0</v>
          </cell>
          <cell r="L442">
            <v>100</v>
          </cell>
        </row>
        <row r="443">
          <cell r="D443">
            <v>45796</v>
          </cell>
          <cell r="H443">
            <v>5</v>
          </cell>
          <cell r="I443">
            <v>0</v>
          </cell>
          <cell r="L443">
            <v>100</v>
          </cell>
        </row>
        <row r="444">
          <cell r="D444">
            <v>45796</v>
          </cell>
          <cell r="H444">
            <v>5</v>
          </cell>
          <cell r="I444">
            <v>0</v>
          </cell>
          <cell r="L444">
            <v>90</v>
          </cell>
        </row>
        <row r="445">
          <cell r="D445">
            <v>45797</v>
          </cell>
          <cell r="H445">
            <v>5</v>
          </cell>
          <cell r="I445">
            <v>0</v>
          </cell>
          <cell r="L445">
            <v>104.4</v>
          </cell>
        </row>
        <row r="446">
          <cell r="D446">
            <v>45797</v>
          </cell>
          <cell r="H446">
            <v>5</v>
          </cell>
          <cell r="I446">
            <v>0</v>
          </cell>
          <cell r="L446">
            <v>50</v>
          </cell>
        </row>
        <row r="447">
          <cell r="D447">
            <v>45797</v>
          </cell>
          <cell r="H447">
            <v>5</v>
          </cell>
          <cell r="I447">
            <v>0</v>
          </cell>
          <cell r="L447">
            <v>25</v>
          </cell>
        </row>
        <row r="448">
          <cell r="D448">
            <v>45797</v>
          </cell>
          <cell r="H448">
            <v>5</v>
          </cell>
          <cell r="I448">
            <v>0</v>
          </cell>
          <cell r="L448">
            <v>50</v>
          </cell>
        </row>
        <row r="449">
          <cell r="D449">
            <v>45797</v>
          </cell>
          <cell r="H449">
            <v>5</v>
          </cell>
          <cell r="I449">
            <v>0</v>
          </cell>
          <cell r="L449">
            <v>106.35</v>
          </cell>
        </row>
        <row r="450">
          <cell r="D450">
            <v>45797</v>
          </cell>
          <cell r="H450">
            <v>5</v>
          </cell>
          <cell r="I450">
            <v>0</v>
          </cell>
          <cell r="L450">
            <v>50</v>
          </cell>
        </row>
        <row r="451">
          <cell r="D451">
            <v>45797</v>
          </cell>
          <cell r="H451">
            <v>5</v>
          </cell>
          <cell r="I451">
            <v>0</v>
          </cell>
          <cell r="L451">
            <v>75</v>
          </cell>
        </row>
        <row r="452">
          <cell r="D452">
            <v>45798</v>
          </cell>
          <cell r="H452">
            <v>5</v>
          </cell>
          <cell r="I452">
            <v>0</v>
          </cell>
          <cell r="L452">
            <v>25</v>
          </cell>
        </row>
        <row r="453">
          <cell r="D453">
            <v>45798</v>
          </cell>
          <cell r="H453">
            <v>5</v>
          </cell>
          <cell r="I453">
            <v>0</v>
          </cell>
          <cell r="L453">
            <v>100</v>
          </cell>
        </row>
        <row r="454">
          <cell r="D454">
            <v>45798</v>
          </cell>
          <cell r="H454">
            <v>5</v>
          </cell>
          <cell r="I454">
            <v>0</v>
          </cell>
          <cell r="L454">
            <v>50</v>
          </cell>
        </row>
        <row r="455">
          <cell r="D455">
            <v>45799</v>
          </cell>
          <cell r="H455">
            <v>5</v>
          </cell>
          <cell r="I455">
            <v>0</v>
          </cell>
          <cell r="L455">
            <v>50</v>
          </cell>
        </row>
        <row r="456">
          <cell r="D456">
            <v>45799</v>
          </cell>
          <cell r="H456">
            <v>5</v>
          </cell>
          <cell r="I456">
            <v>0</v>
          </cell>
          <cell r="L456">
            <v>150</v>
          </cell>
        </row>
        <row r="457">
          <cell r="D457">
            <v>45800</v>
          </cell>
          <cell r="H457">
            <v>5</v>
          </cell>
          <cell r="I457">
            <v>0</v>
          </cell>
          <cell r="L457">
            <v>178.55</v>
          </cell>
        </row>
        <row r="458">
          <cell r="D458">
            <v>45800</v>
          </cell>
          <cell r="H458">
            <v>5</v>
          </cell>
          <cell r="I458">
            <v>0</v>
          </cell>
          <cell r="L458">
            <v>178.15</v>
          </cell>
        </row>
        <row r="459">
          <cell r="D459">
            <v>45800</v>
          </cell>
          <cell r="H459" t="str">
            <v>8</v>
          </cell>
          <cell r="I459" t="str">
            <v>پیور</v>
          </cell>
          <cell r="L459">
            <v>102.1</v>
          </cell>
        </row>
        <row r="460">
          <cell r="D460">
            <v>45800</v>
          </cell>
          <cell r="H460" t="str">
            <v>5-5.5</v>
          </cell>
          <cell r="I460" t="str">
            <v>.1:1</v>
          </cell>
          <cell r="L460">
            <v>50</v>
          </cell>
        </row>
        <row r="461">
          <cell r="D461">
            <v>45800</v>
          </cell>
          <cell r="H461" t="str">
            <v>8</v>
          </cell>
          <cell r="I461" t="str">
            <v>پیور</v>
          </cell>
          <cell r="L461">
            <v>76.400000000000006</v>
          </cell>
        </row>
        <row r="462">
          <cell r="D462">
            <v>45800</v>
          </cell>
          <cell r="H462" t="str">
            <v>5-5.5</v>
          </cell>
          <cell r="I462" t="str">
            <v>.1:1</v>
          </cell>
          <cell r="L462">
            <v>100</v>
          </cell>
        </row>
        <row r="463">
          <cell r="D463">
            <v>45801</v>
          </cell>
          <cell r="H463" t="str">
            <v>5-5.5</v>
          </cell>
          <cell r="I463" t="str">
            <v>.1:1</v>
          </cell>
          <cell r="L463">
            <v>86.5</v>
          </cell>
        </row>
        <row r="464">
          <cell r="D464">
            <v>45801</v>
          </cell>
          <cell r="H464" t="str">
            <v>5-5.5</v>
          </cell>
          <cell r="I464" t="str">
            <v>.1:1</v>
          </cell>
          <cell r="L464">
            <v>150</v>
          </cell>
        </row>
        <row r="465">
          <cell r="D465">
            <v>45801</v>
          </cell>
          <cell r="H465" t="str">
            <v>5-5.5</v>
          </cell>
          <cell r="I465">
            <v>0</v>
          </cell>
          <cell r="L465">
            <v>100</v>
          </cell>
        </row>
        <row r="466">
          <cell r="D466">
            <v>45801</v>
          </cell>
          <cell r="H466" t="str">
            <v>5-5.5</v>
          </cell>
          <cell r="I466">
            <v>0</v>
          </cell>
          <cell r="L466">
            <v>146.6</v>
          </cell>
        </row>
        <row r="467">
          <cell r="D467">
            <v>45801</v>
          </cell>
          <cell r="H467">
            <v>4.5</v>
          </cell>
          <cell r="I467">
            <v>0</v>
          </cell>
          <cell r="L467">
            <v>25</v>
          </cell>
        </row>
        <row r="468">
          <cell r="D468">
            <v>45801</v>
          </cell>
          <cell r="H468" t="str">
            <v>8</v>
          </cell>
          <cell r="I468" t="str">
            <v>پیور</v>
          </cell>
          <cell r="L468">
            <v>127.4</v>
          </cell>
        </row>
        <row r="469">
          <cell r="D469">
            <v>45801</v>
          </cell>
          <cell r="H469" t="str">
            <v>5-5.5</v>
          </cell>
          <cell r="I469" t="str">
            <v>.1:1</v>
          </cell>
          <cell r="L469">
            <v>53.8</v>
          </cell>
        </row>
        <row r="470">
          <cell r="D470">
            <v>45801</v>
          </cell>
          <cell r="H470" t="str">
            <v>8</v>
          </cell>
          <cell r="I470" t="str">
            <v>پیور</v>
          </cell>
          <cell r="L470">
            <v>50.6</v>
          </cell>
        </row>
        <row r="471">
          <cell r="D471">
            <v>45801</v>
          </cell>
          <cell r="H471" t="str">
            <v>5-5.5</v>
          </cell>
          <cell r="I471" t="str">
            <v>-</v>
          </cell>
          <cell r="L471">
            <v>125</v>
          </cell>
        </row>
        <row r="472">
          <cell r="D472">
            <v>45801</v>
          </cell>
          <cell r="H472">
            <v>4.5</v>
          </cell>
          <cell r="I472">
            <v>0</v>
          </cell>
          <cell r="L472">
            <v>75</v>
          </cell>
        </row>
        <row r="473">
          <cell r="D473">
            <v>45802</v>
          </cell>
          <cell r="H473" t="str">
            <v>5-5.5</v>
          </cell>
          <cell r="I473" t="str">
            <v>-</v>
          </cell>
          <cell r="L473">
            <v>123</v>
          </cell>
        </row>
        <row r="474">
          <cell r="D474">
            <v>45802</v>
          </cell>
          <cell r="H474" t="str">
            <v>5-5.5</v>
          </cell>
          <cell r="I474" t="str">
            <v>-</v>
          </cell>
          <cell r="L474">
            <v>50</v>
          </cell>
        </row>
        <row r="475">
          <cell r="D475">
            <v>45802</v>
          </cell>
          <cell r="H475" t="str">
            <v>8</v>
          </cell>
          <cell r="I475" t="str">
            <v>پیور</v>
          </cell>
          <cell r="L475">
            <v>72</v>
          </cell>
        </row>
        <row r="476">
          <cell r="D476">
            <v>45803</v>
          </cell>
          <cell r="H476" t="str">
            <v>7.5-8</v>
          </cell>
          <cell r="I476" t="str">
            <v>-</v>
          </cell>
          <cell r="L476">
            <v>75</v>
          </cell>
        </row>
        <row r="477">
          <cell r="D477">
            <v>45803</v>
          </cell>
          <cell r="H477" t="str">
            <v>7.5-8</v>
          </cell>
          <cell r="I477" t="str">
            <v>-</v>
          </cell>
          <cell r="L477">
            <v>100</v>
          </cell>
        </row>
        <row r="478">
          <cell r="D478">
            <v>45804</v>
          </cell>
          <cell r="H478">
            <v>5</v>
          </cell>
          <cell r="I478">
            <v>0</v>
          </cell>
          <cell r="L478">
            <v>125</v>
          </cell>
        </row>
        <row r="479">
          <cell r="D479">
            <v>45804</v>
          </cell>
          <cell r="H479" t="str">
            <v>7.5-8</v>
          </cell>
          <cell r="I479" t="str">
            <v>-</v>
          </cell>
          <cell r="L479">
            <v>34.200000000000003</v>
          </cell>
        </row>
        <row r="480">
          <cell r="D480">
            <v>45804</v>
          </cell>
          <cell r="H480">
            <v>5</v>
          </cell>
          <cell r="I480">
            <v>0</v>
          </cell>
          <cell r="L480">
            <v>150</v>
          </cell>
        </row>
        <row r="481">
          <cell r="D481">
            <v>45804</v>
          </cell>
          <cell r="H481">
            <v>5</v>
          </cell>
          <cell r="I481">
            <v>0</v>
          </cell>
          <cell r="L481">
            <v>187</v>
          </cell>
        </row>
        <row r="482">
          <cell r="D482">
            <v>45805</v>
          </cell>
          <cell r="H482">
            <v>5</v>
          </cell>
          <cell r="I482">
            <v>0</v>
          </cell>
          <cell r="L482">
            <v>100</v>
          </cell>
        </row>
        <row r="483">
          <cell r="D483">
            <v>45805</v>
          </cell>
          <cell r="H483">
            <v>5</v>
          </cell>
          <cell r="I483">
            <v>0</v>
          </cell>
          <cell r="L483">
            <v>75</v>
          </cell>
        </row>
        <row r="484">
          <cell r="D484">
            <v>45805</v>
          </cell>
          <cell r="H484">
            <v>5</v>
          </cell>
          <cell r="I484">
            <v>0</v>
          </cell>
          <cell r="L484">
            <v>25</v>
          </cell>
        </row>
        <row r="485">
          <cell r="D485">
            <v>45805</v>
          </cell>
          <cell r="H485" t="str">
            <v>5-5.5</v>
          </cell>
          <cell r="I485">
            <v>0</v>
          </cell>
          <cell r="L485">
            <v>150</v>
          </cell>
        </row>
        <row r="486">
          <cell r="D486">
            <v>45805</v>
          </cell>
          <cell r="H486">
            <v>5</v>
          </cell>
          <cell r="I486">
            <v>0</v>
          </cell>
          <cell r="L486">
            <v>50</v>
          </cell>
        </row>
        <row r="487">
          <cell r="D487">
            <v>45805</v>
          </cell>
          <cell r="H487">
            <v>5</v>
          </cell>
          <cell r="I487">
            <v>0</v>
          </cell>
          <cell r="L487">
            <v>61</v>
          </cell>
        </row>
        <row r="488">
          <cell r="D488">
            <v>45805</v>
          </cell>
          <cell r="H488">
            <v>5</v>
          </cell>
          <cell r="I488">
            <v>0</v>
          </cell>
          <cell r="L488">
            <v>25</v>
          </cell>
        </row>
        <row r="489">
          <cell r="D489">
            <v>45805</v>
          </cell>
          <cell r="H489">
            <v>5</v>
          </cell>
          <cell r="I489">
            <v>0</v>
          </cell>
          <cell r="L489">
            <v>54</v>
          </cell>
        </row>
        <row r="490">
          <cell r="D490">
            <v>45806</v>
          </cell>
          <cell r="H490">
            <v>5</v>
          </cell>
          <cell r="I490">
            <v>0</v>
          </cell>
          <cell r="L490">
            <v>100</v>
          </cell>
        </row>
        <row r="491">
          <cell r="D491">
            <v>45806</v>
          </cell>
          <cell r="H491">
            <v>5</v>
          </cell>
          <cell r="I491">
            <v>0</v>
          </cell>
          <cell r="L491">
            <v>100</v>
          </cell>
        </row>
        <row r="492">
          <cell r="D492">
            <v>45806</v>
          </cell>
          <cell r="H492">
            <v>5</v>
          </cell>
          <cell r="I492">
            <v>0</v>
          </cell>
          <cell r="L492">
            <v>200</v>
          </cell>
        </row>
        <row r="493">
          <cell r="D493">
            <v>45807</v>
          </cell>
          <cell r="H493">
            <v>5</v>
          </cell>
          <cell r="I493">
            <v>0</v>
          </cell>
          <cell r="L493">
            <v>66.8</v>
          </cell>
        </row>
        <row r="494">
          <cell r="D494">
            <v>45807</v>
          </cell>
          <cell r="H494">
            <v>5</v>
          </cell>
          <cell r="I494">
            <v>0</v>
          </cell>
          <cell r="L494">
            <v>50</v>
          </cell>
        </row>
        <row r="495">
          <cell r="D495">
            <v>45807</v>
          </cell>
          <cell r="H495">
            <v>5</v>
          </cell>
          <cell r="I495">
            <v>0</v>
          </cell>
          <cell r="L495">
            <v>50</v>
          </cell>
        </row>
        <row r="496">
          <cell r="D496">
            <v>45807</v>
          </cell>
          <cell r="H496">
            <v>5</v>
          </cell>
          <cell r="I496">
            <v>0</v>
          </cell>
          <cell r="L496">
            <v>75</v>
          </cell>
        </row>
        <row r="497">
          <cell r="D497">
            <v>45807</v>
          </cell>
          <cell r="H497">
            <v>5</v>
          </cell>
          <cell r="I497">
            <v>0</v>
          </cell>
          <cell r="L497">
            <v>200</v>
          </cell>
        </row>
        <row r="498">
          <cell r="D498">
            <v>45807</v>
          </cell>
          <cell r="H498">
            <v>5</v>
          </cell>
          <cell r="I498">
            <v>0</v>
          </cell>
          <cell r="L498">
            <v>50</v>
          </cell>
        </row>
        <row r="499">
          <cell r="D499">
            <v>45807</v>
          </cell>
          <cell r="H499">
            <v>5</v>
          </cell>
          <cell r="I499">
            <v>0</v>
          </cell>
          <cell r="L499">
            <v>125</v>
          </cell>
        </row>
        <row r="500">
          <cell r="D500">
            <v>45808</v>
          </cell>
          <cell r="H500">
            <v>5</v>
          </cell>
          <cell r="I500">
            <v>0</v>
          </cell>
          <cell r="L500">
            <v>192.7</v>
          </cell>
        </row>
        <row r="501">
          <cell r="D501">
            <v>45808</v>
          </cell>
          <cell r="H501" t="str">
            <v>5-5.5</v>
          </cell>
          <cell r="I501" t="str">
            <v>-</v>
          </cell>
          <cell r="L501">
            <v>50</v>
          </cell>
        </row>
        <row r="502">
          <cell r="D502">
            <v>45808</v>
          </cell>
          <cell r="H502">
            <v>5</v>
          </cell>
          <cell r="I502">
            <v>0</v>
          </cell>
          <cell r="L502">
            <v>75</v>
          </cell>
        </row>
        <row r="503">
          <cell r="D503">
            <v>45808</v>
          </cell>
          <cell r="H503" t="str">
            <v>5-5.5</v>
          </cell>
          <cell r="I503" t="str">
            <v>-</v>
          </cell>
          <cell r="L503">
            <v>150</v>
          </cell>
        </row>
        <row r="504">
          <cell r="D504">
            <v>45808</v>
          </cell>
          <cell r="H504" t="str">
            <v>5-5.5</v>
          </cell>
          <cell r="I504" t="str">
            <v>-</v>
          </cell>
          <cell r="L504">
            <v>42.3</v>
          </cell>
        </row>
        <row r="505">
          <cell r="D505">
            <v>45808</v>
          </cell>
          <cell r="H505" t="str">
            <v>5-5.5</v>
          </cell>
          <cell r="I505" t="str">
            <v>-</v>
          </cell>
          <cell r="L505">
            <v>150</v>
          </cell>
        </row>
        <row r="506">
          <cell r="D506">
            <v>45808</v>
          </cell>
          <cell r="H506">
            <v>5</v>
          </cell>
          <cell r="I506">
            <v>0</v>
          </cell>
          <cell r="L506">
            <v>150</v>
          </cell>
        </row>
        <row r="507">
          <cell r="D507">
            <v>45809</v>
          </cell>
          <cell r="H507" t="str">
            <v>5-5.5</v>
          </cell>
          <cell r="I507" t="str">
            <v>-</v>
          </cell>
          <cell r="L507">
            <v>200</v>
          </cell>
        </row>
        <row r="508">
          <cell r="D508">
            <v>45809</v>
          </cell>
          <cell r="H508">
            <v>5</v>
          </cell>
          <cell r="I508">
            <v>0</v>
          </cell>
          <cell r="L508">
            <v>93.3</v>
          </cell>
        </row>
        <row r="509">
          <cell r="D509">
            <v>45809</v>
          </cell>
          <cell r="H509">
            <v>5</v>
          </cell>
          <cell r="I509">
            <v>0</v>
          </cell>
          <cell r="L509">
            <v>50</v>
          </cell>
        </row>
        <row r="510">
          <cell r="D510">
            <v>45809</v>
          </cell>
          <cell r="H510" t="str">
            <v>5-5.5</v>
          </cell>
          <cell r="I510" t="str">
            <v>-</v>
          </cell>
          <cell r="L510">
            <v>100</v>
          </cell>
        </row>
        <row r="511">
          <cell r="D511">
            <v>45809</v>
          </cell>
          <cell r="H511" t="str">
            <v>5-5.5</v>
          </cell>
          <cell r="I511" t="str">
            <v>-</v>
          </cell>
          <cell r="L511">
            <v>122.2</v>
          </cell>
        </row>
        <row r="512">
          <cell r="D512">
            <v>45809</v>
          </cell>
          <cell r="H512">
            <v>5</v>
          </cell>
          <cell r="I512">
            <v>0</v>
          </cell>
          <cell r="L512">
            <v>50</v>
          </cell>
        </row>
        <row r="513">
          <cell r="D513">
            <v>45809</v>
          </cell>
          <cell r="H513" t="str">
            <v>5-5.5</v>
          </cell>
          <cell r="I513" t="str">
            <v>-</v>
          </cell>
          <cell r="L513">
            <v>147.19999999999999</v>
          </cell>
        </row>
        <row r="514">
          <cell r="D514">
            <v>45810</v>
          </cell>
          <cell r="H514" t="str">
            <v>5-5.5</v>
          </cell>
          <cell r="I514" t="str">
            <v>-</v>
          </cell>
          <cell r="L514">
            <v>125</v>
          </cell>
        </row>
        <row r="515">
          <cell r="D515">
            <v>45810</v>
          </cell>
          <cell r="H515">
            <v>5</v>
          </cell>
          <cell r="I515">
            <v>0</v>
          </cell>
          <cell r="L515">
            <v>100</v>
          </cell>
        </row>
        <row r="516">
          <cell r="D516">
            <v>45810</v>
          </cell>
          <cell r="H516">
            <v>5</v>
          </cell>
          <cell r="I516">
            <v>0</v>
          </cell>
          <cell r="L516">
            <v>75</v>
          </cell>
        </row>
        <row r="517">
          <cell r="D517">
            <v>45810</v>
          </cell>
          <cell r="H517" t="str">
            <v>8-8.5</v>
          </cell>
          <cell r="I517" t="str">
            <v>.1:1</v>
          </cell>
          <cell r="L517">
            <v>45</v>
          </cell>
        </row>
        <row r="518">
          <cell r="D518">
            <v>45810</v>
          </cell>
          <cell r="H518" t="str">
            <v>5-5.5</v>
          </cell>
          <cell r="I518" t="str">
            <v>-</v>
          </cell>
          <cell r="L518">
            <v>62.1</v>
          </cell>
        </row>
        <row r="519">
          <cell r="D519">
            <v>45810</v>
          </cell>
          <cell r="H519" t="str">
            <v>5-5.5</v>
          </cell>
          <cell r="I519" t="str">
            <v>-</v>
          </cell>
          <cell r="L519">
            <v>87.6</v>
          </cell>
        </row>
        <row r="520">
          <cell r="D520">
            <v>45810</v>
          </cell>
          <cell r="H520">
            <v>5</v>
          </cell>
          <cell r="I520">
            <v>0</v>
          </cell>
          <cell r="L520">
            <v>75</v>
          </cell>
        </row>
        <row r="521">
          <cell r="D521">
            <v>45810</v>
          </cell>
          <cell r="H521">
            <v>5</v>
          </cell>
          <cell r="I521">
            <v>0</v>
          </cell>
          <cell r="L521">
            <v>125</v>
          </cell>
        </row>
        <row r="522">
          <cell r="D522">
            <v>45811</v>
          </cell>
          <cell r="H522" t="str">
            <v>-</v>
          </cell>
          <cell r="I522" t="str">
            <v>-</v>
          </cell>
          <cell r="L522">
            <v>219.5</v>
          </cell>
        </row>
        <row r="523">
          <cell r="D523">
            <v>45811</v>
          </cell>
          <cell r="H523" t="str">
            <v>5-5.5</v>
          </cell>
          <cell r="I523" t="str">
            <v>-</v>
          </cell>
          <cell r="L523">
            <v>25</v>
          </cell>
        </row>
        <row r="524">
          <cell r="D524">
            <v>45811</v>
          </cell>
          <cell r="H524">
            <v>5</v>
          </cell>
          <cell r="I524">
            <v>0</v>
          </cell>
          <cell r="L524">
            <v>50</v>
          </cell>
        </row>
        <row r="525">
          <cell r="D525">
            <v>45811</v>
          </cell>
          <cell r="H525" t="str">
            <v>6-6.5</v>
          </cell>
          <cell r="I525">
            <v>0</v>
          </cell>
          <cell r="L525">
            <v>102</v>
          </cell>
        </row>
        <row r="526">
          <cell r="D526">
            <v>45811</v>
          </cell>
          <cell r="H526" t="str">
            <v>5-5.5</v>
          </cell>
          <cell r="I526" t="str">
            <v>-</v>
          </cell>
          <cell r="L526">
            <v>200</v>
          </cell>
        </row>
        <row r="527">
          <cell r="D527">
            <v>45812</v>
          </cell>
          <cell r="H527" t="str">
            <v>8</v>
          </cell>
          <cell r="I527" t="str">
            <v>-</v>
          </cell>
          <cell r="L527">
            <v>100</v>
          </cell>
        </row>
        <row r="528">
          <cell r="D528">
            <v>45812</v>
          </cell>
          <cell r="H528" t="str">
            <v>8</v>
          </cell>
          <cell r="I528" t="str">
            <v>-</v>
          </cell>
          <cell r="L528">
            <v>90.6</v>
          </cell>
        </row>
        <row r="529">
          <cell r="D529">
            <v>45812</v>
          </cell>
          <cell r="H529" t="str">
            <v>5-5.5</v>
          </cell>
          <cell r="I529" t="str">
            <v>-</v>
          </cell>
          <cell r="L529">
            <v>100</v>
          </cell>
        </row>
        <row r="530">
          <cell r="D530">
            <v>45812</v>
          </cell>
          <cell r="H530" t="str">
            <v>5-5.5</v>
          </cell>
          <cell r="I530" t="str">
            <v>-</v>
          </cell>
          <cell r="L530">
            <v>100</v>
          </cell>
        </row>
        <row r="531">
          <cell r="D531">
            <v>45812</v>
          </cell>
          <cell r="H531" t="str">
            <v>5-5.5</v>
          </cell>
          <cell r="I531" t="str">
            <v>-</v>
          </cell>
          <cell r="L531">
            <v>106.9</v>
          </cell>
        </row>
        <row r="532">
          <cell r="D532">
            <v>45812</v>
          </cell>
          <cell r="H532" t="str">
            <v>8</v>
          </cell>
          <cell r="I532" t="str">
            <v>-</v>
          </cell>
          <cell r="L532">
            <v>90.7</v>
          </cell>
        </row>
        <row r="533">
          <cell r="D533">
            <v>45812</v>
          </cell>
          <cell r="H533" t="str">
            <v>8</v>
          </cell>
          <cell r="I533" t="str">
            <v>پیور</v>
          </cell>
          <cell r="L533">
            <v>50</v>
          </cell>
        </row>
        <row r="534">
          <cell r="D534">
            <v>45812</v>
          </cell>
          <cell r="H534" t="str">
            <v>5-5.5</v>
          </cell>
          <cell r="I534" t="str">
            <v>-</v>
          </cell>
          <cell r="L534">
            <v>174.55</v>
          </cell>
        </row>
        <row r="535">
          <cell r="D535">
            <v>45812</v>
          </cell>
          <cell r="H535" t="str">
            <v>5-5.5</v>
          </cell>
          <cell r="I535" t="str">
            <v>-</v>
          </cell>
          <cell r="L535">
            <v>100</v>
          </cell>
        </row>
        <row r="536">
          <cell r="D536">
            <v>45813</v>
          </cell>
          <cell r="H536" t="str">
            <v>5-5.5</v>
          </cell>
          <cell r="I536" t="str">
            <v>-</v>
          </cell>
          <cell r="L536">
            <v>175</v>
          </cell>
        </row>
        <row r="537">
          <cell r="D537">
            <v>45813</v>
          </cell>
          <cell r="H537" t="str">
            <v>5-5.5</v>
          </cell>
          <cell r="I537" t="str">
            <v>-</v>
          </cell>
          <cell r="L537">
            <v>250</v>
          </cell>
        </row>
        <row r="538">
          <cell r="D538">
            <v>45813</v>
          </cell>
          <cell r="H538" t="str">
            <v>5-5.5</v>
          </cell>
          <cell r="I538" t="str">
            <v>-</v>
          </cell>
          <cell r="L538">
            <v>25</v>
          </cell>
        </row>
        <row r="539">
          <cell r="D539">
            <v>45813</v>
          </cell>
          <cell r="H539" t="str">
            <v>5-5.5</v>
          </cell>
          <cell r="I539" t="str">
            <v>-</v>
          </cell>
          <cell r="L539">
            <v>175</v>
          </cell>
        </row>
        <row r="540">
          <cell r="D540">
            <v>45813</v>
          </cell>
          <cell r="H540" t="str">
            <v>5-5.5</v>
          </cell>
          <cell r="I540" t="str">
            <v>-</v>
          </cell>
          <cell r="L540">
            <v>42.8</v>
          </cell>
        </row>
        <row r="541">
          <cell r="D541">
            <v>45813</v>
          </cell>
          <cell r="H541" t="str">
            <v>5-5.5</v>
          </cell>
          <cell r="I541" t="str">
            <v>-</v>
          </cell>
          <cell r="L541">
            <v>73.8</v>
          </cell>
        </row>
        <row r="542">
          <cell r="D542">
            <v>45813</v>
          </cell>
          <cell r="H542" t="str">
            <v>5-5.5</v>
          </cell>
          <cell r="I542" t="str">
            <v>-</v>
          </cell>
          <cell r="L542">
            <v>100</v>
          </cell>
        </row>
        <row r="543">
          <cell r="D543">
            <v>45813</v>
          </cell>
          <cell r="H543" t="str">
            <v>5-5.5</v>
          </cell>
          <cell r="I543" t="str">
            <v>-</v>
          </cell>
          <cell r="L543">
            <v>50</v>
          </cell>
        </row>
        <row r="544">
          <cell r="D544">
            <v>45820</v>
          </cell>
          <cell r="H544" t="str">
            <v>5-5.5</v>
          </cell>
          <cell r="I544" t="str">
            <v>-</v>
          </cell>
          <cell r="L544">
            <v>125</v>
          </cell>
        </row>
        <row r="545">
          <cell r="D545">
            <v>45820</v>
          </cell>
          <cell r="H545" t="str">
            <v>5-5.5</v>
          </cell>
          <cell r="I545" t="str">
            <v>-</v>
          </cell>
          <cell r="L545">
            <v>125</v>
          </cell>
        </row>
        <row r="546">
          <cell r="D546">
            <v>45820</v>
          </cell>
          <cell r="H546" t="str">
            <v>5-5.5</v>
          </cell>
          <cell r="I546" t="str">
            <v>-</v>
          </cell>
          <cell r="L546">
            <v>25</v>
          </cell>
        </row>
        <row r="547">
          <cell r="D547">
            <v>45820</v>
          </cell>
          <cell r="H547" t="str">
            <v>-</v>
          </cell>
          <cell r="I547" t="str">
            <v>-</v>
          </cell>
          <cell r="L547">
            <v>100</v>
          </cell>
        </row>
        <row r="548">
          <cell r="D548">
            <v>45820</v>
          </cell>
          <cell r="H548" t="str">
            <v>5-5.5</v>
          </cell>
          <cell r="I548" t="str">
            <v>-</v>
          </cell>
          <cell r="L548">
            <v>79.45</v>
          </cell>
        </row>
        <row r="549">
          <cell r="D549">
            <v>45820</v>
          </cell>
          <cell r="H549">
            <v>6</v>
          </cell>
          <cell r="I549">
            <v>0</v>
          </cell>
          <cell r="L549">
            <v>103.2</v>
          </cell>
        </row>
        <row r="550">
          <cell r="D550">
            <v>45820</v>
          </cell>
          <cell r="H550">
            <v>5</v>
          </cell>
          <cell r="I550">
            <v>0</v>
          </cell>
          <cell r="L550">
            <v>50</v>
          </cell>
        </row>
        <row r="551">
          <cell r="D551">
            <v>45820</v>
          </cell>
          <cell r="H551" t="str">
            <v>5-5.5</v>
          </cell>
          <cell r="I551" t="str">
            <v>-</v>
          </cell>
          <cell r="L551">
            <v>89.3</v>
          </cell>
        </row>
        <row r="552">
          <cell r="D552">
            <v>45821</v>
          </cell>
          <cell r="H552" t="str">
            <v>-</v>
          </cell>
          <cell r="I552" t="str">
            <v>-</v>
          </cell>
          <cell r="L552">
            <v>13.2</v>
          </cell>
        </row>
        <row r="553">
          <cell r="D553">
            <v>45821</v>
          </cell>
          <cell r="H553">
            <v>5</v>
          </cell>
          <cell r="I553">
            <v>0</v>
          </cell>
          <cell r="L553">
            <v>75</v>
          </cell>
        </row>
        <row r="554">
          <cell r="D554">
            <v>45821</v>
          </cell>
          <cell r="H554">
            <v>5</v>
          </cell>
          <cell r="I554">
            <v>0</v>
          </cell>
          <cell r="L554">
            <v>125</v>
          </cell>
        </row>
        <row r="555">
          <cell r="D555">
            <v>45821</v>
          </cell>
          <cell r="H555">
            <v>5</v>
          </cell>
          <cell r="I555">
            <v>0</v>
          </cell>
          <cell r="L555">
            <v>25</v>
          </cell>
        </row>
        <row r="556">
          <cell r="D556">
            <v>45821</v>
          </cell>
          <cell r="H556">
            <v>5</v>
          </cell>
          <cell r="I556">
            <v>0</v>
          </cell>
          <cell r="L556">
            <v>25</v>
          </cell>
        </row>
        <row r="557">
          <cell r="D557">
            <v>45821</v>
          </cell>
          <cell r="H557" t="str">
            <v>5-5.5</v>
          </cell>
          <cell r="I557" t="str">
            <v>-</v>
          </cell>
          <cell r="L557">
            <v>128.69999999999999</v>
          </cell>
        </row>
        <row r="558">
          <cell r="D558">
            <v>45821</v>
          </cell>
          <cell r="H558">
            <v>5</v>
          </cell>
          <cell r="I558">
            <v>0</v>
          </cell>
          <cell r="L558">
            <v>75</v>
          </cell>
        </row>
        <row r="559">
          <cell r="D559">
            <v>45821</v>
          </cell>
          <cell r="H559" t="str">
            <v>5-5.5</v>
          </cell>
          <cell r="I559" t="str">
            <v>-</v>
          </cell>
          <cell r="L559">
            <v>75</v>
          </cell>
        </row>
        <row r="560">
          <cell r="D560">
            <v>45827</v>
          </cell>
          <cell r="H560" t="str">
            <v>6.5-7</v>
          </cell>
          <cell r="I560">
            <v>0</v>
          </cell>
          <cell r="L560">
            <v>113</v>
          </cell>
        </row>
        <row r="561">
          <cell r="D561">
            <v>45827</v>
          </cell>
          <cell r="H561" t="str">
            <v>6.5-7</v>
          </cell>
          <cell r="I561">
            <v>0</v>
          </cell>
          <cell r="L561">
            <v>150</v>
          </cell>
        </row>
        <row r="562">
          <cell r="D562">
            <v>45828</v>
          </cell>
          <cell r="H562" t="str">
            <v>6.5-7</v>
          </cell>
          <cell r="I562">
            <v>0</v>
          </cell>
          <cell r="L562">
            <v>72</v>
          </cell>
        </row>
        <row r="563">
          <cell r="D563">
            <v>45828</v>
          </cell>
          <cell r="H563" t="str">
            <v>6.5-7</v>
          </cell>
          <cell r="I563">
            <v>0</v>
          </cell>
          <cell r="L563">
            <v>100</v>
          </cell>
        </row>
        <row r="564">
          <cell r="D564">
            <v>45828</v>
          </cell>
          <cell r="H564" t="str">
            <v>6.5-7</v>
          </cell>
          <cell r="I564">
            <v>0</v>
          </cell>
          <cell r="L564">
            <v>25</v>
          </cell>
        </row>
        <row r="565">
          <cell r="D565">
            <v>45828</v>
          </cell>
          <cell r="H565" t="str">
            <v>6.5-7</v>
          </cell>
          <cell r="I565">
            <v>0</v>
          </cell>
          <cell r="L565">
            <v>163.69999999999999</v>
          </cell>
        </row>
        <row r="566">
          <cell r="D566">
            <v>45829</v>
          </cell>
          <cell r="H566">
            <v>8</v>
          </cell>
          <cell r="I566">
            <v>0</v>
          </cell>
          <cell r="L566">
            <v>50</v>
          </cell>
        </row>
        <row r="567">
          <cell r="D567">
            <v>45829</v>
          </cell>
          <cell r="H567">
            <v>8</v>
          </cell>
          <cell r="I567">
            <v>0</v>
          </cell>
          <cell r="L567">
            <v>50</v>
          </cell>
        </row>
        <row r="568">
          <cell r="D568">
            <v>45829</v>
          </cell>
          <cell r="H568">
            <v>8</v>
          </cell>
          <cell r="I568">
            <v>0</v>
          </cell>
          <cell r="L568">
            <v>50</v>
          </cell>
        </row>
        <row r="569">
          <cell r="D569">
            <v>45829</v>
          </cell>
          <cell r="H569">
            <v>8</v>
          </cell>
          <cell r="I569">
            <v>0</v>
          </cell>
          <cell r="L569">
            <v>54.5</v>
          </cell>
        </row>
        <row r="570">
          <cell r="D570">
            <v>45829</v>
          </cell>
          <cell r="H570">
            <v>5</v>
          </cell>
          <cell r="I570">
            <v>0</v>
          </cell>
          <cell r="L570">
            <v>100</v>
          </cell>
        </row>
        <row r="571">
          <cell r="D571">
            <v>45830</v>
          </cell>
          <cell r="H571" t="str">
            <v>5.5-6</v>
          </cell>
          <cell r="I571">
            <v>0</v>
          </cell>
          <cell r="L571">
            <v>300</v>
          </cell>
        </row>
        <row r="572">
          <cell r="D572">
            <v>45831</v>
          </cell>
          <cell r="H572">
            <v>5</v>
          </cell>
          <cell r="I572">
            <v>0</v>
          </cell>
          <cell r="L572">
            <v>123.6</v>
          </cell>
        </row>
        <row r="573">
          <cell r="D573">
            <v>45831</v>
          </cell>
          <cell r="H573">
            <v>5</v>
          </cell>
          <cell r="I573">
            <v>0</v>
          </cell>
          <cell r="L573">
            <v>125</v>
          </cell>
        </row>
        <row r="574">
          <cell r="D574">
            <v>45833</v>
          </cell>
          <cell r="H574">
            <v>10</v>
          </cell>
          <cell r="I574">
            <v>0</v>
          </cell>
          <cell r="L574">
            <v>50</v>
          </cell>
        </row>
        <row r="575">
          <cell r="D575">
            <v>45833</v>
          </cell>
          <cell r="H575">
            <v>14</v>
          </cell>
          <cell r="I575">
            <v>0</v>
          </cell>
          <cell r="L575">
            <v>90</v>
          </cell>
        </row>
        <row r="576">
          <cell r="D576">
            <v>45833</v>
          </cell>
          <cell r="H576">
            <v>10</v>
          </cell>
          <cell r="I576">
            <v>0</v>
          </cell>
          <cell r="L576">
            <v>25</v>
          </cell>
        </row>
        <row r="577">
          <cell r="D577">
            <v>45833</v>
          </cell>
          <cell r="H577">
            <v>14</v>
          </cell>
          <cell r="I577">
            <v>0</v>
          </cell>
          <cell r="L577">
            <v>90</v>
          </cell>
        </row>
        <row r="578">
          <cell r="D578">
            <v>45834</v>
          </cell>
          <cell r="H578">
            <v>5</v>
          </cell>
          <cell r="I578">
            <v>0</v>
          </cell>
          <cell r="L578">
            <v>100</v>
          </cell>
        </row>
        <row r="579">
          <cell r="D579">
            <v>45834</v>
          </cell>
          <cell r="H579">
            <v>15</v>
          </cell>
          <cell r="I579">
            <v>0</v>
          </cell>
          <cell r="L579">
            <v>146.80000000000001</v>
          </cell>
        </row>
        <row r="580">
          <cell r="D580">
            <v>45834</v>
          </cell>
          <cell r="H580">
            <v>15</v>
          </cell>
          <cell r="I580">
            <v>0</v>
          </cell>
          <cell r="L580">
            <v>30</v>
          </cell>
        </row>
        <row r="581">
          <cell r="D581">
            <v>45834</v>
          </cell>
          <cell r="H581">
            <v>15</v>
          </cell>
          <cell r="I581">
            <v>0</v>
          </cell>
          <cell r="L581">
            <v>150</v>
          </cell>
        </row>
        <row r="582">
          <cell r="D582">
            <v>45834</v>
          </cell>
          <cell r="H582">
            <v>10</v>
          </cell>
          <cell r="I582">
            <v>0</v>
          </cell>
          <cell r="L582">
            <v>22.2</v>
          </cell>
        </row>
        <row r="583">
          <cell r="D583">
            <v>45835</v>
          </cell>
          <cell r="H583">
            <v>15</v>
          </cell>
          <cell r="I583">
            <v>0</v>
          </cell>
          <cell r="L583">
            <v>60</v>
          </cell>
        </row>
        <row r="584">
          <cell r="D584">
            <v>45835</v>
          </cell>
          <cell r="H584">
            <v>15</v>
          </cell>
          <cell r="I584">
            <v>0</v>
          </cell>
          <cell r="L584">
            <v>71</v>
          </cell>
        </row>
        <row r="585">
          <cell r="D585">
            <v>45836</v>
          </cell>
          <cell r="H585">
            <v>5</v>
          </cell>
          <cell r="I585">
            <v>0</v>
          </cell>
          <cell r="L585">
            <v>100</v>
          </cell>
        </row>
        <row r="586">
          <cell r="D586">
            <v>45836</v>
          </cell>
          <cell r="H586">
            <v>5</v>
          </cell>
          <cell r="I586">
            <v>0</v>
          </cell>
          <cell r="L586">
            <v>100</v>
          </cell>
        </row>
        <row r="587">
          <cell r="D587">
            <v>45841</v>
          </cell>
          <cell r="H587">
            <v>5</v>
          </cell>
          <cell r="I587">
            <v>0</v>
          </cell>
          <cell r="L587">
            <v>100</v>
          </cell>
        </row>
        <row r="588">
          <cell r="D588">
            <v>45841</v>
          </cell>
          <cell r="H588">
            <v>5</v>
          </cell>
          <cell r="I588">
            <v>0</v>
          </cell>
          <cell r="L588">
            <v>100</v>
          </cell>
        </row>
        <row r="589">
          <cell r="D589">
            <v>45842</v>
          </cell>
          <cell r="H589">
            <v>5</v>
          </cell>
          <cell r="I589">
            <v>0</v>
          </cell>
          <cell r="L589">
            <v>91.9</v>
          </cell>
        </row>
        <row r="590">
          <cell r="D590">
            <v>45845</v>
          </cell>
          <cell r="H590">
            <v>5</v>
          </cell>
          <cell r="I590">
            <v>0</v>
          </cell>
          <cell r="L590">
            <v>200</v>
          </cell>
        </row>
        <row r="591">
          <cell r="D591">
            <v>45846</v>
          </cell>
          <cell r="H591">
            <v>5</v>
          </cell>
          <cell r="I591">
            <v>0</v>
          </cell>
          <cell r="L591">
            <v>50</v>
          </cell>
        </row>
        <row r="592">
          <cell r="D592">
            <v>45846</v>
          </cell>
          <cell r="H592">
            <v>5</v>
          </cell>
          <cell r="I592">
            <v>0</v>
          </cell>
          <cell r="L592">
            <v>175</v>
          </cell>
        </row>
        <row r="593">
          <cell r="D593">
            <v>45847</v>
          </cell>
          <cell r="H593">
            <v>5</v>
          </cell>
          <cell r="I593">
            <v>0</v>
          </cell>
          <cell r="L593">
            <v>75</v>
          </cell>
        </row>
        <row r="594">
          <cell r="D594">
            <v>45847</v>
          </cell>
          <cell r="H594">
            <v>5</v>
          </cell>
          <cell r="I594">
            <v>0</v>
          </cell>
          <cell r="L594">
            <v>125</v>
          </cell>
        </row>
        <row r="595">
          <cell r="D595">
            <v>45847</v>
          </cell>
          <cell r="H595">
            <v>5</v>
          </cell>
          <cell r="I595">
            <v>0</v>
          </cell>
          <cell r="L595">
            <v>225</v>
          </cell>
        </row>
        <row r="596">
          <cell r="D596">
            <v>45848</v>
          </cell>
          <cell r="H596">
            <v>5</v>
          </cell>
          <cell r="I596">
            <v>0</v>
          </cell>
          <cell r="L596">
            <v>130</v>
          </cell>
        </row>
        <row r="597">
          <cell r="D597">
            <v>45849</v>
          </cell>
          <cell r="H597">
            <v>6</v>
          </cell>
          <cell r="I597">
            <v>0</v>
          </cell>
          <cell r="L597">
            <v>100</v>
          </cell>
        </row>
        <row r="598">
          <cell r="D598">
            <v>45849</v>
          </cell>
          <cell r="H598">
            <v>5</v>
          </cell>
          <cell r="I598">
            <v>0</v>
          </cell>
          <cell r="L598">
            <v>80</v>
          </cell>
        </row>
        <row r="599">
          <cell r="D599">
            <v>45849</v>
          </cell>
          <cell r="H599" t="str">
            <v>8</v>
          </cell>
          <cell r="I599" t="str">
            <v>پیور</v>
          </cell>
          <cell r="L599">
            <v>84.95</v>
          </cell>
        </row>
        <row r="600">
          <cell r="D600">
            <v>45849</v>
          </cell>
          <cell r="H600" t="str">
            <v>5-5.5</v>
          </cell>
          <cell r="I600" t="str">
            <v>-</v>
          </cell>
          <cell r="L600">
            <v>100</v>
          </cell>
        </row>
        <row r="601">
          <cell r="D601">
            <v>45850</v>
          </cell>
          <cell r="H601">
            <v>5</v>
          </cell>
          <cell r="I601">
            <v>0</v>
          </cell>
          <cell r="L601">
            <v>50</v>
          </cell>
        </row>
        <row r="602">
          <cell r="D602">
            <v>45850</v>
          </cell>
          <cell r="H602" t="str">
            <v>5-5.5</v>
          </cell>
          <cell r="I602" t="str">
            <v>-</v>
          </cell>
          <cell r="L602">
            <v>201.6</v>
          </cell>
        </row>
        <row r="603">
          <cell r="D603">
            <v>45850</v>
          </cell>
          <cell r="H603">
            <v>5</v>
          </cell>
          <cell r="I603">
            <v>0</v>
          </cell>
          <cell r="L603">
            <v>100</v>
          </cell>
        </row>
        <row r="604">
          <cell r="D604">
            <v>45852</v>
          </cell>
          <cell r="H604">
            <v>5</v>
          </cell>
          <cell r="I604">
            <v>0</v>
          </cell>
          <cell r="L604">
            <v>200</v>
          </cell>
        </row>
        <row r="605">
          <cell r="D605">
            <v>45852</v>
          </cell>
          <cell r="H605">
            <v>5</v>
          </cell>
          <cell r="I605">
            <v>0</v>
          </cell>
          <cell r="L605">
            <v>25</v>
          </cell>
        </row>
        <row r="606">
          <cell r="D606">
            <v>45852</v>
          </cell>
          <cell r="H606" t="str">
            <v>7-7.5</v>
          </cell>
          <cell r="I606" t="str">
            <v>.1:1</v>
          </cell>
          <cell r="L606">
            <v>169.5</v>
          </cell>
        </row>
        <row r="607">
          <cell r="D607">
            <v>45852</v>
          </cell>
          <cell r="H607" t="str">
            <v>7-7.5</v>
          </cell>
          <cell r="I607" t="str">
            <v>.1:1</v>
          </cell>
          <cell r="L607">
            <v>102.9</v>
          </cell>
        </row>
        <row r="608">
          <cell r="D608">
            <v>45853</v>
          </cell>
          <cell r="H608" t="str">
            <v>7-7.5</v>
          </cell>
          <cell r="I608" t="str">
            <v>.1:1</v>
          </cell>
          <cell r="L608">
            <v>36</v>
          </cell>
        </row>
        <row r="609">
          <cell r="D609">
            <v>45853</v>
          </cell>
          <cell r="H609" t="str">
            <v>5-5.5</v>
          </cell>
          <cell r="I609" t="str">
            <v>-</v>
          </cell>
          <cell r="L609">
            <v>58.6</v>
          </cell>
        </row>
        <row r="610">
          <cell r="D610">
            <v>45853</v>
          </cell>
          <cell r="H610" t="str">
            <v>5.5/6</v>
          </cell>
          <cell r="I610">
            <v>0</v>
          </cell>
          <cell r="L610">
            <v>50</v>
          </cell>
        </row>
        <row r="611">
          <cell r="D611">
            <v>45853</v>
          </cell>
          <cell r="H611" t="str">
            <v>5.5/6</v>
          </cell>
          <cell r="I611">
            <v>0</v>
          </cell>
          <cell r="L611">
            <v>250</v>
          </cell>
        </row>
        <row r="612">
          <cell r="D612">
            <v>45853</v>
          </cell>
          <cell r="H612" t="str">
            <v>5/5.5</v>
          </cell>
          <cell r="I612">
            <v>0</v>
          </cell>
          <cell r="L612">
            <v>225</v>
          </cell>
        </row>
        <row r="613">
          <cell r="D613">
            <v>45854</v>
          </cell>
          <cell r="H613" t="str">
            <v>5.5/6</v>
          </cell>
          <cell r="I613">
            <v>0</v>
          </cell>
          <cell r="L613">
            <v>200</v>
          </cell>
        </row>
        <row r="614">
          <cell r="D614">
            <v>45854</v>
          </cell>
          <cell r="H614" t="str">
            <v>4/4.5</v>
          </cell>
          <cell r="I614">
            <v>0</v>
          </cell>
          <cell r="L614">
            <v>25</v>
          </cell>
        </row>
        <row r="615">
          <cell r="D615">
            <v>45854</v>
          </cell>
          <cell r="H615" t="str">
            <v>5/5.5</v>
          </cell>
          <cell r="I615">
            <v>0</v>
          </cell>
          <cell r="L615">
            <v>225</v>
          </cell>
        </row>
        <row r="616">
          <cell r="D616">
            <v>45854</v>
          </cell>
          <cell r="H616" t="str">
            <v>4/4.5</v>
          </cell>
          <cell r="I616">
            <v>0</v>
          </cell>
          <cell r="L616">
            <v>72.900000000000006</v>
          </cell>
        </row>
        <row r="617">
          <cell r="D617">
            <v>45854</v>
          </cell>
          <cell r="H617">
            <v>5</v>
          </cell>
          <cell r="I617">
            <v>0</v>
          </cell>
          <cell r="L617">
            <v>50</v>
          </cell>
        </row>
        <row r="618">
          <cell r="D618">
            <v>45854</v>
          </cell>
          <cell r="H618">
            <v>5</v>
          </cell>
          <cell r="I618">
            <v>0</v>
          </cell>
          <cell r="L618">
            <v>100</v>
          </cell>
        </row>
        <row r="619">
          <cell r="D619">
            <v>45854</v>
          </cell>
          <cell r="H619" t="str">
            <v>5/5.5</v>
          </cell>
          <cell r="I619">
            <v>0</v>
          </cell>
          <cell r="L619">
            <v>175</v>
          </cell>
        </row>
        <row r="620">
          <cell r="D620">
            <v>45855</v>
          </cell>
          <cell r="H620">
            <v>5</v>
          </cell>
          <cell r="I620">
            <v>0</v>
          </cell>
          <cell r="L620">
            <v>103.3</v>
          </cell>
        </row>
        <row r="621">
          <cell r="D621">
            <v>45855</v>
          </cell>
          <cell r="H621">
            <v>5</v>
          </cell>
          <cell r="I621">
            <v>0</v>
          </cell>
          <cell r="L621">
            <v>100</v>
          </cell>
        </row>
        <row r="622">
          <cell r="D622">
            <v>45855</v>
          </cell>
          <cell r="H622">
            <v>5</v>
          </cell>
          <cell r="I622">
            <v>0</v>
          </cell>
          <cell r="L622">
            <v>50</v>
          </cell>
        </row>
        <row r="623">
          <cell r="D623">
            <v>45855</v>
          </cell>
          <cell r="H623" t="str">
            <v>5/5.5</v>
          </cell>
          <cell r="I623">
            <v>0</v>
          </cell>
          <cell r="L623">
            <v>150</v>
          </cell>
        </row>
        <row r="624">
          <cell r="D624">
            <v>45855</v>
          </cell>
          <cell r="H624">
            <v>5</v>
          </cell>
          <cell r="I624">
            <v>0</v>
          </cell>
          <cell r="L624">
            <v>150</v>
          </cell>
        </row>
        <row r="625">
          <cell r="D625">
            <v>45855</v>
          </cell>
          <cell r="H625">
            <v>5</v>
          </cell>
          <cell r="I625">
            <v>0</v>
          </cell>
          <cell r="L625">
            <v>100</v>
          </cell>
        </row>
        <row r="626">
          <cell r="D626">
            <v>45855</v>
          </cell>
          <cell r="H626" t="str">
            <v>5/5.5</v>
          </cell>
          <cell r="I626">
            <v>0</v>
          </cell>
          <cell r="L626">
            <v>150</v>
          </cell>
        </row>
        <row r="627">
          <cell r="D627">
            <v>45856</v>
          </cell>
          <cell r="H627">
            <v>5</v>
          </cell>
          <cell r="I627">
            <v>0</v>
          </cell>
          <cell r="L627">
            <v>100</v>
          </cell>
        </row>
        <row r="628">
          <cell r="D628">
            <v>45856</v>
          </cell>
          <cell r="H628">
            <v>5</v>
          </cell>
          <cell r="I628">
            <v>0</v>
          </cell>
          <cell r="L628">
            <v>25</v>
          </cell>
        </row>
        <row r="629">
          <cell r="D629">
            <v>45856</v>
          </cell>
          <cell r="H629" t="str">
            <v>5/5.5</v>
          </cell>
          <cell r="I629">
            <v>0</v>
          </cell>
          <cell r="L629">
            <v>150</v>
          </cell>
        </row>
        <row r="630">
          <cell r="D630">
            <v>45856</v>
          </cell>
          <cell r="H630">
            <v>5</v>
          </cell>
          <cell r="I630">
            <v>0</v>
          </cell>
          <cell r="L630">
            <v>70</v>
          </cell>
        </row>
        <row r="631">
          <cell r="D631">
            <v>45856</v>
          </cell>
          <cell r="H631" t="str">
            <v>5/5.5</v>
          </cell>
          <cell r="I631">
            <v>0</v>
          </cell>
          <cell r="L631">
            <v>100</v>
          </cell>
        </row>
        <row r="632">
          <cell r="D632">
            <v>45856</v>
          </cell>
          <cell r="H632" t="str">
            <v>5/5.5</v>
          </cell>
          <cell r="I632">
            <v>0</v>
          </cell>
          <cell r="L632">
            <v>150</v>
          </cell>
        </row>
        <row r="633">
          <cell r="D633">
            <v>45857</v>
          </cell>
          <cell r="H633" t="str">
            <v>5/5.5</v>
          </cell>
          <cell r="I633">
            <v>0</v>
          </cell>
          <cell r="L633">
            <v>50</v>
          </cell>
        </row>
        <row r="634">
          <cell r="D634">
            <v>45857</v>
          </cell>
          <cell r="H634">
            <v>10</v>
          </cell>
          <cell r="I634">
            <v>0</v>
          </cell>
          <cell r="L634">
            <v>158.5</v>
          </cell>
        </row>
        <row r="635">
          <cell r="D635">
            <v>45857</v>
          </cell>
          <cell r="H635" t="str">
            <v>5-5.5</v>
          </cell>
          <cell r="I635" t="str">
            <v>-</v>
          </cell>
          <cell r="L635">
            <v>197.2</v>
          </cell>
        </row>
        <row r="636">
          <cell r="D636">
            <v>45860</v>
          </cell>
          <cell r="H636">
            <v>10</v>
          </cell>
          <cell r="I636">
            <v>0</v>
          </cell>
          <cell r="L636">
            <v>99.2</v>
          </cell>
        </row>
        <row r="637">
          <cell r="D637">
            <v>45862</v>
          </cell>
          <cell r="H637" t="str">
            <v>5-5.5</v>
          </cell>
          <cell r="I637" t="str">
            <v>-</v>
          </cell>
          <cell r="L637">
            <v>255.3</v>
          </cell>
        </row>
        <row r="638">
          <cell r="D638">
            <v>45862</v>
          </cell>
          <cell r="H638">
            <v>5</v>
          </cell>
          <cell r="I638">
            <v>0</v>
          </cell>
          <cell r="L638">
            <v>200</v>
          </cell>
        </row>
        <row r="639">
          <cell r="D639">
            <v>45863</v>
          </cell>
          <cell r="H639">
            <v>15</v>
          </cell>
          <cell r="I639">
            <v>0</v>
          </cell>
          <cell r="L639">
            <v>100</v>
          </cell>
        </row>
        <row r="640">
          <cell r="D640">
            <v>45863</v>
          </cell>
          <cell r="H640">
            <v>5</v>
          </cell>
          <cell r="I640">
            <v>0</v>
          </cell>
          <cell r="L640">
            <v>55</v>
          </cell>
        </row>
        <row r="641">
          <cell r="D641">
            <v>45863</v>
          </cell>
          <cell r="H641">
            <v>5</v>
          </cell>
          <cell r="I641">
            <v>0</v>
          </cell>
          <cell r="L641">
            <v>100</v>
          </cell>
        </row>
        <row r="642">
          <cell r="D642">
            <v>45866</v>
          </cell>
          <cell r="H642">
            <v>15</v>
          </cell>
          <cell r="I642">
            <v>0</v>
          </cell>
          <cell r="L642">
            <v>210</v>
          </cell>
        </row>
        <row r="643">
          <cell r="D643">
            <v>45866</v>
          </cell>
          <cell r="H643">
            <v>5</v>
          </cell>
          <cell r="I643">
            <v>0</v>
          </cell>
          <cell r="L643">
            <v>19.899999999999999</v>
          </cell>
        </row>
        <row r="644">
          <cell r="D644">
            <v>45866</v>
          </cell>
          <cell r="H644">
            <v>15</v>
          </cell>
          <cell r="I644">
            <v>0</v>
          </cell>
          <cell r="L644">
            <v>141</v>
          </cell>
        </row>
        <row r="645">
          <cell r="D645">
            <v>45866</v>
          </cell>
          <cell r="H645">
            <v>8</v>
          </cell>
          <cell r="I645">
            <v>0</v>
          </cell>
          <cell r="L645">
            <v>25</v>
          </cell>
        </row>
        <row r="646">
          <cell r="D646">
            <v>45867</v>
          </cell>
          <cell r="H646">
            <v>8</v>
          </cell>
          <cell r="I646">
            <v>0</v>
          </cell>
          <cell r="L646">
            <v>50</v>
          </cell>
        </row>
        <row r="647">
          <cell r="D647">
            <v>45867</v>
          </cell>
          <cell r="H647">
            <v>8</v>
          </cell>
          <cell r="I647">
            <v>0</v>
          </cell>
          <cell r="L647">
            <v>20.2</v>
          </cell>
        </row>
        <row r="648">
          <cell r="D648">
            <v>45867</v>
          </cell>
          <cell r="H648">
            <v>5</v>
          </cell>
          <cell r="I648">
            <v>0</v>
          </cell>
          <cell r="L648">
            <v>25</v>
          </cell>
        </row>
        <row r="649">
          <cell r="D649">
            <v>45867</v>
          </cell>
          <cell r="H649">
            <v>5</v>
          </cell>
          <cell r="I649">
            <v>0</v>
          </cell>
          <cell r="L649">
            <v>75</v>
          </cell>
        </row>
        <row r="650">
          <cell r="D650">
            <v>45868</v>
          </cell>
          <cell r="H650">
            <v>15</v>
          </cell>
          <cell r="I650">
            <v>0</v>
          </cell>
          <cell r="L650">
            <v>73.8</v>
          </cell>
        </row>
        <row r="651">
          <cell r="D651">
            <v>45868</v>
          </cell>
          <cell r="H651">
            <v>5</v>
          </cell>
          <cell r="I651">
            <v>0</v>
          </cell>
          <cell r="L651">
            <v>50</v>
          </cell>
        </row>
        <row r="652">
          <cell r="D652">
            <v>45869</v>
          </cell>
          <cell r="H652">
            <v>5</v>
          </cell>
          <cell r="I652">
            <v>0</v>
          </cell>
          <cell r="L652">
            <v>110</v>
          </cell>
        </row>
        <row r="653">
          <cell r="D653">
            <v>45869</v>
          </cell>
          <cell r="H653" t="str">
            <v>5-5.5</v>
          </cell>
          <cell r="I653">
            <v>0</v>
          </cell>
          <cell r="L653">
            <v>50</v>
          </cell>
        </row>
        <row r="654">
          <cell r="D654">
            <v>45869</v>
          </cell>
          <cell r="H654" t="str">
            <v>5-5.5</v>
          </cell>
          <cell r="I654">
            <v>0</v>
          </cell>
          <cell r="L654">
            <v>300</v>
          </cell>
        </row>
        <row r="655">
          <cell r="D655">
            <v>45870</v>
          </cell>
          <cell r="H655">
            <v>15</v>
          </cell>
          <cell r="I655">
            <v>0</v>
          </cell>
          <cell r="L655">
            <v>120</v>
          </cell>
        </row>
        <row r="656">
          <cell r="D656">
            <v>45870</v>
          </cell>
          <cell r="H656" t="str">
            <v>5-5.5</v>
          </cell>
          <cell r="I656">
            <v>0</v>
          </cell>
          <cell r="L656">
            <v>51.8</v>
          </cell>
        </row>
        <row r="657">
          <cell r="D657">
            <v>45870</v>
          </cell>
          <cell r="H657">
            <v>15</v>
          </cell>
          <cell r="I657">
            <v>0</v>
          </cell>
          <cell r="L657">
            <v>150</v>
          </cell>
        </row>
        <row r="658">
          <cell r="D658">
            <v>45871</v>
          </cell>
          <cell r="H658">
            <v>15</v>
          </cell>
          <cell r="I658">
            <v>0</v>
          </cell>
          <cell r="L658">
            <v>80.8</v>
          </cell>
        </row>
        <row r="659">
          <cell r="D659">
            <v>45871</v>
          </cell>
          <cell r="H659">
            <v>5</v>
          </cell>
          <cell r="I659">
            <v>0</v>
          </cell>
          <cell r="L659">
            <v>200</v>
          </cell>
        </row>
        <row r="660">
          <cell r="D660">
            <v>45873</v>
          </cell>
          <cell r="H660" t="str">
            <v>30 MIC</v>
          </cell>
          <cell r="I660" t="str">
            <v>BOPP</v>
          </cell>
          <cell r="L660">
            <v>200</v>
          </cell>
        </row>
        <row r="661">
          <cell r="D661">
            <v>45873</v>
          </cell>
          <cell r="H661" t="str">
            <v>4-4.5/8-9</v>
          </cell>
          <cell r="I661" t="str">
            <v>پیور</v>
          </cell>
          <cell r="L661">
            <v>180</v>
          </cell>
        </row>
        <row r="662">
          <cell r="D662">
            <v>45874</v>
          </cell>
          <cell r="H662">
            <v>5</v>
          </cell>
          <cell r="I662">
            <v>0</v>
          </cell>
          <cell r="L662">
            <v>150</v>
          </cell>
        </row>
        <row r="663">
          <cell r="D663">
            <v>45874</v>
          </cell>
          <cell r="H663">
            <v>5</v>
          </cell>
          <cell r="I663">
            <v>0</v>
          </cell>
          <cell r="L663">
            <v>125</v>
          </cell>
        </row>
        <row r="664">
          <cell r="D664">
            <v>45875</v>
          </cell>
          <cell r="H664">
            <v>5</v>
          </cell>
          <cell r="I664">
            <v>0</v>
          </cell>
          <cell r="L664">
            <v>150</v>
          </cell>
        </row>
        <row r="665">
          <cell r="D665">
            <v>45875</v>
          </cell>
          <cell r="H665">
            <v>5</v>
          </cell>
          <cell r="I665">
            <v>0</v>
          </cell>
          <cell r="L665">
            <v>75</v>
          </cell>
        </row>
        <row r="666">
          <cell r="D666">
            <v>45875</v>
          </cell>
          <cell r="H666">
            <v>5</v>
          </cell>
          <cell r="I666">
            <v>0</v>
          </cell>
          <cell r="L666">
            <v>60</v>
          </cell>
        </row>
        <row r="667">
          <cell r="D667">
            <v>45875</v>
          </cell>
          <cell r="H667">
            <v>5</v>
          </cell>
          <cell r="I667">
            <v>0</v>
          </cell>
          <cell r="L667">
            <v>50</v>
          </cell>
        </row>
        <row r="668">
          <cell r="D668">
            <v>45875</v>
          </cell>
          <cell r="H668">
            <v>5</v>
          </cell>
          <cell r="I668">
            <v>0</v>
          </cell>
          <cell r="L668">
            <v>90</v>
          </cell>
        </row>
        <row r="669">
          <cell r="D669">
            <v>45876</v>
          </cell>
          <cell r="H669">
            <v>14</v>
          </cell>
          <cell r="I669">
            <v>0</v>
          </cell>
          <cell r="L669">
            <v>180</v>
          </cell>
        </row>
        <row r="670">
          <cell r="D670">
            <v>45876</v>
          </cell>
          <cell r="H670">
            <v>14</v>
          </cell>
          <cell r="I670">
            <v>0</v>
          </cell>
          <cell r="L670">
            <v>180</v>
          </cell>
        </row>
        <row r="671">
          <cell r="D671">
            <v>45876</v>
          </cell>
          <cell r="H671">
            <v>14</v>
          </cell>
          <cell r="I671">
            <v>0</v>
          </cell>
          <cell r="L671">
            <v>180</v>
          </cell>
        </row>
        <row r="672">
          <cell r="D672">
            <v>45877</v>
          </cell>
          <cell r="H672">
            <v>14</v>
          </cell>
          <cell r="I672">
            <v>0</v>
          </cell>
          <cell r="L672">
            <v>210</v>
          </cell>
        </row>
        <row r="673">
          <cell r="D673">
            <v>45877</v>
          </cell>
          <cell r="H673" t="str">
            <v>5.5-6</v>
          </cell>
          <cell r="I673">
            <v>0</v>
          </cell>
          <cell r="L673">
            <v>300</v>
          </cell>
        </row>
        <row r="674">
          <cell r="D674">
            <v>45877</v>
          </cell>
          <cell r="H674" t="str">
            <v>5.5-6</v>
          </cell>
          <cell r="I674">
            <v>0</v>
          </cell>
          <cell r="L674">
            <v>300</v>
          </cell>
        </row>
        <row r="675">
          <cell r="D675">
            <v>45878</v>
          </cell>
          <cell r="H675" t="str">
            <v>5.5-6</v>
          </cell>
          <cell r="I675">
            <v>0</v>
          </cell>
          <cell r="L675">
            <v>300</v>
          </cell>
        </row>
        <row r="676">
          <cell r="D676">
            <v>45878</v>
          </cell>
          <cell r="H676" t="str">
            <v>5.5-6</v>
          </cell>
          <cell r="I676">
            <v>0</v>
          </cell>
          <cell r="L676">
            <v>100</v>
          </cell>
        </row>
        <row r="677">
          <cell r="D677">
            <v>45878</v>
          </cell>
          <cell r="H677" t="str">
            <v>5.5-6</v>
          </cell>
          <cell r="I677">
            <v>0</v>
          </cell>
          <cell r="L677">
            <v>300</v>
          </cell>
        </row>
        <row r="678">
          <cell r="D678">
            <v>45880</v>
          </cell>
          <cell r="H678" t="str">
            <v>5.5-6</v>
          </cell>
          <cell r="I678">
            <v>0</v>
          </cell>
          <cell r="L678">
            <v>275</v>
          </cell>
        </row>
        <row r="679">
          <cell r="D679">
            <v>45881</v>
          </cell>
          <cell r="H679" t="str">
            <v>5.5-6</v>
          </cell>
          <cell r="I679">
            <v>0</v>
          </cell>
          <cell r="L679">
            <v>275</v>
          </cell>
        </row>
        <row r="680">
          <cell r="D680">
            <v>45881</v>
          </cell>
          <cell r="H680" t="str">
            <v>7.5-8</v>
          </cell>
          <cell r="I680" t="str">
            <v>-</v>
          </cell>
          <cell r="L680">
            <v>36.200000000000003</v>
          </cell>
        </row>
        <row r="681">
          <cell r="D681">
            <v>45881</v>
          </cell>
          <cell r="H681" t="str">
            <v>5.5-6</v>
          </cell>
          <cell r="I681">
            <v>0</v>
          </cell>
          <cell r="L681">
            <v>100</v>
          </cell>
        </row>
        <row r="682">
          <cell r="D682">
            <v>45881</v>
          </cell>
          <cell r="H682">
            <v>5</v>
          </cell>
          <cell r="I682">
            <v>0</v>
          </cell>
          <cell r="L682">
            <v>146.80000000000001</v>
          </cell>
        </row>
        <row r="683">
          <cell r="D683">
            <v>45881</v>
          </cell>
          <cell r="L683">
            <v>25</v>
          </cell>
        </row>
        <row r="684">
          <cell r="D684">
            <v>45881</v>
          </cell>
          <cell r="H684" t="str">
            <v>5.5-6</v>
          </cell>
          <cell r="I684">
            <v>0</v>
          </cell>
          <cell r="L684">
            <v>50</v>
          </cell>
        </row>
        <row r="685">
          <cell r="D685">
            <v>45881</v>
          </cell>
          <cell r="L685">
            <v>25</v>
          </cell>
        </row>
        <row r="686">
          <cell r="D686">
            <v>45881</v>
          </cell>
          <cell r="H686">
            <v>5</v>
          </cell>
          <cell r="I686">
            <v>0</v>
          </cell>
          <cell r="L686">
            <v>110</v>
          </cell>
        </row>
        <row r="687">
          <cell r="D687">
            <v>45882</v>
          </cell>
          <cell r="H687">
            <v>5</v>
          </cell>
          <cell r="I687">
            <v>0</v>
          </cell>
          <cell r="L687">
            <v>100</v>
          </cell>
        </row>
        <row r="688">
          <cell r="D688">
            <v>45882</v>
          </cell>
          <cell r="L688">
            <v>49.1</v>
          </cell>
        </row>
        <row r="689">
          <cell r="D689">
            <v>45882</v>
          </cell>
          <cell r="H689">
            <v>5</v>
          </cell>
          <cell r="I689">
            <v>0</v>
          </cell>
          <cell r="L689">
            <v>100</v>
          </cell>
        </row>
        <row r="690">
          <cell r="D690">
            <v>45882</v>
          </cell>
          <cell r="H690">
            <v>10</v>
          </cell>
          <cell r="I690">
            <v>0</v>
          </cell>
          <cell r="L690">
            <v>50</v>
          </cell>
        </row>
        <row r="691">
          <cell r="D691">
            <v>45882</v>
          </cell>
          <cell r="H691" t="str">
            <v>5.5-6</v>
          </cell>
          <cell r="I691">
            <v>0</v>
          </cell>
          <cell r="L691">
            <v>300</v>
          </cell>
        </row>
        <row r="692">
          <cell r="D692">
            <v>45882</v>
          </cell>
          <cell r="H692">
            <v>10</v>
          </cell>
          <cell r="I692">
            <v>0</v>
          </cell>
          <cell r="L692">
            <v>52.9</v>
          </cell>
        </row>
        <row r="693">
          <cell r="D693">
            <v>45882</v>
          </cell>
          <cell r="H693" t="str">
            <v>8.5-9</v>
          </cell>
          <cell r="I693" t="str">
            <v>1:1</v>
          </cell>
          <cell r="L693">
            <v>100</v>
          </cell>
        </row>
        <row r="694">
          <cell r="D694">
            <v>45882</v>
          </cell>
          <cell r="H694" t="str">
            <v>5.5-6</v>
          </cell>
          <cell r="I694">
            <v>0</v>
          </cell>
          <cell r="L694">
            <v>50</v>
          </cell>
        </row>
        <row r="695">
          <cell r="D695">
            <v>45883</v>
          </cell>
          <cell r="H695" t="str">
            <v>5.5-6</v>
          </cell>
          <cell r="I695">
            <v>0</v>
          </cell>
          <cell r="L695">
            <v>250</v>
          </cell>
        </row>
        <row r="696">
          <cell r="D696">
            <v>45883</v>
          </cell>
          <cell r="H696" t="str">
            <v>5.5-6</v>
          </cell>
          <cell r="I696">
            <v>0</v>
          </cell>
          <cell r="L696">
            <v>275</v>
          </cell>
        </row>
        <row r="697">
          <cell r="D697">
            <v>45883</v>
          </cell>
          <cell r="H697">
            <v>8</v>
          </cell>
          <cell r="I697" t="str">
            <v>-</v>
          </cell>
          <cell r="L697">
            <v>105.5</v>
          </cell>
        </row>
        <row r="698">
          <cell r="D698">
            <v>45883</v>
          </cell>
          <cell r="H698" t="str">
            <v>5.5-6</v>
          </cell>
          <cell r="I698">
            <v>0</v>
          </cell>
          <cell r="L698">
            <v>75</v>
          </cell>
        </row>
        <row r="699">
          <cell r="D699">
            <v>45883</v>
          </cell>
          <cell r="H699">
            <v>8</v>
          </cell>
          <cell r="I699" t="str">
            <v>-</v>
          </cell>
          <cell r="L699">
            <v>50</v>
          </cell>
        </row>
        <row r="700">
          <cell r="D700">
            <v>45883</v>
          </cell>
          <cell r="H700" t="str">
            <v>5.5-6</v>
          </cell>
          <cell r="I700">
            <v>0</v>
          </cell>
          <cell r="L700">
            <v>200</v>
          </cell>
        </row>
        <row r="701">
          <cell r="D701">
            <v>45884</v>
          </cell>
          <cell r="H701" t="str">
            <v>5.5-6</v>
          </cell>
          <cell r="I701">
            <v>0</v>
          </cell>
          <cell r="L701">
            <v>200</v>
          </cell>
        </row>
        <row r="702">
          <cell r="D702">
            <v>45884</v>
          </cell>
          <cell r="H702" t="str">
            <v>5.5-6</v>
          </cell>
          <cell r="I702">
            <v>0</v>
          </cell>
          <cell r="L702">
            <v>250</v>
          </cell>
        </row>
        <row r="703">
          <cell r="D703">
            <v>45884</v>
          </cell>
          <cell r="H703" t="str">
            <v>5.5-6</v>
          </cell>
          <cell r="I703">
            <v>0</v>
          </cell>
          <cell r="L703">
            <v>250</v>
          </cell>
        </row>
        <row r="704">
          <cell r="D704">
            <v>45884</v>
          </cell>
          <cell r="H704" t="str">
            <v>5.5-6</v>
          </cell>
          <cell r="I704">
            <v>0</v>
          </cell>
          <cell r="L704">
            <v>50</v>
          </cell>
        </row>
        <row r="705">
          <cell r="D705">
            <v>45884</v>
          </cell>
          <cell r="H705">
            <v>5</v>
          </cell>
          <cell r="I705">
            <v>0</v>
          </cell>
          <cell r="L705">
            <v>150</v>
          </cell>
        </row>
        <row r="706">
          <cell r="D706">
            <v>45885</v>
          </cell>
          <cell r="H706" t="str">
            <v>5.5-6</v>
          </cell>
          <cell r="I706">
            <v>0</v>
          </cell>
          <cell r="L706">
            <v>250</v>
          </cell>
        </row>
        <row r="707">
          <cell r="D707">
            <v>45885</v>
          </cell>
          <cell r="H707">
            <v>5</v>
          </cell>
          <cell r="I707">
            <v>0</v>
          </cell>
          <cell r="L707">
            <v>100</v>
          </cell>
        </row>
        <row r="708">
          <cell r="D708">
            <v>45885</v>
          </cell>
          <cell r="H708">
            <v>5</v>
          </cell>
          <cell r="I708">
            <v>0</v>
          </cell>
          <cell r="L708">
            <v>125</v>
          </cell>
        </row>
        <row r="709">
          <cell r="D709">
            <v>45885</v>
          </cell>
          <cell r="H709" t="str">
            <v>5.5-6</v>
          </cell>
          <cell r="I709">
            <v>0</v>
          </cell>
          <cell r="L709">
            <v>275</v>
          </cell>
        </row>
        <row r="710">
          <cell r="D710">
            <v>45885</v>
          </cell>
          <cell r="H710">
            <v>4.5</v>
          </cell>
          <cell r="I710">
            <v>0</v>
          </cell>
          <cell r="L710">
            <v>250</v>
          </cell>
        </row>
        <row r="711">
          <cell r="D711">
            <v>45887</v>
          </cell>
          <cell r="H711" t="str">
            <v>5.5-6</v>
          </cell>
          <cell r="I711">
            <v>0</v>
          </cell>
          <cell r="L711">
            <v>300</v>
          </cell>
        </row>
        <row r="712">
          <cell r="D712">
            <v>45887</v>
          </cell>
          <cell r="H712">
            <v>5</v>
          </cell>
          <cell r="I712">
            <v>0</v>
          </cell>
          <cell r="L712">
            <v>225</v>
          </cell>
        </row>
        <row r="713">
          <cell r="D713">
            <v>45887</v>
          </cell>
          <cell r="H713" t="str">
            <v>5.5-6</v>
          </cell>
          <cell r="I713">
            <v>0</v>
          </cell>
          <cell r="L713">
            <v>300</v>
          </cell>
        </row>
        <row r="714">
          <cell r="D714">
            <v>45887</v>
          </cell>
          <cell r="H714">
            <v>4.5</v>
          </cell>
          <cell r="I714">
            <v>0</v>
          </cell>
          <cell r="L714">
            <v>200</v>
          </cell>
        </row>
        <row r="715">
          <cell r="D715">
            <v>45887</v>
          </cell>
          <cell r="H715">
            <v>4.5</v>
          </cell>
          <cell r="I715">
            <v>0</v>
          </cell>
          <cell r="L715">
            <v>25</v>
          </cell>
        </row>
        <row r="716">
          <cell r="D716">
            <v>45888</v>
          </cell>
          <cell r="H716" t="str">
            <v>5.5-6</v>
          </cell>
          <cell r="I716">
            <v>0</v>
          </cell>
          <cell r="L716">
            <v>177.9</v>
          </cell>
        </row>
        <row r="717">
          <cell r="D717">
            <v>45888</v>
          </cell>
          <cell r="H717">
            <v>5</v>
          </cell>
          <cell r="I717">
            <v>0</v>
          </cell>
          <cell r="L717">
            <v>25</v>
          </cell>
        </row>
        <row r="718">
          <cell r="D718">
            <v>45888</v>
          </cell>
          <cell r="H718">
            <v>4.5</v>
          </cell>
          <cell r="I718">
            <v>0</v>
          </cell>
          <cell r="L718">
            <v>100</v>
          </cell>
        </row>
        <row r="719">
          <cell r="D719">
            <v>45888</v>
          </cell>
          <cell r="H719">
            <v>5</v>
          </cell>
          <cell r="I719">
            <v>0</v>
          </cell>
          <cell r="L719">
            <v>50</v>
          </cell>
        </row>
        <row r="720">
          <cell r="D720">
            <v>45888</v>
          </cell>
          <cell r="H720" t="str">
            <v>5.5-6</v>
          </cell>
          <cell r="I720">
            <v>0</v>
          </cell>
          <cell r="L720">
            <v>275</v>
          </cell>
        </row>
        <row r="721">
          <cell r="D721">
            <v>45889</v>
          </cell>
          <cell r="H721">
            <v>5</v>
          </cell>
          <cell r="I721">
            <v>0</v>
          </cell>
          <cell r="L721">
            <v>175</v>
          </cell>
        </row>
        <row r="722">
          <cell r="D722">
            <v>45889</v>
          </cell>
          <cell r="H722">
            <v>5</v>
          </cell>
          <cell r="I722">
            <v>0</v>
          </cell>
          <cell r="L722">
            <v>75</v>
          </cell>
        </row>
        <row r="723">
          <cell r="D723">
            <v>45889</v>
          </cell>
          <cell r="H723">
            <v>5</v>
          </cell>
          <cell r="I723">
            <v>0</v>
          </cell>
          <cell r="L723">
            <v>75</v>
          </cell>
        </row>
        <row r="724">
          <cell r="D724">
            <v>45889</v>
          </cell>
          <cell r="H724">
            <v>5</v>
          </cell>
          <cell r="I724">
            <v>0</v>
          </cell>
          <cell r="L724">
            <v>123.9</v>
          </cell>
        </row>
        <row r="725">
          <cell r="D725">
            <v>45889</v>
          </cell>
          <cell r="H725">
            <v>5</v>
          </cell>
          <cell r="I725">
            <v>0</v>
          </cell>
          <cell r="L725">
            <v>50</v>
          </cell>
        </row>
        <row r="726">
          <cell r="D726">
            <v>45889</v>
          </cell>
          <cell r="H726">
            <v>5</v>
          </cell>
          <cell r="I726">
            <v>0</v>
          </cell>
          <cell r="L726">
            <v>75</v>
          </cell>
        </row>
        <row r="727">
          <cell r="D727">
            <v>45890</v>
          </cell>
          <cell r="H727">
            <v>5</v>
          </cell>
          <cell r="I727">
            <v>0</v>
          </cell>
          <cell r="L727">
            <v>100</v>
          </cell>
        </row>
        <row r="728">
          <cell r="D728">
            <v>45890</v>
          </cell>
          <cell r="H728">
            <v>5</v>
          </cell>
          <cell r="I728">
            <v>0</v>
          </cell>
          <cell r="L728">
            <v>100</v>
          </cell>
        </row>
        <row r="729">
          <cell r="D729">
            <v>45890</v>
          </cell>
          <cell r="H729">
            <v>4.5</v>
          </cell>
          <cell r="I729">
            <v>0</v>
          </cell>
          <cell r="L729">
            <v>25</v>
          </cell>
        </row>
        <row r="730">
          <cell r="D730">
            <v>45890</v>
          </cell>
          <cell r="H730">
            <v>5</v>
          </cell>
          <cell r="I730">
            <v>0</v>
          </cell>
          <cell r="L730">
            <v>75</v>
          </cell>
        </row>
        <row r="731">
          <cell r="D731">
            <v>45890</v>
          </cell>
          <cell r="H731">
            <v>5</v>
          </cell>
          <cell r="I731">
            <v>0</v>
          </cell>
          <cell r="L731">
            <v>25</v>
          </cell>
        </row>
        <row r="732">
          <cell r="D732">
            <v>45890</v>
          </cell>
          <cell r="H732">
            <v>5</v>
          </cell>
          <cell r="I732">
            <v>0</v>
          </cell>
          <cell r="L732">
            <v>25</v>
          </cell>
        </row>
        <row r="733">
          <cell r="D733">
            <v>45890</v>
          </cell>
          <cell r="H733">
            <v>5</v>
          </cell>
          <cell r="I733">
            <v>0</v>
          </cell>
          <cell r="L733">
            <v>225</v>
          </cell>
        </row>
        <row r="734">
          <cell r="D734">
            <v>45890</v>
          </cell>
          <cell r="H734">
            <v>4.5</v>
          </cell>
          <cell r="I734">
            <v>0</v>
          </cell>
          <cell r="L734">
            <v>75</v>
          </cell>
        </row>
        <row r="735">
          <cell r="D735">
            <v>45890</v>
          </cell>
          <cell r="H735">
            <v>5</v>
          </cell>
          <cell r="I735">
            <v>0</v>
          </cell>
          <cell r="L735">
            <v>25</v>
          </cell>
        </row>
        <row r="736">
          <cell r="D736">
            <v>45890</v>
          </cell>
          <cell r="H736">
            <v>5</v>
          </cell>
          <cell r="I736">
            <v>0</v>
          </cell>
          <cell r="L736">
            <v>119.5</v>
          </cell>
        </row>
        <row r="737">
          <cell r="D737">
            <v>45891</v>
          </cell>
          <cell r="H737">
            <v>5</v>
          </cell>
          <cell r="I737">
            <v>0</v>
          </cell>
          <cell r="L737">
            <v>150</v>
          </cell>
        </row>
        <row r="738">
          <cell r="D738">
            <v>45891</v>
          </cell>
          <cell r="H738" t="str">
            <v>5.5-6</v>
          </cell>
          <cell r="I738">
            <v>0</v>
          </cell>
          <cell r="L738">
            <v>100</v>
          </cell>
        </row>
        <row r="739">
          <cell r="D739">
            <v>45891</v>
          </cell>
          <cell r="H739">
            <v>5</v>
          </cell>
          <cell r="I739">
            <v>0</v>
          </cell>
          <cell r="L739">
            <v>125</v>
          </cell>
        </row>
        <row r="740">
          <cell r="D740">
            <v>45891</v>
          </cell>
          <cell r="H740">
            <v>5</v>
          </cell>
          <cell r="I740">
            <v>0</v>
          </cell>
          <cell r="L740">
            <v>25</v>
          </cell>
        </row>
        <row r="741">
          <cell r="D741">
            <v>45891</v>
          </cell>
          <cell r="H741">
            <v>5</v>
          </cell>
          <cell r="I741">
            <v>0</v>
          </cell>
          <cell r="L741">
            <v>100</v>
          </cell>
        </row>
        <row r="742">
          <cell r="D742">
            <v>45891</v>
          </cell>
          <cell r="H742">
            <v>5</v>
          </cell>
          <cell r="I742">
            <v>0</v>
          </cell>
          <cell r="L742">
            <v>25</v>
          </cell>
        </row>
        <row r="743">
          <cell r="D743">
            <v>45892</v>
          </cell>
          <cell r="H743">
            <v>5</v>
          </cell>
          <cell r="I743">
            <v>0</v>
          </cell>
          <cell r="L743">
            <v>150</v>
          </cell>
        </row>
        <row r="744">
          <cell r="D744">
            <v>45892</v>
          </cell>
          <cell r="H744">
            <v>5</v>
          </cell>
          <cell r="I744">
            <v>0</v>
          </cell>
          <cell r="L744">
            <v>50</v>
          </cell>
        </row>
        <row r="745">
          <cell r="D745">
            <v>45892</v>
          </cell>
          <cell r="H745">
            <v>5</v>
          </cell>
          <cell r="I745">
            <v>0</v>
          </cell>
          <cell r="L745">
            <v>118.2</v>
          </cell>
        </row>
        <row r="746">
          <cell r="D746">
            <v>45892</v>
          </cell>
          <cell r="H746">
            <v>5</v>
          </cell>
          <cell r="I746">
            <v>0</v>
          </cell>
          <cell r="L746">
            <v>50</v>
          </cell>
        </row>
        <row r="747">
          <cell r="D747">
            <v>45892</v>
          </cell>
          <cell r="H747">
            <v>5</v>
          </cell>
          <cell r="I747">
            <v>0</v>
          </cell>
          <cell r="L747">
            <v>80</v>
          </cell>
        </row>
        <row r="748">
          <cell r="D748">
            <v>45892</v>
          </cell>
          <cell r="H748">
            <v>15</v>
          </cell>
          <cell r="I748">
            <v>0</v>
          </cell>
          <cell r="L748">
            <v>120</v>
          </cell>
        </row>
        <row r="749">
          <cell r="D749">
            <v>45892</v>
          </cell>
          <cell r="H749">
            <v>5</v>
          </cell>
          <cell r="I749">
            <v>0</v>
          </cell>
          <cell r="L749">
            <v>125</v>
          </cell>
        </row>
        <row r="750">
          <cell r="D750">
            <v>45892</v>
          </cell>
          <cell r="H750">
            <v>15</v>
          </cell>
          <cell r="I750">
            <v>0</v>
          </cell>
          <cell r="L750">
            <v>30</v>
          </cell>
        </row>
        <row r="751">
          <cell r="D751">
            <v>45893</v>
          </cell>
          <cell r="H751">
            <v>15</v>
          </cell>
          <cell r="I751">
            <v>0</v>
          </cell>
          <cell r="L751">
            <v>150</v>
          </cell>
        </row>
        <row r="752">
          <cell r="D752">
            <v>45893</v>
          </cell>
          <cell r="H752">
            <v>15</v>
          </cell>
          <cell r="I752">
            <v>0</v>
          </cell>
          <cell r="L752">
            <v>120</v>
          </cell>
        </row>
        <row r="753">
          <cell r="D753">
            <v>45893</v>
          </cell>
          <cell r="H753">
            <v>15</v>
          </cell>
          <cell r="I753">
            <v>0</v>
          </cell>
          <cell r="L753">
            <v>180</v>
          </cell>
        </row>
        <row r="754">
          <cell r="D754">
            <v>45893</v>
          </cell>
          <cell r="H754">
            <v>15</v>
          </cell>
          <cell r="I754">
            <v>0</v>
          </cell>
          <cell r="L754">
            <v>180</v>
          </cell>
        </row>
        <row r="755">
          <cell r="D755">
            <v>45894</v>
          </cell>
          <cell r="H755">
            <v>15</v>
          </cell>
          <cell r="I755">
            <v>0</v>
          </cell>
          <cell r="L755">
            <v>107.2</v>
          </cell>
        </row>
        <row r="756">
          <cell r="D756">
            <v>45894</v>
          </cell>
          <cell r="H756">
            <v>5</v>
          </cell>
          <cell r="I756">
            <v>0</v>
          </cell>
          <cell r="L756">
            <v>50</v>
          </cell>
        </row>
        <row r="757">
          <cell r="D757">
            <v>45894</v>
          </cell>
          <cell r="H757">
            <v>5</v>
          </cell>
          <cell r="I757">
            <v>0</v>
          </cell>
          <cell r="L757">
            <v>125</v>
          </cell>
        </row>
        <row r="758">
          <cell r="D758">
            <v>45894</v>
          </cell>
          <cell r="H758" t="str">
            <v>6-6.5</v>
          </cell>
          <cell r="I758">
            <v>0</v>
          </cell>
          <cell r="L758">
            <v>101.65</v>
          </cell>
        </row>
        <row r="759">
          <cell r="D759">
            <v>45894</v>
          </cell>
          <cell r="H759">
            <v>5</v>
          </cell>
          <cell r="I759">
            <v>0</v>
          </cell>
          <cell r="L759">
            <v>150</v>
          </cell>
        </row>
        <row r="760">
          <cell r="D760">
            <v>45895</v>
          </cell>
          <cell r="H760">
            <v>7</v>
          </cell>
          <cell r="I760">
            <v>0</v>
          </cell>
          <cell r="L760">
            <v>211</v>
          </cell>
        </row>
        <row r="761">
          <cell r="D761">
            <v>45895</v>
          </cell>
          <cell r="H761">
            <v>5</v>
          </cell>
          <cell r="I761">
            <v>0</v>
          </cell>
          <cell r="L761">
            <v>175</v>
          </cell>
        </row>
        <row r="762">
          <cell r="D762">
            <v>45895</v>
          </cell>
          <cell r="H762">
            <v>7</v>
          </cell>
          <cell r="I762">
            <v>0</v>
          </cell>
          <cell r="L762">
            <v>150</v>
          </cell>
        </row>
        <row r="763">
          <cell r="D763">
            <v>45895</v>
          </cell>
          <cell r="H763" t="str">
            <v>7.5-8</v>
          </cell>
          <cell r="I763">
            <v>0</v>
          </cell>
          <cell r="L763">
            <v>158.1</v>
          </cell>
        </row>
        <row r="764">
          <cell r="D764">
            <v>45895</v>
          </cell>
          <cell r="H764" t="str">
            <v>6-6.5</v>
          </cell>
          <cell r="I764">
            <v>0</v>
          </cell>
          <cell r="L764">
            <v>100</v>
          </cell>
        </row>
        <row r="765">
          <cell r="D765">
            <v>45896</v>
          </cell>
          <cell r="H765">
            <v>7</v>
          </cell>
          <cell r="I765">
            <v>0</v>
          </cell>
          <cell r="L765">
            <v>59.5</v>
          </cell>
        </row>
        <row r="766">
          <cell r="D766">
            <v>45896</v>
          </cell>
          <cell r="H766" t="str">
            <v>6.5-7</v>
          </cell>
          <cell r="I766">
            <v>0</v>
          </cell>
          <cell r="L766">
            <v>50</v>
          </cell>
        </row>
        <row r="767">
          <cell r="D767">
            <v>45896</v>
          </cell>
          <cell r="H767" t="str">
            <v>6-6.5</v>
          </cell>
          <cell r="I767">
            <v>0</v>
          </cell>
          <cell r="L767">
            <v>25</v>
          </cell>
        </row>
        <row r="768">
          <cell r="D768">
            <v>45896</v>
          </cell>
          <cell r="H768">
            <v>5</v>
          </cell>
          <cell r="I768">
            <v>0</v>
          </cell>
          <cell r="L768">
            <v>100</v>
          </cell>
        </row>
        <row r="769">
          <cell r="D769">
            <v>45896</v>
          </cell>
          <cell r="H769" t="str">
            <v>5.5-6</v>
          </cell>
          <cell r="I769">
            <v>0</v>
          </cell>
          <cell r="L769">
            <v>200</v>
          </cell>
        </row>
        <row r="770">
          <cell r="D770">
            <v>45896</v>
          </cell>
          <cell r="H770" t="str">
            <v>6-6.5</v>
          </cell>
          <cell r="I770">
            <v>0</v>
          </cell>
          <cell r="L770">
            <v>79</v>
          </cell>
        </row>
        <row r="771">
          <cell r="D771">
            <v>45896</v>
          </cell>
          <cell r="H771" t="str">
            <v>5.5-6</v>
          </cell>
          <cell r="I771">
            <v>0</v>
          </cell>
          <cell r="L771">
            <v>50</v>
          </cell>
        </row>
        <row r="772">
          <cell r="D772">
            <v>45896</v>
          </cell>
          <cell r="H772" t="str">
            <v>5.5-6</v>
          </cell>
          <cell r="I772">
            <v>0</v>
          </cell>
          <cell r="L772">
            <v>300</v>
          </cell>
        </row>
        <row r="773">
          <cell r="D773">
            <v>45897</v>
          </cell>
          <cell r="H773" t="str">
            <v>5.5-6</v>
          </cell>
          <cell r="I773">
            <v>0</v>
          </cell>
          <cell r="L773">
            <v>300</v>
          </cell>
        </row>
        <row r="774">
          <cell r="D774">
            <v>45897</v>
          </cell>
          <cell r="H774" t="str">
            <v>5.5-6</v>
          </cell>
          <cell r="I774">
            <v>0</v>
          </cell>
          <cell r="L774">
            <v>300</v>
          </cell>
        </row>
        <row r="775">
          <cell r="D775">
            <v>45897</v>
          </cell>
          <cell r="H775" t="str">
            <v>6.5-7</v>
          </cell>
          <cell r="I775">
            <v>0</v>
          </cell>
          <cell r="L775">
            <v>50</v>
          </cell>
        </row>
        <row r="776">
          <cell r="D776">
            <v>45897</v>
          </cell>
          <cell r="H776" t="str">
            <v>5.5-6</v>
          </cell>
          <cell r="I776">
            <v>0</v>
          </cell>
          <cell r="L776">
            <v>250</v>
          </cell>
        </row>
        <row r="777">
          <cell r="D777">
            <v>45897</v>
          </cell>
          <cell r="H777" t="str">
            <v>5.5-6</v>
          </cell>
          <cell r="I777">
            <v>0</v>
          </cell>
          <cell r="L777">
            <v>325</v>
          </cell>
        </row>
        <row r="778">
          <cell r="D778">
            <v>45898</v>
          </cell>
          <cell r="H778" t="str">
            <v>5.5-6</v>
          </cell>
          <cell r="I778">
            <v>0</v>
          </cell>
          <cell r="L778">
            <v>210</v>
          </cell>
        </row>
        <row r="779">
          <cell r="D779">
            <v>45898</v>
          </cell>
          <cell r="H779" t="str">
            <v>5.5-6</v>
          </cell>
          <cell r="I779">
            <v>0</v>
          </cell>
          <cell r="L779">
            <v>300</v>
          </cell>
        </row>
        <row r="780">
          <cell r="D780">
            <v>45898</v>
          </cell>
          <cell r="H780" t="str">
            <v>5.5-6</v>
          </cell>
          <cell r="I780">
            <v>0</v>
          </cell>
          <cell r="L780">
            <v>245</v>
          </cell>
        </row>
        <row r="781">
          <cell r="D781">
            <v>45898</v>
          </cell>
          <cell r="H781" t="str">
            <v>5.5-6</v>
          </cell>
          <cell r="I781">
            <v>0</v>
          </cell>
          <cell r="L781">
            <v>245</v>
          </cell>
        </row>
        <row r="782">
          <cell r="D782">
            <v>45899</v>
          </cell>
          <cell r="H782" t="str">
            <v>5.5-6</v>
          </cell>
          <cell r="I782">
            <v>12</v>
          </cell>
          <cell r="L782">
            <v>245</v>
          </cell>
        </row>
        <row r="783">
          <cell r="D783">
            <v>45899</v>
          </cell>
          <cell r="H783" t="str">
            <v>5.5-6</v>
          </cell>
          <cell r="I783">
            <v>12</v>
          </cell>
          <cell r="L783">
            <v>235</v>
          </cell>
        </row>
        <row r="784">
          <cell r="D784">
            <v>45899</v>
          </cell>
          <cell r="H784" t="str">
            <v>5.5-6</v>
          </cell>
          <cell r="I784">
            <v>12</v>
          </cell>
          <cell r="L784">
            <v>210</v>
          </cell>
        </row>
        <row r="785">
          <cell r="D785">
            <v>45899</v>
          </cell>
          <cell r="H785" t="str">
            <v>5.5-6</v>
          </cell>
          <cell r="I785">
            <v>16</v>
          </cell>
          <cell r="L785">
            <v>325</v>
          </cell>
        </row>
        <row r="786">
          <cell r="D786">
            <v>45900</v>
          </cell>
          <cell r="H786" t="str">
            <v>6.5-7</v>
          </cell>
          <cell r="I786">
            <v>11</v>
          </cell>
          <cell r="L786">
            <v>50</v>
          </cell>
        </row>
        <row r="787">
          <cell r="D787">
            <v>45900</v>
          </cell>
          <cell r="H787" t="str">
            <v>5.5-6</v>
          </cell>
          <cell r="I787">
            <v>16</v>
          </cell>
          <cell r="L787">
            <v>125</v>
          </cell>
        </row>
        <row r="788">
          <cell r="D788">
            <v>45901</v>
          </cell>
          <cell r="H788" t="str">
            <v>5.5-6</v>
          </cell>
          <cell r="I788">
            <v>16</v>
          </cell>
          <cell r="L788">
            <v>68.400000000000006</v>
          </cell>
        </row>
        <row r="789">
          <cell r="D789">
            <v>45901</v>
          </cell>
          <cell r="H789" t="str">
            <v>5-5.5</v>
          </cell>
          <cell r="I789">
            <v>20</v>
          </cell>
          <cell r="L789">
            <v>175</v>
          </cell>
        </row>
        <row r="790">
          <cell r="D790">
            <v>45901</v>
          </cell>
          <cell r="H790">
            <v>7</v>
          </cell>
          <cell r="I790">
            <v>11</v>
          </cell>
          <cell r="L790">
            <v>92.9</v>
          </cell>
        </row>
        <row r="791">
          <cell r="D791">
            <v>45901</v>
          </cell>
          <cell r="H791">
            <v>7</v>
          </cell>
          <cell r="I791">
            <v>13</v>
          </cell>
          <cell r="L791">
            <v>50</v>
          </cell>
        </row>
        <row r="792">
          <cell r="D792">
            <v>45901</v>
          </cell>
          <cell r="H792" t="str">
            <v>5-5.5</v>
          </cell>
          <cell r="I792">
            <v>20</v>
          </cell>
          <cell r="L792">
            <v>240.9</v>
          </cell>
        </row>
        <row r="793">
          <cell r="D793">
            <v>45902</v>
          </cell>
          <cell r="H793">
            <v>7</v>
          </cell>
          <cell r="I793">
            <v>13</v>
          </cell>
          <cell r="L793">
            <v>19</v>
          </cell>
        </row>
        <row r="794">
          <cell r="D794">
            <v>45902</v>
          </cell>
          <cell r="H794" t="str">
            <v>8.5-9</v>
          </cell>
          <cell r="I794">
            <v>26</v>
          </cell>
          <cell r="L794">
            <v>115.5</v>
          </cell>
        </row>
        <row r="795">
          <cell r="D795">
            <v>45902</v>
          </cell>
          <cell r="H795">
            <v>5</v>
          </cell>
          <cell r="I795">
            <v>20</v>
          </cell>
          <cell r="L795">
            <v>200</v>
          </cell>
        </row>
        <row r="796">
          <cell r="D796">
            <v>45902</v>
          </cell>
          <cell r="H796">
            <v>5</v>
          </cell>
          <cell r="I796">
            <v>20</v>
          </cell>
          <cell r="L796">
            <v>50</v>
          </cell>
        </row>
        <row r="797">
          <cell r="D797">
            <v>45902</v>
          </cell>
          <cell r="H797">
            <v>5</v>
          </cell>
          <cell r="I797">
            <v>13</v>
          </cell>
          <cell r="L797">
            <v>225</v>
          </cell>
        </row>
        <row r="798">
          <cell r="D798">
            <v>45902</v>
          </cell>
          <cell r="H798">
            <v>5</v>
          </cell>
          <cell r="I798">
            <v>20</v>
          </cell>
          <cell r="L798">
            <v>55</v>
          </cell>
        </row>
        <row r="799">
          <cell r="D799">
            <v>45902</v>
          </cell>
          <cell r="H799">
            <v>5</v>
          </cell>
          <cell r="I799">
            <v>11</v>
          </cell>
          <cell r="L799">
            <v>150</v>
          </cell>
        </row>
        <row r="800">
          <cell r="D800">
            <v>45903</v>
          </cell>
          <cell r="H800">
            <v>5</v>
          </cell>
          <cell r="I800">
            <v>13</v>
          </cell>
          <cell r="L800">
            <v>275</v>
          </cell>
        </row>
        <row r="801">
          <cell r="D801">
            <v>45903</v>
          </cell>
          <cell r="H801">
            <v>5</v>
          </cell>
          <cell r="I801">
            <v>11</v>
          </cell>
          <cell r="L801">
            <v>25</v>
          </cell>
        </row>
        <row r="802">
          <cell r="D802">
            <v>45903</v>
          </cell>
          <cell r="H802">
            <v>5</v>
          </cell>
          <cell r="I802">
            <v>11</v>
          </cell>
          <cell r="L802">
            <v>175</v>
          </cell>
        </row>
        <row r="803">
          <cell r="D803">
            <v>45903</v>
          </cell>
          <cell r="H803">
            <v>5</v>
          </cell>
          <cell r="I803">
            <v>11</v>
          </cell>
          <cell r="L803">
            <v>200</v>
          </cell>
        </row>
        <row r="804">
          <cell r="D804">
            <v>45903</v>
          </cell>
          <cell r="H804">
            <v>5</v>
          </cell>
          <cell r="I804">
            <v>11</v>
          </cell>
          <cell r="L804">
            <v>175</v>
          </cell>
        </row>
        <row r="805">
          <cell r="D805">
            <v>45904</v>
          </cell>
          <cell r="H805">
            <v>5</v>
          </cell>
          <cell r="I805">
            <v>11</v>
          </cell>
          <cell r="L805">
            <v>50</v>
          </cell>
        </row>
        <row r="806">
          <cell r="D806">
            <v>45904</v>
          </cell>
          <cell r="H806" t="str">
            <v>5.5-6</v>
          </cell>
          <cell r="I806">
            <v>17</v>
          </cell>
          <cell r="L806">
            <v>250</v>
          </cell>
        </row>
        <row r="807">
          <cell r="D807">
            <v>45904</v>
          </cell>
          <cell r="H807">
            <v>5</v>
          </cell>
          <cell r="I807">
            <v>11</v>
          </cell>
          <cell r="L807">
            <v>100</v>
          </cell>
        </row>
        <row r="808">
          <cell r="D808">
            <v>45904</v>
          </cell>
          <cell r="H808">
            <v>7</v>
          </cell>
          <cell r="I808">
            <v>13</v>
          </cell>
          <cell r="L808">
            <v>50</v>
          </cell>
        </row>
        <row r="809">
          <cell r="D809">
            <v>45904</v>
          </cell>
          <cell r="H809">
            <v>7</v>
          </cell>
          <cell r="I809">
            <v>13</v>
          </cell>
          <cell r="L809">
            <v>92</v>
          </cell>
        </row>
        <row r="810">
          <cell r="D810">
            <v>45904</v>
          </cell>
          <cell r="H810" t="str">
            <v>5.5-6</v>
          </cell>
          <cell r="I810">
            <v>17</v>
          </cell>
          <cell r="L810">
            <v>125</v>
          </cell>
        </row>
        <row r="811">
          <cell r="D811">
            <v>45905</v>
          </cell>
          <cell r="H811" t="str">
            <v>5-5.5</v>
          </cell>
          <cell r="I811">
            <v>24</v>
          </cell>
          <cell r="L811">
            <v>200</v>
          </cell>
        </row>
        <row r="812">
          <cell r="D812">
            <v>45905</v>
          </cell>
          <cell r="H812" t="str">
            <v>6.5-7</v>
          </cell>
          <cell r="I812">
            <v>12</v>
          </cell>
          <cell r="L812">
            <v>50</v>
          </cell>
        </row>
        <row r="813">
          <cell r="D813">
            <v>45905</v>
          </cell>
          <cell r="H813" t="str">
            <v>5-5.5</v>
          </cell>
          <cell r="I813">
            <v>20</v>
          </cell>
          <cell r="L813">
            <v>75</v>
          </cell>
        </row>
        <row r="814">
          <cell r="D814">
            <v>45905</v>
          </cell>
          <cell r="H814" t="str">
            <v>5-5.5</v>
          </cell>
          <cell r="I814">
            <v>24</v>
          </cell>
          <cell r="L814">
            <v>217.8</v>
          </cell>
        </row>
        <row r="815">
          <cell r="D815">
            <v>45905</v>
          </cell>
          <cell r="H815" t="str">
            <v>5-5.5</v>
          </cell>
          <cell r="I815">
            <v>20</v>
          </cell>
          <cell r="L815">
            <v>225</v>
          </cell>
        </row>
        <row r="816">
          <cell r="D816">
            <v>45906</v>
          </cell>
          <cell r="H816">
            <v>15</v>
          </cell>
          <cell r="I816">
            <v>16</v>
          </cell>
          <cell r="L816">
            <v>259.8</v>
          </cell>
        </row>
        <row r="817">
          <cell r="D817">
            <v>45906</v>
          </cell>
          <cell r="H817" t="str">
            <v>5-5.5</v>
          </cell>
          <cell r="I817">
            <v>20</v>
          </cell>
          <cell r="L817">
            <v>110.3</v>
          </cell>
        </row>
        <row r="818">
          <cell r="D818">
            <v>45906</v>
          </cell>
          <cell r="H818" t="str">
            <v>5.5-6</v>
          </cell>
          <cell r="I818">
            <v>17</v>
          </cell>
          <cell r="L818">
            <v>200</v>
          </cell>
        </row>
        <row r="819">
          <cell r="D819">
            <v>45906</v>
          </cell>
          <cell r="H819" t="str">
            <v>6.5-7</v>
          </cell>
          <cell r="I819">
            <v>11</v>
          </cell>
          <cell r="L819">
            <v>50</v>
          </cell>
        </row>
        <row r="820">
          <cell r="D820">
            <v>45906</v>
          </cell>
          <cell r="H820" t="str">
            <v>5.5-6</v>
          </cell>
          <cell r="I820">
            <v>17</v>
          </cell>
          <cell r="L820">
            <v>200</v>
          </cell>
        </row>
        <row r="821">
          <cell r="D821">
            <v>45906</v>
          </cell>
          <cell r="H821" t="str">
            <v>5.5-6</v>
          </cell>
          <cell r="I821">
            <v>17</v>
          </cell>
          <cell r="L821">
            <v>250</v>
          </cell>
        </row>
        <row r="822">
          <cell r="D822">
            <v>45907</v>
          </cell>
          <cell r="H822" t="str">
            <v>5.5-6</v>
          </cell>
          <cell r="I822">
            <v>17</v>
          </cell>
          <cell r="L822">
            <v>300</v>
          </cell>
        </row>
        <row r="823">
          <cell r="D823">
            <v>45907</v>
          </cell>
          <cell r="H823" t="str">
            <v>5.5-6</v>
          </cell>
          <cell r="I823">
            <v>17</v>
          </cell>
          <cell r="L823">
            <v>375</v>
          </cell>
        </row>
        <row r="824">
          <cell r="D824">
            <v>45907</v>
          </cell>
          <cell r="H824" t="str">
            <v>5.5-6</v>
          </cell>
          <cell r="I824">
            <v>17</v>
          </cell>
          <cell r="L824">
            <v>400</v>
          </cell>
        </row>
        <row r="825">
          <cell r="D825">
            <v>45908</v>
          </cell>
          <cell r="H825" t="str">
            <v>5.5-6</v>
          </cell>
          <cell r="I825">
            <v>17</v>
          </cell>
          <cell r="L825">
            <v>450</v>
          </cell>
        </row>
        <row r="826">
          <cell r="D826">
            <v>45908</v>
          </cell>
          <cell r="H826" t="str">
            <v>6.5-7</v>
          </cell>
          <cell r="I826">
            <v>11</v>
          </cell>
          <cell r="L826">
            <v>50</v>
          </cell>
        </row>
        <row r="827">
          <cell r="D827">
            <v>45908</v>
          </cell>
          <cell r="H827">
            <v>15</v>
          </cell>
          <cell r="I827">
            <v>10</v>
          </cell>
          <cell r="L827">
            <v>120</v>
          </cell>
        </row>
        <row r="828">
          <cell r="D828">
            <v>45909</v>
          </cell>
          <cell r="H828">
            <v>15</v>
          </cell>
          <cell r="I828">
            <v>10</v>
          </cell>
          <cell r="L828">
            <v>150</v>
          </cell>
        </row>
        <row r="829">
          <cell r="D829">
            <v>45909</v>
          </cell>
          <cell r="H829">
            <v>15</v>
          </cell>
          <cell r="I829">
            <v>10</v>
          </cell>
          <cell r="L829">
            <v>30.3</v>
          </cell>
        </row>
        <row r="830">
          <cell r="D830">
            <v>45909</v>
          </cell>
          <cell r="H830" t="str">
            <v>8.5-9</v>
          </cell>
          <cell r="I830">
            <v>17</v>
          </cell>
          <cell r="L830">
            <v>109.2</v>
          </cell>
        </row>
        <row r="831">
          <cell r="D831">
            <v>45909</v>
          </cell>
          <cell r="H831" t="str">
            <v>5.5-6</v>
          </cell>
          <cell r="I831">
            <v>17</v>
          </cell>
          <cell r="L831">
            <v>100</v>
          </cell>
        </row>
        <row r="832">
          <cell r="D832">
            <v>45910</v>
          </cell>
          <cell r="H832" t="str">
            <v>5.5-6</v>
          </cell>
          <cell r="I832">
            <v>17</v>
          </cell>
          <cell r="L832">
            <v>300</v>
          </cell>
        </row>
        <row r="833">
          <cell r="D833">
            <v>45910</v>
          </cell>
          <cell r="H833">
            <v>5</v>
          </cell>
          <cell r="I833">
            <v>18</v>
          </cell>
          <cell r="L833">
            <v>100</v>
          </cell>
        </row>
        <row r="834">
          <cell r="D834">
            <v>45910</v>
          </cell>
          <cell r="H834" t="str">
            <v>5.5-6</v>
          </cell>
          <cell r="I834">
            <v>17</v>
          </cell>
          <cell r="L834">
            <v>275</v>
          </cell>
        </row>
        <row r="835">
          <cell r="D835">
            <v>45910</v>
          </cell>
          <cell r="H835">
            <v>5</v>
          </cell>
          <cell r="I835">
            <v>5</v>
          </cell>
          <cell r="L835">
            <v>125</v>
          </cell>
        </row>
        <row r="836">
          <cell r="D836">
            <v>45910</v>
          </cell>
          <cell r="H836" t="str">
            <v>5.5-6</v>
          </cell>
          <cell r="I836">
            <v>17</v>
          </cell>
          <cell r="L836">
            <v>375</v>
          </cell>
        </row>
        <row r="837">
          <cell r="D837">
            <v>45911</v>
          </cell>
          <cell r="H837" t="str">
            <v>5.5-6</v>
          </cell>
          <cell r="I837">
            <v>17</v>
          </cell>
          <cell r="L837">
            <v>300</v>
          </cell>
        </row>
        <row r="838">
          <cell r="D838">
            <v>45911</v>
          </cell>
          <cell r="H838">
            <v>5</v>
          </cell>
          <cell r="I838">
            <v>8</v>
          </cell>
          <cell r="L838">
            <v>125</v>
          </cell>
        </row>
        <row r="839">
          <cell r="D839">
            <v>45911</v>
          </cell>
          <cell r="H839" t="str">
            <v>5.5-6</v>
          </cell>
          <cell r="I839">
            <v>17</v>
          </cell>
          <cell r="L839">
            <v>425</v>
          </cell>
        </row>
        <row r="840">
          <cell r="D840">
            <v>45911</v>
          </cell>
          <cell r="H840">
            <v>10</v>
          </cell>
          <cell r="I840">
            <v>26</v>
          </cell>
          <cell r="L840">
            <v>100</v>
          </cell>
        </row>
        <row r="841">
          <cell r="D841">
            <v>45911</v>
          </cell>
          <cell r="H841">
            <v>10</v>
          </cell>
          <cell r="I841">
            <v>26</v>
          </cell>
          <cell r="L841">
            <v>90.1</v>
          </cell>
        </row>
        <row r="842">
          <cell r="D842">
            <v>45911</v>
          </cell>
          <cell r="H842">
            <v>5</v>
          </cell>
          <cell r="I842">
            <v>28</v>
          </cell>
          <cell r="L842">
            <v>50</v>
          </cell>
        </row>
        <row r="843">
          <cell r="D843">
            <v>45911</v>
          </cell>
          <cell r="H843">
            <v>5</v>
          </cell>
          <cell r="I843">
            <v>28</v>
          </cell>
          <cell r="L843">
            <v>39.200000000000003</v>
          </cell>
        </row>
        <row r="844">
          <cell r="D844">
            <v>45911</v>
          </cell>
          <cell r="H844">
            <v>5</v>
          </cell>
          <cell r="I844">
            <v>28</v>
          </cell>
          <cell r="L844">
            <v>100</v>
          </cell>
        </row>
        <row r="845">
          <cell r="D845">
            <v>45911</v>
          </cell>
          <cell r="H845" t="str">
            <v>5.5-6</v>
          </cell>
          <cell r="I845">
            <v>17</v>
          </cell>
          <cell r="L845">
            <v>400</v>
          </cell>
        </row>
        <row r="846">
          <cell r="D846">
            <v>45912</v>
          </cell>
          <cell r="H846" t="str">
            <v>5.5-6</v>
          </cell>
          <cell r="I846">
            <v>17</v>
          </cell>
          <cell r="L846">
            <v>400</v>
          </cell>
        </row>
        <row r="847">
          <cell r="D847">
            <v>45912</v>
          </cell>
          <cell r="H847" t="str">
            <v>5.5-6</v>
          </cell>
          <cell r="I847">
            <v>17</v>
          </cell>
          <cell r="L847">
            <v>400</v>
          </cell>
        </row>
        <row r="848">
          <cell r="D848">
            <v>45912</v>
          </cell>
          <cell r="H848" t="str">
            <v>5.5-6</v>
          </cell>
          <cell r="I848">
            <v>17</v>
          </cell>
          <cell r="L848">
            <v>400</v>
          </cell>
        </row>
        <row r="849">
          <cell r="D849">
            <v>45912</v>
          </cell>
          <cell r="H849" t="str">
            <v>5.5-6</v>
          </cell>
          <cell r="I849">
            <v>17</v>
          </cell>
          <cell r="L849">
            <v>400</v>
          </cell>
        </row>
        <row r="850">
          <cell r="D850">
            <v>45913</v>
          </cell>
          <cell r="H850" t="str">
            <v>5.5-6</v>
          </cell>
          <cell r="I850" t="str">
            <v>PP</v>
          </cell>
          <cell r="L850">
            <v>325</v>
          </cell>
        </row>
        <row r="851">
          <cell r="D851">
            <v>45913</v>
          </cell>
          <cell r="H851" t="str">
            <v>5.5-6</v>
          </cell>
          <cell r="I851" t="str">
            <v>PP</v>
          </cell>
          <cell r="L851">
            <v>75</v>
          </cell>
        </row>
        <row r="852">
          <cell r="D852">
            <v>45913</v>
          </cell>
          <cell r="H852">
            <v>7</v>
          </cell>
          <cell r="I852" t="str">
            <v>PP</v>
          </cell>
          <cell r="L852">
            <v>150</v>
          </cell>
        </row>
        <row r="853">
          <cell r="D853">
            <v>45913</v>
          </cell>
          <cell r="H853" t="str">
            <v>5.5-6</v>
          </cell>
          <cell r="I853" t="str">
            <v>PP</v>
          </cell>
          <cell r="L853">
            <v>300</v>
          </cell>
        </row>
        <row r="854">
          <cell r="D854">
            <v>45913</v>
          </cell>
          <cell r="H854">
            <v>7</v>
          </cell>
          <cell r="I854" t="str">
            <v>PP</v>
          </cell>
          <cell r="L854">
            <v>50</v>
          </cell>
        </row>
        <row r="855">
          <cell r="D855">
            <v>45913</v>
          </cell>
          <cell r="H855">
            <v>7</v>
          </cell>
          <cell r="I855" t="str">
            <v>PP</v>
          </cell>
          <cell r="L855">
            <v>198.5</v>
          </cell>
        </row>
        <row r="856">
          <cell r="D856">
            <v>45914</v>
          </cell>
          <cell r="H856" t="str">
            <v>5.5-6</v>
          </cell>
          <cell r="I856" t="str">
            <v>PP</v>
          </cell>
          <cell r="L856">
            <v>350</v>
          </cell>
        </row>
        <row r="857">
          <cell r="D857">
            <v>45914</v>
          </cell>
          <cell r="H857">
            <v>7</v>
          </cell>
          <cell r="I857" t="str">
            <v>PP</v>
          </cell>
          <cell r="L857">
            <v>200</v>
          </cell>
        </row>
        <row r="858">
          <cell r="D858">
            <v>45914</v>
          </cell>
          <cell r="H858" t="str">
            <v>5.5-6</v>
          </cell>
          <cell r="I858" t="str">
            <v>PP</v>
          </cell>
          <cell r="L858">
            <v>50</v>
          </cell>
        </row>
        <row r="859">
          <cell r="D859">
            <v>45914</v>
          </cell>
          <cell r="H859" t="str">
            <v>5.5-6</v>
          </cell>
          <cell r="I859" t="str">
            <v>PP</v>
          </cell>
          <cell r="L859">
            <v>375</v>
          </cell>
        </row>
        <row r="860">
          <cell r="D860">
            <v>45915</v>
          </cell>
          <cell r="H860" t="str">
            <v>5.5-6</v>
          </cell>
          <cell r="I860" t="str">
            <v>PP</v>
          </cell>
          <cell r="L860">
            <v>400</v>
          </cell>
        </row>
        <row r="861">
          <cell r="D861">
            <v>45915</v>
          </cell>
          <cell r="H861" t="str">
            <v>5.5-6</v>
          </cell>
          <cell r="I861" t="str">
            <v>PP</v>
          </cell>
          <cell r="L861">
            <v>400</v>
          </cell>
        </row>
        <row r="862">
          <cell r="D862">
            <v>45915</v>
          </cell>
          <cell r="H862" t="str">
            <v>5.5-6</v>
          </cell>
          <cell r="I862" t="str">
            <v>PP</v>
          </cell>
          <cell r="L862">
            <v>300</v>
          </cell>
        </row>
        <row r="863">
          <cell r="D863">
            <v>45915</v>
          </cell>
          <cell r="H863">
            <v>7</v>
          </cell>
          <cell r="I863" t="str">
            <v>PP</v>
          </cell>
          <cell r="L863">
            <v>100</v>
          </cell>
        </row>
        <row r="864">
          <cell r="D864">
            <v>45915</v>
          </cell>
          <cell r="H864" t="str">
            <v>8.5-9</v>
          </cell>
          <cell r="I864" t="str">
            <v>PP</v>
          </cell>
          <cell r="L864">
            <v>150</v>
          </cell>
        </row>
        <row r="865">
          <cell r="D865">
            <v>45916</v>
          </cell>
          <cell r="H865" t="str">
            <v>5.5-6</v>
          </cell>
          <cell r="I865" t="str">
            <v>PP</v>
          </cell>
          <cell r="L865">
            <v>250</v>
          </cell>
        </row>
        <row r="866">
          <cell r="D866">
            <v>45916</v>
          </cell>
          <cell r="H866" t="str">
            <v>8.5-9</v>
          </cell>
          <cell r="I866" t="str">
            <v>PP</v>
          </cell>
          <cell r="L866">
            <v>50</v>
          </cell>
        </row>
        <row r="867">
          <cell r="D867">
            <v>45916</v>
          </cell>
          <cell r="H867" t="str">
            <v>8.5-9</v>
          </cell>
          <cell r="I867" t="str">
            <v>PP</v>
          </cell>
          <cell r="L867">
            <v>275</v>
          </cell>
        </row>
        <row r="868">
          <cell r="D868">
            <v>45916</v>
          </cell>
          <cell r="H868" t="str">
            <v>8.5-9</v>
          </cell>
          <cell r="I868" t="str">
            <v>PP</v>
          </cell>
          <cell r="L868">
            <v>200</v>
          </cell>
        </row>
        <row r="869">
          <cell r="D869">
            <v>45916</v>
          </cell>
          <cell r="H869" t="str">
            <v>8.5-9</v>
          </cell>
          <cell r="I869" t="str">
            <v>PP</v>
          </cell>
          <cell r="L869">
            <v>275</v>
          </cell>
        </row>
        <row r="870">
          <cell r="D870">
            <v>45917</v>
          </cell>
          <cell r="H870" t="str">
            <v>8.5-9</v>
          </cell>
          <cell r="I870" t="str">
            <v>PP</v>
          </cell>
          <cell r="L870">
            <v>275</v>
          </cell>
        </row>
        <row r="871">
          <cell r="D871">
            <v>45917</v>
          </cell>
          <cell r="H871" t="str">
            <v>8.5-9</v>
          </cell>
          <cell r="I871" t="str">
            <v>PP</v>
          </cell>
          <cell r="L871">
            <v>275</v>
          </cell>
        </row>
        <row r="872">
          <cell r="D872">
            <v>45917</v>
          </cell>
          <cell r="H872" t="str">
            <v>8.5-9</v>
          </cell>
          <cell r="I872" t="str">
            <v>PP</v>
          </cell>
          <cell r="L872">
            <v>50</v>
          </cell>
        </row>
        <row r="873">
          <cell r="D873">
            <v>45917</v>
          </cell>
          <cell r="H873">
            <v>14</v>
          </cell>
          <cell r="I873" t="str">
            <v>PP</v>
          </cell>
          <cell r="L873">
            <v>243.55</v>
          </cell>
        </row>
        <row r="874">
          <cell r="D874">
            <v>45917</v>
          </cell>
          <cell r="H874" t="str">
            <v>8.5-9</v>
          </cell>
          <cell r="I874" t="str">
            <v>PP</v>
          </cell>
          <cell r="L874">
            <v>275</v>
          </cell>
        </row>
        <row r="875">
          <cell r="D875">
            <v>45918</v>
          </cell>
          <cell r="H875" t="str">
            <v>5.5-6</v>
          </cell>
          <cell r="I875">
            <v>17</v>
          </cell>
          <cell r="L875">
            <v>375</v>
          </cell>
        </row>
        <row r="876">
          <cell r="D876">
            <v>45918</v>
          </cell>
          <cell r="H876" t="str">
            <v>8.5-9</v>
          </cell>
          <cell r="I876">
            <v>17</v>
          </cell>
          <cell r="L876">
            <v>155</v>
          </cell>
        </row>
        <row r="877">
          <cell r="D877">
            <v>45918</v>
          </cell>
          <cell r="H877">
            <v>5</v>
          </cell>
          <cell r="I877">
            <v>16</v>
          </cell>
          <cell r="L877">
            <v>125</v>
          </cell>
        </row>
        <row r="878">
          <cell r="D878">
            <v>45918</v>
          </cell>
          <cell r="H878" t="str">
            <v>5.5-6</v>
          </cell>
          <cell r="I878">
            <v>17</v>
          </cell>
          <cell r="L878">
            <v>275</v>
          </cell>
        </row>
        <row r="879">
          <cell r="D879">
            <v>45918</v>
          </cell>
          <cell r="H879">
            <v>5</v>
          </cell>
          <cell r="I879">
            <v>16</v>
          </cell>
          <cell r="L879">
            <v>65.8</v>
          </cell>
        </row>
        <row r="880">
          <cell r="D880">
            <v>45918</v>
          </cell>
          <cell r="H880">
            <v>5</v>
          </cell>
          <cell r="I880">
            <v>18</v>
          </cell>
          <cell r="L880">
            <v>102.7</v>
          </cell>
        </row>
        <row r="881">
          <cell r="D881">
            <v>45918</v>
          </cell>
          <cell r="H881">
            <v>5</v>
          </cell>
          <cell r="I881">
            <v>18</v>
          </cell>
          <cell r="L881">
            <v>125</v>
          </cell>
        </row>
        <row r="882">
          <cell r="D882">
            <v>45919</v>
          </cell>
          <cell r="H882" t="str">
            <v>5.5-6</v>
          </cell>
          <cell r="I882">
            <v>17</v>
          </cell>
          <cell r="L882">
            <v>350</v>
          </cell>
        </row>
        <row r="883">
          <cell r="D883">
            <v>45919</v>
          </cell>
          <cell r="H883">
            <v>5</v>
          </cell>
          <cell r="I883">
            <v>18</v>
          </cell>
          <cell r="L883">
            <v>75</v>
          </cell>
        </row>
        <row r="884">
          <cell r="D884">
            <v>45919</v>
          </cell>
          <cell r="H884">
            <v>5</v>
          </cell>
          <cell r="I884">
            <v>18</v>
          </cell>
          <cell r="L884">
            <v>200</v>
          </cell>
        </row>
        <row r="885">
          <cell r="D885">
            <v>45919</v>
          </cell>
          <cell r="H885" t="str">
            <v>5.5-6</v>
          </cell>
          <cell r="I885">
            <v>17</v>
          </cell>
          <cell r="L885">
            <v>300</v>
          </cell>
        </row>
        <row r="886">
          <cell r="D886">
            <v>45919</v>
          </cell>
          <cell r="H886">
            <v>5</v>
          </cell>
          <cell r="I886">
            <v>14</v>
          </cell>
          <cell r="L886">
            <v>56.8</v>
          </cell>
        </row>
        <row r="887">
          <cell r="D887">
            <v>45919</v>
          </cell>
          <cell r="H887">
            <v>5</v>
          </cell>
          <cell r="I887">
            <v>18</v>
          </cell>
          <cell r="L887">
            <v>52.1</v>
          </cell>
        </row>
        <row r="888">
          <cell r="D888">
            <v>45919</v>
          </cell>
          <cell r="H888">
            <v>5</v>
          </cell>
          <cell r="I888">
            <v>12</v>
          </cell>
          <cell r="L888">
            <v>99.5</v>
          </cell>
        </row>
        <row r="889">
          <cell r="D889">
            <v>45919</v>
          </cell>
          <cell r="H889" t="str">
            <v>5.5-6</v>
          </cell>
          <cell r="I889">
            <v>17</v>
          </cell>
          <cell r="L889">
            <v>25</v>
          </cell>
        </row>
        <row r="890">
          <cell r="D890">
            <v>45920</v>
          </cell>
          <cell r="H890" t="str">
            <v>5.5-6</v>
          </cell>
          <cell r="I890">
            <v>17</v>
          </cell>
          <cell r="L890">
            <v>350</v>
          </cell>
        </row>
        <row r="891">
          <cell r="D891">
            <v>45920</v>
          </cell>
          <cell r="H891" t="str">
            <v>5.5-6</v>
          </cell>
          <cell r="I891">
            <v>17</v>
          </cell>
          <cell r="L891">
            <v>350</v>
          </cell>
        </row>
        <row r="892">
          <cell r="D892">
            <v>45920</v>
          </cell>
          <cell r="H892" t="str">
            <v>5.5-6</v>
          </cell>
          <cell r="I892">
            <v>17</v>
          </cell>
          <cell r="L892">
            <v>175</v>
          </cell>
        </row>
        <row r="893">
          <cell r="D893">
            <v>45920</v>
          </cell>
          <cell r="H893" t="str">
            <v>5.5-6</v>
          </cell>
          <cell r="I893">
            <v>17</v>
          </cell>
          <cell r="L893">
            <v>150</v>
          </cell>
        </row>
        <row r="894">
          <cell r="D894">
            <v>45920</v>
          </cell>
          <cell r="H894">
            <v>5</v>
          </cell>
          <cell r="I894">
            <v>14</v>
          </cell>
          <cell r="L894">
            <v>100</v>
          </cell>
        </row>
        <row r="895">
          <cell r="D895">
            <v>45921</v>
          </cell>
        </row>
        <row r="896">
          <cell r="D896">
            <v>45922</v>
          </cell>
          <cell r="H896">
            <v>5</v>
          </cell>
          <cell r="I896">
            <v>14</v>
          </cell>
          <cell r="L896">
            <v>65</v>
          </cell>
        </row>
        <row r="897">
          <cell r="D897">
            <v>45922</v>
          </cell>
          <cell r="H897">
            <v>7</v>
          </cell>
          <cell r="I897">
            <v>13</v>
          </cell>
          <cell r="L897">
            <v>75</v>
          </cell>
        </row>
        <row r="898">
          <cell r="D898">
            <v>45923</v>
          </cell>
          <cell r="H898">
            <v>7</v>
          </cell>
          <cell r="I898">
            <v>13</v>
          </cell>
          <cell r="L898">
            <v>225</v>
          </cell>
        </row>
        <row r="899">
          <cell r="D899">
            <v>45923</v>
          </cell>
          <cell r="H899" t="str">
            <v>5.5-6</v>
          </cell>
          <cell r="I899">
            <v>16</v>
          </cell>
          <cell r="L899">
            <v>325</v>
          </cell>
        </row>
        <row r="900">
          <cell r="D900">
            <v>45923</v>
          </cell>
          <cell r="H900">
            <v>7</v>
          </cell>
          <cell r="I900">
            <v>13</v>
          </cell>
          <cell r="L900">
            <v>94.2</v>
          </cell>
        </row>
        <row r="901">
          <cell r="D901">
            <v>45923</v>
          </cell>
          <cell r="H901" t="str">
            <v>8.5-9</v>
          </cell>
          <cell r="I901">
            <v>17</v>
          </cell>
          <cell r="L901">
            <v>100</v>
          </cell>
        </row>
        <row r="902">
          <cell r="D902">
            <v>45923</v>
          </cell>
          <cell r="H902" t="str">
            <v>5.5-6</v>
          </cell>
          <cell r="I902">
            <v>16</v>
          </cell>
          <cell r="L902">
            <v>174</v>
          </cell>
        </row>
        <row r="903">
          <cell r="D903">
            <v>45923</v>
          </cell>
          <cell r="H903" t="str">
            <v>4-4.5</v>
          </cell>
          <cell r="I903">
            <v>12</v>
          </cell>
          <cell r="L903">
            <v>50</v>
          </cell>
        </row>
        <row r="904">
          <cell r="D904">
            <v>45924</v>
          </cell>
          <cell r="H904" t="str">
            <v>8.5-9</v>
          </cell>
          <cell r="I904">
            <v>17</v>
          </cell>
          <cell r="L904">
            <v>275</v>
          </cell>
        </row>
        <row r="905">
          <cell r="D905">
            <v>45924</v>
          </cell>
          <cell r="H905" t="str">
            <v>4-4.5</v>
          </cell>
          <cell r="I905">
            <v>12</v>
          </cell>
          <cell r="L905">
            <v>45.2</v>
          </cell>
        </row>
        <row r="906">
          <cell r="D906">
            <v>45924</v>
          </cell>
          <cell r="H906">
            <v>5</v>
          </cell>
          <cell r="I906">
            <v>17</v>
          </cell>
          <cell r="L906">
            <v>100</v>
          </cell>
        </row>
        <row r="907">
          <cell r="D907">
            <v>45924</v>
          </cell>
          <cell r="H907" t="str">
            <v>8.5-9</v>
          </cell>
          <cell r="I907">
            <v>17</v>
          </cell>
          <cell r="L907">
            <v>75</v>
          </cell>
        </row>
        <row r="908">
          <cell r="D908">
            <v>45924</v>
          </cell>
          <cell r="H908" t="str">
            <v>8.5-9</v>
          </cell>
          <cell r="I908">
            <v>17</v>
          </cell>
          <cell r="L908">
            <v>200</v>
          </cell>
        </row>
        <row r="909">
          <cell r="D909">
            <v>45924</v>
          </cell>
          <cell r="H909" t="str">
            <v>8.5-9</v>
          </cell>
          <cell r="I909">
            <v>17</v>
          </cell>
          <cell r="L909">
            <v>275</v>
          </cell>
        </row>
        <row r="910">
          <cell r="D910">
            <v>45925</v>
          </cell>
          <cell r="H910" t="str">
            <v>8.5-9</v>
          </cell>
          <cell r="I910">
            <v>17</v>
          </cell>
          <cell r="L910">
            <v>275</v>
          </cell>
        </row>
        <row r="911">
          <cell r="D911">
            <v>45925</v>
          </cell>
          <cell r="H911" t="str">
            <v>8.5-9</v>
          </cell>
          <cell r="I911">
            <v>17</v>
          </cell>
          <cell r="L911">
            <v>275</v>
          </cell>
        </row>
        <row r="912">
          <cell r="D912">
            <v>45925</v>
          </cell>
          <cell r="H912" t="str">
            <v>5.5-6</v>
          </cell>
          <cell r="I912">
            <v>17</v>
          </cell>
          <cell r="L912">
            <v>50</v>
          </cell>
        </row>
        <row r="913">
          <cell r="D913">
            <v>45925</v>
          </cell>
          <cell r="H913" t="str">
            <v>8.5-9</v>
          </cell>
          <cell r="I913">
            <v>17</v>
          </cell>
          <cell r="L913">
            <v>250</v>
          </cell>
        </row>
        <row r="914">
          <cell r="D914">
            <v>45925</v>
          </cell>
          <cell r="H914" t="str">
            <v>8.5-9</v>
          </cell>
          <cell r="I914">
            <v>17</v>
          </cell>
          <cell r="L914">
            <v>250</v>
          </cell>
        </row>
        <row r="915">
          <cell r="D915">
            <v>45925</v>
          </cell>
          <cell r="H915" t="str">
            <v>5.5-6</v>
          </cell>
          <cell r="I915">
            <v>17</v>
          </cell>
          <cell r="L915">
            <v>25</v>
          </cell>
        </row>
        <row r="916">
          <cell r="D916">
            <v>45926</v>
          </cell>
          <cell r="H916" t="str">
            <v>8.5-9</v>
          </cell>
          <cell r="I916">
            <v>17</v>
          </cell>
          <cell r="L916">
            <v>275</v>
          </cell>
        </row>
        <row r="917">
          <cell r="D917">
            <v>45926</v>
          </cell>
          <cell r="H917" t="str">
            <v>8.5-9</v>
          </cell>
          <cell r="I917">
            <v>17</v>
          </cell>
          <cell r="L917">
            <v>200</v>
          </cell>
        </row>
        <row r="918">
          <cell r="D918">
            <v>45926</v>
          </cell>
          <cell r="H918" t="str">
            <v>8.5-9</v>
          </cell>
          <cell r="I918">
            <v>17</v>
          </cell>
          <cell r="L918">
            <v>200</v>
          </cell>
        </row>
        <row r="919">
          <cell r="D919">
            <v>45926</v>
          </cell>
          <cell r="H919" t="str">
            <v>8.5-9</v>
          </cell>
          <cell r="I919">
            <v>17</v>
          </cell>
          <cell r="L919">
            <v>270</v>
          </cell>
        </row>
        <row r="920">
          <cell r="D920">
            <v>45927</v>
          </cell>
          <cell r="H920">
            <v>7</v>
          </cell>
          <cell r="I920">
            <v>15</v>
          </cell>
          <cell r="L920">
            <v>207.2</v>
          </cell>
        </row>
        <row r="921">
          <cell r="D921">
            <v>45927</v>
          </cell>
          <cell r="H921">
            <v>7</v>
          </cell>
          <cell r="I921">
            <v>19</v>
          </cell>
          <cell r="L921">
            <v>227.5</v>
          </cell>
        </row>
        <row r="922">
          <cell r="D922">
            <v>45927</v>
          </cell>
          <cell r="H922" t="str">
            <v>5.5-6</v>
          </cell>
          <cell r="I922">
            <v>17</v>
          </cell>
          <cell r="L922">
            <v>75</v>
          </cell>
        </row>
        <row r="923">
          <cell r="D923">
            <v>45927</v>
          </cell>
          <cell r="H923" t="str">
            <v>5.5-6</v>
          </cell>
          <cell r="I923">
            <v>17</v>
          </cell>
          <cell r="L923">
            <v>325</v>
          </cell>
        </row>
        <row r="924">
          <cell r="D924">
            <v>45927</v>
          </cell>
          <cell r="H924" t="str">
            <v>5.5-6</v>
          </cell>
          <cell r="I924">
            <v>17</v>
          </cell>
          <cell r="L924">
            <v>350</v>
          </cell>
        </row>
        <row r="925">
          <cell r="D925">
            <v>45928</v>
          </cell>
          <cell r="H925" t="str">
            <v>5.5-6</v>
          </cell>
          <cell r="I925">
            <v>17</v>
          </cell>
          <cell r="L925">
            <v>325</v>
          </cell>
        </row>
        <row r="926">
          <cell r="D926">
            <v>45928</v>
          </cell>
          <cell r="H926" t="str">
            <v>5.5-6</v>
          </cell>
          <cell r="I926">
            <v>17</v>
          </cell>
          <cell r="L926">
            <v>350</v>
          </cell>
        </row>
        <row r="927">
          <cell r="D927">
            <v>45928</v>
          </cell>
          <cell r="H927" t="str">
            <v>5.5-6</v>
          </cell>
          <cell r="I927">
            <v>17</v>
          </cell>
          <cell r="L927">
            <v>200</v>
          </cell>
        </row>
        <row r="928">
          <cell r="D928">
            <v>45928</v>
          </cell>
          <cell r="H928">
            <v>5</v>
          </cell>
          <cell r="I928">
            <v>28</v>
          </cell>
          <cell r="L928">
            <v>125</v>
          </cell>
        </row>
        <row r="929">
          <cell r="D929">
            <v>45929</v>
          </cell>
          <cell r="H929" t="str">
            <v>5.5-6</v>
          </cell>
          <cell r="I929">
            <v>17</v>
          </cell>
          <cell r="L929">
            <v>350</v>
          </cell>
        </row>
        <row r="930">
          <cell r="D930">
            <v>45929</v>
          </cell>
          <cell r="H930" t="str">
            <v>5.5-6</v>
          </cell>
          <cell r="I930">
            <v>17</v>
          </cell>
          <cell r="L930">
            <v>225</v>
          </cell>
        </row>
        <row r="931">
          <cell r="D931">
            <v>45929</v>
          </cell>
          <cell r="H931">
            <v>5</v>
          </cell>
          <cell r="I931">
            <v>28</v>
          </cell>
          <cell r="L931">
            <v>125</v>
          </cell>
        </row>
        <row r="932">
          <cell r="D932">
            <v>45929</v>
          </cell>
          <cell r="H932">
            <v>5</v>
          </cell>
          <cell r="I932">
            <v>8</v>
          </cell>
          <cell r="L932">
            <v>25</v>
          </cell>
        </row>
        <row r="933">
          <cell r="D933">
            <v>45929</v>
          </cell>
          <cell r="H933">
            <v>5</v>
          </cell>
          <cell r="I933">
            <v>14</v>
          </cell>
          <cell r="L933">
            <v>50</v>
          </cell>
        </row>
        <row r="934">
          <cell r="D934">
            <v>45929</v>
          </cell>
          <cell r="H934" t="str">
            <v>5.5-6</v>
          </cell>
          <cell r="I934">
            <v>17</v>
          </cell>
          <cell r="L934">
            <v>200</v>
          </cell>
        </row>
        <row r="935">
          <cell r="D935">
            <v>45930</v>
          </cell>
          <cell r="H935">
            <v>5</v>
          </cell>
          <cell r="I935">
            <v>14</v>
          </cell>
          <cell r="L935">
            <v>200</v>
          </cell>
        </row>
        <row r="936">
          <cell r="D936">
            <v>45930</v>
          </cell>
          <cell r="H936">
            <v>5</v>
          </cell>
          <cell r="I936">
            <v>14</v>
          </cell>
          <cell r="L936">
            <v>25</v>
          </cell>
        </row>
        <row r="937">
          <cell r="D937">
            <v>45930</v>
          </cell>
          <cell r="H937" t="str">
            <v>5.5-6</v>
          </cell>
          <cell r="I937">
            <v>17</v>
          </cell>
          <cell r="L937">
            <v>325</v>
          </cell>
        </row>
        <row r="938">
          <cell r="D938">
            <v>45930</v>
          </cell>
          <cell r="H938">
            <v>5</v>
          </cell>
          <cell r="I938">
            <v>14</v>
          </cell>
          <cell r="L938">
            <v>50</v>
          </cell>
        </row>
        <row r="939">
          <cell r="D939">
            <v>45930</v>
          </cell>
          <cell r="H939">
            <v>14</v>
          </cell>
          <cell r="I939">
            <v>8</v>
          </cell>
          <cell r="L939">
            <v>250.45</v>
          </cell>
        </row>
        <row r="940">
          <cell r="D940">
            <v>45930</v>
          </cell>
          <cell r="H940">
            <v>7</v>
          </cell>
          <cell r="I940">
            <v>12</v>
          </cell>
          <cell r="L940">
            <v>50</v>
          </cell>
        </row>
        <row r="941">
          <cell r="D941">
            <v>45930</v>
          </cell>
          <cell r="H941">
            <v>7</v>
          </cell>
          <cell r="I941">
            <v>11</v>
          </cell>
          <cell r="L941">
            <v>100</v>
          </cell>
        </row>
        <row r="942">
          <cell r="D942">
            <v>45930</v>
          </cell>
          <cell r="H942" t="str">
            <v>5.5-6</v>
          </cell>
          <cell r="I942">
            <v>17</v>
          </cell>
          <cell r="L942">
            <v>50</v>
          </cell>
        </row>
        <row r="943">
          <cell r="D943">
            <v>45931</v>
          </cell>
          <cell r="H943" t="str">
            <v>5.5-6</v>
          </cell>
          <cell r="I943">
            <v>17</v>
          </cell>
          <cell r="L943">
            <v>325</v>
          </cell>
        </row>
        <row r="944">
          <cell r="D944">
            <v>45931</v>
          </cell>
          <cell r="H944" t="str">
            <v>5.5-6</v>
          </cell>
          <cell r="I944">
            <v>17</v>
          </cell>
          <cell r="L944">
            <v>325</v>
          </cell>
        </row>
        <row r="945">
          <cell r="D945">
            <v>45931</v>
          </cell>
          <cell r="H945" t="str">
            <v>5.5-6</v>
          </cell>
          <cell r="I945">
            <v>17</v>
          </cell>
          <cell r="L945">
            <v>150</v>
          </cell>
        </row>
        <row r="946">
          <cell r="D946">
            <v>45931</v>
          </cell>
          <cell r="H946">
            <v>5</v>
          </cell>
          <cell r="I946">
            <v>16</v>
          </cell>
          <cell r="L946">
            <v>98.2</v>
          </cell>
        </row>
        <row r="947">
          <cell r="D947">
            <v>45931</v>
          </cell>
          <cell r="H947" t="str">
            <v>5.5-6</v>
          </cell>
          <cell r="I947">
            <v>17</v>
          </cell>
          <cell r="L947">
            <v>232.35</v>
          </cell>
        </row>
        <row r="948">
          <cell r="D948">
            <v>45932</v>
          </cell>
          <cell r="H948">
            <v>14</v>
          </cell>
          <cell r="I948">
            <v>12</v>
          </cell>
          <cell r="L948">
            <v>90</v>
          </cell>
        </row>
        <row r="949">
          <cell r="D949">
            <v>45932</v>
          </cell>
          <cell r="H949">
            <v>14</v>
          </cell>
          <cell r="I949">
            <v>6</v>
          </cell>
          <cell r="L949">
            <v>120</v>
          </cell>
        </row>
        <row r="950">
          <cell r="D950">
            <v>45932</v>
          </cell>
          <cell r="H950">
            <v>14</v>
          </cell>
          <cell r="I950">
            <v>6</v>
          </cell>
          <cell r="L950">
            <v>196.5</v>
          </cell>
        </row>
        <row r="951">
          <cell r="D951">
            <v>45932</v>
          </cell>
          <cell r="H951">
            <v>5</v>
          </cell>
          <cell r="I951">
            <v>19</v>
          </cell>
          <cell r="L951">
            <v>97</v>
          </cell>
        </row>
        <row r="952">
          <cell r="D952">
            <v>45932</v>
          </cell>
          <cell r="H952">
            <v>5</v>
          </cell>
          <cell r="I952">
            <v>14</v>
          </cell>
          <cell r="L952">
            <v>100</v>
          </cell>
        </row>
        <row r="953">
          <cell r="D953">
            <v>45932</v>
          </cell>
          <cell r="H953">
            <v>5</v>
          </cell>
          <cell r="I953">
            <v>7</v>
          </cell>
          <cell r="L953">
            <v>153</v>
          </cell>
        </row>
        <row r="954">
          <cell r="D954">
            <v>45933</v>
          </cell>
          <cell r="H954">
            <v>5</v>
          </cell>
          <cell r="I954">
            <v>18</v>
          </cell>
          <cell r="L954">
            <v>25</v>
          </cell>
        </row>
        <row r="955">
          <cell r="D955">
            <v>45933</v>
          </cell>
          <cell r="H955">
            <v>5</v>
          </cell>
          <cell r="I955">
            <v>18</v>
          </cell>
          <cell r="L955">
            <v>50</v>
          </cell>
        </row>
        <row r="956">
          <cell r="D956">
            <v>45933</v>
          </cell>
          <cell r="H956">
            <v>5</v>
          </cell>
          <cell r="I956">
            <v>18</v>
          </cell>
          <cell r="L956">
            <v>100</v>
          </cell>
        </row>
        <row r="957">
          <cell r="D957">
            <v>45933</v>
          </cell>
          <cell r="H957">
            <v>5</v>
          </cell>
          <cell r="I957">
            <v>8</v>
          </cell>
          <cell r="L957">
            <v>125</v>
          </cell>
        </row>
        <row r="958">
          <cell r="D958">
            <v>45933</v>
          </cell>
          <cell r="H958">
            <v>5</v>
          </cell>
          <cell r="I958">
            <v>18</v>
          </cell>
          <cell r="L958">
            <v>50</v>
          </cell>
        </row>
        <row r="959">
          <cell r="D959">
            <v>45933</v>
          </cell>
          <cell r="H959">
            <v>7</v>
          </cell>
          <cell r="I959">
            <v>12</v>
          </cell>
          <cell r="L959">
            <v>101</v>
          </cell>
        </row>
        <row r="960">
          <cell r="D960">
            <v>45933</v>
          </cell>
          <cell r="H960">
            <v>7</v>
          </cell>
          <cell r="I960">
            <v>13</v>
          </cell>
          <cell r="L960">
            <v>25</v>
          </cell>
        </row>
      </sheetData>
      <sheetData sheetId="2">
        <row r="1">
          <cell r="D1" t="str">
            <v>DATE</v>
          </cell>
          <cell r="H1" t="str">
            <v>GUAGE</v>
          </cell>
          <cell r="I1" t="str">
            <v>TUBE</v>
          </cell>
          <cell r="L1" t="str">
            <v>NET WEIGHT</v>
          </cell>
        </row>
        <row r="2">
          <cell r="D2">
            <v>45658</v>
          </cell>
          <cell r="H2">
            <v>0</v>
          </cell>
          <cell r="I2">
            <v>0</v>
          </cell>
          <cell r="L2">
            <v>420</v>
          </cell>
        </row>
        <row r="3">
          <cell r="D3">
            <v>45658</v>
          </cell>
          <cell r="H3">
            <v>5</v>
          </cell>
          <cell r="I3">
            <v>0</v>
          </cell>
          <cell r="L3">
            <v>325</v>
          </cell>
        </row>
        <row r="4">
          <cell r="D4">
            <v>45658</v>
          </cell>
          <cell r="H4">
            <v>5</v>
          </cell>
          <cell r="I4">
            <v>0</v>
          </cell>
          <cell r="L4">
            <v>425</v>
          </cell>
        </row>
        <row r="5">
          <cell r="D5">
            <v>45658</v>
          </cell>
          <cell r="H5">
            <v>5</v>
          </cell>
          <cell r="I5">
            <v>0</v>
          </cell>
          <cell r="L5">
            <v>100</v>
          </cell>
        </row>
        <row r="6">
          <cell r="D6">
            <v>45658</v>
          </cell>
          <cell r="H6">
            <v>5</v>
          </cell>
          <cell r="I6">
            <v>0</v>
          </cell>
          <cell r="L6">
            <v>150</v>
          </cell>
        </row>
        <row r="7">
          <cell r="D7">
            <v>45658</v>
          </cell>
          <cell r="H7">
            <v>12</v>
          </cell>
          <cell r="I7">
            <v>0</v>
          </cell>
          <cell r="L7">
            <v>321</v>
          </cell>
        </row>
        <row r="8">
          <cell r="D8">
            <v>45659</v>
          </cell>
          <cell r="H8">
            <v>0</v>
          </cell>
          <cell r="I8">
            <v>0</v>
          </cell>
          <cell r="L8">
            <v>346</v>
          </cell>
        </row>
        <row r="9">
          <cell r="D9">
            <v>45659</v>
          </cell>
          <cell r="H9" t="str">
            <v>-</v>
          </cell>
          <cell r="I9" t="str">
            <v>-</v>
          </cell>
          <cell r="L9">
            <v>242.1</v>
          </cell>
        </row>
        <row r="10">
          <cell r="D10">
            <v>45659</v>
          </cell>
          <cell r="H10">
            <v>10</v>
          </cell>
          <cell r="I10">
            <v>0</v>
          </cell>
          <cell r="L10">
            <v>130</v>
          </cell>
        </row>
        <row r="11">
          <cell r="D11">
            <v>45659</v>
          </cell>
          <cell r="H11">
            <v>5</v>
          </cell>
          <cell r="I11">
            <v>0</v>
          </cell>
          <cell r="L11">
            <v>25</v>
          </cell>
        </row>
        <row r="12">
          <cell r="D12">
            <v>45659</v>
          </cell>
          <cell r="H12">
            <v>5</v>
          </cell>
          <cell r="I12">
            <v>0</v>
          </cell>
          <cell r="L12">
            <v>150</v>
          </cell>
        </row>
        <row r="13">
          <cell r="D13">
            <v>45659</v>
          </cell>
          <cell r="H13">
            <v>5</v>
          </cell>
          <cell r="I13">
            <v>0</v>
          </cell>
          <cell r="L13">
            <v>150</v>
          </cell>
        </row>
        <row r="14">
          <cell r="D14">
            <v>45659</v>
          </cell>
          <cell r="H14">
            <v>5</v>
          </cell>
          <cell r="I14">
            <v>0</v>
          </cell>
          <cell r="L14">
            <v>25</v>
          </cell>
        </row>
        <row r="15">
          <cell r="D15">
            <v>45659</v>
          </cell>
          <cell r="H15">
            <v>5</v>
          </cell>
          <cell r="I15">
            <v>0</v>
          </cell>
          <cell r="L15">
            <v>125</v>
          </cell>
        </row>
        <row r="16">
          <cell r="D16">
            <v>45659</v>
          </cell>
          <cell r="H16">
            <v>5</v>
          </cell>
          <cell r="I16">
            <v>0</v>
          </cell>
          <cell r="L16">
            <v>125</v>
          </cell>
        </row>
        <row r="17">
          <cell r="D17">
            <v>45659</v>
          </cell>
          <cell r="H17">
            <v>5</v>
          </cell>
          <cell r="I17">
            <v>0</v>
          </cell>
          <cell r="L17">
            <v>75</v>
          </cell>
        </row>
        <row r="18">
          <cell r="D18">
            <v>45659</v>
          </cell>
          <cell r="H18">
            <v>5</v>
          </cell>
          <cell r="I18">
            <v>0</v>
          </cell>
          <cell r="L18">
            <v>175</v>
          </cell>
        </row>
        <row r="19">
          <cell r="D19">
            <v>45659</v>
          </cell>
          <cell r="H19">
            <v>5</v>
          </cell>
          <cell r="I19">
            <v>0</v>
          </cell>
          <cell r="L19">
            <v>225</v>
          </cell>
        </row>
        <row r="20">
          <cell r="D20">
            <v>45660</v>
          </cell>
          <cell r="H20">
            <v>0</v>
          </cell>
          <cell r="I20">
            <v>0</v>
          </cell>
          <cell r="L20">
            <v>140</v>
          </cell>
        </row>
        <row r="21">
          <cell r="D21">
            <v>45660</v>
          </cell>
          <cell r="H21">
            <v>5</v>
          </cell>
          <cell r="I21">
            <v>0</v>
          </cell>
          <cell r="L21">
            <v>275</v>
          </cell>
        </row>
        <row r="22">
          <cell r="D22">
            <v>45660</v>
          </cell>
          <cell r="H22">
            <v>5</v>
          </cell>
          <cell r="I22">
            <v>0</v>
          </cell>
          <cell r="L22">
            <v>100</v>
          </cell>
        </row>
        <row r="23">
          <cell r="D23">
            <v>45660</v>
          </cell>
          <cell r="H23">
            <v>5</v>
          </cell>
          <cell r="I23">
            <v>0</v>
          </cell>
          <cell r="L23">
            <v>25</v>
          </cell>
        </row>
        <row r="24">
          <cell r="D24">
            <v>45660</v>
          </cell>
          <cell r="H24">
            <v>5</v>
          </cell>
          <cell r="I24">
            <v>0</v>
          </cell>
          <cell r="L24">
            <v>250</v>
          </cell>
        </row>
        <row r="25">
          <cell r="D25">
            <v>45660</v>
          </cell>
          <cell r="H25">
            <v>5</v>
          </cell>
          <cell r="I25">
            <v>0</v>
          </cell>
          <cell r="L25">
            <v>375</v>
          </cell>
        </row>
        <row r="26">
          <cell r="D26">
            <v>45660</v>
          </cell>
          <cell r="H26">
            <v>5</v>
          </cell>
          <cell r="I26">
            <v>0</v>
          </cell>
          <cell r="L26">
            <v>350</v>
          </cell>
        </row>
        <row r="27">
          <cell r="D27">
            <v>45660</v>
          </cell>
          <cell r="H27">
            <v>5</v>
          </cell>
          <cell r="I27">
            <v>0</v>
          </cell>
          <cell r="L27">
            <v>150</v>
          </cell>
        </row>
        <row r="28">
          <cell r="D28">
            <v>45660</v>
          </cell>
          <cell r="H28">
            <v>5</v>
          </cell>
          <cell r="I28">
            <v>0</v>
          </cell>
          <cell r="L28">
            <v>125</v>
          </cell>
        </row>
        <row r="29">
          <cell r="D29">
            <v>45660</v>
          </cell>
          <cell r="H29">
            <v>5</v>
          </cell>
          <cell r="I29">
            <v>0</v>
          </cell>
          <cell r="L29">
            <v>175</v>
          </cell>
        </row>
        <row r="30">
          <cell r="D30">
            <v>45660</v>
          </cell>
          <cell r="H30">
            <v>5</v>
          </cell>
          <cell r="I30">
            <v>0</v>
          </cell>
          <cell r="L30">
            <v>50</v>
          </cell>
        </row>
        <row r="31">
          <cell r="D31">
            <v>45661</v>
          </cell>
          <cell r="H31">
            <v>5</v>
          </cell>
          <cell r="I31">
            <v>0</v>
          </cell>
          <cell r="L31">
            <v>250</v>
          </cell>
        </row>
        <row r="32">
          <cell r="D32">
            <v>45661</v>
          </cell>
          <cell r="H32">
            <v>5</v>
          </cell>
          <cell r="I32">
            <v>0</v>
          </cell>
          <cell r="L32">
            <v>50</v>
          </cell>
        </row>
        <row r="33">
          <cell r="D33">
            <v>45661</v>
          </cell>
          <cell r="H33">
            <v>5</v>
          </cell>
          <cell r="I33">
            <v>0</v>
          </cell>
          <cell r="L33">
            <v>25</v>
          </cell>
        </row>
        <row r="34">
          <cell r="D34">
            <v>45661</v>
          </cell>
          <cell r="H34">
            <v>5</v>
          </cell>
          <cell r="I34">
            <v>0</v>
          </cell>
          <cell r="L34">
            <v>25</v>
          </cell>
        </row>
        <row r="35">
          <cell r="D35">
            <v>45661</v>
          </cell>
          <cell r="H35">
            <v>5</v>
          </cell>
          <cell r="I35">
            <v>0</v>
          </cell>
          <cell r="L35">
            <v>150</v>
          </cell>
        </row>
        <row r="36">
          <cell r="D36">
            <v>45661</v>
          </cell>
          <cell r="H36">
            <v>5</v>
          </cell>
          <cell r="I36">
            <v>0</v>
          </cell>
          <cell r="L36">
            <v>125</v>
          </cell>
        </row>
        <row r="37">
          <cell r="D37">
            <v>45661</v>
          </cell>
          <cell r="H37">
            <v>5</v>
          </cell>
          <cell r="I37">
            <v>0</v>
          </cell>
          <cell r="L37">
            <v>300</v>
          </cell>
        </row>
        <row r="38">
          <cell r="D38">
            <v>45661</v>
          </cell>
          <cell r="H38">
            <v>5</v>
          </cell>
          <cell r="I38">
            <v>0</v>
          </cell>
          <cell r="L38">
            <v>25</v>
          </cell>
        </row>
        <row r="39">
          <cell r="D39">
            <v>45661</v>
          </cell>
          <cell r="H39">
            <v>5</v>
          </cell>
          <cell r="I39">
            <v>0</v>
          </cell>
          <cell r="L39">
            <v>200</v>
          </cell>
        </row>
        <row r="40">
          <cell r="D40">
            <v>45661</v>
          </cell>
          <cell r="H40">
            <v>5</v>
          </cell>
          <cell r="I40">
            <v>0</v>
          </cell>
          <cell r="L40">
            <v>250</v>
          </cell>
        </row>
        <row r="41">
          <cell r="D41">
            <v>45661</v>
          </cell>
          <cell r="H41">
            <v>5</v>
          </cell>
          <cell r="I41">
            <v>0</v>
          </cell>
          <cell r="L41">
            <v>225</v>
          </cell>
        </row>
        <row r="42">
          <cell r="D42">
            <v>45661</v>
          </cell>
          <cell r="H42">
            <v>5</v>
          </cell>
          <cell r="I42">
            <v>0</v>
          </cell>
          <cell r="L42">
            <v>250</v>
          </cell>
        </row>
        <row r="43">
          <cell r="D43">
            <v>45662</v>
          </cell>
          <cell r="H43">
            <v>5</v>
          </cell>
          <cell r="I43">
            <v>0</v>
          </cell>
          <cell r="L43">
            <v>125</v>
          </cell>
        </row>
        <row r="44">
          <cell r="D44">
            <v>45662</v>
          </cell>
          <cell r="H44">
            <v>5</v>
          </cell>
          <cell r="I44">
            <v>0</v>
          </cell>
          <cell r="L44">
            <v>125</v>
          </cell>
        </row>
        <row r="45">
          <cell r="D45">
            <v>45662</v>
          </cell>
          <cell r="H45">
            <v>5</v>
          </cell>
          <cell r="I45">
            <v>0</v>
          </cell>
          <cell r="L45">
            <v>150</v>
          </cell>
        </row>
        <row r="46">
          <cell r="D46">
            <v>45662</v>
          </cell>
          <cell r="H46">
            <v>5</v>
          </cell>
          <cell r="I46">
            <v>0</v>
          </cell>
          <cell r="L46">
            <v>200</v>
          </cell>
        </row>
        <row r="47">
          <cell r="D47">
            <v>45662</v>
          </cell>
          <cell r="H47">
            <v>5</v>
          </cell>
          <cell r="I47">
            <v>0</v>
          </cell>
          <cell r="L47">
            <v>75</v>
          </cell>
        </row>
        <row r="48">
          <cell r="D48">
            <v>45662</v>
          </cell>
          <cell r="H48">
            <v>0</v>
          </cell>
          <cell r="I48">
            <v>0</v>
          </cell>
          <cell r="L48">
            <v>140</v>
          </cell>
        </row>
        <row r="49">
          <cell r="D49">
            <v>45662</v>
          </cell>
          <cell r="H49">
            <v>0</v>
          </cell>
          <cell r="I49">
            <v>0</v>
          </cell>
          <cell r="L49">
            <v>420</v>
          </cell>
        </row>
        <row r="50">
          <cell r="D50">
            <v>45662</v>
          </cell>
          <cell r="H50">
            <v>5</v>
          </cell>
          <cell r="I50">
            <v>0</v>
          </cell>
          <cell r="L50">
            <v>325</v>
          </cell>
        </row>
        <row r="51">
          <cell r="D51">
            <v>45662</v>
          </cell>
          <cell r="H51">
            <v>5</v>
          </cell>
          <cell r="I51">
            <v>0</v>
          </cell>
          <cell r="L51">
            <v>25</v>
          </cell>
        </row>
        <row r="52">
          <cell r="D52">
            <v>45663</v>
          </cell>
          <cell r="H52">
            <v>0</v>
          </cell>
          <cell r="I52">
            <v>0</v>
          </cell>
          <cell r="L52">
            <v>210</v>
          </cell>
        </row>
        <row r="53">
          <cell r="D53">
            <v>45663</v>
          </cell>
          <cell r="H53">
            <v>5</v>
          </cell>
          <cell r="I53">
            <v>0</v>
          </cell>
          <cell r="L53">
            <v>175</v>
          </cell>
        </row>
        <row r="54">
          <cell r="D54">
            <v>45663</v>
          </cell>
          <cell r="H54">
            <v>5</v>
          </cell>
          <cell r="I54">
            <v>0</v>
          </cell>
          <cell r="L54">
            <v>50</v>
          </cell>
        </row>
        <row r="55">
          <cell r="D55">
            <v>45663</v>
          </cell>
          <cell r="H55">
            <v>5</v>
          </cell>
          <cell r="I55">
            <v>0</v>
          </cell>
          <cell r="L55">
            <v>300</v>
          </cell>
        </row>
        <row r="56">
          <cell r="D56">
            <v>45663</v>
          </cell>
          <cell r="H56">
            <v>5</v>
          </cell>
          <cell r="I56">
            <v>0</v>
          </cell>
          <cell r="L56">
            <v>175</v>
          </cell>
        </row>
        <row r="57">
          <cell r="D57">
            <v>45663</v>
          </cell>
          <cell r="H57">
            <v>0</v>
          </cell>
          <cell r="I57">
            <v>0</v>
          </cell>
          <cell r="L57">
            <v>420</v>
          </cell>
        </row>
        <row r="58">
          <cell r="D58">
            <v>45663</v>
          </cell>
          <cell r="H58">
            <v>5</v>
          </cell>
          <cell r="I58">
            <v>0</v>
          </cell>
          <cell r="L58">
            <v>200</v>
          </cell>
        </row>
        <row r="59">
          <cell r="D59">
            <v>45663</v>
          </cell>
          <cell r="H59">
            <v>5</v>
          </cell>
          <cell r="I59">
            <v>0</v>
          </cell>
          <cell r="L59">
            <v>200</v>
          </cell>
        </row>
        <row r="60">
          <cell r="D60">
            <v>45663</v>
          </cell>
          <cell r="H60">
            <v>5</v>
          </cell>
          <cell r="I60">
            <v>0</v>
          </cell>
          <cell r="L60">
            <v>125</v>
          </cell>
        </row>
        <row r="61">
          <cell r="D61">
            <v>45664</v>
          </cell>
          <cell r="H61">
            <v>5</v>
          </cell>
          <cell r="I61">
            <v>0</v>
          </cell>
          <cell r="L61">
            <v>225</v>
          </cell>
        </row>
        <row r="62">
          <cell r="D62">
            <v>45664</v>
          </cell>
          <cell r="H62">
            <v>14</v>
          </cell>
          <cell r="I62">
            <v>0</v>
          </cell>
          <cell r="L62">
            <v>41</v>
          </cell>
        </row>
        <row r="63">
          <cell r="D63">
            <v>45664</v>
          </cell>
          <cell r="H63">
            <v>0</v>
          </cell>
          <cell r="I63">
            <v>0</v>
          </cell>
          <cell r="L63">
            <v>35</v>
          </cell>
        </row>
        <row r="64">
          <cell r="D64">
            <v>45664</v>
          </cell>
          <cell r="H64">
            <v>5</v>
          </cell>
          <cell r="I64">
            <v>0</v>
          </cell>
          <cell r="L64">
            <v>375</v>
          </cell>
        </row>
        <row r="65">
          <cell r="D65">
            <v>45664</v>
          </cell>
          <cell r="H65">
            <v>5</v>
          </cell>
          <cell r="I65">
            <v>0</v>
          </cell>
          <cell r="L65">
            <v>325</v>
          </cell>
        </row>
        <row r="66">
          <cell r="D66">
            <v>45664</v>
          </cell>
          <cell r="H66">
            <v>5</v>
          </cell>
          <cell r="I66">
            <v>0</v>
          </cell>
          <cell r="L66">
            <v>325</v>
          </cell>
        </row>
        <row r="67">
          <cell r="D67">
            <v>45664</v>
          </cell>
          <cell r="H67">
            <v>5</v>
          </cell>
          <cell r="I67">
            <v>0</v>
          </cell>
          <cell r="L67">
            <v>50</v>
          </cell>
        </row>
        <row r="68">
          <cell r="D68">
            <v>45664</v>
          </cell>
          <cell r="H68">
            <v>5</v>
          </cell>
          <cell r="I68">
            <v>0</v>
          </cell>
          <cell r="L68">
            <v>200</v>
          </cell>
        </row>
        <row r="69">
          <cell r="D69">
            <v>45664</v>
          </cell>
          <cell r="H69">
            <v>0</v>
          </cell>
          <cell r="I69">
            <v>0</v>
          </cell>
          <cell r="L69">
            <v>350</v>
          </cell>
        </row>
        <row r="70">
          <cell r="D70">
            <v>45664</v>
          </cell>
          <cell r="H70">
            <v>5</v>
          </cell>
          <cell r="I70">
            <v>0</v>
          </cell>
          <cell r="L70">
            <v>125</v>
          </cell>
        </row>
        <row r="71">
          <cell r="D71">
            <v>45665</v>
          </cell>
          <cell r="H71">
            <v>5</v>
          </cell>
          <cell r="I71">
            <v>0</v>
          </cell>
          <cell r="L71">
            <v>100</v>
          </cell>
        </row>
        <row r="72">
          <cell r="D72">
            <v>45665</v>
          </cell>
          <cell r="H72">
            <v>5</v>
          </cell>
          <cell r="I72">
            <v>0</v>
          </cell>
          <cell r="L72">
            <v>350</v>
          </cell>
        </row>
        <row r="73">
          <cell r="D73">
            <v>45665</v>
          </cell>
          <cell r="H73">
            <v>0</v>
          </cell>
          <cell r="I73">
            <v>0</v>
          </cell>
          <cell r="L73">
            <v>385</v>
          </cell>
        </row>
        <row r="74">
          <cell r="D74">
            <v>45665</v>
          </cell>
          <cell r="H74">
            <v>5</v>
          </cell>
          <cell r="I74">
            <v>0</v>
          </cell>
          <cell r="L74">
            <v>225</v>
          </cell>
        </row>
        <row r="75">
          <cell r="D75">
            <v>45665</v>
          </cell>
          <cell r="H75">
            <v>5</v>
          </cell>
          <cell r="I75">
            <v>0</v>
          </cell>
          <cell r="L75">
            <v>225</v>
          </cell>
        </row>
        <row r="76">
          <cell r="D76">
            <v>45665</v>
          </cell>
          <cell r="H76">
            <v>5</v>
          </cell>
          <cell r="I76">
            <v>0</v>
          </cell>
          <cell r="L76">
            <v>75</v>
          </cell>
        </row>
        <row r="77">
          <cell r="D77">
            <v>45665</v>
          </cell>
          <cell r="H77">
            <v>5</v>
          </cell>
          <cell r="I77">
            <v>0</v>
          </cell>
          <cell r="L77">
            <v>100</v>
          </cell>
        </row>
        <row r="78">
          <cell r="D78">
            <v>45665</v>
          </cell>
          <cell r="H78">
            <v>5</v>
          </cell>
          <cell r="I78">
            <v>0</v>
          </cell>
          <cell r="L78">
            <v>175</v>
          </cell>
        </row>
        <row r="79">
          <cell r="D79">
            <v>45665</v>
          </cell>
          <cell r="H79">
            <v>5</v>
          </cell>
          <cell r="I79">
            <v>0</v>
          </cell>
          <cell r="L79">
            <v>100</v>
          </cell>
        </row>
        <row r="80">
          <cell r="D80">
            <v>45665</v>
          </cell>
          <cell r="H80">
            <v>5</v>
          </cell>
          <cell r="I80">
            <v>0</v>
          </cell>
          <cell r="L80">
            <v>125</v>
          </cell>
        </row>
        <row r="81">
          <cell r="D81">
            <v>45665</v>
          </cell>
          <cell r="H81">
            <v>5</v>
          </cell>
          <cell r="I81">
            <v>0</v>
          </cell>
          <cell r="L81">
            <v>25</v>
          </cell>
        </row>
        <row r="82">
          <cell r="D82">
            <v>45666</v>
          </cell>
          <cell r="H82">
            <v>5</v>
          </cell>
          <cell r="I82">
            <v>0</v>
          </cell>
          <cell r="L82">
            <v>250</v>
          </cell>
        </row>
        <row r="83">
          <cell r="D83">
            <v>45666</v>
          </cell>
          <cell r="H83">
            <v>5</v>
          </cell>
          <cell r="I83">
            <v>0</v>
          </cell>
          <cell r="L83">
            <v>100</v>
          </cell>
        </row>
        <row r="84">
          <cell r="D84">
            <v>45666</v>
          </cell>
          <cell r="H84">
            <v>5</v>
          </cell>
          <cell r="I84">
            <v>0</v>
          </cell>
          <cell r="L84">
            <v>200</v>
          </cell>
        </row>
        <row r="85">
          <cell r="D85">
            <v>45666</v>
          </cell>
          <cell r="H85">
            <v>5</v>
          </cell>
          <cell r="I85">
            <v>0</v>
          </cell>
          <cell r="L85">
            <v>50</v>
          </cell>
        </row>
        <row r="86">
          <cell r="D86">
            <v>45666</v>
          </cell>
          <cell r="H86">
            <v>5</v>
          </cell>
          <cell r="I86">
            <v>0</v>
          </cell>
          <cell r="L86">
            <v>100</v>
          </cell>
        </row>
        <row r="87">
          <cell r="D87">
            <v>45666</v>
          </cell>
          <cell r="H87">
            <v>5</v>
          </cell>
          <cell r="I87">
            <v>0</v>
          </cell>
          <cell r="L87">
            <v>150</v>
          </cell>
        </row>
        <row r="88">
          <cell r="D88">
            <v>45666</v>
          </cell>
          <cell r="H88">
            <v>5</v>
          </cell>
          <cell r="I88">
            <v>0</v>
          </cell>
          <cell r="L88">
            <v>275</v>
          </cell>
        </row>
        <row r="89">
          <cell r="D89">
            <v>45666</v>
          </cell>
          <cell r="H89">
            <v>5</v>
          </cell>
          <cell r="I89">
            <v>0</v>
          </cell>
          <cell r="L89">
            <v>175</v>
          </cell>
        </row>
        <row r="90">
          <cell r="D90">
            <v>45666</v>
          </cell>
          <cell r="H90">
            <v>5</v>
          </cell>
          <cell r="I90">
            <v>0</v>
          </cell>
          <cell r="L90">
            <v>50</v>
          </cell>
        </row>
        <row r="91">
          <cell r="D91">
            <v>45666</v>
          </cell>
          <cell r="H91">
            <v>0</v>
          </cell>
          <cell r="I91">
            <v>0</v>
          </cell>
          <cell r="L91">
            <v>105</v>
          </cell>
        </row>
        <row r="92">
          <cell r="D92">
            <v>45666</v>
          </cell>
          <cell r="H92">
            <v>5</v>
          </cell>
          <cell r="I92">
            <v>0</v>
          </cell>
          <cell r="L92">
            <v>175</v>
          </cell>
        </row>
        <row r="93">
          <cell r="D93">
            <v>45666</v>
          </cell>
          <cell r="H93">
            <v>5</v>
          </cell>
          <cell r="I93">
            <v>0</v>
          </cell>
          <cell r="L93">
            <v>25</v>
          </cell>
        </row>
        <row r="94">
          <cell r="D94">
            <v>45666</v>
          </cell>
          <cell r="H94">
            <v>5</v>
          </cell>
          <cell r="I94">
            <v>0</v>
          </cell>
          <cell r="L94">
            <v>100</v>
          </cell>
        </row>
        <row r="95">
          <cell r="D95">
            <v>45666</v>
          </cell>
          <cell r="H95">
            <v>5</v>
          </cell>
          <cell r="I95">
            <v>0</v>
          </cell>
          <cell r="L95">
            <v>350</v>
          </cell>
        </row>
        <row r="96">
          <cell r="D96">
            <v>45666</v>
          </cell>
          <cell r="H96">
            <v>5</v>
          </cell>
          <cell r="I96">
            <v>0</v>
          </cell>
          <cell r="L96">
            <v>400</v>
          </cell>
        </row>
        <row r="97">
          <cell r="D97">
            <v>45666</v>
          </cell>
          <cell r="H97">
            <v>5</v>
          </cell>
          <cell r="I97">
            <v>0</v>
          </cell>
          <cell r="L97">
            <v>25</v>
          </cell>
        </row>
        <row r="98">
          <cell r="D98">
            <v>45666</v>
          </cell>
          <cell r="H98">
            <v>5</v>
          </cell>
          <cell r="I98">
            <v>0</v>
          </cell>
          <cell r="L98">
            <v>420</v>
          </cell>
        </row>
        <row r="99">
          <cell r="D99">
            <v>45666</v>
          </cell>
          <cell r="H99">
            <v>5</v>
          </cell>
          <cell r="I99">
            <v>0</v>
          </cell>
          <cell r="L99">
            <v>420</v>
          </cell>
        </row>
        <row r="100">
          <cell r="D100">
            <v>45667</v>
          </cell>
          <cell r="H100">
            <v>5</v>
          </cell>
          <cell r="I100">
            <v>0</v>
          </cell>
          <cell r="L100">
            <v>50</v>
          </cell>
        </row>
        <row r="101">
          <cell r="D101">
            <v>45667</v>
          </cell>
          <cell r="H101">
            <v>4.5</v>
          </cell>
          <cell r="I101">
            <v>0</v>
          </cell>
          <cell r="L101">
            <v>100</v>
          </cell>
        </row>
        <row r="102">
          <cell r="D102">
            <v>45667</v>
          </cell>
          <cell r="H102">
            <v>4.5</v>
          </cell>
          <cell r="I102">
            <v>0</v>
          </cell>
          <cell r="L102">
            <v>100</v>
          </cell>
        </row>
        <row r="103">
          <cell r="D103">
            <v>45667</v>
          </cell>
          <cell r="H103">
            <v>5</v>
          </cell>
          <cell r="I103">
            <v>0</v>
          </cell>
          <cell r="L103">
            <v>25</v>
          </cell>
        </row>
        <row r="104">
          <cell r="D104">
            <v>45667</v>
          </cell>
          <cell r="H104">
            <v>5</v>
          </cell>
          <cell r="I104">
            <v>0</v>
          </cell>
          <cell r="L104">
            <v>275</v>
          </cell>
        </row>
        <row r="105">
          <cell r="D105">
            <v>45667</v>
          </cell>
          <cell r="H105">
            <v>5</v>
          </cell>
          <cell r="I105">
            <v>0</v>
          </cell>
          <cell r="L105">
            <v>315</v>
          </cell>
        </row>
        <row r="106">
          <cell r="D106">
            <v>45667</v>
          </cell>
          <cell r="H106">
            <v>5</v>
          </cell>
          <cell r="I106">
            <v>0</v>
          </cell>
          <cell r="L106">
            <v>70</v>
          </cell>
        </row>
        <row r="107">
          <cell r="D107">
            <v>45667</v>
          </cell>
          <cell r="H107">
            <v>5</v>
          </cell>
          <cell r="I107">
            <v>0</v>
          </cell>
          <cell r="L107">
            <v>225</v>
          </cell>
        </row>
        <row r="108">
          <cell r="D108">
            <v>45667</v>
          </cell>
          <cell r="H108" t="str">
            <v>5.5-6</v>
          </cell>
          <cell r="I108">
            <v>0</v>
          </cell>
          <cell r="L108">
            <v>175</v>
          </cell>
        </row>
        <row r="109">
          <cell r="D109">
            <v>45667</v>
          </cell>
          <cell r="H109">
            <v>5</v>
          </cell>
          <cell r="I109">
            <v>0</v>
          </cell>
          <cell r="L109">
            <v>315</v>
          </cell>
        </row>
        <row r="110">
          <cell r="D110">
            <v>45668</v>
          </cell>
          <cell r="H110">
            <v>5</v>
          </cell>
          <cell r="I110">
            <v>0</v>
          </cell>
          <cell r="L110">
            <v>175</v>
          </cell>
        </row>
        <row r="111">
          <cell r="D111">
            <v>45668</v>
          </cell>
          <cell r="H111">
            <v>5</v>
          </cell>
          <cell r="I111">
            <v>0</v>
          </cell>
          <cell r="L111">
            <v>50</v>
          </cell>
        </row>
        <row r="112">
          <cell r="D112">
            <v>45668</v>
          </cell>
          <cell r="H112">
            <v>5</v>
          </cell>
          <cell r="I112">
            <v>0</v>
          </cell>
          <cell r="L112">
            <v>25</v>
          </cell>
        </row>
        <row r="113">
          <cell r="D113">
            <v>45668</v>
          </cell>
          <cell r="H113">
            <v>5</v>
          </cell>
          <cell r="I113">
            <v>0</v>
          </cell>
          <cell r="L113">
            <v>500</v>
          </cell>
        </row>
        <row r="114">
          <cell r="D114">
            <v>45668</v>
          </cell>
          <cell r="H114">
            <v>5</v>
          </cell>
          <cell r="I114">
            <v>0</v>
          </cell>
          <cell r="L114">
            <v>100</v>
          </cell>
        </row>
        <row r="115">
          <cell r="D115">
            <v>45668</v>
          </cell>
          <cell r="H115">
            <v>5</v>
          </cell>
          <cell r="I115">
            <v>0</v>
          </cell>
          <cell r="L115">
            <v>50</v>
          </cell>
        </row>
        <row r="116">
          <cell r="D116">
            <v>45668</v>
          </cell>
          <cell r="H116">
            <v>5</v>
          </cell>
          <cell r="I116">
            <v>0</v>
          </cell>
          <cell r="L116">
            <v>100</v>
          </cell>
        </row>
        <row r="117">
          <cell r="D117">
            <v>45668</v>
          </cell>
          <cell r="H117">
            <v>5</v>
          </cell>
          <cell r="I117">
            <v>0</v>
          </cell>
          <cell r="L117">
            <v>25</v>
          </cell>
        </row>
        <row r="118">
          <cell r="D118">
            <v>45668</v>
          </cell>
          <cell r="H118">
            <v>5</v>
          </cell>
          <cell r="I118">
            <v>0</v>
          </cell>
          <cell r="L118">
            <v>350</v>
          </cell>
        </row>
        <row r="119">
          <cell r="D119">
            <v>45668</v>
          </cell>
          <cell r="H119">
            <v>5</v>
          </cell>
          <cell r="I119">
            <v>0</v>
          </cell>
          <cell r="L119">
            <v>250</v>
          </cell>
        </row>
        <row r="120">
          <cell r="D120">
            <v>45668</v>
          </cell>
          <cell r="H120">
            <v>5</v>
          </cell>
          <cell r="I120">
            <v>0</v>
          </cell>
          <cell r="L120">
            <v>125</v>
          </cell>
        </row>
        <row r="121">
          <cell r="D121">
            <v>45668</v>
          </cell>
          <cell r="H121">
            <v>5</v>
          </cell>
          <cell r="I121">
            <v>0</v>
          </cell>
          <cell r="L121">
            <v>175</v>
          </cell>
        </row>
        <row r="122">
          <cell r="D122">
            <v>45670</v>
          </cell>
          <cell r="H122">
            <v>5</v>
          </cell>
          <cell r="I122">
            <v>0</v>
          </cell>
          <cell r="L122">
            <v>275</v>
          </cell>
        </row>
        <row r="123">
          <cell r="D123">
            <v>45670</v>
          </cell>
          <cell r="H123">
            <v>5</v>
          </cell>
          <cell r="I123">
            <v>0</v>
          </cell>
          <cell r="L123">
            <v>125</v>
          </cell>
        </row>
        <row r="124">
          <cell r="D124">
            <v>45670</v>
          </cell>
          <cell r="H124">
            <v>5</v>
          </cell>
          <cell r="I124">
            <v>0</v>
          </cell>
          <cell r="L124">
            <v>50</v>
          </cell>
        </row>
        <row r="125">
          <cell r="D125">
            <v>45670</v>
          </cell>
          <cell r="H125">
            <v>5</v>
          </cell>
          <cell r="I125">
            <v>0</v>
          </cell>
          <cell r="L125">
            <v>175</v>
          </cell>
        </row>
        <row r="126">
          <cell r="D126">
            <v>45670</v>
          </cell>
          <cell r="H126">
            <v>5</v>
          </cell>
          <cell r="I126">
            <v>0</v>
          </cell>
          <cell r="L126">
            <v>275</v>
          </cell>
        </row>
        <row r="127">
          <cell r="D127">
            <v>45670</v>
          </cell>
          <cell r="H127">
            <v>5</v>
          </cell>
          <cell r="I127">
            <v>0</v>
          </cell>
          <cell r="L127">
            <v>50</v>
          </cell>
        </row>
        <row r="128">
          <cell r="D128">
            <v>45670</v>
          </cell>
          <cell r="H128">
            <v>5</v>
          </cell>
          <cell r="I128">
            <v>0</v>
          </cell>
          <cell r="L128">
            <v>125</v>
          </cell>
        </row>
        <row r="129">
          <cell r="D129">
            <v>45670</v>
          </cell>
          <cell r="H129">
            <v>5</v>
          </cell>
          <cell r="I129">
            <v>0</v>
          </cell>
          <cell r="L129">
            <v>25</v>
          </cell>
        </row>
        <row r="130">
          <cell r="D130">
            <v>45670</v>
          </cell>
          <cell r="H130">
            <v>5</v>
          </cell>
          <cell r="I130">
            <v>0</v>
          </cell>
          <cell r="L130">
            <v>150</v>
          </cell>
        </row>
        <row r="131">
          <cell r="D131">
            <v>45670</v>
          </cell>
          <cell r="H131">
            <v>5</v>
          </cell>
          <cell r="I131">
            <v>0</v>
          </cell>
          <cell r="L131">
            <v>75</v>
          </cell>
        </row>
        <row r="132">
          <cell r="D132">
            <v>45670</v>
          </cell>
          <cell r="H132">
            <v>5</v>
          </cell>
          <cell r="I132">
            <v>0</v>
          </cell>
          <cell r="L132">
            <v>100</v>
          </cell>
        </row>
        <row r="133">
          <cell r="D133">
            <v>45670</v>
          </cell>
          <cell r="H133">
            <v>5</v>
          </cell>
          <cell r="I133">
            <v>0</v>
          </cell>
          <cell r="L133">
            <v>150</v>
          </cell>
        </row>
        <row r="134">
          <cell r="D134">
            <v>45670</v>
          </cell>
          <cell r="H134">
            <v>5</v>
          </cell>
          <cell r="I134">
            <v>0</v>
          </cell>
          <cell r="L134">
            <v>50</v>
          </cell>
        </row>
        <row r="135">
          <cell r="D135">
            <v>45670</v>
          </cell>
          <cell r="H135">
            <v>5</v>
          </cell>
          <cell r="I135">
            <v>0</v>
          </cell>
          <cell r="L135">
            <v>150</v>
          </cell>
        </row>
        <row r="136">
          <cell r="D136">
            <v>45670</v>
          </cell>
          <cell r="H136">
            <v>5</v>
          </cell>
          <cell r="I136">
            <v>0</v>
          </cell>
          <cell r="L136">
            <v>100</v>
          </cell>
        </row>
        <row r="137">
          <cell r="D137">
            <v>45671</v>
          </cell>
          <cell r="H137">
            <v>5</v>
          </cell>
          <cell r="I137">
            <v>0</v>
          </cell>
          <cell r="L137">
            <v>75</v>
          </cell>
        </row>
        <row r="138">
          <cell r="D138">
            <v>45671</v>
          </cell>
          <cell r="H138">
            <v>5</v>
          </cell>
          <cell r="I138">
            <v>0</v>
          </cell>
          <cell r="L138">
            <v>325</v>
          </cell>
        </row>
        <row r="139">
          <cell r="D139">
            <v>45671</v>
          </cell>
          <cell r="H139">
            <v>5</v>
          </cell>
          <cell r="I139">
            <v>0</v>
          </cell>
          <cell r="L139">
            <v>300</v>
          </cell>
        </row>
        <row r="140">
          <cell r="D140">
            <v>45671</v>
          </cell>
          <cell r="H140">
            <v>5</v>
          </cell>
          <cell r="I140">
            <v>0</v>
          </cell>
          <cell r="L140">
            <v>100</v>
          </cell>
        </row>
        <row r="141">
          <cell r="D141">
            <v>45671</v>
          </cell>
          <cell r="H141">
            <v>5</v>
          </cell>
          <cell r="I141">
            <v>0</v>
          </cell>
          <cell r="L141">
            <v>300</v>
          </cell>
        </row>
        <row r="142">
          <cell r="D142">
            <v>45671</v>
          </cell>
          <cell r="H142">
            <v>5</v>
          </cell>
          <cell r="I142">
            <v>0</v>
          </cell>
          <cell r="L142">
            <v>125</v>
          </cell>
        </row>
        <row r="143">
          <cell r="D143">
            <v>45671</v>
          </cell>
          <cell r="H143">
            <v>5</v>
          </cell>
          <cell r="I143">
            <v>0</v>
          </cell>
          <cell r="L143">
            <v>125</v>
          </cell>
        </row>
        <row r="144">
          <cell r="D144">
            <v>45671</v>
          </cell>
          <cell r="H144">
            <v>5</v>
          </cell>
          <cell r="I144">
            <v>0</v>
          </cell>
          <cell r="L144">
            <v>200</v>
          </cell>
        </row>
        <row r="145">
          <cell r="D145">
            <v>45671</v>
          </cell>
          <cell r="H145">
            <v>5</v>
          </cell>
          <cell r="I145">
            <v>0</v>
          </cell>
          <cell r="L145">
            <v>100</v>
          </cell>
        </row>
        <row r="146">
          <cell r="D146">
            <v>45671</v>
          </cell>
          <cell r="H146">
            <v>5</v>
          </cell>
          <cell r="I146">
            <v>0</v>
          </cell>
          <cell r="L146">
            <v>50</v>
          </cell>
        </row>
        <row r="147">
          <cell r="D147">
            <v>45671</v>
          </cell>
          <cell r="H147">
            <v>5</v>
          </cell>
          <cell r="I147">
            <v>0</v>
          </cell>
          <cell r="L147">
            <v>150</v>
          </cell>
        </row>
        <row r="148">
          <cell r="D148">
            <v>45671</v>
          </cell>
          <cell r="H148">
            <v>5</v>
          </cell>
          <cell r="I148">
            <v>0</v>
          </cell>
          <cell r="L148">
            <v>250</v>
          </cell>
        </row>
        <row r="149">
          <cell r="D149">
            <v>45671</v>
          </cell>
          <cell r="H149">
            <v>5</v>
          </cell>
          <cell r="I149">
            <v>0</v>
          </cell>
          <cell r="L149">
            <v>125</v>
          </cell>
        </row>
        <row r="150">
          <cell r="D150">
            <v>45671</v>
          </cell>
          <cell r="H150">
            <v>5</v>
          </cell>
          <cell r="I150">
            <v>0</v>
          </cell>
          <cell r="L150">
            <v>200</v>
          </cell>
        </row>
        <row r="151">
          <cell r="D151">
            <v>45671</v>
          </cell>
          <cell r="H151">
            <v>5</v>
          </cell>
          <cell r="I151">
            <v>0</v>
          </cell>
          <cell r="L151">
            <v>150</v>
          </cell>
        </row>
        <row r="152">
          <cell r="D152">
            <v>45672</v>
          </cell>
          <cell r="H152">
            <v>5</v>
          </cell>
          <cell r="I152">
            <v>0</v>
          </cell>
          <cell r="L152">
            <v>225</v>
          </cell>
        </row>
        <row r="153">
          <cell r="D153">
            <v>45672</v>
          </cell>
          <cell r="H153">
            <v>5</v>
          </cell>
          <cell r="I153">
            <v>0</v>
          </cell>
          <cell r="L153">
            <v>75</v>
          </cell>
        </row>
        <row r="154">
          <cell r="D154">
            <v>45672</v>
          </cell>
          <cell r="H154">
            <v>5</v>
          </cell>
          <cell r="I154">
            <v>0</v>
          </cell>
          <cell r="L154">
            <v>100</v>
          </cell>
        </row>
        <row r="155">
          <cell r="D155">
            <v>45672</v>
          </cell>
          <cell r="H155">
            <v>5</v>
          </cell>
          <cell r="I155">
            <v>0</v>
          </cell>
          <cell r="L155">
            <v>100</v>
          </cell>
        </row>
        <row r="156">
          <cell r="D156">
            <v>45672</v>
          </cell>
          <cell r="H156">
            <v>5</v>
          </cell>
          <cell r="I156">
            <v>0</v>
          </cell>
          <cell r="L156">
            <v>200</v>
          </cell>
        </row>
        <row r="157">
          <cell r="D157">
            <v>45672</v>
          </cell>
          <cell r="H157">
            <v>5</v>
          </cell>
          <cell r="I157">
            <v>0</v>
          </cell>
          <cell r="L157">
            <v>175</v>
          </cell>
        </row>
        <row r="158">
          <cell r="D158">
            <v>45672</v>
          </cell>
          <cell r="H158">
            <v>5</v>
          </cell>
          <cell r="I158">
            <v>0</v>
          </cell>
          <cell r="L158">
            <v>125</v>
          </cell>
        </row>
        <row r="159">
          <cell r="D159">
            <v>45672</v>
          </cell>
          <cell r="H159">
            <v>5</v>
          </cell>
          <cell r="I159">
            <v>0</v>
          </cell>
          <cell r="L159">
            <v>100</v>
          </cell>
        </row>
        <row r="160">
          <cell r="D160">
            <v>45672</v>
          </cell>
          <cell r="H160">
            <v>5</v>
          </cell>
          <cell r="I160">
            <v>0</v>
          </cell>
          <cell r="L160">
            <v>125</v>
          </cell>
        </row>
        <row r="161">
          <cell r="D161">
            <v>45672</v>
          </cell>
          <cell r="H161">
            <v>5</v>
          </cell>
          <cell r="I161">
            <v>0</v>
          </cell>
          <cell r="L161">
            <v>125</v>
          </cell>
        </row>
        <row r="162">
          <cell r="D162">
            <v>45672</v>
          </cell>
          <cell r="H162">
            <v>5</v>
          </cell>
          <cell r="I162">
            <v>0</v>
          </cell>
          <cell r="L162">
            <v>425</v>
          </cell>
        </row>
        <row r="163">
          <cell r="D163">
            <v>45672</v>
          </cell>
          <cell r="H163">
            <v>5</v>
          </cell>
          <cell r="I163">
            <v>0</v>
          </cell>
          <cell r="L163">
            <v>350</v>
          </cell>
        </row>
        <row r="164">
          <cell r="D164">
            <v>45672</v>
          </cell>
          <cell r="H164">
            <v>5</v>
          </cell>
          <cell r="I164">
            <v>0</v>
          </cell>
          <cell r="L164">
            <v>50</v>
          </cell>
        </row>
        <row r="165">
          <cell r="D165">
            <v>45672</v>
          </cell>
          <cell r="H165">
            <v>5</v>
          </cell>
          <cell r="I165">
            <v>0</v>
          </cell>
          <cell r="L165">
            <v>175</v>
          </cell>
        </row>
        <row r="166">
          <cell r="D166">
            <v>45672</v>
          </cell>
          <cell r="H166">
            <v>4.5</v>
          </cell>
          <cell r="I166">
            <v>0</v>
          </cell>
          <cell r="L166">
            <v>50</v>
          </cell>
        </row>
        <row r="167">
          <cell r="D167">
            <v>45672</v>
          </cell>
          <cell r="H167">
            <v>5</v>
          </cell>
          <cell r="I167" t="str">
            <v>-</v>
          </cell>
          <cell r="L167">
            <v>150</v>
          </cell>
        </row>
        <row r="168">
          <cell r="D168">
            <v>45672</v>
          </cell>
          <cell r="H168">
            <v>5</v>
          </cell>
          <cell r="I168">
            <v>0</v>
          </cell>
          <cell r="L168">
            <v>400</v>
          </cell>
        </row>
        <row r="169">
          <cell r="D169">
            <v>45672</v>
          </cell>
          <cell r="H169">
            <v>5</v>
          </cell>
          <cell r="I169">
            <v>0</v>
          </cell>
          <cell r="L169">
            <v>25</v>
          </cell>
        </row>
        <row r="170">
          <cell r="D170">
            <v>45672</v>
          </cell>
          <cell r="H170">
            <v>5</v>
          </cell>
          <cell r="I170">
            <v>0</v>
          </cell>
          <cell r="L170">
            <v>450</v>
          </cell>
        </row>
        <row r="171">
          <cell r="D171">
            <v>45672</v>
          </cell>
          <cell r="H171">
            <v>5</v>
          </cell>
          <cell r="I171">
            <v>0</v>
          </cell>
          <cell r="L171">
            <v>100</v>
          </cell>
        </row>
        <row r="172">
          <cell r="D172">
            <v>45672</v>
          </cell>
          <cell r="H172">
            <v>5</v>
          </cell>
          <cell r="I172">
            <v>0</v>
          </cell>
          <cell r="L172">
            <v>75</v>
          </cell>
        </row>
        <row r="173">
          <cell r="D173">
            <v>45672</v>
          </cell>
          <cell r="H173">
            <v>4.5</v>
          </cell>
          <cell r="I173">
            <v>0</v>
          </cell>
          <cell r="L173">
            <v>75</v>
          </cell>
        </row>
        <row r="174">
          <cell r="D174">
            <v>45673</v>
          </cell>
          <cell r="H174">
            <v>5</v>
          </cell>
          <cell r="I174">
            <v>0</v>
          </cell>
          <cell r="L174">
            <v>300</v>
          </cell>
        </row>
        <row r="175">
          <cell r="D175">
            <v>45673</v>
          </cell>
          <cell r="H175">
            <v>5</v>
          </cell>
          <cell r="I175">
            <v>0</v>
          </cell>
          <cell r="L175">
            <v>25</v>
          </cell>
        </row>
        <row r="176">
          <cell r="D176">
            <v>45673</v>
          </cell>
          <cell r="H176">
            <v>5</v>
          </cell>
          <cell r="I176">
            <v>0</v>
          </cell>
          <cell r="L176">
            <v>150</v>
          </cell>
        </row>
        <row r="177">
          <cell r="D177">
            <v>45673</v>
          </cell>
          <cell r="H177">
            <v>5</v>
          </cell>
          <cell r="I177">
            <v>0</v>
          </cell>
          <cell r="L177">
            <v>175</v>
          </cell>
        </row>
        <row r="178">
          <cell r="D178">
            <v>45673</v>
          </cell>
          <cell r="H178">
            <v>5</v>
          </cell>
          <cell r="I178">
            <v>0</v>
          </cell>
          <cell r="L178">
            <v>50</v>
          </cell>
        </row>
        <row r="179">
          <cell r="D179">
            <v>45673</v>
          </cell>
          <cell r="H179">
            <v>5</v>
          </cell>
          <cell r="I179">
            <v>0</v>
          </cell>
          <cell r="L179">
            <v>425</v>
          </cell>
        </row>
        <row r="180">
          <cell r="D180">
            <v>45673</v>
          </cell>
          <cell r="H180">
            <v>5</v>
          </cell>
          <cell r="I180">
            <v>0</v>
          </cell>
          <cell r="L180">
            <v>375</v>
          </cell>
        </row>
        <row r="181">
          <cell r="D181">
            <v>45673</v>
          </cell>
          <cell r="H181">
            <v>5</v>
          </cell>
          <cell r="I181">
            <v>0</v>
          </cell>
          <cell r="L181">
            <v>175</v>
          </cell>
        </row>
        <row r="182">
          <cell r="D182">
            <v>45673</v>
          </cell>
          <cell r="H182">
            <v>5</v>
          </cell>
          <cell r="I182">
            <v>0</v>
          </cell>
          <cell r="L182">
            <v>150</v>
          </cell>
        </row>
        <row r="183">
          <cell r="D183">
            <v>45673</v>
          </cell>
          <cell r="H183">
            <v>5</v>
          </cell>
          <cell r="I183">
            <v>0</v>
          </cell>
          <cell r="L183">
            <v>150</v>
          </cell>
        </row>
        <row r="184">
          <cell r="D184">
            <v>45674</v>
          </cell>
          <cell r="H184">
            <v>5</v>
          </cell>
          <cell r="I184">
            <v>0</v>
          </cell>
          <cell r="L184">
            <v>75</v>
          </cell>
        </row>
        <row r="185">
          <cell r="D185">
            <v>45674</v>
          </cell>
          <cell r="H185">
            <v>5</v>
          </cell>
          <cell r="I185">
            <v>0</v>
          </cell>
          <cell r="L185">
            <v>75</v>
          </cell>
        </row>
        <row r="186">
          <cell r="D186">
            <v>45674</v>
          </cell>
          <cell r="H186">
            <v>5</v>
          </cell>
          <cell r="I186">
            <v>0</v>
          </cell>
          <cell r="L186">
            <v>150</v>
          </cell>
        </row>
        <row r="187">
          <cell r="D187">
            <v>45674</v>
          </cell>
          <cell r="H187">
            <v>5</v>
          </cell>
          <cell r="I187">
            <v>0</v>
          </cell>
          <cell r="L187">
            <v>175</v>
          </cell>
        </row>
        <row r="188">
          <cell r="D188">
            <v>45674</v>
          </cell>
          <cell r="H188">
            <v>5</v>
          </cell>
          <cell r="I188">
            <v>0</v>
          </cell>
          <cell r="L188">
            <v>175</v>
          </cell>
        </row>
        <row r="189">
          <cell r="D189">
            <v>45674</v>
          </cell>
          <cell r="H189">
            <v>5</v>
          </cell>
          <cell r="I189">
            <v>0</v>
          </cell>
          <cell r="L189">
            <v>175</v>
          </cell>
        </row>
        <row r="190">
          <cell r="D190">
            <v>45674</v>
          </cell>
          <cell r="H190">
            <v>5</v>
          </cell>
          <cell r="I190">
            <v>0</v>
          </cell>
          <cell r="L190">
            <v>50</v>
          </cell>
        </row>
        <row r="191">
          <cell r="D191">
            <v>45674</v>
          </cell>
          <cell r="H191">
            <v>5</v>
          </cell>
          <cell r="I191">
            <v>0</v>
          </cell>
          <cell r="L191">
            <v>125</v>
          </cell>
        </row>
        <row r="192">
          <cell r="D192">
            <v>45674</v>
          </cell>
          <cell r="H192">
            <v>5</v>
          </cell>
          <cell r="I192">
            <v>0</v>
          </cell>
          <cell r="L192">
            <v>75</v>
          </cell>
        </row>
        <row r="193">
          <cell r="D193">
            <v>45674</v>
          </cell>
          <cell r="H193">
            <v>5</v>
          </cell>
          <cell r="I193">
            <v>0</v>
          </cell>
          <cell r="L193">
            <v>125</v>
          </cell>
        </row>
        <row r="194">
          <cell r="D194">
            <v>45674</v>
          </cell>
          <cell r="H194">
            <v>5</v>
          </cell>
          <cell r="I194">
            <v>0</v>
          </cell>
          <cell r="L194">
            <v>25</v>
          </cell>
        </row>
        <row r="195">
          <cell r="D195">
            <v>45674</v>
          </cell>
          <cell r="H195">
            <v>5</v>
          </cell>
          <cell r="I195">
            <v>0</v>
          </cell>
          <cell r="L195">
            <v>150</v>
          </cell>
        </row>
        <row r="196">
          <cell r="D196">
            <v>45674</v>
          </cell>
          <cell r="H196">
            <v>5</v>
          </cell>
          <cell r="I196">
            <v>0</v>
          </cell>
          <cell r="L196">
            <v>100</v>
          </cell>
        </row>
        <row r="197">
          <cell r="D197">
            <v>45674</v>
          </cell>
          <cell r="H197">
            <v>5</v>
          </cell>
          <cell r="I197">
            <v>0</v>
          </cell>
          <cell r="L197">
            <v>50</v>
          </cell>
        </row>
        <row r="198">
          <cell r="D198">
            <v>45674</v>
          </cell>
          <cell r="H198">
            <v>5</v>
          </cell>
          <cell r="I198">
            <v>0</v>
          </cell>
          <cell r="L198">
            <v>25</v>
          </cell>
        </row>
        <row r="199">
          <cell r="D199">
            <v>45674</v>
          </cell>
          <cell r="H199" t="str">
            <v>-</v>
          </cell>
          <cell r="I199" t="str">
            <v>-</v>
          </cell>
          <cell r="L199">
            <v>50</v>
          </cell>
        </row>
        <row r="200">
          <cell r="D200">
            <v>45675</v>
          </cell>
          <cell r="H200">
            <v>5</v>
          </cell>
          <cell r="I200">
            <v>0</v>
          </cell>
          <cell r="L200">
            <v>200</v>
          </cell>
        </row>
        <row r="201">
          <cell r="D201">
            <v>45675</v>
          </cell>
          <cell r="H201">
            <v>5</v>
          </cell>
          <cell r="I201">
            <v>0</v>
          </cell>
          <cell r="L201">
            <v>225</v>
          </cell>
        </row>
        <row r="202">
          <cell r="D202">
            <v>45675</v>
          </cell>
          <cell r="H202">
            <v>5</v>
          </cell>
          <cell r="I202">
            <v>0</v>
          </cell>
          <cell r="L202">
            <v>100</v>
          </cell>
        </row>
        <row r="203">
          <cell r="D203">
            <v>45675</v>
          </cell>
          <cell r="H203">
            <v>5</v>
          </cell>
          <cell r="I203">
            <v>0</v>
          </cell>
          <cell r="L203">
            <v>100</v>
          </cell>
        </row>
        <row r="204">
          <cell r="D204">
            <v>45675</v>
          </cell>
          <cell r="H204">
            <v>5</v>
          </cell>
          <cell r="I204">
            <v>0</v>
          </cell>
          <cell r="L204">
            <v>175</v>
          </cell>
        </row>
        <row r="205">
          <cell r="D205">
            <v>45675</v>
          </cell>
          <cell r="H205">
            <v>5</v>
          </cell>
          <cell r="I205">
            <v>0</v>
          </cell>
          <cell r="L205">
            <v>125</v>
          </cell>
        </row>
        <row r="206">
          <cell r="D206">
            <v>45675</v>
          </cell>
          <cell r="H206">
            <v>5</v>
          </cell>
          <cell r="I206">
            <v>0</v>
          </cell>
          <cell r="L206">
            <v>75</v>
          </cell>
        </row>
        <row r="207">
          <cell r="D207">
            <v>45675</v>
          </cell>
          <cell r="H207">
            <v>5</v>
          </cell>
          <cell r="I207">
            <v>0</v>
          </cell>
          <cell r="L207">
            <v>100</v>
          </cell>
        </row>
        <row r="208">
          <cell r="D208">
            <v>45675</v>
          </cell>
          <cell r="H208">
            <v>5</v>
          </cell>
          <cell r="I208">
            <v>0</v>
          </cell>
          <cell r="L208">
            <v>25</v>
          </cell>
        </row>
        <row r="209">
          <cell r="D209">
            <v>45675</v>
          </cell>
          <cell r="H209">
            <v>5</v>
          </cell>
          <cell r="I209">
            <v>0</v>
          </cell>
          <cell r="L209">
            <v>125</v>
          </cell>
        </row>
        <row r="210">
          <cell r="D210">
            <v>45675</v>
          </cell>
          <cell r="H210">
            <v>5</v>
          </cell>
          <cell r="I210">
            <v>0</v>
          </cell>
          <cell r="L210">
            <v>100</v>
          </cell>
        </row>
        <row r="211">
          <cell r="D211">
            <v>45675</v>
          </cell>
          <cell r="H211">
            <v>5</v>
          </cell>
          <cell r="I211">
            <v>0</v>
          </cell>
          <cell r="L211">
            <v>100</v>
          </cell>
        </row>
        <row r="212">
          <cell r="D212">
            <v>45676</v>
          </cell>
          <cell r="H212">
            <v>5</v>
          </cell>
          <cell r="I212">
            <v>0</v>
          </cell>
          <cell r="L212">
            <v>450</v>
          </cell>
        </row>
        <row r="213">
          <cell r="D213">
            <v>45676</v>
          </cell>
          <cell r="H213">
            <v>5</v>
          </cell>
          <cell r="I213">
            <v>0</v>
          </cell>
          <cell r="L213">
            <v>100</v>
          </cell>
        </row>
        <row r="214">
          <cell r="D214">
            <v>45676</v>
          </cell>
          <cell r="H214">
            <v>5</v>
          </cell>
          <cell r="I214">
            <v>0</v>
          </cell>
          <cell r="L214">
            <v>375</v>
          </cell>
        </row>
        <row r="215">
          <cell r="D215">
            <v>45676</v>
          </cell>
          <cell r="H215">
            <v>5</v>
          </cell>
          <cell r="I215">
            <v>0</v>
          </cell>
          <cell r="L215">
            <v>425</v>
          </cell>
        </row>
        <row r="216">
          <cell r="D216">
            <v>45676</v>
          </cell>
          <cell r="H216">
            <v>5</v>
          </cell>
          <cell r="I216">
            <v>0</v>
          </cell>
          <cell r="L216">
            <v>50</v>
          </cell>
        </row>
        <row r="217">
          <cell r="D217">
            <v>45676</v>
          </cell>
          <cell r="H217">
            <v>5</v>
          </cell>
          <cell r="I217">
            <v>0</v>
          </cell>
          <cell r="L217">
            <v>50</v>
          </cell>
        </row>
        <row r="218">
          <cell r="D218">
            <v>45676</v>
          </cell>
          <cell r="H218">
            <v>5</v>
          </cell>
          <cell r="I218">
            <v>0</v>
          </cell>
          <cell r="L218">
            <v>25</v>
          </cell>
        </row>
        <row r="219">
          <cell r="D219">
            <v>45676</v>
          </cell>
          <cell r="H219">
            <v>5</v>
          </cell>
          <cell r="I219">
            <v>0</v>
          </cell>
          <cell r="L219">
            <v>325</v>
          </cell>
        </row>
        <row r="220">
          <cell r="D220">
            <v>45676</v>
          </cell>
          <cell r="H220">
            <v>5</v>
          </cell>
          <cell r="I220">
            <v>0</v>
          </cell>
          <cell r="L220">
            <v>200</v>
          </cell>
        </row>
        <row r="221">
          <cell r="D221">
            <v>45676</v>
          </cell>
          <cell r="H221">
            <v>5</v>
          </cell>
          <cell r="I221">
            <v>0</v>
          </cell>
          <cell r="L221">
            <v>50</v>
          </cell>
        </row>
        <row r="222">
          <cell r="D222">
            <v>45676</v>
          </cell>
          <cell r="H222" t="str">
            <v>-</v>
          </cell>
          <cell r="I222" t="str">
            <v>-</v>
          </cell>
          <cell r="L222">
            <v>125</v>
          </cell>
        </row>
        <row r="223">
          <cell r="D223">
            <v>45676</v>
          </cell>
          <cell r="H223">
            <v>5</v>
          </cell>
          <cell r="I223">
            <v>0</v>
          </cell>
          <cell r="L223">
            <v>300</v>
          </cell>
        </row>
        <row r="224">
          <cell r="D224">
            <v>45676</v>
          </cell>
          <cell r="H224">
            <v>5</v>
          </cell>
          <cell r="I224">
            <v>0</v>
          </cell>
          <cell r="L224">
            <v>75</v>
          </cell>
        </row>
        <row r="225">
          <cell r="D225">
            <v>45676</v>
          </cell>
          <cell r="H225">
            <v>5</v>
          </cell>
          <cell r="I225">
            <v>0</v>
          </cell>
          <cell r="L225">
            <v>350</v>
          </cell>
        </row>
        <row r="226">
          <cell r="D226">
            <v>45676</v>
          </cell>
          <cell r="H226">
            <v>5</v>
          </cell>
          <cell r="I226">
            <v>0</v>
          </cell>
          <cell r="L226">
            <v>400</v>
          </cell>
        </row>
        <row r="227">
          <cell r="D227">
            <v>45676</v>
          </cell>
          <cell r="H227">
            <v>5</v>
          </cell>
          <cell r="I227">
            <v>0</v>
          </cell>
          <cell r="L227">
            <v>50</v>
          </cell>
        </row>
        <row r="228">
          <cell r="D228">
            <v>45677</v>
          </cell>
          <cell r="H228">
            <v>5</v>
          </cell>
          <cell r="I228">
            <v>0</v>
          </cell>
          <cell r="L228">
            <v>100</v>
          </cell>
        </row>
        <row r="229">
          <cell r="D229">
            <v>45677</v>
          </cell>
          <cell r="H229">
            <v>5</v>
          </cell>
          <cell r="I229">
            <v>0</v>
          </cell>
          <cell r="L229">
            <v>125</v>
          </cell>
        </row>
        <row r="230">
          <cell r="D230">
            <v>45677</v>
          </cell>
          <cell r="H230">
            <v>5</v>
          </cell>
          <cell r="I230">
            <v>0</v>
          </cell>
          <cell r="L230">
            <v>75</v>
          </cell>
        </row>
        <row r="231">
          <cell r="D231">
            <v>45677</v>
          </cell>
          <cell r="H231">
            <v>5</v>
          </cell>
          <cell r="I231">
            <v>0</v>
          </cell>
          <cell r="L231">
            <v>150</v>
          </cell>
        </row>
        <row r="232">
          <cell r="D232">
            <v>45677</v>
          </cell>
          <cell r="H232">
            <v>5</v>
          </cell>
          <cell r="I232">
            <v>0</v>
          </cell>
          <cell r="L232">
            <v>150</v>
          </cell>
        </row>
        <row r="233">
          <cell r="D233">
            <v>45677</v>
          </cell>
          <cell r="H233">
            <v>5</v>
          </cell>
          <cell r="I233">
            <v>0</v>
          </cell>
          <cell r="L233">
            <v>100</v>
          </cell>
        </row>
        <row r="234">
          <cell r="D234">
            <v>45677</v>
          </cell>
          <cell r="H234">
            <v>5</v>
          </cell>
          <cell r="I234">
            <v>0</v>
          </cell>
          <cell r="L234">
            <v>75</v>
          </cell>
        </row>
        <row r="235">
          <cell r="D235">
            <v>45677</v>
          </cell>
          <cell r="H235">
            <v>5</v>
          </cell>
          <cell r="I235">
            <v>0</v>
          </cell>
          <cell r="L235">
            <v>75</v>
          </cell>
        </row>
        <row r="236">
          <cell r="D236">
            <v>45677</v>
          </cell>
          <cell r="H236">
            <v>5</v>
          </cell>
          <cell r="I236">
            <v>0</v>
          </cell>
          <cell r="L236">
            <v>175</v>
          </cell>
        </row>
        <row r="237">
          <cell r="D237">
            <v>45677</v>
          </cell>
          <cell r="H237">
            <v>5</v>
          </cell>
          <cell r="I237">
            <v>0</v>
          </cell>
          <cell r="L237">
            <v>300</v>
          </cell>
        </row>
        <row r="238">
          <cell r="D238">
            <v>45677</v>
          </cell>
          <cell r="H238">
            <v>5</v>
          </cell>
          <cell r="I238">
            <v>0</v>
          </cell>
          <cell r="L238">
            <v>150</v>
          </cell>
        </row>
        <row r="239">
          <cell r="D239">
            <v>45677</v>
          </cell>
          <cell r="H239">
            <v>5</v>
          </cell>
          <cell r="I239">
            <v>0</v>
          </cell>
          <cell r="L239">
            <v>200</v>
          </cell>
        </row>
        <row r="240">
          <cell r="D240">
            <v>45677</v>
          </cell>
          <cell r="H240">
            <v>5</v>
          </cell>
          <cell r="I240">
            <v>0</v>
          </cell>
          <cell r="L240">
            <v>100</v>
          </cell>
        </row>
        <row r="241">
          <cell r="D241">
            <v>45678</v>
          </cell>
          <cell r="H241">
            <v>5</v>
          </cell>
          <cell r="I241">
            <v>0</v>
          </cell>
          <cell r="L241">
            <v>75</v>
          </cell>
        </row>
        <row r="242">
          <cell r="D242">
            <v>45678</v>
          </cell>
          <cell r="H242">
            <v>5</v>
          </cell>
          <cell r="I242">
            <v>0</v>
          </cell>
          <cell r="L242">
            <v>375</v>
          </cell>
        </row>
        <row r="243">
          <cell r="D243">
            <v>45678</v>
          </cell>
          <cell r="H243">
            <v>5</v>
          </cell>
          <cell r="I243">
            <v>0</v>
          </cell>
          <cell r="L243">
            <v>325</v>
          </cell>
        </row>
        <row r="244">
          <cell r="D244">
            <v>45678</v>
          </cell>
          <cell r="H244">
            <v>5</v>
          </cell>
          <cell r="I244">
            <v>0</v>
          </cell>
          <cell r="L244">
            <v>100</v>
          </cell>
        </row>
        <row r="245">
          <cell r="D245">
            <v>45678</v>
          </cell>
          <cell r="H245">
            <v>5</v>
          </cell>
          <cell r="I245">
            <v>0</v>
          </cell>
          <cell r="L245">
            <v>50</v>
          </cell>
        </row>
        <row r="246">
          <cell r="D246">
            <v>45678</v>
          </cell>
          <cell r="H246">
            <v>5</v>
          </cell>
          <cell r="I246">
            <v>0</v>
          </cell>
          <cell r="L246">
            <v>50</v>
          </cell>
        </row>
        <row r="247">
          <cell r="D247">
            <v>45678</v>
          </cell>
          <cell r="H247">
            <v>5</v>
          </cell>
          <cell r="I247">
            <v>0</v>
          </cell>
          <cell r="L247">
            <v>125</v>
          </cell>
        </row>
        <row r="248">
          <cell r="D248">
            <v>45678</v>
          </cell>
          <cell r="H248">
            <v>5</v>
          </cell>
          <cell r="I248">
            <v>0</v>
          </cell>
          <cell r="L248">
            <v>300</v>
          </cell>
        </row>
        <row r="249">
          <cell r="D249">
            <v>45678</v>
          </cell>
          <cell r="H249">
            <v>5</v>
          </cell>
          <cell r="I249">
            <v>0</v>
          </cell>
          <cell r="L249">
            <v>25</v>
          </cell>
        </row>
        <row r="250">
          <cell r="D250">
            <v>45678</v>
          </cell>
          <cell r="H250">
            <v>5</v>
          </cell>
          <cell r="I250">
            <v>0</v>
          </cell>
          <cell r="L250">
            <v>25</v>
          </cell>
        </row>
        <row r="251">
          <cell r="D251">
            <v>45678</v>
          </cell>
          <cell r="H251">
            <v>8</v>
          </cell>
          <cell r="I251">
            <v>0</v>
          </cell>
          <cell r="L251">
            <v>275</v>
          </cell>
        </row>
        <row r="252">
          <cell r="D252">
            <v>45678</v>
          </cell>
          <cell r="H252">
            <v>5</v>
          </cell>
          <cell r="I252">
            <v>0</v>
          </cell>
          <cell r="L252">
            <v>25</v>
          </cell>
        </row>
        <row r="253">
          <cell r="D253">
            <v>45678</v>
          </cell>
          <cell r="H253" t="str">
            <v>11.5/12</v>
          </cell>
          <cell r="I253">
            <v>0</v>
          </cell>
          <cell r="L253">
            <v>225</v>
          </cell>
        </row>
        <row r="254">
          <cell r="D254">
            <v>45678</v>
          </cell>
          <cell r="H254">
            <v>0</v>
          </cell>
          <cell r="I254">
            <v>0</v>
          </cell>
          <cell r="L254">
            <v>175</v>
          </cell>
        </row>
        <row r="255">
          <cell r="D255">
            <v>45678</v>
          </cell>
          <cell r="H255">
            <v>5</v>
          </cell>
          <cell r="I255">
            <v>0</v>
          </cell>
          <cell r="L255">
            <v>75</v>
          </cell>
        </row>
        <row r="256">
          <cell r="D256">
            <v>45679</v>
          </cell>
          <cell r="H256">
            <v>5</v>
          </cell>
          <cell r="I256">
            <v>0</v>
          </cell>
          <cell r="L256">
            <v>200</v>
          </cell>
        </row>
        <row r="257">
          <cell r="D257">
            <v>45679</v>
          </cell>
          <cell r="H257">
            <v>5</v>
          </cell>
          <cell r="I257">
            <v>0</v>
          </cell>
          <cell r="L257">
            <v>25</v>
          </cell>
        </row>
        <row r="258">
          <cell r="D258">
            <v>45679</v>
          </cell>
          <cell r="H258">
            <v>5</v>
          </cell>
          <cell r="I258">
            <v>0</v>
          </cell>
          <cell r="L258">
            <v>100</v>
          </cell>
        </row>
        <row r="259">
          <cell r="D259">
            <v>45679</v>
          </cell>
          <cell r="H259">
            <v>5</v>
          </cell>
          <cell r="I259">
            <v>0</v>
          </cell>
          <cell r="L259">
            <v>50</v>
          </cell>
        </row>
        <row r="260">
          <cell r="D260">
            <v>45679</v>
          </cell>
          <cell r="H260">
            <v>5</v>
          </cell>
          <cell r="I260">
            <v>0</v>
          </cell>
          <cell r="L260">
            <v>275</v>
          </cell>
        </row>
        <row r="261">
          <cell r="D261">
            <v>45679</v>
          </cell>
          <cell r="H261">
            <v>5</v>
          </cell>
          <cell r="I261">
            <v>0</v>
          </cell>
          <cell r="L261">
            <v>275</v>
          </cell>
        </row>
        <row r="262">
          <cell r="D262">
            <v>45679</v>
          </cell>
          <cell r="H262">
            <v>5</v>
          </cell>
          <cell r="I262">
            <v>0</v>
          </cell>
          <cell r="L262">
            <v>25</v>
          </cell>
        </row>
        <row r="263">
          <cell r="D263">
            <v>45679</v>
          </cell>
          <cell r="H263">
            <v>5</v>
          </cell>
          <cell r="I263">
            <v>0</v>
          </cell>
          <cell r="L263">
            <v>200</v>
          </cell>
        </row>
        <row r="264">
          <cell r="D264">
            <v>45679</v>
          </cell>
          <cell r="H264">
            <v>5</v>
          </cell>
          <cell r="I264">
            <v>0</v>
          </cell>
          <cell r="L264">
            <v>250</v>
          </cell>
        </row>
        <row r="265">
          <cell r="D265">
            <v>45679</v>
          </cell>
          <cell r="H265">
            <v>5</v>
          </cell>
          <cell r="I265">
            <v>0</v>
          </cell>
          <cell r="L265">
            <v>150</v>
          </cell>
        </row>
        <row r="266">
          <cell r="D266">
            <v>45679</v>
          </cell>
          <cell r="H266" t="str">
            <v>11.5/12</v>
          </cell>
          <cell r="I266">
            <v>0</v>
          </cell>
          <cell r="L266">
            <v>175</v>
          </cell>
        </row>
        <row r="267">
          <cell r="D267">
            <v>45679</v>
          </cell>
          <cell r="H267">
            <v>8</v>
          </cell>
          <cell r="I267">
            <v>0</v>
          </cell>
          <cell r="L267">
            <v>375</v>
          </cell>
        </row>
        <row r="268">
          <cell r="D268">
            <v>45679</v>
          </cell>
          <cell r="H268">
            <v>5</v>
          </cell>
          <cell r="I268">
            <v>0</v>
          </cell>
          <cell r="L268">
            <v>250</v>
          </cell>
        </row>
        <row r="269">
          <cell r="D269">
            <v>45679</v>
          </cell>
          <cell r="H269">
            <v>5</v>
          </cell>
          <cell r="I269">
            <v>0</v>
          </cell>
          <cell r="L269">
            <v>125</v>
          </cell>
        </row>
        <row r="270">
          <cell r="D270">
            <v>45679</v>
          </cell>
          <cell r="H270">
            <v>5</v>
          </cell>
          <cell r="I270">
            <v>0</v>
          </cell>
          <cell r="L270">
            <v>50</v>
          </cell>
        </row>
        <row r="271">
          <cell r="D271">
            <v>45679</v>
          </cell>
          <cell r="H271">
            <v>5</v>
          </cell>
          <cell r="I271">
            <v>0</v>
          </cell>
          <cell r="L271">
            <v>400</v>
          </cell>
        </row>
        <row r="272">
          <cell r="D272">
            <v>45679</v>
          </cell>
          <cell r="H272">
            <v>5</v>
          </cell>
          <cell r="I272">
            <v>0</v>
          </cell>
          <cell r="L272">
            <v>450</v>
          </cell>
        </row>
        <row r="273">
          <cell r="D273">
            <v>45680</v>
          </cell>
          <cell r="H273">
            <v>5</v>
          </cell>
          <cell r="I273">
            <v>0</v>
          </cell>
          <cell r="L273">
            <v>575</v>
          </cell>
        </row>
        <row r="274">
          <cell r="D274">
            <v>45680</v>
          </cell>
          <cell r="H274">
            <v>5</v>
          </cell>
          <cell r="I274">
            <v>0</v>
          </cell>
          <cell r="L274">
            <v>200</v>
          </cell>
        </row>
        <row r="275">
          <cell r="D275">
            <v>45680</v>
          </cell>
          <cell r="H275">
            <v>0</v>
          </cell>
          <cell r="I275">
            <v>0</v>
          </cell>
          <cell r="L275">
            <v>245</v>
          </cell>
        </row>
        <row r="276">
          <cell r="D276">
            <v>45680</v>
          </cell>
          <cell r="H276">
            <v>5</v>
          </cell>
          <cell r="I276">
            <v>0</v>
          </cell>
          <cell r="L276">
            <v>100</v>
          </cell>
        </row>
        <row r="277">
          <cell r="D277">
            <v>45680</v>
          </cell>
          <cell r="H277">
            <v>5</v>
          </cell>
          <cell r="I277">
            <v>0</v>
          </cell>
          <cell r="L277">
            <v>200</v>
          </cell>
        </row>
        <row r="278">
          <cell r="D278">
            <v>45680</v>
          </cell>
          <cell r="H278">
            <v>5</v>
          </cell>
          <cell r="I278">
            <v>0</v>
          </cell>
          <cell r="L278">
            <v>275</v>
          </cell>
        </row>
        <row r="279">
          <cell r="D279">
            <v>45680</v>
          </cell>
          <cell r="H279">
            <v>5</v>
          </cell>
          <cell r="I279">
            <v>0</v>
          </cell>
          <cell r="L279">
            <v>150</v>
          </cell>
        </row>
        <row r="280">
          <cell r="D280">
            <v>45680</v>
          </cell>
          <cell r="H280">
            <v>5</v>
          </cell>
          <cell r="I280">
            <v>0</v>
          </cell>
          <cell r="L280">
            <v>425</v>
          </cell>
        </row>
        <row r="281">
          <cell r="D281">
            <v>45680</v>
          </cell>
          <cell r="H281">
            <v>5</v>
          </cell>
          <cell r="I281">
            <v>0</v>
          </cell>
          <cell r="L281">
            <v>75</v>
          </cell>
        </row>
        <row r="282">
          <cell r="D282">
            <v>45680</v>
          </cell>
          <cell r="H282">
            <v>8</v>
          </cell>
          <cell r="I282">
            <v>0</v>
          </cell>
          <cell r="L282">
            <v>75</v>
          </cell>
        </row>
        <row r="283">
          <cell r="D283">
            <v>45681</v>
          </cell>
          <cell r="H283">
            <v>5</v>
          </cell>
          <cell r="I283">
            <v>0</v>
          </cell>
          <cell r="L283">
            <v>25</v>
          </cell>
        </row>
        <row r="284">
          <cell r="D284">
            <v>45681</v>
          </cell>
          <cell r="H284">
            <v>5</v>
          </cell>
          <cell r="I284">
            <v>0</v>
          </cell>
          <cell r="L284">
            <v>425</v>
          </cell>
        </row>
        <row r="285">
          <cell r="D285">
            <v>45681</v>
          </cell>
          <cell r="H285">
            <v>5</v>
          </cell>
          <cell r="I285">
            <v>0</v>
          </cell>
          <cell r="L285">
            <v>125</v>
          </cell>
        </row>
        <row r="286">
          <cell r="D286">
            <v>45681</v>
          </cell>
          <cell r="H286">
            <v>5</v>
          </cell>
          <cell r="I286">
            <v>0</v>
          </cell>
          <cell r="L286">
            <v>400</v>
          </cell>
        </row>
        <row r="287">
          <cell r="D287">
            <v>45681</v>
          </cell>
          <cell r="H287">
            <v>5</v>
          </cell>
          <cell r="I287">
            <v>0</v>
          </cell>
          <cell r="L287">
            <v>450</v>
          </cell>
        </row>
        <row r="288">
          <cell r="D288">
            <v>45681</v>
          </cell>
          <cell r="H288">
            <v>0</v>
          </cell>
          <cell r="I288">
            <v>0</v>
          </cell>
          <cell r="L288">
            <v>280</v>
          </cell>
        </row>
        <row r="289">
          <cell r="D289">
            <v>45681</v>
          </cell>
          <cell r="H289">
            <v>5</v>
          </cell>
          <cell r="I289">
            <v>0</v>
          </cell>
          <cell r="L289">
            <v>125</v>
          </cell>
        </row>
        <row r="290">
          <cell r="D290">
            <v>45681</v>
          </cell>
          <cell r="H290">
            <v>5</v>
          </cell>
          <cell r="I290">
            <v>0</v>
          </cell>
          <cell r="L290">
            <v>375</v>
          </cell>
        </row>
        <row r="291">
          <cell r="D291">
            <v>45682</v>
          </cell>
          <cell r="H291">
            <v>5</v>
          </cell>
          <cell r="I291">
            <v>0</v>
          </cell>
          <cell r="L291">
            <v>400</v>
          </cell>
        </row>
        <row r="292">
          <cell r="D292">
            <v>45682</v>
          </cell>
          <cell r="H292">
            <v>5</v>
          </cell>
          <cell r="I292">
            <v>0</v>
          </cell>
          <cell r="L292">
            <v>150</v>
          </cell>
        </row>
        <row r="293">
          <cell r="D293">
            <v>45682</v>
          </cell>
          <cell r="H293">
            <v>5</v>
          </cell>
          <cell r="I293">
            <v>0</v>
          </cell>
          <cell r="L293">
            <v>200</v>
          </cell>
        </row>
        <row r="294">
          <cell r="D294">
            <v>45682</v>
          </cell>
          <cell r="H294">
            <v>5</v>
          </cell>
          <cell r="I294">
            <v>0</v>
          </cell>
          <cell r="L294">
            <v>385</v>
          </cell>
        </row>
        <row r="295">
          <cell r="D295">
            <v>45682</v>
          </cell>
          <cell r="H295">
            <v>5</v>
          </cell>
          <cell r="I295">
            <v>0</v>
          </cell>
          <cell r="L295">
            <v>450</v>
          </cell>
        </row>
        <row r="296">
          <cell r="D296">
            <v>45682</v>
          </cell>
          <cell r="H296">
            <v>5</v>
          </cell>
          <cell r="I296">
            <v>0</v>
          </cell>
          <cell r="L296">
            <v>50</v>
          </cell>
        </row>
        <row r="297">
          <cell r="D297">
            <v>45682</v>
          </cell>
          <cell r="H297">
            <v>5</v>
          </cell>
          <cell r="I297">
            <v>0</v>
          </cell>
          <cell r="L297">
            <v>250</v>
          </cell>
        </row>
        <row r="298">
          <cell r="D298">
            <v>45682</v>
          </cell>
          <cell r="H298">
            <v>5</v>
          </cell>
          <cell r="I298">
            <v>0</v>
          </cell>
          <cell r="L298">
            <v>75</v>
          </cell>
        </row>
        <row r="299">
          <cell r="D299">
            <v>45683</v>
          </cell>
          <cell r="H299">
            <v>5</v>
          </cell>
          <cell r="I299">
            <v>0</v>
          </cell>
          <cell r="L299">
            <v>500</v>
          </cell>
        </row>
        <row r="300">
          <cell r="D300">
            <v>45683</v>
          </cell>
          <cell r="H300">
            <v>5</v>
          </cell>
          <cell r="I300">
            <v>0</v>
          </cell>
          <cell r="L300">
            <v>500</v>
          </cell>
        </row>
        <row r="301">
          <cell r="D301">
            <v>45683</v>
          </cell>
          <cell r="H301">
            <v>5</v>
          </cell>
          <cell r="I301">
            <v>0</v>
          </cell>
          <cell r="L301">
            <v>675</v>
          </cell>
        </row>
        <row r="302">
          <cell r="D302">
            <v>45683</v>
          </cell>
          <cell r="H302">
            <v>5</v>
          </cell>
          <cell r="I302">
            <v>0</v>
          </cell>
          <cell r="L302">
            <v>350</v>
          </cell>
        </row>
        <row r="303">
          <cell r="D303">
            <v>45683</v>
          </cell>
          <cell r="H303">
            <v>5</v>
          </cell>
          <cell r="I303">
            <v>0</v>
          </cell>
          <cell r="L303">
            <v>500</v>
          </cell>
        </row>
        <row r="304">
          <cell r="D304">
            <v>45683</v>
          </cell>
          <cell r="H304">
            <v>5</v>
          </cell>
          <cell r="I304">
            <v>0</v>
          </cell>
          <cell r="L304">
            <v>500</v>
          </cell>
        </row>
        <row r="305">
          <cell r="D305">
            <v>45684</v>
          </cell>
          <cell r="H305">
            <v>5</v>
          </cell>
          <cell r="I305">
            <v>0</v>
          </cell>
          <cell r="L305">
            <v>450</v>
          </cell>
        </row>
        <row r="306">
          <cell r="D306">
            <v>45684</v>
          </cell>
          <cell r="H306">
            <v>5</v>
          </cell>
          <cell r="I306">
            <v>0</v>
          </cell>
          <cell r="L306">
            <v>50</v>
          </cell>
        </row>
        <row r="307">
          <cell r="D307">
            <v>45684</v>
          </cell>
          <cell r="H307">
            <v>5</v>
          </cell>
          <cell r="I307">
            <v>0</v>
          </cell>
          <cell r="L307">
            <v>425</v>
          </cell>
        </row>
        <row r="308">
          <cell r="D308">
            <v>45684</v>
          </cell>
          <cell r="H308">
            <v>5</v>
          </cell>
          <cell r="I308">
            <v>0</v>
          </cell>
          <cell r="L308">
            <v>150</v>
          </cell>
        </row>
        <row r="309">
          <cell r="D309">
            <v>45684</v>
          </cell>
          <cell r="H309">
            <v>5</v>
          </cell>
          <cell r="I309">
            <v>0</v>
          </cell>
          <cell r="L309">
            <v>200</v>
          </cell>
        </row>
        <row r="310">
          <cell r="D310">
            <v>45684</v>
          </cell>
          <cell r="H310">
            <v>5</v>
          </cell>
          <cell r="I310">
            <v>0</v>
          </cell>
          <cell r="L310">
            <v>75</v>
          </cell>
        </row>
        <row r="311">
          <cell r="D311">
            <v>45684</v>
          </cell>
          <cell r="H311">
            <v>5</v>
          </cell>
          <cell r="I311">
            <v>0</v>
          </cell>
          <cell r="L311">
            <v>250</v>
          </cell>
        </row>
        <row r="312">
          <cell r="D312">
            <v>45684</v>
          </cell>
          <cell r="H312">
            <v>5</v>
          </cell>
          <cell r="I312">
            <v>0</v>
          </cell>
          <cell r="L312">
            <v>100</v>
          </cell>
        </row>
        <row r="313">
          <cell r="D313">
            <v>45684</v>
          </cell>
          <cell r="H313">
            <v>8</v>
          </cell>
          <cell r="I313">
            <v>0</v>
          </cell>
          <cell r="L313">
            <v>125</v>
          </cell>
        </row>
        <row r="314">
          <cell r="D314">
            <v>45684</v>
          </cell>
          <cell r="H314">
            <v>5</v>
          </cell>
          <cell r="I314">
            <v>0</v>
          </cell>
          <cell r="L314">
            <v>315</v>
          </cell>
        </row>
        <row r="315">
          <cell r="D315">
            <v>45685</v>
          </cell>
          <cell r="H315">
            <v>5</v>
          </cell>
          <cell r="I315">
            <v>0</v>
          </cell>
          <cell r="L315">
            <v>125</v>
          </cell>
        </row>
        <row r="316">
          <cell r="D316">
            <v>45685</v>
          </cell>
          <cell r="H316">
            <v>5</v>
          </cell>
          <cell r="I316">
            <v>0</v>
          </cell>
          <cell r="L316">
            <v>200</v>
          </cell>
        </row>
        <row r="317">
          <cell r="D317">
            <v>45685</v>
          </cell>
          <cell r="H317">
            <v>5</v>
          </cell>
          <cell r="I317">
            <v>0</v>
          </cell>
          <cell r="L317">
            <v>150</v>
          </cell>
        </row>
        <row r="318">
          <cell r="D318">
            <v>45685</v>
          </cell>
          <cell r="H318">
            <v>5</v>
          </cell>
          <cell r="I318">
            <v>0</v>
          </cell>
          <cell r="L318">
            <v>125</v>
          </cell>
        </row>
        <row r="319">
          <cell r="D319">
            <v>45685</v>
          </cell>
          <cell r="H319">
            <v>8</v>
          </cell>
          <cell r="I319">
            <v>0</v>
          </cell>
          <cell r="L319">
            <v>148.80000000000001</v>
          </cell>
        </row>
        <row r="320">
          <cell r="D320">
            <v>45685</v>
          </cell>
          <cell r="H320">
            <v>5</v>
          </cell>
          <cell r="I320">
            <v>0</v>
          </cell>
          <cell r="L320">
            <v>150</v>
          </cell>
        </row>
        <row r="321">
          <cell r="D321">
            <v>45685</v>
          </cell>
          <cell r="H321">
            <v>5</v>
          </cell>
          <cell r="I321">
            <v>0</v>
          </cell>
          <cell r="L321">
            <v>385</v>
          </cell>
        </row>
        <row r="322">
          <cell r="D322">
            <v>45685</v>
          </cell>
          <cell r="H322">
            <v>5</v>
          </cell>
          <cell r="I322">
            <v>0</v>
          </cell>
          <cell r="L322">
            <v>50</v>
          </cell>
        </row>
        <row r="323">
          <cell r="D323">
            <v>45685</v>
          </cell>
          <cell r="H323">
            <v>5</v>
          </cell>
          <cell r="I323">
            <v>0</v>
          </cell>
          <cell r="L323">
            <v>50</v>
          </cell>
        </row>
        <row r="324">
          <cell r="D324">
            <v>45685</v>
          </cell>
          <cell r="H324">
            <v>5</v>
          </cell>
          <cell r="I324">
            <v>0</v>
          </cell>
          <cell r="L324">
            <v>125</v>
          </cell>
        </row>
        <row r="325">
          <cell r="D325">
            <v>45686</v>
          </cell>
          <cell r="H325">
            <v>5</v>
          </cell>
          <cell r="I325">
            <v>0</v>
          </cell>
          <cell r="L325">
            <v>250</v>
          </cell>
        </row>
        <row r="326">
          <cell r="D326">
            <v>45686</v>
          </cell>
          <cell r="H326">
            <v>5</v>
          </cell>
          <cell r="I326">
            <v>0</v>
          </cell>
          <cell r="L326">
            <v>125</v>
          </cell>
        </row>
        <row r="327">
          <cell r="D327">
            <v>45686</v>
          </cell>
          <cell r="H327">
            <v>5</v>
          </cell>
          <cell r="I327">
            <v>0</v>
          </cell>
          <cell r="L327">
            <v>400</v>
          </cell>
        </row>
        <row r="328">
          <cell r="D328">
            <v>45686</v>
          </cell>
          <cell r="H328" t="str">
            <v>11.5/12</v>
          </cell>
          <cell r="I328">
            <v>0</v>
          </cell>
          <cell r="L328">
            <v>100</v>
          </cell>
        </row>
        <row r="329">
          <cell r="D329">
            <v>45686</v>
          </cell>
          <cell r="H329">
            <v>5</v>
          </cell>
          <cell r="I329">
            <v>0</v>
          </cell>
          <cell r="L329">
            <v>125</v>
          </cell>
        </row>
        <row r="330">
          <cell r="D330">
            <v>45686</v>
          </cell>
          <cell r="H330">
            <v>5</v>
          </cell>
          <cell r="I330">
            <v>0</v>
          </cell>
          <cell r="L330">
            <v>125</v>
          </cell>
        </row>
        <row r="331">
          <cell r="D331">
            <v>45686</v>
          </cell>
          <cell r="H331">
            <v>5</v>
          </cell>
          <cell r="I331">
            <v>0</v>
          </cell>
          <cell r="L331">
            <v>200</v>
          </cell>
        </row>
        <row r="332">
          <cell r="D332">
            <v>45686</v>
          </cell>
          <cell r="H332">
            <v>5</v>
          </cell>
          <cell r="I332">
            <v>0</v>
          </cell>
          <cell r="L332">
            <v>140</v>
          </cell>
        </row>
        <row r="333">
          <cell r="D333">
            <v>45687</v>
          </cell>
          <cell r="H333">
            <v>5</v>
          </cell>
          <cell r="I333">
            <v>0</v>
          </cell>
          <cell r="L333">
            <v>100</v>
          </cell>
        </row>
        <row r="334">
          <cell r="D334">
            <v>45687</v>
          </cell>
          <cell r="H334">
            <v>5</v>
          </cell>
          <cell r="I334">
            <v>0</v>
          </cell>
          <cell r="L334">
            <v>300</v>
          </cell>
        </row>
        <row r="335">
          <cell r="D335">
            <v>45687</v>
          </cell>
          <cell r="H335">
            <v>5</v>
          </cell>
          <cell r="I335">
            <v>0</v>
          </cell>
          <cell r="L335">
            <v>450</v>
          </cell>
        </row>
        <row r="336">
          <cell r="D336">
            <v>45687</v>
          </cell>
          <cell r="H336">
            <v>5</v>
          </cell>
          <cell r="I336">
            <v>0</v>
          </cell>
          <cell r="L336">
            <v>100</v>
          </cell>
        </row>
        <row r="337">
          <cell r="D337">
            <v>45687</v>
          </cell>
          <cell r="H337">
            <v>5</v>
          </cell>
          <cell r="I337">
            <v>0</v>
          </cell>
          <cell r="L337">
            <v>500</v>
          </cell>
        </row>
        <row r="338">
          <cell r="D338">
            <v>45687</v>
          </cell>
          <cell r="H338">
            <v>5</v>
          </cell>
          <cell r="I338">
            <v>0</v>
          </cell>
          <cell r="L338">
            <v>100</v>
          </cell>
        </row>
        <row r="339">
          <cell r="D339">
            <v>45687</v>
          </cell>
          <cell r="H339">
            <v>5</v>
          </cell>
          <cell r="I339">
            <v>0</v>
          </cell>
          <cell r="L339">
            <v>125</v>
          </cell>
        </row>
        <row r="340">
          <cell r="D340">
            <v>45687</v>
          </cell>
          <cell r="H340">
            <v>5</v>
          </cell>
          <cell r="I340">
            <v>0</v>
          </cell>
          <cell r="L340">
            <v>50</v>
          </cell>
        </row>
        <row r="341">
          <cell r="D341">
            <v>45687</v>
          </cell>
          <cell r="H341">
            <v>5</v>
          </cell>
          <cell r="I341">
            <v>0</v>
          </cell>
          <cell r="L341">
            <v>27.2</v>
          </cell>
        </row>
        <row r="342">
          <cell r="D342">
            <v>45687</v>
          </cell>
          <cell r="H342">
            <v>5</v>
          </cell>
          <cell r="I342">
            <v>0</v>
          </cell>
          <cell r="L342">
            <v>150</v>
          </cell>
        </row>
        <row r="343">
          <cell r="D343">
            <v>45687</v>
          </cell>
          <cell r="H343">
            <v>5</v>
          </cell>
          <cell r="I343">
            <v>0</v>
          </cell>
          <cell r="L343">
            <v>75</v>
          </cell>
        </row>
        <row r="344">
          <cell r="D344">
            <v>45687</v>
          </cell>
          <cell r="H344">
            <v>5</v>
          </cell>
          <cell r="I344">
            <v>0</v>
          </cell>
          <cell r="L344">
            <v>250</v>
          </cell>
        </row>
        <row r="345">
          <cell r="D345">
            <v>45687</v>
          </cell>
          <cell r="H345">
            <v>5</v>
          </cell>
          <cell r="I345">
            <v>0</v>
          </cell>
          <cell r="L345">
            <v>75</v>
          </cell>
        </row>
        <row r="346">
          <cell r="D346">
            <v>45687</v>
          </cell>
          <cell r="H346">
            <v>5</v>
          </cell>
          <cell r="I346">
            <v>0</v>
          </cell>
          <cell r="L346">
            <v>25</v>
          </cell>
        </row>
        <row r="347">
          <cell r="D347">
            <v>45688</v>
          </cell>
          <cell r="H347">
            <v>5</v>
          </cell>
          <cell r="I347">
            <v>0</v>
          </cell>
          <cell r="L347">
            <v>375</v>
          </cell>
        </row>
        <row r="348">
          <cell r="D348">
            <v>45688</v>
          </cell>
          <cell r="H348">
            <v>5</v>
          </cell>
          <cell r="I348">
            <v>0</v>
          </cell>
          <cell r="L348">
            <v>200</v>
          </cell>
        </row>
        <row r="349">
          <cell r="D349">
            <v>45688</v>
          </cell>
          <cell r="H349">
            <v>5</v>
          </cell>
          <cell r="I349">
            <v>0</v>
          </cell>
          <cell r="L349">
            <v>375</v>
          </cell>
        </row>
        <row r="350">
          <cell r="D350">
            <v>45688</v>
          </cell>
          <cell r="H350">
            <v>5</v>
          </cell>
          <cell r="I350">
            <v>0</v>
          </cell>
          <cell r="L350">
            <v>25</v>
          </cell>
        </row>
        <row r="351">
          <cell r="D351">
            <v>45688</v>
          </cell>
          <cell r="H351">
            <v>5</v>
          </cell>
          <cell r="I351">
            <v>0</v>
          </cell>
          <cell r="L351">
            <v>525</v>
          </cell>
        </row>
        <row r="352">
          <cell r="D352">
            <v>45688</v>
          </cell>
          <cell r="H352">
            <v>5</v>
          </cell>
          <cell r="I352">
            <v>0</v>
          </cell>
          <cell r="L352">
            <v>100</v>
          </cell>
        </row>
        <row r="353">
          <cell r="D353">
            <v>45688</v>
          </cell>
          <cell r="H353">
            <v>5</v>
          </cell>
          <cell r="I353">
            <v>0</v>
          </cell>
          <cell r="L353">
            <v>100</v>
          </cell>
        </row>
        <row r="354">
          <cell r="D354">
            <v>45688</v>
          </cell>
          <cell r="H354">
            <v>5</v>
          </cell>
          <cell r="I354">
            <v>0</v>
          </cell>
          <cell r="L354">
            <v>75</v>
          </cell>
        </row>
        <row r="355">
          <cell r="D355">
            <v>45688</v>
          </cell>
          <cell r="H355">
            <v>5</v>
          </cell>
          <cell r="I355">
            <v>0</v>
          </cell>
          <cell r="L355">
            <v>350</v>
          </cell>
        </row>
        <row r="356">
          <cell r="D356">
            <v>45688</v>
          </cell>
          <cell r="H356">
            <v>5</v>
          </cell>
          <cell r="I356">
            <v>0</v>
          </cell>
          <cell r="L356">
            <v>280</v>
          </cell>
        </row>
        <row r="357">
          <cell r="D357">
            <v>45690</v>
          </cell>
          <cell r="H357">
            <v>5</v>
          </cell>
          <cell r="I357">
            <v>0</v>
          </cell>
          <cell r="L357">
            <v>200</v>
          </cell>
        </row>
        <row r="358">
          <cell r="D358">
            <v>45690</v>
          </cell>
          <cell r="H358">
            <v>5</v>
          </cell>
          <cell r="I358">
            <v>0</v>
          </cell>
          <cell r="L358">
            <v>175</v>
          </cell>
        </row>
        <row r="359">
          <cell r="D359">
            <v>45690</v>
          </cell>
          <cell r="H359">
            <v>5</v>
          </cell>
          <cell r="I359">
            <v>0</v>
          </cell>
          <cell r="L359">
            <v>500</v>
          </cell>
        </row>
        <row r="360">
          <cell r="D360">
            <v>45690</v>
          </cell>
          <cell r="H360">
            <v>0</v>
          </cell>
          <cell r="I360">
            <v>0</v>
          </cell>
          <cell r="L360">
            <v>490</v>
          </cell>
        </row>
        <row r="361">
          <cell r="D361">
            <v>45690</v>
          </cell>
          <cell r="H361">
            <v>5</v>
          </cell>
          <cell r="I361">
            <v>0</v>
          </cell>
          <cell r="L361">
            <v>350</v>
          </cell>
        </row>
        <row r="362">
          <cell r="D362">
            <v>45689</v>
          </cell>
          <cell r="H362">
            <v>5</v>
          </cell>
          <cell r="I362">
            <v>0</v>
          </cell>
          <cell r="L362">
            <v>500</v>
          </cell>
        </row>
        <row r="363">
          <cell r="D363">
            <v>45689</v>
          </cell>
          <cell r="H363">
            <v>5</v>
          </cell>
          <cell r="I363">
            <v>0</v>
          </cell>
          <cell r="L363">
            <v>400</v>
          </cell>
        </row>
        <row r="364">
          <cell r="D364">
            <v>45689</v>
          </cell>
          <cell r="H364">
            <v>5</v>
          </cell>
          <cell r="I364">
            <v>0</v>
          </cell>
          <cell r="L364">
            <v>300</v>
          </cell>
        </row>
        <row r="365">
          <cell r="D365">
            <v>45689</v>
          </cell>
          <cell r="H365">
            <v>0</v>
          </cell>
          <cell r="I365">
            <v>0</v>
          </cell>
          <cell r="L365">
            <v>105</v>
          </cell>
        </row>
        <row r="366">
          <cell r="D366">
            <v>45689</v>
          </cell>
          <cell r="H366">
            <v>5</v>
          </cell>
          <cell r="I366">
            <v>0</v>
          </cell>
          <cell r="L366">
            <v>175</v>
          </cell>
        </row>
        <row r="367">
          <cell r="D367">
            <v>45689</v>
          </cell>
          <cell r="H367">
            <v>5</v>
          </cell>
          <cell r="I367">
            <v>0</v>
          </cell>
          <cell r="L367">
            <v>400</v>
          </cell>
        </row>
        <row r="368">
          <cell r="D368">
            <v>45689</v>
          </cell>
          <cell r="H368">
            <v>5</v>
          </cell>
          <cell r="I368">
            <v>0</v>
          </cell>
          <cell r="L368">
            <v>300</v>
          </cell>
        </row>
        <row r="369">
          <cell r="D369">
            <v>45689</v>
          </cell>
          <cell r="H369">
            <v>5</v>
          </cell>
          <cell r="I369">
            <v>0</v>
          </cell>
          <cell r="L369">
            <v>186</v>
          </cell>
        </row>
        <row r="370">
          <cell r="D370">
            <v>45689</v>
          </cell>
          <cell r="H370">
            <v>5</v>
          </cell>
          <cell r="I370">
            <v>0</v>
          </cell>
          <cell r="L370">
            <v>125</v>
          </cell>
        </row>
        <row r="371">
          <cell r="D371">
            <v>45691</v>
          </cell>
          <cell r="H371">
            <v>5</v>
          </cell>
          <cell r="I371">
            <v>0</v>
          </cell>
          <cell r="L371">
            <v>200</v>
          </cell>
        </row>
        <row r="372">
          <cell r="D372">
            <v>45691</v>
          </cell>
          <cell r="H372">
            <v>5</v>
          </cell>
          <cell r="I372">
            <v>0</v>
          </cell>
          <cell r="L372">
            <v>75</v>
          </cell>
        </row>
        <row r="373">
          <cell r="D373">
            <v>45691</v>
          </cell>
          <cell r="H373">
            <v>5</v>
          </cell>
          <cell r="I373">
            <v>0</v>
          </cell>
          <cell r="L373">
            <v>275</v>
          </cell>
        </row>
        <row r="374">
          <cell r="D374">
            <v>45691</v>
          </cell>
          <cell r="H374">
            <v>5</v>
          </cell>
          <cell r="I374">
            <v>0</v>
          </cell>
          <cell r="L374">
            <v>225</v>
          </cell>
        </row>
        <row r="375">
          <cell r="D375">
            <v>45691</v>
          </cell>
          <cell r="H375">
            <v>5</v>
          </cell>
          <cell r="I375">
            <v>0</v>
          </cell>
          <cell r="L375">
            <v>375</v>
          </cell>
        </row>
        <row r="376">
          <cell r="D376">
            <v>45691</v>
          </cell>
          <cell r="H376">
            <v>5</v>
          </cell>
          <cell r="I376">
            <v>0</v>
          </cell>
          <cell r="L376">
            <v>250</v>
          </cell>
        </row>
        <row r="377">
          <cell r="D377">
            <v>45691</v>
          </cell>
          <cell r="H377">
            <v>0</v>
          </cell>
          <cell r="I377">
            <v>0</v>
          </cell>
          <cell r="L377">
            <v>420</v>
          </cell>
        </row>
        <row r="378">
          <cell r="D378">
            <v>45691</v>
          </cell>
          <cell r="H378">
            <v>5</v>
          </cell>
          <cell r="I378">
            <v>0</v>
          </cell>
          <cell r="L378">
            <v>150</v>
          </cell>
        </row>
        <row r="379">
          <cell r="D379">
            <v>45691</v>
          </cell>
          <cell r="H379">
            <v>5</v>
          </cell>
          <cell r="I379">
            <v>0</v>
          </cell>
          <cell r="L379">
            <v>25</v>
          </cell>
        </row>
        <row r="380">
          <cell r="D380">
            <v>45691</v>
          </cell>
          <cell r="H380">
            <v>5</v>
          </cell>
          <cell r="I380">
            <v>0</v>
          </cell>
          <cell r="L380">
            <v>100</v>
          </cell>
        </row>
        <row r="381">
          <cell r="D381">
            <v>45691</v>
          </cell>
          <cell r="H381">
            <v>5</v>
          </cell>
          <cell r="I381">
            <v>0</v>
          </cell>
          <cell r="L381">
            <v>25</v>
          </cell>
        </row>
        <row r="382">
          <cell r="D382">
            <v>45692</v>
          </cell>
          <cell r="H382">
            <v>5</v>
          </cell>
          <cell r="I382">
            <v>0</v>
          </cell>
          <cell r="L382">
            <v>250</v>
          </cell>
        </row>
        <row r="383">
          <cell r="D383">
            <v>45692</v>
          </cell>
          <cell r="H383">
            <v>5</v>
          </cell>
          <cell r="I383">
            <v>0</v>
          </cell>
          <cell r="L383">
            <v>200</v>
          </cell>
        </row>
        <row r="384">
          <cell r="D384">
            <v>45692</v>
          </cell>
          <cell r="H384">
            <v>5</v>
          </cell>
          <cell r="I384">
            <v>0</v>
          </cell>
          <cell r="L384">
            <v>150</v>
          </cell>
        </row>
        <row r="385">
          <cell r="D385">
            <v>45692</v>
          </cell>
          <cell r="H385">
            <v>5</v>
          </cell>
          <cell r="I385">
            <v>0</v>
          </cell>
          <cell r="L385">
            <v>200</v>
          </cell>
        </row>
        <row r="386">
          <cell r="D386">
            <v>45692</v>
          </cell>
          <cell r="H386">
            <v>5</v>
          </cell>
          <cell r="I386">
            <v>0</v>
          </cell>
          <cell r="L386">
            <v>245</v>
          </cell>
        </row>
        <row r="387">
          <cell r="D387">
            <v>45692</v>
          </cell>
          <cell r="H387">
            <v>5</v>
          </cell>
          <cell r="I387">
            <v>0</v>
          </cell>
          <cell r="L387">
            <v>50</v>
          </cell>
        </row>
        <row r="388">
          <cell r="D388">
            <v>45692</v>
          </cell>
          <cell r="H388">
            <v>5</v>
          </cell>
          <cell r="I388">
            <v>0</v>
          </cell>
          <cell r="L388">
            <v>100</v>
          </cell>
        </row>
        <row r="389">
          <cell r="D389">
            <v>45692</v>
          </cell>
          <cell r="H389">
            <v>5</v>
          </cell>
          <cell r="I389">
            <v>0</v>
          </cell>
          <cell r="L389">
            <v>250</v>
          </cell>
        </row>
        <row r="390">
          <cell r="D390">
            <v>45692</v>
          </cell>
          <cell r="H390">
            <v>5</v>
          </cell>
          <cell r="I390">
            <v>0</v>
          </cell>
          <cell r="L390">
            <v>75</v>
          </cell>
        </row>
        <row r="391">
          <cell r="D391">
            <v>45692</v>
          </cell>
          <cell r="H391">
            <v>0</v>
          </cell>
          <cell r="I391">
            <v>0</v>
          </cell>
          <cell r="L391">
            <v>210</v>
          </cell>
        </row>
        <row r="392">
          <cell r="D392">
            <v>45692</v>
          </cell>
          <cell r="H392">
            <v>5</v>
          </cell>
          <cell r="I392">
            <v>0</v>
          </cell>
          <cell r="L392">
            <v>75</v>
          </cell>
        </row>
        <row r="393">
          <cell r="D393">
            <v>45692</v>
          </cell>
          <cell r="H393">
            <v>5</v>
          </cell>
          <cell r="I393">
            <v>0</v>
          </cell>
          <cell r="L393">
            <v>50</v>
          </cell>
        </row>
        <row r="394">
          <cell r="D394">
            <v>45692</v>
          </cell>
          <cell r="H394">
            <v>5</v>
          </cell>
          <cell r="I394">
            <v>0</v>
          </cell>
          <cell r="L394">
            <v>150</v>
          </cell>
        </row>
        <row r="395">
          <cell r="D395">
            <v>45692</v>
          </cell>
          <cell r="H395">
            <v>5</v>
          </cell>
          <cell r="I395">
            <v>0</v>
          </cell>
          <cell r="L395">
            <v>50</v>
          </cell>
        </row>
        <row r="396">
          <cell r="D396">
            <v>45692</v>
          </cell>
          <cell r="H396">
            <v>5</v>
          </cell>
          <cell r="I396">
            <v>0</v>
          </cell>
          <cell r="L396">
            <v>50</v>
          </cell>
        </row>
        <row r="397">
          <cell r="D397">
            <v>45692</v>
          </cell>
          <cell r="H397">
            <v>5</v>
          </cell>
          <cell r="I397">
            <v>0</v>
          </cell>
          <cell r="L397">
            <v>50</v>
          </cell>
        </row>
        <row r="398">
          <cell r="D398">
            <v>45692</v>
          </cell>
          <cell r="H398">
            <v>5</v>
          </cell>
          <cell r="I398">
            <v>0</v>
          </cell>
          <cell r="L398">
            <v>50</v>
          </cell>
        </row>
        <row r="399">
          <cell r="D399">
            <v>45693</v>
          </cell>
          <cell r="H399">
            <v>4.5</v>
          </cell>
          <cell r="I399">
            <v>0</v>
          </cell>
          <cell r="L399">
            <v>75</v>
          </cell>
        </row>
        <row r="400">
          <cell r="D400">
            <v>45693</v>
          </cell>
          <cell r="H400">
            <v>4.5</v>
          </cell>
          <cell r="I400">
            <v>0</v>
          </cell>
          <cell r="L400">
            <v>100</v>
          </cell>
        </row>
        <row r="401">
          <cell r="D401">
            <v>45693</v>
          </cell>
          <cell r="H401">
            <v>5</v>
          </cell>
          <cell r="I401">
            <v>0</v>
          </cell>
          <cell r="L401">
            <v>225</v>
          </cell>
        </row>
        <row r="402">
          <cell r="D402">
            <v>45693</v>
          </cell>
          <cell r="H402">
            <v>5</v>
          </cell>
          <cell r="I402">
            <v>0</v>
          </cell>
          <cell r="L402">
            <v>400</v>
          </cell>
        </row>
        <row r="403">
          <cell r="D403">
            <v>45693</v>
          </cell>
          <cell r="H403">
            <v>5</v>
          </cell>
          <cell r="I403">
            <v>0</v>
          </cell>
          <cell r="L403">
            <v>525</v>
          </cell>
        </row>
        <row r="404">
          <cell r="D404">
            <v>45693</v>
          </cell>
          <cell r="H404">
            <v>5</v>
          </cell>
          <cell r="I404">
            <v>0</v>
          </cell>
          <cell r="L404">
            <v>200</v>
          </cell>
        </row>
        <row r="405">
          <cell r="D405">
            <v>45693</v>
          </cell>
          <cell r="H405">
            <v>5</v>
          </cell>
          <cell r="I405">
            <v>0</v>
          </cell>
          <cell r="L405">
            <v>50</v>
          </cell>
        </row>
        <row r="406">
          <cell r="D406">
            <v>45694</v>
          </cell>
          <cell r="H406">
            <v>4.5</v>
          </cell>
          <cell r="I406">
            <v>0</v>
          </cell>
          <cell r="L406">
            <v>75</v>
          </cell>
        </row>
        <row r="407">
          <cell r="D407">
            <v>45694</v>
          </cell>
          <cell r="H407">
            <v>4.5</v>
          </cell>
          <cell r="I407">
            <v>0</v>
          </cell>
          <cell r="L407">
            <v>325</v>
          </cell>
        </row>
        <row r="408">
          <cell r="D408">
            <v>45694</v>
          </cell>
          <cell r="H408">
            <v>5</v>
          </cell>
          <cell r="I408">
            <v>0</v>
          </cell>
          <cell r="L408">
            <v>400</v>
          </cell>
        </row>
        <row r="409">
          <cell r="D409">
            <v>45694</v>
          </cell>
          <cell r="H409">
            <v>5</v>
          </cell>
          <cell r="I409">
            <v>0</v>
          </cell>
          <cell r="L409">
            <v>25</v>
          </cell>
        </row>
        <row r="410">
          <cell r="D410">
            <v>45694</v>
          </cell>
          <cell r="H410">
            <v>4.5</v>
          </cell>
          <cell r="I410">
            <v>0</v>
          </cell>
          <cell r="L410">
            <v>250</v>
          </cell>
        </row>
        <row r="411">
          <cell r="D411">
            <v>45694</v>
          </cell>
          <cell r="H411">
            <v>5</v>
          </cell>
          <cell r="I411">
            <v>0</v>
          </cell>
          <cell r="L411">
            <v>50</v>
          </cell>
        </row>
        <row r="412">
          <cell r="D412">
            <v>45694</v>
          </cell>
          <cell r="H412" t="str">
            <v>-</v>
          </cell>
          <cell r="I412" t="str">
            <v>-</v>
          </cell>
          <cell r="L412">
            <v>350</v>
          </cell>
        </row>
        <row r="413">
          <cell r="D413">
            <v>45694</v>
          </cell>
          <cell r="H413">
            <v>5</v>
          </cell>
          <cell r="I413">
            <v>0</v>
          </cell>
          <cell r="L413">
            <v>50</v>
          </cell>
        </row>
        <row r="414">
          <cell r="D414">
            <v>45694</v>
          </cell>
          <cell r="H414">
            <v>5</v>
          </cell>
          <cell r="I414">
            <v>0</v>
          </cell>
          <cell r="L414">
            <v>50</v>
          </cell>
        </row>
        <row r="415">
          <cell r="D415">
            <v>45694</v>
          </cell>
          <cell r="H415">
            <v>5</v>
          </cell>
          <cell r="I415">
            <v>0</v>
          </cell>
          <cell r="L415">
            <v>100</v>
          </cell>
        </row>
        <row r="416">
          <cell r="D416">
            <v>45694</v>
          </cell>
          <cell r="H416">
            <v>5</v>
          </cell>
          <cell r="I416">
            <v>0</v>
          </cell>
          <cell r="L416">
            <v>25</v>
          </cell>
        </row>
        <row r="417">
          <cell r="D417">
            <v>45695</v>
          </cell>
          <cell r="H417">
            <v>5</v>
          </cell>
          <cell r="I417">
            <v>0</v>
          </cell>
          <cell r="L417">
            <v>125</v>
          </cell>
        </row>
        <row r="418">
          <cell r="D418">
            <v>45695</v>
          </cell>
          <cell r="H418">
            <v>5</v>
          </cell>
          <cell r="I418">
            <v>0</v>
          </cell>
          <cell r="L418">
            <v>175</v>
          </cell>
        </row>
        <row r="419">
          <cell r="D419">
            <v>45695</v>
          </cell>
          <cell r="H419">
            <v>5</v>
          </cell>
          <cell r="I419">
            <v>0</v>
          </cell>
          <cell r="L419">
            <v>200</v>
          </cell>
        </row>
        <row r="420">
          <cell r="D420">
            <v>45695</v>
          </cell>
          <cell r="H420">
            <v>5</v>
          </cell>
          <cell r="I420">
            <v>0</v>
          </cell>
          <cell r="L420">
            <v>175</v>
          </cell>
        </row>
        <row r="421">
          <cell r="D421">
            <v>45695</v>
          </cell>
          <cell r="H421">
            <v>5</v>
          </cell>
          <cell r="I421">
            <v>0</v>
          </cell>
          <cell r="L421">
            <v>75</v>
          </cell>
        </row>
        <row r="422">
          <cell r="D422">
            <v>45695</v>
          </cell>
          <cell r="H422">
            <v>4.5</v>
          </cell>
          <cell r="I422">
            <v>0</v>
          </cell>
          <cell r="L422">
            <v>100</v>
          </cell>
        </row>
        <row r="423">
          <cell r="D423">
            <v>45695</v>
          </cell>
          <cell r="H423">
            <v>0</v>
          </cell>
          <cell r="I423">
            <v>0</v>
          </cell>
          <cell r="L423">
            <v>350</v>
          </cell>
        </row>
        <row r="424">
          <cell r="D424">
            <v>45695</v>
          </cell>
          <cell r="H424">
            <v>5</v>
          </cell>
          <cell r="I424">
            <v>0</v>
          </cell>
          <cell r="L424">
            <v>25</v>
          </cell>
        </row>
        <row r="425">
          <cell r="D425">
            <v>45695</v>
          </cell>
          <cell r="H425">
            <v>5</v>
          </cell>
          <cell r="I425">
            <v>0</v>
          </cell>
          <cell r="L425">
            <v>275</v>
          </cell>
        </row>
        <row r="426">
          <cell r="D426">
            <v>45695</v>
          </cell>
          <cell r="H426" t="str">
            <v>5.5-6</v>
          </cell>
          <cell r="I426">
            <v>0</v>
          </cell>
          <cell r="L426">
            <v>50</v>
          </cell>
        </row>
        <row r="427">
          <cell r="D427">
            <v>45695</v>
          </cell>
          <cell r="H427">
            <v>5</v>
          </cell>
          <cell r="I427">
            <v>0</v>
          </cell>
          <cell r="L427">
            <v>50</v>
          </cell>
        </row>
        <row r="428">
          <cell r="D428">
            <v>45695</v>
          </cell>
          <cell r="H428">
            <v>5</v>
          </cell>
          <cell r="I428">
            <v>0</v>
          </cell>
          <cell r="L428">
            <v>50</v>
          </cell>
        </row>
        <row r="429">
          <cell r="D429">
            <v>45696</v>
          </cell>
          <cell r="H429">
            <v>0</v>
          </cell>
          <cell r="I429">
            <v>0</v>
          </cell>
          <cell r="L429">
            <v>385</v>
          </cell>
        </row>
        <row r="430">
          <cell r="D430">
            <v>45696</v>
          </cell>
          <cell r="H430">
            <v>8</v>
          </cell>
          <cell r="I430">
            <v>0</v>
          </cell>
          <cell r="L430">
            <v>207.7</v>
          </cell>
        </row>
        <row r="431">
          <cell r="D431">
            <v>45696</v>
          </cell>
          <cell r="H431">
            <v>5</v>
          </cell>
          <cell r="I431">
            <v>0</v>
          </cell>
          <cell r="L431">
            <v>75</v>
          </cell>
        </row>
        <row r="432">
          <cell r="D432">
            <v>45696</v>
          </cell>
          <cell r="H432">
            <v>4.5</v>
          </cell>
          <cell r="I432">
            <v>0</v>
          </cell>
          <cell r="L432">
            <v>100</v>
          </cell>
        </row>
        <row r="433">
          <cell r="D433">
            <v>45696</v>
          </cell>
          <cell r="H433">
            <v>4.5</v>
          </cell>
          <cell r="I433">
            <v>0</v>
          </cell>
          <cell r="L433">
            <v>125</v>
          </cell>
        </row>
        <row r="434">
          <cell r="D434">
            <v>45696</v>
          </cell>
          <cell r="H434">
            <v>4.5</v>
          </cell>
          <cell r="I434">
            <v>0</v>
          </cell>
          <cell r="L434">
            <v>100</v>
          </cell>
        </row>
        <row r="435">
          <cell r="D435">
            <v>45696</v>
          </cell>
          <cell r="H435">
            <v>5</v>
          </cell>
          <cell r="I435">
            <v>0</v>
          </cell>
          <cell r="L435">
            <v>100</v>
          </cell>
        </row>
        <row r="436">
          <cell r="D436">
            <v>45696</v>
          </cell>
          <cell r="H436">
            <v>5</v>
          </cell>
          <cell r="I436">
            <v>0</v>
          </cell>
          <cell r="L436">
            <v>175</v>
          </cell>
        </row>
        <row r="437">
          <cell r="D437">
            <v>45696</v>
          </cell>
          <cell r="H437">
            <v>5</v>
          </cell>
          <cell r="I437">
            <v>0</v>
          </cell>
          <cell r="L437">
            <v>50</v>
          </cell>
        </row>
        <row r="438">
          <cell r="D438">
            <v>45696</v>
          </cell>
          <cell r="H438">
            <v>5</v>
          </cell>
          <cell r="I438">
            <v>0</v>
          </cell>
          <cell r="L438">
            <v>50</v>
          </cell>
        </row>
        <row r="439">
          <cell r="D439">
            <v>45697</v>
          </cell>
          <cell r="H439">
            <v>14</v>
          </cell>
          <cell r="I439">
            <v>0</v>
          </cell>
          <cell r="L439">
            <v>75</v>
          </cell>
        </row>
        <row r="440">
          <cell r="D440">
            <v>45697</v>
          </cell>
          <cell r="H440">
            <v>14</v>
          </cell>
          <cell r="I440">
            <v>0</v>
          </cell>
          <cell r="L440">
            <v>75</v>
          </cell>
        </row>
        <row r="441">
          <cell r="D441">
            <v>45697</v>
          </cell>
          <cell r="H441">
            <v>5</v>
          </cell>
          <cell r="I441">
            <v>0</v>
          </cell>
          <cell r="L441">
            <v>300</v>
          </cell>
        </row>
        <row r="442">
          <cell r="D442">
            <v>45697</v>
          </cell>
          <cell r="H442">
            <v>0</v>
          </cell>
          <cell r="I442">
            <v>0</v>
          </cell>
          <cell r="L442">
            <v>350</v>
          </cell>
        </row>
        <row r="443">
          <cell r="D443">
            <v>45698</v>
          </cell>
          <cell r="H443">
            <v>5</v>
          </cell>
          <cell r="I443">
            <v>0</v>
          </cell>
          <cell r="L443">
            <v>275</v>
          </cell>
        </row>
        <row r="444">
          <cell r="D444">
            <v>45698</v>
          </cell>
          <cell r="H444">
            <v>5</v>
          </cell>
          <cell r="I444">
            <v>0</v>
          </cell>
          <cell r="L444">
            <v>66.5</v>
          </cell>
        </row>
        <row r="445">
          <cell r="D445">
            <v>45698</v>
          </cell>
          <cell r="H445">
            <v>5</v>
          </cell>
          <cell r="I445">
            <v>0</v>
          </cell>
          <cell r="L445">
            <v>25</v>
          </cell>
        </row>
        <row r="446">
          <cell r="D446">
            <v>45698</v>
          </cell>
          <cell r="H446">
            <v>5</v>
          </cell>
          <cell r="I446">
            <v>0</v>
          </cell>
          <cell r="L446">
            <v>500</v>
          </cell>
        </row>
        <row r="447">
          <cell r="D447">
            <v>45698</v>
          </cell>
          <cell r="H447">
            <v>5</v>
          </cell>
          <cell r="I447">
            <v>0</v>
          </cell>
          <cell r="L447">
            <v>50</v>
          </cell>
        </row>
        <row r="448">
          <cell r="D448">
            <v>45698</v>
          </cell>
          <cell r="H448">
            <v>5</v>
          </cell>
          <cell r="I448">
            <v>0</v>
          </cell>
          <cell r="L448">
            <v>25</v>
          </cell>
        </row>
        <row r="449">
          <cell r="D449">
            <v>45698</v>
          </cell>
          <cell r="H449">
            <v>5</v>
          </cell>
          <cell r="I449">
            <v>0</v>
          </cell>
          <cell r="L449">
            <v>75</v>
          </cell>
        </row>
        <row r="450">
          <cell r="D450">
            <v>45698</v>
          </cell>
          <cell r="H450">
            <v>5</v>
          </cell>
          <cell r="I450">
            <v>0</v>
          </cell>
          <cell r="L450">
            <v>75</v>
          </cell>
        </row>
        <row r="451">
          <cell r="D451">
            <v>45698</v>
          </cell>
          <cell r="H451" t="str">
            <v>5.5-6</v>
          </cell>
          <cell r="I451">
            <v>0</v>
          </cell>
          <cell r="L451">
            <v>25</v>
          </cell>
        </row>
        <row r="452">
          <cell r="D452">
            <v>45698</v>
          </cell>
          <cell r="H452">
            <v>5</v>
          </cell>
          <cell r="I452">
            <v>0</v>
          </cell>
          <cell r="L452">
            <v>150</v>
          </cell>
        </row>
        <row r="453">
          <cell r="D453">
            <v>45698</v>
          </cell>
          <cell r="H453">
            <v>5</v>
          </cell>
          <cell r="I453">
            <v>0</v>
          </cell>
          <cell r="L453">
            <v>125</v>
          </cell>
        </row>
        <row r="454">
          <cell r="D454">
            <v>45698</v>
          </cell>
          <cell r="H454">
            <v>5</v>
          </cell>
          <cell r="I454">
            <v>0</v>
          </cell>
          <cell r="L454">
            <v>100</v>
          </cell>
        </row>
        <row r="455">
          <cell r="D455">
            <v>45699</v>
          </cell>
          <cell r="H455">
            <v>5</v>
          </cell>
          <cell r="I455">
            <v>0</v>
          </cell>
          <cell r="L455">
            <v>550</v>
          </cell>
        </row>
        <row r="456">
          <cell r="D456">
            <v>45699</v>
          </cell>
          <cell r="H456">
            <v>5</v>
          </cell>
          <cell r="I456">
            <v>0</v>
          </cell>
          <cell r="L456">
            <v>250</v>
          </cell>
        </row>
        <row r="457">
          <cell r="D457">
            <v>45699</v>
          </cell>
          <cell r="H457">
            <v>5</v>
          </cell>
          <cell r="I457">
            <v>0</v>
          </cell>
          <cell r="L457">
            <v>125</v>
          </cell>
        </row>
        <row r="458">
          <cell r="D458">
            <v>45699</v>
          </cell>
          <cell r="H458">
            <v>5</v>
          </cell>
          <cell r="I458">
            <v>0</v>
          </cell>
          <cell r="L458">
            <v>125</v>
          </cell>
        </row>
        <row r="459">
          <cell r="D459">
            <v>45699</v>
          </cell>
          <cell r="H459">
            <v>5</v>
          </cell>
          <cell r="I459">
            <v>0</v>
          </cell>
          <cell r="L459">
            <v>500</v>
          </cell>
        </row>
        <row r="460">
          <cell r="D460">
            <v>45699</v>
          </cell>
          <cell r="H460">
            <v>5</v>
          </cell>
          <cell r="I460">
            <v>0</v>
          </cell>
          <cell r="L460">
            <v>350</v>
          </cell>
        </row>
        <row r="461">
          <cell r="D461">
            <v>45699</v>
          </cell>
          <cell r="H461">
            <v>5</v>
          </cell>
          <cell r="I461">
            <v>0</v>
          </cell>
          <cell r="L461">
            <v>75</v>
          </cell>
        </row>
        <row r="462">
          <cell r="D462">
            <v>45699</v>
          </cell>
          <cell r="H462">
            <v>5</v>
          </cell>
          <cell r="I462">
            <v>0</v>
          </cell>
          <cell r="L462">
            <v>200</v>
          </cell>
        </row>
        <row r="463">
          <cell r="D463">
            <v>45699</v>
          </cell>
          <cell r="H463">
            <v>5</v>
          </cell>
          <cell r="I463">
            <v>0</v>
          </cell>
          <cell r="L463">
            <v>50</v>
          </cell>
        </row>
        <row r="464">
          <cell r="D464">
            <v>45700</v>
          </cell>
          <cell r="H464">
            <v>5</v>
          </cell>
          <cell r="I464">
            <v>0</v>
          </cell>
          <cell r="L464">
            <v>500</v>
          </cell>
        </row>
        <row r="465">
          <cell r="D465">
            <v>45700</v>
          </cell>
          <cell r="H465">
            <v>5</v>
          </cell>
          <cell r="I465">
            <v>0</v>
          </cell>
          <cell r="L465">
            <v>325</v>
          </cell>
        </row>
        <row r="466">
          <cell r="D466">
            <v>45700</v>
          </cell>
          <cell r="H466">
            <v>5</v>
          </cell>
          <cell r="I466">
            <v>0</v>
          </cell>
          <cell r="L466">
            <v>75</v>
          </cell>
        </row>
        <row r="467">
          <cell r="D467">
            <v>45700</v>
          </cell>
          <cell r="H467">
            <v>5</v>
          </cell>
          <cell r="I467">
            <v>0</v>
          </cell>
          <cell r="L467">
            <v>100</v>
          </cell>
        </row>
        <row r="468">
          <cell r="D468">
            <v>45700</v>
          </cell>
          <cell r="H468">
            <v>5</v>
          </cell>
          <cell r="I468">
            <v>0</v>
          </cell>
          <cell r="L468">
            <v>100</v>
          </cell>
        </row>
        <row r="469">
          <cell r="D469">
            <v>45700</v>
          </cell>
          <cell r="H469">
            <v>5</v>
          </cell>
          <cell r="I469">
            <v>0</v>
          </cell>
          <cell r="L469">
            <v>280</v>
          </cell>
        </row>
        <row r="470">
          <cell r="D470">
            <v>45700</v>
          </cell>
          <cell r="H470">
            <v>5</v>
          </cell>
          <cell r="I470">
            <v>0</v>
          </cell>
          <cell r="L470">
            <v>225</v>
          </cell>
        </row>
        <row r="471">
          <cell r="D471">
            <v>45700</v>
          </cell>
          <cell r="H471">
            <v>5</v>
          </cell>
          <cell r="I471">
            <v>0</v>
          </cell>
          <cell r="L471">
            <v>50</v>
          </cell>
        </row>
        <row r="472">
          <cell r="D472">
            <v>45700</v>
          </cell>
          <cell r="H472">
            <v>5</v>
          </cell>
          <cell r="I472">
            <v>0</v>
          </cell>
          <cell r="L472">
            <v>200</v>
          </cell>
        </row>
        <row r="473">
          <cell r="D473">
            <v>45700</v>
          </cell>
          <cell r="H473">
            <v>5</v>
          </cell>
          <cell r="I473">
            <v>0</v>
          </cell>
          <cell r="L473">
            <v>25</v>
          </cell>
        </row>
        <row r="474">
          <cell r="D474">
            <v>45701</v>
          </cell>
          <cell r="H474">
            <v>5</v>
          </cell>
          <cell r="I474">
            <v>0</v>
          </cell>
          <cell r="L474">
            <v>100</v>
          </cell>
        </row>
        <row r="475">
          <cell r="D475">
            <v>45701</v>
          </cell>
          <cell r="H475">
            <v>5</v>
          </cell>
          <cell r="I475">
            <v>0</v>
          </cell>
          <cell r="L475">
            <v>200</v>
          </cell>
        </row>
        <row r="476">
          <cell r="D476">
            <v>45701</v>
          </cell>
          <cell r="H476">
            <v>5</v>
          </cell>
          <cell r="I476">
            <v>0</v>
          </cell>
          <cell r="L476">
            <v>100</v>
          </cell>
        </row>
        <row r="477">
          <cell r="D477">
            <v>45701</v>
          </cell>
          <cell r="H477">
            <v>5</v>
          </cell>
          <cell r="I477">
            <v>0</v>
          </cell>
          <cell r="L477">
            <v>100</v>
          </cell>
        </row>
        <row r="478">
          <cell r="D478">
            <v>45701</v>
          </cell>
          <cell r="H478">
            <v>5</v>
          </cell>
          <cell r="I478">
            <v>0</v>
          </cell>
          <cell r="L478">
            <v>200</v>
          </cell>
        </row>
        <row r="479">
          <cell r="D479">
            <v>45701</v>
          </cell>
          <cell r="H479">
            <v>5</v>
          </cell>
          <cell r="I479">
            <v>0</v>
          </cell>
          <cell r="L479">
            <v>100</v>
          </cell>
        </row>
        <row r="480">
          <cell r="D480">
            <v>45701</v>
          </cell>
          <cell r="H480">
            <v>5</v>
          </cell>
          <cell r="I480">
            <v>0</v>
          </cell>
          <cell r="L480">
            <v>125</v>
          </cell>
        </row>
        <row r="481">
          <cell r="D481">
            <v>45701</v>
          </cell>
          <cell r="H481">
            <v>5</v>
          </cell>
          <cell r="I481">
            <v>0</v>
          </cell>
          <cell r="L481">
            <v>300</v>
          </cell>
        </row>
        <row r="482">
          <cell r="D482">
            <v>45701</v>
          </cell>
          <cell r="H482">
            <v>5</v>
          </cell>
          <cell r="I482">
            <v>0</v>
          </cell>
          <cell r="L482">
            <v>100</v>
          </cell>
        </row>
        <row r="483">
          <cell r="D483">
            <v>45701</v>
          </cell>
          <cell r="H483">
            <v>5</v>
          </cell>
          <cell r="I483">
            <v>0</v>
          </cell>
          <cell r="L483">
            <v>25</v>
          </cell>
        </row>
        <row r="484">
          <cell r="D484">
            <v>45701</v>
          </cell>
          <cell r="H484">
            <v>5</v>
          </cell>
          <cell r="I484">
            <v>0</v>
          </cell>
          <cell r="L484">
            <v>202.1</v>
          </cell>
        </row>
        <row r="485">
          <cell r="D485">
            <v>45701</v>
          </cell>
          <cell r="H485">
            <v>5</v>
          </cell>
          <cell r="I485">
            <v>0</v>
          </cell>
          <cell r="L485">
            <v>175</v>
          </cell>
        </row>
        <row r="486">
          <cell r="D486">
            <v>45701</v>
          </cell>
          <cell r="H486">
            <v>5</v>
          </cell>
          <cell r="I486">
            <v>0</v>
          </cell>
          <cell r="L486">
            <v>50</v>
          </cell>
        </row>
        <row r="487">
          <cell r="D487">
            <v>45702</v>
          </cell>
          <cell r="H487">
            <v>5</v>
          </cell>
          <cell r="I487">
            <v>0</v>
          </cell>
          <cell r="L487">
            <v>125</v>
          </cell>
        </row>
        <row r="488">
          <cell r="D488">
            <v>45702</v>
          </cell>
          <cell r="H488">
            <v>5</v>
          </cell>
          <cell r="I488">
            <v>0</v>
          </cell>
          <cell r="L488">
            <v>300</v>
          </cell>
        </row>
        <row r="489">
          <cell r="D489">
            <v>45702</v>
          </cell>
          <cell r="H489">
            <v>5</v>
          </cell>
          <cell r="I489">
            <v>0</v>
          </cell>
          <cell r="L489">
            <v>175</v>
          </cell>
        </row>
        <row r="490">
          <cell r="D490">
            <v>45702</v>
          </cell>
          <cell r="H490">
            <v>5</v>
          </cell>
          <cell r="I490">
            <v>0</v>
          </cell>
          <cell r="L490">
            <v>112.9</v>
          </cell>
        </row>
        <row r="491">
          <cell r="D491">
            <v>45702</v>
          </cell>
          <cell r="H491">
            <v>5</v>
          </cell>
          <cell r="I491">
            <v>0</v>
          </cell>
          <cell r="L491">
            <v>150</v>
          </cell>
        </row>
        <row r="492">
          <cell r="D492">
            <v>45702</v>
          </cell>
          <cell r="H492">
            <v>5</v>
          </cell>
          <cell r="I492">
            <v>0</v>
          </cell>
          <cell r="L492">
            <v>100</v>
          </cell>
        </row>
        <row r="493">
          <cell r="D493">
            <v>45702</v>
          </cell>
          <cell r="H493">
            <v>5</v>
          </cell>
          <cell r="I493">
            <v>0</v>
          </cell>
          <cell r="L493">
            <v>150</v>
          </cell>
        </row>
        <row r="494">
          <cell r="D494">
            <v>45702</v>
          </cell>
          <cell r="H494">
            <v>5</v>
          </cell>
          <cell r="I494">
            <v>0</v>
          </cell>
          <cell r="L494">
            <v>200</v>
          </cell>
        </row>
        <row r="495">
          <cell r="D495">
            <v>45702</v>
          </cell>
          <cell r="H495">
            <v>5</v>
          </cell>
          <cell r="I495">
            <v>0</v>
          </cell>
          <cell r="L495">
            <v>175</v>
          </cell>
        </row>
        <row r="496">
          <cell r="D496">
            <v>45702</v>
          </cell>
          <cell r="H496">
            <v>5</v>
          </cell>
          <cell r="I496">
            <v>0</v>
          </cell>
          <cell r="L496">
            <v>100</v>
          </cell>
        </row>
        <row r="497">
          <cell r="D497">
            <v>45702</v>
          </cell>
          <cell r="H497">
            <v>5</v>
          </cell>
          <cell r="I497">
            <v>0</v>
          </cell>
          <cell r="L497">
            <v>125</v>
          </cell>
        </row>
        <row r="498">
          <cell r="D498">
            <v>45702</v>
          </cell>
          <cell r="H498">
            <v>5</v>
          </cell>
          <cell r="I498">
            <v>0</v>
          </cell>
          <cell r="L498">
            <v>50</v>
          </cell>
        </row>
        <row r="499">
          <cell r="D499">
            <v>45702</v>
          </cell>
          <cell r="H499">
            <v>5</v>
          </cell>
          <cell r="I499">
            <v>0</v>
          </cell>
          <cell r="L499">
            <v>100</v>
          </cell>
        </row>
        <row r="500">
          <cell r="D500">
            <v>45703</v>
          </cell>
          <cell r="H500">
            <v>5</v>
          </cell>
          <cell r="I500">
            <v>0</v>
          </cell>
          <cell r="L500">
            <v>75</v>
          </cell>
        </row>
        <row r="501">
          <cell r="D501">
            <v>45703</v>
          </cell>
          <cell r="H501">
            <v>5</v>
          </cell>
          <cell r="I501">
            <v>0</v>
          </cell>
          <cell r="L501">
            <v>175</v>
          </cell>
        </row>
        <row r="502">
          <cell r="D502">
            <v>45703</v>
          </cell>
          <cell r="H502">
            <v>5</v>
          </cell>
          <cell r="I502">
            <v>0</v>
          </cell>
          <cell r="L502">
            <v>50</v>
          </cell>
        </row>
        <row r="503">
          <cell r="D503">
            <v>45703</v>
          </cell>
          <cell r="H503">
            <v>5</v>
          </cell>
          <cell r="I503">
            <v>0</v>
          </cell>
          <cell r="L503">
            <v>225</v>
          </cell>
        </row>
        <row r="504">
          <cell r="D504">
            <v>45703</v>
          </cell>
          <cell r="H504">
            <v>5</v>
          </cell>
          <cell r="I504">
            <v>0</v>
          </cell>
          <cell r="L504">
            <v>175</v>
          </cell>
        </row>
        <row r="505">
          <cell r="D505">
            <v>45703</v>
          </cell>
          <cell r="H505">
            <v>5</v>
          </cell>
          <cell r="I505">
            <v>0</v>
          </cell>
          <cell r="L505">
            <v>100</v>
          </cell>
        </row>
        <row r="506">
          <cell r="D506">
            <v>45703</v>
          </cell>
          <cell r="H506">
            <v>5</v>
          </cell>
          <cell r="I506">
            <v>0</v>
          </cell>
          <cell r="L506">
            <v>100</v>
          </cell>
        </row>
        <row r="507">
          <cell r="D507">
            <v>45703</v>
          </cell>
          <cell r="H507">
            <v>5</v>
          </cell>
          <cell r="I507">
            <v>0</v>
          </cell>
          <cell r="L507">
            <v>450</v>
          </cell>
        </row>
        <row r="508">
          <cell r="D508">
            <v>45703</v>
          </cell>
          <cell r="H508">
            <v>5</v>
          </cell>
          <cell r="I508">
            <v>0</v>
          </cell>
          <cell r="L508">
            <v>50</v>
          </cell>
        </row>
        <row r="509">
          <cell r="D509">
            <v>45703</v>
          </cell>
          <cell r="H509">
            <v>5</v>
          </cell>
          <cell r="I509">
            <v>0</v>
          </cell>
          <cell r="L509">
            <v>150</v>
          </cell>
        </row>
        <row r="510">
          <cell r="D510">
            <v>45703</v>
          </cell>
          <cell r="H510">
            <v>5</v>
          </cell>
          <cell r="I510">
            <v>0</v>
          </cell>
          <cell r="L510">
            <v>75</v>
          </cell>
        </row>
        <row r="511">
          <cell r="D511">
            <v>45703</v>
          </cell>
          <cell r="H511">
            <v>5</v>
          </cell>
          <cell r="I511">
            <v>0</v>
          </cell>
          <cell r="L511">
            <v>125</v>
          </cell>
        </row>
        <row r="512">
          <cell r="D512">
            <v>45703</v>
          </cell>
          <cell r="H512">
            <v>5</v>
          </cell>
          <cell r="I512">
            <v>0</v>
          </cell>
          <cell r="L512">
            <v>100</v>
          </cell>
        </row>
        <row r="513">
          <cell r="D513">
            <v>45703</v>
          </cell>
          <cell r="H513">
            <v>5</v>
          </cell>
          <cell r="I513">
            <v>0</v>
          </cell>
          <cell r="L513">
            <v>350</v>
          </cell>
        </row>
        <row r="514">
          <cell r="D514">
            <v>45703</v>
          </cell>
          <cell r="H514">
            <v>5</v>
          </cell>
          <cell r="I514">
            <v>0</v>
          </cell>
          <cell r="L514">
            <v>25</v>
          </cell>
        </row>
        <row r="515">
          <cell r="D515">
            <v>45704</v>
          </cell>
          <cell r="H515">
            <v>6</v>
          </cell>
          <cell r="I515">
            <v>0</v>
          </cell>
          <cell r="L515">
            <v>575</v>
          </cell>
        </row>
        <row r="516">
          <cell r="D516">
            <v>45704</v>
          </cell>
          <cell r="H516">
            <v>6</v>
          </cell>
          <cell r="I516">
            <v>0</v>
          </cell>
          <cell r="L516">
            <v>425</v>
          </cell>
        </row>
        <row r="517">
          <cell r="D517">
            <v>45704</v>
          </cell>
          <cell r="H517">
            <v>5</v>
          </cell>
          <cell r="I517">
            <v>0</v>
          </cell>
          <cell r="L517">
            <v>500</v>
          </cell>
        </row>
        <row r="518">
          <cell r="D518">
            <v>45704</v>
          </cell>
          <cell r="H518">
            <v>5</v>
          </cell>
          <cell r="I518">
            <v>0</v>
          </cell>
          <cell r="L518">
            <v>150</v>
          </cell>
        </row>
        <row r="519">
          <cell r="D519">
            <v>45704</v>
          </cell>
          <cell r="H519">
            <v>5</v>
          </cell>
          <cell r="I519">
            <v>0</v>
          </cell>
          <cell r="L519">
            <v>75</v>
          </cell>
        </row>
        <row r="520">
          <cell r="D520">
            <v>45704</v>
          </cell>
          <cell r="H520">
            <v>5</v>
          </cell>
          <cell r="I520">
            <v>0</v>
          </cell>
          <cell r="L520">
            <v>200</v>
          </cell>
        </row>
        <row r="521">
          <cell r="D521">
            <v>45704</v>
          </cell>
          <cell r="H521">
            <v>5</v>
          </cell>
          <cell r="I521">
            <v>0</v>
          </cell>
          <cell r="L521">
            <v>25</v>
          </cell>
        </row>
        <row r="522">
          <cell r="D522">
            <v>45704</v>
          </cell>
          <cell r="H522">
            <v>12</v>
          </cell>
          <cell r="I522">
            <v>0</v>
          </cell>
          <cell r="L522">
            <v>325</v>
          </cell>
        </row>
        <row r="523">
          <cell r="D523">
            <v>45704</v>
          </cell>
          <cell r="H523">
            <v>6</v>
          </cell>
          <cell r="I523">
            <v>0</v>
          </cell>
          <cell r="L523">
            <v>450</v>
          </cell>
        </row>
        <row r="524">
          <cell r="D524">
            <v>45705</v>
          </cell>
          <cell r="H524">
            <v>6</v>
          </cell>
          <cell r="I524">
            <v>0</v>
          </cell>
          <cell r="L524">
            <v>569.79999999999995</v>
          </cell>
        </row>
        <row r="525">
          <cell r="D525">
            <v>45705</v>
          </cell>
          <cell r="H525">
            <v>5</v>
          </cell>
          <cell r="I525">
            <v>0</v>
          </cell>
          <cell r="L525">
            <v>325</v>
          </cell>
        </row>
        <row r="526">
          <cell r="D526">
            <v>45705</v>
          </cell>
          <cell r="H526">
            <v>5</v>
          </cell>
          <cell r="I526">
            <v>0</v>
          </cell>
          <cell r="L526">
            <v>475</v>
          </cell>
        </row>
        <row r="527">
          <cell r="D527">
            <v>45705</v>
          </cell>
          <cell r="H527">
            <v>5</v>
          </cell>
          <cell r="I527">
            <v>0</v>
          </cell>
          <cell r="L527">
            <v>200</v>
          </cell>
        </row>
        <row r="528">
          <cell r="D528">
            <v>45705</v>
          </cell>
          <cell r="H528">
            <v>5</v>
          </cell>
          <cell r="I528">
            <v>0</v>
          </cell>
          <cell r="L528">
            <v>25</v>
          </cell>
        </row>
        <row r="529">
          <cell r="D529">
            <v>45705</v>
          </cell>
          <cell r="H529">
            <v>5</v>
          </cell>
          <cell r="I529">
            <v>0</v>
          </cell>
          <cell r="L529">
            <v>250</v>
          </cell>
        </row>
        <row r="530">
          <cell r="D530">
            <v>45705</v>
          </cell>
          <cell r="H530">
            <v>6</v>
          </cell>
          <cell r="I530">
            <v>0</v>
          </cell>
          <cell r="L530">
            <v>675</v>
          </cell>
        </row>
        <row r="531">
          <cell r="D531">
            <v>45706</v>
          </cell>
          <cell r="H531">
            <v>5</v>
          </cell>
          <cell r="I531">
            <v>0</v>
          </cell>
          <cell r="L531">
            <v>200</v>
          </cell>
        </row>
        <row r="532">
          <cell r="D532">
            <v>45706</v>
          </cell>
          <cell r="H532">
            <v>5</v>
          </cell>
          <cell r="I532">
            <v>0</v>
          </cell>
          <cell r="L532">
            <v>175</v>
          </cell>
        </row>
        <row r="533">
          <cell r="D533">
            <v>45706</v>
          </cell>
          <cell r="H533">
            <v>5</v>
          </cell>
          <cell r="I533">
            <v>0</v>
          </cell>
          <cell r="L533">
            <v>350</v>
          </cell>
        </row>
        <row r="534">
          <cell r="D534">
            <v>45706</v>
          </cell>
          <cell r="H534">
            <v>5</v>
          </cell>
          <cell r="I534">
            <v>0</v>
          </cell>
          <cell r="L534">
            <v>475</v>
          </cell>
        </row>
        <row r="535">
          <cell r="D535">
            <v>45706</v>
          </cell>
          <cell r="H535">
            <v>5</v>
          </cell>
          <cell r="I535">
            <v>0</v>
          </cell>
          <cell r="L535">
            <v>50</v>
          </cell>
        </row>
        <row r="536">
          <cell r="D536">
            <v>45706</v>
          </cell>
          <cell r="H536">
            <v>5</v>
          </cell>
          <cell r="I536">
            <v>0</v>
          </cell>
          <cell r="L536">
            <v>225</v>
          </cell>
        </row>
        <row r="537">
          <cell r="D537">
            <v>45706</v>
          </cell>
          <cell r="H537">
            <v>5</v>
          </cell>
          <cell r="I537">
            <v>0</v>
          </cell>
          <cell r="L537">
            <v>225</v>
          </cell>
        </row>
        <row r="538">
          <cell r="D538">
            <v>45706</v>
          </cell>
          <cell r="H538">
            <v>6</v>
          </cell>
          <cell r="I538">
            <v>0</v>
          </cell>
          <cell r="L538">
            <v>50</v>
          </cell>
        </row>
        <row r="539">
          <cell r="D539">
            <v>45707</v>
          </cell>
          <cell r="H539">
            <v>5</v>
          </cell>
          <cell r="I539">
            <v>0</v>
          </cell>
          <cell r="L539">
            <v>400</v>
          </cell>
        </row>
        <row r="540">
          <cell r="D540">
            <v>45707</v>
          </cell>
          <cell r="H540">
            <v>5</v>
          </cell>
          <cell r="I540">
            <v>0</v>
          </cell>
          <cell r="L540">
            <v>400</v>
          </cell>
        </row>
        <row r="541">
          <cell r="D541">
            <v>45707</v>
          </cell>
          <cell r="H541">
            <v>5</v>
          </cell>
          <cell r="I541">
            <v>0</v>
          </cell>
          <cell r="L541">
            <v>100</v>
          </cell>
        </row>
        <row r="542">
          <cell r="D542">
            <v>45707</v>
          </cell>
          <cell r="H542">
            <v>5</v>
          </cell>
          <cell r="I542">
            <v>0</v>
          </cell>
          <cell r="L542">
            <v>350</v>
          </cell>
        </row>
        <row r="543">
          <cell r="D543">
            <v>45707</v>
          </cell>
          <cell r="H543">
            <v>5</v>
          </cell>
          <cell r="I543">
            <v>0</v>
          </cell>
          <cell r="L543">
            <v>50</v>
          </cell>
        </row>
        <row r="544">
          <cell r="D544">
            <v>45707</v>
          </cell>
          <cell r="H544">
            <v>5</v>
          </cell>
          <cell r="I544">
            <v>0</v>
          </cell>
          <cell r="L544">
            <v>250</v>
          </cell>
        </row>
        <row r="545">
          <cell r="D545">
            <v>45707</v>
          </cell>
          <cell r="H545">
            <v>5</v>
          </cell>
          <cell r="I545">
            <v>0</v>
          </cell>
          <cell r="L545">
            <v>350</v>
          </cell>
        </row>
        <row r="546">
          <cell r="D546">
            <v>45707</v>
          </cell>
          <cell r="H546">
            <v>5</v>
          </cell>
          <cell r="I546">
            <v>0</v>
          </cell>
          <cell r="L546">
            <v>200</v>
          </cell>
        </row>
        <row r="547">
          <cell r="D547">
            <v>45707</v>
          </cell>
          <cell r="H547">
            <v>5</v>
          </cell>
          <cell r="I547">
            <v>0</v>
          </cell>
          <cell r="L547">
            <v>250</v>
          </cell>
        </row>
        <row r="548">
          <cell r="D548">
            <v>45708</v>
          </cell>
          <cell r="H548">
            <v>5</v>
          </cell>
          <cell r="I548">
            <v>0</v>
          </cell>
          <cell r="L548">
            <v>325</v>
          </cell>
        </row>
        <row r="549">
          <cell r="D549">
            <v>45708</v>
          </cell>
          <cell r="H549">
            <v>5</v>
          </cell>
          <cell r="I549">
            <v>0</v>
          </cell>
          <cell r="L549">
            <v>100</v>
          </cell>
        </row>
        <row r="550">
          <cell r="D550">
            <v>45708</v>
          </cell>
          <cell r="H550">
            <v>5</v>
          </cell>
          <cell r="I550">
            <v>0</v>
          </cell>
          <cell r="L550">
            <v>275</v>
          </cell>
        </row>
        <row r="551">
          <cell r="D551">
            <v>45708</v>
          </cell>
          <cell r="H551">
            <v>5</v>
          </cell>
          <cell r="I551">
            <v>0</v>
          </cell>
          <cell r="L551">
            <v>25</v>
          </cell>
        </row>
        <row r="552">
          <cell r="D552">
            <v>45708</v>
          </cell>
          <cell r="H552">
            <v>5</v>
          </cell>
          <cell r="I552">
            <v>0</v>
          </cell>
          <cell r="L552">
            <v>200</v>
          </cell>
        </row>
        <row r="553">
          <cell r="D553">
            <v>45708</v>
          </cell>
          <cell r="H553">
            <v>5</v>
          </cell>
          <cell r="I553">
            <v>0</v>
          </cell>
          <cell r="L553">
            <v>150</v>
          </cell>
        </row>
        <row r="554">
          <cell r="D554">
            <v>45708</v>
          </cell>
          <cell r="H554">
            <v>5</v>
          </cell>
          <cell r="I554">
            <v>0</v>
          </cell>
          <cell r="L554">
            <v>60</v>
          </cell>
        </row>
        <row r="555">
          <cell r="D555">
            <v>45708</v>
          </cell>
          <cell r="H555">
            <v>5</v>
          </cell>
          <cell r="I555">
            <v>0</v>
          </cell>
          <cell r="L555">
            <v>25</v>
          </cell>
        </row>
        <row r="556">
          <cell r="D556">
            <v>45708</v>
          </cell>
          <cell r="H556">
            <v>5</v>
          </cell>
          <cell r="I556">
            <v>0</v>
          </cell>
          <cell r="L556">
            <v>325</v>
          </cell>
        </row>
        <row r="557">
          <cell r="D557">
            <v>45708</v>
          </cell>
          <cell r="H557">
            <v>5</v>
          </cell>
          <cell r="I557">
            <v>0</v>
          </cell>
          <cell r="L557">
            <v>100</v>
          </cell>
        </row>
        <row r="558">
          <cell r="D558">
            <v>45708</v>
          </cell>
          <cell r="H558">
            <v>5</v>
          </cell>
          <cell r="I558">
            <v>0</v>
          </cell>
          <cell r="L558">
            <v>175</v>
          </cell>
        </row>
        <row r="559">
          <cell r="D559">
            <v>45708</v>
          </cell>
          <cell r="H559">
            <v>5</v>
          </cell>
          <cell r="I559">
            <v>0</v>
          </cell>
          <cell r="L559">
            <v>50</v>
          </cell>
        </row>
        <row r="560">
          <cell r="D560">
            <v>45708</v>
          </cell>
          <cell r="H560">
            <v>5</v>
          </cell>
          <cell r="I560">
            <v>0</v>
          </cell>
          <cell r="L560">
            <v>50</v>
          </cell>
        </row>
        <row r="561">
          <cell r="D561">
            <v>45708</v>
          </cell>
          <cell r="H561">
            <v>5</v>
          </cell>
          <cell r="I561">
            <v>0</v>
          </cell>
          <cell r="L561">
            <v>50</v>
          </cell>
        </row>
        <row r="562">
          <cell r="D562">
            <v>45708</v>
          </cell>
          <cell r="H562">
            <v>5</v>
          </cell>
          <cell r="I562">
            <v>0</v>
          </cell>
          <cell r="L562">
            <v>175</v>
          </cell>
        </row>
        <row r="563">
          <cell r="D563">
            <v>45709</v>
          </cell>
          <cell r="H563">
            <v>9</v>
          </cell>
          <cell r="I563">
            <v>0</v>
          </cell>
          <cell r="L563">
            <v>25</v>
          </cell>
        </row>
        <row r="564">
          <cell r="D564">
            <v>45709</v>
          </cell>
          <cell r="H564">
            <v>9</v>
          </cell>
          <cell r="I564">
            <v>0</v>
          </cell>
          <cell r="L564">
            <v>100</v>
          </cell>
        </row>
        <row r="565">
          <cell r="D565">
            <v>45709</v>
          </cell>
          <cell r="H565">
            <v>5</v>
          </cell>
          <cell r="I565">
            <v>0</v>
          </cell>
          <cell r="L565">
            <v>250</v>
          </cell>
        </row>
        <row r="566">
          <cell r="D566">
            <v>45709</v>
          </cell>
          <cell r="H566">
            <v>5</v>
          </cell>
          <cell r="I566">
            <v>0</v>
          </cell>
          <cell r="L566">
            <v>300</v>
          </cell>
        </row>
        <row r="567">
          <cell r="D567">
            <v>45709</v>
          </cell>
          <cell r="H567">
            <v>5</v>
          </cell>
          <cell r="I567">
            <v>0</v>
          </cell>
          <cell r="L567">
            <v>111.6</v>
          </cell>
        </row>
        <row r="568">
          <cell r="D568">
            <v>45709</v>
          </cell>
          <cell r="H568">
            <v>5</v>
          </cell>
          <cell r="I568">
            <v>0</v>
          </cell>
          <cell r="L568">
            <v>125</v>
          </cell>
        </row>
        <row r="569">
          <cell r="D569">
            <v>45709</v>
          </cell>
          <cell r="H569">
            <v>5</v>
          </cell>
          <cell r="I569">
            <v>0</v>
          </cell>
          <cell r="L569">
            <v>250</v>
          </cell>
        </row>
        <row r="570">
          <cell r="D570">
            <v>45709</v>
          </cell>
          <cell r="H570">
            <v>5</v>
          </cell>
          <cell r="I570">
            <v>0</v>
          </cell>
          <cell r="L570">
            <v>25</v>
          </cell>
        </row>
        <row r="571">
          <cell r="D571">
            <v>45709</v>
          </cell>
          <cell r="H571">
            <v>5</v>
          </cell>
          <cell r="I571">
            <v>0</v>
          </cell>
          <cell r="L571">
            <v>300</v>
          </cell>
        </row>
        <row r="572">
          <cell r="D572">
            <v>45709</v>
          </cell>
          <cell r="H572">
            <v>0</v>
          </cell>
          <cell r="I572">
            <v>0</v>
          </cell>
          <cell r="L572">
            <v>175</v>
          </cell>
        </row>
        <row r="573">
          <cell r="D573">
            <v>45709</v>
          </cell>
          <cell r="H573">
            <v>5</v>
          </cell>
          <cell r="I573">
            <v>0</v>
          </cell>
          <cell r="L573">
            <v>25</v>
          </cell>
        </row>
        <row r="574">
          <cell r="D574">
            <v>45710</v>
          </cell>
          <cell r="H574">
            <v>5</v>
          </cell>
          <cell r="I574">
            <v>0</v>
          </cell>
          <cell r="L574">
            <v>200</v>
          </cell>
        </row>
        <row r="575">
          <cell r="D575">
            <v>45710</v>
          </cell>
          <cell r="H575">
            <v>5</v>
          </cell>
          <cell r="I575">
            <v>0</v>
          </cell>
          <cell r="L575">
            <v>175</v>
          </cell>
        </row>
        <row r="576">
          <cell r="D576">
            <v>45710</v>
          </cell>
          <cell r="H576">
            <v>5</v>
          </cell>
          <cell r="I576">
            <v>0</v>
          </cell>
          <cell r="L576">
            <v>175</v>
          </cell>
        </row>
        <row r="577">
          <cell r="D577">
            <v>45710</v>
          </cell>
          <cell r="H577">
            <v>5</v>
          </cell>
          <cell r="I577">
            <v>0</v>
          </cell>
          <cell r="L577">
            <v>150</v>
          </cell>
        </row>
        <row r="578">
          <cell r="D578">
            <v>45710</v>
          </cell>
          <cell r="H578">
            <v>5</v>
          </cell>
          <cell r="I578">
            <v>0</v>
          </cell>
          <cell r="L578">
            <v>125</v>
          </cell>
        </row>
        <row r="579">
          <cell r="D579">
            <v>45710</v>
          </cell>
          <cell r="H579">
            <v>5</v>
          </cell>
          <cell r="I579">
            <v>0</v>
          </cell>
          <cell r="L579">
            <v>300</v>
          </cell>
        </row>
        <row r="580">
          <cell r="D580">
            <v>45710</v>
          </cell>
          <cell r="H580">
            <v>5</v>
          </cell>
          <cell r="I580">
            <v>0</v>
          </cell>
          <cell r="L580">
            <v>300</v>
          </cell>
        </row>
        <row r="581">
          <cell r="D581">
            <v>45710</v>
          </cell>
          <cell r="H581">
            <v>5</v>
          </cell>
          <cell r="I581">
            <v>0</v>
          </cell>
          <cell r="L581">
            <v>25</v>
          </cell>
        </row>
        <row r="582">
          <cell r="D582">
            <v>45710</v>
          </cell>
          <cell r="H582">
            <v>5</v>
          </cell>
          <cell r="I582">
            <v>0</v>
          </cell>
          <cell r="L582">
            <v>30</v>
          </cell>
        </row>
        <row r="583">
          <cell r="D583">
            <v>45710</v>
          </cell>
          <cell r="H583">
            <v>5</v>
          </cell>
          <cell r="I583">
            <v>0</v>
          </cell>
          <cell r="L583">
            <v>225</v>
          </cell>
        </row>
        <row r="584">
          <cell r="D584">
            <v>45710</v>
          </cell>
          <cell r="H584">
            <v>5</v>
          </cell>
          <cell r="I584">
            <v>0</v>
          </cell>
          <cell r="L584">
            <v>25</v>
          </cell>
        </row>
        <row r="585">
          <cell r="D585">
            <v>45710</v>
          </cell>
          <cell r="H585">
            <v>5</v>
          </cell>
          <cell r="I585">
            <v>0</v>
          </cell>
          <cell r="L585">
            <v>200</v>
          </cell>
        </row>
        <row r="586">
          <cell r="D586">
            <v>45711</v>
          </cell>
          <cell r="H586">
            <v>5</v>
          </cell>
          <cell r="I586">
            <v>0</v>
          </cell>
          <cell r="L586">
            <v>490</v>
          </cell>
        </row>
        <row r="587">
          <cell r="D587">
            <v>45711</v>
          </cell>
          <cell r="H587">
            <v>5</v>
          </cell>
          <cell r="I587">
            <v>0</v>
          </cell>
          <cell r="L587">
            <v>315</v>
          </cell>
        </row>
        <row r="588">
          <cell r="D588">
            <v>45711</v>
          </cell>
          <cell r="H588">
            <v>5</v>
          </cell>
          <cell r="I588">
            <v>0</v>
          </cell>
          <cell r="L588">
            <v>25</v>
          </cell>
        </row>
        <row r="589">
          <cell r="D589">
            <v>45712</v>
          </cell>
          <cell r="H589">
            <v>5</v>
          </cell>
          <cell r="I589">
            <v>0</v>
          </cell>
          <cell r="L589">
            <v>150</v>
          </cell>
        </row>
        <row r="590">
          <cell r="D590">
            <v>45712</v>
          </cell>
          <cell r="H590">
            <v>5</v>
          </cell>
          <cell r="I590">
            <v>0</v>
          </cell>
          <cell r="L590">
            <v>25</v>
          </cell>
        </row>
        <row r="591">
          <cell r="D591">
            <v>45712</v>
          </cell>
          <cell r="H591">
            <v>5</v>
          </cell>
          <cell r="I591">
            <v>0</v>
          </cell>
          <cell r="L591">
            <v>50</v>
          </cell>
        </row>
        <row r="592">
          <cell r="D592">
            <v>45712</v>
          </cell>
          <cell r="H592">
            <v>5</v>
          </cell>
          <cell r="I592">
            <v>0</v>
          </cell>
          <cell r="L592">
            <v>100</v>
          </cell>
        </row>
        <row r="593">
          <cell r="D593">
            <v>45712</v>
          </cell>
          <cell r="H593">
            <v>5</v>
          </cell>
          <cell r="I593">
            <v>0</v>
          </cell>
          <cell r="L593">
            <v>200</v>
          </cell>
        </row>
        <row r="594">
          <cell r="D594">
            <v>45712</v>
          </cell>
          <cell r="H594">
            <v>5</v>
          </cell>
          <cell r="I594">
            <v>0</v>
          </cell>
          <cell r="L594">
            <v>200</v>
          </cell>
        </row>
        <row r="595">
          <cell r="D595">
            <v>45712</v>
          </cell>
          <cell r="H595">
            <v>5</v>
          </cell>
          <cell r="I595">
            <v>0</v>
          </cell>
          <cell r="L595">
            <v>385</v>
          </cell>
        </row>
        <row r="596">
          <cell r="D596">
            <v>45712</v>
          </cell>
          <cell r="H596">
            <v>5</v>
          </cell>
          <cell r="I596">
            <v>0</v>
          </cell>
          <cell r="L596">
            <v>200</v>
          </cell>
        </row>
        <row r="597">
          <cell r="D597">
            <v>45712</v>
          </cell>
          <cell r="H597">
            <v>5</v>
          </cell>
          <cell r="I597">
            <v>0</v>
          </cell>
          <cell r="L597">
            <v>175</v>
          </cell>
        </row>
        <row r="598">
          <cell r="D598">
            <v>45712</v>
          </cell>
          <cell r="H598">
            <v>5</v>
          </cell>
          <cell r="I598">
            <v>0</v>
          </cell>
          <cell r="L598">
            <v>50</v>
          </cell>
        </row>
        <row r="599">
          <cell r="D599">
            <v>45712</v>
          </cell>
          <cell r="H599">
            <v>5</v>
          </cell>
          <cell r="I599">
            <v>0</v>
          </cell>
          <cell r="L599">
            <v>150</v>
          </cell>
        </row>
        <row r="600">
          <cell r="D600">
            <v>45712</v>
          </cell>
          <cell r="H600">
            <v>5</v>
          </cell>
          <cell r="I600">
            <v>0</v>
          </cell>
          <cell r="L600">
            <v>125</v>
          </cell>
        </row>
        <row r="601">
          <cell r="D601">
            <v>45713</v>
          </cell>
          <cell r="H601">
            <v>5</v>
          </cell>
          <cell r="I601">
            <v>0</v>
          </cell>
          <cell r="L601">
            <v>490</v>
          </cell>
        </row>
        <row r="602">
          <cell r="D602">
            <v>45713</v>
          </cell>
          <cell r="H602">
            <v>5</v>
          </cell>
          <cell r="I602">
            <v>0</v>
          </cell>
          <cell r="L602">
            <v>250</v>
          </cell>
        </row>
        <row r="603">
          <cell r="D603">
            <v>45713</v>
          </cell>
          <cell r="H603">
            <v>5</v>
          </cell>
          <cell r="I603">
            <v>0</v>
          </cell>
          <cell r="L603">
            <v>225</v>
          </cell>
        </row>
        <row r="604">
          <cell r="D604">
            <v>45713</v>
          </cell>
          <cell r="H604">
            <v>5</v>
          </cell>
          <cell r="I604">
            <v>0</v>
          </cell>
          <cell r="L604">
            <v>75</v>
          </cell>
        </row>
        <row r="605">
          <cell r="D605">
            <v>45713</v>
          </cell>
          <cell r="H605">
            <v>5</v>
          </cell>
          <cell r="I605">
            <v>0</v>
          </cell>
          <cell r="L605">
            <v>100</v>
          </cell>
        </row>
        <row r="606">
          <cell r="D606">
            <v>45713</v>
          </cell>
          <cell r="H606">
            <v>5</v>
          </cell>
          <cell r="I606">
            <v>0</v>
          </cell>
          <cell r="L606">
            <v>200</v>
          </cell>
        </row>
        <row r="607">
          <cell r="D607">
            <v>45713</v>
          </cell>
          <cell r="H607">
            <v>5</v>
          </cell>
          <cell r="I607">
            <v>0</v>
          </cell>
          <cell r="L607">
            <v>100</v>
          </cell>
        </row>
        <row r="608">
          <cell r="D608">
            <v>45713</v>
          </cell>
          <cell r="H608">
            <v>5</v>
          </cell>
          <cell r="I608">
            <v>0</v>
          </cell>
          <cell r="L608">
            <v>175</v>
          </cell>
        </row>
        <row r="609">
          <cell r="D609">
            <v>45713</v>
          </cell>
          <cell r="H609">
            <v>5</v>
          </cell>
          <cell r="I609">
            <v>0</v>
          </cell>
          <cell r="L609">
            <v>275</v>
          </cell>
        </row>
        <row r="610">
          <cell r="D610">
            <v>45714</v>
          </cell>
          <cell r="H610">
            <v>5</v>
          </cell>
          <cell r="I610">
            <v>0</v>
          </cell>
          <cell r="L610">
            <v>385</v>
          </cell>
        </row>
        <row r="611">
          <cell r="D611">
            <v>45714</v>
          </cell>
          <cell r="H611">
            <v>10</v>
          </cell>
          <cell r="I611">
            <v>0</v>
          </cell>
          <cell r="L611">
            <v>125</v>
          </cell>
        </row>
        <row r="612">
          <cell r="D612">
            <v>45714</v>
          </cell>
          <cell r="H612">
            <v>5</v>
          </cell>
          <cell r="I612">
            <v>0</v>
          </cell>
          <cell r="L612">
            <v>325</v>
          </cell>
        </row>
        <row r="613">
          <cell r="D613">
            <v>45714</v>
          </cell>
          <cell r="H613">
            <v>5</v>
          </cell>
          <cell r="I613">
            <v>0</v>
          </cell>
          <cell r="L613">
            <v>475</v>
          </cell>
        </row>
        <row r="614">
          <cell r="D614">
            <v>45714</v>
          </cell>
          <cell r="H614">
            <v>5</v>
          </cell>
          <cell r="I614">
            <v>0</v>
          </cell>
          <cell r="L614">
            <v>200</v>
          </cell>
        </row>
        <row r="615">
          <cell r="D615">
            <v>45714</v>
          </cell>
          <cell r="H615">
            <v>5</v>
          </cell>
          <cell r="I615">
            <v>0</v>
          </cell>
          <cell r="L615">
            <v>50</v>
          </cell>
        </row>
        <row r="616">
          <cell r="D616">
            <v>45714</v>
          </cell>
          <cell r="H616">
            <v>5</v>
          </cell>
          <cell r="I616">
            <v>0</v>
          </cell>
          <cell r="L616">
            <v>25</v>
          </cell>
        </row>
        <row r="617">
          <cell r="D617">
            <v>45714</v>
          </cell>
          <cell r="H617">
            <v>5</v>
          </cell>
          <cell r="I617">
            <v>0</v>
          </cell>
          <cell r="L617">
            <v>125</v>
          </cell>
        </row>
        <row r="618">
          <cell r="D618">
            <v>45714</v>
          </cell>
          <cell r="H618">
            <v>5</v>
          </cell>
          <cell r="I618">
            <v>0</v>
          </cell>
          <cell r="L618">
            <v>200</v>
          </cell>
        </row>
        <row r="619">
          <cell r="D619">
            <v>45714</v>
          </cell>
          <cell r="H619">
            <v>5</v>
          </cell>
          <cell r="I619">
            <v>0</v>
          </cell>
          <cell r="L619">
            <v>50</v>
          </cell>
        </row>
        <row r="620">
          <cell r="D620">
            <v>45714</v>
          </cell>
          <cell r="H620">
            <v>5</v>
          </cell>
          <cell r="I620">
            <v>0</v>
          </cell>
          <cell r="L620">
            <v>150</v>
          </cell>
        </row>
        <row r="621">
          <cell r="D621">
            <v>45715</v>
          </cell>
          <cell r="H621">
            <v>5</v>
          </cell>
          <cell r="I621">
            <v>0</v>
          </cell>
          <cell r="L621">
            <v>210</v>
          </cell>
        </row>
        <row r="622">
          <cell r="D622">
            <v>45715</v>
          </cell>
          <cell r="H622">
            <v>5</v>
          </cell>
          <cell r="I622">
            <v>0</v>
          </cell>
          <cell r="L622">
            <v>150</v>
          </cell>
        </row>
        <row r="623">
          <cell r="D623">
            <v>45715</v>
          </cell>
          <cell r="H623">
            <v>5</v>
          </cell>
          <cell r="I623">
            <v>0</v>
          </cell>
          <cell r="L623">
            <v>75</v>
          </cell>
        </row>
        <row r="624">
          <cell r="D624">
            <v>45715</v>
          </cell>
          <cell r="H624">
            <v>5</v>
          </cell>
          <cell r="I624">
            <v>0</v>
          </cell>
          <cell r="L624">
            <v>275</v>
          </cell>
        </row>
        <row r="625">
          <cell r="D625">
            <v>45715</v>
          </cell>
          <cell r="H625">
            <v>5</v>
          </cell>
          <cell r="I625">
            <v>0</v>
          </cell>
          <cell r="L625">
            <v>35</v>
          </cell>
        </row>
        <row r="626">
          <cell r="D626">
            <v>45715</v>
          </cell>
          <cell r="H626">
            <v>10</v>
          </cell>
          <cell r="I626">
            <v>0</v>
          </cell>
          <cell r="L626">
            <v>500</v>
          </cell>
        </row>
        <row r="627">
          <cell r="D627">
            <v>45715</v>
          </cell>
          <cell r="H627">
            <v>5</v>
          </cell>
          <cell r="I627">
            <v>0</v>
          </cell>
          <cell r="L627">
            <v>25</v>
          </cell>
        </row>
        <row r="628">
          <cell r="D628">
            <v>45715</v>
          </cell>
          <cell r="H628">
            <v>5</v>
          </cell>
          <cell r="I628">
            <v>0</v>
          </cell>
          <cell r="L628">
            <v>150</v>
          </cell>
        </row>
        <row r="629">
          <cell r="D629">
            <v>45715</v>
          </cell>
          <cell r="H629">
            <v>5</v>
          </cell>
          <cell r="I629">
            <v>0</v>
          </cell>
          <cell r="L629">
            <v>100</v>
          </cell>
        </row>
        <row r="630">
          <cell r="D630">
            <v>45715</v>
          </cell>
          <cell r="H630">
            <v>5</v>
          </cell>
          <cell r="I630">
            <v>0</v>
          </cell>
          <cell r="L630">
            <v>200</v>
          </cell>
        </row>
        <row r="631">
          <cell r="D631">
            <v>45716</v>
          </cell>
          <cell r="H631">
            <v>5</v>
          </cell>
          <cell r="I631">
            <v>0</v>
          </cell>
          <cell r="L631">
            <v>455</v>
          </cell>
        </row>
        <row r="632">
          <cell r="D632">
            <v>45716</v>
          </cell>
          <cell r="H632">
            <v>6</v>
          </cell>
          <cell r="I632">
            <v>0</v>
          </cell>
          <cell r="L632">
            <v>75</v>
          </cell>
        </row>
        <row r="633">
          <cell r="D633">
            <v>45716</v>
          </cell>
          <cell r="H633">
            <v>5</v>
          </cell>
          <cell r="I633">
            <v>0</v>
          </cell>
          <cell r="L633">
            <v>425</v>
          </cell>
        </row>
        <row r="634">
          <cell r="D634">
            <v>45716</v>
          </cell>
          <cell r="H634">
            <v>10</v>
          </cell>
          <cell r="I634">
            <v>0</v>
          </cell>
          <cell r="L634">
            <v>150</v>
          </cell>
        </row>
        <row r="635">
          <cell r="D635">
            <v>45716</v>
          </cell>
          <cell r="H635">
            <v>10</v>
          </cell>
          <cell r="I635">
            <v>0</v>
          </cell>
          <cell r="L635">
            <v>30</v>
          </cell>
        </row>
        <row r="636">
          <cell r="D636">
            <v>45716</v>
          </cell>
          <cell r="H636">
            <v>10</v>
          </cell>
          <cell r="I636">
            <v>0</v>
          </cell>
          <cell r="L636">
            <v>125</v>
          </cell>
        </row>
        <row r="637">
          <cell r="D637">
            <v>45716</v>
          </cell>
          <cell r="H637">
            <v>5</v>
          </cell>
          <cell r="I637">
            <v>0</v>
          </cell>
          <cell r="L637">
            <v>175</v>
          </cell>
        </row>
        <row r="638">
          <cell r="D638">
            <v>45716</v>
          </cell>
          <cell r="H638">
            <v>10</v>
          </cell>
          <cell r="I638">
            <v>0</v>
          </cell>
          <cell r="L638">
            <v>10</v>
          </cell>
        </row>
        <row r="639">
          <cell r="D639">
            <v>45716</v>
          </cell>
          <cell r="H639">
            <v>4.5</v>
          </cell>
          <cell r="I639">
            <v>0</v>
          </cell>
          <cell r="L639">
            <v>100</v>
          </cell>
        </row>
        <row r="640">
          <cell r="D640">
            <v>45716</v>
          </cell>
          <cell r="H640">
            <v>5</v>
          </cell>
          <cell r="I640">
            <v>0</v>
          </cell>
          <cell r="L640">
            <v>50</v>
          </cell>
        </row>
        <row r="641">
          <cell r="D641">
            <v>45716</v>
          </cell>
          <cell r="H641">
            <v>5</v>
          </cell>
          <cell r="I641">
            <v>0</v>
          </cell>
          <cell r="L641">
            <v>200</v>
          </cell>
        </row>
        <row r="642">
          <cell r="D642">
            <v>45717</v>
          </cell>
          <cell r="H642">
            <v>4.5</v>
          </cell>
          <cell r="I642">
            <v>0</v>
          </cell>
          <cell r="L642">
            <v>50</v>
          </cell>
        </row>
        <row r="643">
          <cell r="D643">
            <v>45717</v>
          </cell>
          <cell r="H643">
            <v>4.5</v>
          </cell>
          <cell r="I643">
            <v>0</v>
          </cell>
          <cell r="L643">
            <v>150</v>
          </cell>
        </row>
        <row r="644">
          <cell r="D644">
            <v>45717</v>
          </cell>
          <cell r="H644">
            <v>8</v>
          </cell>
          <cell r="I644">
            <v>0</v>
          </cell>
          <cell r="L644">
            <v>75</v>
          </cell>
        </row>
        <row r="645">
          <cell r="D645">
            <v>45717</v>
          </cell>
          <cell r="H645">
            <v>5</v>
          </cell>
          <cell r="I645">
            <v>0</v>
          </cell>
          <cell r="L645">
            <v>120</v>
          </cell>
        </row>
        <row r="646">
          <cell r="D646">
            <v>45717</v>
          </cell>
          <cell r="H646">
            <v>10</v>
          </cell>
          <cell r="I646">
            <v>0</v>
          </cell>
          <cell r="L646">
            <v>490</v>
          </cell>
        </row>
        <row r="647">
          <cell r="D647">
            <v>45717</v>
          </cell>
          <cell r="H647">
            <v>5</v>
          </cell>
          <cell r="I647">
            <v>0</v>
          </cell>
          <cell r="L647">
            <v>50</v>
          </cell>
        </row>
        <row r="648">
          <cell r="D648">
            <v>45717</v>
          </cell>
          <cell r="H648">
            <v>4.5</v>
          </cell>
          <cell r="I648">
            <v>0</v>
          </cell>
          <cell r="L648">
            <v>200</v>
          </cell>
        </row>
        <row r="649">
          <cell r="D649">
            <v>45717</v>
          </cell>
          <cell r="H649">
            <v>10</v>
          </cell>
          <cell r="I649">
            <v>0</v>
          </cell>
          <cell r="L649">
            <v>75</v>
          </cell>
        </row>
        <row r="650">
          <cell r="D650">
            <v>45717</v>
          </cell>
          <cell r="H650">
            <v>5</v>
          </cell>
          <cell r="I650">
            <v>0</v>
          </cell>
          <cell r="L650">
            <v>50</v>
          </cell>
        </row>
        <row r="651">
          <cell r="D651">
            <v>45717</v>
          </cell>
          <cell r="H651">
            <v>5</v>
          </cell>
          <cell r="I651">
            <v>0</v>
          </cell>
          <cell r="L651">
            <v>125</v>
          </cell>
        </row>
        <row r="652">
          <cell r="D652">
            <v>45717</v>
          </cell>
          <cell r="H652">
            <v>5</v>
          </cell>
          <cell r="I652">
            <v>0</v>
          </cell>
          <cell r="L652">
            <v>125</v>
          </cell>
        </row>
        <row r="653">
          <cell r="D653">
            <v>45717</v>
          </cell>
          <cell r="H653">
            <v>5</v>
          </cell>
          <cell r="I653">
            <v>0</v>
          </cell>
          <cell r="L653">
            <v>225</v>
          </cell>
        </row>
        <row r="654">
          <cell r="D654">
            <v>45718</v>
          </cell>
          <cell r="H654">
            <v>5</v>
          </cell>
          <cell r="I654">
            <v>0</v>
          </cell>
          <cell r="L654">
            <v>500</v>
          </cell>
        </row>
        <row r="655">
          <cell r="D655">
            <v>45718</v>
          </cell>
          <cell r="H655">
            <v>5</v>
          </cell>
          <cell r="I655">
            <v>0</v>
          </cell>
          <cell r="L655">
            <v>455</v>
          </cell>
        </row>
        <row r="656">
          <cell r="D656">
            <v>45718</v>
          </cell>
          <cell r="H656">
            <v>5</v>
          </cell>
          <cell r="I656">
            <v>0</v>
          </cell>
          <cell r="L656">
            <v>180</v>
          </cell>
        </row>
        <row r="657">
          <cell r="D657">
            <v>45718</v>
          </cell>
          <cell r="H657">
            <v>15</v>
          </cell>
          <cell r="I657">
            <v>0</v>
          </cell>
          <cell r="L657">
            <v>120</v>
          </cell>
        </row>
        <row r="658">
          <cell r="D658">
            <v>45718</v>
          </cell>
          <cell r="H658">
            <v>5</v>
          </cell>
          <cell r="I658">
            <v>0</v>
          </cell>
          <cell r="L658">
            <v>200</v>
          </cell>
        </row>
        <row r="659">
          <cell r="D659">
            <v>45718</v>
          </cell>
          <cell r="H659">
            <v>5</v>
          </cell>
          <cell r="I659">
            <v>0</v>
          </cell>
          <cell r="L659">
            <v>25</v>
          </cell>
        </row>
        <row r="660">
          <cell r="D660">
            <v>45718</v>
          </cell>
          <cell r="H660">
            <v>5</v>
          </cell>
          <cell r="I660">
            <v>0</v>
          </cell>
          <cell r="L660">
            <v>275</v>
          </cell>
        </row>
        <row r="661">
          <cell r="D661">
            <v>45719</v>
          </cell>
          <cell r="H661">
            <v>15</v>
          </cell>
          <cell r="I661">
            <v>0</v>
          </cell>
          <cell r="L661">
            <v>330</v>
          </cell>
        </row>
        <row r="662">
          <cell r="D662">
            <v>45719</v>
          </cell>
          <cell r="H662">
            <v>4.5</v>
          </cell>
          <cell r="I662">
            <v>0</v>
          </cell>
          <cell r="L662">
            <v>100</v>
          </cell>
        </row>
        <row r="663">
          <cell r="D663">
            <v>45719</v>
          </cell>
          <cell r="H663">
            <v>5</v>
          </cell>
          <cell r="I663">
            <v>0</v>
          </cell>
          <cell r="L663">
            <v>50</v>
          </cell>
        </row>
        <row r="664">
          <cell r="D664">
            <v>45719</v>
          </cell>
          <cell r="H664">
            <v>4.5</v>
          </cell>
          <cell r="I664">
            <v>0</v>
          </cell>
          <cell r="L664">
            <v>93.1</v>
          </cell>
        </row>
        <row r="665">
          <cell r="D665">
            <v>45719</v>
          </cell>
          <cell r="H665">
            <v>4.5</v>
          </cell>
          <cell r="I665">
            <v>0</v>
          </cell>
          <cell r="L665">
            <v>100</v>
          </cell>
        </row>
        <row r="666">
          <cell r="D666">
            <v>45719</v>
          </cell>
          <cell r="H666">
            <v>5</v>
          </cell>
          <cell r="I666">
            <v>0</v>
          </cell>
          <cell r="L666">
            <v>175</v>
          </cell>
        </row>
        <row r="667">
          <cell r="D667">
            <v>45719</v>
          </cell>
          <cell r="H667">
            <v>5</v>
          </cell>
          <cell r="I667">
            <v>0</v>
          </cell>
          <cell r="L667">
            <v>75</v>
          </cell>
        </row>
        <row r="668">
          <cell r="D668">
            <v>45719</v>
          </cell>
          <cell r="H668">
            <v>4.5</v>
          </cell>
          <cell r="I668">
            <v>0</v>
          </cell>
          <cell r="L668">
            <v>200</v>
          </cell>
        </row>
        <row r="669">
          <cell r="D669">
            <v>45719</v>
          </cell>
          <cell r="H669">
            <v>5</v>
          </cell>
          <cell r="I669">
            <v>0</v>
          </cell>
          <cell r="L669">
            <v>225</v>
          </cell>
        </row>
        <row r="670">
          <cell r="D670">
            <v>45719</v>
          </cell>
          <cell r="H670">
            <v>4.5</v>
          </cell>
          <cell r="I670">
            <v>0</v>
          </cell>
          <cell r="L670">
            <v>75</v>
          </cell>
        </row>
        <row r="671">
          <cell r="D671">
            <v>45720</v>
          </cell>
          <cell r="H671" t="str">
            <v>6-6.5</v>
          </cell>
          <cell r="I671">
            <v>0</v>
          </cell>
          <cell r="L671">
            <v>623.5</v>
          </cell>
        </row>
        <row r="672">
          <cell r="D672">
            <v>45720</v>
          </cell>
          <cell r="H672">
            <v>5</v>
          </cell>
          <cell r="I672">
            <v>0</v>
          </cell>
          <cell r="L672">
            <v>25</v>
          </cell>
        </row>
        <row r="673">
          <cell r="D673">
            <v>45720</v>
          </cell>
          <cell r="H673">
            <v>5</v>
          </cell>
          <cell r="I673">
            <v>0</v>
          </cell>
          <cell r="L673">
            <v>70</v>
          </cell>
        </row>
        <row r="674">
          <cell r="D674">
            <v>45720</v>
          </cell>
          <cell r="H674">
            <v>5</v>
          </cell>
          <cell r="I674">
            <v>0</v>
          </cell>
          <cell r="L674">
            <v>175</v>
          </cell>
        </row>
        <row r="675">
          <cell r="D675">
            <v>45720</v>
          </cell>
          <cell r="H675" t="str">
            <v>6-6.5</v>
          </cell>
          <cell r="I675">
            <v>0</v>
          </cell>
          <cell r="L675">
            <v>30</v>
          </cell>
        </row>
        <row r="676">
          <cell r="D676">
            <v>45720</v>
          </cell>
          <cell r="H676">
            <v>5</v>
          </cell>
          <cell r="I676">
            <v>0</v>
          </cell>
          <cell r="L676">
            <v>25</v>
          </cell>
        </row>
        <row r="677">
          <cell r="D677">
            <v>45720</v>
          </cell>
          <cell r="H677">
            <v>5</v>
          </cell>
          <cell r="I677">
            <v>0</v>
          </cell>
          <cell r="L677">
            <v>100</v>
          </cell>
        </row>
        <row r="678">
          <cell r="D678">
            <v>45720</v>
          </cell>
          <cell r="H678">
            <v>5</v>
          </cell>
          <cell r="I678">
            <v>0</v>
          </cell>
          <cell r="L678">
            <v>236</v>
          </cell>
        </row>
        <row r="679">
          <cell r="D679">
            <v>45720</v>
          </cell>
          <cell r="H679">
            <v>5</v>
          </cell>
          <cell r="I679">
            <v>0</v>
          </cell>
          <cell r="L679">
            <v>350</v>
          </cell>
        </row>
        <row r="680">
          <cell r="D680">
            <v>45720</v>
          </cell>
          <cell r="H680">
            <v>5</v>
          </cell>
          <cell r="I680">
            <v>0</v>
          </cell>
          <cell r="L680">
            <v>25</v>
          </cell>
        </row>
        <row r="681">
          <cell r="D681">
            <v>45720</v>
          </cell>
          <cell r="H681">
            <v>5</v>
          </cell>
          <cell r="I681">
            <v>0</v>
          </cell>
          <cell r="L681">
            <v>25</v>
          </cell>
        </row>
        <row r="682">
          <cell r="D682">
            <v>45720</v>
          </cell>
          <cell r="H682">
            <v>5</v>
          </cell>
          <cell r="I682">
            <v>0</v>
          </cell>
          <cell r="L682">
            <v>250</v>
          </cell>
        </row>
        <row r="683">
          <cell r="D683">
            <v>45720</v>
          </cell>
          <cell r="H683">
            <v>5</v>
          </cell>
          <cell r="I683">
            <v>0</v>
          </cell>
          <cell r="L683">
            <v>200</v>
          </cell>
        </row>
        <row r="684">
          <cell r="D684">
            <v>45720</v>
          </cell>
          <cell r="H684">
            <v>5</v>
          </cell>
          <cell r="I684">
            <v>0</v>
          </cell>
          <cell r="L684">
            <v>28.5</v>
          </cell>
        </row>
        <row r="685">
          <cell r="D685">
            <v>45721</v>
          </cell>
          <cell r="H685">
            <v>5</v>
          </cell>
          <cell r="I685">
            <v>0</v>
          </cell>
          <cell r="L685">
            <v>325</v>
          </cell>
        </row>
        <row r="686">
          <cell r="D686">
            <v>45721</v>
          </cell>
          <cell r="H686">
            <v>10</v>
          </cell>
          <cell r="I686">
            <v>0</v>
          </cell>
          <cell r="L686">
            <v>81.099999999999994</v>
          </cell>
        </row>
        <row r="687">
          <cell r="D687">
            <v>45721</v>
          </cell>
          <cell r="H687">
            <v>5</v>
          </cell>
          <cell r="I687">
            <v>0</v>
          </cell>
          <cell r="L687">
            <v>125</v>
          </cell>
        </row>
        <row r="688">
          <cell r="D688">
            <v>45721</v>
          </cell>
          <cell r="H688">
            <v>6</v>
          </cell>
          <cell r="I688">
            <v>0</v>
          </cell>
          <cell r="L688">
            <v>100</v>
          </cell>
        </row>
        <row r="689">
          <cell r="D689">
            <v>45721</v>
          </cell>
          <cell r="H689">
            <v>5</v>
          </cell>
          <cell r="I689">
            <v>0</v>
          </cell>
          <cell r="L689">
            <v>19.600000000000001</v>
          </cell>
        </row>
        <row r="690">
          <cell r="D690">
            <v>45721</v>
          </cell>
          <cell r="H690">
            <v>5</v>
          </cell>
          <cell r="I690">
            <v>0</v>
          </cell>
          <cell r="L690">
            <v>200</v>
          </cell>
        </row>
        <row r="691">
          <cell r="D691">
            <v>45721</v>
          </cell>
          <cell r="H691">
            <v>5</v>
          </cell>
          <cell r="I691">
            <v>0</v>
          </cell>
          <cell r="L691">
            <v>450</v>
          </cell>
        </row>
        <row r="692">
          <cell r="D692">
            <v>45721</v>
          </cell>
          <cell r="H692">
            <v>5</v>
          </cell>
          <cell r="I692">
            <v>0</v>
          </cell>
          <cell r="L692">
            <v>250</v>
          </cell>
        </row>
        <row r="693">
          <cell r="D693">
            <v>45721</v>
          </cell>
          <cell r="H693">
            <v>5</v>
          </cell>
          <cell r="I693">
            <v>0</v>
          </cell>
          <cell r="L693">
            <v>200</v>
          </cell>
        </row>
        <row r="694">
          <cell r="D694">
            <v>45721</v>
          </cell>
          <cell r="H694">
            <v>5</v>
          </cell>
          <cell r="I694">
            <v>0</v>
          </cell>
          <cell r="L694">
            <v>125</v>
          </cell>
        </row>
        <row r="695">
          <cell r="D695">
            <v>45722</v>
          </cell>
          <cell r="H695">
            <v>5</v>
          </cell>
          <cell r="I695">
            <v>0</v>
          </cell>
          <cell r="L695">
            <v>400</v>
          </cell>
        </row>
        <row r="696">
          <cell r="D696">
            <v>45722</v>
          </cell>
          <cell r="H696">
            <v>5</v>
          </cell>
          <cell r="I696">
            <v>0</v>
          </cell>
          <cell r="L696">
            <v>500</v>
          </cell>
        </row>
        <row r="697">
          <cell r="D697">
            <v>45722</v>
          </cell>
          <cell r="H697">
            <v>5</v>
          </cell>
          <cell r="I697">
            <v>0</v>
          </cell>
          <cell r="L697">
            <v>50</v>
          </cell>
        </row>
        <row r="698">
          <cell r="D698">
            <v>45722</v>
          </cell>
          <cell r="H698">
            <v>5</v>
          </cell>
          <cell r="I698">
            <v>0</v>
          </cell>
          <cell r="L698">
            <v>25</v>
          </cell>
        </row>
        <row r="699">
          <cell r="D699">
            <v>45722</v>
          </cell>
          <cell r="H699">
            <v>5</v>
          </cell>
          <cell r="I699">
            <v>0</v>
          </cell>
          <cell r="L699">
            <v>150</v>
          </cell>
        </row>
        <row r="700">
          <cell r="D700">
            <v>45722</v>
          </cell>
          <cell r="H700">
            <v>10</v>
          </cell>
          <cell r="I700">
            <v>0</v>
          </cell>
          <cell r="L700">
            <v>82.4</v>
          </cell>
        </row>
        <row r="701">
          <cell r="D701">
            <v>45722</v>
          </cell>
          <cell r="H701">
            <v>10</v>
          </cell>
          <cell r="I701">
            <v>0</v>
          </cell>
          <cell r="L701">
            <v>84.1</v>
          </cell>
        </row>
        <row r="702">
          <cell r="D702">
            <v>45722</v>
          </cell>
          <cell r="H702">
            <v>5</v>
          </cell>
          <cell r="I702">
            <v>0</v>
          </cell>
          <cell r="L702">
            <v>100</v>
          </cell>
        </row>
        <row r="703">
          <cell r="D703">
            <v>45722</v>
          </cell>
          <cell r="H703">
            <v>5</v>
          </cell>
          <cell r="I703">
            <v>0</v>
          </cell>
          <cell r="L703">
            <v>75</v>
          </cell>
        </row>
        <row r="704">
          <cell r="D704">
            <v>45722</v>
          </cell>
          <cell r="H704">
            <v>5</v>
          </cell>
          <cell r="I704">
            <v>0</v>
          </cell>
          <cell r="L704">
            <v>300</v>
          </cell>
        </row>
        <row r="705">
          <cell r="D705">
            <v>45722</v>
          </cell>
          <cell r="H705">
            <v>5</v>
          </cell>
          <cell r="I705">
            <v>0</v>
          </cell>
          <cell r="L705">
            <v>50</v>
          </cell>
        </row>
        <row r="706">
          <cell r="D706">
            <v>45722</v>
          </cell>
          <cell r="H706">
            <v>5</v>
          </cell>
          <cell r="I706">
            <v>0</v>
          </cell>
          <cell r="L706">
            <v>150</v>
          </cell>
        </row>
        <row r="707">
          <cell r="D707">
            <v>45722</v>
          </cell>
          <cell r="H707">
            <v>10</v>
          </cell>
          <cell r="I707">
            <v>0</v>
          </cell>
          <cell r="L707">
            <v>77</v>
          </cell>
        </row>
        <row r="708">
          <cell r="D708">
            <v>45722</v>
          </cell>
          <cell r="H708">
            <v>5</v>
          </cell>
          <cell r="I708">
            <v>0</v>
          </cell>
          <cell r="L708">
            <v>250</v>
          </cell>
        </row>
        <row r="709">
          <cell r="D709">
            <v>45723</v>
          </cell>
          <cell r="H709">
            <v>5</v>
          </cell>
          <cell r="I709">
            <v>0</v>
          </cell>
          <cell r="L709">
            <v>225</v>
          </cell>
        </row>
        <row r="710">
          <cell r="D710">
            <v>45723</v>
          </cell>
          <cell r="H710">
            <v>5</v>
          </cell>
          <cell r="I710">
            <v>0</v>
          </cell>
          <cell r="L710">
            <v>300</v>
          </cell>
        </row>
        <row r="711">
          <cell r="D711">
            <v>45723</v>
          </cell>
          <cell r="H711">
            <v>5</v>
          </cell>
          <cell r="I711">
            <v>0</v>
          </cell>
          <cell r="L711">
            <v>350</v>
          </cell>
        </row>
        <row r="712">
          <cell r="D712">
            <v>45723</v>
          </cell>
          <cell r="H712">
            <v>5</v>
          </cell>
          <cell r="I712">
            <v>0</v>
          </cell>
          <cell r="L712">
            <v>425</v>
          </cell>
        </row>
        <row r="713">
          <cell r="D713">
            <v>45723</v>
          </cell>
          <cell r="H713">
            <v>5</v>
          </cell>
          <cell r="I713">
            <v>0</v>
          </cell>
          <cell r="L713">
            <v>250</v>
          </cell>
        </row>
        <row r="714">
          <cell r="D714">
            <v>45723</v>
          </cell>
          <cell r="H714">
            <v>5</v>
          </cell>
          <cell r="I714">
            <v>0</v>
          </cell>
          <cell r="L714">
            <v>50</v>
          </cell>
        </row>
        <row r="715">
          <cell r="D715">
            <v>45723</v>
          </cell>
          <cell r="H715">
            <v>4.5</v>
          </cell>
          <cell r="I715">
            <v>0</v>
          </cell>
          <cell r="L715">
            <v>150</v>
          </cell>
        </row>
        <row r="716">
          <cell r="D716">
            <v>45724</v>
          </cell>
          <cell r="H716">
            <v>5</v>
          </cell>
          <cell r="I716">
            <v>0</v>
          </cell>
          <cell r="L716">
            <v>550</v>
          </cell>
        </row>
        <row r="717">
          <cell r="D717">
            <v>45724</v>
          </cell>
          <cell r="H717">
            <v>5</v>
          </cell>
          <cell r="I717">
            <v>0</v>
          </cell>
          <cell r="L717">
            <v>75</v>
          </cell>
        </row>
        <row r="718">
          <cell r="D718">
            <v>45724</v>
          </cell>
          <cell r="H718">
            <v>5</v>
          </cell>
          <cell r="I718">
            <v>0</v>
          </cell>
          <cell r="L718">
            <v>400</v>
          </cell>
        </row>
        <row r="719">
          <cell r="D719">
            <v>45724</v>
          </cell>
          <cell r="H719">
            <v>5</v>
          </cell>
          <cell r="I719">
            <v>0</v>
          </cell>
          <cell r="L719">
            <v>100</v>
          </cell>
        </row>
        <row r="720">
          <cell r="D720">
            <v>45724</v>
          </cell>
          <cell r="H720">
            <v>5</v>
          </cell>
          <cell r="I720">
            <v>0</v>
          </cell>
          <cell r="L720">
            <v>385</v>
          </cell>
        </row>
        <row r="721">
          <cell r="D721">
            <v>45724</v>
          </cell>
          <cell r="H721">
            <v>5</v>
          </cell>
          <cell r="I721">
            <v>0</v>
          </cell>
          <cell r="L721">
            <v>50</v>
          </cell>
        </row>
        <row r="722">
          <cell r="D722">
            <v>45724</v>
          </cell>
          <cell r="H722">
            <v>5</v>
          </cell>
          <cell r="I722">
            <v>0</v>
          </cell>
          <cell r="L722">
            <v>150</v>
          </cell>
        </row>
        <row r="723">
          <cell r="D723">
            <v>45724</v>
          </cell>
          <cell r="H723">
            <v>5</v>
          </cell>
          <cell r="I723">
            <v>0</v>
          </cell>
          <cell r="L723">
            <v>175</v>
          </cell>
        </row>
        <row r="724">
          <cell r="D724">
            <v>45724</v>
          </cell>
          <cell r="H724">
            <v>4.5</v>
          </cell>
          <cell r="I724">
            <v>0</v>
          </cell>
          <cell r="L724">
            <v>50</v>
          </cell>
        </row>
        <row r="725">
          <cell r="D725">
            <v>45725</v>
          </cell>
          <cell r="H725">
            <v>5</v>
          </cell>
          <cell r="I725">
            <v>0</v>
          </cell>
          <cell r="L725">
            <v>250</v>
          </cell>
        </row>
        <row r="726">
          <cell r="D726">
            <v>45725</v>
          </cell>
          <cell r="H726">
            <v>5</v>
          </cell>
          <cell r="I726">
            <v>0</v>
          </cell>
          <cell r="L726">
            <v>275</v>
          </cell>
        </row>
        <row r="727">
          <cell r="D727">
            <v>45725</v>
          </cell>
          <cell r="H727">
            <v>5</v>
          </cell>
          <cell r="I727">
            <v>0</v>
          </cell>
          <cell r="L727">
            <v>275</v>
          </cell>
        </row>
        <row r="728">
          <cell r="D728">
            <v>45725</v>
          </cell>
          <cell r="H728">
            <v>5</v>
          </cell>
          <cell r="I728">
            <v>0</v>
          </cell>
          <cell r="L728">
            <v>275</v>
          </cell>
        </row>
        <row r="729">
          <cell r="D729">
            <v>45725</v>
          </cell>
          <cell r="H729">
            <v>5</v>
          </cell>
          <cell r="I729">
            <v>0</v>
          </cell>
          <cell r="L729">
            <v>500</v>
          </cell>
        </row>
        <row r="730">
          <cell r="D730">
            <v>45725</v>
          </cell>
          <cell r="H730">
            <v>5</v>
          </cell>
          <cell r="I730">
            <v>0</v>
          </cell>
          <cell r="L730">
            <v>560</v>
          </cell>
        </row>
        <row r="731">
          <cell r="D731">
            <v>45726</v>
          </cell>
          <cell r="H731">
            <v>5</v>
          </cell>
          <cell r="I731">
            <v>0</v>
          </cell>
          <cell r="L731">
            <v>25</v>
          </cell>
        </row>
        <row r="732">
          <cell r="D732">
            <v>45726</v>
          </cell>
          <cell r="H732">
            <v>5</v>
          </cell>
          <cell r="I732">
            <v>0</v>
          </cell>
          <cell r="L732">
            <v>250</v>
          </cell>
        </row>
        <row r="733">
          <cell r="D733">
            <v>45726</v>
          </cell>
          <cell r="H733">
            <v>5</v>
          </cell>
          <cell r="I733">
            <v>0</v>
          </cell>
          <cell r="L733">
            <v>250</v>
          </cell>
        </row>
        <row r="734">
          <cell r="D734">
            <v>45726</v>
          </cell>
          <cell r="H734">
            <v>5</v>
          </cell>
          <cell r="I734">
            <v>0</v>
          </cell>
          <cell r="L734">
            <v>500</v>
          </cell>
        </row>
        <row r="735">
          <cell r="D735">
            <v>45726</v>
          </cell>
          <cell r="H735">
            <v>10</v>
          </cell>
          <cell r="I735">
            <v>0</v>
          </cell>
          <cell r="L735">
            <v>100</v>
          </cell>
        </row>
        <row r="736">
          <cell r="D736">
            <v>45726</v>
          </cell>
          <cell r="H736">
            <v>8</v>
          </cell>
          <cell r="I736">
            <v>0</v>
          </cell>
          <cell r="L736">
            <v>375</v>
          </cell>
        </row>
        <row r="737">
          <cell r="D737">
            <v>45726</v>
          </cell>
          <cell r="H737">
            <v>5</v>
          </cell>
          <cell r="I737">
            <v>0</v>
          </cell>
          <cell r="L737">
            <v>50</v>
          </cell>
        </row>
        <row r="738">
          <cell r="D738">
            <v>45726</v>
          </cell>
          <cell r="H738">
            <v>5</v>
          </cell>
          <cell r="I738">
            <v>0</v>
          </cell>
          <cell r="L738">
            <v>25</v>
          </cell>
        </row>
        <row r="739">
          <cell r="D739">
            <v>45726</v>
          </cell>
          <cell r="H739">
            <v>5</v>
          </cell>
          <cell r="I739">
            <v>0</v>
          </cell>
          <cell r="L739">
            <v>200</v>
          </cell>
        </row>
        <row r="740">
          <cell r="D740">
            <v>45726</v>
          </cell>
          <cell r="H740">
            <v>10</v>
          </cell>
          <cell r="I740">
            <v>0</v>
          </cell>
          <cell r="L740">
            <v>300</v>
          </cell>
        </row>
        <row r="741">
          <cell r="D741">
            <v>45727</v>
          </cell>
          <cell r="H741">
            <v>5</v>
          </cell>
          <cell r="I741">
            <v>0</v>
          </cell>
          <cell r="L741">
            <v>400</v>
          </cell>
        </row>
        <row r="742">
          <cell r="D742">
            <v>45727</v>
          </cell>
          <cell r="H742">
            <v>4.5</v>
          </cell>
          <cell r="I742">
            <v>0</v>
          </cell>
          <cell r="L742">
            <v>75</v>
          </cell>
        </row>
        <row r="743">
          <cell r="D743">
            <v>45727</v>
          </cell>
          <cell r="H743">
            <v>5</v>
          </cell>
          <cell r="I743">
            <v>0</v>
          </cell>
          <cell r="L743">
            <v>150</v>
          </cell>
        </row>
        <row r="744">
          <cell r="D744">
            <v>45727</v>
          </cell>
          <cell r="H744">
            <v>5</v>
          </cell>
          <cell r="I744">
            <v>0</v>
          </cell>
          <cell r="L744">
            <v>315</v>
          </cell>
        </row>
        <row r="745">
          <cell r="D745">
            <v>45727</v>
          </cell>
          <cell r="H745">
            <v>5</v>
          </cell>
          <cell r="I745">
            <v>0</v>
          </cell>
          <cell r="L745">
            <v>375</v>
          </cell>
        </row>
        <row r="746">
          <cell r="D746">
            <v>45727</v>
          </cell>
          <cell r="H746">
            <v>8</v>
          </cell>
          <cell r="I746">
            <v>0</v>
          </cell>
          <cell r="L746">
            <v>625</v>
          </cell>
        </row>
        <row r="747">
          <cell r="D747">
            <v>45727</v>
          </cell>
          <cell r="H747">
            <v>5</v>
          </cell>
          <cell r="I747">
            <v>0</v>
          </cell>
          <cell r="L747">
            <v>25</v>
          </cell>
        </row>
        <row r="748">
          <cell r="D748">
            <v>45727</v>
          </cell>
          <cell r="H748">
            <v>8</v>
          </cell>
          <cell r="I748">
            <v>0</v>
          </cell>
          <cell r="L748">
            <v>25</v>
          </cell>
        </row>
        <row r="749">
          <cell r="D749">
            <v>45728</v>
          </cell>
          <cell r="H749">
            <v>5</v>
          </cell>
          <cell r="I749">
            <v>0</v>
          </cell>
          <cell r="L749">
            <v>250</v>
          </cell>
        </row>
        <row r="750">
          <cell r="D750">
            <v>45728</v>
          </cell>
          <cell r="H750">
            <v>5</v>
          </cell>
          <cell r="I750">
            <v>0</v>
          </cell>
          <cell r="L750">
            <v>250</v>
          </cell>
        </row>
        <row r="751">
          <cell r="D751">
            <v>45728</v>
          </cell>
          <cell r="H751">
            <v>10</v>
          </cell>
          <cell r="I751">
            <v>0</v>
          </cell>
          <cell r="L751">
            <v>200</v>
          </cell>
        </row>
        <row r="752">
          <cell r="D752">
            <v>45728</v>
          </cell>
          <cell r="H752">
            <v>4.5</v>
          </cell>
          <cell r="I752">
            <v>0</v>
          </cell>
          <cell r="L752">
            <v>75</v>
          </cell>
        </row>
        <row r="753">
          <cell r="D753">
            <v>45728</v>
          </cell>
          <cell r="H753">
            <v>4.5</v>
          </cell>
          <cell r="I753">
            <v>0</v>
          </cell>
          <cell r="L753">
            <v>200</v>
          </cell>
        </row>
        <row r="754">
          <cell r="D754">
            <v>45728</v>
          </cell>
          <cell r="H754">
            <v>4.5</v>
          </cell>
          <cell r="I754">
            <v>0</v>
          </cell>
          <cell r="L754">
            <v>100</v>
          </cell>
        </row>
        <row r="755">
          <cell r="D755">
            <v>45728</v>
          </cell>
          <cell r="H755">
            <v>4.5</v>
          </cell>
          <cell r="I755">
            <v>0</v>
          </cell>
          <cell r="L755">
            <v>25</v>
          </cell>
        </row>
        <row r="756">
          <cell r="D756">
            <v>45728</v>
          </cell>
          <cell r="H756">
            <v>5</v>
          </cell>
          <cell r="I756">
            <v>0</v>
          </cell>
          <cell r="L756">
            <v>100</v>
          </cell>
        </row>
        <row r="757">
          <cell r="D757">
            <v>45728</v>
          </cell>
          <cell r="H757">
            <v>5</v>
          </cell>
          <cell r="I757">
            <v>0</v>
          </cell>
          <cell r="L757">
            <v>300</v>
          </cell>
        </row>
        <row r="758">
          <cell r="D758">
            <v>45728</v>
          </cell>
          <cell r="H758">
            <v>8</v>
          </cell>
          <cell r="I758">
            <v>0</v>
          </cell>
          <cell r="L758">
            <v>500</v>
          </cell>
        </row>
        <row r="759">
          <cell r="D759">
            <v>45728</v>
          </cell>
          <cell r="H759">
            <v>5</v>
          </cell>
          <cell r="I759">
            <v>0</v>
          </cell>
          <cell r="L759">
            <v>275</v>
          </cell>
        </row>
        <row r="760">
          <cell r="D760">
            <v>45729</v>
          </cell>
          <cell r="H760">
            <v>10</v>
          </cell>
          <cell r="I760">
            <v>0</v>
          </cell>
          <cell r="L760">
            <v>70</v>
          </cell>
        </row>
        <row r="761">
          <cell r="D761">
            <v>45729</v>
          </cell>
          <cell r="H761">
            <v>10</v>
          </cell>
          <cell r="I761">
            <v>0</v>
          </cell>
          <cell r="L761">
            <v>100</v>
          </cell>
        </row>
        <row r="762">
          <cell r="D762">
            <v>45729</v>
          </cell>
          <cell r="H762">
            <v>10</v>
          </cell>
          <cell r="I762">
            <v>0</v>
          </cell>
          <cell r="L762">
            <v>100</v>
          </cell>
        </row>
        <row r="763">
          <cell r="D763">
            <v>45729</v>
          </cell>
          <cell r="H763">
            <v>4.5</v>
          </cell>
          <cell r="I763">
            <v>0</v>
          </cell>
          <cell r="L763">
            <v>200</v>
          </cell>
        </row>
        <row r="764">
          <cell r="D764">
            <v>45729</v>
          </cell>
          <cell r="H764" t="str">
            <v>4-4.5</v>
          </cell>
          <cell r="I764">
            <v>0</v>
          </cell>
          <cell r="L764">
            <v>100</v>
          </cell>
        </row>
        <row r="765">
          <cell r="D765">
            <v>45729</v>
          </cell>
          <cell r="H765">
            <v>4.5</v>
          </cell>
          <cell r="I765">
            <v>0</v>
          </cell>
          <cell r="L765">
            <v>350</v>
          </cell>
        </row>
        <row r="766">
          <cell r="D766">
            <v>45729</v>
          </cell>
          <cell r="H766">
            <v>5</v>
          </cell>
          <cell r="I766">
            <v>0</v>
          </cell>
          <cell r="L766">
            <v>375</v>
          </cell>
        </row>
        <row r="767">
          <cell r="D767">
            <v>45729</v>
          </cell>
          <cell r="H767">
            <v>5</v>
          </cell>
          <cell r="I767">
            <v>0</v>
          </cell>
          <cell r="L767">
            <v>70</v>
          </cell>
        </row>
        <row r="768">
          <cell r="D768">
            <v>45729</v>
          </cell>
          <cell r="H768">
            <v>5</v>
          </cell>
          <cell r="I768">
            <v>0</v>
          </cell>
          <cell r="L768">
            <v>200</v>
          </cell>
        </row>
        <row r="769">
          <cell r="D769">
            <v>45729</v>
          </cell>
          <cell r="H769">
            <v>8</v>
          </cell>
          <cell r="I769">
            <v>0</v>
          </cell>
          <cell r="L769">
            <v>23.4</v>
          </cell>
        </row>
        <row r="770">
          <cell r="D770">
            <v>45729</v>
          </cell>
          <cell r="H770">
            <v>5</v>
          </cell>
          <cell r="I770">
            <v>0</v>
          </cell>
          <cell r="L770">
            <v>125</v>
          </cell>
        </row>
        <row r="771">
          <cell r="D771">
            <v>45729</v>
          </cell>
          <cell r="H771">
            <v>0</v>
          </cell>
          <cell r="I771">
            <v>0</v>
          </cell>
          <cell r="L771">
            <v>100</v>
          </cell>
        </row>
        <row r="772">
          <cell r="D772">
            <v>45729</v>
          </cell>
          <cell r="H772">
            <v>5</v>
          </cell>
          <cell r="I772">
            <v>0</v>
          </cell>
          <cell r="L772">
            <v>25</v>
          </cell>
        </row>
        <row r="773">
          <cell r="D773">
            <v>45730</v>
          </cell>
          <cell r="H773">
            <v>5</v>
          </cell>
          <cell r="I773">
            <v>0</v>
          </cell>
          <cell r="L773">
            <v>350</v>
          </cell>
        </row>
        <row r="774">
          <cell r="D774">
            <v>45730</v>
          </cell>
          <cell r="H774">
            <v>10</v>
          </cell>
          <cell r="I774">
            <v>0</v>
          </cell>
          <cell r="L774">
            <v>205.8</v>
          </cell>
        </row>
        <row r="775">
          <cell r="D775">
            <v>45730</v>
          </cell>
          <cell r="H775">
            <v>5</v>
          </cell>
          <cell r="I775">
            <v>0</v>
          </cell>
          <cell r="L775">
            <v>35</v>
          </cell>
        </row>
        <row r="776">
          <cell r="D776">
            <v>45730</v>
          </cell>
          <cell r="H776">
            <v>5</v>
          </cell>
          <cell r="I776">
            <v>0</v>
          </cell>
          <cell r="L776">
            <v>245</v>
          </cell>
        </row>
        <row r="777">
          <cell r="D777">
            <v>45730</v>
          </cell>
          <cell r="H777">
            <v>5</v>
          </cell>
          <cell r="I777">
            <v>0</v>
          </cell>
          <cell r="L777">
            <v>284.3</v>
          </cell>
        </row>
        <row r="778">
          <cell r="D778">
            <v>45730</v>
          </cell>
          <cell r="H778">
            <v>5</v>
          </cell>
          <cell r="I778">
            <v>0</v>
          </cell>
          <cell r="L778">
            <v>150</v>
          </cell>
        </row>
        <row r="779">
          <cell r="D779">
            <v>45730</v>
          </cell>
          <cell r="H779">
            <v>5</v>
          </cell>
          <cell r="I779">
            <v>0</v>
          </cell>
          <cell r="L779">
            <v>175</v>
          </cell>
        </row>
        <row r="780">
          <cell r="D780">
            <v>45730</v>
          </cell>
          <cell r="H780">
            <v>5</v>
          </cell>
          <cell r="I780">
            <v>0</v>
          </cell>
          <cell r="L780">
            <v>400</v>
          </cell>
        </row>
        <row r="781">
          <cell r="D781">
            <v>45730</v>
          </cell>
          <cell r="H781">
            <v>5</v>
          </cell>
          <cell r="I781">
            <v>0</v>
          </cell>
          <cell r="L781">
            <v>50</v>
          </cell>
        </row>
        <row r="782">
          <cell r="D782">
            <v>45730</v>
          </cell>
          <cell r="H782">
            <v>5</v>
          </cell>
          <cell r="I782">
            <v>0</v>
          </cell>
          <cell r="L782">
            <v>175</v>
          </cell>
        </row>
        <row r="783">
          <cell r="D783">
            <v>45730</v>
          </cell>
          <cell r="H783">
            <v>5</v>
          </cell>
          <cell r="I783">
            <v>0</v>
          </cell>
          <cell r="L783">
            <v>100</v>
          </cell>
        </row>
        <row r="784">
          <cell r="D784">
            <v>45730</v>
          </cell>
          <cell r="H784">
            <v>5</v>
          </cell>
          <cell r="I784">
            <v>0</v>
          </cell>
          <cell r="L784">
            <v>100</v>
          </cell>
        </row>
        <row r="785">
          <cell r="D785">
            <v>45731</v>
          </cell>
          <cell r="H785">
            <v>10</v>
          </cell>
          <cell r="I785">
            <v>0</v>
          </cell>
          <cell r="L785">
            <v>220.7</v>
          </cell>
        </row>
        <row r="786">
          <cell r="D786">
            <v>45731</v>
          </cell>
          <cell r="H786">
            <v>5</v>
          </cell>
          <cell r="I786">
            <v>0</v>
          </cell>
          <cell r="L786">
            <v>560</v>
          </cell>
        </row>
        <row r="787">
          <cell r="D787">
            <v>45731</v>
          </cell>
          <cell r="H787">
            <v>5</v>
          </cell>
          <cell r="I787">
            <v>0</v>
          </cell>
          <cell r="L787">
            <v>140</v>
          </cell>
        </row>
        <row r="788">
          <cell r="D788">
            <v>45731</v>
          </cell>
          <cell r="H788">
            <v>5</v>
          </cell>
          <cell r="I788">
            <v>0</v>
          </cell>
          <cell r="L788">
            <v>200</v>
          </cell>
        </row>
        <row r="789">
          <cell r="D789">
            <v>45731</v>
          </cell>
          <cell r="H789">
            <v>10</v>
          </cell>
          <cell r="I789">
            <v>0</v>
          </cell>
          <cell r="L789">
            <v>154.80000000000001</v>
          </cell>
        </row>
        <row r="790">
          <cell r="D790">
            <v>45731</v>
          </cell>
          <cell r="H790">
            <v>5</v>
          </cell>
          <cell r="I790">
            <v>0</v>
          </cell>
          <cell r="L790">
            <v>75</v>
          </cell>
        </row>
        <row r="791">
          <cell r="D791">
            <v>45731</v>
          </cell>
          <cell r="H791">
            <v>5</v>
          </cell>
          <cell r="I791">
            <v>0</v>
          </cell>
          <cell r="L791">
            <v>50</v>
          </cell>
        </row>
        <row r="792">
          <cell r="D792">
            <v>45731</v>
          </cell>
          <cell r="H792">
            <v>5</v>
          </cell>
          <cell r="I792">
            <v>0</v>
          </cell>
          <cell r="L792">
            <v>200</v>
          </cell>
        </row>
        <row r="793">
          <cell r="D793">
            <v>45731</v>
          </cell>
          <cell r="H793">
            <v>5</v>
          </cell>
          <cell r="I793">
            <v>0</v>
          </cell>
          <cell r="L793">
            <v>25</v>
          </cell>
        </row>
        <row r="794">
          <cell r="D794">
            <v>45731</v>
          </cell>
          <cell r="H794">
            <v>5</v>
          </cell>
          <cell r="I794">
            <v>0</v>
          </cell>
          <cell r="L794">
            <v>150</v>
          </cell>
        </row>
        <row r="795">
          <cell r="D795">
            <v>45731</v>
          </cell>
          <cell r="H795">
            <v>5</v>
          </cell>
          <cell r="I795">
            <v>0</v>
          </cell>
          <cell r="L795">
            <v>300</v>
          </cell>
        </row>
        <row r="796">
          <cell r="D796">
            <v>45731</v>
          </cell>
          <cell r="H796">
            <v>5</v>
          </cell>
          <cell r="I796">
            <v>0</v>
          </cell>
          <cell r="L796">
            <v>50</v>
          </cell>
        </row>
        <row r="797">
          <cell r="D797">
            <v>45731</v>
          </cell>
          <cell r="H797">
            <v>10</v>
          </cell>
          <cell r="I797">
            <v>0</v>
          </cell>
          <cell r="L797">
            <v>119</v>
          </cell>
        </row>
        <row r="798">
          <cell r="D798">
            <v>45731</v>
          </cell>
          <cell r="H798">
            <v>5</v>
          </cell>
          <cell r="I798">
            <v>0</v>
          </cell>
          <cell r="L798">
            <v>125</v>
          </cell>
        </row>
        <row r="799">
          <cell r="D799">
            <v>45732</v>
          </cell>
          <cell r="H799">
            <v>5</v>
          </cell>
          <cell r="I799">
            <v>0</v>
          </cell>
          <cell r="L799">
            <v>525</v>
          </cell>
        </row>
        <row r="800">
          <cell r="D800">
            <v>45732</v>
          </cell>
          <cell r="H800">
            <v>5</v>
          </cell>
          <cell r="I800">
            <v>0</v>
          </cell>
          <cell r="L800">
            <v>225</v>
          </cell>
        </row>
        <row r="801">
          <cell r="D801">
            <v>45732</v>
          </cell>
          <cell r="H801">
            <v>5</v>
          </cell>
          <cell r="I801">
            <v>0</v>
          </cell>
          <cell r="L801">
            <v>350</v>
          </cell>
        </row>
        <row r="802">
          <cell r="D802">
            <v>45733</v>
          </cell>
          <cell r="H802">
            <v>5</v>
          </cell>
          <cell r="I802">
            <v>0</v>
          </cell>
          <cell r="L802">
            <v>350</v>
          </cell>
        </row>
        <row r="803">
          <cell r="D803">
            <v>45733</v>
          </cell>
          <cell r="H803">
            <v>4.5</v>
          </cell>
          <cell r="I803">
            <v>0</v>
          </cell>
          <cell r="L803">
            <v>100</v>
          </cell>
        </row>
        <row r="804">
          <cell r="D804">
            <v>45733</v>
          </cell>
          <cell r="H804" t="str">
            <v>4-4.5</v>
          </cell>
          <cell r="I804">
            <v>0</v>
          </cell>
          <cell r="L804">
            <v>100</v>
          </cell>
        </row>
        <row r="805">
          <cell r="D805">
            <v>45733</v>
          </cell>
          <cell r="H805" t="str">
            <v>4-4.5</v>
          </cell>
          <cell r="I805">
            <v>0</v>
          </cell>
          <cell r="L805">
            <v>50</v>
          </cell>
        </row>
        <row r="806">
          <cell r="D806">
            <v>45733</v>
          </cell>
          <cell r="H806">
            <v>5</v>
          </cell>
          <cell r="I806">
            <v>0</v>
          </cell>
          <cell r="L806">
            <v>200</v>
          </cell>
        </row>
        <row r="807">
          <cell r="D807">
            <v>45733</v>
          </cell>
          <cell r="H807">
            <v>5</v>
          </cell>
          <cell r="I807">
            <v>0</v>
          </cell>
          <cell r="L807">
            <v>150</v>
          </cell>
        </row>
        <row r="808">
          <cell r="D808">
            <v>45733</v>
          </cell>
          <cell r="H808">
            <v>5</v>
          </cell>
          <cell r="I808">
            <v>0</v>
          </cell>
          <cell r="L808">
            <v>100</v>
          </cell>
        </row>
        <row r="809">
          <cell r="D809">
            <v>45733</v>
          </cell>
          <cell r="H809" t="str">
            <v>4-4.5</v>
          </cell>
          <cell r="I809">
            <v>0</v>
          </cell>
          <cell r="L809">
            <v>325</v>
          </cell>
        </row>
        <row r="810">
          <cell r="D810">
            <v>45733</v>
          </cell>
          <cell r="H810">
            <v>5</v>
          </cell>
          <cell r="I810">
            <v>0</v>
          </cell>
          <cell r="L810">
            <v>350</v>
          </cell>
        </row>
        <row r="811">
          <cell r="D811">
            <v>45733</v>
          </cell>
          <cell r="H811">
            <v>5</v>
          </cell>
          <cell r="I811">
            <v>0</v>
          </cell>
          <cell r="L811">
            <v>0</v>
          </cell>
        </row>
        <row r="812">
          <cell r="D812">
            <v>45733</v>
          </cell>
          <cell r="H812">
            <v>5</v>
          </cell>
          <cell r="I812">
            <v>0</v>
          </cell>
          <cell r="L812">
            <v>0</v>
          </cell>
        </row>
        <row r="813">
          <cell r="D813">
            <v>45734</v>
          </cell>
          <cell r="H813">
            <v>5</v>
          </cell>
          <cell r="I813">
            <v>0</v>
          </cell>
          <cell r="L813">
            <v>100</v>
          </cell>
        </row>
        <row r="814">
          <cell r="D814">
            <v>45734</v>
          </cell>
          <cell r="H814">
            <v>5</v>
          </cell>
          <cell r="I814">
            <v>0</v>
          </cell>
          <cell r="L814">
            <v>75</v>
          </cell>
        </row>
        <row r="815">
          <cell r="D815">
            <v>45734</v>
          </cell>
          <cell r="H815">
            <v>10</v>
          </cell>
          <cell r="I815">
            <v>0</v>
          </cell>
          <cell r="L815">
            <v>114</v>
          </cell>
        </row>
        <row r="816">
          <cell r="D816">
            <v>45734</v>
          </cell>
          <cell r="H816">
            <v>5</v>
          </cell>
          <cell r="I816">
            <v>0</v>
          </cell>
          <cell r="L816">
            <v>0</v>
          </cell>
        </row>
        <row r="817">
          <cell r="D817">
            <v>45734</v>
          </cell>
          <cell r="H817">
            <v>5</v>
          </cell>
          <cell r="I817">
            <v>0</v>
          </cell>
          <cell r="L817">
            <v>100</v>
          </cell>
        </row>
        <row r="818">
          <cell r="D818">
            <v>45734</v>
          </cell>
          <cell r="H818">
            <v>5</v>
          </cell>
          <cell r="I818">
            <v>0</v>
          </cell>
          <cell r="L818">
            <v>350</v>
          </cell>
        </row>
        <row r="819">
          <cell r="D819">
            <v>45734</v>
          </cell>
          <cell r="H819" t="str">
            <v>4-4.5</v>
          </cell>
          <cell r="I819">
            <v>0</v>
          </cell>
          <cell r="L819">
            <v>100</v>
          </cell>
        </row>
        <row r="820">
          <cell r="D820">
            <v>45734</v>
          </cell>
          <cell r="H820">
            <v>5</v>
          </cell>
          <cell r="I820">
            <v>0</v>
          </cell>
          <cell r="L820">
            <v>350</v>
          </cell>
        </row>
        <row r="821">
          <cell r="D821">
            <v>45734</v>
          </cell>
          <cell r="H821">
            <v>5</v>
          </cell>
          <cell r="I821">
            <v>0</v>
          </cell>
          <cell r="L821">
            <v>200</v>
          </cell>
        </row>
        <row r="822">
          <cell r="D822">
            <v>45734</v>
          </cell>
          <cell r="H822">
            <v>5</v>
          </cell>
          <cell r="I822">
            <v>0</v>
          </cell>
          <cell r="L822">
            <v>200</v>
          </cell>
        </row>
        <row r="823">
          <cell r="D823">
            <v>45735</v>
          </cell>
          <cell r="H823">
            <v>5</v>
          </cell>
          <cell r="I823">
            <v>0</v>
          </cell>
          <cell r="L823">
            <v>525</v>
          </cell>
        </row>
        <row r="824">
          <cell r="D824">
            <v>45735</v>
          </cell>
          <cell r="H824">
            <v>5</v>
          </cell>
          <cell r="I824">
            <v>0</v>
          </cell>
          <cell r="L824">
            <v>575</v>
          </cell>
        </row>
        <row r="825">
          <cell r="D825">
            <v>45735</v>
          </cell>
          <cell r="H825">
            <v>10</v>
          </cell>
          <cell r="I825">
            <v>0</v>
          </cell>
          <cell r="L825">
            <v>104.9</v>
          </cell>
        </row>
        <row r="826">
          <cell r="D826">
            <v>45735</v>
          </cell>
          <cell r="H826">
            <v>10</v>
          </cell>
          <cell r="I826">
            <v>0</v>
          </cell>
          <cell r="L826">
            <v>311.7</v>
          </cell>
        </row>
        <row r="827">
          <cell r="D827">
            <v>45735</v>
          </cell>
          <cell r="H827">
            <v>10</v>
          </cell>
          <cell r="I827">
            <v>0</v>
          </cell>
          <cell r="L827">
            <v>105</v>
          </cell>
        </row>
        <row r="828">
          <cell r="D828">
            <v>45735</v>
          </cell>
          <cell r="H828">
            <v>5</v>
          </cell>
          <cell r="I828">
            <v>0</v>
          </cell>
          <cell r="L828">
            <v>490</v>
          </cell>
        </row>
        <row r="829">
          <cell r="D829">
            <v>45735</v>
          </cell>
          <cell r="H829">
            <v>5</v>
          </cell>
          <cell r="I829">
            <v>0</v>
          </cell>
          <cell r="L829">
            <v>250</v>
          </cell>
        </row>
        <row r="830">
          <cell r="D830">
            <v>45735</v>
          </cell>
          <cell r="H830">
            <v>5</v>
          </cell>
          <cell r="I830">
            <v>0</v>
          </cell>
          <cell r="L830">
            <v>250</v>
          </cell>
        </row>
        <row r="831">
          <cell r="D831">
            <v>45735</v>
          </cell>
          <cell r="H831">
            <v>5</v>
          </cell>
          <cell r="I831">
            <v>0</v>
          </cell>
          <cell r="L831">
            <v>25</v>
          </cell>
        </row>
        <row r="832">
          <cell r="D832">
            <v>45736</v>
          </cell>
          <cell r="H832">
            <v>5</v>
          </cell>
          <cell r="I832">
            <v>0</v>
          </cell>
          <cell r="L832">
            <v>105</v>
          </cell>
        </row>
        <row r="833">
          <cell r="D833">
            <v>45736</v>
          </cell>
          <cell r="H833">
            <v>10</v>
          </cell>
          <cell r="I833">
            <v>0</v>
          </cell>
          <cell r="L833">
            <v>525</v>
          </cell>
        </row>
        <row r="834">
          <cell r="D834">
            <v>45736</v>
          </cell>
          <cell r="H834">
            <v>5</v>
          </cell>
          <cell r="I834">
            <v>0</v>
          </cell>
          <cell r="L834">
            <v>0</v>
          </cell>
        </row>
        <row r="835">
          <cell r="D835">
            <v>45736</v>
          </cell>
          <cell r="H835">
            <v>4.5</v>
          </cell>
          <cell r="I835">
            <v>0</v>
          </cell>
          <cell r="L835">
            <v>200.5</v>
          </cell>
        </row>
        <row r="836">
          <cell r="D836">
            <v>45736</v>
          </cell>
          <cell r="H836">
            <v>5</v>
          </cell>
          <cell r="I836">
            <v>0</v>
          </cell>
          <cell r="L836">
            <v>250</v>
          </cell>
        </row>
        <row r="837">
          <cell r="D837">
            <v>45736</v>
          </cell>
          <cell r="H837">
            <v>5</v>
          </cell>
          <cell r="I837">
            <v>0</v>
          </cell>
          <cell r="L837">
            <v>75</v>
          </cell>
        </row>
        <row r="838">
          <cell r="D838">
            <v>45736</v>
          </cell>
          <cell r="H838">
            <v>5</v>
          </cell>
          <cell r="I838">
            <v>0</v>
          </cell>
          <cell r="L838">
            <v>300</v>
          </cell>
        </row>
        <row r="839">
          <cell r="D839">
            <v>45736</v>
          </cell>
          <cell r="H839">
            <v>5</v>
          </cell>
          <cell r="I839">
            <v>0</v>
          </cell>
          <cell r="L839">
            <v>25</v>
          </cell>
        </row>
        <row r="840">
          <cell r="D840">
            <v>45736</v>
          </cell>
          <cell r="H840">
            <v>5</v>
          </cell>
          <cell r="I840">
            <v>0</v>
          </cell>
          <cell r="L840">
            <v>50</v>
          </cell>
        </row>
        <row r="841">
          <cell r="D841">
            <v>45736</v>
          </cell>
          <cell r="H841">
            <v>5</v>
          </cell>
          <cell r="I841">
            <v>0</v>
          </cell>
          <cell r="L841">
            <v>75</v>
          </cell>
        </row>
        <row r="842">
          <cell r="D842">
            <v>45736</v>
          </cell>
          <cell r="H842">
            <v>4.5</v>
          </cell>
          <cell r="I842">
            <v>0</v>
          </cell>
          <cell r="L842">
            <v>175</v>
          </cell>
        </row>
        <row r="843">
          <cell r="D843">
            <v>45736</v>
          </cell>
          <cell r="H843" t="str">
            <v>4-4.5</v>
          </cell>
          <cell r="I843">
            <v>0</v>
          </cell>
          <cell r="L843">
            <v>300</v>
          </cell>
        </row>
        <row r="844">
          <cell r="D844">
            <v>45736</v>
          </cell>
          <cell r="H844">
            <v>5</v>
          </cell>
          <cell r="I844">
            <v>0</v>
          </cell>
          <cell r="L844">
            <v>50</v>
          </cell>
        </row>
        <row r="845">
          <cell r="D845">
            <v>45737</v>
          </cell>
          <cell r="H845" t="str">
            <v>-</v>
          </cell>
          <cell r="I845" t="str">
            <v>-</v>
          </cell>
          <cell r="L845">
            <v>450</v>
          </cell>
        </row>
        <row r="846">
          <cell r="D846">
            <v>45737</v>
          </cell>
          <cell r="H846">
            <v>5</v>
          </cell>
          <cell r="I846">
            <v>0</v>
          </cell>
          <cell r="L846">
            <v>25</v>
          </cell>
        </row>
        <row r="847">
          <cell r="D847">
            <v>45737</v>
          </cell>
          <cell r="H847">
            <v>5</v>
          </cell>
          <cell r="I847">
            <v>0</v>
          </cell>
          <cell r="L847">
            <v>525</v>
          </cell>
        </row>
        <row r="848">
          <cell r="D848">
            <v>45737</v>
          </cell>
          <cell r="H848">
            <v>5</v>
          </cell>
          <cell r="I848">
            <v>0</v>
          </cell>
          <cell r="L848">
            <v>250</v>
          </cell>
        </row>
        <row r="849">
          <cell r="D849">
            <v>45737</v>
          </cell>
          <cell r="H849">
            <v>5</v>
          </cell>
          <cell r="I849">
            <v>0</v>
          </cell>
          <cell r="L849">
            <v>50</v>
          </cell>
        </row>
        <row r="850">
          <cell r="D850">
            <v>45737</v>
          </cell>
          <cell r="H850" t="str">
            <v>4-4.5</v>
          </cell>
          <cell r="I850">
            <v>0</v>
          </cell>
          <cell r="L850">
            <v>100</v>
          </cell>
        </row>
        <row r="851">
          <cell r="D851">
            <v>45737</v>
          </cell>
          <cell r="H851">
            <v>5</v>
          </cell>
          <cell r="I851">
            <v>0</v>
          </cell>
          <cell r="L851">
            <v>300</v>
          </cell>
        </row>
        <row r="852">
          <cell r="D852">
            <v>45737</v>
          </cell>
          <cell r="H852">
            <v>4.5</v>
          </cell>
          <cell r="I852">
            <v>0</v>
          </cell>
          <cell r="L852">
            <v>50</v>
          </cell>
        </row>
        <row r="853">
          <cell r="D853">
            <v>45737</v>
          </cell>
          <cell r="H853">
            <v>5</v>
          </cell>
          <cell r="I853">
            <v>0</v>
          </cell>
          <cell r="L853">
            <v>150</v>
          </cell>
        </row>
        <row r="854">
          <cell r="D854">
            <v>45737</v>
          </cell>
          <cell r="H854">
            <v>5</v>
          </cell>
          <cell r="I854">
            <v>0</v>
          </cell>
          <cell r="L854">
            <v>100</v>
          </cell>
        </row>
        <row r="855">
          <cell r="D855">
            <v>45737</v>
          </cell>
          <cell r="H855">
            <v>5</v>
          </cell>
          <cell r="I855">
            <v>0</v>
          </cell>
          <cell r="L855">
            <v>150</v>
          </cell>
        </row>
        <row r="856">
          <cell r="D856">
            <v>45737</v>
          </cell>
          <cell r="H856">
            <v>5</v>
          </cell>
          <cell r="I856">
            <v>0</v>
          </cell>
          <cell r="L856">
            <v>50</v>
          </cell>
        </row>
        <row r="857">
          <cell r="D857">
            <v>45738</v>
          </cell>
          <cell r="H857">
            <v>5</v>
          </cell>
          <cell r="I857">
            <v>0</v>
          </cell>
          <cell r="L857">
            <v>225</v>
          </cell>
        </row>
        <row r="858">
          <cell r="D858">
            <v>45738</v>
          </cell>
          <cell r="H858">
            <v>5</v>
          </cell>
          <cell r="I858">
            <v>0</v>
          </cell>
          <cell r="L858">
            <v>25</v>
          </cell>
        </row>
        <row r="859">
          <cell r="D859">
            <v>45738</v>
          </cell>
          <cell r="H859">
            <v>15</v>
          </cell>
          <cell r="I859">
            <v>0</v>
          </cell>
          <cell r="L859">
            <v>60</v>
          </cell>
        </row>
        <row r="860">
          <cell r="D860">
            <v>45738</v>
          </cell>
          <cell r="H860" t="str">
            <v>-</v>
          </cell>
          <cell r="I860" t="str">
            <v>-</v>
          </cell>
          <cell r="L860">
            <v>90</v>
          </cell>
        </row>
        <row r="861">
          <cell r="D861">
            <v>45738</v>
          </cell>
          <cell r="H861">
            <v>5</v>
          </cell>
          <cell r="I861">
            <v>0</v>
          </cell>
          <cell r="L861">
            <v>525</v>
          </cell>
        </row>
        <row r="862">
          <cell r="D862">
            <v>45738</v>
          </cell>
          <cell r="H862">
            <v>5</v>
          </cell>
          <cell r="I862">
            <v>0</v>
          </cell>
          <cell r="L862">
            <v>375</v>
          </cell>
        </row>
        <row r="863">
          <cell r="D863">
            <v>45738</v>
          </cell>
          <cell r="H863">
            <v>5</v>
          </cell>
          <cell r="I863">
            <v>0</v>
          </cell>
          <cell r="L863">
            <v>25</v>
          </cell>
        </row>
        <row r="864">
          <cell r="D864">
            <v>45738</v>
          </cell>
          <cell r="H864">
            <v>5</v>
          </cell>
          <cell r="I864">
            <v>0</v>
          </cell>
          <cell r="L864">
            <v>125</v>
          </cell>
        </row>
        <row r="865">
          <cell r="D865">
            <v>45738</v>
          </cell>
          <cell r="H865">
            <v>5</v>
          </cell>
          <cell r="I865">
            <v>0</v>
          </cell>
          <cell r="L865">
            <v>200</v>
          </cell>
        </row>
        <row r="866">
          <cell r="D866">
            <v>45738</v>
          </cell>
          <cell r="H866">
            <v>5</v>
          </cell>
          <cell r="I866">
            <v>0</v>
          </cell>
          <cell r="L866">
            <v>200</v>
          </cell>
        </row>
        <row r="867">
          <cell r="D867">
            <v>45739</v>
          </cell>
          <cell r="H867">
            <v>5</v>
          </cell>
          <cell r="I867">
            <v>0</v>
          </cell>
          <cell r="L867">
            <v>300</v>
          </cell>
        </row>
        <row r="868">
          <cell r="D868">
            <v>45739</v>
          </cell>
          <cell r="H868">
            <v>5</v>
          </cell>
          <cell r="I868">
            <v>0</v>
          </cell>
          <cell r="L868">
            <v>175</v>
          </cell>
        </row>
        <row r="869">
          <cell r="D869">
            <v>45739</v>
          </cell>
          <cell r="H869">
            <v>5</v>
          </cell>
          <cell r="I869">
            <v>0</v>
          </cell>
          <cell r="L869">
            <v>150</v>
          </cell>
        </row>
        <row r="870">
          <cell r="D870">
            <v>45739</v>
          </cell>
          <cell r="H870">
            <v>5</v>
          </cell>
          <cell r="I870">
            <v>0</v>
          </cell>
          <cell r="L870">
            <v>125</v>
          </cell>
        </row>
        <row r="871">
          <cell r="D871">
            <v>45740</v>
          </cell>
          <cell r="H871">
            <v>5</v>
          </cell>
          <cell r="I871">
            <v>0</v>
          </cell>
          <cell r="L871">
            <v>50</v>
          </cell>
        </row>
        <row r="872">
          <cell r="D872">
            <v>45740</v>
          </cell>
          <cell r="H872">
            <v>5</v>
          </cell>
          <cell r="I872">
            <v>0</v>
          </cell>
          <cell r="L872">
            <v>150</v>
          </cell>
        </row>
        <row r="873">
          <cell r="D873">
            <v>45740</v>
          </cell>
          <cell r="H873">
            <v>5</v>
          </cell>
          <cell r="I873">
            <v>0</v>
          </cell>
          <cell r="L873">
            <v>300</v>
          </cell>
        </row>
        <row r="874">
          <cell r="D874">
            <v>45740</v>
          </cell>
          <cell r="H874" t="str">
            <v>رول</v>
          </cell>
          <cell r="I874">
            <v>0</v>
          </cell>
          <cell r="L874">
            <v>50</v>
          </cell>
        </row>
        <row r="875">
          <cell r="D875">
            <v>45740</v>
          </cell>
          <cell r="H875">
            <v>5</v>
          </cell>
          <cell r="I875">
            <v>0</v>
          </cell>
          <cell r="L875">
            <v>100</v>
          </cell>
        </row>
        <row r="876">
          <cell r="D876">
            <v>45740</v>
          </cell>
          <cell r="H876">
            <v>5</v>
          </cell>
          <cell r="I876">
            <v>0</v>
          </cell>
          <cell r="L876">
            <v>200</v>
          </cell>
        </row>
        <row r="877">
          <cell r="D877">
            <v>45740</v>
          </cell>
          <cell r="H877">
            <v>5</v>
          </cell>
          <cell r="I877">
            <v>0</v>
          </cell>
          <cell r="L877">
            <v>250</v>
          </cell>
        </row>
        <row r="878">
          <cell r="D878">
            <v>45740</v>
          </cell>
          <cell r="H878">
            <v>5</v>
          </cell>
          <cell r="I878">
            <v>0</v>
          </cell>
          <cell r="L878">
            <v>245</v>
          </cell>
        </row>
        <row r="879">
          <cell r="D879">
            <v>45740</v>
          </cell>
          <cell r="H879">
            <v>5</v>
          </cell>
          <cell r="I879">
            <v>0</v>
          </cell>
          <cell r="L879">
            <v>250</v>
          </cell>
        </row>
        <row r="880">
          <cell r="D880">
            <v>45740</v>
          </cell>
          <cell r="H880">
            <v>5</v>
          </cell>
          <cell r="I880">
            <v>0</v>
          </cell>
          <cell r="L880">
            <v>225</v>
          </cell>
        </row>
        <row r="881">
          <cell r="D881">
            <v>45740</v>
          </cell>
          <cell r="H881">
            <v>5</v>
          </cell>
          <cell r="I881">
            <v>0</v>
          </cell>
          <cell r="L881">
            <v>50</v>
          </cell>
        </row>
        <row r="882">
          <cell r="D882">
            <v>45740</v>
          </cell>
          <cell r="H882">
            <v>5</v>
          </cell>
          <cell r="I882">
            <v>0</v>
          </cell>
          <cell r="L882">
            <v>225</v>
          </cell>
        </row>
        <row r="883">
          <cell r="D883">
            <v>45741</v>
          </cell>
          <cell r="H883">
            <v>5</v>
          </cell>
          <cell r="I883">
            <v>0</v>
          </cell>
          <cell r="L883">
            <v>275</v>
          </cell>
        </row>
        <row r="884">
          <cell r="D884">
            <v>45741</v>
          </cell>
          <cell r="H884">
            <v>5</v>
          </cell>
          <cell r="I884">
            <v>0</v>
          </cell>
          <cell r="L884">
            <v>25</v>
          </cell>
        </row>
        <row r="885">
          <cell r="D885">
            <v>45741</v>
          </cell>
          <cell r="H885">
            <v>5</v>
          </cell>
          <cell r="I885">
            <v>0</v>
          </cell>
          <cell r="L885">
            <v>500</v>
          </cell>
        </row>
        <row r="886">
          <cell r="D886">
            <v>45741</v>
          </cell>
          <cell r="H886">
            <v>5</v>
          </cell>
          <cell r="I886">
            <v>0</v>
          </cell>
          <cell r="L886">
            <v>325</v>
          </cell>
        </row>
        <row r="887">
          <cell r="D887">
            <v>45741</v>
          </cell>
          <cell r="H887">
            <v>5</v>
          </cell>
          <cell r="I887">
            <v>0</v>
          </cell>
          <cell r="L887">
            <v>225</v>
          </cell>
        </row>
        <row r="888">
          <cell r="D888">
            <v>45741</v>
          </cell>
          <cell r="H888">
            <v>5</v>
          </cell>
          <cell r="I888">
            <v>0</v>
          </cell>
          <cell r="L888">
            <v>29.6</v>
          </cell>
        </row>
        <row r="889">
          <cell r="D889">
            <v>45741</v>
          </cell>
          <cell r="H889">
            <v>5</v>
          </cell>
          <cell r="I889">
            <v>0</v>
          </cell>
          <cell r="L889">
            <v>175</v>
          </cell>
        </row>
        <row r="890">
          <cell r="D890">
            <v>45741</v>
          </cell>
          <cell r="H890">
            <v>5</v>
          </cell>
          <cell r="I890">
            <v>0</v>
          </cell>
          <cell r="L890">
            <v>0</v>
          </cell>
        </row>
        <row r="891">
          <cell r="D891">
            <v>45742</v>
          </cell>
          <cell r="H891" t="str">
            <v>-</v>
          </cell>
          <cell r="I891" t="str">
            <v>-</v>
          </cell>
          <cell r="L891">
            <v>165.6</v>
          </cell>
        </row>
        <row r="892">
          <cell r="D892">
            <v>45742</v>
          </cell>
          <cell r="H892">
            <v>7</v>
          </cell>
          <cell r="I892">
            <v>0</v>
          </cell>
          <cell r="L892">
            <v>272.60000000000002</v>
          </cell>
        </row>
        <row r="893">
          <cell r="D893">
            <v>45742</v>
          </cell>
          <cell r="H893">
            <v>8</v>
          </cell>
          <cell r="I893">
            <v>0</v>
          </cell>
          <cell r="L893">
            <v>266.39999999999998</v>
          </cell>
        </row>
        <row r="894">
          <cell r="D894">
            <v>45742</v>
          </cell>
          <cell r="H894">
            <v>5</v>
          </cell>
          <cell r="I894">
            <v>0</v>
          </cell>
          <cell r="L894">
            <v>125</v>
          </cell>
        </row>
        <row r="895">
          <cell r="D895">
            <v>45742</v>
          </cell>
          <cell r="H895">
            <v>5</v>
          </cell>
          <cell r="I895">
            <v>0</v>
          </cell>
          <cell r="L895">
            <v>100</v>
          </cell>
        </row>
        <row r="896">
          <cell r="D896">
            <v>45742</v>
          </cell>
          <cell r="H896">
            <v>5</v>
          </cell>
          <cell r="I896">
            <v>0</v>
          </cell>
          <cell r="L896">
            <v>375</v>
          </cell>
        </row>
        <row r="897">
          <cell r="D897">
            <v>45742</v>
          </cell>
          <cell r="H897">
            <v>5</v>
          </cell>
          <cell r="I897">
            <v>0</v>
          </cell>
          <cell r="L897">
            <v>315</v>
          </cell>
        </row>
        <row r="898">
          <cell r="D898">
            <v>45742</v>
          </cell>
          <cell r="H898">
            <v>5</v>
          </cell>
          <cell r="I898">
            <v>0</v>
          </cell>
          <cell r="L898">
            <v>50</v>
          </cell>
        </row>
        <row r="899">
          <cell r="D899">
            <v>45743</v>
          </cell>
          <cell r="H899">
            <v>5</v>
          </cell>
          <cell r="I899">
            <v>0</v>
          </cell>
          <cell r="L899">
            <v>425</v>
          </cell>
        </row>
        <row r="900">
          <cell r="D900">
            <v>45743</v>
          </cell>
          <cell r="H900">
            <v>5</v>
          </cell>
          <cell r="I900">
            <v>0</v>
          </cell>
          <cell r="L900">
            <v>325</v>
          </cell>
        </row>
        <row r="901">
          <cell r="D901">
            <v>45743</v>
          </cell>
          <cell r="H901">
            <v>5</v>
          </cell>
          <cell r="I901">
            <v>0</v>
          </cell>
          <cell r="L901">
            <v>25</v>
          </cell>
        </row>
        <row r="902">
          <cell r="D902">
            <v>45743</v>
          </cell>
          <cell r="H902">
            <v>5</v>
          </cell>
          <cell r="I902">
            <v>0</v>
          </cell>
          <cell r="L902">
            <v>225</v>
          </cell>
        </row>
        <row r="903">
          <cell r="D903">
            <v>45743</v>
          </cell>
          <cell r="H903">
            <v>5</v>
          </cell>
          <cell r="I903">
            <v>0</v>
          </cell>
          <cell r="L903">
            <v>25</v>
          </cell>
        </row>
        <row r="904">
          <cell r="D904">
            <v>45743</v>
          </cell>
          <cell r="H904">
            <v>5</v>
          </cell>
          <cell r="I904">
            <v>0</v>
          </cell>
          <cell r="L904">
            <v>100</v>
          </cell>
        </row>
        <row r="905">
          <cell r="D905">
            <v>45743</v>
          </cell>
          <cell r="H905">
            <v>5</v>
          </cell>
          <cell r="I905">
            <v>0</v>
          </cell>
          <cell r="L905">
            <v>325</v>
          </cell>
        </row>
        <row r="906">
          <cell r="D906">
            <v>45743</v>
          </cell>
          <cell r="H906">
            <v>5</v>
          </cell>
          <cell r="I906">
            <v>0</v>
          </cell>
          <cell r="L906">
            <v>35</v>
          </cell>
        </row>
        <row r="907">
          <cell r="D907">
            <v>45743</v>
          </cell>
          <cell r="H907">
            <v>5</v>
          </cell>
          <cell r="I907">
            <v>0</v>
          </cell>
          <cell r="L907">
            <v>200</v>
          </cell>
        </row>
        <row r="908">
          <cell r="D908">
            <v>45744</v>
          </cell>
          <cell r="H908">
            <v>5</v>
          </cell>
          <cell r="I908">
            <v>0</v>
          </cell>
          <cell r="L908">
            <v>125</v>
          </cell>
        </row>
        <row r="909">
          <cell r="D909">
            <v>45744</v>
          </cell>
          <cell r="H909">
            <v>5</v>
          </cell>
          <cell r="I909">
            <v>0</v>
          </cell>
          <cell r="L909">
            <v>275</v>
          </cell>
        </row>
        <row r="910">
          <cell r="D910">
            <v>45744</v>
          </cell>
          <cell r="H910">
            <v>5</v>
          </cell>
          <cell r="I910">
            <v>0</v>
          </cell>
          <cell r="L910">
            <v>300</v>
          </cell>
        </row>
        <row r="911">
          <cell r="D911">
            <v>45744</v>
          </cell>
          <cell r="H911">
            <v>5</v>
          </cell>
          <cell r="I911">
            <v>0</v>
          </cell>
          <cell r="L911">
            <v>100</v>
          </cell>
        </row>
        <row r="912">
          <cell r="D912">
            <v>45744</v>
          </cell>
          <cell r="H912">
            <v>5</v>
          </cell>
          <cell r="I912">
            <v>0</v>
          </cell>
          <cell r="L912">
            <v>200</v>
          </cell>
        </row>
        <row r="913">
          <cell r="D913">
            <v>45744</v>
          </cell>
          <cell r="H913">
            <v>5</v>
          </cell>
          <cell r="I913">
            <v>0</v>
          </cell>
          <cell r="L913">
            <v>225</v>
          </cell>
        </row>
        <row r="914">
          <cell r="D914">
            <v>45744</v>
          </cell>
          <cell r="H914">
            <v>5</v>
          </cell>
          <cell r="I914">
            <v>0</v>
          </cell>
          <cell r="L914">
            <v>125</v>
          </cell>
        </row>
        <row r="915">
          <cell r="D915">
            <v>45744</v>
          </cell>
          <cell r="H915">
            <v>5</v>
          </cell>
          <cell r="I915">
            <v>0</v>
          </cell>
          <cell r="L915">
            <v>125</v>
          </cell>
        </row>
        <row r="916">
          <cell r="D916">
            <v>45744</v>
          </cell>
          <cell r="H916">
            <v>5</v>
          </cell>
          <cell r="I916">
            <v>0</v>
          </cell>
          <cell r="L916">
            <v>0</v>
          </cell>
        </row>
        <row r="917">
          <cell r="D917">
            <v>45745</v>
          </cell>
          <cell r="H917">
            <v>5</v>
          </cell>
          <cell r="I917">
            <v>0</v>
          </cell>
          <cell r="L917">
            <v>175</v>
          </cell>
        </row>
        <row r="918">
          <cell r="D918">
            <v>45745</v>
          </cell>
          <cell r="H918">
            <v>5</v>
          </cell>
          <cell r="I918">
            <v>0</v>
          </cell>
          <cell r="L918">
            <v>150</v>
          </cell>
        </row>
        <row r="919">
          <cell r="D919">
            <v>45745</v>
          </cell>
          <cell r="H919">
            <v>5</v>
          </cell>
          <cell r="I919">
            <v>0</v>
          </cell>
          <cell r="L919">
            <v>75</v>
          </cell>
        </row>
        <row r="920">
          <cell r="D920">
            <v>45745</v>
          </cell>
          <cell r="H920">
            <v>5</v>
          </cell>
          <cell r="I920">
            <v>0</v>
          </cell>
          <cell r="L920">
            <v>375</v>
          </cell>
        </row>
        <row r="921">
          <cell r="D921">
            <v>45745</v>
          </cell>
          <cell r="H921">
            <v>5</v>
          </cell>
          <cell r="I921">
            <v>0</v>
          </cell>
          <cell r="L921">
            <v>325</v>
          </cell>
        </row>
        <row r="922">
          <cell r="D922">
            <v>45754</v>
          </cell>
          <cell r="H922">
            <v>5</v>
          </cell>
          <cell r="I922">
            <v>0</v>
          </cell>
          <cell r="L922">
            <v>275</v>
          </cell>
        </row>
        <row r="923">
          <cell r="D923">
            <v>45754</v>
          </cell>
          <cell r="H923">
            <v>5</v>
          </cell>
          <cell r="I923">
            <v>0</v>
          </cell>
          <cell r="L923">
            <v>175</v>
          </cell>
        </row>
        <row r="924">
          <cell r="D924">
            <v>45754</v>
          </cell>
          <cell r="H924">
            <v>5</v>
          </cell>
          <cell r="I924">
            <v>0</v>
          </cell>
          <cell r="L924">
            <v>150</v>
          </cell>
        </row>
        <row r="925">
          <cell r="D925">
            <v>45755</v>
          </cell>
          <cell r="H925">
            <v>5</v>
          </cell>
          <cell r="I925">
            <v>0</v>
          </cell>
          <cell r="L925">
            <v>475</v>
          </cell>
        </row>
        <row r="926">
          <cell r="D926">
            <v>45755</v>
          </cell>
          <cell r="H926">
            <v>5</v>
          </cell>
          <cell r="I926">
            <v>0</v>
          </cell>
          <cell r="L926">
            <v>275</v>
          </cell>
        </row>
        <row r="927">
          <cell r="D927">
            <v>45755</v>
          </cell>
          <cell r="H927">
            <v>5</v>
          </cell>
          <cell r="I927">
            <v>0</v>
          </cell>
          <cell r="L927">
            <v>100</v>
          </cell>
        </row>
        <row r="928">
          <cell r="D928">
            <v>45755</v>
          </cell>
          <cell r="H928">
            <v>5</v>
          </cell>
          <cell r="I928">
            <v>0</v>
          </cell>
          <cell r="L928">
            <v>250</v>
          </cell>
        </row>
        <row r="929">
          <cell r="D929">
            <v>45755</v>
          </cell>
          <cell r="H929">
            <v>5</v>
          </cell>
          <cell r="I929">
            <v>0</v>
          </cell>
          <cell r="L929">
            <v>75</v>
          </cell>
        </row>
        <row r="930">
          <cell r="D930">
            <v>45755</v>
          </cell>
          <cell r="H930">
            <v>5</v>
          </cell>
          <cell r="I930">
            <v>0</v>
          </cell>
          <cell r="L930">
            <v>140</v>
          </cell>
        </row>
        <row r="931">
          <cell r="D931">
            <v>45755</v>
          </cell>
          <cell r="H931">
            <v>5</v>
          </cell>
          <cell r="I931">
            <v>0</v>
          </cell>
          <cell r="L931">
            <v>100</v>
          </cell>
        </row>
        <row r="932">
          <cell r="D932">
            <v>45755</v>
          </cell>
          <cell r="H932">
            <v>5</v>
          </cell>
          <cell r="I932">
            <v>0</v>
          </cell>
          <cell r="L932">
            <v>105</v>
          </cell>
        </row>
        <row r="933">
          <cell r="D933">
            <v>45756</v>
          </cell>
          <cell r="H933" t="str">
            <v>4-4.5</v>
          </cell>
          <cell r="I933">
            <v>0</v>
          </cell>
          <cell r="L933">
            <v>125</v>
          </cell>
        </row>
        <row r="934">
          <cell r="D934">
            <v>45756</v>
          </cell>
          <cell r="H934" t="str">
            <v>4-4.5</v>
          </cell>
          <cell r="I934">
            <v>0</v>
          </cell>
          <cell r="L934">
            <v>300</v>
          </cell>
        </row>
        <row r="935">
          <cell r="D935">
            <v>45756</v>
          </cell>
          <cell r="H935" t="str">
            <v>4-4.5</v>
          </cell>
          <cell r="I935">
            <v>0</v>
          </cell>
          <cell r="L935">
            <v>50</v>
          </cell>
        </row>
        <row r="936">
          <cell r="D936">
            <v>45756</v>
          </cell>
          <cell r="H936" t="str">
            <v>4-4.5</v>
          </cell>
          <cell r="I936">
            <v>0</v>
          </cell>
          <cell r="L936">
            <v>75</v>
          </cell>
        </row>
        <row r="937">
          <cell r="D937">
            <v>45756</v>
          </cell>
          <cell r="H937">
            <v>5</v>
          </cell>
          <cell r="I937">
            <v>0</v>
          </cell>
          <cell r="L937">
            <v>275</v>
          </cell>
        </row>
        <row r="938">
          <cell r="D938">
            <v>45756</v>
          </cell>
          <cell r="H938">
            <v>5</v>
          </cell>
          <cell r="I938">
            <v>0</v>
          </cell>
          <cell r="L938">
            <v>400</v>
          </cell>
        </row>
        <row r="939">
          <cell r="D939">
            <v>45756</v>
          </cell>
          <cell r="H939">
            <v>5</v>
          </cell>
          <cell r="I939">
            <v>0</v>
          </cell>
          <cell r="L939">
            <v>280</v>
          </cell>
        </row>
        <row r="940">
          <cell r="D940">
            <v>45756</v>
          </cell>
          <cell r="H940">
            <v>5</v>
          </cell>
          <cell r="I940">
            <v>0</v>
          </cell>
          <cell r="L940">
            <v>315</v>
          </cell>
        </row>
        <row r="941">
          <cell r="D941">
            <v>45757</v>
          </cell>
          <cell r="H941" t="str">
            <v>4-4.5</v>
          </cell>
          <cell r="I941">
            <v>0</v>
          </cell>
          <cell r="L941">
            <v>300</v>
          </cell>
        </row>
        <row r="942">
          <cell r="D942">
            <v>45757</v>
          </cell>
          <cell r="H942" t="str">
            <v>010-011</v>
          </cell>
          <cell r="I942">
            <v>0</v>
          </cell>
          <cell r="L942">
            <v>150</v>
          </cell>
        </row>
        <row r="943">
          <cell r="D943">
            <v>45757</v>
          </cell>
          <cell r="H943">
            <v>5</v>
          </cell>
          <cell r="I943">
            <v>0</v>
          </cell>
          <cell r="L943">
            <v>50</v>
          </cell>
        </row>
        <row r="944">
          <cell r="D944">
            <v>45757</v>
          </cell>
          <cell r="H944" t="str">
            <v>4-4.5</v>
          </cell>
          <cell r="I944">
            <v>0</v>
          </cell>
          <cell r="L944">
            <v>50</v>
          </cell>
        </row>
        <row r="945">
          <cell r="D945">
            <v>45757</v>
          </cell>
          <cell r="H945" t="str">
            <v>4-4.5</v>
          </cell>
          <cell r="I945">
            <v>0</v>
          </cell>
          <cell r="L945">
            <v>50</v>
          </cell>
        </row>
        <row r="946">
          <cell r="D946">
            <v>45757</v>
          </cell>
          <cell r="H946">
            <v>5</v>
          </cell>
          <cell r="I946">
            <v>0</v>
          </cell>
          <cell r="L946">
            <v>100</v>
          </cell>
        </row>
        <row r="947">
          <cell r="D947">
            <v>45757</v>
          </cell>
          <cell r="H947">
            <v>5</v>
          </cell>
          <cell r="I947">
            <v>0</v>
          </cell>
          <cell r="L947">
            <v>25</v>
          </cell>
        </row>
        <row r="948">
          <cell r="D948">
            <v>45757</v>
          </cell>
          <cell r="H948">
            <v>5</v>
          </cell>
          <cell r="I948">
            <v>0</v>
          </cell>
          <cell r="L948">
            <v>250</v>
          </cell>
        </row>
        <row r="949">
          <cell r="D949">
            <v>45757</v>
          </cell>
          <cell r="H949">
            <v>5</v>
          </cell>
          <cell r="I949">
            <v>0</v>
          </cell>
          <cell r="L949">
            <v>75</v>
          </cell>
        </row>
        <row r="950">
          <cell r="D950">
            <v>45757</v>
          </cell>
          <cell r="H950" t="str">
            <v>4-4.5</v>
          </cell>
          <cell r="I950">
            <v>0</v>
          </cell>
          <cell r="L950">
            <v>25</v>
          </cell>
        </row>
        <row r="951">
          <cell r="D951">
            <v>45757</v>
          </cell>
          <cell r="H951">
            <v>5</v>
          </cell>
          <cell r="I951">
            <v>0</v>
          </cell>
          <cell r="L951">
            <v>50</v>
          </cell>
        </row>
        <row r="952">
          <cell r="D952">
            <v>45757</v>
          </cell>
          <cell r="H952">
            <v>5</v>
          </cell>
          <cell r="I952">
            <v>0</v>
          </cell>
          <cell r="L952">
            <v>150</v>
          </cell>
        </row>
        <row r="953">
          <cell r="D953">
            <v>45757</v>
          </cell>
          <cell r="H953">
            <v>5</v>
          </cell>
          <cell r="I953">
            <v>0</v>
          </cell>
          <cell r="L953">
            <v>280</v>
          </cell>
        </row>
        <row r="954">
          <cell r="D954">
            <v>45758</v>
          </cell>
          <cell r="H954">
            <v>5</v>
          </cell>
          <cell r="I954">
            <v>0</v>
          </cell>
          <cell r="L954">
            <v>150</v>
          </cell>
        </row>
        <row r="955">
          <cell r="D955">
            <v>45758</v>
          </cell>
          <cell r="H955">
            <v>5</v>
          </cell>
          <cell r="I955">
            <v>0</v>
          </cell>
          <cell r="L955">
            <v>100</v>
          </cell>
        </row>
        <row r="956">
          <cell r="D956">
            <v>45758</v>
          </cell>
          <cell r="H956" t="str">
            <v>010-011</v>
          </cell>
          <cell r="I956">
            <v>0</v>
          </cell>
          <cell r="L956">
            <v>187.4</v>
          </cell>
        </row>
        <row r="957">
          <cell r="D957">
            <v>45758</v>
          </cell>
          <cell r="H957">
            <v>5</v>
          </cell>
          <cell r="I957">
            <v>0</v>
          </cell>
          <cell r="L957">
            <v>25</v>
          </cell>
        </row>
        <row r="958">
          <cell r="D958">
            <v>45758</v>
          </cell>
          <cell r="H958">
            <v>5</v>
          </cell>
          <cell r="I958">
            <v>0</v>
          </cell>
          <cell r="L958">
            <v>50</v>
          </cell>
        </row>
        <row r="959">
          <cell r="D959">
            <v>45758</v>
          </cell>
          <cell r="H959">
            <v>5</v>
          </cell>
          <cell r="I959">
            <v>0</v>
          </cell>
          <cell r="L959">
            <v>150</v>
          </cell>
        </row>
        <row r="960">
          <cell r="D960">
            <v>45758</v>
          </cell>
          <cell r="H960">
            <v>5</v>
          </cell>
          <cell r="I960">
            <v>0</v>
          </cell>
          <cell r="L960">
            <v>100</v>
          </cell>
        </row>
        <row r="961">
          <cell r="D961">
            <v>45758</v>
          </cell>
          <cell r="H961">
            <v>5</v>
          </cell>
          <cell r="I961">
            <v>0</v>
          </cell>
          <cell r="L961">
            <v>35</v>
          </cell>
        </row>
        <row r="962">
          <cell r="D962">
            <v>45758</v>
          </cell>
          <cell r="H962">
            <v>5</v>
          </cell>
          <cell r="I962">
            <v>0</v>
          </cell>
          <cell r="L962">
            <v>225</v>
          </cell>
        </row>
        <row r="963">
          <cell r="D963">
            <v>45758</v>
          </cell>
          <cell r="H963" t="str">
            <v>4-4.5</v>
          </cell>
          <cell r="I963">
            <v>0</v>
          </cell>
          <cell r="L963">
            <v>75</v>
          </cell>
        </row>
        <row r="964">
          <cell r="D964">
            <v>45759</v>
          </cell>
          <cell r="H964" t="str">
            <v>4-4.5</v>
          </cell>
          <cell r="I964">
            <v>0</v>
          </cell>
          <cell r="L964">
            <v>100</v>
          </cell>
        </row>
        <row r="965">
          <cell r="D965">
            <v>45759</v>
          </cell>
          <cell r="H965" t="str">
            <v>4-4.5</v>
          </cell>
          <cell r="I965">
            <v>0</v>
          </cell>
          <cell r="L965">
            <v>100</v>
          </cell>
        </row>
        <row r="966">
          <cell r="D966">
            <v>45759</v>
          </cell>
          <cell r="H966">
            <v>5</v>
          </cell>
          <cell r="I966">
            <v>0</v>
          </cell>
          <cell r="L966">
            <v>225</v>
          </cell>
        </row>
        <row r="967">
          <cell r="D967">
            <v>45759</v>
          </cell>
          <cell r="H967">
            <v>4.5</v>
          </cell>
          <cell r="I967">
            <v>0</v>
          </cell>
          <cell r="L967">
            <v>25</v>
          </cell>
        </row>
        <row r="968">
          <cell r="D968">
            <v>45759</v>
          </cell>
          <cell r="H968">
            <v>5</v>
          </cell>
          <cell r="I968">
            <v>0</v>
          </cell>
          <cell r="L968">
            <v>350</v>
          </cell>
        </row>
        <row r="969">
          <cell r="D969">
            <v>45759</v>
          </cell>
          <cell r="H969">
            <v>5</v>
          </cell>
          <cell r="I969">
            <v>0</v>
          </cell>
          <cell r="L969">
            <v>100</v>
          </cell>
        </row>
        <row r="970">
          <cell r="D970">
            <v>45759</v>
          </cell>
          <cell r="H970">
            <v>5</v>
          </cell>
          <cell r="I970">
            <v>0</v>
          </cell>
          <cell r="L970">
            <v>125</v>
          </cell>
        </row>
        <row r="971">
          <cell r="D971">
            <v>45759</v>
          </cell>
          <cell r="H971" t="str">
            <v>4-4.5</v>
          </cell>
          <cell r="I971">
            <v>0</v>
          </cell>
          <cell r="L971">
            <v>50</v>
          </cell>
        </row>
        <row r="972">
          <cell r="D972">
            <v>45759</v>
          </cell>
          <cell r="H972" t="str">
            <v>-</v>
          </cell>
          <cell r="I972" t="str">
            <v>-</v>
          </cell>
          <cell r="L972">
            <v>75</v>
          </cell>
        </row>
        <row r="973">
          <cell r="D973">
            <v>45759</v>
          </cell>
          <cell r="H973">
            <v>5</v>
          </cell>
          <cell r="I973">
            <v>0</v>
          </cell>
          <cell r="L973">
            <v>200</v>
          </cell>
        </row>
        <row r="974">
          <cell r="D974">
            <v>45759</v>
          </cell>
          <cell r="H974">
            <v>5</v>
          </cell>
          <cell r="I974">
            <v>0</v>
          </cell>
          <cell r="L974">
            <v>175</v>
          </cell>
        </row>
        <row r="975">
          <cell r="D975">
            <v>45759</v>
          </cell>
          <cell r="H975">
            <v>5</v>
          </cell>
          <cell r="I975">
            <v>0</v>
          </cell>
          <cell r="L975">
            <v>75</v>
          </cell>
        </row>
        <row r="976">
          <cell r="D976">
            <v>45761</v>
          </cell>
          <cell r="H976">
            <v>5</v>
          </cell>
          <cell r="I976">
            <v>0</v>
          </cell>
          <cell r="L976">
            <v>225</v>
          </cell>
        </row>
        <row r="977">
          <cell r="D977">
            <v>45761</v>
          </cell>
          <cell r="H977">
            <v>5</v>
          </cell>
          <cell r="I977">
            <v>0</v>
          </cell>
          <cell r="L977">
            <v>50</v>
          </cell>
        </row>
        <row r="978">
          <cell r="D978">
            <v>45761</v>
          </cell>
          <cell r="H978">
            <v>4.5</v>
          </cell>
          <cell r="I978">
            <v>0</v>
          </cell>
          <cell r="L978">
            <v>150</v>
          </cell>
        </row>
        <row r="979">
          <cell r="D979">
            <v>45761</v>
          </cell>
          <cell r="H979">
            <v>5</v>
          </cell>
          <cell r="I979">
            <v>0</v>
          </cell>
          <cell r="L979">
            <v>150</v>
          </cell>
        </row>
        <row r="980">
          <cell r="D980">
            <v>45761</v>
          </cell>
          <cell r="H980">
            <v>5</v>
          </cell>
          <cell r="I980">
            <v>0</v>
          </cell>
          <cell r="L980">
            <v>200</v>
          </cell>
        </row>
        <row r="981">
          <cell r="D981">
            <v>45761</v>
          </cell>
          <cell r="H981">
            <v>5</v>
          </cell>
          <cell r="I981">
            <v>0</v>
          </cell>
          <cell r="L981">
            <v>75</v>
          </cell>
        </row>
        <row r="982">
          <cell r="D982">
            <v>45761</v>
          </cell>
          <cell r="H982">
            <v>5</v>
          </cell>
          <cell r="I982">
            <v>0</v>
          </cell>
          <cell r="L982">
            <v>150</v>
          </cell>
        </row>
        <row r="983">
          <cell r="D983">
            <v>45761</v>
          </cell>
          <cell r="H983">
            <v>5</v>
          </cell>
          <cell r="I983">
            <v>0</v>
          </cell>
          <cell r="L983">
            <v>125</v>
          </cell>
        </row>
        <row r="984">
          <cell r="D984">
            <v>45762</v>
          </cell>
          <cell r="H984">
            <v>5</v>
          </cell>
          <cell r="I984">
            <v>0</v>
          </cell>
          <cell r="L984">
            <v>25</v>
          </cell>
        </row>
        <row r="985">
          <cell r="D985">
            <v>45762</v>
          </cell>
          <cell r="H985">
            <v>5</v>
          </cell>
          <cell r="I985">
            <v>0</v>
          </cell>
          <cell r="L985">
            <v>375</v>
          </cell>
        </row>
        <row r="986">
          <cell r="D986">
            <v>45762</v>
          </cell>
          <cell r="H986">
            <v>5</v>
          </cell>
          <cell r="I986">
            <v>0</v>
          </cell>
          <cell r="L986">
            <v>200</v>
          </cell>
        </row>
        <row r="987">
          <cell r="D987">
            <v>45762</v>
          </cell>
          <cell r="H987">
            <v>5</v>
          </cell>
          <cell r="I987">
            <v>0</v>
          </cell>
          <cell r="L987">
            <v>100</v>
          </cell>
        </row>
        <row r="988">
          <cell r="D988">
            <v>45762</v>
          </cell>
          <cell r="H988">
            <v>4.5</v>
          </cell>
          <cell r="I988">
            <v>0</v>
          </cell>
          <cell r="L988">
            <v>50</v>
          </cell>
        </row>
        <row r="989">
          <cell r="D989">
            <v>45762</v>
          </cell>
          <cell r="H989">
            <v>5</v>
          </cell>
          <cell r="I989">
            <v>0</v>
          </cell>
          <cell r="L989">
            <v>50</v>
          </cell>
        </row>
        <row r="990">
          <cell r="D990">
            <v>45762</v>
          </cell>
          <cell r="H990">
            <v>5</v>
          </cell>
          <cell r="I990">
            <v>0</v>
          </cell>
          <cell r="L990">
            <v>100</v>
          </cell>
        </row>
        <row r="991">
          <cell r="D991">
            <v>45762</v>
          </cell>
          <cell r="H991">
            <v>5</v>
          </cell>
          <cell r="I991">
            <v>0</v>
          </cell>
          <cell r="L991">
            <v>75</v>
          </cell>
        </row>
        <row r="992">
          <cell r="D992">
            <v>45762</v>
          </cell>
          <cell r="H992">
            <v>5</v>
          </cell>
          <cell r="I992">
            <v>0</v>
          </cell>
          <cell r="L992">
            <v>125</v>
          </cell>
        </row>
        <row r="993">
          <cell r="D993">
            <v>45763</v>
          </cell>
          <cell r="H993" t="str">
            <v>4-4.5</v>
          </cell>
          <cell r="I993">
            <v>0</v>
          </cell>
          <cell r="L993">
            <v>150</v>
          </cell>
        </row>
        <row r="994">
          <cell r="D994">
            <v>45763</v>
          </cell>
          <cell r="H994">
            <v>5</v>
          </cell>
          <cell r="I994">
            <v>0</v>
          </cell>
          <cell r="L994">
            <v>75</v>
          </cell>
        </row>
        <row r="995">
          <cell r="D995">
            <v>45763</v>
          </cell>
          <cell r="H995">
            <v>4.5</v>
          </cell>
          <cell r="I995">
            <v>0</v>
          </cell>
          <cell r="L995">
            <v>100</v>
          </cell>
        </row>
        <row r="996">
          <cell r="D996">
            <v>45763</v>
          </cell>
          <cell r="H996" t="str">
            <v>4-4.5</v>
          </cell>
          <cell r="I996">
            <v>0</v>
          </cell>
          <cell r="L996">
            <v>175</v>
          </cell>
        </row>
        <row r="997">
          <cell r="D997">
            <v>45763</v>
          </cell>
          <cell r="H997">
            <v>5</v>
          </cell>
          <cell r="I997">
            <v>0</v>
          </cell>
          <cell r="L997">
            <v>125</v>
          </cell>
        </row>
        <row r="998">
          <cell r="D998">
            <v>45763</v>
          </cell>
          <cell r="H998">
            <v>5</v>
          </cell>
          <cell r="I998">
            <v>0</v>
          </cell>
          <cell r="L998">
            <v>25</v>
          </cell>
        </row>
        <row r="999">
          <cell r="D999">
            <v>45763</v>
          </cell>
          <cell r="H999">
            <v>5</v>
          </cell>
          <cell r="I999">
            <v>0</v>
          </cell>
          <cell r="L999">
            <v>125</v>
          </cell>
        </row>
        <row r="1000">
          <cell r="D1000">
            <v>45763</v>
          </cell>
          <cell r="H1000" t="str">
            <v>4-4.5</v>
          </cell>
          <cell r="I1000">
            <v>0</v>
          </cell>
          <cell r="L1000">
            <v>100</v>
          </cell>
        </row>
        <row r="1001">
          <cell r="D1001">
            <v>45763</v>
          </cell>
          <cell r="H1001" t="str">
            <v>4-4.5</v>
          </cell>
          <cell r="I1001">
            <v>0</v>
          </cell>
          <cell r="L1001">
            <v>25</v>
          </cell>
        </row>
        <row r="1002">
          <cell r="D1002">
            <v>45764</v>
          </cell>
          <cell r="H1002" t="str">
            <v>4-4.5</v>
          </cell>
          <cell r="I1002">
            <v>0</v>
          </cell>
          <cell r="L1002">
            <v>275</v>
          </cell>
        </row>
        <row r="1003">
          <cell r="D1003">
            <v>45764</v>
          </cell>
          <cell r="H1003" t="str">
            <v>4-4.5</v>
          </cell>
          <cell r="I1003">
            <v>0</v>
          </cell>
          <cell r="L1003">
            <v>100</v>
          </cell>
        </row>
        <row r="1004">
          <cell r="D1004">
            <v>45764</v>
          </cell>
          <cell r="H1004" t="str">
            <v>4-4.5</v>
          </cell>
          <cell r="I1004">
            <v>0</v>
          </cell>
          <cell r="L1004">
            <v>100</v>
          </cell>
        </row>
        <row r="1005">
          <cell r="D1005">
            <v>45764</v>
          </cell>
          <cell r="H1005" t="str">
            <v>4-4.5</v>
          </cell>
          <cell r="I1005">
            <v>0</v>
          </cell>
          <cell r="L1005">
            <v>100</v>
          </cell>
        </row>
        <row r="1006">
          <cell r="D1006">
            <v>45764</v>
          </cell>
          <cell r="H1006" t="str">
            <v>4-4.5</v>
          </cell>
          <cell r="I1006">
            <v>0</v>
          </cell>
          <cell r="L1006">
            <v>175</v>
          </cell>
        </row>
        <row r="1007">
          <cell r="D1007">
            <v>45764</v>
          </cell>
          <cell r="H1007">
            <v>4.5</v>
          </cell>
          <cell r="I1007">
            <v>0</v>
          </cell>
          <cell r="L1007">
            <v>350</v>
          </cell>
        </row>
        <row r="1008">
          <cell r="D1008">
            <v>45764</v>
          </cell>
          <cell r="H1008">
            <v>5</v>
          </cell>
          <cell r="I1008">
            <v>0</v>
          </cell>
          <cell r="L1008">
            <v>25</v>
          </cell>
        </row>
        <row r="1009">
          <cell r="D1009">
            <v>45764</v>
          </cell>
          <cell r="H1009" t="str">
            <v>4-4.5</v>
          </cell>
          <cell r="I1009">
            <v>0</v>
          </cell>
          <cell r="L1009">
            <v>178.7</v>
          </cell>
        </row>
        <row r="1010">
          <cell r="D1010">
            <v>45764</v>
          </cell>
          <cell r="H1010">
            <v>5</v>
          </cell>
          <cell r="I1010">
            <v>0</v>
          </cell>
          <cell r="L1010">
            <v>125</v>
          </cell>
        </row>
        <row r="1011">
          <cell r="D1011">
            <v>45765</v>
          </cell>
          <cell r="H1011" t="str">
            <v>4-4.5</v>
          </cell>
          <cell r="I1011">
            <v>0</v>
          </cell>
          <cell r="L1011">
            <v>75</v>
          </cell>
        </row>
        <row r="1012">
          <cell r="D1012">
            <v>45765</v>
          </cell>
          <cell r="H1012" t="str">
            <v>4-4.5</v>
          </cell>
          <cell r="I1012">
            <v>0</v>
          </cell>
          <cell r="L1012">
            <v>100</v>
          </cell>
        </row>
        <row r="1013">
          <cell r="D1013">
            <v>45765</v>
          </cell>
          <cell r="H1013" t="str">
            <v>4-4.5</v>
          </cell>
          <cell r="I1013">
            <v>0</v>
          </cell>
          <cell r="L1013">
            <v>150</v>
          </cell>
        </row>
        <row r="1014">
          <cell r="D1014">
            <v>45765</v>
          </cell>
          <cell r="H1014" t="str">
            <v>4-4.5</v>
          </cell>
          <cell r="I1014">
            <v>0</v>
          </cell>
          <cell r="L1014">
            <v>125</v>
          </cell>
        </row>
        <row r="1015">
          <cell r="D1015">
            <v>45765</v>
          </cell>
          <cell r="H1015" t="str">
            <v>4-4.5</v>
          </cell>
          <cell r="I1015">
            <v>0</v>
          </cell>
          <cell r="L1015">
            <v>50</v>
          </cell>
        </row>
        <row r="1016">
          <cell r="D1016">
            <v>45765</v>
          </cell>
          <cell r="H1016" t="str">
            <v>4-4.5</v>
          </cell>
          <cell r="I1016">
            <v>0</v>
          </cell>
          <cell r="L1016">
            <v>50</v>
          </cell>
        </row>
        <row r="1017">
          <cell r="D1017">
            <v>45765</v>
          </cell>
          <cell r="H1017">
            <v>5</v>
          </cell>
          <cell r="I1017">
            <v>0</v>
          </cell>
          <cell r="L1017">
            <v>275</v>
          </cell>
        </row>
        <row r="1018">
          <cell r="D1018">
            <v>45765</v>
          </cell>
          <cell r="H1018">
            <v>5</v>
          </cell>
          <cell r="I1018">
            <v>0</v>
          </cell>
          <cell r="L1018">
            <v>25</v>
          </cell>
        </row>
        <row r="1019">
          <cell r="D1019">
            <v>45765</v>
          </cell>
          <cell r="H1019">
            <v>5</v>
          </cell>
          <cell r="I1019">
            <v>0</v>
          </cell>
          <cell r="L1019">
            <v>325</v>
          </cell>
        </row>
        <row r="1020">
          <cell r="D1020">
            <v>45765</v>
          </cell>
          <cell r="H1020" t="str">
            <v>4-4.5</v>
          </cell>
          <cell r="I1020">
            <v>0</v>
          </cell>
          <cell r="L1020">
            <v>50</v>
          </cell>
        </row>
        <row r="1021">
          <cell r="D1021">
            <v>45765</v>
          </cell>
          <cell r="H1021">
            <v>5</v>
          </cell>
          <cell r="I1021">
            <v>0</v>
          </cell>
          <cell r="L1021">
            <v>75</v>
          </cell>
        </row>
        <row r="1022">
          <cell r="D1022">
            <v>45765</v>
          </cell>
          <cell r="H1022">
            <v>5</v>
          </cell>
          <cell r="I1022">
            <v>0</v>
          </cell>
          <cell r="L1022">
            <v>150</v>
          </cell>
        </row>
        <row r="1023">
          <cell r="D1023">
            <v>45765</v>
          </cell>
          <cell r="H1023" t="str">
            <v>4-4.5</v>
          </cell>
          <cell r="I1023">
            <v>0</v>
          </cell>
          <cell r="L1023">
            <v>125</v>
          </cell>
        </row>
        <row r="1024">
          <cell r="D1024">
            <v>45766</v>
          </cell>
          <cell r="H1024" t="str">
            <v>4-4.5</v>
          </cell>
          <cell r="I1024">
            <v>0</v>
          </cell>
          <cell r="L1024">
            <v>525</v>
          </cell>
        </row>
        <row r="1025">
          <cell r="D1025">
            <v>45766</v>
          </cell>
          <cell r="H1025" t="str">
            <v>4-4.5</v>
          </cell>
          <cell r="I1025">
            <v>0</v>
          </cell>
          <cell r="L1025">
            <v>150</v>
          </cell>
        </row>
        <row r="1026">
          <cell r="D1026">
            <v>45766</v>
          </cell>
          <cell r="H1026" t="str">
            <v>4-4.5</v>
          </cell>
          <cell r="I1026">
            <v>0</v>
          </cell>
          <cell r="L1026">
            <v>50</v>
          </cell>
        </row>
        <row r="1027">
          <cell r="D1027">
            <v>45766</v>
          </cell>
          <cell r="H1027">
            <v>5</v>
          </cell>
          <cell r="I1027">
            <v>0</v>
          </cell>
          <cell r="L1027">
            <v>75</v>
          </cell>
        </row>
        <row r="1028">
          <cell r="D1028">
            <v>45766</v>
          </cell>
          <cell r="H1028">
            <v>5</v>
          </cell>
          <cell r="I1028">
            <v>0</v>
          </cell>
          <cell r="L1028">
            <v>150</v>
          </cell>
        </row>
        <row r="1029">
          <cell r="D1029">
            <v>45766</v>
          </cell>
          <cell r="H1029">
            <v>5</v>
          </cell>
          <cell r="I1029">
            <v>0</v>
          </cell>
          <cell r="L1029">
            <v>125</v>
          </cell>
        </row>
        <row r="1030">
          <cell r="D1030">
            <v>45766</v>
          </cell>
          <cell r="H1030">
            <v>5</v>
          </cell>
          <cell r="I1030">
            <v>0</v>
          </cell>
          <cell r="L1030">
            <v>50</v>
          </cell>
        </row>
        <row r="1031">
          <cell r="D1031">
            <v>45766</v>
          </cell>
          <cell r="H1031">
            <v>4.5</v>
          </cell>
          <cell r="I1031">
            <v>0</v>
          </cell>
          <cell r="L1031">
            <v>175</v>
          </cell>
        </row>
        <row r="1032">
          <cell r="D1032">
            <v>45766</v>
          </cell>
          <cell r="H1032">
            <v>5</v>
          </cell>
          <cell r="I1032">
            <v>0</v>
          </cell>
          <cell r="L1032">
            <v>25</v>
          </cell>
        </row>
        <row r="1033">
          <cell r="D1033">
            <v>45766</v>
          </cell>
          <cell r="H1033">
            <v>5</v>
          </cell>
          <cell r="I1033">
            <v>0</v>
          </cell>
          <cell r="L1033">
            <v>50</v>
          </cell>
        </row>
        <row r="1034">
          <cell r="D1034">
            <v>45766</v>
          </cell>
          <cell r="H1034">
            <v>5</v>
          </cell>
          <cell r="I1034">
            <v>0</v>
          </cell>
          <cell r="L1034">
            <v>325</v>
          </cell>
        </row>
        <row r="1035">
          <cell r="D1035">
            <v>45767</v>
          </cell>
          <cell r="H1035">
            <v>5</v>
          </cell>
          <cell r="I1035">
            <v>0</v>
          </cell>
          <cell r="L1035">
            <v>250</v>
          </cell>
        </row>
        <row r="1036">
          <cell r="D1036">
            <v>45767</v>
          </cell>
          <cell r="H1036">
            <v>5</v>
          </cell>
          <cell r="I1036">
            <v>0</v>
          </cell>
          <cell r="L1036">
            <v>250</v>
          </cell>
        </row>
        <row r="1037">
          <cell r="D1037">
            <v>45767</v>
          </cell>
          <cell r="H1037">
            <v>5</v>
          </cell>
          <cell r="I1037">
            <v>0</v>
          </cell>
          <cell r="L1037">
            <v>25</v>
          </cell>
        </row>
        <row r="1038">
          <cell r="D1038">
            <v>45767</v>
          </cell>
          <cell r="H1038">
            <v>5</v>
          </cell>
          <cell r="I1038">
            <v>0</v>
          </cell>
          <cell r="L1038">
            <v>100</v>
          </cell>
        </row>
        <row r="1039">
          <cell r="D1039">
            <v>45767</v>
          </cell>
          <cell r="H1039">
            <v>5</v>
          </cell>
          <cell r="I1039">
            <v>0</v>
          </cell>
          <cell r="L1039">
            <v>25</v>
          </cell>
        </row>
        <row r="1040">
          <cell r="D1040">
            <v>45767</v>
          </cell>
          <cell r="H1040">
            <v>5</v>
          </cell>
          <cell r="I1040">
            <v>0</v>
          </cell>
          <cell r="L1040">
            <v>50</v>
          </cell>
        </row>
        <row r="1041">
          <cell r="D1041">
            <v>45768</v>
          </cell>
          <cell r="H1041">
            <v>5</v>
          </cell>
          <cell r="I1041">
            <v>0</v>
          </cell>
          <cell r="L1041">
            <v>500</v>
          </cell>
        </row>
        <row r="1042">
          <cell r="D1042">
            <v>45768</v>
          </cell>
          <cell r="H1042">
            <v>5</v>
          </cell>
          <cell r="I1042">
            <v>0</v>
          </cell>
          <cell r="L1042">
            <v>50</v>
          </cell>
        </row>
        <row r="1043">
          <cell r="D1043">
            <v>45768</v>
          </cell>
          <cell r="H1043">
            <v>5</v>
          </cell>
          <cell r="I1043">
            <v>0</v>
          </cell>
          <cell r="L1043">
            <v>175</v>
          </cell>
        </row>
        <row r="1044">
          <cell r="D1044">
            <v>45768</v>
          </cell>
          <cell r="H1044">
            <v>5</v>
          </cell>
          <cell r="I1044">
            <v>0</v>
          </cell>
          <cell r="L1044">
            <v>100</v>
          </cell>
        </row>
        <row r="1045">
          <cell r="D1045">
            <v>45768</v>
          </cell>
          <cell r="H1045">
            <v>5</v>
          </cell>
          <cell r="I1045">
            <v>0</v>
          </cell>
          <cell r="L1045">
            <v>50</v>
          </cell>
        </row>
        <row r="1046">
          <cell r="D1046">
            <v>45768</v>
          </cell>
          <cell r="H1046">
            <v>5</v>
          </cell>
          <cell r="I1046">
            <v>0</v>
          </cell>
          <cell r="L1046">
            <v>50</v>
          </cell>
        </row>
        <row r="1047">
          <cell r="D1047">
            <v>45768</v>
          </cell>
          <cell r="H1047">
            <v>5</v>
          </cell>
          <cell r="I1047">
            <v>0</v>
          </cell>
          <cell r="L1047">
            <v>100</v>
          </cell>
        </row>
        <row r="1048">
          <cell r="D1048">
            <v>45768</v>
          </cell>
          <cell r="H1048" t="str">
            <v>4-4.5</v>
          </cell>
          <cell r="I1048">
            <v>0</v>
          </cell>
          <cell r="L1048">
            <v>75</v>
          </cell>
        </row>
        <row r="1049">
          <cell r="D1049">
            <v>45768</v>
          </cell>
          <cell r="H1049">
            <v>5</v>
          </cell>
          <cell r="I1049">
            <v>0</v>
          </cell>
          <cell r="L1049">
            <v>25</v>
          </cell>
        </row>
        <row r="1050">
          <cell r="D1050">
            <v>45768</v>
          </cell>
          <cell r="H1050">
            <v>5</v>
          </cell>
          <cell r="I1050">
            <v>0</v>
          </cell>
          <cell r="L1050">
            <v>50</v>
          </cell>
        </row>
        <row r="1051">
          <cell r="D1051">
            <v>45768</v>
          </cell>
          <cell r="H1051">
            <v>8</v>
          </cell>
          <cell r="I1051">
            <v>0</v>
          </cell>
          <cell r="L1051">
            <v>116.8</v>
          </cell>
        </row>
        <row r="1052">
          <cell r="D1052">
            <v>45768</v>
          </cell>
          <cell r="H1052">
            <v>5</v>
          </cell>
          <cell r="I1052">
            <v>0</v>
          </cell>
          <cell r="L1052">
            <v>25</v>
          </cell>
        </row>
        <row r="1053">
          <cell r="D1053">
            <v>45769</v>
          </cell>
          <cell r="H1053">
            <v>5</v>
          </cell>
          <cell r="I1053">
            <v>0</v>
          </cell>
          <cell r="L1053">
            <v>375</v>
          </cell>
        </row>
        <row r="1054">
          <cell r="D1054">
            <v>45769</v>
          </cell>
          <cell r="H1054">
            <v>5</v>
          </cell>
          <cell r="I1054">
            <v>0</v>
          </cell>
          <cell r="L1054">
            <v>100</v>
          </cell>
        </row>
        <row r="1055">
          <cell r="D1055">
            <v>45769</v>
          </cell>
          <cell r="H1055">
            <v>5</v>
          </cell>
          <cell r="I1055">
            <v>0</v>
          </cell>
          <cell r="L1055">
            <v>75</v>
          </cell>
        </row>
        <row r="1056">
          <cell r="D1056">
            <v>45769</v>
          </cell>
          <cell r="H1056">
            <v>5</v>
          </cell>
          <cell r="I1056">
            <v>0</v>
          </cell>
          <cell r="L1056">
            <v>225</v>
          </cell>
        </row>
        <row r="1057">
          <cell r="D1057">
            <v>45769</v>
          </cell>
          <cell r="H1057">
            <v>4.5</v>
          </cell>
          <cell r="I1057">
            <v>0</v>
          </cell>
          <cell r="L1057">
            <v>75</v>
          </cell>
        </row>
        <row r="1058">
          <cell r="D1058">
            <v>45769</v>
          </cell>
          <cell r="H1058">
            <v>5</v>
          </cell>
          <cell r="I1058">
            <v>0</v>
          </cell>
          <cell r="L1058">
            <v>250</v>
          </cell>
        </row>
        <row r="1059">
          <cell r="D1059">
            <v>45769</v>
          </cell>
          <cell r="H1059">
            <v>5</v>
          </cell>
          <cell r="I1059">
            <v>0</v>
          </cell>
          <cell r="L1059">
            <v>200</v>
          </cell>
        </row>
        <row r="1060">
          <cell r="D1060">
            <v>45769</v>
          </cell>
          <cell r="H1060">
            <v>5</v>
          </cell>
          <cell r="I1060">
            <v>0</v>
          </cell>
          <cell r="L1060">
            <v>100</v>
          </cell>
        </row>
        <row r="1061">
          <cell r="D1061">
            <v>45769</v>
          </cell>
          <cell r="H1061">
            <v>5</v>
          </cell>
          <cell r="I1061">
            <v>0</v>
          </cell>
          <cell r="L1061">
            <v>100</v>
          </cell>
        </row>
        <row r="1062">
          <cell r="D1062">
            <v>45769</v>
          </cell>
          <cell r="H1062" t="str">
            <v>4-4.5</v>
          </cell>
          <cell r="I1062">
            <v>0</v>
          </cell>
          <cell r="L1062">
            <v>175</v>
          </cell>
        </row>
        <row r="1063">
          <cell r="D1063">
            <v>45770</v>
          </cell>
          <cell r="H1063">
            <v>5</v>
          </cell>
          <cell r="I1063">
            <v>0</v>
          </cell>
          <cell r="L1063">
            <v>250</v>
          </cell>
        </row>
        <row r="1064">
          <cell r="D1064">
            <v>45770</v>
          </cell>
          <cell r="H1064">
            <v>5</v>
          </cell>
          <cell r="I1064">
            <v>0</v>
          </cell>
          <cell r="L1064">
            <v>300</v>
          </cell>
        </row>
        <row r="1065">
          <cell r="D1065">
            <v>45770</v>
          </cell>
          <cell r="H1065">
            <v>5</v>
          </cell>
          <cell r="I1065">
            <v>0</v>
          </cell>
          <cell r="L1065">
            <v>250</v>
          </cell>
        </row>
        <row r="1066">
          <cell r="D1066">
            <v>45770</v>
          </cell>
          <cell r="H1066">
            <v>5</v>
          </cell>
          <cell r="I1066">
            <v>0</v>
          </cell>
          <cell r="L1066">
            <v>100</v>
          </cell>
        </row>
        <row r="1067">
          <cell r="D1067">
            <v>45770</v>
          </cell>
          <cell r="H1067">
            <v>5</v>
          </cell>
          <cell r="I1067">
            <v>0</v>
          </cell>
          <cell r="L1067">
            <v>275</v>
          </cell>
        </row>
        <row r="1068">
          <cell r="D1068">
            <v>45770</v>
          </cell>
          <cell r="H1068">
            <v>5</v>
          </cell>
          <cell r="I1068">
            <v>0</v>
          </cell>
          <cell r="L1068">
            <v>50</v>
          </cell>
        </row>
        <row r="1069">
          <cell r="D1069">
            <v>45770</v>
          </cell>
          <cell r="H1069">
            <v>5</v>
          </cell>
          <cell r="I1069">
            <v>0</v>
          </cell>
          <cell r="L1069">
            <v>400</v>
          </cell>
        </row>
        <row r="1070">
          <cell r="D1070">
            <v>45770</v>
          </cell>
          <cell r="H1070">
            <v>5</v>
          </cell>
          <cell r="I1070">
            <v>0</v>
          </cell>
          <cell r="L1070">
            <v>100</v>
          </cell>
        </row>
        <row r="1071">
          <cell r="D1071">
            <v>45770</v>
          </cell>
          <cell r="H1071">
            <v>5</v>
          </cell>
          <cell r="I1071">
            <v>0</v>
          </cell>
          <cell r="L1071">
            <v>100</v>
          </cell>
        </row>
        <row r="1072">
          <cell r="D1072">
            <v>45770</v>
          </cell>
          <cell r="H1072">
            <v>4.5</v>
          </cell>
          <cell r="I1072">
            <v>0</v>
          </cell>
          <cell r="L1072">
            <v>50</v>
          </cell>
        </row>
        <row r="1073">
          <cell r="D1073">
            <v>45770</v>
          </cell>
          <cell r="H1073">
            <v>5</v>
          </cell>
          <cell r="I1073">
            <v>0</v>
          </cell>
          <cell r="L1073">
            <v>50</v>
          </cell>
        </row>
        <row r="1074">
          <cell r="D1074">
            <v>45770</v>
          </cell>
          <cell r="H1074">
            <v>5</v>
          </cell>
          <cell r="I1074">
            <v>0</v>
          </cell>
          <cell r="L1074">
            <v>25</v>
          </cell>
        </row>
        <row r="1075">
          <cell r="D1075">
            <v>45771</v>
          </cell>
          <cell r="H1075">
            <v>5</v>
          </cell>
          <cell r="I1075">
            <v>0</v>
          </cell>
          <cell r="L1075">
            <v>350</v>
          </cell>
        </row>
        <row r="1076">
          <cell r="D1076">
            <v>45771</v>
          </cell>
          <cell r="H1076">
            <v>5</v>
          </cell>
          <cell r="I1076">
            <v>0</v>
          </cell>
          <cell r="L1076">
            <v>100</v>
          </cell>
        </row>
        <row r="1077">
          <cell r="D1077">
            <v>45771</v>
          </cell>
          <cell r="H1077">
            <v>5</v>
          </cell>
          <cell r="I1077">
            <v>0</v>
          </cell>
          <cell r="L1077">
            <v>200</v>
          </cell>
        </row>
        <row r="1078">
          <cell r="D1078">
            <v>45771</v>
          </cell>
          <cell r="H1078">
            <v>5</v>
          </cell>
          <cell r="I1078">
            <v>0</v>
          </cell>
          <cell r="L1078">
            <v>375</v>
          </cell>
        </row>
        <row r="1079">
          <cell r="D1079">
            <v>45771</v>
          </cell>
          <cell r="H1079">
            <v>5</v>
          </cell>
          <cell r="I1079">
            <v>0</v>
          </cell>
          <cell r="L1079">
            <v>75</v>
          </cell>
        </row>
        <row r="1080">
          <cell r="D1080">
            <v>45771</v>
          </cell>
          <cell r="H1080">
            <v>5</v>
          </cell>
          <cell r="I1080">
            <v>0</v>
          </cell>
          <cell r="L1080">
            <v>125</v>
          </cell>
        </row>
        <row r="1081">
          <cell r="D1081">
            <v>45771</v>
          </cell>
          <cell r="H1081">
            <v>5</v>
          </cell>
          <cell r="I1081">
            <v>0</v>
          </cell>
          <cell r="L1081">
            <v>125</v>
          </cell>
        </row>
        <row r="1082">
          <cell r="D1082">
            <v>45771</v>
          </cell>
          <cell r="H1082">
            <v>5</v>
          </cell>
          <cell r="I1082">
            <v>0</v>
          </cell>
          <cell r="L1082">
            <v>125</v>
          </cell>
        </row>
        <row r="1083">
          <cell r="D1083">
            <v>45771</v>
          </cell>
          <cell r="H1083">
            <v>5</v>
          </cell>
          <cell r="I1083">
            <v>0</v>
          </cell>
          <cell r="L1083">
            <v>75</v>
          </cell>
        </row>
        <row r="1084">
          <cell r="D1084">
            <v>45771</v>
          </cell>
          <cell r="H1084">
            <v>5</v>
          </cell>
          <cell r="I1084">
            <v>0</v>
          </cell>
          <cell r="L1084">
            <v>125</v>
          </cell>
        </row>
        <row r="1085">
          <cell r="D1085">
            <v>45771</v>
          </cell>
          <cell r="H1085">
            <v>5</v>
          </cell>
          <cell r="I1085">
            <v>0</v>
          </cell>
          <cell r="L1085">
            <v>150</v>
          </cell>
        </row>
        <row r="1086">
          <cell r="D1086">
            <v>45771</v>
          </cell>
          <cell r="H1086">
            <v>5</v>
          </cell>
          <cell r="I1086">
            <v>0</v>
          </cell>
          <cell r="L1086">
            <v>100</v>
          </cell>
        </row>
        <row r="1087">
          <cell r="D1087">
            <v>45771</v>
          </cell>
          <cell r="H1087">
            <v>5</v>
          </cell>
          <cell r="I1087">
            <v>0</v>
          </cell>
          <cell r="L1087">
            <v>75</v>
          </cell>
        </row>
        <row r="1088">
          <cell r="D1088">
            <v>45771</v>
          </cell>
          <cell r="H1088">
            <v>5</v>
          </cell>
          <cell r="I1088">
            <v>0</v>
          </cell>
          <cell r="L1088">
            <v>75</v>
          </cell>
        </row>
        <row r="1089">
          <cell r="D1089">
            <v>45771</v>
          </cell>
          <cell r="H1089">
            <v>5</v>
          </cell>
          <cell r="I1089">
            <v>0</v>
          </cell>
          <cell r="L1089">
            <v>25</v>
          </cell>
        </row>
        <row r="1090">
          <cell r="D1090">
            <v>45771</v>
          </cell>
          <cell r="H1090">
            <v>5</v>
          </cell>
          <cell r="I1090">
            <v>0</v>
          </cell>
          <cell r="L1090">
            <v>225</v>
          </cell>
        </row>
        <row r="1091">
          <cell r="D1091">
            <v>45772</v>
          </cell>
          <cell r="H1091">
            <v>5</v>
          </cell>
          <cell r="I1091">
            <v>0</v>
          </cell>
          <cell r="L1091">
            <v>125</v>
          </cell>
        </row>
        <row r="1092">
          <cell r="D1092">
            <v>45772</v>
          </cell>
          <cell r="H1092">
            <v>5</v>
          </cell>
          <cell r="I1092">
            <v>0</v>
          </cell>
          <cell r="L1092">
            <v>50</v>
          </cell>
        </row>
        <row r="1093">
          <cell r="D1093">
            <v>45772</v>
          </cell>
          <cell r="H1093" t="str">
            <v>-</v>
          </cell>
          <cell r="I1093" t="str">
            <v>-</v>
          </cell>
          <cell r="L1093">
            <v>200</v>
          </cell>
        </row>
        <row r="1094">
          <cell r="D1094">
            <v>45772</v>
          </cell>
          <cell r="H1094" t="str">
            <v>-</v>
          </cell>
          <cell r="I1094" t="str">
            <v>-</v>
          </cell>
          <cell r="L1094">
            <v>475.5</v>
          </cell>
        </row>
        <row r="1095">
          <cell r="D1095">
            <v>45772</v>
          </cell>
          <cell r="H1095">
            <v>5</v>
          </cell>
          <cell r="I1095">
            <v>0</v>
          </cell>
          <cell r="L1095">
            <v>25</v>
          </cell>
        </row>
        <row r="1096">
          <cell r="D1096">
            <v>45772</v>
          </cell>
          <cell r="H1096">
            <v>5</v>
          </cell>
          <cell r="I1096">
            <v>0</v>
          </cell>
          <cell r="L1096">
            <v>125</v>
          </cell>
        </row>
        <row r="1097">
          <cell r="D1097">
            <v>45772</v>
          </cell>
          <cell r="H1097" t="str">
            <v>-</v>
          </cell>
          <cell r="I1097" t="str">
            <v>-</v>
          </cell>
          <cell r="L1097">
            <v>150</v>
          </cell>
        </row>
        <row r="1098">
          <cell r="D1098">
            <v>45772</v>
          </cell>
          <cell r="H1098" t="str">
            <v>-</v>
          </cell>
          <cell r="I1098" t="str">
            <v>-</v>
          </cell>
          <cell r="L1098">
            <v>225</v>
          </cell>
        </row>
        <row r="1099">
          <cell r="D1099">
            <v>45772</v>
          </cell>
          <cell r="H1099">
            <v>5</v>
          </cell>
          <cell r="I1099">
            <v>0</v>
          </cell>
          <cell r="L1099">
            <v>125</v>
          </cell>
        </row>
        <row r="1100">
          <cell r="D1100">
            <v>45772</v>
          </cell>
          <cell r="H1100">
            <v>5</v>
          </cell>
          <cell r="I1100">
            <v>0</v>
          </cell>
          <cell r="L1100">
            <v>50</v>
          </cell>
        </row>
        <row r="1101">
          <cell r="D1101">
            <v>45772</v>
          </cell>
          <cell r="H1101">
            <v>5</v>
          </cell>
          <cell r="I1101">
            <v>0</v>
          </cell>
          <cell r="L1101">
            <v>50</v>
          </cell>
        </row>
        <row r="1102">
          <cell r="D1102">
            <v>45772</v>
          </cell>
          <cell r="H1102">
            <v>5</v>
          </cell>
          <cell r="I1102">
            <v>0</v>
          </cell>
          <cell r="L1102">
            <v>375</v>
          </cell>
        </row>
        <row r="1103">
          <cell r="D1103">
            <v>45772</v>
          </cell>
          <cell r="H1103">
            <v>5</v>
          </cell>
          <cell r="I1103">
            <v>0</v>
          </cell>
          <cell r="L1103">
            <v>250</v>
          </cell>
        </row>
        <row r="1104">
          <cell r="D1104">
            <v>45773</v>
          </cell>
          <cell r="H1104">
            <v>5</v>
          </cell>
          <cell r="I1104">
            <v>0</v>
          </cell>
          <cell r="L1104">
            <v>300</v>
          </cell>
        </row>
        <row r="1105">
          <cell r="D1105">
            <v>45773</v>
          </cell>
          <cell r="H1105">
            <v>5</v>
          </cell>
          <cell r="I1105">
            <v>0</v>
          </cell>
          <cell r="L1105">
            <v>25</v>
          </cell>
        </row>
        <row r="1106">
          <cell r="D1106">
            <v>45773</v>
          </cell>
          <cell r="H1106">
            <v>5</v>
          </cell>
          <cell r="I1106">
            <v>0</v>
          </cell>
          <cell r="L1106">
            <v>150</v>
          </cell>
        </row>
        <row r="1107">
          <cell r="D1107">
            <v>45773</v>
          </cell>
          <cell r="H1107">
            <v>5</v>
          </cell>
          <cell r="I1107">
            <v>0</v>
          </cell>
          <cell r="L1107">
            <v>325</v>
          </cell>
        </row>
        <row r="1108">
          <cell r="D1108">
            <v>45773</v>
          </cell>
          <cell r="H1108" t="str">
            <v>-</v>
          </cell>
          <cell r="I1108" t="str">
            <v>-</v>
          </cell>
          <cell r="L1108">
            <v>482.2</v>
          </cell>
        </row>
        <row r="1109">
          <cell r="D1109">
            <v>45773</v>
          </cell>
          <cell r="H1109" t="str">
            <v>-</v>
          </cell>
          <cell r="I1109" t="str">
            <v>-</v>
          </cell>
          <cell r="L1109">
            <v>125</v>
          </cell>
        </row>
        <row r="1110">
          <cell r="D1110">
            <v>45773</v>
          </cell>
          <cell r="H1110">
            <v>10</v>
          </cell>
          <cell r="I1110">
            <v>0</v>
          </cell>
          <cell r="L1110">
            <v>103</v>
          </cell>
        </row>
        <row r="1111">
          <cell r="D1111">
            <v>45773</v>
          </cell>
          <cell r="H1111" t="str">
            <v>-</v>
          </cell>
          <cell r="I1111" t="str">
            <v>-</v>
          </cell>
          <cell r="L1111">
            <v>256.7</v>
          </cell>
        </row>
        <row r="1112">
          <cell r="D1112">
            <v>45773</v>
          </cell>
          <cell r="H1112">
            <v>5</v>
          </cell>
          <cell r="I1112">
            <v>0</v>
          </cell>
          <cell r="L1112">
            <v>250</v>
          </cell>
        </row>
        <row r="1113">
          <cell r="D1113">
            <v>45773</v>
          </cell>
          <cell r="H1113">
            <v>5</v>
          </cell>
          <cell r="I1113">
            <v>0</v>
          </cell>
          <cell r="L1113">
            <v>350</v>
          </cell>
        </row>
        <row r="1114">
          <cell r="D1114">
            <v>45775</v>
          </cell>
          <cell r="H1114">
            <v>5</v>
          </cell>
          <cell r="I1114">
            <v>0</v>
          </cell>
          <cell r="L1114">
            <v>155</v>
          </cell>
        </row>
        <row r="1115">
          <cell r="D1115">
            <v>45775</v>
          </cell>
          <cell r="H1115" t="str">
            <v>-</v>
          </cell>
          <cell r="I1115" t="str">
            <v>-</v>
          </cell>
          <cell r="L1115">
            <v>114.4</v>
          </cell>
        </row>
        <row r="1116">
          <cell r="D1116">
            <v>45775</v>
          </cell>
          <cell r="H1116">
            <v>12</v>
          </cell>
          <cell r="I1116">
            <v>0</v>
          </cell>
          <cell r="L1116">
            <v>299.8</v>
          </cell>
        </row>
        <row r="1117">
          <cell r="D1117">
            <v>45775</v>
          </cell>
          <cell r="H1117">
            <v>5</v>
          </cell>
          <cell r="I1117">
            <v>0</v>
          </cell>
          <cell r="L1117">
            <v>125</v>
          </cell>
        </row>
        <row r="1118">
          <cell r="D1118">
            <v>45775</v>
          </cell>
          <cell r="H1118">
            <v>5</v>
          </cell>
          <cell r="I1118">
            <v>0</v>
          </cell>
          <cell r="L1118">
            <v>50</v>
          </cell>
        </row>
        <row r="1119">
          <cell r="D1119">
            <v>45775</v>
          </cell>
          <cell r="H1119">
            <v>5</v>
          </cell>
          <cell r="I1119">
            <v>0</v>
          </cell>
          <cell r="L1119">
            <v>250</v>
          </cell>
        </row>
        <row r="1120">
          <cell r="D1120">
            <v>45775</v>
          </cell>
          <cell r="H1120">
            <v>5</v>
          </cell>
          <cell r="I1120">
            <v>0</v>
          </cell>
          <cell r="L1120">
            <v>50</v>
          </cell>
        </row>
        <row r="1121">
          <cell r="D1121">
            <v>45775</v>
          </cell>
          <cell r="H1121">
            <v>5</v>
          </cell>
          <cell r="I1121">
            <v>0</v>
          </cell>
          <cell r="L1121">
            <v>100</v>
          </cell>
        </row>
        <row r="1122">
          <cell r="D1122">
            <v>45775</v>
          </cell>
          <cell r="H1122">
            <v>5</v>
          </cell>
          <cell r="I1122">
            <v>0</v>
          </cell>
          <cell r="L1122">
            <v>100</v>
          </cell>
        </row>
        <row r="1123">
          <cell r="D1123">
            <v>45775</v>
          </cell>
          <cell r="H1123">
            <v>5</v>
          </cell>
          <cell r="I1123">
            <v>0</v>
          </cell>
          <cell r="L1123">
            <v>50</v>
          </cell>
        </row>
        <row r="1124">
          <cell r="D1124">
            <v>45775</v>
          </cell>
          <cell r="H1124">
            <v>5</v>
          </cell>
          <cell r="I1124">
            <v>0</v>
          </cell>
          <cell r="L1124">
            <v>100</v>
          </cell>
        </row>
        <row r="1125">
          <cell r="D1125">
            <v>45775</v>
          </cell>
          <cell r="H1125">
            <v>5</v>
          </cell>
          <cell r="I1125">
            <v>0</v>
          </cell>
          <cell r="L1125">
            <v>100</v>
          </cell>
        </row>
        <row r="1126">
          <cell r="D1126">
            <v>45776</v>
          </cell>
          <cell r="H1126">
            <v>5</v>
          </cell>
          <cell r="I1126">
            <v>0</v>
          </cell>
          <cell r="L1126">
            <v>100</v>
          </cell>
        </row>
        <row r="1127">
          <cell r="D1127">
            <v>45776</v>
          </cell>
          <cell r="H1127">
            <v>5</v>
          </cell>
          <cell r="I1127">
            <v>0</v>
          </cell>
          <cell r="L1127">
            <v>325</v>
          </cell>
        </row>
        <row r="1128">
          <cell r="D1128">
            <v>45776</v>
          </cell>
          <cell r="H1128">
            <v>5</v>
          </cell>
          <cell r="I1128">
            <v>0</v>
          </cell>
          <cell r="L1128">
            <v>150</v>
          </cell>
        </row>
        <row r="1129">
          <cell r="D1129">
            <v>45776</v>
          </cell>
          <cell r="H1129">
            <v>5</v>
          </cell>
          <cell r="I1129">
            <v>0</v>
          </cell>
          <cell r="L1129">
            <v>50</v>
          </cell>
        </row>
        <row r="1130">
          <cell r="D1130">
            <v>45776</v>
          </cell>
          <cell r="H1130">
            <v>5</v>
          </cell>
          <cell r="I1130">
            <v>0</v>
          </cell>
          <cell r="L1130">
            <v>50</v>
          </cell>
        </row>
        <row r="1131">
          <cell r="D1131">
            <v>45776</v>
          </cell>
          <cell r="H1131">
            <v>5</v>
          </cell>
          <cell r="I1131">
            <v>0</v>
          </cell>
          <cell r="L1131">
            <v>150</v>
          </cell>
        </row>
        <row r="1132">
          <cell r="D1132">
            <v>45776</v>
          </cell>
          <cell r="H1132">
            <v>5</v>
          </cell>
          <cell r="I1132">
            <v>0</v>
          </cell>
          <cell r="L1132">
            <v>175</v>
          </cell>
        </row>
        <row r="1133">
          <cell r="D1133">
            <v>45776</v>
          </cell>
          <cell r="H1133">
            <v>5</v>
          </cell>
          <cell r="I1133">
            <v>0</v>
          </cell>
          <cell r="L1133">
            <v>150</v>
          </cell>
        </row>
        <row r="1134">
          <cell r="D1134">
            <v>45776</v>
          </cell>
          <cell r="H1134">
            <v>5</v>
          </cell>
          <cell r="I1134">
            <v>0</v>
          </cell>
          <cell r="L1134">
            <v>25</v>
          </cell>
        </row>
        <row r="1135">
          <cell r="D1135">
            <v>45776</v>
          </cell>
          <cell r="H1135">
            <v>10</v>
          </cell>
          <cell r="I1135" t="str">
            <v>پیور</v>
          </cell>
          <cell r="L1135">
            <v>78.599999999999994</v>
          </cell>
        </row>
        <row r="1136">
          <cell r="D1136">
            <v>45776</v>
          </cell>
          <cell r="H1136">
            <v>5</v>
          </cell>
          <cell r="I1136">
            <v>0</v>
          </cell>
          <cell r="L1136">
            <v>150</v>
          </cell>
        </row>
        <row r="1137">
          <cell r="D1137">
            <v>45776</v>
          </cell>
          <cell r="H1137">
            <v>5</v>
          </cell>
          <cell r="I1137">
            <v>0</v>
          </cell>
          <cell r="L1137">
            <v>125</v>
          </cell>
        </row>
        <row r="1138">
          <cell r="D1138">
            <v>45776</v>
          </cell>
          <cell r="H1138">
            <v>5</v>
          </cell>
          <cell r="I1138">
            <v>0</v>
          </cell>
          <cell r="L1138">
            <v>25</v>
          </cell>
        </row>
        <row r="1139">
          <cell r="D1139">
            <v>45776</v>
          </cell>
          <cell r="H1139">
            <v>5</v>
          </cell>
          <cell r="I1139">
            <v>0</v>
          </cell>
          <cell r="L1139">
            <v>325</v>
          </cell>
        </row>
        <row r="1140">
          <cell r="D1140">
            <v>45776</v>
          </cell>
          <cell r="H1140">
            <v>5</v>
          </cell>
          <cell r="I1140">
            <v>0</v>
          </cell>
          <cell r="L1140">
            <v>75</v>
          </cell>
        </row>
        <row r="1141">
          <cell r="D1141">
            <v>45777</v>
          </cell>
          <cell r="H1141">
            <v>5</v>
          </cell>
          <cell r="I1141">
            <v>0</v>
          </cell>
          <cell r="L1141">
            <v>450</v>
          </cell>
        </row>
        <row r="1142">
          <cell r="D1142">
            <v>45777</v>
          </cell>
          <cell r="H1142">
            <v>5</v>
          </cell>
          <cell r="I1142">
            <v>0</v>
          </cell>
          <cell r="L1142">
            <v>250</v>
          </cell>
        </row>
        <row r="1143">
          <cell r="D1143">
            <v>45777</v>
          </cell>
          <cell r="H1143">
            <v>5</v>
          </cell>
          <cell r="I1143">
            <v>0</v>
          </cell>
          <cell r="L1143">
            <v>150</v>
          </cell>
        </row>
        <row r="1144">
          <cell r="D1144">
            <v>45777</v>
          </cell>
          <cell r="H1144">
            <v>5</v>
          </cell>
          <cell r="I1144">
            <v>0</v>
          </cell>
          <cell r="L1144">
            <v>200</v>
          </cell>
        </row>
        <row r="1145">
          <cell r="D1145">
            <v>45777</v>
          </cell>
          <cell r="H1145">
            <v>5</v>
          </cell>
          <cell r="I1145">
            <v>0</v>
          </cell>
          <cell r="L1145">
            <v>50</v>
          </cell>
        </row>
        <row r="1146">
          <cell r="D1146">
            <v>45777</v>
          </cell>
          <cell r="H1146">
            <v>5</v>
          </cell>
          <cell r="I1146">
            <v>0</v>
          </cell>
          <cell r="L1146">
            <v>200</v>
          </cell>
        </row>
        <row r="1147">
          <cell r="D1147">
            <v>45777</v>
          </cell>
          <cell r="H1147">
            <v>5</v>
          </cell>
          <cell r="I1147">
            <v>0</v>
          </cell>
          <cell r="L1147">
            <v>75</v>
          </cell>
        </row>
        <row r="1148">
          <cell r="D1148">
            <v>45777</v>
          </cell>
          <cell r="H1148">
            <v>5</v>
          </cell>
          <cell r="I1148">
            <v>0</v>
          </cell>
          <cell r="L1148">
            <v>325</v>
          </cell>
        </row>
        <row r="1149">
          <cell r="D1149">
            <v>45777</v>
          </cell>
          <cell r="H1149">
            <v>5</v>
          </cell>
          <cell r="I1149">
            <v>0</v>
          </cell>
          <cell r="L1149">
            <v>100</v>
          </cell>
        </row>
        <row r="1150">
          <cell r="D1150">
            <v>45777</v>
          </cell>
          <cell r="H1150">
            <v>5</v>
          </cell>
          <cell r="I1150">
            <v>0</v>
          </cell>
          <cell r="L1150">
            <v>150</v>
          </cell>
        </row>
        <row r="1151">
          <cell r="D1151">
            <v>45777</v>
          </cell>
          <cell r="H1151">
            <v>5</v>
          </cell>
          <cell r="I1151">
            <v>0</v>
          </cell>
          <cell r="L1151">
            <v>25</v>
          </cell>
        </row>
        <row r="1152">
          <cell r="D1152">
            <v>45777</v>
          </cell>
          <cell r="H1152">
            <v>5</v>
          </cell>
          <cell r="I1152">
            <v>0</v>
          </cell>
          <cell r="L1152">
            <v>325</v>
          </cell>
        </row>
        <row r="1153">
          <cell r="D1153">
            <v>45777</v>
          </cell>
          <cell r="H1153">
            <v>5</v>
          </cell>
          <cell r="I1153">
            <v>0</v>
          </cell>
          <cell r="L1153">
            <v>25</v>
          </cell>
        </row>
        <row r="1154">
          <cell r="D1154">
            <v>45777</v>
          </cell>
          <cell r="H1154">
            <v>0</v>
          </cell>
          <cell r="I1154">
            <v>0</v>
          </cell>
          <cell r="L1154">
            <v>100</v>
          </cell>
        </row>
        <row r="1155">
          <cell r="D1155">
            <v>45778</v>
          </cell>
          <cell r="H1155">
            <v>5</v>
          </cell>
          <cell r="I1155">
            <v>0</v>
          </cell>
          <cell r="L1155">
            <v>125</v>
          </cell>
        </row>
        <row r="1156">
          <cell r="D1156">
            <v>45778</v>
          </cell>
          <cell r="H1156">
            <v>5</v>
          </cell>
          <cell r="I1156">
            <v>0</v>
          </cell>
          <cell r="L1156">
            <v>150</v>
          </cell>
        </row>
        <row r="1157">
          <cell r="D1157">
            <v>45778</v>
          </cell>
          <cell r="H1157">
            <v>5</v>
          </cell>
          <cell r="I1157">
            <v>0</v>
          </cell>
          <cell r="L1157">
            <v>50</v>
          </cell>
        </row>
        <row r="1158">
          <cell r="D1158">
            <v>45778</v>
          </cell>
          <cell r="H1158">
            <v>5</v>
          </cell>
          <cell r="I1158">
            <v>0</v>
          </cell>
          <cell r="L1158">
            <v>300</v>
          </cell>
        </row>
        <row r="1159">
          <cell r="D1159">
            <v>45778</v>
          </cell>
          <cell r="H1159">
            <v>5</v>
          </cell>
          <cell r="I1159">
            <v>0</v>
          </cell>
          <cell r="L1159">
            <v>50</v>
          </cell>
        </row>
        <row r="1160">
          <cell r="D1160">
            <v>45778</v>
          </cell>
          <cell r="H1160">
            <v>5</v>
          </cell>
          <cell r="I1160">
            <v>0</v>
          </cell>
          <cell r="L1160">
            <v>200</v>
          </cell>
        </row>
        <row r="1161">
          <cell r="D1161">
            <v>45778</v>
          </cell>
          <cell r="H1161">
            <v>5</v>
          </cell>
          <cell r="I1161">
            <v>0</v>
          </cell>
          <cell r="L1161">
            <v>200</v>
          </cell>
        </row>
        <row r="1162">
          <cell r="D1162">
            <v>45778</v>
          </cell>
          <cell r="H1162">
            <v>5</v>
          </cell>
          <cell r="I1162">
            <v>0</v>
          </cell>
          <cell r="L1162">
            <v>100</v>
          </cell>
        </row>
        <row r="1163">
          <cell r="D1163">
            <v>45779</v>
          </cell>
          <cell r="H1163">
            <v>6</v>
          </cell>
          <cell r="I1163">
            <v>0</v>
          </cell>
          <cell r="L1163">
            <v>50</v>
          </cell>
        </row>
        <row r="1164">
          <cell r="D1164">
            <v>45779</v>
          </cell>
          <cell r="H1164">
            <v>6</v>
          </cell>
          <cell r="I1164">
            <v>0</v>
          </cell>
          <cell r="L1164">
            <v>50</v>
          </cell>
        </row>
        <row r="1165">
          <cell r="D1165">
            <v>45779</v>
          </cell>
          <cell r="H1165">
            <v>12</v>
          </cell>
          <cell r="I1165">
            <v>0</v>
          </cell>
          <cell r="L1165">
            <v>172.9</v>
          </cell>
        </row>
        <row r="1166">
          <cell r="D1166">
            <v>45779</v>
          </cell>
          <cell r="H1166">
            <v>12</v>
          </cell>
          <cell r="I1166">
            <v>0</v>
          </cell>
          <cell r="L1166">
            <v>172.1</v>
          </cell>
        </row>
        <row r="1167">
          <cell r="D1167">
            <v>45779</v>
          </cell>
          <cell r="H1167">
            <v>5</v>
          </cell>
          <cell r="I1167">
            <v>0</v>
          </cell>
          <cell r="L1167">
            <v>60</v>
          </cell>
        </row>
        <row r="1168">
          <cell r="D1168">
            <v>45779</v>
          </cell>
          <cell r="H1168">
            <v>5</v>
          </cell>
          <cell r="I1168">
            <v>0</v>
          </cell>
          <cell r="L1168">
            <v>150</v>
          </cell>
        </row>
        <row r="1169">
          <cell r="D1169">
            <v>45779</v>
          </cell>
          <cell r="H1169">
            <v>8</v>
          </cell>
          <cell r="I1169">
            <v>0</v>
          </cell>
          <cell r="L1169">
            <v>206.8</v>
          </cell>
        </row>
        <row r="1170">
          <cell r="D1170">
            <v>45779</v>
          </cell>
          <cell r="H1170">
            <v>8</v>
          </cell>
          <cell r="I1170">
            <v>0</v>
          </cell>
          <cell r="L1170">
            <v>125</v>
          </cell>
        </row>
        <row r="1171">
          <cell r="D1171">
            <v>45779</v>
          </cell>
          <cell r="H1171">
            <v>5</v>
          </cell>
          <cell r="I1171">
            <v>0</v>
          </cell>
          <cell r="L1171">
            <v>200</v>
          </cell>
        </row>
        <row r="1172">
          <cell r="D1172">
            <v>45779</v>
          </cell>
          <cell r="H1172">
            <v>5</v>
          </cell>
          <cell r="I1172">
            <v>0</v>
          </cell>
          <cell r="L1172">
            <v>75</v>
          </cell>
        </row>
        <row r="1173">
          <cell r="D1173">
            <v>45779</v>
          </cell>
          <cell r="H1173">
            <v>5</v>
          </cell>
          <cell r="I1173">
            <v>0</v>
          </cell>
          <cell r="L1173">
            <v>25</v>
          </cell>
        </row>
        <row r="1174">
          <cell r="D1174">
            <v>45779</v>
          </cell>
          <cell r="H1174">
            <v>15</v>
          </cell>
          <cell r="I1174">
            <v>0</v>
          </cell>
          <cell r="L1174">
            <v>122.5</v>
          </cell>
        </row>
        <row r="1175">
          <cell r="D1175">
            <v>45779</v>
          </cell>
          <cell r="H1175">
            <v>5</v>
          </cell>
          <cell r="I1175">
            <v>0</v>
          </cell>
          <cell r="L1175">
            <v>125</v>
          </cell>
        </row>
        <row r="1176">
          <cell r="D1176">
            <v>45779</v>
          </cell>
          <cell r="H1176">
            <v>5</v>
          </cell>
          <cell r="I1176">
            <v>0</v>
          </cell>
          <cell r="L1176">
            <v>50</v>
          </cell>
        </row>
        <row r="1177">
          <cell r="D1177">
            <v>45779</v>
          </cell>
          <cell r="H1177">
            <v>5</v>
          </cell>
          <cell r="I1177">
            <v>0</v>
          </cell>
          <cell r="L1177">
            <v>200</v>
          </cell>
        </row>
        <row r="1178">
          <cell r="D1178">
            <v>45779</v>
          </cell>
          <cell r="H1178">
            <v>5</v>
          </cell>
          <cell r="I1178">
            <v>0</v>
          </cell>
          <cell r="L1178">
            <v>25</v>
          </cell>
        </row>
        <row r="1179">
          <cell r="D1179">
            <v>45780</v>
          </cell>
          <cell r="H1179">
            <v>12</v>
          </cell>
          <cell r="I1179">
            <v>0</v>
          </cell>
          <cell r="L1179">
            <v>210.8</v>
          </cell>
        </row>
        <row r="1180">
          <cell r="D1180">
            <v>45780</v>
          </cell>
          <cell r="H1180">
            <v>8</v>
          </cell>
          <cell r="I1180">
            <v>0</v>
          </cell>
          <cell r="L1180">
            <v>214.1</v>
          </cell>
        </row>
        <row r="1181">
          <cell r="D1181">
            <v>45780</v>
          </cell>
          <cell r="H1181">
            <v>8</v>
          </cell>
          <cell r="I1181">
            <v>0</v>
          </cell>
          <cell r="L1181">
            <v>100</v>
          </cell>
        </row>
        <row r="1182">
          <cell r="D1182">
            <v>45780</v>
          </cell>
          <cell r="H1182">
            <v>12</v>
          </cell>
          <cell r="I1182">
            <v>0</v>
          </cell>
          <cell r="L1182">
            <v>211</v>
          </cell>
        </row>
        <row r="1183">
          <cell r="D1183">
            <v>45780</v>
          </cell>
          <cell r="H1183">
            <v>8</v>
          </cell>
          <cell r="I1183">
            <v>0</v>
          </cell>
          <cell r="L1183">
            <v>220.5</v>
          </cell>
        </row>
        <row r="1184">
          <cell r="D1184">
            <v>45780</v>
          </cell>
          <cell r="H1184">
            <v>8</v>
          </cell>
          <cell r="I1184">
            <v>0</v>
          </cell>
          <cell r="L1184">
            <v>80.7</v>
          </cell>
        </row>
        <row r="1185">
          <cell r="D1185">
            <v>45780</v>
          </cell>
          <cell r="H1185">
            <v>5</v>
          </cell>
          <cell r="I1185">
            <v>0</v>
          </cell>
          <cell r="L1185">
            <v>50</v>
          </cell>
        </row>
        <row r="1186">
          <cell r="D1186">
            <v>45780</v>
          </cell>
          <cell r="H1186">
            <v>5</v>
          </cell>
          <cell r="I1186">
            <v>0</v>
          </cell>
          <cell r="L1186">
            <v>200</v>
          </cell>
        </row>
        <row r="1187">
          <cell r="D1187">
            <v>45780</v>
          </cell>
          <cell r="H1187">
            <v>8</v>
          </cell>
          <cell r="I1187">
            <v>0</v>
          </cell>
          <cell r="L1187">
            <v>125</v>
          </cell>
        </row>
        <row r="1188">
          <cell r="D1188">
            <v>45780</v>
          </cell>
          <cell r="H1188">
            <v>5</v>
          </cell>
          <cell r="I1188">
            <v>0</v>
          </cell>
          <cell r="L1188">
            <v>250</v>
          </cell>
        </row>
        <row r="1189">
          <cell r="D1189">
            <v>45780</v>
          </cell>
          <cell r="H1189">
            <v>5</v>
          </cell>
          <cell r="I1189">
            <v>0</v>
          </cell>
          <cell r="L1189">
            <v>50</v>
          </cell>
        </row>
        <row r="1190">
          <cell r="D1190">
            <v>45780</v>
          </cell>
          <cell r="H1190">
            <v>5</v>
          </cell>
          <cell r="I1190">
            <v>0</v>
          </cell>
          <cell r="L1190">
            <v>200</v>
          </cell>
        </row>
        <row r="1191">
          <cell r="D1191">
            <v>45781</v>
          </cell>
          <cell r="H1191">
            <v>4.5</v>
          </cell>
          <cell r="I1191">
            <v>0</v>
          </cell>
          <cell r="L1191">
            <v>400</v>
          </cell>
        </row>
        <row r="1192">
          <cell r="D1192">
            <v>45781</v>
          </cell>
          <cell r="H1192">
            <v>8</v>
          </cell>
          <cell r="I1192">
            <v>0</v>
          </cell>
          <cell r="L1192">
            <v>103.9</v>
          </cell>
        </row>
        <row r="1193">
          <cell r="D1193">
            <v>45781</v>
          </cell>
          <cell r="H1193">
            <v>5</v>
          </cell>
          <cell r="I1193">
            <v>0</v>
          </cell>
          <cell r="L1193">
            <v>245</v>
          </cell>
        </row>
        <row r="1194">
          <cell r="D1194">
            <v>45782</v>
          </cell>
          <cell r="H1194">
            <v>8</v>
          </cell>
          <cell r="I1194">
            <v>0</v>
          </cell>
          <cell r="L1194">
            <v>77.400000000000006</v>
          </cell>
        </row>
        <row r="1195">
          <cell r="D1195">
            <v>45782</v>
          </cell>
          <cell r="H1195">
            <v>4.5</v>
          </cell>
          <cell r="I1195">
            <v>0</v>
          </cell>
          <cell r="L1195">
            <v>100</v>
          </cell>
        </row>
        <row r="1196">
          <cell r="D1196">
            <v>45782</v>
          </cell>
          <cell r="H1196">
            <v>4.5</v>
          </cell>
          <cell r="I1196">
            <v>0</v>
          </cell>
          <cell r="L1196">
            <v>50</v>
          </cell>
        </row>
        <row r="1197">
          <cell r="D1197">
            <v>45782</v>
          </cell>
          <cell r="H1197">
            <v>5</v>
          </cell>
          <cell r="I1197">
            <v>0</v>
          </cell>
          <cell r="L1197">
            <v>50</v>
          </cell>
        </row>
        <row r="1198">
          <cell r="D1198">
            <v>45782</v>
          </cell>
          <cell r="H1198">
            <v>5</v>
          </cell>
          <cell r="I1198">
            <v>0</v>
          </cell>
          <cell r="L1198">
            <v>100</v>
          </cell>
        </row>
        <row r="1199">
          <cell r="D1199">
            <v>45782</v>
          </cell>
          <cell r="H1199">
            <v>5</v>
          </cell>
          <cell r="I1199">
            <v>0</v>
          </cell>
          <cell r="L1199">
            <v>350</v>
          </cell>
        </row>
        <row r="1200">
          <cell r="D1200">
            <v>45783</v>
          </cell>
          <cell r="H1200">
            <v>5</v>
          </cell>
          <cell r="I1200">
            <v>0</v>
          </cell>
          <cell r="L1200">
            <v>200</v>
          </cell>
        </row>
        <row r="1201">
          <cell r="D1201">
            <v>45783</v>
          </cell>
          <cell r="H1201">
            <v>5</v>
          </cell>
          <cell r="I1201">
            <v>0</v>
          </cell>
          <cell r="L1201">
            <v>100</v>
          </cell>
        </row>
        <row r="1202">
          <cell r="D1202">
            <v>45783</v>
          </cell>
          <cell r="H1202">
            <v>5</v>
          </cell>
          <cell r="I1202">
            <v>0</v>
          </cell>
          <cell r="L1202">
            <v>100</v>
          </cell>
        </row>
        <row r="1203">
          <cell r="D1203">
            <v>45783</v>
          </cell>
          <cell r="H1203">
            <v>5</v>
          </cell>
          <cell r="I1203">
            <v>0</v>
          </cell>
          <cell r="L1203">
            <v>525</v>
          </cell>
        </row>
        <row r="1204">
          <cell r="D1204">
            <v>45784</v>
          </cell>
          <cell r="H1204">
            <v>5</v>
          </cell>
          <cell r="I1204">
            <v>0</v>
          </cell>
          <cell r="L1204">
            <v>100</v>
          </cell>
        </row>
        <row r="1205">
          <cell r="D1205">
            <v>45784</v>
          </cell>
          <cell r="H1205">
            <v>5</v>
          </cell>
          <cell r="I1205">
            <v>0</v>
          </cell>
          <cell r="L1205">
            <v>100</v>
          </cell>
        </row>
        <row r="1206">
          <cell r="D1206">
            <v>45784</v>
          </cell>
          <cell r="H1206">
            <v>4.5</v>
          </cell>
          <cell r="I1206">
            <v>0</v>
          </cell>
          <cell r="L1206">
            <v>100</v>
          </cell>
        </row>
        <row r="1207">
          <cell r="D1207">
            <v>45784</v>
          </cell>
          <cell r="H1207">
            <v>4.5</v>
          </cell>
          <cell r="I1207">
            <v>0</v>
          </cell>
          <cell r="L1207">
            <v>100</v>
          </cell>
        </row>
        <row r="1208">
          <cell r="D1208">
            <v>45784</v>
          </cell>
          <cell r="H1208">
            <v>4.5</v>
          </cell>
          <cell r="I1208">
            <v>0</v>
          </cell>
          <cell r="L1208">
            <v>100</v>
          </cell>
        </row>
        <row r="1209">
          <cell r="D1209">
            <v>45784</v>
          </cell>
          <cell r="H1209">
            <v>4.5</v>
          </cell>
          <cell r="I1209">
            <v>0</v>
          </cell>
          <cell r="L1209">
            <v>75</v>
          </cell>
        </row>
        <row r="1210">
          <cell r="D1210">
            <v>45784</v>
          </cell>
          <cell r="H1210">
            <v>4.5</v>
          </cell>
          <cell r="I1210">
            <v>0</v>
          </cell>
          <cell r="L1210">
            <v>100</v>
          </cell>
        </row>
        <row r="1211">
          <cell r="D1211">
            <v>45784</v>
          </cell>
          <cell r="H1211">
            <v>5</v>
          </cell>
          <cell r="I1211">
            <v>0</v>
          </cell>
          <cell r="L1211">
            <v>100</v>
          </cell>
        </row>
        <row r="1212">
          <cell r="D1212">
            <v>45784</v>
          </cell>
          <cell r="H1212">
            <v>5</v>
          </cell>
          <cell r="I1212">
            <v>0</v>
          </cell>
          <cell r="L1212">
            <v>280</v>
          </cell>
        </row>
        <row r="1213">
          <cell r="D1213">
            <v>45785</v>
          </cell>
          <cell r="H1213">
            <v>5</v>
          </cell>
          <cell r="I1213">
            <v>0</v>
          </cell>
          <cell r="L1213">
            <v>100</v>
          </cell>
        </row>
        <row r="1214">
          <cell r="D1214">
            <v>45785</v>
          </cell>
          <cell r="H1214">
            <v>4.5</v>
          </cell>
          <cell r="I1214">
            <v>0</v>
          </cell>
          <cell r="L1214">
            <v>100</v>
          </cell>
        </row>
        <row r="1215">
          <cell r="D1215">
            <v>45785</v>
          </cell>
          <cell r="H1215">
            <v>4.5</v>
          </cell>
          <cell r="I1215">
            <v>0</v>
          </cell>
          <cell r="L1215">
            <v>25</v>
          </cell>
        </row>
        <row r="1216">
          <cell r="D1216">
            <v>45785</v>
          </cell>
          <cell r="H1216">
            <v>5</v>
          </cell>
          <cell r="I1216">
            <v>0</v>
          </cell>
          <cell r="L1216">
            <v>150</v>
          </cell>
        </row>
        <row r="1217">
          <cell r="D1217">
            <v>45785</v>
          </cell>
          <cell r="H1217">
            <v>5</v>
          </cell>
          <cell r="I1217">
            <v>0</v>
          </cell>
          <cell r="L1217">
            <v>280</v>
          </cell>
        </row>
        <row r="1218">
          <cell r="D1218">
            <v>45785</v>
          </cell>
          <cell r="H1218">
            <v>5</v>
          </cell>
          <cell r="I1218">
            <v>0</v>
          </cell>
          <cell r="L1218">
            <v>200</v>
          </cell>
        </row>
        <row r="1219">
          <cell r="D1219">
            <v>45785</v>
          </cell>
          <cell r="H1219">
            <v>5</v>
          </cell>
          <cell r="I1219">
            <v>0</v>
          </cell>
          <cell r="L1219">
            <v>75</v>
          </cell>
        </row>
        <row r="1220">
          <cell r="D1220">
            <v>45785</v>
          </cell>
          <cell r="H1220">
            <v>5</v>
          </cell>
          <cell r="I1220">
            <v>0</v>
          </cell>
          <cell r="L1220">
            <v>50</v>
          </cell>
        </row>
        <row r="1221">
          <cell r="D1221">
            <v>45785</v>
          </cell>
          <cell r="H1221">
            <v>5</v>
          </cell>
          <cell r="I1221">
            <v>0</v>
          </cell>
          <cell r="L1221">
            <v>125</v>
          </cell>
        </row>
        <row r="1222">
          <cell r="D1222">
            <v>45786</v>
          </cell>
          <cell r="H1222">
            <v>5</v>
          </cell>
          <cell r="I1222">
            <v>0</v>
          </cell>
          <cell r="L1222">
            <v>125</v>
          </cell>
        </row>
        <row r="1223">
          <cell r="D1223">
            <v>45786</v>
          </cell>
          <cell r="H1223">
            <v>5</v>
          </cell>
          <cell r="I1223">
            <v>0</v>
          </cell>
          <cell r="L1223">
            <v>100</v>
          </cell>
        </row>
        <row r="1224">
          <cell r="D1224">
            <v>45786</v>
          </cell>
          <cell r="H1224">
            <v>5</v>
          </cell>
          <cell r="I1224">
            <v>0</v>
          </cell>
          <cell r="L1224">
            <v>50</v>
          </cell>
        </row>
        <row r="1225">
          <cell r="D1225">
            <v>45786</v>
          </cell>
          <cell r="H1225">
            <v>5</v>
          </cell>
          <cell r="I1225">
            <v>0</v>
          </cell>
          <cell r="L1225">
            <v>150</v>
          </cell>
        </row>
        <row r="1226">
          <cell r="D1226">
            <v>45786</v>
          </cell>
          <cell r="H1226">
            <v>5</v>
          </cell>
          <cell r="I1226">
            <v>0</v>
          </cell>
          <cell r="L1226">
            <v>150</v>
          </cell>
        </row>
        <row r="1227">
          <cell r="D1227">
            <v>45786</v>
          </cell>
          <cell r="H1227">
            <v>5</v>
          </cell>
          <cell r="I1227">
            <v>0</v>
          </cell>
          <cell r="L1227">
            <v>200</v>
          </cell>
        </row>
        <row r="1228">
          <cell r="D1228">
            <v>45786</v>
          </cell>
          <cell r="H1228">
            <v>5</v>
          </cell>
          <cell r="I1228">
            <v>0</v>
          </cell>
          <cell r="L1228">
            <v>140</v>
          </cell>
        </row>
        <row r="1229">
          <cell r="D1229">
            <v>45786</v>
          </cell>
          <cell r="H1229">
            <v>5</v>
          </cell>
          <cell r="I1229">
            <v>0</v>
          </cell>
          <cell r="L1229">
            <v>250</v>
          </cell>
        </row>
        <row r="1230">
          <cell r="D1230">
            <v>45786</v>
          </cell>
          <cell r="H1230">
            <v>5</v>
          </cell>
          <cell r="I1230">
            <v>0</v>
          </cell>
          <cell r="L1230">
            <v>225</v>
          </cell>
        </row>
        <row r="1231">
          <cell r="D1231">
            <v>45786</v>
          </cell>
          <cell r="H1231">
            <v>5</v>
          </cell>
          <cell r="I1231">
            <v>0</v>
          </cell>
          <cell r="L1231">
            <v>75</v>
          </cell>
        </row>
        <row r="1232">
          <cell r="D1232">
            <v>45787</v>
          </cell>
          <cell r="H1232">
            <v>5</v>
          </cell>
          <cell r="I1232">
            <v>0</v>
          </cell>
          <cell r="L1232">
            <v>425</v>
          </cell>
        </row>
        <row r="1233">
          <cell r="D1233">
            <v>45787</v>
          </cell>
          <cell r="H1233">
            <v>5</v>
          </cell>
          <cell r="I1233">
            <v>0</v>
          </cell>
          <cell r="L1233">
            <v>25</v>
          </cell>
        </row>
        <row r="1234">
          <cell r="D1234">
            <v>45787</v>
          </cell>
          <cell r="H1234">
            <v>5</v>
          </cell>
          <cell r="I1234">
            <v>0</v>
          </cell>
          <cell r="L1234">
            <v>75</v>
          </cell>
        </row>
        <row r="1235">
          <cell r="D1235">
            <v>45787</v>
          </cell>
          <cell r="H1235">
            <v>5</v>
          </cell>
          <cell r="I1235">
            <v>0</v>
          </cell>
          <cell r="L1235">
            <v>150</v>
          </cell>
        </row>
        <row r="1236">
          <cell r="D1236">
            <v>45787</v>
          </cell>
          <cell r="H1236">
            <v>5</v>
          </cell>
          <cell r="I1236">
            <v>0</v>
          </cell>
          <cell r="L1236">
            <v>125</v>
          </cell>
        </row>
        <row r="1237">
          <cell r="D1237">
            <v>45787</v>
          </cell>
          <cell r="H1237">
            <v>5</v>
          </cell>
          <cell r="I1237">
            <v>0</v>
          </cell>
          <cell r="L1237">
            <v>150</v>
          </cell>
        </row>
        <row r="1238">
          <cell r="D1238">
            <v>45787</v>
          </cell>
          <cell r="H1238">
            <v>5</v>
          </cell>
          <cell r="I1238">
            <v>0</v>
          </cell>
          <cell r="L1238">
            <v>325</v>
          </cell>
        </row>
        <row r="1239">
          <cell r="D1239">
            <v>45789</v>
          </cell>
          <cell r="H1239">
            <v>5</v>
          </cell>
          <cell r="I1239">
            <v>0</v>
          </cell>
          <cell r="L1239">
            <v>300</v>
          </cell>
        </row>
        <row r="1240">
          <cell r="D1240">
            <v>45789</v>
          </cell>
          <cell r="H1240">
            <v>5</v>
          </cell>
          <cell r="I1240">
            <v>0</v>
          </cell>
          <cell r="L1240">
            <v>150</v>
          </cell>
        </row>
        <row r="1241">
          <cell r="D1241">
            <v>45789</v>
          </cell>
          <cell r="H1241">
            <v>5</v>
          </cell>
          <cell r="I1241">
            <v>0</v>
          </cell>
          <cell r="L1241">
            <v>250</v>
          </cell>
        </row>
        <row r="1242">
          <cell r="D1242">
            <v>45789</v>
          </cell>
          <cell r="H1242">
            <v>5</v>
          </cell>
          <cell r="I1242">
            <v>0</v>
          </cell>
          <cell r="L1242">
            <v>50</v>
          </cell>
        </row>
        <row r="1243">
          <cell r="D1243">
            <v>45789</v>
          </cell>
          <cell r="H1243">
            <v>5</v>
          </cell>
          <cell r="I1243">
            <v>0</v>
          </cell>
          <cell r="L1243">
            <v>50</v>
          </cell>
        </row>
        <row r="1244">
          <cell r="D1244">
            <v>45789</v>
          </cell>
          <cell r="H1244">
            <v>5</v>
          </cell>
          <cell r="I1244">
            <v>0</v>
          </cell>
          <cell r="L1244">
            <v>225</v>
          </cell>
        </row>
        <row r="1245">
          <cell r="D1245">
            <v>45790</v>
          </cell>
          <cell r="H1245">
            <v>5</v>
          </cell>
          <cell r="I1245">
            <v>0</v>
          </cell>
          <cell r="L1245">
            <v>75</v>
          </cell>
        </row>
        <row r="1246">
          <cell r="D1246">
            <v>45790</v>
          </cell>
          <cell r="H1246">
            <v>5</v>
          </cell>
          <cell r="I1246">
            <v>0</v>
          </cell>
          <cell r="L1246">
            <v>420</v>
          </cell>
        </row>
        <row r="1247">
          <cell r="D1247">
            <v>45790</v>
          </cell>
          <cell r="H1247">
            <v>5</v>
          </cell>
          <cell r="I1247">
            <v>0</v>
          </cell>
          <cell r="L1247">
            <v>300</v>
          </cell>
        </row>
        <row r="1248">
          <cell r="D1248">
            <v>45790</v>
          </cell>
          <cell r="H1248">
            <v>5</v>
          </cell>
          <cell r="I1248">
            <v>0</v>
          </cell>
          <cell r="L1248">
            <v>25</v>
          </cell>
        </row>
        <row r="1249">
          <cell r="D1249">
            <v>45790</v>
          </cell>
          <cell r="H1249">
            <v>5</v>
          </cell>
          <cell r="I1249">
            <v>0</v>
          </cell>
          <cell r="L1249">
            <v>250</v>
          </cell>
        </row>
        <row r="1250">
          <cell r="D1250">
            <v>45790</v>
          </cell>
          <cell r="H1250">
            <v>5</v>
          </cell>
          <cell r="I1250">
            <v>0</v>
          </cell>
          <cell r="L1250">
            <v>250</v>
          </cell>
        </row>
        <row r="1251">
          <cell r="D1251">
            <v>45790</v>
          </cell>
          <cell r="H1251">
            <v>5</v>
          </cell>
          <cell r="I1251">
            <v>0</v>
          </cell>
          <cell r="L1251">
            <v>200</v>
          </cell>
        </row>
        <row r="1252">
          <cell r="D1252">
            <v>45791</v>
          </cell>
          <cell r="H1252">
            <v>5</v>
          </cell>
          <cell r="I1252">
            <v>0</v>
          </cell>
          <cell r="L1252">
            <v>325</v>
          </cell>
        </row>
        <row r="1253">
          <cell r="D1253">
            <v>45791</v>
          </cell>
          <cell r="H1253">
            <v>5</v>
          </cell>
          <cell r="I1253">
            <v>0</v>
          </cell>
          <cell r="L1253">
            <v>25</v>
          </cell>
        </row>
        <row r="1254">
          <cell r="D1254">
            <v>45791</v>
          </cell>
          <cell r="H1254">
            <v>5</v>
          </cell>
          <cell r="I1254">
            <v>0</v>
          </cell>
          <cell r="L1254">
            <v>280</v>
          </cell>
        </row>
        <row r="1255">
          <cell r="D1255">
            <v>45791</v>
          </cell>
          <cell r="H1255">
            <v>5</v>
          </cell>
          <cell r="I1255">
            <v>0</v>
          </cell>
          <cell r="L1255">
            <v>420</v>
          </cell>
        </row>
        <row r="1256">
          <cell r="D1256">
            <v>45791</v>
          </cell>
          <cell r="H1256">
            <v>5</v>
          </cell>
          <cell r="I1256">
            <v>0</v>
          </cell>
          <cell r="L1256">
            <v>50</v>
          </cell>
        </row>
        <row r="1257">
          <cell r="D1257">
            <v>45791</v>
          </cell>
          <cell r="H1257">
            <v>5</v>
          </cell>
          <cell r="I1257">
            <v>0</v>
          </cell>
          <cell r="L1257">
            <v>300</v>
          </cell>
        </row>
        <row r="1258">
          <cell r="D1258">
            <v>45792</v>
          </cell>
          <cell r="H1258">
            <v>5</v>
          </cell>
          <cell r="I1258">
            <v>0</v>
          </cell>
          <cell r="L1258">
            <v>200</v>
          </cell>
        </row>
        <row r="1259">
          <cell r="D1259">
            <v>45792</v>
          </cell>
          <cell r="H1259">
            <v>5</v>
          </cell>
          <cell r="I1259">
            <v>0</v>
          </cell>
          <cell r="L1259">
            <v>175</v>
          </cell>
        </row>
        <row r="1260">
          <cell r="D1260">
            <v>45792</v>
          </cell>
          <cell r="H1260">
            <v>5</v>
          </cell>
          <cell r="I1260">
            <v>0</v>
          </cell>
          <cell r="L1260">
            <v>100</v>
          </cell>
        </row>
        <row r="1261">
          <cell r="D1261">
            <v>45792</v>
          </cell>
          <cell r="H1261">
            <v>5</v>
          </cell>
          <cell r="I1261">
            <v>0</v>
          </cell>
          <cell r="L1261">
            <v>60</v>
          </cell>
        </row>
        <row r="1262">
          <cell r="D1262">
            <v>45792</v>
          </cell>
          <cell r="H1262">
            <v>5</v>
          </cell>
          <cell r="I1262">
            <v>0</v>
          </cell>
          <cell r="L1262">
            <v>75</v>
          </cell>
        </row>
        <row r="1263">
          <cell r="D1263">
            <v>45792</v>
          </cell>
          <cell r="H1263">
            <v>5</v>
          </cell>
          <cell r="I1263">
            <v>0</v>
          </cell>
          <cell r="L1263">
            <v>50</v>
          </cell>
        </row>
        <row r="1264">
          <cell r="D1264">
            <v>45792</v>
          </cell>
          <cell r="H1264">
            <v>5</v>
          </cell>
          <cell r="I1264">
            <v>0</v>
          </cell>
          <cell r="L1264">
            <v>100</v>
          </cell>
        </row>
        <row r="1265">
          <cell r="D1265">
            <v>45792</v>
          </cell>
          <cell r="H1265">
            <v>8</v>
          </cell>
          <cell r="I1265">
            <v>0</v>
          </cell>
          <cell r="L1265">
            <v>200</v>
          </cell>
        </row>
        <row r="1266">
          <cell r="D1266">
            <v>45792</v>
          </cell>
          <cell r="H1266">
            <v>5</v>
          </cell>
          <cell r="I1266">
            <v>0</v>
          </cell>
          <cell r="L1266">
            <v>125</v>
          </cell>
        </row>
        <row r="1267">
          <cell r="D1267">
            <v>45792</v>
          </cell>
          <cell r="H1267">
            <v>5</v>
          </cell>
          <cell r="I1267">
            <v>0</v>
          </cell>
          <cell r="L1267">
            <v>25</v>
          </cell>
        </row>
        <row r="1268">
          <cell r="D1268">
            <v>45792</v>
          </cell>
          <cell r="H1268">
            <v>5</v>
          </cell>
          <cell r="I1268">
            <v>0</v>
          </cell>
          <cell r="L1268">
            <v>275</v>
          </cell>
        </row>
        <row r="1269">
          <cell r="D1269">
            <v>45792</v>
          </cell>
          <cell r="H1269">
            <v>5</v>
          </cell>
          <cell r="I1269">
            <v>0</v>
          </cell>
          <cell r="L1269">
            <v>105</v>
          </cell>
        </row>
        <row r="1270">
          <cell r="D1270">
            <v>45793</v>
          </cell>
          <cell r="H1270">
            <v>8</v>
          </cell>
          <cell r="I1270">
            <v>0</v>
          </cell>
          <cell r="L1270">
            <v>225</v>
          </cell>
        </row>
        <row r="1271">
          <cell r="D1271">
            <v>45793</v>
          </cell>
          <cell r="H1271">
            <v>6</v>
          </cell>
          <cell r="I1271">
            <v>0</v>
          </cell>
          <cell r="L1271">
            <v>175</v>
          </cell>
        </row>
        <row r="1272">
          <cell r="D1272">
            <v>45793</v>
          </cell>
          <cell r="H1272" t="str">
            <v>5-5.5</v>
          </cell>
          <cell r="I1272">
            <v>0</v>
          </cell>
          <cell r="L1272">
            <v>50</v>
          </cell>
        </row>
        <row r="1273">
          <cell r="D1273">
            <v>45793</v>
          </cell>
          <cell r="H1273">
            <v>5</v>
          </cell>
          <cell r="I1273">
            <v>0</v>
          </cell>
          <cell r="L1273">
            <v>225</v>
          </cell>
        </row>
        <row r="1274">
          <cell r="D1274">
            <v>45793</v>
          </cell>
          <cell r="H1274">
            <v>6</v>
          </cell>
          <cell r="I1274">
            <v>0</v>
          </cell>
          <cell r="L1274">
            <v>50</v>
          </cell>
        </row>
        <row r="1275">
          <cell r="D1275">
            <v>45793</v>
          </cell>
          <cell r="H1275">
            <v>5</v>
          </cell>
          <cell r="I1275">
            <v>0</v>
          </cell>
          <cell r="L1275">
            <v>350</v>
          </cell>
        </row>
        <row r="1276">
          <cell r="D1276">
            <v>45793</v>
          </cell>
          <cell r="H1276">
            <v>6</v>
          </cell>
          <cell r="I1276">
            <v>0</v>
          </cell>
          <cell r="L1276">
            <v>50</v>
          </cell>
        </row>
        <row r="1277">
          <cell r="D1277">
            <v>45793</v>
          </cell>
          <cell r="H1277">
            <v>6</v>
          </cell>
          <cell r="I1277">
            <v>0</v>
          </cell>
          <cell r="L1277">
            <v>25</v>
          </cell>
        </row>
        <row r="1278">
          <cell r="D1278">
            <v>45793</v>
          </cell>
          <cell r="H1278">
            <v>5</v>
          </cell>
          <cell r="I1278">
            <v>0</v>
          </cell>
          <cell r="L1278">
            <v>420</v>
          </cell>
        </row>
        <row r="1279">
          <cell r="D1279">
            <v>45793</v>
          </cell>
          <cell r="H1279">
            <v>5</v>
          </cell>
          <cell r="I1279">
            <v>0</v>
          </cell>
          <cell r="L1279">
            <v>250</v>
          </cell>
        </row>
        <row r="1280">
          <cell r="D1280">
            <v>45794</v>
          </cell>
          <cell r="H1280">
            <v>15</v>
          </cell>
          <cell r="I1280">
            <v>0</v>
          </cell>
          <cell r="L1280">
            <v>128.80000000000001</v>
          </cell>
        </row>
        <row r="1281">
          <cell r="D1281">
            <v>45794</v>
          </cell>
          <cell r="H1281">
            <v>5</v>
          </cell>
          <cell r="I1281">
            <v>0</v>
          </cell>
          <cell r="L1281">
            <v>25</v>
          </cell>
        </row>
        <row r="1282">
          <cell r="D1282">
            <v>45794</v>
          </cell>
          <cell r="H1282" t="str">
            <v>010-011</v>
          </cell>
          <cell r="I1282">
            <v>0</v>
          </cell>
          <cell r="L1282">
            <v>75</v>
          </cell>
        </row>
        <row r="1283">
          <cell r="D1283">
            <v>45794</v>
          </cell>
          <cell r="H1283">
            <v>5</v>
          </cell>
          <cell r="I1283">
            <v>0</v>
          </cell>
          <cell r="L1283">
            <v>75</v>
          </cell>
        </row>
        <row r="1284">
          <cell r="D1284">
            <v>45794</v>
          </cell>
          <cell r="H1284">
            <v>5</v>
          </cell>
          <cell r="I1284">
            <v>0</v>
          </cell>
          <cell r="L1284">
            <v>25</v>
          </cell>
        </row>
        <row r="1285">
          <cell r="D1285">
            <v>45794</v>
          </cell>
          <cell r="H1285">
            <v>5</v>
          </cell>
          <cell r="I1285">
            <v>0</v>
          </cell>
          <cell r="L1285">
            <v>275</v>
          </cell>
        </row>
        <row r="1286">
          <cell r="D1286">
            <v>45794</v>
          </cell>
          <cell r="H1286">
            <v>5</v>
          </cell>
          <cell r="I1286">
            <v>0</v>
          </cell>
          <cell r="L1286">
            <v>175</v>
          </cell>
        </row>
        <row r="1287">
          <cell r="D1287">
            <v>45794</v>
          </cell>
          <cell r="H1287">
            <v>4.5</v>
          </cell>
          <cell r="I1287">
            <v>0</v>
          </cell>
          <cell r="L1287">
            <v>150</v>
          </cell>
        </row>
        <row r="1288">
          <cell r="D1288">
            <v>45794</v>
          </cell>
          <cell r="H1288">
            <v>5</v>
          </cell>
          <cell r="I1288">
            <v>0</v>
          </cell>
          <cell r="L1288">
            <v>50</v>
          </cell>
        </row>
        <row r="1289">
          <cell r="D1289">
            <v>45794</v>
          </cell>
          <cell r="H1289">
            <v>5</v>
          </cell>
          <cell r="I1289">
            <v>0</v>
          </cell>
          <cell r="L1289">
            <v>100</v>
          </cell>
        </row>
        <row r="1290">
          <cell r="D1290">
            <v>45794</v>
          </cell>
          <cell r="H1290">
            <v>5</v>
          </cell>
          <cell r="I1290">
            <v>0</v>
          </cell>
          <cell r="L1290">
            <v>325</v>
          </cell>
        </row>
        <row r="1291">
          <cell r="D1291">
            <v>45794</v>
          </cell>
          <cell r="H1291">
            <v>5</v>
          </cell>
          <cell r="I1291">
            <v>0</v>
          </cell>
          <cell r="L1291">
            <v>350</v>
          </cell>
        </row>
        <row r="1292">
          <cell r="D1292">
            <v>45794</v>
          </cell>
          <cell r="H1292">
            <v>5</v>
          </cell>
          <cell r="I1292">
            <v>0</v>
          </cell>
          <cell r="L1292">
            <v>250</v>
          </cell>
        </row>
        <row r="1293">
          <cell r="D1293">
            <v>45795</v>
          </cell>
          <cell r="H1293">
            <v>5</v>
          </cell>
          <cell r="I1293">
            <v>0</v>
          </cell>
          <cell r="L1293">
            <v>200</v>
          </cell>
        </row>
        <row r="1294">
          <cell r="D1294">
            <v>45795</v>
          </cell>
          <cell r="H1294">
            <v>5</v>
          </cell>
          <cell r="I1294" t="str">
            <v>-</v>
          </cell>
          <cell r="L1294">
            <v>100</v>
          </cell>
        </row>
        <row r="1295">
          <cell r="D1295">
            <v>45795</v>
          </cell>
          <cell r="H1295" t="str">
            <v>010-011</v>
          </cell>
          <cell r="I1295">
            <v>0</v>
          </cell>
          <cell r="L1295">
            <v>100</v>
          </cell>
        </row>
        <row r="1296">
          <cell r="D1296">
            <v>45795</v>
          </cell>
          <cell r="H1296">
            <v>5</v>
          </cell>
          <cell r="I1296">
            <v>0</v>
          </cell>
          <cell r="L1296">
            <v>50</v>
          </cell>
        </row>
        <row r="1297">
          <cell r="D1297">
            <v>45796</v>
          </cell>
          <cell r="H1297" t="str">
            <v>6-6.5</v>
          </cell>
          <cell r="I1297">
            <v>0</v>
          </cell>
          <cell r="L1297">
            <v>587.29999999999995</v>
          </cell>
        </row>
        <row r="1298">
          <cell r="D1298">
            <v>45796</v>
          </cell>
          <cell r="H1298">
            <v>5</v>
          </cell>
          <cell r="I1298">
            <v>0</v>
          </cell>
          <cell r="L1298">
            <v>175</v>
          </cell>
        </row>
        <row r="1299">
          <cell r="D1299">
            <v>45796</v>
          </cell>
          <cell r="H1299">
            <v>5</v>
          </cell>
          <cell r="I1299">
            <v>0</v>
          </cell>
          <cell r="L1299">
            <v>150</v>
          </cell>
        </row>
        <row r="1300">
          <cell r="D1300">
            <v>45796</v>
          </cell>
          <cell r="H1300">
            <v>5</v>
          </cell>
          <cell r="I1300">
            <v>0</v>
          </cell>
          <cell r="L1300">
            <v>245</v>
          </cell>
        </row>
        <row r="1301">
          <cell r="D1301">
            <v>45796</v>
          </cell>
          <cell r="H1301">
            <v>5</v>
          </cell>
          <cell r="I1301">
            <v>0</v>
          </cell>
          <cell r="L1301">
            <v>175</v>
          </cell>
        </row>
        <row r="1302">
          <cell r="D1302">
            <v>45796</v>
          </cell>
          <cell r="H1302">
            <v>5</v>
          </cell>
          <cell r="I1302">
            <v>0</v>
          </cell>
          <cell r="L1302">
            <v>250</v>
          </cell>
        </row>
        <row r="1303">
          <cell r="D1303">
            <v>45796</v>
          </cell>
          <cell r="H1303">
            <v>5</v>
          </cell>
          <cell r="I1303">
            <v>0</v>
          </cell>
          <cell r="L1303">
            <v>75</v>
          </cell>
        </row>
        <row r="1304">
          <cell r="D1304">
            <v>45796</v>
          </cell>
          <cell r="H1304">
            <v>8</v>
          </cell>
          <cell r="I1304">
            <v>0</v>
          </cell>
          <cell r="L1304">
            <v>475</v>
          </cell>
        </row>
        <row r="1305">
          <cell r="D1305">
            <v>45796</v>
          </cell>
          <cell r="H1305">
            <v>5</v>
          </cell>
          <cell r="I1305">
            <v>0</v>
          </cell>
          <cell r="L1305">
            <v>25</v>
          </cell>
        </row>
        <row r="1306">
          <cell r="D1306">
            <v>45797</v>
          </cell>
          <cell r="H1306" t="str">
            <v>5-5.5</v>
          </cell>
          <cell r="I1306">
            <v>0</v>
          </cell>
          <cell r="L1306">
            <v>50</v>
          </cell>
        </row>
        <row r="1307">
          <cell r="D1307">
            <v>45797</v>
          </cell>
          <cell r="H1307">
            <v>5</v>
          </cell>
          <cell r="I1307">
            <v>0</v>
          </cell>
          <cell r="L1307">
            <v>50</v>
          </cell>
        </row>
        <row r="1308">
          <cell r="D1308">
            <v>45797</v>
          </cell>
          <cell r="H1308">
            <v>5</v>
          </cell>
          <cell r="I1308">
            <v>0</v>
          </cell>
          <cell r="L1308">
            <v>250</v>
          </cell>
        </row>
        <row r="1309">
          <cell r="D1309">
            <v>45797</v>
          </cell>
          <cell r="H1309">
            <v>5</v>
          </cell>
          <cell r="I1309">
            <v>0</v>
          </cell>
          <cell r="L1309">
            <v>450</v>
          </cell>
        </row>
        <row r="1310">
          <cell r="D1310">
            <v>45797</v>
          </cell>
          <cell r="H1310">
            <v>5</v>
          </cell>
          <cell r="I1310">
            <v>0</v>
          </cell>
          <cell r="L1310">
            <v>250</v>
          </cell>
        </row>
        <row r="1311">
          <cell r="D1311">
            <v>45797</v>
          </cell>
          <cell r="H1311">
            <v>5</v>
          </cell>
          <cell r="I1311">
            <v>0</v>
          </cell>
          <cell r="L1311">
            <v>100</v>
          </cell>
        </row>
        <row r="1312">
          <cell r="D1312">
            <v>45797</v>
          </cell>
          <cell r="H1312">
            <v>5</v>
          </cell>
          <cell r="I1312">
            <v>0</v>
          </cell>
          <cell r="L1312">
            <v>225</v>
          </cell>
        </row>
        <row r="1313">
          <cell r="D1313">
            <v>45797</v>
          </cell>
          <cell r="H1313">
            <v>5</v>
          </cell>
          <cell r="I1313">
            <v>0</v>
          </cell>
          <cell r="L1313">
            <v>200</v>
          </cell>
        </row>
        <row r="1314">
          <cell r="D1314">
            <v>45797</v>
          </cell>
          <cell r="H1314">
            <v>8</v>
          </cell>
          <cell r="I1314">
            <v>0</v>
          </cell>
          <cell r="L1314">
            <v>575</v>
          </cell>
        </row>
        <row r="1315">
          <cell r="D1315">
            <v>45798</v>
          </cell>
          <cell r="H1315">
            <v>5</v>
          </cell>
          <cell r="I1315">
            <v>0</v>
          </cell>
          <cell r="L1315">
            <v>140</v>
          </cell>
        </row>
        <row r="1316">
          <cell r="D1316">
            <v>45798</v>
          </cell>
          <cell r="H1316">
            <v>5</v>
          </cell>
          <cell r="I1316">
            <v>0</v>
          </cell>
          <cell r="L1316">
            <v>490</v>
          </cell>
        </row>
        <row r="1317">
          <cell r="D1317">
            <v>45798</v>
          </cell>
          <cell r="H1317">
            <v>5</v>
          </cell>
          <cell r="I1317">
            <v>0</v>
          </cell>
          <cell r="L1317">
            <v>50</v>
          </cell>
        </row>
        <row r="1318">
          <cell r="D1318">
            <v>45798</v>
          </cell>
          <cell r="H1318">
            <v>10</v>
          </cell>
          <cell r="I1318">
            <v>0</v>
          </cell>
          <cell r="L1318">
            <v>275</v>
          </cell>
        </row>
        <row r="1319">
          <cell r="D1319">
            <v>45798</v>
          </cell>
          <cell r="H1319">
            <v>4.5</v>
          </cell>
          <cell r="I1319">
            <v>0</v>
          </cell>
          <cell r="L1319">
            <v>300</v>
          </cell>
        </row>
        <row r="1320">
          <cell r="D1320">
            <v>45798</v>
          </cell>
          <cell r="H1320">
            <v>5</v>
          </cell>
          <cell r="I1320">
            <v>0</v>
          </cell>
          <cell r="L1320">
            <v>125</v>
          </cell>
        </row>
        <row r="1321">
          <cell r="D1321">
            <v>45798</v>
          </cell>
          <cell r="H1321">
            <v>5</v>
          </cell>
          <cell r="I1321">
            <v>0</v>
          </cell>
          <cell r="L1321">
            <v>375</v>
          </cell>
        </row>
        <row r="1322">
          <cell r="D1322">
            <v>45798</v>
          </cell>
          <cell r="H1322">
            <v>5</v>
          </cell>
          <cell r="I1322">
            <v>0</v>
          </cell>
          <cell r="L1322">
            <v>25</v>
          </cell>
        </row>
        <row r="1323">
          <cell r="D1323">
            <v>45798</v>
          </cell>
          <cell r="H1323">
            <v>5</v>
          </cell>
          <cell r="I1323">
            <v>0</v>
          </cell>
          <cell r="L1323">
            <v>50</v>
          </cell>
        </row>
        <row r="1324">
          <cell r="D1324">
            <v>45799</v>
          </cell>
          <cell r="H1324">
            <v>5</v>
          </cell>
          <cell r="I1324">
            <v>0</v>
          </cell>
          <cell r="L1324">
            <v>325</v>
          </cell>
        </row>
        <row r="1325">
          <cell r="D1325">
            <v>45799</v>
          </cell>
          <cell r="H1325">
            <v>4.5</v>
          </cell>
          <cell r="I1325">
            <v>0</v>
          </cell>
          <cell r="L1325">
            <v>75</v>
          </cell>
        </row>
        <row r="1326">
          <cell r="D1326">
            <v>45799</v>
          </cell>
          <cell r="H1326">
            <v>5</v>
          </cell>
          <cell r="I1326">
            <v>0</v>
          </cell>
          <cell r="L1326">
            <v>50</v>
          </cell>
        </row>
        <row r="1327">
          <cell r="D1327">
            <v>45799</v>
          </cell>
          <cell r="H1327" t="str">
            <v>5-5.5</v>
          </cell>
          <cell r="I1327">
            <v>0</v>
          </cell>
          <cell r="L1327">
            <v>25</v>
          </cell>
        </row>
        <row r="1328">
          <cell r="D1328">
            <v>45799</v>
          </cell>
          <cell r="H1328">
            <v>5</v>
          </cell>
          <cell r="I1328">
            <v>0</v>
          </cell>
          <cell r="L1328">
            <v>25</v>
          </cell>
        </row>
        <row r="1329">
          <cell r="D1329">
            <v>45799</v>
          </cell>
          <cell r="H1329">
            <v>5</v>
          </cell>
          <cell r="I1329">
            <v>0</v>
          </cell>
          <cell r="L1329">
            <v>245</v>
          </cell>
        </row>
        <row r="1330">
          <cell r="D1330">
            <v>45799</v>
          </cell>
          <cell r="H1330">
            <v>5</v>
          </cell>
          <cell r="I1330">
            <v>0</v>
          </cell>
          <cell r="L1330">
            <v>70</v>
          </cell>
        </row>
        <row r="1331">
          <cell r="D1331">
            <v>45799</v>
          </cell>
          <cell r="H1331">
            <v>5</v>
          </cell>
          <cell r="I1331">
            <v>0</v>
          </cell>
          <cell r="L1331">
            <v>400</v>
          </cell>
        </row>
        <row r="1332">
          <cell r="D1332">
            <v>45799</v>
          </cell>
          <cell r="H1332">
            <v>5</v>
          </cell>
          <cell r="I1332">
            <v>0</v>
          </cell>
          <cell r="L1332">
            <v>200</v>
          </cell>
        </row>
        <row r="1333">
          <cell r="D1333">
            <v>45799</v>
          </cell>
          <cell r="H1333">
            <v>10</v>
          </cell>
          <cell r="I1333">
            <v>0</v>
          </cell>
          <cell r="L1333">
            <v>25</v>
          </cell>
        </row>
        <row r="1334">
          <cell r="D1334">
            <v>45800</v>
          </cell>
          <cell r="H1334">
            <v>4.5</v>
          </cell>
          <cell r="I1334">
            <v>0</v>
          </cell>
          <cell r="L1334">
            <v>100</v>
          </cell>
        </row>
        <row r="1335">
          <cell r="D1335">
            <v>45800</v>
          </cell>
          <cell r="H1335">
            <v>5</v>
          </cell>
          <cell r="I1335">
            <v>0</v>
          </cell>
          <cell r="L1335">
            <v>325</v>
          </cell>
        </row>
        <row r="1336">
          <cell r="D1336">
            <v>45800</v>
          </cell>
          <cell r="H1336">
            <v>5</v>
          </cell>
          <cell r="I1336">
            <v>0</v>
          </cell>
          <cell r="L1336">
            <v>325</v>
          </cell>
        </row>
        <row r="1337">
          <cell r="D1337">
            <v>45800</v>
          </cell>
          <cell r="H1337">
            <v>5</v>
          </cell>
          <cell r="I1337">
            <v>0</v>
          </cell>
          <cell r="L1337">
            <v>50</v>
          </cell>
        </row>
        <row r="1338">
          <cell r="D1338">
            <v>45800</v>
          </cell>
          <cell r="H1338">
            <v>5</v>
          </cell>
          <cell r="I1338">
            <v>0</v>
          </cell>
          <cell r="L1338">
            <v>315</v>
          </cell>
        </row>
        <row r="1339">
          <cell r="D1339">
            <v>45800</v>
          </cell>
          <cell r="H1339">
            <v>5</v>
          </cell>
          <cell r="I1339">
            <v>0</v>
          </cell>
          <cell r="L1339">
            <v>50</v>
          </cell>
        </row>
        <row r="1340">
          <cell r="D1340">
            <v>45800</v>
          </cell>
          <cell r="H1340">
            <v>5</v>
          </cell>
          <cell r="I1340">
            <v>0</v>
          </cell>
          <cell r="L1340">
            <v>250</v>
          </cell>
        </row>
        <row r="1341">
          <cell r="D1341">
            <v>45800</v>
          </cell>
          <cell r="H1341">
            <v>5</v>
          </cell>
          <cell r="I1341">
            <v>0</v>
          </cell>
          <cell r="L1341">
            <v>25</v>
          </cell>
        </row>
        <row r="1342">
          <cell r="D1342">
            <v>45800</v>
          </cell>
          <cell r="H1342">
            <v>5</v>
          </cell>
          <cell r="I1342">
            <v>0</v>
          </cell>
          <cell r="L1342">
            <v>280</v>
          </cell>
        </row>
        <row r="1343">
          <cell r="D1343">
            <v>45801</v>
          </cell>
          <cell r="H1343">
            <v>5</v>
          </cell>
          <cell r="I1343">
            <v>0</v>
          </cell>
          <cell r="L1343">
            <v>75</v>
          </cell>
        </row>
        <row r="1344">
          <cell r="D1344">
            <v>45801</v>
          </cell>
          <cell r="H1344">
            <v>5</v>
          </cell>
          <cell r="I1344">
            <v>0</v>
          </cell>
          <cell r="L1344">
            <v>70</v>
          </cell>
        </row>
        <row r="1345">
          <cell r="D1345">
            <v>45801</v>
          </cell>
          <cell r="H1345">
            <v>5</v>
          </cell>
          <cell r="I1345">
            <v>0</v>
          </cell>
          <cell r="L1345">
            <v>105</v>
          </cell>
        </row>
        <row r="1346">
          <cell r="D1346">
            <v>45801</v>
          </cell>
          <cell r="H1346">
            <v>5</v>
          </cell>
          <cell r="I1346">
            <v>0</v>
          </cell>
          <cell r="L1346">
            <v>425</v>
          </cell>
        </row>
        <row r="1347">
          <cell r="D1347">
            <v>45801</v>
          </cell>
          <cell r="H1347">
            <v>5</v>
          </cell>
          <cell r="I1347">
            <v>0</v>
          </cell>
          <cell r="L1347">
            <v>200</v>
          </cell>
        </row>
        <row r="1348">
          <cell r="D1348">
            <v>45801</v>
          </cell>
          <cell r="H1348">
            <v>5</v>
          </cell>
          <cell r="I1348">
            <v>0</v>
          </cell>
          <cell r="L1348">
            <v>125</v>
          </cell>
        </row>
        <row r="1349">
          <cell r="D1349">
            <v>45801</v>
          </cell>
          <cell r="H1349">
            <v>5</v>
          </cell>
          <cell r="I1349">
            <v>0</v>
          </cell>
          <cell r="L1349">
            <v>125</v>
          </cell>
        </row>
        <row r="1350">
          <cell r="D1350">
            <v>45801</v>
          </cell>
          <cell r="H1350">
            <v>5</v>
          </cell>
          <cell r="I1350">
            <v>0</v>
          </cell>
          <cell r="L1350">
            <v>70</v>
          </cell>
        </row>
        <row r="1351">
          <cell r="D1351">
            <v>45801</v>
          </cell>
          <cell r="H1351">
            <v>5</v>
          </cell>
          <cell r="I1351">
            <v>0</v>
          </cell>
          <cell r="L1351">
            <v>75</v>
          </cell>
        </row>
        <row r="1352">
          <cell r="D1352">
            <v>45801</v>
          </cell>
          <cell r="H1352">
            <v>5</v>
          </cell>
          <cell r="I1352">
            <v>0</v>
          </cell>
          <cell r="L1352">
            <v>25</v>
          </cell>
        </row>
        <row r="1353">
          <cell r="D1353">
            <v>45802</v>
          </cell>
          <cell r="H1353">
            <v>5</v>
          </cell>
          <cell r="I1353">
            <v>0</v>
          </cell>
          <cell r="L1353">
            <v>75</v>
          </cell>
        </row>
        <row r="1354">
          <cell r="D1354">
            <v>45802</v>
          </cell>
          <cell r="H1354">
            <v>5</v>
          </cell>
          <cell r="I1354">
            <v>0</v>
          </cell>
          <cell r="L1354">
            <v>125</v>
          </cell>
        </row>
        <row r="1355">
          <cell r="D1355">
            <v>45802</v>
          </cell>
          <cell r="H1355">
            <v>5</v>
          </cell>
          <cell r="I1355">
            <v>0</v>
          </cell>
          <cell r="L1355">
            <v>275</v>
          </cell>
        </row>
        <row r="1356">
          <cell r="D1356">
            <v>45803</v>
          </cell>
          <cell r="H1356">
            <v>5</v>
          </cell>
          <cell r="I1356">
            <v>0</v>
          </cell>
          <cell r="L1356">
            <v>280</v>
          </cell>
        </row>
        <row r="1357">
          <cell r="D1357">
            <v>45803</v>
          </cell>
          <cell r="H1357">
            <v>5</v>
          </cell>
          <cell r="I1357">
            <v>0</v>
          </cell>
          <cell r="L1357">
            <v>140</v>
          </cell>
        </row>
        <row r="1358">
          <cell r="D1358">
            <v>45803</v>
          </cell>
          <cell r="H1358">
            <v>5</v>
          </cell>
          <cell r="I1358">
            <v>0</v>
          </cell>
          <cell r="L1358">
            <v>150</v>
          </cell>
        </row>
        <row r="1359">
          <cell r="D1359">
            <v>45803</v>
          </cell>
          <cell r="H1359">
            <v>5</v>
          </cell>
          <cell r="I1359">
            <v>0</v>
          </cell>
          <cell r="L1359">
            <v>50</v>
          </cell>
        </row>
        <row r="1360">
          <cell r="D1360">
            <v>45803</v>
          </cell>
          <cell r="H1360">
            <v>5</v>
          </cell>
          <cell r="I1360">
            <v>0</v>
          </cell>
          <cell r="L1360">
            <v>125</v>
          </cell>
        </row>
        <row r="1361">
          <cell r="D1361">
            <v>45803</v>
          </cell>
          <cell r="H1361">
            <v>5</v>
          </cell>
          <cell r="I1361">
            <v>0</v>
          </cell>
          <cell r="L1361">
            <v>50</v>
          </cell>
        </row>
        <row r="1362">
          <cell r="D1362">
            <v>45803</v>
          </cell>
          <cell r="H1362">
            <v>5</v>
          </cell>
          <cell r="I1362">
            <v>0</v>
          </cell>
          <cell r="L1362">
            <v>50</v>
          </cell>
        </row>
        <row r="1363">
          <cell r="D1363">
            <v>45803</v>
          </cell>
          <cell r="H1363">
            <v>5</v>
          </cell>
          <cell r="I1363">
            <v>0</v>
          </cell>
          <cell r="L1363">
            <v>175</v>
          </cell>
        </row>
        <row r="1364">
          <cell r="D1364">
            <v>45803</v>
          </cell>
          <cell r="H1364">
            <v>5</v>
          </cell>
          <cell r="I1364">
            <v>0</v>
          </cell>
        </row>
        <row r="1365">
          <cell r="D1365">
            <v>45804</v>
          </cell>
          <cell r="H1365">
            <v>5</v>
          </cell>
          <cell r="I1365">
            <v>0</v>
          </cell>
          <cell r="L1365">
            <v>250</v>
          </cell>
        </row>
        <row r="1366">
          <cell r="D1366">
            <v>45804</v>
          </cell>
          <cell r="H1366">
            <v>5</v>
          </cell>
          <cell r="I1366">
            <v>0</v>
          </cell>
          <cell r="L1366">
            <v>225</v>
          </cell>
        </row>
        <row r="1367">
          <cell r="D1367">
            <v>45804</v>
          </cell>
          <cell r="H1367">
            <v>5</v>
          </cell>
          <cell r="I1367">
            <v>0</v>
          </cell>
          <cell r="L1367">
            <v>150</v>
          </cell>
        </row>
        <row r="1368">
          <cell r="D1368">
            <v>45804</v>
          </cell>
          <cell r="H1368">
            <v>5</v>
          </cell>
          <cell r="I1368">
            <v>0</v>
          </cell>
          <cell r="L1368">
            <v>275</v>
          </cell>
        </row>
        <row r="1369">
          <cell r="D1369">
            <v>45805</v>
          </cell>
          <cell r="H1369">
            <v>4.5</v>
          </cell>
          <cell r="I1369">
            <v>0</v>
          </cell>
          <cell r="L1369">
            <v>150</v>
          </cell>
        </row>
        <row r="1370">
          <cell r="D1370">
            <v>45805</v>
          </cell>
          <cell r="H1370">
            <v>5</v>
          </cell>
          <cell r="I1370">
            <v>0</v>
          </cell>
          <cell r="L1370">
            <v>25</v>
          </cell>
        </row>
        <row r="1371">
          <cell r="D1371">
            <v>45805</v>
          </cell>
          <cell r="H1371">
            <v>5</v>
          </cell>
          <cell r="I1371">
            <v>0</v>
          </cell>
          <cell r="L1371">
            <v>225</v>
          </cell>
        </row>
        <row r="1372">
          <cell r="D1372">
            <v>45805</v>
          </cell>
          <cell r="H1372">
            <v>0</v>
          </cell>
          <cell r="I1372">
            <v>0</v>
          </cell>
          <cell r="L1372">
            <v>50</v>
          </cell>
        </row>
        <row r="1373">
          <cell r="D1373">
            <v>45805</v>
          </cell>
          <cell r="H1373">
            <v>5</v>
          </cell>
          <cell r="I1373">
            <v>0</v>
          </cell>
          <cell r="L1373">
            <v>280</v>
          </cell>
        </row>
        <row r="1374">
          <cell r="D1374">
            <v>45805</v>
          </cell>
          <cell r="H1374">
            <v>5</v>
          </cell>
          <cell r="I1374">
            <v>0</v>
          </cell>
          <cell r="L1374">
            <v>50</v>
          </cell>
        </row>
        <row r="1375">
          <cell r="D1375">
            <v>45805</v>
          </cell>
          <cell r="H1375">
            <v>5</v>
          </cell>
          <cell r="I1375">
            <v>0</v>
          </cell>
          <cell r="L1375">
            <v>245</v>
          </cell>
        </row>
        <row r="1376">
          <cell r="D1376">
            <v>45805</v>
          </cell>
          <cell r="H1376">
            <v>5</v>
          </cell>
          <cell r="I1376">
            <v>0</v>
          </cell>
          <cell r="L1376">
            <v>225</v>
          </cell>
        </row>
        <row r="1377">
          <cell r="D1377">
            <v>45805</v>
          </cell>
          <cell r="H1377">
            <v>5</v>
          </cell>
          <cell r="I1377">
            <v>0</v>
          </cell>
          <cell r="L1377">
            <v>200</v>
          </cell>
        </row>
        <row r="1378">
          <cell r="D1378">
            <v>45805</v>
          </cell>
          <cell r="H1378">
            <v>5</v>
          </cell>
          <cell r="I1378">
            <v>0</v>
          </cell>
          <cell r="L1378">
            <v>150</v>
          </cell>
        </row>
        <row r="1379">
          <cell r="D1379">
            <v>45805</v>
          </cell>
          <cell r="H1379">
            <v>5</v>
          </cell>
          <cell r="I1379">
            <v>0</v>
          </cell>
          <cell r="L1379">
            <v>75</v>
          </cell>
        </row>
        <row r="1380">
          <cell r="D1380">
            <v>45805</v>
          </cell>
          <cell r="H1380">
            <v>5</v>
          </cell>
          <cell r="I1380">
            <v>0</v>
          </cell>
          <cell r="L1380">
            <v>175</v>
          </cell>
        </row>
        <row r="1381">
          <cell r="D1381">
            <v>45805</v>
          </cell>
          <cell r="H1381">
            <v>5</v>
          </cell>
          <cell r="I1381">
            <v>0</v>
          </cell>
          <cell r="L1381">
            <v>75</v>
          </cell>
        </row>
        <row r="1382">
          <cell r="D1382">
            <v>45806</v>
          </cell>
          <cell r="H1382">
            <v>6</v>
          </cell>
          <cell r="I1382">
            <v>0</v>
          </cell>
          <cell r="L1382">
            <v>450</v>
          </cell>
        </row>
        <row r="1383">
          <cell r="D1383">
            <v>45806</v>
          </cell>
          <cell r="H1383">
            <v>5</v>
          </cell>
          <cell r="I1383">
            <v>0</v>
          </cell>
          <cell r="L1383">
            <v>275</v>
          </cell>
        </row>
        <row r="1384">
          <cell r="D1384">
            <v>45806</v>
          </cell>
          <cell r="H1384">
            <v>5</v>
          </cell>
          <cell r="I1384">
            <v>0</v>
          </cell>
          <cell r="L1384">
            <v>150</v>
          </cell>
        </row>
        <row r="1385">
          <cell r="D1385">
            <v>45806</v>
          </cell>
          <cell r="H1385">
            <v>5</v>
          </cell>
          <cell r="I1385">
            <v>0</v>
          </cell>
          <cell r="L1385">
            <v>50</v>
          </cell>
        </row>
        <row r="1386">
          <cell r="D1386">
            <v>45806</v>
          </cell>
          <cell r="H1386">
            <v>5</v>
          </cell>
          <cell r="I1386">
            <v>0</v>
          </cell>
          <cell r="L1386">
            <v>175</v>
          </cell>
        </row>
        <row r="1387">
          <cell r="D1387">
            <v>45806</v>
          </cell>
          <cell r="H1387">
            <v>5</v>
          </cell>
          <cell r="I1387">
            <v>0</v>
          </cell>
          <cell r="L1387">
            <v>200</v>
          </cell>
        </row>
        <row r="1388">
          <cell r="D1388">
            <v>45806</v>
          </cell>
          <cell r="H1388">
            <v>5</v>
          </cell>
          <cell r="I1388">
            <v>0</v>
          </cell>
          <cell r="L1388">
            <v>200</v>
          </cell>
        </row>
        <row r="1389">
          <cell r="D1389">
            <v>45806</v>
          </cell>
          <cell r="H1389">
            <v>5</v>
          </cell>
          <cell r="I1389">
            <v>0</v>
          </cell>
        </row>
        <row r="1390">
          <cell r="D1390">
            <v>45807</v>
          </cell>
          <cell r="H1390">
            <v>6</v>
          </cell>
          <cell r="I1390">
            <v>0</v>
          </cell>
          <cell r="L1390">
            <v>87.3</v>
          </cell>
        </row>
        <row r="1391">
          <cell r="D1391">
            <v>45807</v>
          </cell>
          <cell r="H1391">
            <v>5</v>
          </cell>
          <cell r="I1391">
            <v>0</v>
          </cell>
          <cell r="L1391">
            <v>120</v>
          </cell>
        </row>
        <row r="1392">
          <cell r="D1392">
            <v>45807</v>
          </cell>
          <cell r="H1392">
            <v>8</v>
          </cell>
          <cell r="I1392">
            <v>0</v>
          </cell>
          <cell r="L1392">
            <v>157.5</v>
          </cell>
        </row>
        <row r="1393">
          <cell r="D1393">
            <v>45807</v>
          </cell>
          <cell r="H1393">
            <v>4.5</v>
          </cell>
          <cell r="I1393">
            <v>0</v>
          </cell>
          <cell r="L1393">
            <v>100</v>
          </cell>
        </row>
        <row r="1394">
          <cell r="D1394">
            <v>45807</v>
          </cell>
          <cell r="H1394">
            <v>4.5</v>
          </cell>
          <cell r="I1394">
            <v>0</v>
          </cell>
          <cell r="L1394">
            <v>125</v>
          </cell>
        </row>
        <row r="1395">
          <cell r="D1395">
            <v>45807</v>
          </cell>
          <cell r="H1395">
            <v>5</v>
          </cell>
          <cell r="I1395">
            <v>0</v>
          </cell>
          <cell r="L1395">
            <v>25</v>
          </cell>
        </row>
        <row r="1396">
          <cell r="D1396">
            <v>45807</v>
          </cell>
          <cell r="H1396">
            <v>5</v>
          </cell>
          <cell r="I1396">
            <v>0</v>
          </cell>
          <cell r="L1396">
            <v>200</v>
          </cell>
        </row>
        <row r="1397">
          <cell r="D1397">
            <v>45807</v>
          </cell>
          <cell r="H1397">
            <v>4.5</v>
          </cell>
          <cell r="I1397">
            <v>0</v>
          </cell>
          <cell r="L1397">
            <v>150</v>
          </cell>
        </row>
        <row r="1398">
          <cell r="D1398">
            <v>45807</v>
          </cell>
          <cell r="H1398">
            <v>5</v>
          </cell>
          <cell r="I1398">
            <v>0</v>
          </cell>
          <cell r="L1398">
            <v>70</v>
          </cell>
        </row>
        <row r="1399">
          <cell r="D1399">
            <v>45807</v>
          </cell>
          <cell r="H1399">
            <v>5</v>
          </cell>
          <cell r="I1399">
            <v>0</v>
          </cell>
          <cell r="L1399">
            <v>175</v>
          </cell>
        </row>
        <row r="1400">
          <cell r="D1400">
            <v>45807</v>
          </cell>
          <cell r="H1400">
            <v>5</v>
          </cell>
          <cell r="I1400">
            <v>0</v>
          </cell>
          <cell r="L1400">
            <v>150</v>
          </cell>
        </row>
        <row r="1401">
          <cell r="D1401">
            <v>45808</v>
          </cell>
          <cell r="H1401">
            <v>4.5</v>
          </cell>
          <cell r="I1401">
            <v>0</v>
          </cell>
          <cell r="L1401">
            <v>125</v>
          </cell>
        </row>
        <row r="1402">
          <cell r="D1402">
            <v>45808</v>
          </cell>
          <cell r="H1402">
            <v>4.5</v>
          </cell>
          <cell r="I1402">
            <v>0</v>
          </cell>
          <cell r="L1402">
            <v>150</v>
          </cell>
        </row>
        <row r="1403">
          <cell r="D1403">
            <v>45808</v>
          </cell>
          <cell r="H1403">
            <v>5</v>
          </cell>
          <cell r="I1403">
            <v>0</v>
          </cell>
          <cell r="L1403">
            <v>75</v>
          </cell>
        </row>
        <row r="1404">
          <cell r="D1404">
            <v>45808</v>
          </cell>
          <cell r="H1404">
            <v>5</v>
          </cell>
          <cell r="I1404">
            <v>0</v>
          </cell>
          <cell r="L1404">
            <v>475</v>
          </cell>
        </row>
        <row r="1405">
          <cell r="D1405">
            <v>45808</v>
          </cell>
          <cell r="H1405">
            <v>5</v>
          </cell>
          <cell r="I1405">
            <v>0</v>
          </cell>
          <cell r="L1405">
            <v>100</v>
          </cell>
        </row>
        <row r="1406">
          <cell r="D1406">
            <v>45808</v>
          </cell>
          <cell r="H1406">
            <v>5</v>
          </cell>
          <cell r="I1406">
            <v>0</v>
          </cell>
          <cell r="L1406">
            <v>75</v>
          </cell>
        </row>
        <row r="1407">
          <cell r="D1407">
            <v>45808</v>
          </cell>
          <cell r="H1407">
            <v>5</v>
          </cell>
          <cell r="I1407">
            <v>0</v>
          </cell>
          <cell r="L1407">
            <v>300</v>
          </cell>
        </row>
        <row r="1408">
          <cell r="D1408">
            <v>45808</v>
          </cell>
          <cell r="H1408">
            <v>5</v>
          </cell>
          <cell r="I1408">
            <v>0</v>
          </cell>
          <cell r="L1408">
            <v>235</v>
          </cell>
        </row>
        <row r="1409">
          <cell r="D1409">
            <v>45808</v>
          </cell>
          <cell r="H1409">
            <v>5</v>
          </cell>
          <cell r="I1409">
            <v>0</v>
          </cell>
          <cell r="L1409">
            <v>25</v>
          </cell>
        </row>
        <row r="1410">
          <cell r="D1410">
            <v>45808</v>
          </cell>
          <cell r="H1410">
            <v>5</v>
          </cell>
          <cell r="I1410">
            <v>0</v>
          </cell>
          <cell r="L1410">
            <v>25</v>
          </cell>
        </row>
        <row r="1411">
          <cell r="D1411">
            <v>45809</v>
          </cell>
          <cell r="H1411">
            <v>5</v>
          </cell>
          <cell r="I1411">
            <v>0</v>
          </cell>
          <cell r="L1411">
            <v>200</v>
          </cell>
        </row>
        <row r="1412">
          <cell r="D1412">
            <v>45809</v>
          </cell>
          <cell r="H1412">
            <v>5</v>
          </cell>
          <cell r="I1412">
            <v>0</v>
          </cell>
          <cell r="L1412">
            <v>175</v>
          </cell>
        </row>
        <row r="1413">
          <cell r="D1413">
            <v>45809</v>
          </cell>
          <cell r="H1413">
            <v>5</v>
          </cell>
          <cell r="I1413">
            <v>0</v>
          </cell>
          <cell r="L1413">
            <v>150</v>
          </cell>
        </row>
        <row r="1414">
          <cell r="D1414">
            <v>45809</v>
          </cell>
          <cell r="H1414">
            <v>5</v>
          </cell>
          <cell r="I1414">
            <v>0</v>
          </cell>
          <cell r="L1414">
            <v>100</v>
          </cell>
        </row>
        <row r="1415">
          <cell r="D1415">
            <v>45809</v>
          </cell>
          <cell r="H1415">
            <v>5</v>
          </cell>
          <cell r="I1415">
            <v>0</v>
          </cell>
          <cell r="L1415">
            <v>50</v>
          </cell>
        </row>
        <row r="1416">
          <cell r="D1416">
            <v>45809</v>
          </cell>
          <cell r="H1416">
            <v>5</v>
          </cell>
          <cell r="I1416">
            <v>0</v>
          </cell>
          <cell r="L1416">
            <v>200</v>
          </cell>
        </row>
        <row r="1417">
          <cell r="D1417">
            <v>45809</v>
          </cell>
          <cell r="H1417">
            <v>5</v>
          </cell>
          <cell r="I1417">
            <v>0</v>
          </cell>
          <cell r="L1417">
            <v>100</v>
          </cell>
        </row>
        <row r="1418">
          <cell r="D1418">
            <v>45810</v>
          </cell>
          <cell r="H1418">
            <v>5</v>
          </cell>
          <cell r="I1418">
            <v>0</v>
          </cell>
          <cell r="L1418">
            <v>175</v>
          </cell>
        </row>
        <row r="1419">
          <cell r="D1419">
            <v>45810</v>
          </cell>
          <cell r="H1419">
            <v>5</v>
          </cell>
          <cell r="I1419">
            <v>0</v>
          </cell>
          <cell r="L1419">
            <v>100</v>
          </cell>
        </row>
        <row r="1420">
          <cell r="D1420">
            <v>45810</v>
          </cell>
          <cell r="H1420">
            <v>5</v>
          </cell>
          <cell r="I1420">
            <v>0</v>
          </cell>
          <cell r="L1420">
            <v>101.4</v>
          </cell>
        </row>
        <row r="1421">
          <cell r="D1421">
            <v>45810</v>
          </cell>
          <cell r="H1421">
            <v>5</v>
          </cell>
          <cell r="I1421">
            <v>0</v>
          </cell>
          <cell r="L1421">
            <v>75</v>
          </cell>
        </row>
        <row r="1422">
          <cell r="D1422">
            <v>45810</v>
          </cell>
          <cell r="H1422">
            <v>5</v>
          </cell>
          <cell r="I1422">
            <v>0</v>
          </cell>
          <cell r="L1422">
            <v>50</v>
          </cell>
        </row>
        <row r="1423">
          <cell r="D1423">
            <v>45810</v>
          </cell>
          <cell r="H1423">
            <v>5</v>
          </cell>
          <cell r="I1423">
            <v>0</v>
          </cell>
          <cell r="L1423">
            <v>175</v>
          </cell>
        </row>
        <row r="1424">
          <cell r="D1424">
            <v>45810</v>
          </cell>
          <cell r="H1424">
            <v>5</v>
          </cell>
          <cell r="I1424">
            <v>0</v>
          </cell>
          <cell r="L1424">
            <v>75</v>
          </cell>
        </row>
        <row r="1425">
          <cell r="D1425">
            <v>45810</v>
          </cell>
          <cell r="H1425">
            <v>5</v>
          </cell>
          <cell r="I1425">
            <v>0</v>
          </cell>
          <cell r="L1425">
            <v>100</v>
          </cell>
        </row>
        <row r="1426">
          <cell r="D1426">
            <v>45810</v>
          </cell>
          <cell r="H1426">
            <v>5</v>
          </cell>
          <cell r="I1426">
            <v>0</v>
          </cell>
          <cell r="L1426">
            <v>25</v>
          </cell>
        </row>
        <row r="1427">
          <cell r="D1427">
            <v>45810</v>
          </cell>
          <cell r="H1427">
            <v>5</v>
          </cell>
          <cell r="I1427">
            <v>0</v>
          </cell>
          <cell r="L1427">
            <v>375</v>
          </cell>
        </row>
        <row r="1428">
          <cell r="D1428">
            <v>45810</v>
          </cell>
          <cell r="H1428">
            <v>5</v>
          </cell>
          <cell r="I1428">
            <v>0</v>
          </cell>
          <cell r="L1428">
            <v>450</v>
          </cell>
        </row>
        <row r="1429">
          <cell r="D1429">
            <v>45810</v>
          </cell>
          <cell r="H1429">
            <v>5</v>
          </cell>
          <cell r="I1429">
            <v>0</v>
          </cell>
          <cell r="L1429">
            <v>100</v>
          </cell>
        </row>
        <row r="1430">
          <cell r="D1430">
            <v>45810</v>
          </cell>
          <cell r="H1430">
            <v>5</v>
          </cell>
          <cell r="I1430">
            <v>0</v>
          </cell>
          <cell r="L1430">
            <v>25</v>
          </cell>
        </row>
        <row r="1431">
          <cell r="D1431">
            <v>45810</v>
          </cell>
          <cell r="H1431">
            <v>5</v>
          </cell>
          <cell r="I1431">
            <v>0</v>
          </cell>
          <cell r="L1431">
            <v>150</v>
          </cell>
        </row>
        <row r="1432">
          <cell r="D1432">
            <v>45810</v>
          </cell>
          <cell r="H1432">
            <v>5</v>
          </cell>
          <cell r="I1432">
            <v>0</v>
          </cell>
          <cell r="L1432">
            <v>50</v>
          </cell>
        </row>
        <row r="1433">
          <cell r="D1433">
            <v>45811</v>
          </cell>
          <cell r="H1433">
            <v>5</v>
          </cell>
          <cell r="I1433">
            <v>0</v>
          </cell>
          <cell r="L1433">
            <v>150</v>
          </cell>
        </row>
        <row r="1434">
          <cell r="D1434">
            <v>45811</v>
          </cell>
          <cell r="H1434">
            <v>5</v>
          </cell>
          <cell r="I1434">
            <v>0</v>
          </cell>
          <cell r="L1434">
            <v>75</v>
          </cell>
        </row>
        <row r="1435">
          <cell r="D1435">
            <v>45811</v>
          </cell>
          <cell r="H1435">
            <v>15</v>
          </cell>
          <cell r="I1435">
            <v>0</v>
          </cell>
          <cell r="L1435">
            <v>180</v>
          </cell>
        </row>
        <row r="1436">
          <cell r="D1436">
            <v>45811</v>
          </cell>
          <cell r="H1436">
            <v>5</v>
          </cell>
          <cell r="I1436">
            <v>0</v>
          </cell>
          <cell r="L1436">
            <v>400</v>
          </cell>
        </row>
        <row r="1437">
          <cell r="D1437">
            <v>45811</v>
          </cell>
          <cell r="H1437">
            <v>0</v>
          </cell>
          <cell r="I1437">
            <v>0</v>
          </cell>
          <cell r="L1437">
            <v>280</v>
          </cell>
        </row>
        <row r="1438">
          <cell r="D1438">
            <v>45811</v>
          </cell>
          <cell r="H1438">
            <v>12</v>
          </cell>
          <cell r="I1438">
            <v>0</v>
          </cell>
          <cell r="L1438">
            <v>150</v>
          </cell>
        </row>
        <row r="1439">
          <cell r="D1439">
            <v>45811</v>
          </cell>
          <cell r="H1439">
            <v>5</v>
          </cell>
          <cell r="I1439">
            <v>0</v>
          </cell>
          <cell r="L1439">
            <v>175</v>
          </cell>
        </row>
        <row r="1440">
          <cell r="D1440">
            <v>45811</v>
          </cell>
          <cell r="H1440">
            <v>5</v>
          </cell>
          <cell r="I1440">
            <v>0</v>
          </cell>
          <cell r="L1440">
            <v>150</v>
          </cell>
        </row>
        <row r="1441">
          <cell r="D1441">
            <v>45812</v>
          </cell>
          <cell r="H1441">
            <v>15</v>
          </cell>
          <cell r="I1441">
            <v>0</v>
          </cell>
          <cell r="L1441">
            <v>90</v>
          </cell>
        </row>
        <row r="1442">
          <cell r="D1442">
            <v>45812</v>
          </cell>
          <cell r="H1442">
            <v>0</v>
          </cell>
          <cell r="I1442">
            <v>0</v>
          </cell>
          <cell r="L1442">
            <v>315</v>
          </cell>
        </row>
        <row r="1443">
          <cell r="D1443">
            <v>45812</v>
          </cell>
          <cell r="H1443">
            <v>0</v>
          </cell>
          <cell r="I1443">
            <v>0</v>
          </cell>
          <cell r="L1443">
            <v>350</v>
          </cell>
        </row>
        <row r="1444">
          <cell r="D1444">
            <v>45812</v>
          </cell>
          <cell r="H1444">
            <v>5</v>
          </cell>
          <cell r="I1444">
            <v>0</v>
          </cell>
          <cell r="L1444">
            <v>275</v>
          </cell>
        </row>
        <row r="1445">
          <cell r="D1445">
            <v>45812</v>
          </cell>
          <cell r="H1445">
            <v>5</v>
          </cell>
          <cell r="I1445">
            <v>0</v>
          </cell>
          <cell r="L1445">
            <v>50</v>
          </cell>
        </row>
        <row r="1446">
          <cell r="D1446">
            <v>45812</v>
          </cell>
          <cell r="H1446">
            <v>12</v>
          </cell>
          <cell r="I1446">
            <v>0</v>
          </cell>
          <cell r="L1446">
            <v>200</v>
          </cell>
        </row>
        <row r="1447">
          <cell r="D1447">
            <v>45812</v>
          </cell>
          <cell r="H1447">
            <v>5</v>
          </cell>
          <cell r="I1447">
            <v>0</v>
          </cell>
          <cell r="L1447">
            <v>125</v>
          </cell>
        </row>
        <row r="1448">
          <cell r="D1448">
            <v>45812</v>
          </cell>
          <cell r="H1448">
            <v>5</v>
          </cell>
          <cell r="I1448">
            <v>0</v>
          </cell>
          <cell r="L1448">
            <v>150</v>
          </cell>
        </row>
        <row r="1449">
          <cell r="D1449">
            <v>45813</v>
          </cell>
          <cell r="H1449">
            <v>0</v>
          </cell>
          <cell r="I1449">
            <v>0</v>
          </cell>
          <cell r="L1449">
            <v>350</v>
          </cell>
        </row>
        <row r="1450">
          <cell r="D1450">
            <v>45813</v>
          </cell>
          <cell r="H1450">
            <v>5</v>
          </cell>
          <cell r="I1450">
            <v>0</v>
          </cell>
          <cell r="L1450">
            <v>25</v>
          </cell>
        </row>
        <row r="1451">
          <cell r="D1451">
            <v>45813</v>
          </cell>
          <cell r="H1451">
            <v>5</v>
          </cell>
          <cell r="I1451">
            <v>0</v>
          </cell>
          <cell r="L1451">
            <v>150</v>
          </cell>
        </row>
        <row r="1452">
          <cell r="D1452">
            <v>45813</v>
          </cell>
          <cell r="H1452">
            <v>5</v>
          </cell>
          <cell r="I1452">
            <v>0</v>
          </cell>
          <cell r="L1452">
            <v>100</v>
          </cell>
        </row>
        <row r="1453">
          <cell r="D1453">
            <v>45813</v>
          </cell>
          <cell r="H1453">
            <v>0</v>
          </cell>
          <cell r="I1453">
            <v>0</v>
          </cell>
          <cell r="L1453">
            <v>35</v>
          </cell>
        </row>
        <row r="1454">
          <cell r="D1454">
            <v>45813</v>
          </cell>
          <cell r="H1454">
            <v>5</v>
          </cell>
          <cell r="I1454">
            <v>0</v>
          </cell>
          <cell r="L1454">
            <v>140</v>
          </cell>
        </row>
        <row r="1455">
          <cell r="D1455">
            <v>45813</v>
          </cell>
          <cell r="H1455">
            <v>12</v>
          </cell>
          <cell r="I1455">
            <v>0</v>
          </cell>
          <cell r="L1455">
            <v>50</v>
          </cell>
        </row>
        <row r="1456">
          <cell r="D1456">
            <v>45813</v>
          </cell>
          <cell r="H1456">
            <v>5</v>
          </cell>
          <cell r="I1456">
            <v>0</v>
          </cell>
          <cell r="L1456">
            <v>50</v>
          </cell>
        </row>
        <row r="1457">
          <cell r="D1457">
            <v>45813</v>
          </cell>
          <cell r="H1457">
            <v>5</v>
          </cell>
          <cell r="I1457">
            <v>0</v>
          </cell>
          <cell r="L1457">
            <v>25</v>
          </cell>
        </row>
        <row r="1458">
          <cell r="D1458">
            <v>45813</v>
          </cell>
          <cell r="H1458">
            <v>5</v>
          </cell>
          <cell r="I1458">
            <v>0</v>
          </cell>
          <cell r="L1458">
            <v>225</v>
          </cell>
        </row>
        <row r="1459">
          <cell r="D1459">
            <v>45820</v>
          </cell>
          <cell r="H1459">
            <v>5</v>
          </cell>
          <cell r="I1459">
            <v>0</v>
          </cell>
          <cell r="L1459">
            <v>245</v>
          </cell>
        </row>
        <row r="1460">
          <cell r="D1460">
            <v>45820</v>
          </cell>
          <cell r="H1460">
            <v>5</v>
          </cell>
          <cell r="I1460">
            <v>0</v>
          </cell>
          <cell r="L1460">
            <v>100</v>
          </cell>
        </row>
        <row r="1461">
          <cell r="D1461">
            <v>45820</v>
          </cell>
          <cell r="H1461">
            <v>5</v>
          </cell>
          <cell r="I1461">
            <v>0</v>
          </cell>
          <cell r="L1461">
            <v>245</v>
          </cell>
        </row>
        <row r="1462">
          <cell r="D1462">
            <v>45820</v>
          </cell>
          <cell r="H1462">
            <v>5</v>
          </cell>
          <cell r="I1462">
            <v>0</v>
          </cell>
          <cell r="L1462">
            <v>25</v>
          </cell>
        </row>
        <row r="1463">
          <cell r="D1463">
            <v>45821</v>
          </cell>
          <cell r="H1463">
            <v>0</v>
          </cell>
          <cell r="I1463">
            <v>0</v>
          </cell>
          <cell r="L1463">
            <v>175</v>
          </cell>
        </row>
        <row r="1464">
          <cell r="D1464">
            <v>45821</v>
          </cell>
          <cell r="H1464">
            <v>5</v>
          </cell>
          <cell r="I1464">
            <v>0</v>
          </cell>
          <cell r="L1464">
            <v>50</v>
          </cell>
        </row>
        <row r="1465">
          <cell r="D1465">
            <v>45821</v>
          </cell>
          <cell r="H1465">
            <v>5</v>
          </cell>
          <cell r="I1465">
            <v>0</v>
          </cell>
          <cell r="L1465">
            <v>75</v>
          </cell>
        </row>
        <row r="1466">
          <cell r="D1466">
            <v>45821</v>
          </cell>
          <cell r="H1466">
            <v>5</v>
          </cell>
          <cell r="I1466">
            <v>0</v>
          </cell>
          <cell r="L1466">
            <v>50</v>
          </cell>
        </row>
        <row r="1467">
          <cell r="D1467">
            <v>45821</v>
          </cell>
          <cell r="H1467">
            <v>5</v>
          </cell>
          <cell r="I1467">
            <v>0</v>
          </cell>
          <cell r="L1467">
            <v>100</v>
          </cell>
        </row>
        <row r="1468">
          <cell r="D1468">
            <v>45821</v>
          </cell>
          <cell r="H1468">
            <v>5</v>
          </cell>
          <cell r="I1468">
            <v>0</v>
          </cell>
          <cell r="L1468">
            <v>50</v>
          </cell>
        </row>
        <row r="1469">
          <cell r="D1469">
            <v>45821</v>
          </cell>
          <cell r="H1469">
            <v>5</v>
          </cell>
          <cell r="I1469">
            <v>0</v>
          </cell>
          <cell r="L1469">
            <v>245</v>
          </cell>
        </row>
        <row r="1470">
          <cell r="D1470">
            <v>45822</v>
          </cell>
          <cell r="H1470">
            <v>5</v>
          </cell>
          <cell r="I1470">
            <v>0</v>
          </cell>
          <cell r="L1470">
            <v>50</v>
          </cell>
        </row>
        <row r="1471">
          <cell r="D1471">
            <v>45822</v>
          </cell>
          <cell r="H1471">
            <v>5</v>
          </cell>
          <cell r="I1471">
            <v>0</v>
          </cell>
          <cell r="L1471">
            <v>300</v>
          </cell>
        </row>
        <row r="1472">
          <cell r="D1472">
            <v>45822</v>
          </cell>
          <cell r="H1472">
            <v>5</v>
          </cell>
          <cell r="I1472">
            <v>0</v>
          </cell>
          <cell r="L1472">
            <v>225</v>
          </cell>
        </row>
        <row r="1473">
          <cell r="D1473">
            <v>45823</v>
          </cell>
          <cell r="H1473">
            <v>5</v>
          </cell>
          <cell r="I1473">
            <v>0</v>
          </cell>
          <cell r="L1473">
            <v>100</v>
          </cell>
        </row>
        <row r="1474">
          <cell r="D1474">
            <v>45823</v>
          </cell>
          <cell r="H1474" t="str">
            <v>6-6.5</v>
          </cell>
          <cell r="I1474">
            <v>0</v>
          </cell>
          <cell r="L1474">
            <v>303.10000000000002</v>
          </cell>
        </row>
        <row r="1475">
          <cell r="D1475">
            <v>45823</v>
          </cell>
          <cell r="H1475">
            <v>4.5</v>
          </cell>
          <cell r="I1475">
            <v>0</v>
          </cell>
          <cell r="L1475">
            <v>100</v>
          </cell>
        </row>
        <row r="1476">
          <cell r="D1476">
            <v>45824</v>
          </cell>
          <cell r="H1476">
            <v>4.5</v>
          </cell>
          <cell r="I1476">
            <v>0</v>
          </cell>
          <cell r="L1476">
            <v>400</v>
          </cell>
        </row>
        <row r="1477">
          <cell r="D1477">
            <v>45824</v>
          </cell>
          <cell r="H1477">
            <v>5</v>
          </cell>
          <cell r="I1477">
            <v>0</v>
          </cell>
          <cell r="L1477">
            <v>125</v>
          </cell>
        </row>
        <row r="1478">
          <cell r="D1478">
            <v>45824</v>
          </cell>
          <cell r="H1478">
            <v>5</v>
          </cell>
          <cell r="I1478">
            <v>0</v>
          </cell>
          <cell r="L1478">
            <v>125</v>
          </cell>
        </row>
        <row r="1479">
          <cell r="D1479">
            <v>45824</v>
          </cell>
          <cell r="H1479">
            <v>5</v>
          </cell>
          <cell r="I1479">
            <v>0</v>
          </cell>
          <cell r="L1479">
            <v>25</v>
          </cell>
        </row>
        <row r="1480">
          <cell r="D1480">
            <v>45824</v>
          </cell>
          <cell r="H1480">
            <v>5</v>
          </cell>
          <cell r="I1480">
            <v>0</v>
          </cell>
          <cell r="L1480">
            <v>275</v>
          </cell>
        </row>
        <row r="1481">
          <cell r="D1481">
            <v>45824</v>
          </cell>
          <cell r="H1481">
            <v>5</v>
          </cell>
          <cell r="I1481">
            <v>0</v>
          </cell>
          <cell r="L1481">
            <v>50</v>
          </cell>
        </row>
        <row r="1482">
          <cell r="D1482">
            <v>45825</v>
          </cell>
          <cell r="H1482">
            <v>5</v>
          </cell>
          <cell r="I1482">
            <v>0</v>
          </cell>
          <cell r="L1482">
            <v>100</v>
          </cell>
        </row>
        <row r="1483">
          <cell r="D1483">
            <v>45825</v>
          </cell>
          <cell r="H1483">
            <v>5</v>
          </cell>
          <cell r="I1483">
            <v>0</v>
          </cell>
          <cell r="L1483">
            <v>100</v>
          </cell>
        </row>
        <row r="1484">
          <cell r="D1484">
            <v>45825</v>
          </cell>
          <cell r="H1484">
            <v>5</v>
          </cell>
          <cell r="I1484">
            <v>0</v>
          </cell>
          <cell r="L1484">
            <v>100</v>
          </cell>
        </row>
        <row r="1485">
          <cell r="D1485">
            <v>45825</v>
          </cell>
          <cell r="H1485">
            <v>5</v>
          </cell>
          <cell r="I1485">
            <v>0</v>
          </cell>
          <cell r="L1485">
            <v>375</v>
          </cell>
        </row>
        <row r="1486">
          <cell r="D1486">
            <v>45825</v>
          </cell>
          <cell r="H1486">
            <v>5</v>
          </cell>
          <cell r="I1486">
            <v>0</v>
          </cell>
          <cell r="L1486">
            <v>300</v>
          </cell>
        </row>
        <row r="1487">
          <cell r="D1487">
            <v>45826</v>
          </cell>
          <cell r="H1487">
            <v>5</v>
          </cell>
          <cell r="I1487">
            <v>0</v>
          </cell>
          <cell r="L1487">
            <v>150</v>
          </cell>
        </row>
        <row r="1488">
          <cell r="D1488">
            <v>45826</v>
          </cell>
          <cell r="H1488">
            <v>5</v>
          </cell>
          <cell r="I1488">
            <v>0</v>
          </cell>
          <cell r="L1488">
            <v>125</v>
          </cell>
        </row>
        <row r="1489">
          <cell r="D1489">
            <v>45826</v>
          </cell>
          <cell r="H1489">
            <v>5</v>
          </cell>
          <cell r="I1489">
            <v>0</v>
          </cell>
          <cell r="L1489">
            <v>200</v>
          </cell>
        </row>
        <row r="1490">
          <cell r="D1490">
            <v>45826</v>
          </cell>
          <cell r="H1490">
            <v>5</v>
          </cell>
          <cell r="I1490">
            <v>0</v>
          </cell>
          <cell r="L1490">
            <v>100</v>
          </cell>
        </row>
        <row r="1491">
          <cell r="D1491">
            <v>45826</v>
          </cell>
          <cell r="H1491">
            <v>5</v>
          </cell>
          <cell r="I1491">
            <v>0</v>
          </cell>
          <cell r="L1491">
            <v>125</v>
          </cell>
        </row>
        <row r="1492">
          <cell r="D1492">
            <v>45827</v>
          </cell>
          <cell r="H1492">
            <v>5</v>
          </cell>
          <cell r="I1492">
            <v>0</v>
          </cell>
          <cell r="L1492">
            <v>100</v>
          </cell>
        </row>
        <row r="1493">
          <cell r="D1493">
            <v>45827</v>
          </cell>
          <cell r="H1493">
            <v>5</v>
          </cell>
          <cell r="I1493">
            <v>0</v>
          </cell>
          <cell r="L1493">
            <v>125</v>
          </cell>
        </row>
        <row r="1494">
          <cell r="D1494">
            <v>45827</v>
          </cell>
          <cell r="H1494">
            <v>5</v>
          </cell>
          <cell r="I1494">
            <v>0</v>
          </cell>
          <cell r="L1494">
            <v>100</v>
          </cell>
        </row>
        <row r="1495">
          <cell r="D1495">
            <v>45827</v>
          </cell>
          <cell r="H1495">
            <v>5</v>
          </cell>
          <cell r="I1495">
            <v>0</v>
          </cell>
          <cell r="L1495">
            <v>50</v>
          </cell>
        </row>
        <row r="1496">
          <cell r="D1496">
            <v>45827</v>
          </cell>
          <cell r="H1496">
            <v>5</v>
          </cell>
          <cell r="I1496">
            <v>0</v>
          </cell>
          <cell r="L1496">
            <v>125</v>
          </cell>
        </row>
        <row r="1497">
          <cell r="D1497">
            <v>45827</v>
          </cell>
          <cell r="H1497">
            <v>5</v>
          </cell>
          <cell r="I1497">
            <v>0</v>
          </cell>
          <cell r="L1497">
            <v>140</v>
          </cell>
        </row>
        <row r="1498">
          <cell r="D1498">
            <v>45827</v>
          </cell>
          <cell r="H1498">
            <v>5</v>
          </cell>
          <cell r="I1498">
            <v>0</v>
          </cell>
          <cell r="L1498">
            <v>350</v>
          </cell>
        </row>
        <row r="1499">
          <cell r="D1499">
            <v>45827</v>
          </cell>
          <cell r="H1499">
            <v>5</v>
          </cell>
          <cell r="I1499">
            <v>0</v>
          </cell>
          <cell r="L1499">
            <v>325</v>
          </cell>
        </row>
        <row r="1500">
          <cell r="D1500">
            <v>45827</v>
          </cell>
          <cell r="H1500">
            <v>5</v>
          </cell>
          <cell r="I1500">
            <v>0</v>
          </cell>
          <cell r="L1500">
            <v>200</v>
          </cell>
        </row>
        <row r="1501">
          <cell r="D1501">
            <v>45828</v>
          </cell>
          <cell r="H1501">
            <v>5</v>
          </cell>
          <cell r="I1501">
            <v>0</v>
          </cell>
          <cell r="L1501">
            <v>100</v>
          </cell>
        </row>
        <row r="1502">
          <cell r="D1502">
            <v>45828</v>
          </cell>
          <cell r="H1502">
            <v>5</v>
          </cell>
          <cell r="I1502">
            <v>0</v>
          </cell>
          <cell r="L1502">
            <v>100</v>
          </cell>
        </row>
        <row r="1503">
          <cell r="D1503">
            <v>45828</v>
          </cell>
          <cell r="H1503">
            <v>15</v>
          </cell>
          <cell r="I1503">
            <v>0</v>
          </cell>
          <cell r="L1503">
            <v>280.2</v>
          </cell>
        </row>
        <row r="1504">
          <cell r="D1504">
            <v>45828</v>
          </cell>
          <cell r="H1504">
            <v>5</v>
          </cell>
          <cell r="I1504">
            <v>0</v>
          </cell>
          <cell r="L1504">
            <v>52.7</v>
          </cell>
        </row>
        <row r="1505">
          <cell r="D1505">
            <v>45828</v>
          </cell>
          <cell r="H1505">
            <v>5</v>
          </cell>
          <cell r="I1505">
            <v>0</v>
          </cell>
          <cell r="L1505">
            <v>54.6</v>
          </cell>
        </row>
        <row r="1506">
          <cell r="D1506">
            <v>45828</v>
          </cell>
          <cell r="H1506">
            <v>5</v>
          </cell>
          <cell r="I1506">
            <v>0</v>
          </cell>
          <cell r="L1506">
            <v>105</v>
          </cell>
        </row>
        <row r="1507">
          <cell r="D1507">
            <v>45828</v>
          </cell>
          <cell r="H1507">
            <v>4.5</v>
          </cell>
          <cell r="I1507">
            <v>0</v>
          </cell>
          <cell r="L1507">
            <v>100</v>
          </cell>
        </row>
        <row r="1508">
          <cell r="D1508">
            <v>45828</v>
          </cell>
          <cell r="H1508">
            <v>4.5</v>
          </cell>
          <cell r="I1508">
            <v>0</v>
          </cell>
          <cell r="L1508">
            <v>175</v>
          </cell>
        </row>
        <row r="1509">
          <cell r="D1509">
            <v>45828</v>
          </cell>
          <cell r="H1509">
            <v>5</v>
          </cell>
          <cell r="I1509">
            <v>0</v>
          </cell>
          <cell r="L1509">
            <v>50</v>
          </cell>
        </row>
        <row r="1510">
          <cell r="D1510">
            <v>45828</v>
          </cell>
          <cell r="H1510">
            <v>5</v>
          </cell>
          <cell r="I1510">
            <v>0</v>
          </cell>
          <cell r="L1510">
            <v>400</v>
          </cell>
        </row>
        <row r="1511">
          <cell r="D1511">
            <v>45829</v>
          </cell>
          <cell r="H1511">
            <v>5</v>
          </cell>
          <cell r="I1511">
            <v>0</v>
          </cell>
          <cell r="L1511">
            <v>475</v>
          </cell>
        </row>
        <row r="1512">
          <cell r="D1512">
            <v>45829</v>
          </cell>
          <cell r="H1512">
            <v>5</v>
          </cell>
          <cell r="I1512">
            <v>0</v>
          </cell>
          <cell r="L1512">
            <v>140</v>
          </cell>
        </row>
        <row r="1513">
          <cell r="D1513">
            <v>45829</v>
          </cell>
          <cell r="H1513">
            <v>5</v>
          </cell>
          <cell r="I1513">
            <v>0</v>
          </cell>
          <cell r="L1513">
            <v>125</v>
          </cell>
        </row>
        <row r="1514">
          <cell r="D1514">
            <v>45829</v>
          </cell>
          <cell r="H1514">
            <v>6</v>
          </cell>
          <cell r="I1514">
            <v>0</v>
          </cell>
          <cell r="L1514">
            <v>112.5</v>
          </cell>
        </row>
        <row r="1515">
          <cell r="D1515">
            <v>45829</v>
          </cell>
          <cell r="H1515">
            <v>0</v>
          </cell>
          <cell r="I1515">
            <v>0</v>
          </cell>
          <cell r="L1515">
            <v>220</v>
          </cell>
        </row>
        <row r="1516">
          <cell r="D1516">
            <v>45829</v>
          </cell>
          <cell r="H1516">
            <v>5</v>
          </cell>
          <cell r="I1516">
            <v>0</v>
          </cell>
          <cell r="L1516">
            <v>140</v>
          </cell>
        </row>
        <row r="1517">
          <cell r="D1517">
            <v>45829</v>
          </cell>
          <cell r="H1517">
            <v>5</v>
          </cell>
          <cell r="I1517">
            <v>0</v>
          </cell>
          <cell r="L1517">
            <v>300</v>
          </cell>
        </row>
        <row r="1518">
          <cell r="D1518">
            <v>45829</v>
          </cell>
          <cell r="H1518">
            <v>5</v>
          </cell>
          <cell r="I1518">
            <v>0</v>
          </cell>
          <cell r="L1518">
            <v>100</v>
          </cell>
        </row>
        <row r="1519">
          <cell r="D1519">
            <v>45830</v>
          </cell>
          <cell r="H1519">
            <v>5</v>
          </cell>
          <cell r="I1519">
            <v>0</v>
          </cell>
          <cell r="L1519">
            <v>150</v>
          </cell>
        </row>
        <row r="1520">
          <cell r="D1520">
            <v>45830</v>
          </cell>
          <cell r="H1520">
            <v>8</v>
          </cell>
          <cell r="I1520">
            <v>0</v>
          </cell>
          <cell r="L1520">
            <v>242.7</v>
          </cell>
        </row>
        <row r="1521">
          <cell r="D1521">
            <v>45830</v>
          </cell>
          <cell r="H1521">
            <v>4</v>
          </cell>
          <cell r="I1521">
            <v>0</v>
          </cell>
          <cell r="L1521">
            <v>50</v>
          </cell>
        </row>
        <row r="1522">
          <cell r="D1522">
            <v>45830</v>
          </cell>
          <cell r="H1522">
            <v>4</v>
          </cell>
          <cell r="I1522">
            <v>0</v>
          </cell>
          <cell r="L1522">
            <v>100</v>
          </cell>
        </row>
        <row r="1523">
          <cell r="D1523">
            <v>45830</v>
          </cell>
          <cell r="H1523">
            <v>0</v>
          </cell>
          <cell r="I1523">
            <v>0</v>
          </cell>
          <cell r="L1523">
            <v>245</v>
          </cell>
        </row>
        <row r="1524">
          <cell r="D1524">
            <v>45830</v>
          </cell>
          <cell r="H1524">
            <v>5</v>
          </cell>
          <cell r="I1524">
            <v>0</v>
          </cell>
          <cell r="L1524">
            <v>100</v>
          </cell>
        </row>
        <row r="1525">
          <cell r="D1525">
            <v>45830</v>
          </cell>
          <cell r="H1525">
            <v>5</v>
          </cell>
          <cell r="I1525">
            <v>0</v>
          </cell>
          <cell r="L1525">
            <v>50</v>
          </cell>
        </row>
        <row r="1526">
          <cell r="D1526">
            <v>45830</v>
          </cell>
          <cell r="H1526">
            <v>5</v>
          </cell>
          <cell r="I1526">
            <v>0</v>
          </cell>
          <cell r="L1526">
            <v>105</v>
          </cell>
        </row>
        <row r="1527">
          <cell r="D1527">
            <v>45830</v>
          </cell>
          <cell r="H1527">
            <v>5</v>
          </cell>
          <cell r="I1527">
            <v>0</v>
          </cell>
          <cell r="L1527">
            <v>315</v>
          </cell>
        </row>
        <row r="1528">
          <cell r="D1528">
            <v>45831</v>
          </cell>
          <cell r="H1528">
            <v>5</v>
          </cell>
          <cell r="I1528">
            <v>0</v>
          </cell>
          <cell r="L1528">
            <v>100</v>
          </cell>
        </row>
        <row r="1529">
          <cell r="D1529">
            <v>45831</v>
          </cell>
          <cell r="H1529">
            <v>5</v>
          </cell>
          <cell r="I1529">
            <v>0</v>
          </cell>
          <cell r="L1529">
            <v>150</v>
          </cell>
        </row>
        <row r="1530">
          <cell r="D1530">
            <v>45831</v>
          </cell>
          <cell r="H1530">
            <v>4</v>
          </cell>
          <cell r="I1530">
            <v>0</v>
          </cell>
          <cell r="L1530">
            <v>125</v>
          </cell>
        </row>
        <row r="1531">
          <cell r="D1531">
            <v>45831</v>
          </cell>
          <cell r="H1531">
            <v>5</v>
          </cell>
          <cell r="I1531">
            <v>0</v>
          </cell>
          <cell r="L1531">
            <v>125</v>
          </cell>
        </row>
        <row r="1532">
          <cell r="D1532">
            <v>45831</v>
          </cell>
          <cell r="H1532">
            <v>5</v>
          </cell>
          <cell r="I1532">
            <v>0</v>
          </cell>
          <cell r="L1532">
            <v>100</v>
          </cell>
        </row>
        <row r="1533">
          <cell r="D1533">
            <v>45831</v>
          </cell>
          <cell r="H1533">
            <v>5</v>
          </cell>
          <cell r="I1533">
            <v>0</v>
          </cell>
          <cell r="L1533">
            <v>25</v>
          </cell>
        </row>
        <row r="1534">
          <cell r="D1534">
            <v>45831</v>
          </cell>
          <cell r="H1534">
            <v>0</v>
          </cell>
          <cell r="I1534">
            <v>0</v>
          </cell>
          <cell r="L1534">
            <v>140</v>
          </cell>
        </row>
        <row r="1535">
          <cell r="D1535">
            <v>45831</v>
          </cell>
          <cell r="H1535">
            <v>0</v>
          </cell>
          <cell r="I1535">
            <v>0</v>
          </cell>
          <cell r="L1535">
            <v>140</v>
          </cell>
        </row>
        <row r="1536">
          <cell r="D1536">
            <v>45831</v>
          </cell>
          <cell r="H1536">
            <v>5</v>
          </cell>
          <cell r="I1536">
            <v>0</v>
          </cell>
          <cell r="L1536">
            <v>35</v>
          </cell>
        </row>
        <row r="1537">
          <cell r="D1537">
            <v>45831</v>
          </cell>
          <cell r="H1537">
            <v>5</v>
          </cell>
          <cell r="I1537">
            <v>0</v>
          </cell>
          <cell r="L1537">
            <v>320</v>
          </cell>
        </row>
        <row r="1538">
          <cell r="D1538">
            <v>45831</v>
          </cell>
          <cell r="H1538">
            <v>5</v>
          </cell>
          <cell r="I1538">
            <v>0</v>
          </cell>
          <cell r="L1538">
            <v>70</v>
          </cell>
        </row>
        <row r="1539">
          <cell r="D1539">
            <v>45831</v>
          </cell>
          <cell r="H1539">
            <v>5</v>
          </cell>
          <cell r="I1539">
            <v>0</v>
          </cell>
          <cell r="L1539">
            <v>350</v>
          </cell>
        </row>
        <row r="1540">
          <cell r="D1540">
            <v>45832</v>
          </cell>
          <cell r="H1540">
            <v>5</v>
          </cell>
          <cell r="I1540">
            <v>0</v>
          </cell>
          <cell r="L1540">
            <v>50</v>
          </cell>
        </row>
        <row r="1541">
          <cell r="D1541">
            <v>45832</v>
          </cell>
          <cell r="H1541">
            <v>5</v>
          </cell>
          <cell r="I1541">
            <v>0</v>
          </cell>
          <cell r="L1541">
            <v>100</v>
          </cell>
        </row>
        <row r="1542">
          <cell r="D1542">
            <v>45832</v>
          </cell>
          <cell r="H1542">
            <v>5</v>
          </cell>
          <cell r="I1542">
            <v>0</v>
          </cell>
          <cell r="L1542">
            <v>111.1</v>
          </cell>
        </row>
        <row r="1543">
          <cell r="D1543">
            <v>45832</v>
          </cell>
          <cell r="H1543">
            <v>6</v>
          </cell>
          <cell r="I1543">
            <v>0</v>
          </cell>
          <cell r="L1543">
            <v>235.5</v>
          </cell>
        </row>
        <row r="1544">
          <cell r="D1544">
            <v>45832</v>
          </cell>
          <cell r="H1544">
            <v>5</v>
          </cell>
          <cell r="I1544">
            <v>0</v>
          </cell>
          <cell r="L1544">
            <v>75</v>
          </cell>
        </row>
        <row r="1545">
          <cell r="D1545">
            <v>45832</v>
          </cell>
          <cell r="H1545">
            <v>5</v>
          </cell>
          <cell r="I1545">
            <v>0</v>
          </cell>
          <cell r="L1545">
            <v>100</v>
          </cell>
        </row>
        <row r="1546">
          <cell r="D1546">
            <v>45832</v>
          </cell>
          <cell r="H1546">
            <v>5</v>
          </cell>
          <cell r="I1546">
            <v>0</v>
          </cell>
          <cell r="L1546">
            <v>125</v>
          </cell>
        </row>
        <row r="1547">
          <cell r="D1547">
            <v>45832</v>
          </cell>
          <cell r="H1547">
            <v>5</v>
          </cell>
          <cell r="I1547">
            <v>0</v>
          </cell>
          <cell r="L1547">
            <v>75</v>
          </cell>
        </row>
        <row r="1548">
          <cell r="D1548">
            <v>45832</v>
          </cell>
          <cell r="H1548">
            <v>5</v>
          </cell>
          <cell r="I1548">
            <v>0</v>
          </cell>
          <cell r="L1548">
            <v>25</v>
          </cell>
        </row>
        <row r="1549">
          <cell r="D1549">
            <v>45832</v>
          </cell>
          <cell r="H1549">
            <v>5</v>
          </cell>
          <cell r="I1549">
            <v>0</v>
          </cell>
          <cell r="L1549">
            <v>50</v>
          </cell>
        </row>
        <row r="1550">
          <cell r="D1550">
            <v>45832</v>
          </cell>
          <cell r="H1550">
            <v>5</v>
          </cell>
          <cell r="I1550">
            <v>0</v>
          </cell>
          <cell r="L1550">
            <v>315</v>
          </cell>
        </row>
        <row r="1551">
          <cell r="D1551">
            <v>45832</v>
          </cell>
          <cell r="H1551">
            <v>5</v>
          </cell>
          <cell r="I1551">
            <v>0</v>
          </cell>
          <cell r="L1551">
            <v>40</v>
          </cell>
        </row>
        <row r="1552">
          <cell r="D1552">
            <v>45832</v>
          </cell>
          <cell r="H1552">
            <v>5</v>
          </cell>
          <cell r="I1552">
            <v>0</v>
          </cell>
          <cell r="L1552">
            <v>220</v>
          </cell>
        </row>
        <row r="1553">
          <cell r="D1553">
            <v>45832</v>
          </cell>
          <cell r="H1553">
            <v>0</v>
          </cell>
          <cell r="I1553">
            <v>0</v>
          </cell>
          <cell r="L1553">
            <v>120</v>
          </cell>
        </row>
        <row r="1554">
          <cell r="D1554">
            <v>45832</v>
          </cell>
          <cell r="H1554">
            <v>0</v>
          </cell>
          <cell r="I1554">
            <v>0</v>
          </cell>
          <cell r="L1554">
            <v>210</v>
          </cell>
        </row>
        <row r="1555">
          <cell r="D1555">
            <v>45833</v>
          </cell>
          <cell r="H1555">
            <v>6</v>
          </cell>
          <cell r="I1555">
            <v>0</v>
          </cell>
          <cell r="L1555">
            <v>100</v>
          </cell>
        </row>
        <row r="1556">
          <cell r="D1556">
            <v>45833</v>
          </cell>
          <cell r="H1556">
            <v>5</v>
          </cell>
          <cell r="I1556">
            <v>0</v>
          </cell>
          <cell r="L1556">
            <v>250</v>
          </cell>
        </row>
        <row r="1557">
          <cell r="D1557">
            <v>45833</v>
          </cell>
          <cell r="H1557">
            <v>8</v>
          </cell>
          <cell r="I1557">
            <v>0</v>
          </cell>
          <cell r="L1557">
            <v>125</v>
          </cell>
        </row>
        <row r="1558">
          <cell r="D1558">
            <v>45833</v>
          </cell>
          <cell r="H1558">
            <v>5</v>
          </cell>
          <cell r="I1558">
            <v>0</v>
          </cell>
          <cell r="L1558">
            <v>75</v>
          </cell>
        </row>
        <row r="1559">
          <cell r="D1559">
            <v>45833</v>
          </cell>
          <cell r="H1559">
            <v>5</v>
          </cell>
          <cell r="I1559">
            <v>0</v>
          </cell>
          <cell r="L1559">
            <v>50</v>
          </cell>
        </row>
        <row r="1560">
          <cell r="D1560">
            <v>45833</v>
          </cell>
          <cell r="H1560">
            <v>0</v>
          </cell>
          <cell r="I1560">
            <v>0</v>
          </cell>
          <cell r="L1560">
            <v>70</v>
          </cell>
        </row>
        <row r="1561">
          <cell r="D1561">
            <v>45833</v>
          </cell>
          <cell r="H1561">
            <v>5</v>
          </cell>
          <cell r="I1561">
            <v>0</v>
          </cell>
          <cell r="L1561">
            <v>175</v>
          </cell>
        </row>
        <row r="1562">
          <cell r="D1562">
            <v>45833</v>
          </cell>
          <cell r="H1562">
            <v>5</v>
          </cell>
          <cell r="I1562">
            <v>0</v>
          </cell>
          <cell r="L1562">
            <v>125</v>
          </cell>
        </row>
        <row r="1563">
          <cell r="D1563">
            <v>45833</v>
          </cell>
          <cell r="H1563">
            <v>5</v>
          </cell>
          <cell r="I1563">
            <v>0</v>
          </cell>
          <cell r="L1563">
            <v>250</v>
          </cell>
        </row>
        <row r="1564">
          <cell r="D1564">
            <v>45833</v>
          </cell>
          <cell r="H1564">
            <v>5</v>
          </cell>
          <cell r="I1564">
            <v>0</v>
          </cell>
          <cell r="L1564">
            <v>125</v>
          </cell>
        </row>
        <row r="1565">
          <cell r="D1565">
            <v>45833</v>
          </cell>
          <cell r="H1565">
            <v>0</v>
          </cell>
          <cell r="I1565">
            <v>0</v>
          </cell>
          <cell r="L1565">
            <v>100</v>
          </cell>
        </row>
        <row r="1566">
          <cell r="D1566">
            <v>45833</v>
          </cell>
          <cell r="H1566">
            <v>5</v>
          </cell>
          <cell r="I1566">
            <v>0</v>
          </cell>
          <cell r="L1566">
            <v>25</v>
          </cell>
        </row>
        <row r="1567">
          <cell r="D1567">
            <v>45833</v>
          </cell>
          <cell r="H1567">
            <v>5</v>
          </cell>
          <cell r="I1567">
            <v>0</v>
          </cell>
          <cell r="L1567">
            <v>120</v>
          </cell>
        </row>
        <row r="1568">
          <cell r="D1568">
            <v>45833</v>
          </cell>
          <cell r="H1568">
            <v>5</v>
          </cell>
          <cell r="I1568">
            <v>0</v>
          </cell>
          <cell r="L1568">
            <v>100</v>
          </cell>
        </row>
        <row r="1569">
          <cell r="D1569">
            <v>45834</v>
          </cell>
          <cell r="H1569">
            <v>5</v>
          </cell>
          <cell r="I1569">
            <v>0</v>
          </cell>
          <cell r="L1569">
            <v>111</v>
          </cell>
        </row>
        <row r="1570">
          <cell r="D1570">
            <v>45834</v>
          </cell>
          <cell r="H1570">
            <v>6</v>
          </cell>
          <cell r="I1570">
            <v>0</v>
          </cell>
          <cell r="L1570">
            <v>125</v>
          </cell>
        </row>
        <row r="1571">
          <cell r="D1571">
            <v>45834</v>
          </cell>
          <cell r="H1571">
            <v>5</v>
          </cell>
          <cell r="I1571">
            <v>0</v>
          </cell>
          <cell r="L1571">
            <v>100</v>
          </cell>
        </row>
        <row r="1572">
          <cell r="D1572">
            <v>45834</v>
          </cell>
          <cell r="H1572">
            <v>5</v>
          </cell>
          <cell r="I1572">
            <v>0</v>
          </cell>
          <cell r="L1572">
            <v>100</v>
          </cell>
        </row>
        <row r="1573">
          <cell r="D1573">
            <v>45834</v>
          </cell>
          <cell r="H1573">
            <v>0</v>
          </cell>
          <cell r="I1573">
            <v>0</v>
          </cell>
          <cell r="L1573">
            <v>70</v>
          </cell>
        </row>
        <row r="1574">
          <cell r="D1574">
            <v>45834</v>
          </cell>
          <cell r="H1574">
            <v>5</v>
          </cell>
          <cell r="I1574">
            <v>0</v>
          </cell>
          <cell r="L1574">
            <v>50</v>
          </cell>
        </row>
        <row r="1575">
          <cell r="D1575">
            <v>45834</v>
          </cell>
          <cell r="H1575">
            <v>5</v>
          </cell>
          <cell r="I1575">
            <v>0</v>
          </cell>
          <cell r="L1575">
            <v>100</v>
          </cell>
        </row>
        <row r="1576">
          <cell r="D1576">
            <v>45834</v>
          </cell>
          <cell r="H1576">
            <v>5</v>
          </cell>
          <cell r="I1576">
            <v>0</v>
          </cell>
          <cell r="L1576">
            <v>250</v>
          </cell>
        </row>
        <row r="1577">
          <cell r="D1577">
            <v>45834</v>
          </cell>
          <cell r="H1577">
            <v>5</v>
          </cell>
          <cell r="I1577">
            <v>0</v>
          </cell>
          <cell r="L1577">
            <v>225</v>
          </cell>
        </row>
        <row r="1578">
          <cell r="D1578">
            <v>45834</v>
          </cell>
          <cell r="H1578">
            <v>5</v>
          </cell>
          <cell r="I1578">
            <v>0</v>
          </cell>
          <cell r="L1578">
            <v>140</v>
          </cell>
        </row>
        <row r="1579">
          <cell r="D1579">
            <v>45834</v>
          </cell>
          <cell r="H1579">
            <v>5</v>
          </cell>
          <cell r="I1579">
            <v>0</v>
          </cell>
          <cell r="L1579">
            <v>140</v>
          </cell>
        </row>
        <row r="1580">
          <cell r="D1580">
            <v>45835</v>
          </cell>
          <cell r="H1580">
            <v>5</v>
          </cell>
          <cell r="I1580">
            <v>0</v>
          </cell>
          <cell r="L1580">
            <v>250</v>
          </cell>
        </row>
        <row r="1581">
          <cell r="D1581">
            <v>45835</v>
          </cell>
          <cell r="H1581">
            <v>5</v>
          </cell>
          <cell r="I1581">
            <v>0</v>
          </cell>
          <cell r="L1581">
            <v>200</v>
          </cell>
        </row>
        <row r="1582">
          <cell r="D1582">
            <v>45835</v>
          </cell>
          <cell r="H1582">
            <v>6</v>
          </cell>
          <cell r="I1582">
            <v>0</v>
          </cell>
          <cell r="L1582">
            <v>200</v>
          </cell>
        </row>
        <row r="1583">
          <cell r="D1583">
            <v>45835</v>
          </cell>
          <cell r="H1583">
            <v>0</v>
          </cell>
          <cell r="I1583">
            <v>0</v>
          </cell>
          <cell r="L1583">
            <v>210</v>
          </cell>
        </row>
        <row r="1584">
          <cell r="D1584">
            <v>45835</v>
          </cell>
          <cell r="H1584">
            <v>5</v>
          </cell>
          <cell r="I1584">
            <v>0</v>
          </cell>
          <cell r="L1584">
            <v>60</v>
          </cell>
        </row>
        <row r="1585">
          <cell r="D1585">
            <v>45835</v>
          </cell>
          <cell r="H1585">
            <v>5</v>
          </cell>
          <cell r="I1585">
            <v>0</v>
          </cell>
          <cell r="L1585">
            <v>210</v>
          </cell>
        </row>
        <row r="1586">
          <cell r="D1586">
            <v>45835</v>
          </cell>
          <cell r="H1586">
            <v>5</v>
          </cell>
          <cell r="I1586">
            <v>0</v>
          </cell>
          <cell r="L1586">
            <v>60</v>
          </cell>
        </row>
        <row r="1587">
          <cell r="D1587">
            <v>45835</v>
          </cell>
          <cell r="H1587">
            <v>5</v>
          </cell>
          <cell r="I1587">
            <v>0</v>
          </cell>
          <cell r="L1587">
            <v>100</v>
          </cell>
        </row>
        <row r="1588">
          <cell r="D1588">
            <v>45836</v>
          </cell>
          <cell r="H1588">
            <v>5</v>
          </cell>
          <cell r="I1588">
            <v>0</v>
          </cell>
          <cell r="L1588">
            <v>225</v>
          </cell>
        </row>
        <row r="1589">
          <cell r="D1589">
            <v>45836</v>
          </cell>
          <cell r="H1589">
            <v>5</v>
          </cell>
          <cell r="I1589">
            <v>0</v>
          </cell>
          <cell r="L1589">
            <v>125</v>
          </cell>
        </row>
        <row r="1590">
          <cell r="D1590">
            <v>45836</v>
          </cell>
          <cell r="H1590">
            <v>6</v>
          </cell>
          <cell r="I1590">
            <v>0</v>
          </cell>
          <cell r="L1590">
            <v>103</v>
          </cell>
        </row>
        <row r="1591">
          <cell r="D1591">
            <v>45836</v>
          </cell>
          <cell r="H1591">
            <v>10</v>
          </cell>
          <cell r="I1591">
            <v>0</v>
          </cell>
          <cell r="L1591">
            <v>25</v>
          </cell>
        </row>
        <row r="1592">
          <cell r="D1592">
            <v>45836</v>
          </cell>
          <cell r="H1592">
            <v>5</v>
          </cell>
          <cell r="I1592">
            <v>0</v>
          </cell>
          <cell r="L1592">
            <v>150</v>
          </cell>
        </row>
        <row r="1593">
          <cell r="D1593">
            <v>45836</v>
          </cell>
          <cell r="H1593">
            <v>5</v>
          </cell>
          <cell r="I1593">
            <v>0</v>
          </cell>
          <cell r="L1593">
            <v>125</v>
          </cell>
        </row>
        <row r="1594">
          <cell r="D1594">
            <v>45836</v>
          </cell>
          <cell r="H1594">
            <v>5</v>
          </cell>
          <cell r="I1594">
            <v>0</v>
          </cell>
          <cell r="L1594">
            <v>200</v>
          </cell>
        </row>
        <row r="1595">
          <cell r="D1595">
            <v>45836</v>
          </cell>
          <cell r="H1595">
            <v>5</v>
          </cell>
          <cell r="I1595">
            <v>0</v>
          </cell>
          <cell r="L1595">
            <v>200</v>
          </cell>
        </row>
        <row r="1596">
          <cell r="D1596">
            <v>45837</v>
          </cell>
          <cell r="H1596">
            <v>10</v>
          </cell>
          <cell r="I1596">
            <v>0</v>
          </cell>
          <cell r="L1596">
            <v>144.5</v>
          </cell>
        </row>
        <row r="1597">
          <cell r="D1597">
            <v>45837</v>
          </cell>
          <cell r="H1597">
            <v>10</v>
          </cell>
          <cell r="I1597">
            <v>0</v>
          </cell>
          <cell r="L1597">
            <v>172.9</v>
          </cell>
        </row>
        <row r="1598">
          <cell r="D1598">
            <v>45837</v>
          </cell>
          <cell r="H1598">
            <v>5</v>
          </cell>
          <cell r="I1598">
            <v>0</v>
          </cell>
          <cell r="L1598">
            <v>160</v>
          </cell>
        </row>
        <row r="1599">
          <cell r="D1599">
            <v>45837</v>
          </cell>
          <cell r="H1599">
            <v>5</v>
          </cell>
          <cell r="I1599">
            <v>0</v>
          </cell>
          <cell r="L1599">
            <v>60</v>
          </cell>
        </row>
        <row r="1600">
          <cell r="D1600">
            <v>45837</v>
          </cell>
          <cell r="H1600">
            <v>6</v>
          </cell>
          <cell r="I1600">
            <v>0</v>
          </cell>
          <cell r="L1600">
            <v>300</v>
          </cell>
        </row>
        <row r="1601">
          <cell r="D1601">
            <v>45837</v>
          </cell>
          <cell r="H1601">
            <v>5</v>
          </cell>
          <cell r="I1601">
            <v>0</v>
          </cell>
          <cell r="L1601">
            <v>160</v>
          </cell>
        </row>
        <row r="1602">
          <cell r="D1602">
            <v>45837</v>
          </cell>
          <cell r="H1602">
            <v>5</v>
          </cell>
          <cell r="I1602">
            <v>0</v>
          </cell>
          <cell r="L1602">
            <v>220</v>
          </cell>
        </row>
        <row r="1603">
          <cell r="D1603">
            <v>45838</v>
          </cell>
          <cell r="H1603">
            <v>10</v>
          </cell>
          <cell r="I1603">
            <v>0</v>
          </cell>
          <cell r="L1603">
            <v>176.1</v>
          </cell>
        </row>
        <row r="1604">
          <cell r="D1604">
            <v>45838</v>
          </cell>
          <cell r="H1604">
            <v>15</v>
          </cell>
          <cell r="I1604">
            <v>0</v>
          </cell>
          <cell r="L1604">
            <v>150.5</v>
          </cell>
        </row>
        <row r="1605">
          <cell r="D1605">
            <v>45838</v>
          </cell>
          <cell r="H1605">
            <v>15</v>
          </cell>
          <cell r="I1605">
            <v>0</v>
          </cell>
          <cell r="L1605">
            <v>120</v>
          </cell>
        </row>
        <row r="1606">
          <cell r="D1606">
            <v>45838</v>
          </cell>
          <cell r="H1606">
            <v>6</v>
          </cell>
          <cell r="I1606">
            <v>0</v>
          </cell>
          <cell r="L1606">
            <v>40</v>
          </cell>
        </row>
        <row r="1607">
          <cell r="D1607">
            <v>45838</v>
          </cell>
          <cell r="H1607">
            <v>6</v>
          </cell>
          <cell r="I1607">
            <v>0</v>
          </cell>
          <cell r="L1607">
            <v>173.9</v>
          </cell>
        </row>
        <row r="1608">
          <cell r="D1608">
            <v>45838</v>
          </cell>
          <cell r="H1608">
            <v>5</v>
          </cell>
          <cell r="I1608">
            <v>0</v>
          </cell>
          <cell r="L1608">
            <v>160</v>
          </cell>
        </row>
        <row r="1609">
          <cell r="D1609">
            <v>45838</v>
          </cell>
          <cell r="H1609">
            <v>5</v>
          </cell>
          <cell r="I1609">
            <v>0</v>
          </cell>
          <cell r="L1609">
            <v>40</v>
          </cell>
        </row>
        <row r="1610">
          <cell r="D1610">
            <v>45838</v>
          </cell>
          <cell r="H1610">
            <v>6</v>
          </cell>
          <cell r="I1610">
            <v>0</v>
          </cell>
          <cell r="L1610">
            <v>322.60000000000002</v>
          </cell>
        </row>
        <row r="1611">
          <cell r="D1611">
            <v>45838</v>
          </cell>
          <cell r="H1611">
            <v>6</v>
          </cell>
          <cell r="I1611">
            <v>0</v>
          </cell>
          <cell r="L1611">
            <v>30</v>
          </cell>
        </row>
        <row r="1612">
          <cell r="D1612">
            <v>45838</v>
          </cell>
          <cell r="H1612">
            <v>5</v>
          </cell>
          <cell r="I1612">
            <v>0</v>
          </cell>
          <cell r="L1612">
            <v>220</v>
          </cell>
        </row>
        <row r="1613">
          <cell r="D1613">
            <v>45839</v>
          </cell>
          <cell r="H1613" t="str">
            <v>5-5.5</v>
          </cell>
          <cell r="I1613" t="str">
            <v>.1:1</v>
          </cell>
          <cell r="L1613">
            <v>200</v>
          </cell>
        </row>
        <row r="1614">
          <cell r="D1614">
            <v>45839</v>
          </cell>
          <cell r="H1614">
            <v>10</v>
          </cell>
          <cell r="I1614">
            <v>0</v>
          </cell>
          <cell r="L1614">
            <v>100.2</v>
          </cell>
        </row>
        <row r="1615">
          <cell r="D1615">
            <v>45839</v>
          </cell>
          <cell r="H1615">
            <v>15</v>
          </cell>
          <cell r="I1615">
            <v>0</v>
          </cell>
          <cell r="L1615">
            <v>270</v>
          </cell>
        </row>
        <row r="1616">
          <cell r="D1616">
            <v>45839</v>
          </cell>
          <cell r="H1616">
            <v>6</v>
          </cell>
          <cell r="I1616">
            <v>0</v>
          </cell>
          <cell r="L1616">
            <v>510</v>
          </cell>
        </row>
        <row r="1617">
          <cell r="D1617">
            <v>45839</v>
          </cell>
          <cell r="H1617">
            <v>5</v>
          </cell>
          <cell r="I1617">
            <v>0</v>
          </cell>
          <cell r="L1617">
            <v>275</v>
          </cell>
        </row>
        <row r="1618">
          <cell r="D1618">
            <v>45840</v>
          </cell>
          <cell r="H1618">
            <v>10</v>
          </cell>
          <cell r="I1618">
            <v>0</v>
          </cell>
          <cell r="L1618">
            <v>210.2</v>
          </cell>
        </row>
        <row r="1619">
          <cell r="D1619">
            <v>45840</v>
          </cell>
          <cell r="H1619">
            <v>6</v>
          </cell>
          <cell r="I1619">
            <v>0</v>
          </cell>
          <cell r="L1619">
            <v>63.6</v>
          </cell>
        </row>
        <row r="1620">
          <cell r="D1620">
            <v>45840</v>
          </cell>
          <cell r="H1620">
            <v>6</v>
          </cell>
          <cell r="I1620">
            <v>0</v>
          </cell>
          <cell r="L1620">
            <v>60</v>
          </cell>
        </row>
        <row r="1621">
          <cell r="D1621">
            <v>45840</v>
          </cell>
          <cell r="H1621">
            <v>10</v>
          </cell>
          <cell r="I1621">
            <v>0</v>
          </cell>
          <cell r="L1621">
            <v>97</v>
          </cell>
        </row>
        <row r="1622">
          <cell r="D1622">
            <v>45840</v>
          </cell>
          <cell r="H1622">
            <v>5</v>
          </cell>
          <cell r="I1622">
            <v>0</v>
          </cell>
          <cell r="L1622">
            <v>75</v>
          </cell>
        </row>
        <row r="1623">
          <cell r="D1623">
            <v>45840</v>
          </cell>
          <cell r="H1623">
            <v>5</v>
          </cell>
          <cell r="I1623">
            <v>0</v>
          </cell>
          <cell r="L1623">
            <v>50</v>
          </cell>
        </row>
        <row r="1624">
          <cell r="D1624">
            <v>45840</v>
          </cell>
          <cell r="H1624">
            <v>5</v>
          </cell>
          <cell r="I1624">
            <v>0</v>
          </cell>
          <cell r="L1624">
            <v>250</v>
          </cell>
        </row>
        <row r="1625">
          <cell r="D1625">
            <v>45840</v>
          </cell>
          <cell r="H1625">
            <v>5</v>
          </cell>
          <cell r="I1625">
            <v>0</v>
          </cell>
          <cell r="L1625">
            <v>250</v>
          </cell>
        </row>
        <row r="1626">
          <cell r="D1626">
            <v>45840</v>
          </cell>
          <cell r="H1626">
            <v>5</v>
          </cell>
          <cell r="I1626">
            <v>0</v>
          </cell>
          <cell r="L1626">
            <v>125</v>
          </cell>
        </row>
        <row r="1627">
          <cell r="D1627">
            <v>45840</v>
          </cell>
          <cell r="H1627">
            <v>5</v>
          </cell>
          <cell r="I1627">
            <v>0</v>
          </cell>
          <cell r="L1627">
            <v>225</v>
          </cell>
        </row>
        <row r="1628">
          <cell r="D1628">
            <v>45841</v>
          </cell>
          <cell r="H1628">
            <v>5</v>
          </cell>
          <cell r="I1628">
            <v>0</v>
          </cell>
          <cell r="L1628">
            <v>150</v>
          </cell>
        </row>
        <row r="1629">
          <cell r="D1629">
            <v>45841</v>
          </cell>
          <cell r="H1629">
            <v>6</v>
          </cell>
          <cell r="I1629">
            <v>0</v>
          </cell>
          <cell r="L1629">
            <v>169.1</v>
          </cell>
        </row>
        <row r="1630">
          <cell r="D1630">
            <v>45841</v>
          </cell>
          <cell r="H1630">
            <v>6</v>
          </cell>
          <cell r="I1630">
            <v>0</v>
          </cell>
          <cell r="L1630">
            <v>125</v>
          </cell>
        </row>
        <row r="1631">
          <cell r="D1631">
            <v>45841</v>
          </cell>
          <cell r="H1631">
            <v>5</v>
          </cell>
          <cell r="I1631">
            <v>0</v>
          </cell>
          <cell r="L1631">
            <v>175</v>
          </cell>
        </row>
        <row r="1632">
          <cell r="D1632">
            <v>45841</v>
          </cell>
          <cell r="H1632">
            <v>5</v>
          </cell>
          <cell r="I1632">
            <v>0</v>
          </cell>
          <cell r="L1632">
            <v>100</v>
          </cell>
        </row>
        <row r="1633">
          <cell r="D1633">
            <v>45841</v>
          </cell>
          <cell r="H1633">
            <v>5</v>
          </cell>
          <cell r="I1633">
            <v>0</v>
          </cell>
          <cell r="L1633">
            <v>125</v>
          </cell>
        </row>
        <row r="1634">
          <cell r="D1634">
            <v>45841</v>
          </cell>
          <cell r="H1634">
            <v>5</v>
          </cell>
          <cell r="I1634">
            <v>0</v>
          </cell>
          <cell r="L1634">
            <v>70</v>
          </cell>
        </row>
        <row r="1635">
          <cell r="D1635">
            <v>45841</v>
          </cell>
          <cell r="H1635">
            <v>5</v>
          </cell>
          <cell r="I1635">
            <v>0</v>
          </cell>
          <cell r="L1635">
            <v>175</v>
          </cell>
        </row>
        <row r="1636">
          <cell r="D1636">
            <v>45841</v>
          </cell>
          <cell r="H1636">
            <v>5</v>
          </cell>
          <cell r="I1636">
            <v>0</v>
          </cell>
          <cell r="L1636">
            <v>180</v>
          </cell>
        </row>
        <row r="1637">
          <cell r="D1637">
            <v>45841</v>
          </cell>
          <cell r="H1637">
            <v>5</v>
          </cell>
          <cell r="I1637">
            <v>0</v>
          </cell>
          <cell r="L1637">
            <v>200</v>
          </cell>
        </row>
        <row r="1638">
          <cell r="D1638">
            <v>45842</v>
          </cell>
          <cell r="H1638">
            <v>5</v>
          </cell>
          <cell r="I1638">
            <v>0</v>
          </cell>
          <cell r="L1638">
            <v>75</v>
          </cell>
        </row>
        <row r="1639">
          <cell r="D1639">
            <v>45842</v>
          </cell>
          <cell r="H1639">
            <v>5</v>
          </cell>
          <cell r="I1639">
            <v>0</v>
          </cell>
          <cell r="L1639">
            <v>250</v>
          </cell>
        </row>
        <row r="1640">
          <cell r="D1640">
            <v>45842</v>
          </cell>
          <cell r="H1640">
            <v>6</v>
          </cell>
          <cell r="I1640">
            <v>0</v>
          </cell>
          <cell r="L1640">
            <v>25</v>
          </cell>
        </row>
        <row r="1641">
          <cell r="D1641">
            <v>45842</v>
          </cell>
          <cell r="H1641">
            <v>5</v>
          </cell>
          <cell r="I1641">
            <v>0</v>
          </cell>
          <cell r="L1641">
            <v>100</v>
          </cell>
        </row>
        <row r="1642">
          <cell r="D1642">
            <v>45842</v>
          </cell>
          <cell r="H1642">
            <v>5</v>
          </cell>
          <cell r="I1642">
            <v>0</v>
          </cell>
          <cell r="L1642">
            <v>250</v>
          </cell>
        </row>
        <row r="1643">
          <cell r="D1643">
            <v>45842</v>
          </cell>
          <cell r="H1643">
            <v>5</v>
          </cell>
          <cell r="I1643">
            <v>0</v>
          </cell>
          <cell r="L1643">
            <v>240</v>
          </cell>
        </row>
        <row r="1644">
          <cell r="D1644">
            <v>45842</v>
          </cell>
          <cell r="H1644">
            <v>5</v>
          </cell>
          <cell r="I1644">
            <v>0</v>
          </cell>
          <cell r="L1644">
            <v>200</v>
          </cell>
        </row>
        <row r="1645">
          <cell r="D1645">
            <v>45842</v>
          </cell>
          <cell r="H1645">
            <v>6</v>
          </cell>
          <cell r="I1645">
            <v>0</v>
          </cell>
          <cell r="L1645">
            <v>225</v>
          </cell>
        </row>
        <row r="1646">
          <cell r="D1646">
            <v>45842</v>
          </cell>
          <cell r="H1646">
            <v>5</v>
          </cell>
          <cell r="I1646">
            <v>0</v>
          </cell>
          <cell r="L1646">
            <v>25</v>
          </cell>
        </row>
        <row r="1647">
          <cell r="D1647">
            <v>45845</v>
          </cell>
          <cell r="H1647">
            <v>6</v>
          </cell>
          <cell r="I1647">
            <v>0</v>
          </cell>
          <cell r="L1647">
            <v>375</v>
          </cell>
        </row>
        <row r="1648">
          <cell r="D1648">
            <v>45845</v>
          </cell>
          <cell r="H1648">
            <v>5</v>
          </cell>
          <cell r="I1648">
            <v>0</v>
          </cell>
          <cell r="L1648">
            <v>225</v>
          </cell>
        </row>
        <row r="1649">
          <cell r="D1649">
            <v>45845</v>
          </cell>
          <cell r="H1649">
            <v>5</v>
          </cell>
          <cell r="I1649">
            <v>0</v>
          </cell>
          <cell r="L1649">
            <v>225</v>
          </cell>
        </row>
        <row r="1650">
          <cell r="D1650">
            <v>45846</v>
          </cell>
          <cell r="H1650">
            <v>5</v>
          </cell>
          <cell r="I1650">
            <v>0</v>
          </cell>
          <cell r="L1650">
            <v>75</v>
          </cell>
        </row>
        <row r="1651">
          <cell r="D1651">
            <v>45846</v>
          </cell>
          <cell r="H1651">
            <v>5</v>
          </cell>
          <cell r="I1651">
            <v>0</v>
          </cell>
          <cell r="L1651">
            <v>100</v>
          </cell>
        </row>
        <row r="1652">
          <cell r="D1652">
            <v>45846</v>
          </cell>
          <cell r="H1652">
            <v>5</v>
          </cell>
          <cell r="I1652">
            <v>0</v>
          </cell>
          <cell r="L1652">
            <v>100</v>
          </cell>
        </row>
        <row r="1653">
          <cell r="D1653">
            <v>45846</v>
          </cell>
          <cell r="H1653">
            <v>5</v>
          </cell>
          <cell r="I1653">
            <v>0</v>
          </cell>
          <cell r="L1653">
            <v>125</v>
          </cell>
        </row>
        <row r="1654">
          <cell r="D1654">
            <v>45846</v>
          </cell>
          <cell r="H1654">
            <v>5</v>
          </cell>
          <cell r="I1654">
            <v>0</v>
          </cell>
          <cell r="L1654">
            <v>225</v>
          </cell>
        </row>
        <row r="1655">
          <cell r="D1655">
            <v>45846</v>
          </cell>
          <cell r="H1655">
            <v>5</v>
          </cell>
          <cell r="I1655">
            <v>0</v>
          </cell>
          <cell r="L1655">
            <v>220</v>
          </cell>
        </row>
        <row r="1656">
          <cell r="D1656">
            <v>45846</v>
          </cell>
          <cell r="H1656">
            <v>5</v>
          </cell>
          <cell r="I1656">
            <v>0</v>
          </cell>
          <cell r="L1656">
            <v>20</v>
          </cell>
        </row>
        <row r="1657">
          <cell r="D1657">
            <v>45846</v>
          </cell>
          <cell r="H1657">
            <v>5</v>
          </cell>
          <cell r="I1657">
            <v>0</v>
          </cell>
          <cell r="L1657">
            <v>260</v>
          </cell>
        </row>
        <row r="1658">
          <cell r="D1658">
            <v>45847</v>
          </cell>
          <cell r="H1658">
            <v>4.5</v>
          </cell>
          <cell r="I1658">
            <v>0</v>
          </cell>
          <cell r="L1658">
            <v>100</v>
          </cell>
        </row>
        <row r="1659">
          <cell r="D1659">
            <v>45847</v>
          </cell>
          <cell r="H1659" t="str">
            <v>4.5-5</v>
          </cell>
          <cell r="I1659">
            <v>0</v>
          </cell>
          <cell r="L1659">
            <v>25</v>
          </cell>
        </row>
        <row r="1660">
          <cell r="D1660">
            <v>45847</v>
          </cell>
          <cell r="H1660" t="str">
            <v>4.5-5</v>
          </cell>
          <cell r="I1660">
            <v>0</v>
          </cell>
          <cell r="L1660">
            <v>50</v>
          </cell>
        </row>
        <row r="1661">
          <cell r="D1661">
            <v>45847</v>
          </cell>
          <cell r="H1661" t="str">
            <v>4.5-5</v>
          </cell>
          <cell r="I1661">
            <v>0</v>
          </cell>
          <cell r="L1661">
            <v>100</v>
          </cell>
        </row>
        <row r="1662">
          <cell r="D1662">
            <v>45847</v>
          </cell>
          <cell r="H1662" t="str">
            <v>4.5-5</v>
          </cell>
          <cell r="I1662">
            <v>0</v>
          </cell>
          <cell r="L1662">
            <v>100</v>
          </cell>
        </row>
        <row r="1663">
          <cell r="D1663">
            <v>45847</v>
          </cell>
          <cell r="H1663">
            <v>5</v>
          </cell>
          <cell r="I1663">
            <v>0</v>
          </cell>
          <cell r="L1663">
            <v>50</v>
          </cell>
        </row>
        <row r="1664">
          <cell r="D1664">
            <v>45847</v>
          </cell>
          <cell r="H1664">
            <v>5</v>
          </cell>
          <cell r="I1664">
            <v>0</v>
          </cell>
          <cell r="L1664">
            <v>100</v>
          </cell>
        </row>
        <row r="1665">
          <cell r="D1665">
            <v>45847</v>
          </cell>
          <cell r="H1665" t="str">
            <v>4.5-5</v>
          </cell>
          <cell r="I1665">
            <v>0</v>
          </cell>
          <cell r="L1665">
            <v>50</v>
          </cell>
        </row>
        <row r="1666">
          <cell r="D1666">
            <v>45847</v>
          </cell>
          <cell r="H1666">
            <v>5</v>
          </cell>
          <cell r="I1666">
            <v>0</v>
          </cell>
          <cell r="L1666">
            <v>240</v>
          </cell>
        </row>
        <row r="1667">
          <cell r="D1667">
            <v>45847</v>
          </cell>
          <cell r="H1667">
            <v>5</v>
          </cell>
          <cell r="I1667">
            <v>0</v>
          </cell>
          <cell r="L1667">
            <v>180</v>
          </cell>
        </row>
        <row r="1668">
          <cell r="D1668">
            <v>45847</v>
          </cell>
          <cell r="H1668">
            <v>5</v>
          </cell>
          <cell r="I1668">
            <v>0</v>
          </cell>
          <cell r="L1668">
            <v>120</v>
          </cell>
        </row>
        <row r="1669">
          <cell r="D1669">
            <v>45847</v>
          </cell>
          <cell r="H1669">
            <v>5</v>
          </cell>
          <cell r="I1669">
            <v>0</v>
          </cell>
          <cell r="L1669">
            <v>150</v>
          </cell>
        </row>
        <row r="1670">
          <cell r="D1670">
            <v>45847</v>
          </cell>
          <cell r="H1670">
            <v>5</v>
          </cell>
          <cell r="I1670">
            <v>0</v>
          </cell>
          <cell r="L1670">
            <v>200</v>
          </cell>
        </row>
        <row r="1671">
          <cell r="D1671">
            <v>45848</v>
          </cell>
          <cell r="H1671" t="str">
            <v>4.5-5</v>
          </cell>
          <cell r="I1671">
            <v>0</v>
          </cell>
          <cell r="L1671">
            <v>275</v>
          </cell>
        </row>
        <row r="1672">
          <cell r="D1672">
            <v>45848</v>
          </cell>
          <cell r="H1672" t="str">
            <v>4.5-5</v>
          </cell>
          <cell r="I1672">
            <v>0</v>
          </cell>
          <cell r="L1672">
            <v>100</v>
          </cell>
        </row>
        <row r="1673">
          <cell r="D1673">
            <v>45848</v>
          </cell>
          <cell r="H1673">
            <v>5</v>
          </cell>
          <cell r="I1673">
            <v>0</v>
          </cell>
          <cell r="L1673">
            <v>50</v>
          </cell>
        </row>
        <row r="1674">
          <cell r="D1674">
            <v>45848</v>
          </cell>
          <cell r="H1674">
            <v>6</v>
          </cell>
          <cell r="I1674">
            <v>0</v>
          </cell>
          <cell r="L1674">
            <v>200</v>
          </cell>
        </row>
        <row r="1675">
          <cell r="D1675">
            <v>45848</v>
          </cell>
          <cell r="H1675">
            <v>5</v>
          </cell>
          <cell r="I1675">
            <v>0</v>
          </cell>
          <cell r="L1675">
            <v>350</v>
          </cell>
        </row>
        <row r="1676">
          <cell r="D1676">
            <v>45848</v>
          </cell>
          <cell r="H1676">
            <v>5</v>
          </cell>
          <cell r="I1676">
            <v>0</v>
          </cell>
          <cell r="L1676">
            <v>20</v>
          </cell>
        </row>
        <row r="1677">
          <cell r="D1677">
            <v>45848</v>
          </cell>
          <cell r="H1677">
            <v>5</v>
          </cell>
          <cell r="I1677">
            <v>0</v>
          </cell>
          <cell r="L1677">
            <v>140</v>
          </cell>
        </row>
        <row r="1678">
          <cell r="D1678">
            <v>45848</v>
          </cell>
          <cell r="H1678">
            <v>5</v>
          </cell>
          <cell r="I1678">
            <v>0</v>
          </cell>
          <cell r="L1678">
            <v>80</v>
          </cell>
        </row>
        <row r="1679">
          <cell r="D1679">
            <v>45849</v>
          </cell>
          <cell r="H1679">
            <v>5</v>
          </cell>
          <cell r="I1679">
            <v>0</v>
          </cell>
          <cell r="L1679">
            <v>125</v>
          </cell>
        </row>
        <row r="1680">
          <cell r="D1680">
            <v>45849</v>
          </cell>
          <cell r="H1680">
            <v>5</v>
          </cell>
          <cell r="I1680">
            <v>0</v>
          </cell>
          <cell r="L1680">
            <v>300</v>
          </cell>
        </row>
        <row r="1681">
          <cell r="D1681">
            <v>45849</v>
          </cell>
          <cell r="H1681">
            <v>5</v>
          </cell>
          <cell r="I1681">
            <v>0</v>
          </cell>
          <cell r="L1681">
            <v>5</v>
          </cell>
        </row>
        <row r="1682">
          <cell r="D1682">
            <v>45849</v>
          </cell>
          <cell r="H1682" t="str">
            <v>4.5-5</v>
          </cell>
          <cell r="I1682">
            <v>0</v>
          </cell>
          <cell r="L1682">
            <v>175</v>
          </cell>
        </row>
        <row r="1683">
          <cell r="D1683">
            <v>45849</v>
          </cell>
          <cell r="H1683">
            <v>5</v>
          </cell>
          <cell r="I1683">
            <v>0</v>
          </cell>
          <cell r="L1683">
            <v>125</v>
          </cell>
        </row>
        <row r="1684">
          <cell r="D1684">
            <v>45849</v>
          </cell>
          <cell r="H1684">
            <v>5</v>
          </cell>
          <cell r="I1684">
            <v>0</v>
          </cell>
          <cell r="L1684">
            <v>100</v>
          </cell>
        </row>
        <row r="1685">
          <cell r="D1685">
            <v>45849</v>
          </cell>
          <cell r="H1685">
            <v>5</v>
          </cell>
          <cell r="I1685">
            <v>0</v>
          </cell>
          <cell r="L1685">
            <v>260</v>
          </cell>
        </row>
        <row r="1686">
          <cell r="D1686">
            <v>45849</v>
          </cell>
          <cell r="H1686">
            <v>5</v>
          </cell>
          <cell r="I1686">
            <v>0</v>
          </cell>
          <cell r="L1686">
            <v>20</v>
          </cell>
        </row>
        <row r="1687">
          <cell r="D1687">
            <v>45849</v>
          </cell>
          <cell r="H1687">
            <v>5</v>
          </cell>
          <cell r="I1687">
            <v>0</v>
          </cell>
          <cell r="L1687">
            <v>120</v>
          </cell>
        </row>
        <row r="1688">
          <cell r="D1688">
            <v>45850</v>
          </cell>
          <cell r="H1688">
            <v>10</v>
          </cell>
          <cell r="I1688">
            <v>0</v>
          </cell>
          <cell r="L1688">
            <v>48.3</v>
          </cell>
        </row>
        <row r="1689">
          <cell r="D1689">
            <v>45850</v>
          </cell>
          <cell r="H1689">
            <v>5</v>
          </cell>
          <cell r="I1689">
            <v>0</v>
          </cell>
          <cell r="L1689">
            <v>200</v>
          </cell>
        </row>
        <row r="1690">
          <cell r="D1690">
            <v>45850</v>
          </cell>
          <cell r="H1690">
            <v>5</v>
          </cell>
          <cell r="I1690">
            <v>0</v>
          </cell>
          <cell r="L1690">
            <v>75</v>
          </cell>
        </row>
        <row r="1691">
          <cell r="D1691">
            <v>45850</v>
          </cell>
          <cell r="H1691">
            <v>5</v>
          </cell>
          <cell r="I1691">
            <v>0</v>
          </cell>
          <cell r="L1691">
            <v>50</v>
          </cell>
        </row>
        <row r="1692">
          <cell r="D1692">
            <v>45850</v>
          </cell>
          <cell r="H1692">
            <v>5</v>
          </cell>
          <cell r="I1692">
            <v>0</v>
          </cell>
          <cell r="L1692">
            <v>75</v>
          </cell>
        </row>
        <row r="1693">
          <cell r="D1693">
            <v>45850</v>
          </cell>
          <cell r="H1693">
            <v>5</v>
          </cell>
          <cell r="I1693">
            <v>0</v>
          </cell>
          <cell r="L1693">
            <v>25</v>
          </cell>
        </row>
        <row r="1694">
          <cell r="D1694">
            <v>45850</v>
          </cell>
          <cell r="H1694">
            <v>5</v>
          </cell>
          <cell r="I1694">
            <v>0</v>
          </cell>
          <cell r="L1694">
            <v>225</v>
          </cell>
        </row>
        <row r="1695">
          <cell r="D1695">
            <v>45850</v>
          </cell>
          <cell r="H1695">
            <v>5</v>
          </cell>
          <cell r="I1695">
            <v>0</v>
          </cell>
          <cell r="L1695">
            <v>200</v>
          </cell>
        </row>
        <row r="1696">
          <cell r="D1696">
            <v>45850</v>
          </cell>
          <cell r="H1696">
            <v>5</v>
          </cell>
          <cell r="I1696">
            <v>0</v>
          </cell>
          <cell r="L1696">
            <v>350</v>
          </cell>
        </row>
        <row r="1697">
          <cell r="D1697">
            <v>45850</v>
          </cell>
          <cell r="H1697">
            <v>5</v>
          </cell>
          <cell r="I1697">
            <v>0</v>
          </cell>
          <cell r="L1697">
            <v>150</v>
          </cell>
        </row>
        <row r="1698">
          <cell r="D1698">
            <v>45850</v>
          </cell>
          <cell r="H1698">
            <v>6</v>
          </cell>
          <cell r="I1698">
            <v>0</v>
          </cell>
          <cell r="L1698">
            <v>57.4</v>
          </cell>
        </row>
        <row r="1699">
          <cell r="D1699">
            <v>45850</v>
          </cell>
          <cell r="H1699">
            <v>6</v>
          </cell>
          <cell r="I1699">
            <v>0</v>
          </cell>
          <cell r="L1699">
            <v>51.6</v>
          </cell>
        </row>
        <row r="1700">
          <cell r="D1700">
            <v>45851</v>
          </cell>
          <cell r="H1700">
            <v>5</v>
          </cell>
          <cell r="I1700">
            <v>0</v>
          </cell>
          <cell r="L1700">
            <v>255.6</v>
          </cell>
        </row>
        <row r="1701">
          <cell r="D1701">
            <v>45851</v>
          </cell>
          <cell r="H1701">
            <v>6</v>
          </cell>
          <cell r="I1701">
            <v>0</v>
          </cell>
          <cell r="L1701">
            <v>200</v>
          </cell>
        </row>
        <row r="1702">
          <cell r="D1702">
            <v>45851</v>
          </cell>
          <cell r="H1702">
            <v>5</v>
          </cell>
          <cell r="I1702">
            <v>0</v>
          </cell>
          <cell r="L1702">
            <v>50</v>
          </cell>
        </row>
        <row r="1703">
          <cell r="D1703">
            <v>45852</v>
          </cell>
          <cell r="H1703">
            <v>5</v>
          </cell>
          <cell r="I1703">
            <v>0</v>
          </cell>
          <cell r="L1703">
            <v>100</v>
          </cell>
        </row>
        <row r="1704">
          <cell r="D1704">
            <v>45852</v>
          </cell>
          <cell r="H1704">
            <v>5</v>
          </cell>
          <cell r="I1704">
            <v>0</v>
          </cell>
          <cell r="L1704">
            <v>175</v>
          </cell>
        </row>
        <row r="1705">
          <cell r="D1705">
            <v>45852</v>
          </cell>
          <cell r="H1705">
            <v>5</v>
          </cell>
          <cell r="I1705">
            <v>0</v>
          </cell>
          <cell r="L1705">
            <v>75</v>
          </cell>
        </row>
        <row r="1706">
          <cell r="D1706">
            <v>45852</v>
          </cell>
          <cell r="H1706">
            <v>5</v>
          </cell>
          <cell r="I1706">
            <v>0</v>
          </cell>
          <cell r="L1706">
            <v>175</v>
          </cell>
        </row>
        <row r="1707">
          <cell r="D1707">
            <v>45852</v>
          </cell>
          <cell r="H1707">
            <v>5</v>
          </cell>
          <cell r="I1707">
            <v>0</v>
          </cell>
          <cell r="L1707">
            <v>325</v>
          </cell>
        </row>
        <row r="1708">
          <cell r="D1708">
            <v>45852</v>
          </cell>
          <cell r="H1708">
            <v>4.5</v>
          </cell>
          <cell r="I1708">
            <v>0</v>
          </cell>
          <cell r="L1708">
            <v>100</v>
          </cell>
        </row>
        <row r="1709">
          <cell r="D1709">
            <v>45852</v>
          </cell>
          <cell r="H1709">
            <v>4.5</v>
          </cell>
          <cell r="I1709">
            <v>0</v>
          </cell>
          <cell r="L1709">
            <v>50</v>
          </cell>
        </row>
        <row r="1710">
          <cell r="D1710">
            <v>45852</v>
          </cell>
          <cell r="H1710">
            <v>4.5</v>
          </cell>
          <cell r="I1710">
            <v>0</v>
          </cell>
          <cell r="L1710">
            <v>300</v>
          </cell>
        </row>
        <row r="1711">
          <cell r="D1711">
            <v>45852</v>
          </cell>
          <cell r="H1711">
            <v>4.5</v>
          </cell>
          <cell r="I1711">
            <v>0</v>
          </cell>
          <cell r="L1711">
            <v>100</v>
          </cell>
        </row>
        <row r="1712">
          <cell r="D1712">
            <v>45853</v>
          </cell>
          <cell r="H1712">
            <v>5</v>
          </cell>
          <cell r="I1712">
            <v>0</v>
          </cell>
          <cell r="L1712">
            <v>200</v>
          </cell>
        </row>
        <row r="1713">
          <cell r="D1713">
            <v>45853</v>
          </cell>
          <cell r="H1713">
            <v>5</v>
          </cell>
          <cell r="I1713">
            <v>0</v>
          </cell>
          <cell r="L1713">
            <v>50</v>
          </cell>
        </row>
        <row r="1714">
          <cell r="D1714">
            <v>45853</v>
          </cell>
          <cell r="H1714">
            <v>6</v>
          </cell>
          <cell r="I1714">
            <v>0</v>
          </cell>
          <cell r="L1714">
            <v>25</v>
          </cell>
        </row>
        <row r="1715">
          <cell r="D1715">
            <v>45853</v>
          </cell>
          <cell r="H1715">
            <v>8</v>
          </cell>
          <cell r="I1715">
            <v>0</v>
          </cell>
          <cell r="L1715">
            <v>25</v>
          </cell>
        </row>
        <row r="1716">
          <cell r="D1716">
            <v>45853</v>
          </cell>
          <cell r="H1716">
            <v>5</v>
          </cell>
          <cell r="I1716">
            <v>0</v>
          </cell>
          <cell r="L1716">
            <v>100</v>
          </cell>
        </row>
        <row r="1717">
          <cell r="D1717">
            <v>45853</v>
          </cell>
          <cell r="H1717">
            <v>5</v>
          </cell>
          <cell r="I1717">
            <v>0</v>
          </cell>
          <cell r="L1717">
            <v>50</v>
          </cell>
        </row>
        <row r="1718">
          <cell r="D1718">
            <v>45853</v>
          </cell>
          <cell r="H1718">
            <v>4.5</v>
          </cell>
          <cell r="I1718">
            <v>0</v>
          </cell>
          <cell r="L1718">
            <v>50</v>
          </cell>
        </row>
        <row r="1719">
          <cell r="D1719">
            <v>45853</v>
          </cell>
          <cell r="H1719">
            <v>5</v>
          </cell>
          <cell r="I1719">
            <v>0</v>
          </cell>
          <cell r="L1719">
            <v>100</v>
          </cell>
        </row>
        <row r="1720">
          <cell r="D1720">
            <v>45853</v>
          </cell>
          <cell r="H1720">
            <v>4.5</v>
          </cell>
          <cell r="I1720">
            <v>0</v>
          </cell>
          <cell r="L1720">
            <v>150</v>
          </cell>
        </row>
        <row r="1721">
          <cell r="D1721">
            <v>45853</v>
          </cell>
          <cell r="H1721">
            <v>5</v>
          </cell>
          <cell r="I1721">
            <v>0</v>
          </cell>
          <cell r="L1721">
            <v>75</v>
          </cell>
        </row>
        <row r="1722">
          <cell r="D1722">
            <v>45853</v>
          </cell>
          <cell r="H1722">
            <v>5</v>
          </cell>
          <cell r="I1722">
            <v>0</v>
          </cell>
          <cell r="L1722">
            <v>200</v>
          </cell>
        </row>
        <row r="1723">
          <cell r="D1723">
            <v>45853</v>
          </cell>
          <cell r="H1723">
            <v>5</v>
          </cell>
          <cell r="I1723">
            <v>0</v>
          </cell>
          <cell r="L1723">
            <v>100</v>
          </cell>
        </row>
        <row r="1724">
          <cell r="D1724">
            <v>45853</v>
          </cell>
          <cell r="H1724">
            <v>5</v>
          </cell>
          <cell r="I1724">
            <v>0</v>
          </cell>
          <cell r="L1724">
            <v>50</v>
          </cell>
        </row>
        <row r="1725">
          <cell r="D1725">
            <v>45853</v>
          </cell>
          <cell r="H1725">
            <v>5</v>
          </cell>
          <cell r="I1725">
            <v>0</v>
          </cell>
          <cell r="L1725">
            <v>210</v>
          </cell>
        </row>
        <row r="1726">
          <cell r="D1726">
            <v>45854</v>
          </cell>
          <cell r="H1726">
            <v>4.5</v>
          </cell>
          <cell r="I1726">
            <v>0</v>
          </cell>
          <cell r="L1726">
            <v>100</v>
          </cell>
        </row>
        <row r="1727">
          <cell r="D1727">
            <v>45854</v>
          </cell>
          <cell r="H1727">
            <v>4.5</v>
          </cell>
          <cell r="I1727">
            <v>0</v>
          </cell>
          <cell r="L1727">
            <v>50</v>
          </cell>
        </row>
        <row r="1728">
          <cell r="D1728">
            <v>45854</v>
          </cell>
          <cell r="H1728">
            <v>4.5</v>
          </cell>
          <cell r="I1728">
            <v>0</v>
          </cell>
          <cell r="L1728">
            <v>50</v>
          </cell>
        </row>
        <row r="1729">
          <cell r="D1729">
            <v>45854</v>
          </cell>
          <cell r="H1729">
            <v>4.5</v>
          </cell>
          <cell r="I1729">
            <v>0</v>
          </cell>
          <cell r="L1729">
            <v>45</v>
          </cell>
        </row>
        <row r="1730">
          <cell r="D1730">
            <v>45854</v>
          </cell>
          <cell r="H1730">
            <v>4.5</v>
          </cell>
          <cell r="I1730">
            <v>0</v>
          </cell>
          <cell r="L1730">
            <v>25</v>
          </cell>
        </row>
        <row r="1731">
          <cell r="D1731">
            <v>45854</v>
          </cell>
          <cell r="H1731">
            <v>4.5</v>
          </cell>
          <cell r="I1731">
            <v>0</v>
          </cell>
          <cell r="L1731">
            <v>75</v>
          </cell>
        </row>
        <row r="1732">
          <cell r="D1732">
            <v>45854</v>
          </cell>
          <cell r="H1732">
            <v>5</v>
          </cell>
          <cell r="I1732">
            <v>0</v>
          </cell>
          <cell r="L1732">
            <v>150</v>
          </cell>
        </row>
        <row r="1733">
          <cell r="D1733">
            <v>45854</v>
          </cell>
          <cell r="H1733">
            <v>5</v>
          </cell>
          <cell r="I1733">
            <v>0</v>
          </cell>
          <cell r="L1733">
            <v>200</v>
          </cell>
        </row>
        <row r="1734">
          <cell r="D1734">
            <v>45854</v>
          </cell>
          <cell r="H1734">
            <v>5</v>
          </cell>
          <cell r="I1734">
            <v>0</v>
          </cell>
          <cell r="L1734">
            <v>125</v>
          </cell>
        </row>
        <row r="1735">
          <cell r="D1735">
            <v>45854</v>
          </cell>
          <cell r="H1735">
            <v>5</v>
          </cell>
          <cell r="I1735">
            <v>0</v>
          </cell>
          <cell r="L1735">
            <v>125</v>
          </cell>
        </row>
        <row r="1736">
          <cell r="D1736">
            <v>45854</v>
          </cell>
          <cell r="H1736">
            <v>5</v>
          </cell>
          <cell r="I1736">
            <v>0</v>
          </cell>
          <cell r="L1736">
            <v>25</v>
          </cell>
        </row>
        <row r="1737">
          <cell r="D1737">
            <v>45854</v>
          </cell>
          <cell r="L1737">
            <v>420</v>
          </cell>
        </row>
        <row r="1738">
          <cell r="D1738">
            <v>45854</v>
          </cell>
          <cell r="H1738">
            <v>5</v>
          </cell>
          <cell r="I1738">
            <v>0</v>
          </cell>
          <cell r="L1738">
            <v>315</v>
          </cell>
        </row>
        <row r="1739">
          <cell r="D1739">
            <v>45855</v>
          </cell>
          <cell r="H1739">
            <v>5</v>
          </cell>
          <cell r="I1739">
            <v>0</v>
          </cell>
          <cell r="L1739">
            <v>200</v>
          </cell>
        </row>
        <row r="1740">
          <cell r="D1740">
            <v>45855</v>
          </cell>
          <cell r="H1740">
            <v>5</v>
          </cell>
          <cell r="I1740">
            <v>0</v>
          </cell>
          <cell r="L1740">
            <v>200</v>
          </cell>
        </row>
        <row r="1741">
          <cell r="D1741">
            <v>45855</v>
          </cell>
          <cell r="H1741">
            <v>5</v>
          </cell>
          <cell r="I1741">
            <v>0</v>
          </cell>
          <cell r="L1741">
            <v>25</v>
          </cell>
        </row>
        <row r="1742">
          <cell r="D1742">
            <v>45855</v>
          </cell>
          <cell r="H1742">
            <v>5</v>
          </cell>
          <cell r="I1742">
            <v>0</v>
          </cell>
          <cell r="L1742">
            <v>325</v>
          </cell>
        </row>
        <row r="1743">
          <cell r="D1743">
            <v>45855</v>
          </cell>
          <cell r="H1743">
            <v>5</v>
          </cell>
          <cell r="I1743">
            <v>0</v>
          </cell>
          <cell r="L1743">
            <v>50</v>
          </cell>
        </row>
        <row r="1744">
          <cell r="D1744">
            <v>45855</v>
          </cell>
          <cell r="H1744">
            <v>5</v>
          </cell>
          <cell r="I1744">
            <v>0</v>
          </cell>
          <cell r="L1744">
            <v>50</v>
          </cell>
        </row>
        <row r="1745">
          <cell r="D1745">
            <v>45855</v>
          </cell>
          <cell r="H1745">
            <v>5</v>
          </cell>
          <cell r="I1745">
            <v>0</v>
          </cell>
          <cell r="L1745">
            <v>75</v>
          </cell>
        </row>
        <row r="1746">
          <cell r="D1746">
            <v>45855</v>
          </cell>
          <cell r="H1746">
            <v>5</v>
          </cell>
          <cell r="I1746">
            <v>0</v>
          </cell>
          <cell r="L1746">
            <v>100</v>
          </cell>
        </row>
        <row r="1747">
          <cell r="D1747">
            <v>45855</v>
          </cell>
          <cell r="L1747">
            <v>280</v>
          </cell>
        </row>
        <row r="1748">
          <cell r="D1748">
            <v>45855</v>
          </cell>
          <cell r="H1748">
            <v>5</v>
          </cell>
          <cell r="I1748">
            <v>0</v>
          </cell>
          <cell r="L1748">
            <v>100</v>
          </cell>
        </row>
        <row r="1749">
          <cell r="D1749">
            <v>45855</v>
          </cell>
          <cell r="H1749">
            <v>5</v>
          </cell>
          <cell r="I1749">
            <v>0</v>
          </cell>
          <cell r="L1749">
            <v>75</v>
          </cell>
        </row>
        <row r="1750">
          <cell r="D1750">
            <v>45855</v>
          </cell>
          <cell r="H1750">
            <v>5</v>
          </cell>
          <cell r="I1750">
            <v>0</v>
          </cell>
          <cell r="L1750">
            <v>210</v>
          </cell>
        </row>
        <row r="1751">
          <cell r="D1751">
            <v>45856</v>
          </cell>
          <cell r="H1751">
            <v>5</v>
          </cell>
          <cell r="I1751">
            <v>0</v>
          </cell>
          <cell r="L1751">
            <v>100</v>
          </cell>
        </row>
        <row r="1752">
          <cell r="D1752">
            <v>45856</v>
          </cell>
          <cell r="H1752">
            <v>5</v>
          </cell>
          <cell r="I1752">
            <v>0</v>
          </cell>
          <cell r="L1752">
            <v>50</v>
          </cell>
        </row>
        <row r="1753">
          <cell r="D1753">
            <v>45856</v>
          </cell>
          <cell r="H1753">
            <v>5</v>
          </cell>
          <cell r="I1753">
            <v>0</v>
          </cell>
          <cell r="L1753">
            <v>210</v>
          </cell>
        </row>
        <row r="1754">
          <cell r="D1754">
            <v>45856</v>
          </cell>
          <cell r="H1754">
            <v>5</v>
          </cell>
          <cell r="I1754">
            <v>0</v>
          </cell>
          <cell r="L1754">
            <v>500</v>
          </cell>
        </row>
        <row r="1755">
          <cell r="D1755">
            <v>45856</v>
          </cell>
          <cell r="L1755">
            <v>140</v>
          </cell>
        </row>
        <row r="1756">
          <cell r="D1756">
            <v>45856</v>
          </cell>
          <cell r="H1756">
            <v>5</v>
          </cell>
          <cell r="I1756">
            <v>0</v>
          </cell>
          <cell r="L1756">
            <v>210</v>
          </cell>
        </row>
        <row r="1757">
          <cell r="D1757">
            <v>45856</v>
          </cell>
          <cell r="L1757">
            <v>180</v>
          </cell>
        </row>
        <row r="1758">
          <cell r="D1758">
            <v>45857</v>
          </cell>
          <cell r="H1758">
            <v>5</v>
          </cell>
          <cell r="I1758">
            <v>0</v>
          </cell>
          <cell r="L1758">
            <v>25</v>
          </cell>
        </row>
        <row r="1759">
          <cell r="D1759">
            <v>45857</v>
          </cell>
          <cell r="H1759">
            <v>5</v>
          </cell>
          <cell r="I1759">
            <v>0</v>
          </cell>
          <cell r="L1759">
            <v>225</v>
          </cell>
        </row>
        <row r="1760">
          <cell r="D1760">
            <v>45857</v>
          </cell>
          <cell r="H1760">
            <v>5</v>
          </cell>
          <cell r="I1760">
            <v>0</v>
          </cell>
          <cell r="L1760">
            <v>210</v>
          </cell>
        </row>
        <row r="1761">
          <cell r="D1761">
            <v>45857</v>
          </cell>
          <cell r="H1761">
            <v>5</v>
          </cell>
          <cell r="I1761">
            <v>0</v>
          </cell>
          <cell r="L1761">
            <v>50</v>
          </cell>
        </row>
        <row r="1762">
          <cell r="D1762">
            <v>45857</v>
          </cell>
          <cell r="H1762">
            <v>5</v>
          </cell>
          <cell r="I1762">
            <v>0</v>
          </cell>
          <cell r="L1762">
            <v>385</v>
          </cell>
        </row>
        <row r="1763">
          <cell r="D1763">
            <v>45857</v>
          </cell>
          <cell r="L1763">
            <v>240</v>
          </cell>
        </row>
        <row r="1764">
          <cell r="D1764">
            <v>45858</v>
          </cell>
          <cell r="H1764">
            <v>5</v>
          </cell>
          <cell r="I1764">
            <v>0</v>
          </cell>
          <cell r="L1764">
            <v>500</v>
          </cell>
        </row>
        <row r="1765">
          <cell r="D1765">
            <v>45858</v>
          </cell>
          <cell r="H1765">
            <v>5</v>
          </cell>
          <cell r="I1765">
            <v>0</v>
          </cell>
          <cell r="L1765">
            <v>420</v>
          </cell>
        </row>
        <row r="1766">
          <cell r="D1766">
            <v>45859</v>
          </cell>
          <cell r="H1766">
            <v>5</v>
          </cell>
          <cell r="I1766">
            <v>0</v>
          </cell>
          <cell r="L1766">
            <v>50</v>
          </cell>
        </row>
        <row r="1767">
          <cell r="D1767">
            <v>45859</v>
          </cell>
          <cell r="H1767">
            <v>5</v>
          </cell>
          <cell r="I1767">
            <v>0</v>
          </cell>
          <cell r="L1767">
            <v>400</v>
          </cell>
        </row>
        <row r="1768">
          <cell r="D1768">
            <v>45859</v>
          </cell>
          <cell r="H1768">
            <v>5</v>
          </cell>
          <cell r="I1768">
            <v>0</v>
          </cell>
          <cell r="L1768">
            <v>300</v>
          </cell>
        </row>
        <row r="1769">
          <cell r="D1769">
            <v>45859</v>
          </cell>
          <cell r="H1769">
            <v>5</v>
          </cell>
          <cell r="I1769">
            <v>0</v>
          </cell>
          <cell r="L1769">
            <v>315</v>
          </cell>
        </row>
        <row r="1770">
          <cell r="D1770">
            <v>45859</v>
          </cell>
          <cell r="H1770">
            <v>5</v>
          </cell>
          <cell r="I1770">
            <v>0</v>
          </cell>
          <cell r="L1770">
            <v>350</v>
          </cell>
        </row>
        <row r="1771">
          <cell r="D1771">
            <v>45859</v>
          </cell>
          <cell r="H1771">
            <v>5</v>
          </cell>
          <cell r="I1771">
            <v>0</v>
          </cell>
          <cell r="L1771">
            <v>101</v>
          </cell>
        </row>
        <row r="1772">
          <cell r="D1772">
            <v>45859</v>
          </cell>
          <cell r="H1772">
            <v>5</v>
          </cell>
          <cell r="I1772">
            <v>0</v>
          </cell>
          <cell r="L1772">
            <v>20</v>
          </cell>
        </row>
        <row r="1773">
          <cell r="D1773">
            <v>45860</v>
          </cell>
          <cell r="H1773">
            <v>5</v>
          </cell>
          <cell r="I1773">
            <v>0</v>
          </cell>
          <cell r="L1773">
            <v>75</v>
          </cell>
        </row>
        <row r="1774">
          <cell r="D1774">
            <v>45860</v>
          </cell>
          <cell r="H1774">
            <v>5</v>
          </cell>
          <cell r="I1774">
            <v>0</v>
          </cell>
          <cell r="L1774">
            <v>75</v>
          </cell>
        </row>
        <row r="1775">
          <cell r="D1775">
            <v>45860</v>
          </cell>
          <cell r="H1775">
            <v>4.5</v>
          </cell>
          <cell r="I1775">
            <v>0</v>
          </cell>
          <cell r="L1775">
            <v>50</v>
          </cell>
        </row>
        <row r="1776">
          <cell r="D1776">
            <v>45860</v>
          </cell>
          <cell r="H1776">
            <v>4.5</v>
          </cell>
          <cell r="I1776">
            <v>0</v>
          </cell>
          <cell r="L1776">
            <v>50</v>
          </cell>
        </row>
        <row r="1777">
          <cell r="D1777">
            <v>45860</v>
          </cell>
          <cell r="H1777">
            <v>10</v>
          </cell>
          <cell r="I1777">
            <v>0</v>
          </cell>
          <cell r="L1777">
            <v>103</v>
          </cell>
        </row>
        <row r="1778">
          <cell r="D1778">
            <v>45860</v>
          </cell>
          <cell r="H1778">
            <v>5</v>
          </cell>
          <cell r="I1778">
            <v>0</v>
          </cell>
          <cell r="L1778">
            <v>175</v>
          </cell>
        </row>
        <row r="1779">
          <cell r="D1779">
            <v>45860</v>
          </cell>
          <cell r="H1779">
            <v>5</v>
          </cell>
          <cell r="I1779">
            <v>0</v>
          </cell>
          <cell r="L1779">
            <v>50</v>
          </cell>
        </row>
        <row r="1780">
          <cell r="D1780">
            <v>45860</v>
          </cell>
          <cell r="H1780">
            <v>5</v>
          </cell>
          <cell r="I1780">
            <v>0</v>
          </cell>
          <cell r="L1780">
            <v>35</v>
          </cell>
        </row>
        <row r="1781">
          <cell r="D1781">
            <v>45860</v>
          </cell>
          <cell r="H1781">
            <v>5</v>
          </cell>
          <cell r="I1781">
            <v>0</v>
          </cell>
          <cell r="L1781">
            <v>40</v>
          </cell>
        </row>
        <row r="1782">
          <cell r="D1782">
            <v>45860</v>
          </cell>
          <cell r="H1782">
            <v>5</v>
          </cell>
          <cell r="I1782">
            <v>0</v>
          </cell>
          <cell r="L1782">
            <v>200</v>
          </cell>
        </row>
        <row r="1783">
          <cell r="D1783">
            <v>45860</v>
          </cell>
          <cell r="H1783">
            <v>5</v>
          </cell>
          <cell r="I1783">
            <v>0</v>
          </cell>
          <cell r="L1783">
            <v>40</v>
          </cell>
        </row>
        <row r="1784">
          <cell r="D1784">
            <v>45860</v>
          </cell>
          <cell r="H1784">
            <v>5</v>
          </cell>
          <cell r="I1784">
            <v>0</v>
          </cell>
          <cell r="L1784">
            <v>75</v>
          </cell>
        </row>
        <row r="1785">
          <cell r="D1785">
            <v>45861</v>
          </cell>
          <cell r="H1785">
            <v>5</v>
          </cell>
          <cell r="I1785">
            <v>0</v>
          </cell>
          <cell r="L1785">
            <v>350</v>
          </cell>
        </row>
        <row r="1786">
          <cell r="D1786">
            <v>45861</v>
          </cell>
          <cell r="H1786">
            <v>5</v>
          </cell>
          <cell r="I1786">
            <v>0</v>
          </cell>
          <cell r="L1786">
            <v>275</v>
          </cell>
        </row>
        <row r="1787">
          <cell r="D1787">
            <v>45861</v>
          </cell>
          <cell r="H1787">
            <v>8</v>
          </cell>
          <cell r="I1787">
            <v>0</v>
          </cell>
          <cell r="L1787">
            <v>57.8</v>
          </cell>
        </row>
        <row r="1788">
          <cell r="D1788">
            <v>45861</v>
          </cell>
          <cell r="H1788">
            <v>5</v>
          </cell>
          <cell r="I1788">
            <v>0</v>
          </cell>
          <cell r="L1788">
            <v>100</v>
          </cell>
        </row>
        <row r="1789">
          <cell r="D1789">
            <v>45861</v>
          </cell>
          <cell r="H1789">
            <v>5</v>
          </cell>
          <cell r="I1789">
            <v>0</v>
          </cell>
          <cell r="L1789">
            <v>175</v>
          </cell>
        </row>
        <row r="1790">
          <cell r="D1790">
            <v>45861</v>
          </cell>
          <cell r="H1790">
            <v>5</v>
          </cell>
          <cell r="I1790">
            <v>0</v>
          </cell>
          <cell r="L1790">
            <v>120</v>
          </cell>
        </row>
        <row r="1791">
          <cell r="D1791">
            <v>45861</v>
          </cell>
          <cell r="H1791">
            <v>5</v>
          </cell>
          <cell r="I1791">
            <v>0</v>
          </cell>
          <cell r="L1791">
            <v>40</v>
          </cell>
        </row>
        <row r="1792">
          <cell r="D1792">
            <v>45861</v>
          </cell>
          <cell r="H1792">
            <v>5</v>
          </cell>
          <cell r="I1792">
            <v>0</v>
          </cell>
          <cell r="L1792">
            <v>260</v>
          </cell>
        </row>
        <row r="1793">
          <cell r="D1793">
            <v>45862</v>
          </cell>
          <cell r="H1793">
            <v>5</v>
          </cell>
          <cell r="I1793">
            <v>0</v>
          </cell>
          <cell r="L1793">
            <v>425</v>
          </cell>
        </row>
        <row r="1794">
          <cell r="D1794">
            <v>45862</v>
          </cell>
          <cell r="H1794">
            <v>5</v>
          </cell>
          <cell r="I1794">
            <v>0</v>
          </cell>
          <cell r="L1794">
            <v>250</v>
          </cell>
        </row>
        <row r="1795">
          <cell r="D1795">
            <v>45862</v>
          </cell>
          <cell r="H1795">
            <v>5</v>
          </cell>
          <cell r="I1795">
            <v>0</v>
          </cell>
          <cell r="L1795">
            <v>50</v>
          </cell>
        </row>
        <row r="1796">
          <cell r="D1796">
            <v>45862</v>
          </cell>
          <cell r="H1796">
            <v>5</v>
          </cell>
          <cell r="I1796">
            <v>0</v>
          </cell>
          <cell r="L1796">
            <v>425</v>
          </cell>
        </row>
        <row r="1797">
          <cell r="D1797">
            <v>45862</v>
          </cell>
          <cell r="H1797">
            <v>5</v>
          </cell>
          <cell r="I1797">
            <v>0</v>
          </cell>
          <cell r="L1797">
            <v>425</v>
          </cell>
        </row>
        <row r="1798">
          <cell r="D1798">
            <v>45862</v>
          </cell>
          <cell r="H1798">
            <v>5</v>
          </cell>
          <cell r="I1798">
            <v>0</v>
          </cell>
          <cell r="L1798">
            <v>25</v>
          </cell>
        </row>
        <row r="1799">
          <cell r="D1799">
            <v>45862</v>
          </cell>
          <cell r="H1799">
            <v>5</v>
          </cell>
          <cell r="I1799">
            <v>0</v>
          </cell>
          <cell r="L1799">
            <v>60</v>
          </cell>
        </row>
        <row r="1800">
          <cell r="D1800">
            <v>45862</v>
          </cell>
          <cell r="H1800">
            <v>5</v>
          </cell>
          <cell r="I1800">
            <v>0</v>
          </cell>
          <cell r="L1800">
            <v>180</v>
          </cell>
        </row>
        <row r="1801">
          <cell r="D1801">
            <v>45862</v>
          </cell>
          <cell r="H1801">
            <v>5</v>
          </cell>
          <cell r="I1801">
            <v>0</v>
          </cell>
          <cell r="L1801">
            <v>240</v>
          </cell>
        </row>
        <row r="1802">
          <cell r="D1802">
            <v>45863</v>
          </cell>
          <cell r="H1802">
            <v>5</v>
          </cell>
          <cell r="I1802">
            <v>0</v>
          </cell>
          <cell r="L1802">
            <v>250</v>
          </cell>
        </row>
        <row r="1803">
          <cell r="D1803">
            <v>45863</v>
          </cell>
          <cell r="H1803">
            <v>5</v>
          </cell>
          <cell r="I1803">
            <v>0</v>
          </cell>
          <cell r="L1803">
            <v>50</v>
          </cell>
        </row>
        <row r="1804">
          <cell r="D1804">
            <v>45863</v>
          </cell>
          <cell r="H1804" t="str">
            <v>4-4.5</v>
          </cell>
          <cell r="I1804">
            <v>0</v>
          </cell>
          <cell r="L1804">
            <v>100</v>
          </cell>
        </row>
        <row r="1805">
          <cell r="D1805">
            <v>45863</v>
          </cell>
          <cell r="H1805">
            <v>5</v>
          </cell>
          <cell r="I1805">
            <v>0</v>
          </cell>
          <cell r="L1805">
            <v>150</v>
          </cell>
        </row>
        <row r="1806">
          <cell r="D1806">
            <v>45863</v>
          </cell>
          <cell r="H1806">
            <v>5</v>
          </cell>
          <cell r="I1806">
            <v>0</v>
          </cell>
          <cell r="L1806">
            <v>75</v>
          </cell>
        </row>
        <row r="1807">
          <cell r="D1807">
            <v>45863</v>
          </cell>
          <cell r="H1807">
            <v>10</v>
          </cell>
          <cell r="I1807">
            <v>0</v>
          </cell>
          <cell r="L1807">
            <v>50</v>
          </cell>
        </row>
        <row r="1808">
          <cell r="D1808">
            <v>45863</v>
          </cell>
          <cell r="H1808" t="str">
            <v>4-4.5</v>
          </cell>
          <cell r="I1808">
            <v>0</v>
          </cell>
          <cell r="L1808">
            <v>100</v>
          </cell>
        </row>
        <row r="1809">
          <cell r="D1809">
            <v>45863</v>
          </cell>
          <cell r="H1809">
            <v>5</v>
          </cell>
          <cell r="I1809">
            <v>0</v>
          </cell>
          <cell r="L1809">
            <v>250</v>
          </cell>
        </row>
        <row r="1810">
          <cell r="D1810">
            <v>45863</v>
          </cell>
          <cell r="H1810">
            <v>5</v>
          </cell>
          <cell r="I1810">
            <v>0</v>
          </cell>
          <cell r="L1810">
            <v>325</v>
          </cell>
        </row>
        <row r="1811">
          <cell r="D1811">
            <v>45863</v>
          </cell>
          <cell r="H1811">
            <v>5</v>
          </cell>
          <cell r="I1811">
            <v>0</v>
          </cell>
          <cell r="L1811">
            <v>180</v>
          </cell>
        </row>
        <row r="1812">
          <cell r="D1812">
            <v>45863</v>
          </cell>
          <cell r="H1812">
            <v>8</v>
          </cell>
          <cell r="I1812">
            <v>0</v>
          </cell>
          <cell r="L1812">
            <v>104.8</v>
          </cell>
        </row>
        <row r="1813">
          <cell r="D1813">
            <v>45863</v>
          </cell>
          <cell r="H1813">
            <v>5</v>
          </cell>
          <cell r="I1813">
            <v>0</v>
          </cell>
          <cell r="L1813">
            <v>100</v>
          </cell>
        </row>
        <row r="1814">
          <cell r="D1814">
            <v>45864</v>
          </cell>
          <cell r="H1814">
            <v>5</v>
          </cell>
          <cell r="I1814">
            <v>0</v>
          </cell>
          <cell r="L1814">
            <v>375</v>
          </cell>
        </row>
        <row r="1815">
          <cell r="D1815">
            <v>45864</v>
          </cell>
          <cell r="H1815">
            <v>5</v>
          </cell>
          <cell r="I1815">
            <v>0</v>
          </cell>
          <cell r="L1815">
            <v>79.5</v>
          </cell>
        </row>
        <row r="1816">
          <cell r="D1816">
            <v>45864</v>
          </cell>
          <cell r="H1816">
            <v>5</v>
          </cell>
          <cell r="I1816">
            <v>0</v>
          </cell>
          <cell r="L1816">
            <v>225</v>
          </cell>
        </row>
        <row r="1817">
          <cell r="D1817">
            <v>45864</v>
          </cell>
          <cell r="H1817">
            <v>5</v>
          </cell>
          <cell r="I1817">
            <v>0</v>
          </cell>
          <cell r="L1817">
            <v>250</v>
          </cell>
        </row>
        <row r="1818">
          <cell r="D1818">
            <v>45864</v>
          </cell>
          <cell r="H1818">
            <v>5</v>
          </cell>
          <cell r="I1818">
            <v>0</v>
          </cell>
          <cell r="L1818">
            <v>50</v>
          </cell>
        </row>
        <row r="1819">
          <cell r="D1819">
            <v>45864</v>
          </cell>
          <cell r="H1819">
            <v>5</v>
          </cell>
          <cell r="I1819">
            <v>0</v>
          </cell>
          <cell r="L1819">
            <v>25</v>
          </cell>
        </row>
        <row r="1820">
          <cell r="D1820">
            <v>45864</v>
          </cell>
          <cell r="H1820">
            <v>5</v>
          </cell>
          <cell r="I1820">
            <v>0</v>
          </cell>
          <cell r="L1820">
            <v>325</v>
          </cell>
        </row>
        <row r="1821">
          <cell r="D1821">
            <v>45864</v>
          </cell>
          <cell r="H1821">
            <v>5</v>
          </cell>
          <cell r="I1821">
            <v>0</v>
          </cell>
          <cell r="L1821">
            <v>50</v>
          </cell>
        </row>
        <row r="1822">
          <cell r="D1822">
            <v>45864</v>
          </cell>
          <cell r="H1822">
            <v>5</v>
          </cell>
          <cell r="I1822">
            <v>0</v>
          </cell>
          <cell r="L1822">
            <v>50</v>
          </cell>
        </row>
        <row r="1823">
          <cell r="D1823">
            <v>45864</v>
          </cell>
          <cell r="H1823">
            <v>5</v>
          </cell>
          <cell r="I1823">
            <v>0</v>
          </cell>
          <cell r="L1823">
            <v>225</v>
          </cell>
        </row>
        <row r="1824">
          <cell r="D1824">
            <v>45864</v>
          </cell>
          <cell r="H1824">
            <v>5</v>
          </cell>
          <cell r="I1824">
            <v>0</v>
          </cell>
          <cell r="L1824">
            <v>100</v>
          </cell>
        </row>
        <row r="1825">
          <cell r="D1825">
            <v>45864</v>
          </cell>
          <cell r="H1825">
            <v>5</v>
          </cell>
          <cell r="I1825">
            <v>0</v>
          </cell>
          <cell r="L1825">
            <v>60</v>
          </cell>
        </row>
        <row r="1826">
          <cell r="D1826">
            <v>45864</v>
          </cell>
          <cell r="H1826">
            <v>5</v>
          </cell>
          <cell r="I1826">
            <v>0</v>
          </cell>
          <cell r="L1826">
            <v>20</v>
          </cell>
        </row>
        <row r="1827">
          <cell r="D1827">
            <v>45865</v>
          </cell>
          <cell r="H1827">
            <v>5</v>
          </cell>
          <cell r="I1827">
            <v>0</v>
          </cell>
          <cell r="L1827">
            <v>250</v>
          </cell>
        </row>
        <row r="1828">
          <cell r="D1828">
            <v>45865</v>
          </cell>
          <cell r="H1828">
            <v>5</v>
          </cell>
          <cell r="I1828">
            <v>0</v>
          </cell>
          <cell r="L1828">
            <v>75</v>
          </cell>
        </row>
        <row r="1829">
          <cell r="D1829">
            <v>45865</v>
          </cell>
          <cell r="H1829">
            <v>10</v>
          </cell>
          <cell r="I1829">
            <v>0</v>
          </cell>
          <cell r="L1829">
            <v>157.19999999999999</v>
          </cell>
        </row>
        <row r="1830">
          <cell r="D1830">
            <v>45865</v>
          </cell>
          <cell r="H1830">
            <v>5</v>
          </cell>
          <cell r="I1830">
            <v>0</v>
          </cell>
          <cell r="L1830">
            <v>125</v>
          </cell>
        </row>
        <row r="1831">
          <cell r="D1831">
            <v>45865</v>
          </cell>
          <cell r="H1831">
            <v>5</v>
          </cell>
          <cell r="I1831">
            <v>0</v>
          </cell>
          <cell r="L1831">
            <v>245</v>
          </cell>
        </row>
        <row r="1832">
          <cell r="D1832">
            <v>45866</v>
          </cell>
          <cell r="H1832">
            <v>5</v>
          </cell>
          <cell r="I1832">
            <v>0</v>
          </cell>
          <cell r="L1832">
            <v>175</v>
          </cell>
        </row>
        <row r="1833">
          <cell r="D1833">
            <v>45866</v>
          </cell>
          <cell r="H1833">
            <v>5</v>
          </cell>
          <cell r="I1833">
            <v>0</v>
          </cell>
          <cell r="L1833">
            <v>325</v>
          </cell>
        </row>
        <row r="1834">
          <cell r="D1834">
            <v>45866</v>
          </cell>
          <cell r="H1834" t="str">
            <v>4-4.5</v>
          </cell>
          <cell r="I1834">
            <v>0</v>
          </cell>
          <cell r="L1834">
            <v>300</v>
          </cell>
        </row>
        <row r="1835">
          <cell r="D1835">
            <v>45866</v>
          </cell>
          <cell r="H1835">
            <v>5</v>
          </cell>
          <cell r="I1835">
            <v>0</v>
          </cell>
          <cell r="L1835">
            <v>100</v>
          </cell>
        </row>
        <row r="1836">
          <cell r="D1836">
            <v>45866</v>
          </cell>
          <cell r="H1836">
            <v>5</v>
          </cell>
          <cell r="I1836">
            <v>0</v>
          </cell>
          <cell r="L1836">
            <v>25</v>
          </cell>
        </row>
        <row r="1837">
          <cell r="D1837">
            <v>45866</v>
          </cell>
          <cell r="H1837">
            <v>5</v>
          </cell>
          <cell r="I1837">
            <v>0</v>
          </cell>
          <cell r="L1837">
            <v>425</v>
          </cell>
        </row>
        <row r="1838">
          <cell r="D1838">
            <v>45866</v>
          </cell>
          <cell r="H1838">
            <v>5</v>
          </cell>
          <cell r="I1838">
            <v>0</v>
          </cell>
          <cell r="L1838">
            <v>325</v>
          </cell>
        </row>
        <row r="1839">
          <cell r="D1839">
            <v>45866</v>
          </cell>
          <cell r="H1839">
            <v>5</v>
          </cell>
          <cell r="I1839">
            <v>0</v>
          </cell>
          <cell r="L1839">
            <v>125</v>
          </cell>
        </row>
        <row r="1840">
          <cell r="D1840">
            <v>45866</v>
          </cell>
          <cell r="H1840">
            <v>8</v>
          </cell>
          <cell r="I1840">
            <v>0</v>
          </cell>
          <cell r="L1840">
            <v>150</v>
          </cell>
        </row>
        <row r="1841">
          <cell r="D1841">
            <v>45866</v>
          </cell>
          <cell r="H1841">
            <v>5</v>
          </cell>
          <cell r="I1841">
            <v>0</v>
          </cell>
          <cell r="L1841">
            <v>350</v>
          </cell>
        </row>
        <row r="1842">
          <cell r="D1842">
            <v>45867</v>
          </cell>
          <cell r="H1842">
            <v>5</v>
          </cell>
          <cell r="I1842">
            <v>0</v>
          </cell>
          <cell r="L1842">
            <v>100</v>
          </cell>
        </row>
        <row r="1843">
          <cell r="D1843">
            <v>45867</v>
          </cell>
          <cell r="H1843">
            <v>5</v>
          </cell>
          <cell r="I1843">
            <v>0</v>
          </cell>
          <cell r="L1843">
            <v>75</v>
          </cell>
        </row>
        <row r="1844">
          <cell r="D1844">
            <v>45867</v>
          </cell>
          <cell r="H1844">
            <v>10</v>
          </cell>
          <cell r="I1844">
            <v>0</v>
          </cell>
          <cell r="L1844">
            <v>92.3</v>
          </cell>
        </row>
        <row r="1845">
          <cell r="D1845">
            <v>45867</v>
          </cell>
          <cell r="H1845">
            <v>5</v>
          </cell>
          <cell r="I1845">
            <v>0</v>
          </cell>
          <cell r="L1845">
            <v>150</v>
          </cell>
        </row>
        <row r="1846">
          <cell r="D1846">
            <v>45867</v>
          </cell>
          <cell r="H1846">
            <v>5</v>
          </cell>
          <cell r="I1846">
            <v>0</v>
          </cell>
          <cell r="L1846">
            <v>316.5</v>
          </cell>
        </row>
        <row r="1847">
          <cell r="D1847">
            <v>45867</v>
          </cell>
          <cell r="H1847">
            <v>5</v>
          </cell>
          <cell r="I1847">
            <v>0</v>
          </cell>
          <cell r="L1847">
            <v>50</v>
          </cell>
        </row>
        <row r="1848">
          <cell r="D1848">
            <v>45867</v>
          </cell>
          <cell r="H1848">
            <v>5</v>
          </cell>
          <cell r="I1848">
            <v>0</v>
          </cell>
          <cell r="L1848">
            <v>100</v>
          </cell>
        </row>
        <row r="1849">
          <cell r="D1849">
            <v>45867</v>
          </cell>
          <cell r="H1849">
            <v>5</v>
          </cell>
          <cell r="I1849">
            <v>0</v>
          </cell>
          <cell r="L1849">
            <v>50</v>
          </cell>
        </row>
        <row r="1850">
          <cell r="D1850">
            <v>45867</v>
          </cell>
          <cell r="H1850">
            <v>5</v>
          </cell>
          <cell r="I1850">
            <v>0</v>
          </cell>
          <cell r="L1850">
            <v>100</v>
          </cell>
        </row>
        <row r="1851">
          <cell r="D1851">
            <v>45867</v>
          </cell>
          <cell r="H1851">
            <v>5</v>
          </cell>
          <cell r="I1851">
            <v>0</v>
          </cell>
          <cell r="L1851">
            <v>150</v>
          </cell>
        </row>
        <row r="1852">
          <cell r="D1852">
            <v>45867</v>
          </cell>
          <cell r="H1852">
            <v>5</v>
          </cell>
          <cell r="I1852">
            <v>0</v>
          </cell>
          <cell r="L1852">
            <v>300</v>
          </cell>
        </row>
        <row r="1853">
          <cell r="D1853">
            <v>45867</v>
          </cell>
          <cell r="H1853">
            <v>5</v>
          </cell>
          <cell r="I1853">
            <v>0</v>
          </cell>
          <cell r="L1853">
            <v>25</v>
          </cell>
        </row>
        <row r="1854">
          <cell r="D1854">
            <v>45867</v>
          </cell>
          <cell r="H1854">
            <v>8</v>
          </cell>
          <cell r="I1854">
            <v>0</v>
          </cell>
          <cell r="L1854">
            <v>425</v>
          </cell>
        </row>
        <row r="1855">
          <cell r="D1855">
            <v>45867</v>
          </cell>
          <cell r="H1855">
            <v>5</v>
          </cell>
          <cell r="I1855">
            <v>0</v>
          </cell>
          <cell r="L1855">
            <v>100</v>
          </cell>
        </row>
        <row r="1856">
          <cell r="D1856">
            <v>45867</v>
          </cell>
          <cell r="H1856">
            <v>5</v>
          </cell>
          <cell r="I1856">
            <v>0</v>
          </cell>
          <cell r="L1856">
            <v>120</v>
          </cell>
        </row>
        <row r="1857">
          <cell r="D1857">
            <v>45867</v>
          </cell>
          <cell r="H1857">
            <v>5</v>
          </cell>
          <cell r="I1857">
            <v>0</v>
          </cell>
          <cell r="L1857">
            <v>70</v>
          </cell>
        </row>
        <row r="1858">
          <cell r="D1858">
            <v>45868</v>
          </cell>
          <cell r="H1858">
            <v>4.5</v>
          </cell>
          <cell r="I1858">
            <v>0</v>
          </cell>
          <cell r="L1858">
            <v>160</v>
          </cell>
        </row>
        <row r="1859">
          <cell r="D1859">
            <v>45868</v>
          </cell>
          <cell r="H1859">
            <v>4.5</v>
          </cell>
          <cell r="I1859">
            <v>0</v>
          </cell>
          <cell r="L1859">
            <v>150</v>
          </cell>
        </row>
        <row r="1860">
          <cell r="D1860">
            <v>45868</v>
          </cell>
          <cell r="H1860">
            <v>10</v>
          </cell>
          <cell r="I1860">
            <v>0</v>
          </cell>
          <cell r="L1860">
            <v>150</v>
          </cell>
        </row>
        <row r="1861">
          <cell r="D1861">
            <v>45868</v>
          </cell>
          <cell r="H1861">
            <v>5</v>
          </cell>
          <cell r="I1861">
            <v>0</v>
          </cell>
          <cell r="L1861">
            <v>325</v>
          </cell>
        </row>
        <row r="1862">
          <cell r="D1862">
            <v>45868</v>
          </cell>
          <cell r="H1862">
            <v>5</v>
          </cell>
          <cell r="I1862">
            <v>0</v>
          </cell>
          <cell r="L1862">
            <v>150</v>
          </cell>
        </row>
        <row r="1863">
          <cell r="D1863">
            <v>45868</v>
          </cell>
          <cell r="H1863">
            <v>5</v>
          </cell>
          <cell r="I1863">
            <v>0</v>
          </cell>
          <cell r="L1863">
            <v>125</v>
          </cell>
        </row>
        <row r="1864">
          <cell r="D1864">
            <v>45868</v>
          </cell>
          <cell r="H1864">
            <v>8</v>
          </cell>
          <cell r="I1864">
            <v>0</v>
          </cell>
          <cell r="L1864">
            <v>421.9</v>
          </cell>
        </row>
        <row r="1865">
          <cell r="D1865">
            <v>45868</v>
          </cell>
          <cell r="H1865">
            <v>5</v>
          </cell>
          <cell r="I1865">
            <v>0</v>
          </cell>
          <cell r="L1865">
            <v>40</v>
          </cell>
        </row>
        <row r="1866">
          <cell r="D1866">
            <v>45868</v>
          </cell>
          <cell r="H1866">
            <v>5</v>
          </cell>
          <cell r="I1866">
            <v>0</v>
          </cell>
          <cell r="L1866">
            <v>100</v>
          </cell>
        </row>
        <row r="1867">
          <cell r="D1867">
            <v>45869</v>
          </cell>
          <cell r="H1867">
            <v>5</v>
          </cell>
          <cell r="I1867">
            <v>0</v>
          </cell>
          <cell r="L1867">
            <v>200</v>
          </cell>
        </row>
        <row r="1868">
          <cell r="D1868">
            <v>45869</v>
          </cell>
          <cell r="H1868" t="str">
            <v>5.5-6</v>
          </cell>
          <cell r="I1868" t="str">
            <v>1:1</v>
          </cell>
          <cell r="L1868">
            <v>200</v>
          </cell>
        </row>
        <row r="1869">
          <cell r="D1869">
            <v>45869</v>
          </cell>
          <cell r="H1869">
            <v>5</v>
          </cell>
          <cell r="I1869">
            <v>0</v>
          </cell>
          <cell r="L1869">
            <v>25</v>
          </cell>
        </row>
        <row r="1870">
          <cell r="D1870">
            <v>45869</v>
          </cell>
          <cell r="H1870">
            <v>5</v>
          </cell>
          <cell r="I1870">
            <v>0</v>
          </cell>
          <cell r="L1870">
            <v>425</v>
          </cell>
        </row>
        <row r="1871">
          <cell r="D1871">
            <v>45869</v>
          </cell>
          <cell r="H1871">
            <v>5</v>
          </cell>
          <cell r="I1871">
            <v>0</v>
          </cell>
          <cell r="L1871">
            <v>400</v>
          </cell>
        </row>
        <row r="1872">
          <cell r="D1872">
            <v>45870</v>
          </cell>
          <cell r="H1872">
            <v>5</v>
          </cell>
          <cell r="I1872">
            <v>0</v>
          </cell>
          <cell r="L1872">
            <v>125</v>
          </cell>
        </row>
        <row r="1873">
          <cell r="D1873">
            <v>45870</v>
          </cell>
          <cell r="H1873">
            <v>5</v>
          </cell>
          <cell r="I1873">
            <v>0</v>
          </cell>
          <cell r="L1873">
            <v>150</v>
          </cell>
        </row>
        <row r="1874">
          <cell r="D1874">
            <v>45870</v>
          </cell>
          <cell r="H1874">
            <v>5</v>
          </cell>
          <cell r="I1874">
            <v>0</v>
          </cell>
          <cell r="L1874">
            <v>450</v>
          </cell>
        </row>
        <row r="1875">
          <cell r="D1875">
            <v>45870</v>
          </cell>
          <cell r="H1875">
            <v>5</v>
          </cell>
          <cell r="I1875">
            <v>0</v>
          </cell>
          <cell r="L1875">
            <v>25</v>
          </cell>
        </row>
        <row r="1876">
          <cell r="D1876">
            <v>45870</v>
          </cell>
          <cell r="H1876">
            <v>5</v>
          </cell>
          <cell r="I1876" t="str">
            <v>-</v>
          </cell>
          <cell r="L1876">
            <v>50</v>
          </cell>
        </row>
        <row r="1877">
          <cell r="D1877">
            <v>45870</v>
          </cell>
          <cell r="H1877">
            <v>5</v>
          </cell>
          <cell r="I1877">
            <v>0</v>
          </cell>
          <cell r="L1877">
            <v>350</v>
          </cell>
        </row>
        <row r="1878">
          <cell r="D1878">
            <v>45870</v>
          </cell>
          <cell r="H1878">
            <v>5</v>
          </cell>
          <cell r="I1878">
            <v>0</v>
          </cell>
          <cell r="L1878">
            <v>75</v>
          </cell>
        </row>
        <row r="1879">
          <cell r="D1879">
            <v>45870</v>
          </cell>
          <cell r="H1879">
            <v>5</v>
          </cell>
          <cell r="I1879">
            <v>0</v>
          </cell>
          <cell r="L1879">
            <v>300</v>
          </cell>
        </row>
        <row r="1880">
          <cell r="D1880">
            <v>45870</v>
          </cell>
          <cell r="L1880">
            <v>350</v>
          </cell>
        </row>
        <row r="1881">
          <cell r="D1881">
            <v>45870</v>
          </cell>
          <cell r="H1881">
            <v>5</v>
          </cell>
          <cell r="I1881">
            <v>0</v>
          </cell>
          <cell r="L1881">
            <v>500</v>
          </cell>
        </row>
        <row r="1882">
          <cell r="D1882">
            <v>45871</v>
          </cell>
          <cell r="H1882">
            <v>5</v>
          </cell>
          <cell r="I1882">
            <v>0</v>
          </cell>
          <cell r="L1882">
            <v>125</v>
          </cell>
        </row>
        <row r="1883">
          <cell r="D1883">
            <v>45871</v>
          </cell>
          <cell r="H1883">
            <v>5</v>
          </cell>
          <cell r="I1883">
            <v>0</v>
          </cell>
          <cell r="L1883">
            <v>100</v>
          </cell>
        </row>
        <row r="1884">
          <cell r="D1884">
            <v>45871</v>
          </cell>
          <cell r="H1884">
            <v>5</v>
          </cell>
          <cell r="I1884">
            <v>100</v>
          </cell>
          <cell r="L1884">
            <v>125</v>
          </cell>
        </row>
        <row r="1885">
          <cell r="D1885">
            <v>45871</v>
          </cell>
          <cell r="H1885">
            <v>5</v>
          </cell>
          <cell r="I1885">
            <v>0</v>
          </cell>
          <cell r="L1885">
            <v>150</v>
          </cell>
        </row>
        <row r="1886">
          <cell r="D1886">
            <v>45871</v>
          </cell>
          <cell r="H1886">
            <v>5</v>
          </cell>
          <cell r="I1886">
            <v>0</v>
          </cell>
          <cell r="L1886">
            <v>100</v>
          </cell>
        </row>
        <row r="1887">
          <cell r="D1887">
            <v>45871</v>
          </cell>
          <cell r="H1887">
            <v>5</v>
          </cell>
          <cell r="I1887">
            <v>0</v>
          </cell>
          <cell r="L1887">
            <v>200</v>
          </cell>
        </row>
        <row r="1888">
          <cell r="D1888">
            <v>45871</v>
          </cell>
          <cell r="H1888">
            <v>5</v>
          </cell>
          <cell r="I1888">
            <v>0</v>
          </cell>
          <cell r="L1888">
            <v>100</v>
          </cell>
        </row>
        <row r="1889">
          <cell r="D1889">
            <v>45871</v>
          </cell>
          <cell r="H1889">
            <v>5</v>
          </cell>
          <cell r="I1889">
            <v>0</v>
          </cell>
          <cell r="L1889">
            <v>425</v>
          </cell>
        </row>
        <row r="1890">
          <cell r="D1890">
            <v>45871</v>
          </cell>
          <cell r="L1890">
            <v>100</v>
          </cell>
        </row>
        <row r="1891">
          <cell r="D1891">
            <v>45871</v>
          </cell>
          <cell r="H1891">
            <v>5</v>
          </cell>
          <cell r="I1891">
            <v>0</v>
          </cell>
          <cell r="L1891">
            <v>120</v>
          </cell>
        </row>
        <row r="1892">
          <cell r="D1892">
            <v>45872</v>
          </cell>
          <cell r="H1892">
            <v>5</v>
          </cell>
          <cell r="I1892">
            <v>0</v>
          </cell>
          <cell r="L1892">
            <v>225</v>
          </cell>
        </row>
        <row r="1893">
          <cell r="D1893">
            <v>45872</v>
          </cell>
          <cell r="H1893">
            <v>5</v>
          </cell>
          <cell r="I1893">
            <v>0</v>
          </cell>
          <cell r="L1893">
            <v>50</v>
          </cell>
        </row>
        <row r="1894">
          <cell r="D1894">
            <v>45872</v>
          </cell>
          <cell r="H1894">
            <v>10</v>
          </cell>
          <cell r="I1894">
            <v>0</v>
          </cell>
          <cell r="L1894">
            <v>240</v>
          </cell>
        </row>
        <row r="1895">
          <cell r="D1895">
            <v>45873</v>
          </cell>
          <cell r="H1895">
            <v>5</v>
          </cell>
          <cell r="I1895">
            <v>0</v>
          </cell>
          <cell r="L1895">
            <v>300</v>
          </cell>
        </row>
        <row r="1896">
          <cell r="D1896">
            <v>45873</v>
          </cell>
          <cell r="H1896">
            <v>10</v>
          </cell>
          <cell r="I1896">
            <v>0</v>
          </cell>
          <cell r="L1896">
            <v>126.3</v>
          </cell>
        </row>
        <row r="1897">
          <cell r="D1897">
            <v>45873</v>
          </cell>
          <cell r="H1897">
            <v>5</v>
          </cell>
          <cell r="I1897">
            <v>0</v>
          </cell>
          <cell r="L1897">
            <v>425</v>
          </cell>
        </row>
        <row r="1898">
          <cell r="D1898">
            <v>45873</v>
          </cell>
          <cell r="H1898">
            <v>5</v>
          </cell>
          <cell r="I1898">
            <v>0</v>
          </cell>
          <cell r="L1898">
            <v>300</v>
          </cell>
        </row>
        <row r="1899">
          <cell r="D1899">
            <v>45874</v>
          </cell>
          <cell r="H1899">
            <v>5</v>
          </cell>
          <cell r="I1899">
            <v>0</v>
          </cell>
          <cell r="L1899">
            <v>325</v>
          </cell>
        </row>
        <row r="1900">
          <cell r="D1900">
            <v>45874</v>
          </cell>
          <cell r="H1900">
            <v>5</v>
          </cell>
          <cell r="I1900">
            <v>0</v>
          </cell>
          <cell r="L1900">
            <v>350</v>
          </cell>
        </row>
        <row r="1901">
          <cell r="D1901">
            <v>45874</v>
          </cell>
          <cell r="H1901">
            <v>5</v>
          </cell>
          <cell r="I1901">
            <v>0</v>
          </cell>
          <cell r="L1901">
            <v>50</v>
          </cell>
        </row>
        <row r="1902">
          <cell r="D1902">
            <v>45874</v>
          </cell>
          <cell r="H1902">
            <v>5</v>
          </cell>
          <cell r="I1902">
            <v>0</v>
          </cell>
          <cell r="L1902">
            <v>225</v>
          </cell>
        </row>
        <row r="1903">
          <cell r="D1903">
            <v>45874</v>
          </cell>
          <cell r="H1903">
            <v>5</v>
          </cell>
          <cell r="I1903">
            <v>0</v>
          </cell>
          <cell r="L1903">
            <v>50</v>
          </cell>
        </row>
        <row r="1904">
          <cell r="D1904">
            <v>45874</v>
          </cell>
          <cell r="H1904">
            <v>5</v>
          </cell>
          <cell r="I1904">
            <v>0</v>
          </cell>
          <cell r="L1904">
            <v>225</v>
          </cell>
        </row>
        <row r="1905">
          <cell r="D1905">
            <v>45874</v>
          </cell>
          <cell r="H1905">
            <v>5</v>
          </cell>
          <cell r="I1905">
            <v>0</v>
          </cell>
          <cell r="L1905">
            <v>40</v>
          </cell>
        </row>
        <row r="1906">
          <cell r="D1906">
            <v>45874</v>
          </cell>
          <cell r="H1906">
            <v>5</v>
          </cell>
          <cell r="I1906">
            <v>0</v>
          </cell>
          <cell r="L1906">
            <v>50</v>
          </cell>
        </row>
        <row r="1907">
          <cell r="D1907">
            <v>45875</v>
          </cell>
          <cell r="L1907">
            <v>250</v>
          </cell>
        </row>
        <row r="1908">
          <cell r="D1908">
            <v>45875</v>
          </cell>
          <cell r="H1908">
            <v>5</v>
          </cell>
          <cell r="I1908">
            <v>0</v>
          </cell>
          <cell r="L1908">
            <v>50</v>
          </cell>
        </row>
        <row r="1909">
          <cell r="D1909">
            <v>45875</v>
          </cell>
          <cell r="H1909">
            <v>5</v>
          </cell>
          <cell r="I1909">
            <v>0</v>
          </cell>
          <cell r="L1909">
            <v>50</v>
          </cell>
        </row>
        <row r="1910">
          <cell r="D1910">
            <v>45875</v>
          </cell>
          <cell r="H1910">
            <v>5</v>
          </cell>
          <cell r="I1910">
            <v>0</v>
          </cell>
          <cell r="L1910">
            <v>150</v>
          </cell>
        </row>
        <row r="1911">
          <cell r="D1911">
            <v>45875</v>
          </cell>
          <cell r="H1911" t="str">
            <v>4-4.5</v>
          </cell>
          <cell r="I1911">
            <v>0</v>
          </cell>
          <cell r="L1911">
            <v>100</v>
          </cell>
        </row>
        <row r="1912">
          <cell r="D1912">
            <v>45875</v>
          </cell>
          <cell r="H1912">
            <v>5</v>
          </cell>
          <cell r="I1912">
            <v>0</v>
          </cell>
          <cell r="L1912">
            <v>100</v>
          </cell>
        </row>
        <row r="1913">
          <cell r="D1913">
            <v>45875</v>
          </cell>
          <cell r="H1913">
            <v>5</v>
          </cell>
          <cell r="I1913">
            <v>0</v>
          </cell>
          <cell r="L1913">
            <v>50</v>
          </cell>
        </row>
        <row r="1914">
          <cell r="D1914">
            <v>45875</v>
          </cell>
          <cell r="H1914">
            <v>5</v>
          </cell>
          <cell r="I1914">
            <v>0</v>
          </cell>
          <cell r="L1914">
            <v>150</v>
          </cell>
        </row>
        <row r="1915">
          <cell r="D1915">
            <v>45875</v>
          </cell>
          <cell r="H1915">
            <v>5</v>
          </cell>
          <cell r="I1915">
            <v>0</v>
          </cell>
          <cell r="L1915">
            <v>350</v>
          </cell>
        </row>
        <row r="1916">
          <cell r="D1916">
            <v>45875</v>
          </cell>
          <cell r="H1916">
            <v>5</v>
          </cell>
          <cell r="I1916">
            <v>0</v>
          </cell>
          <cell r="L1916">
            <v>50</v>
          </cell>
        </row>
        <row r="1917">
          <cell r="D1917">
            <v>45875</v>
          </cell>
          <cell r="H1917">
            <v>5</v>
          </cell>
          <cell r="I1917">
            <v>0</v>
          </cell>
          <cell r="L1917">
            <v>75</v>
          </cell>
        </row>
        <row r="1918">
          <cell r="D1918">
            <v>45875</v>
          </cell>
          <cell r="H1918">
            <v>5</v>
          </cell>
          <cell r="I1918">
            <v>0</v>
          </cell>
          <cell r="L1918">
            <v>100</v>
          </cell>
        </row>
        <row r="1919">
          <cell r="D1919">
            <v>45875</v>
          </cell>
          <cell r="H1919">
            <v>5</v>
          </cell>
          <cell r="I1919">
            <v>0</v>
          </cell>
          <cell r="L1919">
            <v>75</v>
          </cell>
        </row>
        <row r="1920">
          <cell r="D1920">
            <v>45875</v>
          </cell>
          <cell r="H1920">
            <v>5</v>
          </cell>
          <cell r="I1920">
            <v>0</v>
          </cell>
          <cell r="L1920">
            <v>60</v>
          </cell>
        </row>
        <row r="1921">
          <cell r="D1921">
            <v>45875</v>
          </cell>
          <cell r="H1921">
            <v>5</v>
          </cell>
          <cell r="I1921">
            <v>0</v>
          </cell>
          <cell r="L1921">
            <v>60</v>
          </cell>
        </row>
        <row r="1922">
          <cell r="D1922">
            <v>45875</v>
          </cell>
          <cell r="H1922">
            <v>5</v>
          </cell>
          <cell r="I1922">
            <v>0</v>
          </cell>
          <cell r="L1922">
            <v>160</v>
          </cell>
        </row>
        <row r="1923">
          <cell r="D1923">
            <v>45876</v>
          </cell>
          <cell r="H1923">
            <v>5</v>
          </cell>
          <cell r="I1923">
            <v>0</v>
          </cell>
          <cell r="L1923">
            <v>100</v>
          </cell>
        </row>
        <row r="1924">
          <cell r="D1924">
            <v>45876</v>
          </cell>
          <cell r="H1924">
            <v>5</v>
          </cell>
          <cell r="I1924">
            <v>0</v>
          </cell>
          <cell r="L1924">
            <v>50</v>
          </cell>
        </row>
        <row r="1925">
          <cell r="D1925">
            <v>45876</v>
          </cell>
          <cell r="H1925">
            <v>5</v>
          </cell>
          <cell r="I1925">
            <v>0</v>
          </cell>
          <cell r="L1925">
            <v>175</v>
          </cell>
        </row>
        <row r="1926">
          <cell r="D1926">
            <v>45876</v>
          </cell>
          <cell r="H1926">
            <v>5</v>
          </cell>
          <cell r="I1926">
            <v>0</v>
          </cell>
          <cell r="L1926">
            <v>125</v>
          </cell>
        </row>
        <row r="1927">
          <cell r="D1927">
            <v>45876</v>
          </cell>
          <cell r="H1927">
            <v>5</v>
          </cell>
          <cell r="I1927">
            <v>0</v>
          </cell>
          <cell r="L1927">
            <v>150</v>
          </cell>
        </row>
        <row r="1928">
          <cell r="D1928">
            <v>45876</v>
          </cell>
          <cell r="H1928">
            <v>5</v>
          </cell>
          <cell r="I1928">
            <v>0</v>
          </cell>
          <cell r="L1928">
            <v>100</v>
          </cell>
        </row>
        <row r="1929">
          <cell r="D1929">
            <v>45876</v>
          </cell>
          <cell r="H1929">
            <v>5</v>
          </cell>
          <cell r="I1929">
            <v>0</v>
          </cell>
          <cell r="L1929">
            <v>125</v>
          </cell>
        </row>
        <row r="1930">
          <cell r="D1930">
            <v>45876</v>
          </cell>
          <cell r="H1930">
            <v>5</v>
          </cell>
          <cell r="I1930">
            <v>0</v>
          </cell>
          <cell r="L1930">
            <v>225</v>
          </cell>
        </row>
        <row r="1931">
          <cell r="D1931">
            <v>45876</v>
          </cell>
          <cell r="H1931">
            <v>5</v>
          </cell>
          <cell r="I1931">
            <v>0</v>
          </cell>
          <cell r="L1931">
            <v>200</v>
          </cell>
        </row>
        <row r="1932">
          <cell r="D1932">
            <v>45876</v>
          </cell>
          <cell r="H1932">
            <v>5</v>
          </cell>
          <cell r="I1932">
            <v>0</v>
          </cell>
          <cell r="L1932">
            <v>150</v>
          </cell>
        </row>
        <row r="1933">
          <cell r="D1933">
            <v>45876</v>
          </cell>
          <cell r="H1933">
            <v>5</v>
          </cell>
          <cell r="I1933">
            <v>0</v>
          </cell>
          <cell r="L1933">
            <v>100</v>
          </cell>
        </row>
        <row r="1934">
          <cell r="D1934">
            <v>45876</v>
          </cell>
          <cell r="H1934">
            <v>5</v>
          </cell>
          <cell r="I1934">
            <v>0</v>
          </cell>
          <cell r="L1934">
            <v>60</v>
          </cell>
        </row>
        <row r="1935">
          <cell r="D1935">
            <v>45876</v>
          </cell>
          <cell r="H1935">
            <v>5</v>
          </cell>
          <cell r="I1935">
            <v>0</v>
          </cell>
          <cell r="L1935">
            <v>100</v>
          </cell>
        </row>
        <row r="1936">
          <cell r="D1936">
            <v>45876</v>
          </cell>
          <cell r="H1936">
            <v>5</v>
          </cell>
          <cell r="I1936">
            <v>0</v>
          </cell>
          <cell r="L1936">
            <v>40</v>
          </cell>
        </row>
        <row r="1937">
          <cell r="D1937">
            <v>45876</v>
          </cell>
          <cell r="H1937">
            <v>5</v>
          </cell>
          <cell r="I1937">
            <v>0</v>
          </cell>
          <cell r="L1937">
            <v>120</v>
          </cell>
        </row>
        <row r="1938">
          <cell r="D1938">
            <v>45877</v>
          </cell>
          <cell r="H1938">
            <v>5</v>
          </cell>
          <cell r="I1938">
            <v>0</v>
          </cell>
          <cell r="L1938">
            <v>250</v>
          </cell>
        </row>
        <row r="1939">
          <cell r="D1939">
            <v>45877</v>
          </cell>
          <cell r="H1939">
            <v>5</v>
          </cell>
          <cell r="I1939">
            <v>0</v>
          </cell>
          <cell r="L1939">
            <v>75</v>
          </cell>
        </row>
        <row r="1940">
          <cell r="D1940">
            <v>45877</v>
          </cell>
          <cell r="H1940">
            <v>5</v>
          </cell>
          <cell r="I1940">
            <v>0</v>
          </cell>
          <cell r="L1940">
            <v>75</v>
          </cell>
        </row>
        <row r="1941">
          <cell r="D1941">
            <v>45877</v>
          </cell>
          <cell r="H1941">
            <v>5</v>
          </cell>
          <cell r="I1941">
            <v>0</v>
          </cell>
          <cell r="L1941">
            <v>200</v>
          </cell>
        </row>
        <row r="1942">
          <cell r="D1942">
            <v>45877</v>
          </cell>
          <cell r="H1942">
            <v>5</v>
          </cell>
          <cell r="I1942">
            <v>0</v>
          </cell>
          <cell r="L1942">
            <v>50</v>
          </cell>
        </row>
        <row r="1943">
          <cell r="D1943">
            <v>45877</v>
          </cell>
          <cell r="H1943">
            <v>5</v>
          </cell>
          <cell r="I1943">
            <v>0</v>
          </cell>
          <cell r="L1943">
            <v>100</v>
          </cell>
        </row>
        <row r="1944">
          <cell r="D1944">
            <v>45877</v>
          </cell>
          <cell r="H1944">
            <v>5</v>
          </cell>
          <cell r="I1944">
            <v>0</v>
          </cell>
          <cell r="L1944">
            <v>75</v>
          </cell>
        </row>
        <row r="1945">
          <cell r="D1945">
            <v>45877</v>
          </cell>
          <cell r="H1945">
            <v>5</v>
          </cell>
          <cell r="I1945">
            <v>0</v>
          </cell>
          <cell r="L1945">
            <v>75</v>
          </cell>
        </row>
        <row r="1946">
          <cell r="D1946">
            <v>45877</v>
          </cell>
          <cell r="H1946">
            <v>5</v>
          </cell>
          <cell r="I1946">
            <v>0</v>
          </cell>
          <cell r="L1946">
            <v>125</v>
          </cell>
        </row>
        <row r="1947">
          <cell r="D1947">
            <v>45877</v>
          </cell>
          <cell r="H1947">
            <v>5</v>
          </cell>
          <cell r="I1947">
            <v>0</v>
          </cell>
          <cell r="L1947">
            <v>100</v>
          </cell>
        </row>
        <row r="1948">
          <cell r="D1948">
            <v>45877</v>
          </cell>
          <cell r="H1948">
            <v>5</v>
          </cell>
          <cell r="I1948">
            <v>0</v>
          </cell>
          <cell r="L1948">
            <v>325</v>
          </cell>
        </row>
        <row r="1949">
          <cell r="D1949">
            <v>45877</v>
          </cell>
          <cell r="H1949">
            <v>5</v>
          </cell>
          <cell r="I1949">
            <v>0</v>
          </cell>
          <cell r="L1949">
            <v>80</v>
          </cell>
        </row>
        <row r="1950">
          <cell r="D1950">
            <v>45877</v>
          </cell>
          <cell r="H1950">
            <v>5</v>
          </cell>
          <cell r="I1950">
            <v>0</v>
          </cell>
          <cell r="L1950">
            <v>120</v>
          </cell>
        </row>
        <row r="1951">
          <cell r="D1951">
            <v>45877</v>
          </cell>
          <cell r="H1951">
            <v>5</v>
          </cell>
          <cell r="I1951">
            <v>0</v>
          </cell>
          <cell r="L1951">
            <v>80</v>
          </cell>
        </row>
        <row r="1952">
          <cell r="D1952">
            <v>45878</v>
          </cell>
          <cell r="H1952">
            <v>5</v>
          </cell>
          <cell r="I1952">
            <v>0</v>
          </cell>
          <cell r="L1952">
            <v>325</v>
          </cell>
        </row>
        <row r="1953">
          <cell r="D1953">
            <v>45878</v>
          </cell>
          <cell r="H1953">
            <v>5</v>
          </cell>
          <cell r="I1953">
            <v>0</v>
          </cell>
          <cell r="L1953">
            <v>75</v>
          </cell>
        </row>
        <row r="1954">
          <cell r="D1954">
            <v>45878</v>
          </cell>
          <cell r="H1954">
            <v>8</v>
          </cell>
          <cell r="I1954">
            <v>0</v>
          </cell>
          <cell r="L1954">
            <v>263.10000000000002</v>
          </cell>
        </row>
        <row r="1955">
          <cell r="D1955">
            <v>45878</v>
          </cell>
          <cell r="H1955">
            <v>10</v>
          </cell>
          <cell r="I1955">
            <v>0</v>
          </cell>
          <cell r="L1955">
            <v>125</v>
          </cell>
        </row>
        <row r="1956">
          <cell r="D1956">
            <v>45878</v>
          </cell>
          <cell r="H1956">
            <v>5</v>
          </cell>
          <cell r="I1956">
            <v>0</v>
          </cell>
          <cell r="L1956">
            <v>420</v>
          </cell>
        </row>
        <row r="1957">
          <cell r="D1957">
            <v>45878</v>
          </cell>
          <cell r="H1957">
            <v>5</v>
          </cell>
          <cell r="I1957">
            <v>0</v>
          </cell>
          <cell r="L1957">
            <v>250</v>
          </cell>
        </row>
        <row r="1958">
          <cell r="D1958">
            <v>45878</v>
          </cell>
          <cell r="H1958">
            <v>5</v>
          </cell>
          <cell r="I1958">
            <v>0</v>
          </cell>
          <cell r="L1958">
            <v>50</v>
          </cell>
        </row>
        <row r="1959">
          <cell r="D1959">
            <v>45878</v>
          </cell>
          <cell r="H1959">
            <v>0</v>
          </cell>
          <cell r="I1959">
            <v>0</v>
          </cell>
          <cell r="L1959">
            <v>70</v>
          </cell>
        </row>
        <row r="1960">
          <cell r="D1960">
            <v>45878</v>
          </cell>
          <cell r="H1960">
            <v>5</v>
          </cell>
          <cell r="I1960">
            <v>0</v>
          </cell>
          <cell r="L1960">
            <v>240</v>
          </cell>
        </row>
        <row r="1961">
          <cell r="D1961">
            <v>45879</v>
          </cell>
          <cell r="H1961">
            <v>10</v>
          </cell>
          <cell r="I1961">
            <v>0</v>
          </cell>
          <cell r="L1961">
            <v>123.2</v>
          </cell>
        </row>
        <row r="1962">
          <cell r="D1962">
            <v>45879</v>
          </cell>
          <cell r="H1962">
            <v>10</v>
          </cell>
          <cell r="I1962">
            <v>0</v>
          </cell>
          <cell r="L1962">
            <v>241.3</v>
          </cell>
        </row>
        <row r="1963">
          <cell r="D1963">
            <v>45879</v>
          </cell>
          <cell r="H1963">
            <v>10</v>
          </cell>
          <cell r="I1963">
            <v>0</v>
          </cell>
          <cell r="L1963">
            <v>159</v>
          </cell>
        </row>
        <row r="1964">
          <cell r="D1964">
            <v>45880</v>
          </cell>
          <cell r="H1964">
            <v>10</v>
          </cell>
          <cell r="I1964">
            <v>0</v>
          </cell>
          <cell r="L1964">
            <v>100</v>
          </cell>
        </row>
        <row r="1965">
          <cell r="D1965">
            <v>45880</v>
          </cell>
          <cell r="H1965">
            <v>5</v>
          </cell>
          <cell r="I1965">
            <v>0</v>
          </cell>
          <cell r="L1965">
            <v>100</v>
          </cell>
        </row>
        <row r="1966">
          <cell r="D1966">
            <v>45880</v>
          </cell>
          <cell r="H1966">
            <v>10</v>
          </cell>
          <cell r="I1966">
            <v>0</v>
          </cell>
          <cell r="L1966">
            <v>134.30000000000001</v>
          </cell>
        </row>
        <row r="1967">
          <cell r="D1967">
            <v>45880</v>
          </cell>
          <cell r="H1967">
            <v>5</v>
          </cell>
          <cell r="I1967">
            <v>0</v>
          </cell>
          <cell r="L1967">
            <v>50</v>
          </cell>
        </row>
        <row r="1968">
          <cell r="D1968">
            <v>45880</v>
          </cell>
          <cell r="H1968">
            <v>5</v>
          </cell>
          <cell r="I1968">
            <v>0</v>
          </cell>
          <cell r="L1968">
            <v>100</v>
          </cell>
        </row>
        <row r="1969">
          <cell r="D1969">
            <v>45880</v>
          </cell>
          <cell r="H1969">
            <v>5</v>
          </cell>
          <cell r="I1969">
            <v>0</v>
          </cell>
          <cell r="L1969">
            <v>150</v>
          </cell>
        </row>
        <row r="1970">
          <cell r="D1970">
            <v>45880</v>
          </cell>
          <cell r="H1970">
            <v>5</v>
          </cell>
          <cell r="I1970">
            <v>0</v>
          </cell>
          <cell r="L1970">
            <v>50</v>
          </cell>
        </row>
        <row r="1971">
          <cell r="D1971">
            <v>45880</v>
          </cell>
          <cell r="H1971">
            <v>5</v>
          </cell>
          <cell r="I1971">
            <v>0</v>
          </cell>
          <cell r="L1971">
            <v>455</v>
          </cell>
        </row>
        <row r="1972">
          <cell r="D1972">
            <v>45880</v>
          </cell>
          <cell r="H1972">
            <v>5</v>
          </cell>
          <cell r="I1972">
            <v>0</v>
          </cell>
          <cell r="L1972">
            <v>175</v>
          </cell>
        </row>
        <row r="1973">
          <cell r="D1973">
            <v>45880</v>
          </cell>
          <cell r="H1973">
            <v>5</v>
          </cell>
          <cell r="I1973">
            <v>0</v>
          </cell>
          <cell r="L1973">
            <v>125</v>
          </cell>
        </row>
        <row r="1974">
          <cell r="D1974">
            <v>45880</v>
          </cell>
          <cell r="H1974">
            <v>5</v>
          </cell>
          <cell r="I1974">
            <v>0</v>
          </cell>
          <cell r="L1974">
            <v>180</v>
          </cell>
        </row>
        <row r="1975">
          <cell r="D1975">
            <v>45880</v>
          </cell>
          <cell r="H1975">
            <v>5</v>
          </cell>
          <cell r="I1975">
            <v>0</v>
          </cell>
          <cell r="L1975">
            <v>40</v>
          </cell>
        </row>
        <row r="1976">
          <cell r="D1976">
            <v>45880</v>
          </cell>
          <cell r="H1976">
            <v>5</v>
          </cell>
          <cell r="I1976">
            <v>0</v>
          </cell>
          <cell r="L1976">
            <v>120</v>
          </cell>
        </row>
        <row r="1977">
          <cell r="D1977">
            <v>45880</v>
          </cell>
          <cell r="H1977">
            <v>5</v>
          </cell>
          <cell r="I1977">
            <v>0</v>
          </cell>
          <cell r="L1977">
            <v>120</v>
          </cell>
        </row>
        <row r="1978">
          <cell r="D1978">
            <v>45880</v>
          </cell>
          <cell r="H1978">
            <v>5</v>
          </cell>
          <cell r="I1978">
            <v>0</v>
          </cell>
          <cell r="L1978">
            <v>40</v>
          </cell>
        </row>
        <row r="1979">
          <cell r="D1979">
            <v>45880</v>
          </cell>
          <cell r="H1979">
            <v>5</v>
          </cell>
          <cell r="I1979">
            <v>0</v>
          </cell>
          <cell r="L1979">
            <v>25</v>
          </cell>
        </row>
        <row r="1980">
          <cell r="D1980">
            <v>45881</v>
          </cell>
          <cell r="H1980">
            <v>5</v>
          </cell>
          <cell r="I1980">
            <v>0</v>
          </cell>
          <cell r="L1980">
            <v>50</v>
          </cell>
        </row>
        <row r="1981">
          <cell r="D1981">
            <v>45881</v>
          </cell>
          <cell r="H1981">
            <v>5</v>
          </cell>
          <cell r="I1981">
            <v>0</v>
          </cell>
          <cell r="L1981">
            <v>100</v>
          </cell>
        </row>
        <row r="1982">
          <cell r="D1982">
            <v>45881</v>
          </cell>
          <cell r="H1982">
            <v>5</v>
          </cell>
          <cell r="I1982">
            <v>0</v>
          </cell>
          <cell r="L1982">
            <v>50</v>
          </cell>
        </row>
        <row r="1983">
          <cell r="D1983">
            <v>45881</v>
          </cell>
          <cell r="H1983">
            <v>5</v>
          </cell>
          <cell r="I1983">
            <v>0</v>
          </cell>
          <cell r="L1983">
            <v>100</v>
          </cell>
        </row>
        <row r="1984">
          <cell r="D1984">
            <v>45881</v>
          </cell>
          <cell r="H1984">
            <v>10</v>
          </cell>
          <cell r="I1984">
            <v>0</v>
          </cell>
          <cell r="L1984">
            <v>143</v>
          </cell>
        </row>
        <row r="1985">
          <cell r="D1985">
            <v>45881</v>
          </cell>
          <cell r="H1985">
            <v>5</v>
          </cell>
          <cell r="I1985">
            <v>0</v>
          </cell>
          <cell r="L1985">
            <v>400</v>
          </cell>
        </row>
        <row r="1986">
          <cell r="D1986">
            <v>45881</v>
          </cell>
          <cell r="H1986">
            <v>5</v>
          </cell>
          <cell r="I1986">
            <v>0</v>
          </cell>
          <cell r="L1986">
            <v>125</v>
          </cell>
        </row>
        <row r="1987">
          <cell r="D1987">
            <v>45881</v>
          </cell>
          <cell r="H1987">
            <v>5</v>
          </cell>
          <cell r="I1987">
            <v>0</v>
          </cell>
          <cell r="L1987">
            <v>200</v>
          </cell>
        </row>
        <row r="1988">
          <cell r="D1988">
            <v>45881</v>
          </cell>
          <cell r="H1988">
            <v>5</v>
          </cell>
          <cell r="I1988">
            <v>0</v>
          </cell>
          <cell r="L1988">
            <v>72.900000000000006</v>
          </cell>
        </row>
        <row r="1989">
          <cell r="D1989">
            <v>45881</v>
          </cell>
          <cell r="H1989">
            <v>5</v>
          </cell>
          <cell r="I1989">
            <v>0</v>
          </cell>
          <cell r="L1989">
            <v>250</v>
          </cell>
        </row>
        <row r="1990">
          <cell r="D1990">
            <v>45881</v>
          </cell>
          <cell r="H1990">
            <v>0</v>
          </cell>
          <cell r="I1990">
            <v>0</v>
          </cell>
          <cell r="L1990">
            <v>70</v>
          </cell>
        </row>
        <row r="1991">
          <cell r="D1991">
            <v>45881</v>
          </cell>
          <cell r="H1991">
            <v>5</v>
          </cell>
          <cell r="I1991">
            <v>0</v>
          </cell>
          <cell r="L1991">
            <v>300</v>
          </cell>
        </row>
        <row r="1992">
          <cell r="D1992">
            <v>45881</v>
          </cell>
          <cell r="H1992">
            <v>5</v>
          </cell>
          <cell r="L1992">
            <v>140</v>
          </cell>
        </row>
        <row r="1993">
          <cell r="D1993">
            <v>45881</v>
          </cell>
          <cell r="H1993">
            <v>5</v>
          </cell>
          <cell r="I1993">
            <v>0</v>
          </cell>
          <cell r="L1993">
            <v>60</v>
          </cell>
        </row>
        <row r="1994">
          <cell r="D1994">
            <v>45882</v>
          </cell>
          <cell r="H1994">
            <v>5</v>
          </cell>
          <cell r="I1994">
            <v>0</v>
          </cell>
          <cell r="L1994">
            <v>50</v>
          </cell>
        </row>
        <row r="1995">
          <cell r="D1995">
            <v>45882</v>
          </cell>
          <cell r="H1995">
            <v>5</v>
          </cell>
          <cell r="I1995">
            <v>0</v>
          </cell>
          <cell r="L1995">
            <v>200</v>
          </cell>
        </row>
        <row r="1996">
          <cell r="D1996">
            <v>45882</v>
          </cell>
          <cell r="H1996">
            <v>5</v>
          </cell>
          <cell r="I1996">
            <v>0</v>
          </cell>
          <cell r="L1996">
            <v>150</v>
          </cell>
        </row>
        <row r="1997">
          <cell r="D1997">
            <v>45882</v>
          </cell>
          <cell r="H1997">
            <v>5</v>
          </cell>
          <cell r="I1997">
            <v>0</v>
          </cell>
          <cell r="L1997">
            <v>175</v>
          </cell>
        </row>
        <row r="1998">
          <cell r="D1998">
            <v>45882</v>
          </cell>
          <cell r="H1998">
            <v>5</v>
          </cell>
          <cell r="I1998">
            <v>0</v>
          </cell>
          <cell r="L1998">
            <v>75</v>
          </cell>
        </row>
        <row r="1999">
          <cell r="D1999">
            <v>45882</v>
          </cell>
          <cell r="H1999">
            <v>5</v>
          </cell>
          <cell r="I1999">
            <v>0</v>
          </cell>
          <cell r="L1999">
            <v>25</v>
          </cell>
        </row>
        <row r="2000">
          <cell r="D2000">
            <v>45882</v>
          </cell>
          <cell r="H2000">
            <v>5</v>
          </cell>
          <cell r="I2000">
            <v>0</v>
          </cell>
          <cell r="L2000">
            <v>75</v>
          </cell>
        </row>
        <row r="2001">
          <cell r="D2001">
            <v>45882</v>
          </cell>
          <cell r="H2001">
            <v>5</v>
          </cell>
          <cell r="I2001">
            <v>0</v>
          </cell>
          <cell r="L2001">
            <v>100</v>
          </cell>
        </row>
        <row r="2002">
          <cell r="D2002">
            <v>45882</v>
          </cell>
          <cell r="H2002">
            <v>5</v>
          </cell>
          <cell r="I2002">
            <v>0</v>
          </cell>
          <cell r="L2002">
            <v>120</v>
          </cell>
        </row>
        <row r="2003">
          <cell r="D2003">
            <v>45882</v>
          </cell>
          <cell r="H2003">
            <v>5</v>
          </cell>
          <cell r="I2003">
            <v>0</v>
          </cell>
          <cell r="L2003">
            <v>125</v>
          </cell>
        </row>
        <row r="2004">
          <cell r="D2004">
            <v>45883</v>
          </cell>
          <cell r="H2004">
            <v>10</v>
          </cell>
          <cell r="I2004">
            <v>0</v>
          </cell>
          <cell r="L2004">
            <v>137</v>
          </cell>
        </row>
        <row r="2005">
          <cell r="D2005">
            <v>45883</v>
          </cell>
          <cell r="H2005">
            <v>6</v>
          </cell>
          <cell r="I2005">
            <v>0</v>
          </cell>
          <cell r="L2005">
            <v>260</v>
          </cell>
        </row>
        <row r="2006">
          <cell r="D2006">
            <v>45883</v>
          </cell>
          <cell r="H2006">
            <v>5</v>
          </cell>
          <cell r="I2006">
            <v>0</v>
          </cell>
          <cell r="L2006">
            <v>150</v>
          </cell>
        </row>
        <row r="2007">
          <cell r="D2007">
            <v>45883</v>
          </cell>
          <cell r="H2007">
            <v>5</v>
          </cell>
          <cell r="I2007">
            <v>0</v>
          </cell>
          <cell r="L2007">
            <v>300</v>
          </cell>
        </row>
        <row r="2008">
          <cell r="D2008">
            <v>45884</v>
          </cell>
          <cell r="H2008">
            <v>8</v>
          </cell>
          <cell r="I2008">
            <v>0</v>
          </cell>
          <cell r="L2008">
            <v>131.6</v>
          </cell>
        </row>
        <row r="2009">
          <cell r="D2009">
            <v>45884</v>
          </cell>
          <cell r="H2009">
            <v>5</v>
          </cell>
          <cell r="I2009">
            <v>0</v>
          </cell>
          <cell r="L2009">
            <v>100</v>
          </cell>
        </row>
        <row r="2010">
          <cell r="D2010">
            <v>45884</v>
          </cell>
          <cell r="H2010">
            <v>5</v>
          </cell>
          <cell r="I2010">
            <v>0</v>
          </cell>
          <cell r="L2010">
            <v>100</v>
          </cell>
        </row>
        <row r="2011">
          <cell r="D2011">
            <v>45884</v>
          </cell>
          <cell r="H2011">
            <v>5</v>
          </cell>
          <cell r="I2011">
            <v>0</v>
          </cell>
          <cell r="L2011">
            <v>425</v>
          </cell>
        </row>
        <row r="2012">
          <cell r="D2012">
            <v>45884</v>
          </cell>
          <cell r="H2012">
            <v>4.5</v>
          </cell>
          <cell r="I2012">
            <v>0</v>
          </cell>
          <cell r="L2012">
            <v>270.89999999999998</v>
          </cell>
        </row>
        <row r="2013">
          <cell r="D2013">
            <v>45884</v>
          </cell>
          <cell r="H2013">
            <v>5</v>
          </cell>
          <cell r="I2013">
            <v>0</v>
          </cell>
          <cell r="L2013">
            <v>50</v>
          </cell>
        </row>
        <row r="2014">
          <cell r="D2014">
            <v>45884</v>
          </cell>
          <cell r="H2014">
            <v>5</v>
          </cell>
          <cell r="I2014">
            <v>0</v>
          </cell>
          <cell r="L2014">
            <v>175</v>
          </cell>
        </row>
        <row r="2015">
          <cell r="D2015">
            <v>45884</v>
          </cell>
          <cell r="H2015">
            <v>5</v>
          </cell>
          <cell r="I2015">
            <v>0</v>
          </cell>
          <cell r="L2015">
            <v>100</v>
          </cell>
        </row>
        <row r="2016">
          <cell r="D2016">
            <v>45884</v>
          </cell>
          <cell r="H2016">
            <v>0</v>
          </cell>
          <cell r="I2016">
            <v>0</v>
          </cell>
          <cell r="L2016">
            <v>210</v>
          </cell>
        </row>
        <row r="2017">
          <cell r="D2017">
            <v>45885</v>
          </cell>
          <cell r="H2017">
            <v>5</v>
          </cell>
          <cell r="I2017">
            <v>0</v>
          </cell>
          <cell r="L2017">
            <v>25</v>
          </cell>
        </row>
        <row r="2018">
          <cell r="D2018">
            <v>45885</v>
          </cell>
          <cell r="H2018">
            <v>5</v>
          </cell>
          <cell r="I2018">
            <v>0</v>
          </cell>
          <cell r="L2018">
            <v>450</v>
          </cell>
        </row>
        <row r="2019">
          <cell r="D2019">
            <v>45885</v>
          </cell>
          <cell r="H2019">
            <v>5</v>
          </cell>
          <cell r="I2019">
            <v>0</v>
          </cell>
          <cell r="L2019">
            <v>425</v>
          </cell>
        </row>
        <row r="2020">
          <cell r="D2020">
            <v>45885</v>
          </cell>
          <cell r="H2020">
            <v>5</v>
          </cell>
          <cell r="I2020">
            <v>0</v>
          </cell>
          <cell r="L2020">
            <v>420</v>
          </cell>
        </row>
        <row r="2021">
          <cell r="D2021">
            <v>45885</v>
          </cell>
          <cell r="H2021">
            <v>5</v>
          </cell>
          <cell r="I2021">
            <v>0</v>
          </cell>
          <cell r="L2021">
            <v>50</v>
          </cell>
        </row>
        <row r="2022">
          <cell r="D2022">
            <v>45885</v>
          </cell>
          <cell r="L2022">
            <v>125</v>
          </cell>
        </row>
        <row r="2023">
          <cell r="D2023">
            <v>45885</v>
          </cell>
          <cell r="H2023">
            <v>5</v>
          </cell>
          <cell r="I2023">
            <v>0</v>
          </cell>
          <cell r="L2023">
            <v>140</v>
          </cell>
        </row>
        <row r="2024">
          <cell r="D2024">
            <v>45885</v>
          </cell>
          <cell r="L2024">
            <v>250</v>
          </cell>
        </row>
        <row r="2025">
          <cell r="D2025">
            <v>45885</v>
          </cell>
          <cell r="H2025">
            <v>5</v>
          </cell>
          <cell r="I2025">
            <v>0</v>
          </cell>
          <cell r="L2025">
            <v>40</v>
          </cell>
        </row>
        <row r="2026">
          <cell r="D2026">
            <v>45886</v>
          </cell>
          <cell r="H2026">
            <v>5</v>
          </cell>
          <cell r="I2026">
            <v>0</v>
          </cell>
          <cell r="L2026">
            <v>525</v>
          </cell>
        </row>
        <row r="2027">
          <cell r="D2027">
            <v>45886</v>
          </cell>
          <cell r="H2027">
            <v>5</v>
          </cell>
          <cell r="I2027">
            <v>0</v>
          </cell>
          <cell r="L2027">
            <v>500</v>
          </cell>
        </row>
        <row r="2028">
          <cell r="D2028">
            <v>45886</v>
          </cell>
          <cell r="H2028">
            <v>10</v>
          </cell>
          <cell r="I2028">
            <v>0</v>
          </cell>
          <cell r="L2028">
            <v>130.69999999999999</v>
          </cell>
        </row>
        <row r="2029">
          <cell r="D2029">
            <v>45886</v>
          </cell>
          <cell r="H2029">
            <v>5</v>
          </cell>
          <cell r="I2029">
            <v>0</v>
          </cell>
          <cell r="L2029">
            <v>120</v>
          </cell>
        </row>
        <row r="2030">
          <cell r="D2030">
            <v>45886</v>
          </cell>
          <cell r="H2030">
            <v>5</v>
          </cell>
          <cell r="I2030">
            <v>0</v>
          </cell>
          <cell r="L2030">
            <v>60</v>
          </cell>
        </row>
        <row r="2031">
          <cell r="D2031">
            <v>45886</v>
          </cell>
          <cell r="H2031">
            <v>5</v>
          </cell>
          <cell r="I2031">
            <v>0</v>
          </cell>
          <cell r="L2031">
            <v>20</v>
          </cell>
        </row>
        <row r="2032">
          <cell r="D2032">
            <v>45886</v>
          </cell>
          <cell r="H2032">
            <v>5</v>
          </cell>
          <cell r="I2032">
            <v>0</v>
          </cell>
          <cell r="L2032">
            <v>20</v>
          </cell>
        </row>
        <row r="2033">
          <cell r="D2033">
            <v>45887</v>
          </cell>
          <cell r="H2033">
            <v>5</v>
          </cell>
          <cell r="I2033">
            <v>0</v>
          </cell>
          <cell r="L2033">
            <v>75</v>
          </cell>
        </row>
        <row r="2034">
          <cell r="D2034">
            <v>45887</v>
          </cell>
          <cell r="H2034">
            <v>5</v>
          </cell>
          <cell r="I2034">
            <v>0</v>
          </cell>
          <cell r="L2034">
            <v>104.2</v>
          </cell>
        </row>
        <row r="2035">
          <cell r="D2035">
            <v>45887</v>
          </cell>
          <cell r="H2035">
            <v>6</v>
          </cell>
          <cell r="I2035">
            <v>0</v>
          </cell>
          <cell r="L2035">
            <v>50</v>
          </cell>
        </row>
        <row r="2036">
          <cell r="D2036">
            <v>45887</v>
          </cell>
          <cell r="H2036">
            <v>5</v>
          </cell>
          <cell r="I2036">
            <v>0</v>
          </cell>
          <cell r="L2036">
            <v>225</v>
          </cell>
        </row>
        <row r="2037">
          <cell r="D2037">
            <v>45887</v>
          </cell>
          <cell r="H2037">
            <v>5</v>
          </cell>
          <cell r="I2037">
            <v>0</v>
          </cell>
          <cell r="L2037">
            <v>150</v>
          </cell>
        </row>
        <row r="2038">
          <cell r="D2038">
            <v>45887</v>
          </cell>
          <cell r="H2038">
            <v>5</v>
          </cell>
          <cell r="I2038">
            <v>0</v>
          </cell>
          <cell r="L2038">
            <v>175</v>
          </cell>
        </row>
        <row r="2039">
          <cell r="D2039">
            <v>45887</v>
          </cell>
          <cell r="H2039">
            <v>5</v>
          </cell>
          <cell r="I2039">
            <v>0</v>
          </cell>
          <cell r="L2039">
            <v>125</v>
          </cell>
        </row>
        <row r="2040">
          <cell r="D2040">
            <v>45887</v>
          </cell>
          <cell r="H2040">
            <v>4.5</v>
          </cell>
          <cell r="I2040">
            <v>0</v>
          </cell>
          <cell r="L2040">
            <v>50</v>
          </cell>
        </row>
        <row r="2041">
          <cell r="D2041">
            <v>45887</v>
          </cell>
          <cell r="H2041">
            <v>5</v>
          </cell>
          <cell r="I2041">
            <v>0</v>
          </cell>
          <cell r="L2041">
            <v>200</v>
          </cell>
        </row>
        <row r="2042">
          <cell r="D2042">
            <v>45887</v>
          </cell>
          <cell r="H2042">
            <v>5</v>
          </cell>
          <cell r="I2042">
            <v>0</v>
          </cell>
          <cell r="L2042">
            <v>150</v>
          </cell>
        </row>
        <row r="2043">
          <cell r="D2043">
            <v>45887</v>
          </cell>
          <cell r="H2043">
            <v>5</v>
          </cell>
          <cell r="I2043">
            <v>0</v>
          </cell>
          <cell r="L2043">
            <v>60</v>
          </cell>
        </row>
        <row r="2044">
          <cell r="D2044">
            <v>45887</v>
          </cell>
          <cell r="H2044">
            <v>5</v>
          </cell>
          <cell r="I2044">
            <v>0</v>
          </cell>
          <cell r="L2044">
            <v>20</v>
          </cell>
        </row>
        <row r="2045">
          <cell r="D2045">
            <v>45887</v>
          </cell>
          <cell r="H2045">
            <v>5</v>
          </cell>
          <cell r="I2045">
            <v>0</v>
          </cell>
          <cell r="L2045">
            <v>160</v>
          </cell>
        </row>
        <row r="2046">
          <cell r="D2046">
            <v>45888</v>
          </cell>
          <cell r="H2046">
            <v>5</v>
          </cell>
          <cell r="I2046">
            <v>0</v>
          </cell>
          <cell r="L2046">
            <v>50</v>
          </cell>
        </row>
        <row r="2047">
          <cell r="D2047">
            <v>45888</v>
          </cell>
          <cell r="H2047">
            <v>5</v>
          </cell>
          <cell r="I2047">
            <v>0</v>
          </cell>
          <cell r="L2047">
            <v>150</v>
          </cell>
        </row>
        <row r="2048">
          <cell r="D2048">
            <v>45888</v>
          </cell>
          <cell r="H2048">
            <v>5</v>
          </cell>
          <cell r="I2048">
            <v>0</v>
          </cell>
          <cell r="L2048">
            <v>25</v>
          </cell>
        </row>
        <row r="2049">
          <cell r="D2049">
            <v>45888</v>
          </cell>
          <cell r="H2049">
            <v>4.5</v>
          </cell>
          <cell r="I2049">
            <v>0</v>
          </cell>
          <cell r="L2049">
            <v>100</v>
          </cell>
        </row>
        <row r="2050">
          <cell r="D2050">
            <v>45888</v>
          </cell>
          <cell r="H2050">
            <v>4.5</v>
          </cell>
          <cell r="I2050">
            <v>0</v>
          </cell>
          <cell r="L2050">
            <v>75</v>
          </cell>
        </row>
        <row r="2051">
          <cell r="D2051">
            <v>45888</v>
          </cell>
          <cell r="H2051">
            <v>4.5</v>
          </cell>
          <cell r="I2051">
            <v>0</v>
          </cell>
          <cell r="L2051">
            <v>150</v>
          </cell>
        </row>
        <row r="2052">
          <cell r="D2052">
            <v>45888</v>
          </cell>
          <cell r="H2052">
            <v>5</v>
          </cell>
          <cell r="I2052">
            <v>0</v>
          </cell>
          <cell r="L2052">
            <v>350</v>
          </cell>
        </row>
        <row r="2053">
          <cell r="D2053">
            <v>45888</v>
          </cell>
          <cell r="H2053">
            <v>5</v>
          </cell>
          <cell r="I2053">
            <v>0</v>
          </cell>
          <cell r="L2053">
            <v>25</v>
          </cell>
        </row>
        <row r="2054">
          <cell r="D2054">
            <v>45888</v>
          </cell>
          <cell r="H2054">
            <v>5</v>
          </cell>
          <cell r="I2054">
            <v>0</v>
          </cell>
          <cell r="L2054">
            <v>425</v>
          </cell>
        </row>
        <row r="2055">
          <cell r="D2055">
            <v>45888</v>
          </cell>
          <cell r="H2055">
            <v>5</v>
          </cell>
          <cell r="I2055">
            <v>0</v>
          </cell>
          <cell r="L2055">
            <v>200</v>
          </cell>
        </row>
        <row r="2056">
          <cell r="D2056">
            <v>45888</v>
          </cell>
          <cell r="H2056">
            <v>5</v>
          </cell>
          <cell r="I2056">
            <v>0</v>
          </cell>
          <cell r="L2056">
            <v>240</v>
          </cell>
        </row>
        <row r="2057">
          <cell r="D2057">
            <v>45888</v>
          </cell>
          <cell r="H2057">
            <v>5</v>
          </cell>
          <cell r="I2057">
            <v>0</v>
          </cell>
          <cell r="L2057">
            <v>80</v>
          </cell>
        </row>
        <row r="2058">
          <cell r="D2058">
            <v>45889</v>
          </cell>
          <cell r="H2058" t="str">
            <v>3.5-4</v>
          </cell>
          <cell r="I2058">
            <v>0</v>
          </cell>
          <cell r="L2058">
            <v>25</v>
          </cell>
        </row>
        <row r="2059">
          <cell r="D2059">
            <v>45889</v>
          </cell>
          <cell r="H2059">
            <v>8</v>
          </cell>
          <cell r="I2059">
            <v>0</v>
          </cell>
          <cell r="L2059">
            <v>50</v>
          </cell>
        </row>
        <row r="2060">
          <cell r="D2060">
            <v>45889</v>
          </cell>
          <cell r="H2060">
            <v>8</v>
          </cell>
          <cell r="I2060">
            <v>0</v>
          </cell>
          <cell r="L2060">
            <v>55.5</v>
          </cell>
        </row>
        <row r="2061">
          <cell r="D2061">
            <v>45889</v>
          </cell>
          <cell r="H2061">
            <v>10</v>
          </cell>
          <cell r="I2061">
            <v>0</v>
          </cell>
          <cell r="L2061">
            <v>100</v>
          </cell>
        </row>
        <row r="2062">
          <cell r="D2062">
            <v>45889</v>
          </cell>
          <cell r="H2062">
            <v>10</v>
          </cell>
          <cell r="I2062">
            <v>0</v>
          </cell>
          <cell r="L2062">
            <v>89.5</v>
          </cell>
        </row>
        <row r="2063">
          <cell r="D2063">
            <v>45889</v>
          </cell>
          <cell r="H2063">
            <v>5</v>
          </cell>
          <cell r="I2063">
            <v>0</v>
          </cell>
          <cell r="L2063">
            <v>150</v>
          </cell>
        </row>
        <row r="2064">
          <cell r="D2064">
            <v>45889</v>
          </cell>
          <cell r="H2064">
            <v>4.5</v>
          </cell>
          <cell r="I2064">
            <v>0</v>
          </cell>
          <cell r="L2064">
            <v>125</v>
          </cell>
        </row>
        <row r="2065">
          <cell r="D2065">
            <v>45889</v>
          </cell>
          <cell r="H2065">
            <v>4.5</v>
          </cell>
          <cell r="I2065">
            <v>0</v>
          </cell>
          <cell r="L2065">
            <v>225</v>
          </cell>
        </row>
        <row r="2066">
          <cell r="D2066">
            <v>45889</v>
          </cell>
          <cell r="H2066">
            <v>5</v>
          </cell>
          <cell r="I2066">
            <v>0</v>
          </cell>
          <cell r="L2066">
            <v>75</v>
          </cell>
        </row>
        <row r="2067">
          <cell r="D2067">
            <v>45889</v>
          </cell>
          <cell r="H2067">
            <v>5</v>
          </cell>
          <cell r="I2067">
            <v>0</v>
          </cell>
          <cell r="L2067">
            <v>75</v>
          </cell>
        </row>
        <row r="2068">
          <cell r="D2068">
            <v>45889</v>
          </cell>
          <cell r="H2068">
            <v>5</v>
          </cell>
          <cell r="I2068">
            <v>0</v>
          </cell>
          <cell r="L2068">
            <v>200</v>
          </cell>
        </row>
        <row r="2069">
          <cell r="D2069">
            <v>45889</v>
          </cell>
          <cell r="H2069">
            <v>5</v>
          </cell>
          <cell r="I2069">
            <v>0</v>
          </cell>
          <cell r="L2069">
            <v>75</v>
          </cell>
        </row>
        <row r="2070">
          <cell r="D2070">
            <v>45889</v>
          </cell>
          <cell r="H2070">
            <v>5</v>
          </cell>
          <cell r="I2070">
            <v>0</v>
          </cell>
          <cell r="L2070">
            <v>375</v>
          </cell>
        </row>
        <row r="2071">
          <cell r="D2071">
            <v>45889</v>
          </cell>
          <cell r="H2071">
            <v>5</v>
          </cell>
          <cell r="I2071">
            <v>0</v>
          </cell>
          <cell r="L2071">
            <v>140</v>
          </cell>
        </row>
        <row r="2072">
          <cell r="D2072">
            <v>45889</v>
          </cell>
          <cell r="H2072">
            <v>5</v>
          </cell>
          <cell r="I2072">
            <v>0</v>
          </cell>
          <cell r="L2072">
            <v>100</v>
          </cell>
        </row>
        <row r="2073">
          <cell r="D2073">
            <v>45889</v>
          </cell>
          <cell r="H2073">
            <v>5</v>
          </cell>
          <cell r="I2073">
            <v>0</v>
          </cell>
          <cell r="L2073">
            <v>180</v>
          </cell>
        </row>
        <row r="2074">
          <cell r="D2074">
            <v>45889</v>
          </cell>
          <cell r="H2074">
            <v>5</v>
          </cell>
          <cell r="I2074">
            <v>0</v>
          </cell>
          <cell r="L2074">
            <v>80</v>
          </cell>
        </row>
        <row r="2075">
          <cell r="D2075">
            <v>45890</v>
          </cell>
          <cell r="H2075">
            <v>5</v>
          </cell>
          <cell r="I2075">
            <v>0</v>
          </cell>
          <cell r="L2075">
            <v>50</v>
          </cell>
        </row>
        <row r="2076">
          <cell r="D2076">
            <v>45890</v>
          </cell>
          <cell r="H2076">
            <v>5</v>
          </cell>
          <cell r="I2076">
            <v>0</v>
          </cell>
          <cell r="L2076">
            <v>145</v>
          </cell>
        </row>
        <row r="2077">
          <cell r="D2077">
            <v>45890</v>
          </cell>
          <cell r="H2077">
            <v>5</v>
          </cell>
          <cell r="I2077">
            <v>0</v>
          </cell>
          <cell r="L2077">
            <v>175</v>
          </cell>
        </row>
        <row r="2078">
          <cell r="D2078">
            <v>45890</v>
          </cell>
          <cell r="H2078">
            <v>5</v>
          </cell>
          <cell r="I2078">
            <v>0</v>
          </cell>
          <cell r="L2078">
            <v>250</v>
          </cell>
        </row>
        <row r="2079">
          <cell r="D2079">
            <v>45890</v>
          </cell>
          <cell r="H2079">
            <v>5</v>
          </cell>
          <cell r="I2079">
            <v>0</v>
          </cell>
          <cell r="L2079">
            <v>25</v>
          </cell>
        </row>
        <row r="2080">
          <cell r="D2080">
            <v>45890</v>
          </cell>
          <cell r="H2080">
            <v>5</v>
          </cell>
          <cell r="I2080">
            <v>0</v>
          </cell>
          <cell r="L2080">
            <v>180</v>
          </cell>
        </row>
        <row r="2081">
          <cell r="D2081">
            <v>45890</v>
          </cell>
          <cell r="H2081">
            <v>5</v>
          </cell>
          <cell r="I2081">
            <v>0</v>
          </cell>
          <cell r="L2081">
            <v>260</v>
          </cell>
        </row>
        <row r="2082">
          <cell r="D2082">
            <v>45890</v>
          </cell>
          <cell r="H2082">
            <v>4.5</v>
          </cell>
          <cell r="I2082">
            <v>0</v>
          </cell>
          <cell r="L2082">
            <v>175</v>
          </cell>
        </row>
        <row r="2083">
          <cell r="D2083">
            <v>45890</v>
          </cell>
          <cell r="H2083">
            <v>4.5</v>
          </cell>
          <cell r="I2083">
            <v>0</v>
          </cell>
          <cell r="L2083">
            <v>175</v>
          </cell>
        </row>
        <row r="2084">
          <cell r="D2084">
            <v>45891</v>
          </cell>
          <cell r="H2084">
            <v>5</v>
          </cell>
          <cell r="I2084">
            <v>0</v>
          </cell>
          <cell r="L2084">
            <v>225</v>
          </cell>
        </row>
        <row r="2085">
          <cell r="D2085">
            <v>45891</v>
          </cell>
          <cell r="H2085">
            <v>5</v>
          </cell>
          <cell r="I2085">
            <v>0</v>
          </cell>
          <cell r="L2085">
            <v>75</v>
          </cell>
        </row>
        <row r="2086">
          <cell r="D2086">
            <v>45891</v>
          </cell>
          <cell r="H2086">
            <v>4.5</v>
          </cell>
          <cell r="I2086">
            <v>0</v>
          </cell>
          <cell r="L2086">
            <v>275</v>
          </cell>
        </row>
        <row r="2087">
          <cell r="D2087">
            <v>45891</v>
          </cell>
          <cell r="H2087">
            <v>4.5</v>
          </cell>
          <cell r="I2087">
            <v>0</v>
          </cell>
          <cell r="L2087">
            <v>125</v>
          </cell>
        </row>
        <row r="2088">
          <cell r="D2088">
            <v>45891</v>
          </cell>
          <cell r="H2088">
            <v>4.5</v>
          </cell>
          <cell r="I2088">
            <v>0</v>
          </cell>
          <cell r="L2088">
            <v>250</v>
          </cell>
        </row>
        <row r="2089">
          <cell r="D2089">
            <v>45891</v>
          </cell>
          <cell r="H2089">
            <v>5</v>
          </cell>
          <cell r="I2089">
            <v>0</v>
          </cell>
          <cell r="L2089">
            <v>275</v>
          </cell>
        </row>
        <row r="2090">
          <cell r="D2090">
            <v>45891</v>
          </cell>
          <cell r="H2090">
            <v>5</v>
          </cell>
          <cell r="I2090">
            <v>0</v>
          </cell>
          <cell r="L2090">
            <v>160</v>
          </cell>
        </row>
        <row r="2091">
          <cell r="D2091">
            <v>45891</v>
          </cell>
          <cell r="H2091">
            <v>5</v>
          </cell>
          <cell r="I2091">
            <v>0</v>
          </cell>
          <cell r="L2091">
            <v>100</v>
          </cell>
        </row>
        <row r="2092">
          <cell r="D2092">
            <v>45891</v>
          </cell>
          <cell r="H2092">
            <v>5</v>
          </cell>
          <cell r="I2092">
            <v>0</v>
          </cell>
          <cell r="L2092">
            <v>25</v>
          </cell>
        </row>
        <row r="2093">
          <cell r="D2093">
            <v>45891</v>
          </cell>
          <cell r="H2093">
            <v>5</v>
          </cell>
          <cell r="I2093">
            <v>0</v>
          </cell>
          <cell r="L2093">
            <v>120</v>
          </cell>
        </row>
        <row r="2094">
          <cell r="D2094">
            <v>45891</v>
          </cell>
          <cell r="H2094">
            <v>5</v>
          </cell>
          <cell r="I2094">
            <v>0</v>
          </cell>
          <cell r="L2094">
            <v>150</v>
          </cell>
        </row>
        <row r="2095">
          <cell r="D2095">
            <v>45892</v>
          </cell>
          <cell r="H2095">
            <v>5</v>
          </cell>
          <cell r="I2095">
            <v>0</v>
          </cell>
          <cell r="L2095">
            <v>325</v>
          </cell>
        </row>
        <row r="2096">
          <cell r="D2096">
            <v>45892</v>
          </cell>
          <cell r="H2096">
            <v>4.5</v>
          </cell>
          <cell r="I2096">
            <v>0</v>
          </cell>
          <cell r="L2096">
            <v>25</v>
          </cell>
        </row>
        <row r="2097">
          <cell r="D2097">
            <v>45892</v>
          </cell>
          <cell r="H2097" t="str">
            <v>5-5.5</v>
          </cell>
          <cell r="I2097">
            <v>0</v>
          </cell>
          <cell r="L2097">
            <v>503.2</v>
          </cell>
        </row>
        <row r="2098">
          <cell r="D2098">
            <v>45892</v>
          </cell>
          <cell r="H2098">
            <v>4.5</v>
          </cell>
          <cell r="I2098">
            <v>0</v>
          </cell>
          <cell r="L2098">
            <v>100</v>
          </cell>
        </row>
        <row r="2099">
          <cell r="D2099">
            <v>45892</v>
          </cell>
          <cell r="H2099">
            <v>5</v>
          </cell>
          <cell r="I2099">
            <v>0</v>
          </cell>
          <cell r="L2099">
            <v>50</v>
          </cell>
        </row>
        <row r="2100">
          <cell r="D2100">
            <v>45892</v>
          </cell>
          <cell r="H2100">
            <v>5</v>
          </cell>
          <cell r="I2100">
            <v>0</v>
          </cell>
          <cell r="L2100">
            <v>100</v>
          </cell>
        </row>
        <row r="2101">
          <cell r="D2101">
            <v>45892</v>
          </cell>
          <cell r="H2101">
            <v>8</v>
          </cell>
          <cell r="I2101">
            <v>0</v>
          </cell>
          <cell r="L2101">
            <v>64.7</v>
          </cell>
        </row>
        <row r="2102">
          <cell r="D2102">
            <v>45892</v>
          </cell>
          <cell r="H2102">
            <v>4.5</v>
          </cell>
          <cell r="I2102">
            <v>0</v>
          </cell>
          <cell r="L2102">
            <v>50</v>
          </cell>
        </row>
        <row r="2103">
          <cell r="D2103">
            <v>45892</v>
          </cell>
          <cell r="H2103">
            <v>5</v>
          </cell>
          <cell r="I2103">
            <v>0</v>
          </cell>
          <cell r="L2103">
            <v>50</v>
          </cell>
        </row>
        <row r="2104">
          <cell r="D2104">
            <v>45892</v>
          </cell>
          <cell r="H2104">
            <v>5</v>
          </cell>
          <cell r="I2104">
            <v>0</v>
          </cell>
          <cell r="L2104">
            <v>150</v>
          </cell>
        </row>
        <row r="2105">
          <cell r="D2105">
            <v>45892</v>
          </cell>
          <cell r="H2105">
            <v>5</v>
          </cell>
          <cell r="I2105">
            <v>0</v>
          </cell>
          <cell r="L2105">
            <v>100</v>
          </cell>
        </row>
        <row r="2106">
          <cell r="D2106">
            <v>45892</v>
          </cell>
          <cell r="H2106">
            <v>5</v>
          </cell>
          <cell r="I2106">
            <v>0</v>
          </cell>
          <cell r="L2106">
            <v>180</v>
          </cell>
        </row>
        <row r="2107">
          <cell r="D2107">
            <v>45892</v>
          </cell>
          <cell r="H2107">
            <v>5</v>
          </cell>
          <cell r="I2107">
            <v>0</v>
          </cell>
          <cell r="L2107">
            <v>220</v>
          </cell>
        </row>
        <row r="2108">
          <cell r="D2108">
            <v>45892</v>
          </cell>
          <cell r="H2108">
            <v>5</v>
          </cell>
          <cell r="I2108">
            <v>0</v>
          </cell>
          <cell r="L2108">
            <v>20</v>
          </cell>
        </row>
        <row r="2109">
          <cell r="D2109">
            <v>45893</v>
          </cell>
          <cell r="H2109">
            <v>5</v>
          </cell>
          <cell r="I2109">
            <v>0</v>
          </cell>
          <cell r="L2109">
            <v>50</v>
          </cell>
        </row>
        <row r="2110">
          <cell r="D2110">
            <v>45893</v>
          </cell>
          <cell r="H2110">
            <v>6</v>
          </cell>
          <cell r="I2110">
            <v>0</v>
          </cell>
          <cell r="L2110">
            <v>97.1</v>
          </cell>
        </row>
        <row r="2111">
          <cell r="D2111">
            <v>45893</v>
          </cell>
          <cell r="H2111">
            <v>15</v>
          </cell>
          <cell r="I2111">
            <v>0</v>
          </cell>
          <cell r="L2111">
            <v>360</v>
          </cell>
        </row>
        <row r="2112">
          <cell r="D2112">
            <v>45894</v>
          </cell>
          <cell r="H2112">
            <v>5</v>
          </cell>
          <cell r="I2112">
            <v>0</v>
          </cell>
          <cell r="L2112">
            <v>119.4</v>
          </cell>
        </row>
        <row r="2113">
          <cell r="D2113">
            <v>45894</v>
          </cell>
          <cell r="H2113">
            <v>15</v>
          </cell>
          <cell r="I2113">
            <v>0</v>
          </cell>
          <cell r="L2113">
            <v>335.7</v>
          </cell>
        </row>
        <row r="2114">
          <cell r="D2114">
            <v>45894</v>
          </cell>
          <cell r="H2114">
            <v>4.5</v>
          </cell>
          <cell r="I2114">
            <v>0</v>
          </cell>
          <cell r="L2114">
            <v>275</v>
          </cell>
        </row>
        <row r="2115">
          <cell r="D2115">
            <v>45894</v>
          </cell>
          <cell r="H2115" t="str">
            <v>6-6.5</v>
          </cell>
          <cell r="I2115">
            <v>0</v>
          </cell>
          <cell r="L2115">
            <v>120</v>
          </cell>
        </row>
        <row r="2116">
          <cell r="D2116">
            <v>45894</v>
          </cell>
          <cell r="H2116">
            <v>4.5</v>
          </cell>
          <cell r="I2116">
            <v>0</v>
          </cell>
          <cell r="L2116">
            <v>175</v>
          </cell>
        </row>
        <row r="2117">
          <cell r="D2117">
            <v>45894</v>
          </cell>
          <cell r="H2117">
            <v>5</v>
          </cell>
          <cell r="I2117">
            <v>0</v>
          </cell>
          <cell r="L2117">
            <v>25</v>
          </cell>
        </row>
        <row r="2118">
          <cell r="D2118">
            <v>45894</v>
          </cell>
          <cell r="H2118">
            <v>4.5</v>
          </cell>
          <cell r="I2118">
            <v>0</v>
          </cell>
          <cell r="L2118">
            <v>50</v>
          </cell>
        </row>
        <row r="2119">
          <cell r="D2119">
            <v>45894</v>
          </cell>
          <cell r="H2119">
            <v>5</v>
          </cell>
          <cell r="I2119">
            <v>0</v>
          </cell>
          <cell r="L2119">
            <v>50</v>
          </cell>
        </row>
        <row r="2120">
          <cell r="D2120">
            <v>45894</v>
          </cell>
          <cell r="H2120">
            <v>4.5</v>
          </cell>
          <cell r="I2120">
            <v>0</v>
          </cell>
          <cell r="L2120">
            <v>50</v>
          </cell>
        </row>
        <row r="2121">
          <cell r="D2121">
            <v>45894</v>
          </cell>
          <cell r="H2121">
            <v>4.5</v>
          </cell>
          <cell r="I2121" t="str">
            <v>PP</v>
          </cell>
          <cell r="L2121">
            <v>50</v>
          </cell>
        </row>
        <row r="2122">
          <cell r="D2122">
            <v>45894</v>
          </cell>
          <cell r="H2122">
            <v>5</v>
          </cell>
          <cell r="I2122" t="str">
            <v>PP</v>
          </cell>
          <cell r="L2122">
            <v>50</v>
          </cell>
        </row>
        <row r="2123">
          <cell r="D2123">
            <v>45895</v>
          </cell>
          <cell r="H2123">
            <v>4.5</v>
          </cell>
          <cell r="I2123" t="str">
            <v>PP</v>
          </cell>
          <cell r="L2123">
            <v>102.9</v>
          </cell>
        </row>
        <row r="2124">
          <cell r="D2124">
            <v>45895</v>
          </cell>
          <cell r="H2124">
            <v>4.5</v>
          </cell>
          <cell r="I2124" t="str">
            <v>PP</v>
          </cell>
          <cell r="L2124">
            <v>100</v>
          </cell>
        </row>
        <row r="2125">
          <cell r="D2125">
            <v>45895</v>
          </cell>
          <cell r="H2125">
            <v>4.5</v>
          </cell>
          <cell r="I2125" t="str">
            <v>PP</v>
          </cell>
          <cell r="L2125">
            <v>100</v>
          </cell>
        </row>
        <row r="2126">
          <cell r="D2126">
            <v>45895</v>
          </cell>
          <cell r="H2126">
            <v>10</v>
          </cell>
          <cell r="I2126" t="str">
            <v>PP</v>
          </cell>
          <cell r="L2126">
            <v>50</v>
          </cell>
        </row>
        <row r="2127">
          <cell r="D2127">
            <v>45895</v>
          </cell>
          <cell r="H2127">
            <v>4.5</v>
          </cell>
          <cell r="I2127" t="str">
            <v>PP</v>
          </cell>
          <cell r="L2127">
            <v>150</v>
          </cell>
        </row>
        <row r="2128">
          <cell r="D2128">
            <v>45895</v>
          </cell>
          <cell r="H2128">
            <v>4.5</v>
          </cell>
          <cell r="I2128" t="str">
            <v>PP</v>
          </cell>
          <cell r="L2128">
            <v>75</v>
          </cell>
        </row>
        <row r="2129">
          <cell r="D2129">
            <v>45895</v>
          </cell>
          <cell r="H2129" t="str">
            <v>6-6.5</v>
          </cell>
          <cell r="I2129" t="str">
            <v>PP</v>
          </cell>
          <cell r="L2129">
            <v>210</v>
          </cell>
        </row>
        <row r="2130">
          <cell r="D2130">
            <v>45895</v>
          </cell>
          <cell r="H2130">
            <v>5</v>
          </cell>
          <cell r="I2130" t="str">
            <v>PP</v>
          </cell>
          <cell r="L2130">
            <v>375</v>
          </cell>
        </row>
        <row r="2131">
          <cell r="D2131">
            <v>45895</v>
          </cell>
          <cell r="H2131">
            <v>5</v>
          </cell>
          <cell r="I2131" t="str">
            <v>PP</v>
          </cell>
          <cell r="L2131">
            <v>120</v>
          </cell>
        </row>
        <row r="2132">
          <cell r="D2132">
            <v>45895</v>
          </cell>
          <cell r="H2132">
            <v>5</v>
          </cell>
          <cell r="I2132" t="str">
            <v>PP</v>
          </cell>
          <cell r="L2132">
            <v>60</v>
          </cell>
        </row>
        <row r="2133">
          <cell r="D2133">
            <v>45896</v>
          </cell>
          <cell r="H2133">
            <v>10</v>
          </cell>
          <cell r="I2133" t="str">
            <v>PP</v>
          </cell>
          <cell r="L2133">
            <v>48.3</v>
          </cell>
        </row>
        <row r="2134">
          <cell r="D2134">
            <v>45896</v>
          </cell>
          <cell r="L2134">
            <v>250</v>
          </cell>
        </row>
        <row r="2135">
          <cell r="D2135">
            <v>45896</v>
          </cell>
          <cell r="H2135">
            <v>4.5</v>
          </cell>
          <cell r="I2135" t="str">
            <v>PP</v>
          </cell>
          <cell r="L2135">
            <v>100</v>
          </cell>
        </row>
        <row r="2136">
          <cell r="D2136">
            <v>45896</v>
          </cell>
          <cell r="H2136">
            <v>5</v>
          </cell>
          <cell r="I2136" t="str">
            <v>PP</v>
          </cell>
          <cell r="L2136">
            <v>50</v>
          </cell>
        </row>
        <row r="2137">
          <cell r="D2137">
            <v>45896</v>
          </cell>
          <cell r="H2137">
            <v>5</v>
          </cell>
          <cell r="I2137" t="str">
            <v>PP</v>
          </cell>
          <cell r="L2137">
            <v>50</v>
          </cell>
        </row>
        <row r="2138">
          <cell r="D2138">
            <v>45896</v>
          </cell>
          <cell r="H2138">
            <v>5</v>
          </cell>
          <cell r="I2138" t="str">
            <v>PP</v>
          </cell>
          <cell r="L2138">
            <v>350</v>
          </cell>
        </row>
        <row r="2139">
          <cell r="D2139">
            <v>45896</v>
          </cell>
          <cell r="H2139">
            <v>5</v>
          </cell>
          <cell r="I2139" t="str">
            <v>PP</v>
          </cell>
          <cell r="L2139">
            <v>25</v>
          </cell>
        </row>
        <row r="2140">
          <cell r="D2140">
            <v>45896</v>
          </cell>
          <cell r="H2140">
            <v>5</v>
          </cell>
          <cell r="I2140" t="str">
            <v>PP</v>
          </cell>
          <cell r="L2140">
            <v>200</v>
          </cell>
        </row>
        <row r="2141">
          <cell r="D2141">
            <v>45896</v>
          </cell>
          <cell r="H2141" t="str">
            <v>6-6.5</v>
          </cell>
          <cell r="I2141" t="str">
            <v>PP</v>
          </cell>
          <cell r="L2141">
            <v>229.4</v>
          </cell>
        </row>
        <row r="2142">
          <cell r="D2142">
            <v>45896</v>
          </cell>
          <cell r="H2142">
            <v>5</v>
          </cell>
          <cell r="I2142" t="str">
            <v>PP</v>
          </cell>
          <cell r="L2142">
            <v>180</v>
          </cell>
        </row>
        <row r="2143">
          <cell r="D2143">
            <v>45896</v>
          </cell>
          <cell r="H2143">
            <v>5</v>
          </cell>
          <cell r="I2143" t="str">
            <v>PP</v>
          </cell>
          <cell r="L2143">
            <v>150</v>
          </cell>
        </row>
        <row r="2144">
          <cell r="D2144">
            <v>45897</v>
          </cell>
          <cell r="H2144">
            <v>5</v>
          </cell>
          <cell r="I2144" t="str">
            <v>PP</v>
          </cell>
          <cell r="L2144">
            <v>125</v>
          </cell>
        </row>
        <row r="2145">
          <cell r="D2145">
            <v>45897</v>
          </cell>
          <cell r="H2145">
            <v>5</v>
          </cell>
          <cell r="I2145" t="str">
            <v>PP</v>
          </cell>
          <cell r="L2145">
            <v>125</v>
          </cell>
        </row>
        <row r="2146">
          <cell r="D2146">
            <v>45897</v>
          </cell>
          <cell r="H2146">
            <v>5</v>
          </cell>
          <cell r="I2146" t="str">
            <v>PP</v>
          </cell>
          <cell r="L2146">
            <v>25</v>
          </cell>
        </row>
        <row r="2147">
          <cell r="D2147">
            <v>45897</v>
          </cell>
          <cell r="H2147">
            <v>5</v>
          </cell>
          <cell r="I2147" t="str">
            <v>PP</v>
          </cell>
          <cell r="L2147">
            <v>75</v>
          </cell>
        </row>
        <row r="2148">
          <cell r="D2148">
            <v>45897</v>
          </cell>
          <cell r="H2148">
            <v>5</v>
          </cell>
          <cell r="I2148" t="str">
            <v>PP</v>
          </cell>
          <cell r="L2148">
            <v>125</v>
          </cell>
        </row>
        <row r="2149">
          <cell r="D2149">
            <v>45897</v>
          </cell>
          <cell r="H2149">
            <v>5</v>
          </cell>
          <cell r="I2149" t="str">
            <v>PP</v>
          </cell>
          <cell r="L2149">
            <v>50</v>
          </cell>
        </row>
        <row r="2150">
          <cell r="D2150">
            <v>45897</v>
          </cell>
          <cell r="H2150">
            <v>5</v>
          </cell>
          <cell r="I2150" t="str">
            <v>PP</v>
          </cell>
          <cell r="L2150">
            <v>75</v>
          </cell>
        </row>
        <row r="2151">
          <cell r="D2151">
            <v>45897</v>
          </cell>
          <cell r="H2151">
            <v>5</v>
          </cell>
          <cell r="I2151" t="str">
            <v>PP</v>
          </cell>
          <cell r="L2151">
            <v>75</v>
          </cell>
        </row>
        <row r="2152">
          <cell r="D2152">
            <v>45897</v>
          </cell>
          <cell r="H2152">
            <v>5</v>
          </cell>
          <cell r="I2152" t="str">
            <v>PP</v>
          </cell>
          <cell r="L2152">
            <v>50</v>
          </cell>
        </row>
        <row r="2153">
          <cell r="D2153">
            <v>45897</v>
          </cell>
          <cell r="H2153">
            <v>5</v>
          </cell>
          <cell r="I2153" t="str">
            <v>PP</v>
          </cell>
          <cell r="L2153">
            <v>100</v>
          </cell>
        </row>
        <row r="2154">
          <cell r="D2154">
            <v>45897</v>
          </cell>
          <cell r="H2154">
            <v>5</v>
          </cell>
          <cell r="I2154" t="str">
            <v>PP</v>
          </cell>
          <cell r="L2154">
            <v>100</v>
          </cell>
        </row>
        <row r="2155">
          <cell r="D2155">
            <v>45897</v>
          </cell>
          <cell r="H2155">
            <v>5</v>
          </cell>
          <cell r="I2155" t="str">
            <v>PP</v>
          </cell>
          <cell r="L2155">
            <v>150</v>
          </cell>
        </row>
        <row r="2156">
          <cell r="D2156">
            <v>45897</v>
          </cell>
          <cell r="H2156">
            <v>5</v>
          </cell>
          <cell r="I2156" t="str">
            <v>PP</v>
          </cell>
          <cell r="L2156">
            <v>75</v>
          </cell>
        </row>
        <row r="2157">
          <cell r="D2157">
            <v>45897</v>
          </cell>
          <cell r="H2157">
            <v>5</v>
          </cell>
          <cell r="I2157" t="str">
            <v>PP</v>
          </cell>
          <cell r="L2157">
            <v>25</v>
          </cell>
        </row>
        <row r="2158">
          <cell r="D2158">
            <v>45897</v>
          </cell>
          <cell r="L2158">
            <v>100</v>
          </cell>
        </row>
        <row r="2159">
          <cell r="D2159">
            <v>45897</v>
          </cell>
          <cell r="H2159">
            <v>5</v>
          </cell>
          <cell r="I2159" t="str">
            <v>PP</v>
          </cell>
          <cell r="L2159">
            <v>220</v>
          </cell>
        </row>
        <row r="2160">
          <cell r="D2160">
            <v>45898</v>
          </cell>
          <cell r="H2160">
            <v>4.5</v>
          </cell>
          <cell r="I2160" t="str">
            <v>PP</v>
          </cell>
          <cell r="L2160">
            <v>200</v>
          </cell>
        </row>
        <row r="2161">
          <cell r="D2161">
            <v>45898</v>
          </cell>
          <cell r="H2161">
            <v>5</v>
          </cell>
          <cell r="I2161" t="str">
            <v>PP</v>
          </cell>
          <cell r="L2161">
            <v>50</v>
          </cell>
        </row>
        <row r="2162">
          <cell r="D2162">
            <v>45898</v>
          </cell>
          <cell r="H2162">
            <v>5</v>
          </cell>
          <cell r="I2162" t="str">
            <v>PP</v>
          </cell>
          <cell r="L2162">
            <v>150</v>
          </cell>
        </row>
        <row r="2163">
          <cell r="D2163">
            <v>45898</v>
          </cell>
          <cell r="H2163">
            <v>5</v>
          </cell>
          <cell r="I2163" t="str">
            <v>PP</v>
          </cell>
          <cell r="L2163">
            <v>150</v>
          </cell>
        </row>
        <row r="2164">
          <cell r="D2164">
            <v>45898</v>
          </cell>
          <cell r="H2164">
            <v>5</v>
          </cell>
          <cell r="I2164" t="str">
            <v>PP</v>
          </cell>
          <cell r="L2164">
            <v>100</v>
          </cell>
        </row>
        <row r="2165">
          <cell r="D2165">
            <v>45898</v>
          </cell>
          <cell r="H2165">
            <v>5</v>
          </cell>
          <cell r="I2165" t="str">
            <v>PP</v>
          </cell>
          <cell r="L2165">
            <v>25</v>
          </cell>
        </row>
        <row r="2166">
          <cell r="D2166">
            <v>45898</v>
          </cell>
          <cell r="H2166">
            <v>5</v>
          </cell>
          <cell r="I2166" t="str">
            <v>PP</v>
          </cell>
          <cell r="L2166">
            <v>175</v>
          </cell>
        </row>
        <row r="2167">
          <cell r="D2167">
            <v>45898</v>
          </cell>
          <cell r="H2167">
            <v>5</v>
          </cell>
          <cell r="I2167" t="str">
            <v>PP</v>
          </cell>
          <cell r="L2167">
            <v>250</v>
          </cell>
        </row>
        <row r="2168">
          <cell r="D2168">
            <v>45898</v>
          </cell>
          <cell r="H2168">
            <v>5</v>
          </cell>
          <cell r="I2168" t="str">
            <v>PP</v>
          </cell>
          <cell r="L2168">
            <v>100</v>
          </cell>
        </row>
        <row r="2169">
          <cell r="D2169">
            <v>45898</v>
          </cell>
          <cell r="H2169">
            <v>5</v>
          </cell>
          <cell r="I2169" t="str">
            <v>PP</v>
          </cell>
          <cell r="L2169">
            <v>160</v>
          </cell>
        </row>
        <row r="2170">
          <cell r="D2170">
            <v>45898</v>
          </cell>
          <cell r="H2170">
            <v>5</v>
          </cell>
          <cell r="I2170" t="str">
            <v>PP</v>
          </cell>
          <cell r="L2170">
            <v>20</v>
          </cell>
        </row>
        <row r="2171">
          <cell r="D2171">
            <v>45898</v>
          </cell>
          <cell r="L2171">
            <v>100</v>
          </cell>
        </row>
        <row r="2172">
          <cell r="D2172">
            <v>45898</v>
          </cell>
          <cell r="H2172">
            <v>5</v>
          </cell>
          <cell r="I2172" t="str">
            <v>PP</v>
          </cell>
          <cell r="L2172">
            <v>200</v>
          </cell>
        </row>
        <row r="2173">
          <cell r="D2173">
            <v>45899</v>
          </cell>
          <cell r="H2173">
            <v>5</v>
          </cell>
          <cell r="I2173" t="str">
            <v>PP</v>
          </cell>
          <cell r="L2173">
            <v>500</v>
          </cell>
        </row>
        <row r="2174">
          <cell r="D2174">
            <v>45899</v>
          </cell>
          <cell r="H2174">
            <v>5</v>
          </cell>
          <cell r="I2174" t="str">
            <v>PP</v>
          </cell>
          <cell r="L2174">
            <v>175</v>
          </cell>
        </row>
        <row r="2175">
          <cell r="D2175">
            <v>45899</v>
          </cell>
          <cell r="H2175">
            <v>5</v>
          </cell>
          <cell r="I2175" t="str">
            <v>PP</v>
          </cell>
          <cell r="L2175">
            <v>200</v>
          </cell>
        </row>
        <row r="2176">
          <cell r="D2176">
            <v>45899</v>
          </cell>
          <cell r="H2176">
            <v>4.5</v>
          </cell>
          <cell r="I2176" t="str">
            <v>PP</v>
          </cell>
          <cell r="L2176">
            <v>125</v>
          </cell>
        </row>
        <row r="2177">
          <cell r="D2177">
            <v>45899</v>
          </cell>
          <cell r="H2177">
            <v>5</v>
          </cell>
          <cell r="I2177" t="str">
            <v>PP</v>
          </cell>
          <cell r="L2177">
            <v>50</v>
          </cell>
        </row>
        <row r="2178">
          <cell r="D2178">
            <v>45899</v>
          </cell>
          <cell r="H2178">
            <v>5</v>
          </cell>
          <cell r="I2178" t="str">
            <v>PP</v>
          </cell>
          <cell r="L2178">
            <v>150</v>
          </cell>
        </row>
        <row r="2179">
          <cell r="D2179">
            <v>45899</v>
          </cell>
          <cell r="H2179">
            <v>4.5</v>
          </cell>
          <cell r="I2179" t="str">
            <v>PP</v>
          </cell>
          <cell r="L2179">
            <v>75</v>
          </cell>
        </row>
        <row r="2180">
          <cell r="D2180">
            <v>45899</v>
          </cell>
          <cell r="H2180">
            <v>5</v>
          </cell>
          <cell r="I2180" t="str">
            <v>PP</v>
          </cell>
          <cell r="L2180">
            <v>275</v>
          </cell>
        </row>
        <row r="2181">
          <cell r="D2181">
            <v>45899</v>
          </cell>
          <cell r="H2181">
            <v>5</v>
          </cell>
          <cell r="I2181" t="str">
            <v>PP</v>
          </cell>
          <cell r="L2181">
            <v>100</v>
          </cell>
        </row>
        <row r="2182">
          <cell r="D2182">
            <v>45899</v>
          </cell>
          <cell r="H2182">
            <v>5</v>
          </cell>
          <cell r="I2182" t="str">
            <v>PP</v>
          </cell>
          <cell r="L2182">
            <v>250</v>
          </cell>
        </row>
        <row r="2183">
          <cell r="D2183">
            <v>45899</v>
          </cell>
          <cell r="H2183" t="str">
            <v>5.5-6</v>
          </cell>
          <cell r="I2183" t="str">
            <v>PP</v>
          </cell>
          <cell r="L2183">
            <v>180</v>
          </cell>
        </row>
        <row r="2184">
          <cell r="D2184">
            <v>45900</v>
          </cell>
          <cell r="H2184">
            <v>6</v>
          </cell>
          <cell r="I2184">
            <v>18</v>
          </cell>
          <cell r="L2184">
            <v>50</v>
          </cell>
        </row>
        <row r="2185">
          <cell r="D2185">
            <v>45900</v>
          </cell>
          <cell r="H2185">
            <v>6</v>
          </cell>
          <cell r="I2185">
            <v>18</v>
          </cell>
          <cell r="L2185">
            <v>250</v>
          </cell>
        </row>
        <row r="2186">
          <cell r="D2186">
            <v>45900</v>
          </cell>
          <cell r="H2186">
            <v>5</v>
          </cell>
          <cell r="I2186" t="str">
            <v>12</v>
          </cell>
          <cell r="L2186">
            <v>150</v>
          </cell>
        </row>
        <row r="2187">
          <cell r="D2187">
            <v>45900</v>
          </cell>
          <cell r="H2187">
            <v>5</v>
          </cell>
          <cell r="I2187" t="str">
            <v>14</v>
          </cell>
          <cell r="L2187">
            <v>250</v>
          </cell>
        </row>
        <row r="2188">
          <cell r="D2188">
            <v>45900</v>
          </cell>
          <cell r="H2188">
            <v>10</v>
          </cell>
          <cell r="I2188">
            <v>14</v>
          </cell>
          <cell r="L2188">
            <v>249</v>
          </cell>
        </row>
        <row r="2189">
          <cell r="D2189">
            <v>45900</v>
          </cell>
          <cell r="H2189">
            <v>5</v>
          </cell>
          <cell r="I2189" t="str">
            <v>5</v>
          </cell>
          <cell r="L2189">
            <v>100</v>
          </cell>
        </row>
        <row r="2190">
          <cell r="D2190">
            <v>45900</v>
          </cell>
          <cell r="H2190">
            <v>5</v>
          </cell>
          <cell r="I2190">
            <v>4</v>
          </cell>
          <cell r="L2190">
            <v>315</v>
          </cell>
        </row>
        <row r="2191">
          <cell r="D2191">
            <v>45901</v>
          </cell>
          <cell r="H2191">
            <v>6</v>
          </cell>
          <cell r="I2191">
            <v>22</v>
          </cell>
          <cell r="L2191">
            <v>251.3</v>
          </cell>
        </row>
        <row r="2192">
          <cell r="D2192">
            <v>45901</v>
          </cell>
          <cell r="H2192" t="str">
            <v>5.5-6</v>
          </cell>
          <cell r="I2192">
            <v>16</v>
          </cell>
          <cell r="L2192">
            <v>225</v>
          </cell>
        </row>
        <row r="2193">
          <cell r="D2193">
            <v>45901</v>
          </cell>
          <cell r="H2193">
            <v>5</v>
          </cell>
          <cell r="I2193" t="str">
            <v>11</v>
          </cell>
          <cell r="L2193">
            <v>25</v>
          </cell>
        </row>
        <row r="2194">
          <cell r="D2194">
            <v>45901</v>
          </cell>
          <cell r="H2194">
            <v>6</v>
          </cell>
          <cell r="I2194">
            <v>16</v>
          </cell>
          <cell r="L2194">
            <v>950</v>
          </cell>
        </row>
        <row r="2195">
          <cell r="D2195">
            <v>45901</v>
          </cell>
          <cell r="H2195">
            <v>6</v>
          </cell>
          <cell r="I2195">
            <v>18</v>
          </cell>
          <cell r="L2195">
            <v>44.6</v>
          </cell>
        </row>
        <row r="2196">
          <cell r="D2196">
            <v>45901</v>
          </cell>
          <cell r="H2196">
            <v>5</v>
          </cell>
          <cell r="I2196" t="str">
            <v>7</v>
          </cell>
          <cell r="L2196">
            <v>250</v>
          </cell>
        </row>
        <row r="2197">
          <cell r="D2197">
            <v>45901</v>
          </cell>
          <cell r="H2197">
            <v>5</v>
          </cell>
          <cell r="I2197" t="str">
            <v>7</v>
          </cell>
          <cell r="L2197">
            <v>100</v>
          </cell>
        </row>
        <row r="2198">
          <cell r="D2198">
            <v>45901</v>
          </cell>
          <cell r="H2198">
            <v>5</v>
          </cell>
          <cell r="I2198">
            <v>4</v>
          </cell>
          <cell r="L2198">
            <v>35</v>
          </cell>
        </row>
        <row r="2199">
          <cell r="D2199">
            <v>45901</v>
          </cell>
          <cell r="L2199">
            <v>200</v>
          </cell>
        </row>
        <row r="2200">
          <cell r="D2200">
            <v>45901</v>
          </cell>
          <cell r="H2200">
            <v>5</v>
          </cell>
          <cell r="I2200" t="str">
            <v>4</v>
          </cell>
          <cell r="L2200">
            <v>100</v>
          </cell>
        </row>
        <row r="2201">
          <cell r="D2201">
            <v>45901</v>
          </cell>
          <cell r="H2201" t="str">
            <v>5.5-6</v>
          </cell>
          <cell r="I2201">
            <v>2</v>
          </cell>
          <cell r="L2201">
            <v>120</v>
          </cell>
        </row>
        <row r="2202">
          <cell r="D2202">
            <v>45901</v>
          </cell>
          <cell r="H2202">
            <v>5</v>
          </cell>
          <cell r="I2202" t="str">
            <v>2.5</v>
          </cell>
          <cell r="L2202">
            <v>40</v>
          </cell>
        </row>
        <row r="2203">
          <cell r="D2203">
            <v>45902</v>
          </cell>
          <cell r="H2203">
            <v>6</v>
          </cell>
          <cell r="I2203">
            <v>16</v>
          </cell>
          <cell r="L2203">
            <v>146.4</v>
          </cell>
        </row>
        <row r="2204">
          <cell r="D2204">
            <v>45902</v>
          </cell>
          <cell r="H2204">
            <v>6</v>
          </cell>
          <cell r="I2204">
            <v>20</v>
          </cell>
          <cell r="L2204">
            <v>200</v>
          </cell>
        </row>
        <row r="2205">
          <cell r="D2205">
            <v>45902</v>
          </cell>
          <cell r="H2205">
            <v>8</v>
          </cell>
          <cell r="I2205">
            <v>10</v>
          </cell>
          <cell r="L2205">
            <v>50</v>
          </cell>
        </row>
        <row r="2206">
          <cell r="D2206">
            <v>45902</v>
          </cell>
          <cell r="H2206">
            <v>8</v>
          </cell>
          <cell r="I2206">
            <v>10</v>
          </cell>
          <cell r="L2206">
            <v>61.1</v>
          </cell>
        </row>
        <row r="2207">
          <cell r="D2207">
            <v>45902</v>
          </cell>
          <cell r="H2207">
            <v>5</v>
          </cell>
          <cell r="I2207">
            <v>13</v>
          </cell>
          <cell r="L2207">
            <v>225</v>
          </cell>
        </row>
        <row r="2208">
          <cell r="D2208">
            <v>45902</v>
          </cell>
          <cell r="H2208">
            <v>5</v>
          </cell>
          <cell r="I2208">
            <v>13</v>
          </cell>
          <cell r="L2208">
            <v>125</v>
          </cell>
        </row>
        <row r="2209">
          <cell r="D2209">
            <v>45902</v>
          </cell>
          <cell r="H2209">
            <v>5</v>
          </cell>
          <cell r="I2209">
            <v>13</v>
          </cell>
          <cell r="L2209">
            <v>50</v>
          </cell>
        </row>
        <row r="2210">
          <cell r="D2210">
            <v>45902</v>
          </cell>
          <cell r="H2210" t="str">
            <v>5-5.5</v>
          </cell>
          <cell r="I2210">
            <v>14</v>
          </cell>
          <cell r="L2210">
            <v>25</v>
          </cell>
        </row>
        <row r="2211">
          <cell r="D2211">
            <v>45902</v>
          </cell>
          <cell r="H2211">
            <v>4.5</v>
          </cell>
          <cell r="I2211">
            <v>8</v>
          </cell>
          <cell r="L2211">
            <v>75</v>
          </cell>
        </row>
        <row r="2212">
          <cell r="D2212">
            <v>45902</v>
          </cell>
          <cell r="H2212">
            <v>5</v>
          </cell>
          <cell r="I2212" t="str">
            <v>8</v>
          </cell>
          <cell r="L2212">
            <v>175</v>
          </cell>
        </row>
        <row r="2213">
          <cell r="D2213">
            <v>45902</v>
          </cell>
          <cell r="H2213">
            <v>5</v>
          </cell>
          <cell r="I2213" t="str">
            <v>2.5</v>
          </cell>
          <cell r="L2213">
            <v>150</v>
          </cell>
        </row>
        <row r="2214">
          <cell r="D2214">
            <v>45902</v>
          </cell>
          <cell r="H2214">
            <v>5</v>
          </cell>
          <cell r="I2214">
            <v>2</v>
          </cell>
          <cell r="L2214">
            <v>140</v>
          </cell>
        </row>
        <row r="2215">
          <cell r="D2215">
            <v>45902</v>
          </cell>
          <cell r="L2215">
            <v>100</v>
          </cell>
        </row>
        <row r="2216">
          <cell r="D2216">
            <v>45902</v>
          </cell>
          <cell r="H2216">
            <v>5</v>
          </cell>
          <cell r="I2216">
            <v>4</v>
          </cell>
          <cell r="L2216">
            <v>200</v>
          </cell>
        </row>
        <row r="2217">
          <cell r="D2217">
            <v>45902</v>
          </cell>
          <cell r="H2217">
            <v>5</v>
          </cell>
          <cell r="I2217">
            <v>4</v>
          </cell>
          <cell r="L2217">
            <v>60</v>
          </cell>
        </row>
        <row r="2218">
          <cell r="D2218">
            <v>45902</v>
          </cell>
          <cell r="H2218" t="str">
            <v>5-5.5</v>
          </cell>
          <cell r="I2218">
            <v>14</v>
          </cell>
          <cell r="L2218">
            <v>525</v>
          </cell>
        </row>
        <row r="2219">
          <cell r="D2219">
            <v>45902</v>
          </cell>
          <cell r="H2219">
            <v>5</v>
          </cell>
          <cell r="I2219" t="str">
            <v>10</v>
          </cell>
          <cell r="L2219">
            <v>375</v>
          </cell>
        </row>
        <row r="2220">
          <cell r="D2220">
            <v>45902</v>
          </cell>
          <cell r="H2220">
            <v>5</v>
          </cell>
          <cell r="I2220" t="str">
            <v>9</v>
          </cell>
          <cell r="L2220">
            <v>25</v>
          </cell>
        </row>
        <row r="2221">
          <cell r="D2221">
            <v>45902</v>
          </cell>
          <cell r="H2221">
            <v>4.5</v>
          </cell>
          <cell r="I2221">
            <v>8</v>
          </cell>
          <cell r="L2221">
            <v>25</v>
          </cell>
        </row>
        <row r="2222">
          <cell r="D2222">
            <v>45902</v>
          </cell>
          <cell r="H2222">
            <v>5</v>
          </cell>
          <cell r="I2222" t="str">
            <v>8</v>
          </cell>
          <cell r="L2222">
            <v>200</v>
          </cell>
        </row>
        <row r="2223">
          <cell r="D2223">
            <v>45902</v>
          </cell>
          <cell r="H2223">
            <v>4.5</v>
          </cell>
          <cell r="I2223">
            <v>8</v>
          </cell>
          <cell r="L2223">
            <v>75</v>
          </cell>
        </row>
        <row r="2224">
          <cell r="D2224">
            <v>45902</v>
          </cell>
          <cell r="H2224">
            <v>5</v>
          </cell>
          <cell r="I2224" t="str">
            <v>8</v>
          </cell>
          <cell r="L2224">
            <v>75</v>
          </cell>
        </row>
        <row r="2225">
          <cell r="D2225">
            <v>45902</v>
          </cell>
          <cell r="H2225">
            <v>5</v>
          </cell>
          <cell r="I2225">
            <v>4</v>
          </cell>
          <cell r="L2225">
            <v>260</v>
          </cell>
        </row>
        <row r="2226">
          <cell r="D2226">
            <v>45902</v>
          </cell>
          <cell r="H2226">
            <v>5</v>
          </cell>
          <cell r="I2226" t="str">
            <v>4</v>
          </cell>
          <cell r="L2226">
            <v>100</v>
          </cell>
        </row>
        <row r="2227">
          <cell r="D2227">
            <v>45903</v>
          </cell>
          <cell r="H2227">
            <v>5</v>
          </cell>
          <cell r="I2227">
            <v>18</v>
          </cell>
          <cell r="L2227">
            <v>25</v>
          </cell>
        </row>
        <row r="2228">
          <cell r="D2228">
            <v>45903</v>
          </cell>
          <cell r="H2228">
            <v>4.5</v>
          </cell>
          <cell r="I2228">
            <v>18</v>
          </cell>
          <cell r="L2228">
            <v>100</v>
          </cell>
        </row>
        <row r="2229">
          <cell r="D2229">
            <v>45903</v>
          </cell>
          <cell r="H2229">
            <v>6</v>
          </cell>
          <cell r="I2229">
            <v>20</v>
          </cell>
          <cell r="L2229">
            <v>325</v>
          </cell>
        </row>
        <row r="2230">
          <cell r="D2230">
            <v>45903</v>
          </cell>
          <cell r="H2230" t="str">
            <v>5-5.5</v>
          </cell>
          <cell r="I2230">
            <v>14</v>
          </cell>
          <cell r="L2230">
            <v>500</v>
          </cell>
        </row>
        <row r="2231">
          <cell r="D2231">
            <v>45903</v>
          </cell>
          <cell r="H2231">
            <v>5</v>
          </cell>
          <cell r="I2231">
            <v>4.5</v>
          </cell>
          <cell r="L2231">
            <v>120</v>
          </cell>
        </row>
        <row r="2232">
          <cell r="D2232">
            <v>45903</v>
          </cell>
          <cell r="H2232">
            <v>5</v>
          </cell>
          <cell r="I2232" t="str">
            <v>4</v>
          </cell>
          <cell r="L2232">
            <v>40</v>
          </cell>
        </row>
        <row r="2233">
          <cell r="D2233">
            <v>45903</v>
          </cell>
          <cell r="H2233">
            <v>5</v>
          </cell>
          <cell r="I2233">
            <v>2.5</v>
          </cell>
          <cell r="L2233">
            <v>100</v>
          </cell>
        </row>
        <row r="2234">
          <cell r="D2234">
            <v>45903</v>
          </cell>
          <cell r="H2234">
            <v>5</v>
          </cell>
          <cell r="I2234" t="str">
            <v>2.5</v>
          </cell>
          <cell r="L2234">
            <v>140</v>
          </cell>
        </row>
        <row r="2235">
          <cell r="D2235">
            <v>45903</v>
          </cell>
          <cell r="H2235">
            <v>5</v>
          </cell>
          <cell r="I2235" t="str">
            <v>10</v>
          </cell>
          <cell r="L2235">
            <v>225</v>
          </cell>
        </row>
        <row r="2236">
          <cell r="D2236">
            <v>45903</v>
          </cell>
          <cell r="H2236">
            <v>5</v>
          </cell>
          <cell r="I2236" t="str">
            <v>10</v>
          </cell>
          <cell r="L2236">
            <v>175</v>
          </cell>
        </row>
        <row r="2237">
          <cell r="D2237">
            <v>45904</v>
          </cell>
          <cell r="H2237">
            <v>5</v>
          </cell>
          <cell r="I2237" t="str">
            <v>9</v>
          </cell>
          <cell r="L2237">
            <v>100</v>
          </cell>
        </row>
        <row r="2238">
          <cell r="D2238">
            <v>45904</v>
          </cell>
          <cell r="H2238">
            <v>5</v>
          </cell>
          <cell r="I2238" t="str">
            <v>9</v>
          </cell>
          <cell r="L2238">
            <v>125</v>
          </cell>
        </row>
        <row r="2239">
          <cell r="D2239">
            <v>45904</v>
          </cell>
          <cell r="H2239">
            <v>5</v>
          </cell>
          <cell r="I2239" t="str">
            <v>9</v>
          </cell>
          <cell r="L2239">
            <v>275</v>
          </cell>
        </row>
        <row r="2240">
          <cell r="D2240">
            <v>45904</v>
          </cell>
          <cell r="H2240">
            <v>6</v>
          </cell>
          <cell r="I2240">
            <v>20</v>
          </cell>
          <cell r="L2240">
            <v>325</v>
          </cell>
        </row>
        <row r="2241">
          <cell r="D2241">
            <v>45904</v>
          </cell>
          <cell r="H2241">
            <v>5</v>
          </cell>
          <cell r="I2241" t="str">
            <v>10</v>
          </cell>
          <cell r="L2241">
            <v>400</v>
          </cell>
        </row>
        <row r="2242">
          <cell r="D2242">
            <v>45904</v>
          </cell>
          <cell r="H2242">
            <v>5</v>
          </cell>
          <cell r="I2242">
            <v>2.5</v>
          </cell>
          <cell r="L2242">
            <v>300</v>
          </cell>
        </row>
        <row r="2243">
          <cell r="D2243">
            <v>45904</v>
          </cell>
          <cell r="H2243">
            <v>5</v>
          </cell>
          <cell r="I2243" t="str">
            <v>4</v>
          </cell>
          <cell r="L2243">
            <v>40</v>
          </cell>
        </row>
        <row r="2244">
          <cell r="D2244">
            <v>45904</v>
          </cell>
          <cell r="H2244">
            <v>5</v>
          </cell>
          <cell r="I2244">
            <v>4</v>
          </cell>
          <cell r="L2244">
            <v>40</v>
          </cell>
        </row>
        <row r="2245">
          <cell r="D2245">
            <v>45904</v>
          </cell>
          <cell r="H2245">
            <v>6</v>
          </cell>
          <cell r="I2245">
            <v>20</v>
          </cell>
          <cell r="L2245">
            <v>217.9</v>
          </cell>
        </row>
        <row r="2246">
          <cell r="D2246">
            <v>45904</v>
          </cell>
          <cell r="H2246">
            <v>5</v>
          </cell>
          <cell r="I2246">
            <v>4</v>
          </cell>
          <cell r="L2246">
            <v>100</v>
          </cell>
        </row>
        <row r="2247">
          <cell r="D2247">
            <v>45904</v>
          </cell>
          <cell r="H2247">
            <v>5</v>
          </cell>
          <cell r="I2247">
            <v>4</v>
          </cell>
          <cell r="L2247">
            <v>100</v>
          </cell>
        </row>
        <row r="2248">
          <cell r="D2248">
            <v>45904</v>
          </cell>
          <cell r="H2248">
            <v>5</v>
          </cell>
          <cell r="I2248" t="str">
            <v>24</v>
          </cell>
          <cell r="L2248">
            <v>500</v>
          </cell>
        </row>
        <row r="2249">
          <cell r="D2249">
            <v>45904</v>
          </cell>
          <cell r="H2249">
            <v>5</v>
          </cell>
          <cell r="I2249" t="str">
            <v>9</v>
          </cell>
          <cell r="L2249">
            <v>25</v>
          </cell>
        </row>
        <row r="2250">
          <cell r="D2250">
            <v>45905</v>
          </cell>
          <cell r="H2250">
            <v>4</v>
          </cell>
          <cell r="I2250">
            <v>7</v>
          </cell>
          <cell r="L2250">
            <v>195</v>
          </cell>
        </row>
        <row r="2251">
          <cell r="D2251">
            <v>45905</v>
          </cell>
          <cell r="H2251">
            <v>5</v>
          </cell>
          <cell r="I2251" t="str">
            <v>7</v>
          </cell>
          <cell r="L2251">
            <v>75</v>
          </cell>
        </row>
        <row r="2252">
          <cell r="D2252">
            <v>45905</v>
          </cell>
          <cell r="H2252">
            <v>5</v>
          </cell>
          <cell r="I2252">
            <v>7</v>
          </cell>
          <cell r="L2252">
            <v>100</v>
          </cell>
        </row>
        <row r="2253">
          <cell r="D2253">
            <v>45905</v>
          </cell>
          <cell r="H2253">
            <v>5</v>
          </cell>
          <cell r="I2253" t="str">
            <v>24</v>
          </cell>
          <cell r="L2253">
            <v>800</v>
          </cell>
        </row>
        <row r="2254">
          <cell r="D2254">
            <v>45905</v>
          </cell>
          <cell r="H2254">
            <v>4.5</v>
          </cell>
          <cell r="I2254">
            <v>9</v>
          </cell>
          <cell r="L2254">
            <v>100</v>
          </cell>
        </row>
        <row r="2255">
          <cell r="D2255">
            <v>45905</v>
          </cell>
          <cell r="H2255">
            <v>5</v>
          </cell>
          <cell r="I2255" t="str">
            <v>9</v>
          </cell>
          <cell r="L2255">
            <v>50</v>
          </cell>
        </row>
        <row r="2256">
          <cell r="D2256">
            <v>45905</v>
          </cell>
          <cell r="H2256">
            <v>5</v>
          </cell>
          <cell r="I2256" t="str">
            <v>10</v>
          </cell>
          <cell r="L2256">
            <v>200</v>
          </cell>
        </row>
        <row r="2257">
          <cell r="D2257">
            <v>45905</v>
          </cell>
          <cell r="H2257">
            <v>5</v>
          </cell>
          <cell r="I2257" t="str">
            <v>9</v>
          </cell>
          <cell r="L2257">
            <v>50</v>
          </cell>
        </row>
        <row r="2258">
          <cell r="D2258">
            <v>45905</v>
          </cell>
          <cell r="H2258" t="str">
            <v>5</v>
          </cell>
          <cell r="I2258">
            <v>3.5</v>
          </cell>
          <cell r="L2258">
            <v>120</v>
          </cell>
        </row>
        <row r="2259">
          <cell r="D2259">
            <v>45905</v>
          </cell>
          <cell r="H2259">
            <v>5</v>
          </cell>
          <cell r="I2259">
            <v>4</v>
          </cell>
          <cell r="L2259">
            <v>180</v>
          </cell>
        </row>
        <row r="2260">
          <cell r="D2260">
            <v>45905</v>
          </cell>
          <cell r="H2260">
            <v>5</v>
          </cell>
          <cell r="I2260">
            <v>4</v>
          </cell>
          <cell r="L2260">
            <v>100</v>
          </cell>
        </row>
        <row r="2261">
          <cell r="D2261">
            <v>45905</v>
          </cell>
          <cell r="H2261">
            <v>5</v>
          </cell>
          <cell r="I2261" t="str">
            <v>8</v>
          </cell>
          <cell r="L2261">
            <v>160</v>
          </cell>
        </row>
        <row r="2262">
          <cell r="D2262">
            <v>45905</v>
          </cell>
          <cell r="H2262">
            <v>5</v>
          </cell>
          <cell r="I2262" t="str">
            <v>12</v>
          </cell>
          <cell r="L2262">
            <v>40</v>
          </cell>
        </row>
        <row r="2263">
          <cell r="D2263">
            <v>45906</v>
          </cell>
          <cell r="H2263">
            <v>5</v>
          </cell>
          <cell r="I2263" t="str">
            <v>14</v>
          </cell>
          <cell r="L2263">
            <v>300</v>
          </cell>
        </row>
        <row r="2264">
          <cell r="D2264">
            <v>45906</v>
          </cell>
          <cell r="H2264">
            <v>4.5</v>
          </cell>
          <cell r="I2264">
            <v>14</v>
          </cell>
          <cell r="L2264">
            <v>100</v>
          </cell>
        </row>
        <row r="2265">
          <cell r="D2265">
            <v>45906</v>
          </cell>
          <cell r="H2265">
            <v>4.5</v>
          </cell>
          <cell r="I2265">
            <v>14</v>
          </cell>
          <cell r="L2265">
            <v>100</v>
          </cell>
        </row>
        <row r="2266">
          <cell r="D2266">
            <v>45906</v>
          </cell>
          <cell r="H2266" t="str">
            <v>5</v>
          </cell>
          <cell r="I2266">
            <v>3.5</v>
          </cell>
          <cell r="L2266">
            <v>220</v>
          </cell>
        </row>
        <row r="2267">
          <cell r="D2267">
            <v>45906</v>
          </cell>
          <cell r="H2267">
            <v>5</v>
          </cell>
          <cell r="I2267">
            <v>4</v>
          </cell>
          <cell r="L2267">
            <v>160</v>
          </cell>
        </row>
        <row r="2268">
          <cell r="D2268">
            <v>45907</v>
          </cell>
          <cell r="H2268">
            <v>5</v>
          </cell>
          <cell r="I2268" t="str">
            <v>14</v>
          </cell>
          <cell r="L2268">
            <v>200</v>
          </cell>
        </row>
        <row r="2269">
          <cell r="D2269">
            <v>45907</v>
          </cell>
          <cell r="H2269">
            <v>5</v>
          </cell>
          <cell r="I2269" t="str">
            <v>14</v>
          </cell>
          <cell r="L2269">
            <v>225</v>
          </cell>
        </row>
        <row r="2270">
          <cell r="D2270">
            <v>45907</v>
          </cell>
          <cell r="H2270">
            <v>4.5</v>
          </cell>
          <cell r="I2270">
            <v>12</v>
          </cell>
          <cell r="L2270">
            <v>75</v>
          </cell>
        </row>
        <row r="2271">
          <cell r="D2271">
            <v>45908</v>
          </cell>
          <cell r="H2271">
            <v>5</v>
          </cell>
          <cell r="I2271" t="str">
            <v>9</v>
          </cell>
          <cell r="L2271">
            <v>200</v>
          </cell>
        </row>
        <row r="2272">
          <cell r="D2272">
            <v>45908</v>
          </cell>
          <cell r="H2272">
            <v>5</v>
          </cell>
          <cell r="I2272" t="str">
            <v>7</v>
          </cell>
          <cell r="L2272">
            <v>25</v>
          </cell>
        </row>
        <row r="2273">
          <cell r="D2273">
            <v>45908</v>
          </cell>
          <cell r="H2273">
            <v>5</v>
          </cell>
          <cell r="I2273">
            <v>11</v>
          </cell>
          <cell r="L2273">
            <v>175</v>
          </cell>
        </row>
        <row r="2274">
          <cell r="D2274">
            <v>45908</v>
          </cell>
          <cell r="H2274">
            <v>4.5</v>
          </cell>
          <cell r="I2274">
            <v>12</v>
          </cell>
          <cell r="L2274">
            <v>125</v>
          </cell>
        </row>
        <row r="2275">
          <cell r="D2275">
            <v>45908</v>
          </cell>
          <cell r="H2275">
            <v>4.5</v>
          </cell>
          <cell r="I2275">
            <v>12</v>
          </cell>
          <cell r="L2275">
            <v>100</v>
          </cell>
        </row>
        <row r="2276">
          <cell r="D2276">
            <v>45908</v>
          </cell>
          <cell r="H2276">
            <v>5</v>
          </cell>
          <cell r="I2276" t="str">
            <v>12</v>
          </cell>
          <cell r="L2276">
            <v>400</v>
          </cell>
        </row>
        <row r="2277">
          <cell r="D2277">
            <v>45908</v>
          </cell>
          <cell r="H2277">
            <v>5</v>
          </cell>
          <cell r="I2277" t="str">
            <v>8</v>
          </cell>
          <cell r="L2277">
            <v>150</v>
          </cell>
        </row>
        <row r="2278">
          <cell r="D2278">
            <v>45908</v>
          </cell>
          <cell r="H2278">
            <v>5</v>
          </cell>
          <cell r="I2278" t="str">
            <v>3</v>
          </cell>
          <cell r="L2278">
            <v>200</v>
          </cell>
        </row>
        <row r="2279">
          <cell r="D2279">
            <v>45909</v>
          </cell>
          <cell r="H2279">
            <v>5</v>
          </cell>
          <cell r="I2279" t="str">
            <v>12</v>
          </cell>
          <cell r="L2279">
            <v>450</v>
          </cell>
        </row>
        <row r="2280">
          <cell r="D2280">
            <v>45909</v>
          </cell>
          <cell r="H2280">
            <v>5</v>
          </cell>
          <cell r="I2280" t="str">
            <v>7</v>
          </cell>
          <cell r="L2280">
            <v>150</v>
          </cell>
        </row>
        <row r="2281">
          <cell r="D2281">
            <v>45909</v>
          </cell>
          <cell r="H2281" t="str">
            <v>5-5.5</v>
          </cell>
          <cell r="I2281">
            <v>14</v>
          </cell>
          <cell r="L2281">
            <v>350</v>
          </cell>
        </row>
        <row r="2282">
          <cell r="D2282">
            <v>45909</v>
          </cell>
          <cell r="H2282">
            <v>5</v>
          </cell>
          <cell r="I2282" t="str">
            <v>3</v>
          </cell>
          <cell r="L2282">
            <v>260</v>
          </cell>
        </row>
        <row r="2283">
          <cell r="D2283">
            <v>45910</v>
          </cell>
          <cell r="H2283">
            <v>5</v>
          </cell>
          <cell r="I2283" t="str">
            <v>9</v>
          </cell>
          <cell r="L2283">
            <v>25</v>
          </cell>
        </row>
        <row r="2284">
          <cell r="D2284">
            <v>45910</v>
          </cell>
          <cell r="H2284">
            <v>5</v>
          </cell>
          <cell r="I2284" t="str">
            <v>9</v>
          </cell>
          <cell r="L2284">
            <v>50</v>
          </cell>
        </row>
        <row r="2285">
          <cell r="D2285">
            <v>45910</v>
          </cell>
          <cell r="H2285">
            <v>5</v>
          </cell>
          <cell r="I2285" t="str">
            <v>9</v>
          </cell>
          <cell r="L2285">
            <v>125</v>
          </cell>
        </row>
        <row r="2286">
          <cell r="D2286">
            <v>45910</v>
          </cell>
          <cell r="H2286">
            <v>5</v>
          </cell>
          <cell r="I2286">
            <v>9</v>
          </cell>
          <cell r="L2286">
            <v>125</v>
          </cell>
        </row>
        <row r="2287">
          <cell r="D2287">
            <v>45910</v>
          </cell>
          <cell r="H2287" t="str">
            <v>5.5-6</v>
          </cell>
          <cell r="I2287">
            <v>9</v>
          </cell>
          <cell r="L2287">
            <v>100</v>
          </cell>
        </row>
        <row r="2288">
          <cell r="D2288">
            <v>45910</v>
          </cell>
          <cell r="H2288" t="str">
            <v>5-5.5</v>
          </cell>
          <cell r="I2288">
            <v>14</v>
          </cell>
          <cell r="L2288">
            <v>400</v>
          </cell>
        </row>
        <row r="2289">
          <cell r="D2289">
            <v>45910</v>
          </cell>
          <cell r="H2289">
            <v>5</v>
          </cell>
          <cell r="I2289" t="str">
            <v>12</v>
          </cell>
          <cell r="L2289">
            <v>75</v>
          </cell>
        </row>
        <row r="2290">
          <cell r="D2290">
            <v>45910</v>
          </cell>
          <cell r="H2290">
            <v>5</v>
          </cell>
          <cell r="I2290">
            <v>16</v>
          </cell>
          <cell r="L2290">
            <v>50</v>
          </cell>
        </row>
        <row r="2291">
          <cell r="D2291">
            <v>45910</v>
          </cell>
          <cell r="H2291">
            <v>5</v>
          </cell>
          <cell r="I2291">
            <v>16</v>
          </cell>
          <cell r="L2291">
            <v>50</v>
          </cell>
        </row>
        <row r="2292">
          <cell r="D2292">
            <v>45910</v>
          </cell>
          <cell r="H2292">
            <v>5</v>
          </cell>
          <cell r="I2292" t="str">
            <v>16</v>
          </cell>
          <cell r="L2292">
            <v>175</v>
          </cell>
        </row>
        <row r="2293">
          <cell r="D2293">
            <v>45910</v>
          </cell>
          <cell r="H2293">
            <v>5</v>
          </cell>
          <cell r="I2293">
            <v>10</v>
          </cell>
          <cell r="L2293">
            <v>200</v>
          </cell>
        </row>
        <row r="2294">
          <cell r="D2294">
            <v>45910</v>
          </cell>
          <cell r="H2294">
            <v>5</v>
          </cell>
          <cell r="I2294">
            <v>10</v>
          </cell>
          <cell r="L2294">
            <v>250</v>
          </cell>
        </row>
        <row r="2295">
          <cell r="D2295">
            <v>45910</v>
          </cell>
          <cell r="H2295">
            <v>5</v>
          </cell>
          <cell r="I2295" t="str">
            <v>3</v>
          </cell>
          <cell r="L2295">
            <v>220</v>
          </cell>
        </row>
        <row r="2296">
          <cell r="D2296">
            <v>45910</v>
          </cell>
          <cell r="H2296">
            <v>5</v>
          </cell>
          <cell r="I2296" t="str">
            <v>4</v>
          </cell>
          <cell r="L2296">
            <v>20</v>
          </cell>
        </row>
        <row r="2297">
          <cell r="D2297">
            <v>45911</v>
          </cell>
          <cell r="H2297">
            <v>5</v>
          </cell>
          <cell r="I2297" t="str">
            <v>9</v>
          </cell>
          <cell r="L2297">
            <v>125</v>
          </cell>
        </row>
        <row r="2298">
          <cell r="D2298">
            <v>45911</v>
          </cell>
          <cell r="H2298">
            <v>5</v>
          </cell>
          <cell r="I2298" t="str">
            <v>11X18</v>
          </cell>
          <cell r="L2298">
            <v>225</v>
          </cell>
        </row>
        <row r="2299">
          <cell r="D2299">
            <v>45911</v>
          </cell>
          <cell r="H2299">
            <v>5</v>
          </cell>
          <cell r="I2299" t="str">
            <v>11</v>
          </cell>
          <cell r="L2299">
            <v>100</v>
          </cell>
        </row>
        <row r="2300">
          <cell r="D2300">
            <v>45911</v>
          </cell>
          <cell r="H2300" t="str">
            <v>5-5.5</v>
          </cell>
          <cell r="I2300">
            <v>14</v>
          </cell>
          <cell r="L2300">
            <v>500</v>
          </cell>
        </row>
        <row r="2301">
          <cell r="D2301">
            <v>45911</v>
          </cell>
          <cell r="H2301">
            <v>5</v>
          </cell>
          <cell r="I2301">
            <v>18</v>
          </cell>
          <cell r="L2301">
            <v>50</v>
          </cell>
        </row>
        <row r="2302">
          <cell r="D2302">
            <v>45911</v>
          </cell>
          <cell r="H2302">
            <v>5</v>
          </cell>
          <cell r="I2302">
            <v>8</v>
          </cell>
          <cell r="L2302">
            <v>200</v>
          </cell>
        </row>
        <row r="2303">
          <cell r="D2303">
            <v>45911</v>
          </cell>
          <cell r="H2303">
            <v>5</v>
          </cell>
          <cell r="I2303">
            <v>10</v>
          </cell>
          <cell r="L2303">
            <v>425</v>
          </cell>
        </row>
        <row r="2304">
          <cell r="D2304">
            <v>45911</v>
          </cell>
          <cell r="H2304">
            <v>5</v>
          </cell>
          <cell r="I2304" t="str">
            <v>10</v>
          </cell>
          <cell r="L2304">
            <v>25</v>
          </cell>
        </row>
        <row r="2305">
          <cell r="D2305">
            <v>45911</v>
          </cell>
          <cell r="H2305">
            <v>5</v>
          </cell>
          <cell r="I2305" t="str">
            <v>4</v>
          </cell>
          <cell r="L2305">
            <v>180</v>
          </cell>
        </row>
        <row r="2306">
          <cell r="D2306">
            <v>45911</v>
          </cell>
          <cell r="H2306">
            <v>5</v>
          </cell>
          <cell r="I2306">
            <v>4</v>
          </cell>
          <cell r="L2306">
            <v>100</v>
          </cell>
        </row>
        <row r="2307">
          <cell r="D2307">
            <v>45912</v>
          </cell>
          <cell r="H2307">
            <v>5</v>
          </cell>
          <cell r="I2307" t="str">
            <v>PP</v>
          </cell>
          <cell r="L2307">
            <v>400</v>
          </cell>
        </row>
        <row r="2308">
          <cell r="D2308">
            <v>45912</v>
          </cell>
          <cell r="H2308">
            <v>5</v>
          </cell>
          <cell r="I2308" t="str">
            <v>PP</v>
          </cell>
          <cell r="L2308">
            <v>50</v>
          </cell>
        </row>
        <row r="2309">
          <cell r="D2309">
            <v>45912</v>
          </cell>
          <cell r="H2309" t="str">
            <v>5-5.5</v>
          </cell>
          <cell r="I2309" t="str">
            <v>PP</v>
          </cell>
          <cell r="L2309">
            <v>500</v>
          </cell>
        </row>
        <row r="2310">
          <cell r="D2310">
            <v>45912</v>
          </cell>
          <cell r="H2310">
            <v>5</v>
          </cell>
          <cell r="I2310" t="str">
            <v>PP</v>
          </cell>
          <cell r="L2310">
            <v>100</v>
          </cell>
        </row>
        <row r="2311">
          <cell r="D2311">
            <v>45912</v>
          </cell>
          <cell r="H2311">
            <v>5</v>
          </cell>
          <cell r="I2311" t="str">
            <v>PP</v>
          </cell>
          <cell r="L2311">
            <v>25</v>
          </cell>
        </row>
        <row r="2312">
          <cell r="D2312">
            <v>45912</v>
          </cell>
          <cell r="H2312">
            <v>4</v>
          </cell>
          <cell r="I2312" t="str">
            <v>PP</v>
          </cell>
          <cell r="L2312">
            <v>100</v>
          </cell>
        </row>
        <row r="2313">
          <cell r="D2313">
            <v>45912</v>
          </cell>
          <cell r="H2313">
            <v>5</v>
          </cell>
          <cell r="I2313" t="str">
            <v>PP</v>
          </cell>
          <cell r="L2313">
            <v>150</v>
          </cell>
        </row>
        <row r="2314">
          <cell r="D2314">
            <v>45912</v>
          </cell>
          <cell r="H2314">
            <v>5</v>
          </cell>
          <cell r="I2314" t="str">
            <v>PP</v>
          </cell>
          <cell r="L2314">
            <v>225</v>
          </cell>
        </row>
        <row r="2315">
          <cell r="D2315">
            <v>45912</v>
          </cell>
          <cell r="H2315">
            <v>5</v>
          </cell>
          <cell r="I2315" t="str">
            <v>PP</v>
          </cell>
          <cell r="L2315">
            <v>125</v>
          </cell>
        </row>
        <row r="2316">
          <cell r="D2316">
            <v>45912</v>
          </cell>
          <cell r="H2316">
            <v>5</v>
          </cell>
          <cell r="I2316" t="str">
            <v>PP</v>
          </cell>
          <cell r="L2316">
            <v>50</v>
          </cell>
        </row>
        <row r="2317">
          <cell r="D2317">
            <v>45912</v>
          </cell>
          <cell r="H2317">
            <v>5</v>
          </cell>
          <cell r="I2317" t="str">
            <v>PP</v>
          </cell>
          <cell r="L2317">
            <v>60</v>
          </cell>
        </row>
        <row r="2318">
          <cell r="D2318">
            <v>45912</v>
          </cell>
          <cell r="H2318" t="str">
            <v>5.5-6</v>
          </cell>
          <cell r="I2318" t="str">
            <v>PP</v>
          </cell>
          <cell r="L2318">
            <v>60</v>
          </cell>
        </row>
        <row r="2319">
          <cell r="D2319">
            <v>45913</v>
          </cell>
          <cell r="H2319" t="str">
            <v>5-5.5</v>
          </cell>
          <cell r="I2319" t="str">
            <v>PP</v>
          </cell>
          <cell r="L2319">
            <v>175</v>
          </cell>
        </row>
        <row r="2320">
          <cell r="D2320">
            <v>45913</v>
          </cell>
          <cell r="H2320">
            <v>5</v>
          </cell>
          <cell r="I2320" t="str">
            <v>PP</v>
          </cell>
          <cell r="L2320">
            <v>204.9</v>
          </cell>
        </row>
        <row r="2321">
          <cell r="D2321">
            <v>45913</v>
          </cell>
          <cell r="H2321">
            <v>8</v>
          </cell>
          <cell r="I2321" t="str">
            <v>PP</v>
          </cell>
          <cell r="L2321">
            <v>150</v>
          </cell>
        </row>
        <row r="2322">
          <cell r="D2322">
            <v>45913</v>
          </cell>
          <cell r="H2322">
            <v>5</v>
          </cell>
          <cell r="I2322" t="str">
            <v>PP</v>
          </cell>
          <cell r="L2322">
            <v>200</v>
          </cell>
        </row>
        <row r="2323">
          <cell r="D2323">
            <v>45913</v>
          </cell>
          <cell r="H2323">
            <v>5</v>
          </cell>
          <cell r="I2323" t="str">
            <v>PP</v>
          </cell>
          <cell r="L2323">
            <v>100</v>
          </cell>
        </row>
        <row r="2324">
          <cell r="D2324">
            <v>45913</v>
          </cell>
          <cell r="H2324">
            <v>5</v>
          </cell>
          <cell r="I2324" t="str">
            <v>PP</v>
          </cell>
          <cell r="L2324">
            <v>250</v>
          </cell>
        </row>
        <row r="2325">
          <cell r="D2325">
            <v>45913</v>
          </cell>
          <cell r="H2325">
            <v>5</v>
          </cell>
          <cell r="I2325" t="str">
            <v>PP</v>
          </cell>
          <cell r="L2325">
            <v>100</v>
          </cell>
        </row>
        <row r="2326">
          <cell r="D2326">
            <v>45913</v>
          </cell>
          <cell r="H2326">
            <v>5</v>
          </cell>
          <cell r="I2326" t="str">
            <v>PP</v>
          </cell>
          <cell r="L2326">
            <v>300</v>
          </cell>
        </row>
        <row r="2327">
          <cell r="D2327">
            <v>45913</v>
          </cell>
          <cell r="H2327" t="str">
            <v>5.5-6</v>
          </cell>
          <cell r="I2327" t="str">
            <v>PP</v>
          </cell>
          <cell r="L2327">
            <v>100</v>
          </cell>
        </row>
        <row r="2328">
          <cell r="D2328">
            <v>45914</v>
          </cell>
          <cell r="H2328">
            <v>8</v>
          </cell>
          <cell r="I2328" t="str">
            <v>PP</v>
          </cell>
          <cell r="L2328">
            <v>222.6</v>
          </cell>
        </row>
        <row r="2329">
          <cell r="D2329">
            <v>45914</v>
          </cell>
          <cell r="H2329">
            <v>8</v>
          </cell>
          <cell r="I2329" t="str">
            <v>PP</v>
          </cell>
          <cell r="L2329">
            <v>379.7</v>
          </cell>
        </row>
        <row r="2330">
          <cell r="D2330">
            <v>45914</v>
          </cell>
          <cell r="H2330">
            <v>5</v>
          </cell>
          <cell r="I2330" t="str">
            <v>PP</v>
          </cell>
          <cell r="L2330">
            <v>125</v>
          </cell>
        </row>
        <row r="2331">
          <cell r="D2331">
            <v>45914</v>
          </cell>
          <cell r="H2331">
            <v>5</v>
          </cell>
          <cell r="I2331" t="str">
            <v>PP</v>
          </cell>
          <cell r="L2331">
            <v>275</v>
          </cell>
        </row>
        <row r="2332">
          <cell r="D2332">
            <v>45914</v>
          </cell>
          <cell r="H2332">
            <v>5</v>
          </cell>
          <cell r="I2332" t="str">
            <v>PP</v>
          </cell>
          <cell r="L2332">
            <v>60</v>
          </cell>
        </row>
        <row r="2333">
          <cell r="D2333">
            <v>45914</v>
          </cell>
          <cell r="H2333">
            <v>5</v>
          </cell>
          <cell r="I2333" t="str">
            <v>PP</v>
          </cell>
          <cell r="L2333">
            <v>20</v>
          </cell>
        </row>
        <row r="2334">
          <cell r="D2334">
            <v>45914</v>
          </cell>
          <cell r="H2334">
            <v>5</v>
          </cell>
          <cell r="I2334" t="str">
            <v>PP</v>
          </cell>
          <cell r="L2334">
            <v>250</v>
          </cell>
        </row>
        <row r="2335">
          <cell r="D2335">
            <v>45915</v>
          </cell>
          <cell r="H2335">
            <v>5</v>
          </cell>
          <cell r="I2335" t="str">
            <v>PP</v>
          </cell>
          <cell r="L2335">
            <v>250</v>
          </cell>
        </row>
        <row r="2336">
          <cell r="D2336">
            <v>45915</v>
          </cell>
          <cell r="H2336">
            <v>10</v>
          </cell>
          <cell r="I2336" t="str">
            <v>PP</v>
          </cell>
          <cell r="L2336">
            <v>61.3</v>
          </cell>
        </row>
        <row r="2337">
          <cell r="D2337">
            <v>45915</v>
          </cell>
          <cell r="H2337">
            <v>10</v>
          </cell>
          <cell r="I2337" t="str">
            <v>PP</v>
          </cell>
          <cell r="L2337">
            <v>54.55</v>
          </cell>
        </row>
        <row r="2338">
          <cell r="D2338">
            <v>45915</v>
          </cell>
          <cell r="H2338">
            <v>5</v>
          </cell>
          <cell r="I2338" t="str">
            <v>PP</v>
          </cell>
          <cell r="L2338">
            <v>250</v>
          </cell>
        </row>
        <row r="2339">
          <cell r="D2339">
            <v>45915</v>
          </cell>
          <cell r="H2339">
            <v>5</v>
          </cell>
          <cell r="I2339" t="str">
            <v>PP</v>
          </cell>
          <cell r="L2339">
            <v>300</v>
          </cell>
        </row>
        <row r="2340">
          <cell r="D2340">
            <v>45915</v>
          </cell>
          <cell r="H2340">
            <v>5</v>
          </cell>
          <cell r="I2340" t="str">
            <v>PP</v>
          </cell>
          <cell r="L2340">
            <v>300</v>
          </cell>
        </row>
        <row r="2341">
          <cell r="D2341">
            <v>45916</v>
          </cell>
          <cell r="H2341">
            <v>5</v>
          </cell>
          <cell r="I2341" t="str">
            <v>PP</v>
          </cell>
          <cell r="L2341">
            <v>400</v>
          </cell>
        </row>
        <row r="2342">
          <cell r="D2342">
            <v>45916</v>
          </cell>
          <cell r="H2342">
            <v>5</v>
          </cell>
          <cell r="I2342" t="str">
            <v>PP</v>
          </cell>
          <cell r="L2342">
            <v>275</v>
          </cell>
        </row>
        <row r="2343">
          <cell r="D2343">
            <v>45916</v>
          </cell>
          <cell r="H2343">
            <v>5</v>
          </cell>
          <cell r="I2343" t="str">
            <v>PP</v>
          </cell>
          <cell r="L2343">
            <v>150</v>
          </cell>
        </row>
        <row r="2344">
          <cell r="D2344">
            <v>45916</v>
          </cell>
          <cell r="H2344">
            <v>5</v>
          </cell>
          <cell r="I2344" t="str">
            <v>PP</v>
          </cell>
          <cell r="L2344">
            <v>75</v>
          </cell>
        </row>
        <row r="2345">
          <cell r="D2345">
            <v>45916</v>
          </cell>
          <cell r="H2345">
            <v>5</v>
          </cell>
          <cell r="I2345" t="str">
            <v>PP</v>
          </cell>
          <cell r="L2345">
            <v>300</v>
          </cell>
        </row>
        <row r="2346">
          <cell r="D2346">
            <v>45917</v>
          </cell>
          <cell r="H2346">
            <v>5</v>
          </cell>
          <cell r="I2346" t="str">
            <v>PP</v>
          </cell>
          <cell r="L2346">
            <v>50</v>
          </cell>
        </row>
        <row r="2347">
          <cell r="D2347">
            <v>45917</v>
          </cell>
          <cell r="H2347">
            <v>5</v>
          </cell>
          <cell r="I2347" t="str">
            <v>PP</v>
          </cell>
          <cell r="L2347">
            <v>175</v>
          </cell>
        </row>
        <row r="2348">
          <cell r="D2348">
            <v>45917</v>
          </cell>
          <cell r="H2348">
            <v>5</v>
          </cell>
          <cell r="I2348" t="str">
            <v>PP</v>
          </cell>
          <cell r="L2348">
            <v>25</v>
          </cell>
        </row>
        <row r="2349">
          <cell r="D2349">
            <v>45917</v>
          </cell>
          <cell r="H2349">
            <v>5</v>
          </cell>
          <cell r="I2349" t="str">
            <v>PP</v>
          </cell>
          <cell r="L2349">
            <v>25</v>
          </cell>
        </row>
        <row r="2350">
          <cell r="D2350">
            <v>45917</v>
          </cell>
          <cell r="H2350">
            <v>5</v>
          </cell>
          <cell r="I2350" t="str">
            <v>PP</v>
          </cell>
          <cell r="L2350">
            <v>50</v>
          </cell>
        </row>
        <row r="2351">
          <cell r="D2351">
            <v>45917</v>
          </cell>
          <cell r="H2351">
            <v>5</v>
          </cell>
          <cell r="I2351" t="str">
            <v>PP</v>
          </cell>
          <cell r="L2351">
            <v>150</v>
          </cell>
        </row>
        <row r="2352">
          <cell r="D2352">
            <v>45917</v>
          </cell>
          <cell r="H2352">
            <v>5</v>
          </cell>
          <cell r="I2352" t="str">
            <v>PP</v>
          </cell>
          <cell r="L2352">
            <v>175</v>
          </cell>
        </row>
        <row r="2353">
          <cell r="D2353">
            <v>45917</v>
          </cell>
          <cell r="H2353">
            <v>5</v>
          </cell>
          <cell r="I2353" t="str">
            <v>PP</v>
          </cell>
          <cell r="L2353">
            <v>75</v>
          </cell>
        </row>
        <row r="2354">
          <cell r="D2354">
            <v>45917</v>
          </cell>
          <cell r="H2354">
            <v>5</v>
          </cell>
          <cell r="I2354" t="str">
            <v>PP</v>
          </cell>
          <cell r="L2354">
            <v>20</v>
          </cell>
        </row>
        <row r="2355">
          <cell r="D2355">
            <v>45917</v>
          </cell>
          <cell r="H2355">
            <v>5</v>
          </cell>
          <cell r="I2355" t="str">
            <v>PP</v>
          </cell>
          <cell r="L2355">
            <v>80</v>
          </cell>
        </row>
        <row r="2356">
          <cell r="D2356">
            <v>45917</v>
          </cell>
          <cell r="H2356">
            <v>5</v>
          </cell>
          <cell r="I2356" t="str">
            <v>PP</v>
          </cell>
          <cell r="L2356">
            <v>60</v>
          </cell>
        </row>
        <row r="2357">
          <cell r="D2357">
            <v>45917</v>
          </cell>
          <cell r="H2357">
            <v>5</v>
          </cell>
          <cell r="I2357" t="str">
            <v>PP</v>
          </cell>
          <cell r="L2357">
            <v>60</v>
          </cell>
        </row>
        <row r="2358">
          <cell r="D2358">
            <v>45918</v>
          </cell>
          <cell r="H2358">
            <v>5</v>
          </cell>
          <cell r="I2358" t="str">
            <v>PP</v>
          </cell>
          <cell r="L2358">
            <v>125</v>
          </cell>
        </row>
        <row r="2359">
          <cell r="D2359">
            <v>45918</v>
          </cell>
          <cell r="H2359">
            <v>5</v>
          </cell>
          <cell r="I2359" t="str">
            <v>PP</v>
          </cell>
          <cell r="L2359">
            <v>25</v>
          </cell>
        </row>
        <row r="2360">
          <cell r="D2360">
            <v>45918</v>
          </cell>
          <cell r="H2360">
            <v>5</v>
          </cell>
          <cell r="I2360" t="str">
            <v>PP</v>
          </cell>
          <cell r="L2360">
            <v>200</v>
          </cell>
        </row>
        <row r="2361">
          <cell r="D2361">
            <v>45918</v>
          </cell>
          <cell r="H2361">
            <v>5</v>
          </cell>
          <cell r="I2361" t="str">
            <v>PP</v>
          </cell>
          <cell r="L2361">
            <v>25</v>
          </cell>
        </row>
        <row r="2362">
          <cell r="D2362">
            <v>45918</v>
          </cell>
          <cell r="H2362">
            <v>5</v>
          </cell>
          <cell r="I2362" t="str">
            <v>PP</v>
          </cell>
          <cell r="L2362">
            <v>100</v>
          </cell>
        </row>
        <row r="2363">
          <cell r="D2363">
            <v>45918</v>
          </cell>
          <cell r="H2363">
            <v>5</v>
          </cell>
          <cell r="I2363" t="str">
            <v>PP</v>
          </cell>
          <cell r="L2363">
            <v>250</v>
          </cell>
        </row>
        <row r="2364">
          <cell r="D2364">
            <v>45918</v>
          </cell>
          <cell r="H2364">
            <v>5</v>
          </cell>
          <cell r="I2364" t="str">
            <v>PP</v>
          </cell>
          <cell r="L2364">
            <v>40</v>
          </cell>
        </row>
        <row r="2365">
          <cell r="D2365">
            <v>45918</v>
          </cell>
          <cell r="H2365" t="str">
            <v>5.5-6</v>
          </cell>
          <cell r="I2365" t="str">
            <v>PP</v>
          </cell>
          <cell r="L2365">
            <v>40</v>
          </cell>
        </row>
        <row r="2366">
          <cell r="D2366">
            <v>45918</v>
          </cell>
          <cell r="H2366">
            <v>5</v>
          </cell>
          <cell r="I2366" t="str">
            <v>PP</v>
          </cell>
          <cell r="L2366">
            <v>60</v>
          </cell>
        </row>
        <row r="2367">
          <cell r="D2367">
            <v>45919</v>
          </cell>
          <cell r="H2367">
            <v>5</v>
          </cell>
          <cell r="I2367" t="str">
            <v>6</v>
          </cell>
          <cell r="L2367">
            <v>200</v>
          </cell>
        </row>
        <row r="2368">
          <cell r="D2368">
            <v>45919</v>
          </cell>
          <cell r="H2368">
            <v>5</v>
          </cell>
          <cell r="I2368">
            <v>6</v>
          </cell>
          <cell r="L2368">
            <v>50</v>
          </cell>
        </row>
        <row r="2369">
          <cell r="D2369">
            <v>45919</v>
          </cell>
          <cell r="H2369">
            <v>5</v>
          </cell>
          <cell r="I2369" t="str">
            <v>8</v>
          </cell>
          <cell r="L2369">
            <v>200</v>
          </cell>
        </row>
        <row r="2370">
          <cell r="D2370">
            <v>45919</v>
          </cell>
          <cell r="H2370">
            <v>5</v>
          </cell>
          <cell r="I2370" t="str">
            <v>8</v>
          </cell>
          <cell r="L2370">
            <v>100</v>
          </cell>
        </row>
        <row r="2371">
          <cell r="D2371">
            <v>45919</v>
          </cell>
          <cell r="H2371">
            <v>5</v>
          </cell>
          <cell r="I2371" t="str">
            <v>10</v>
          </cell>
          <cell r="L2371">
            <v>400</v>
          </cell>
        </row>
        <row r="2372">
          <cell r="D2372">
            <v>45919</v>
          </cell>
          <cell r="H2372">
            <v>5</v>
          </cell>
          <cell r="I2372" t="str">
            <v>11</v>
          </cell>
          <cell r="L2372">
            <v>475</v>
          </cell>
        </row>
        <row r="2373">
          <cell r="D2373">
            <v>45919</v>
          </cell>
          <cell r="H2373">
            <v>5</v>
          </cell>
          <cell r="I2373">
            <v>2</v>
          </cell>
          <cell r="L2373">
            <v>140</v>
          </cell>
        </row>
        <row r="2374">
          <cell r="D2374">
            <v>45919</v>
          </cell>
          <cell r="H2374" t="str">
            <v>5.5-6</v>
          </cell>
          <cell r="I2374">
            <v>2</v>
          </cell>
          <cell r="L2374">
            <v>20</v>
          </cell>
        </row>
        <row r="2375">
          <cell r="D2375">
            <v>45919</v>
          </cell>
          <cell r="H2375">
            <v>5</v>
          </cell>
          <cell r="I2375">
            <v>3.5</v>
          </cell>
          <cell r="L2375">
            <v>40</v>
          </cell>
        </row>
        <row r="2376">
          <cell r="D2376">
            <v>45920</v>
          </cell>
          <cell r="H2376">
            <v>5</v>
          </cell>
          <cell r="I2376" t="str">
            <v>6</v>
          </cell>
          <cell r="L2376">
            <v>200</v>
          </cell>
        </row>
        <row r="2377">
          <cell r="D2377">
            <v>45920</v>
          </cell>
          <cell r="H2377">
            <v>5</v>
          </cell>
          <cell r="I2377" t="str">
            <v>6</v>
          </cell>
          <cell r="L2377">
            <v>100</v>
          </cell>
        </row>
        <row r="2378">
          <cell r="D2378">
            <v>45920</v>
          </cell>
          <cell r="H2378">
            <v>10</v>
          </cell>
          <cell r="I2378">
            <v>8</v>
          </cell>
          <cell r="L2378">
            <v>105.7</v>
          </cell>
        </row>
        <row r="2379">
          <cell r="D2379">
            <v>45920</v>
          </cell>
          <cell r="H2379">
            <v>5</v>
          </cell>
          <cell r="I2379" t="str">
            <v>10</v>
          </cell>
          <cell r="L2379">
            <v>250</v>
          </cell>
        </row>
        <row r="2380">
          <cell r="D2380">
            <v>45920</v>
          </cell>
          <cell r="H2380">
            <v>5</v>
          </cell>
          <cell r="I2380" t="str">
            <v>10</v>
          </cell>
          <cell r="L2380">
            <v>150</v>
          </cell>
        </row>
        <row r="2381">
          <cell r="D2381">
            <v>45920</v>
          </cell>
          <cell r="H2381">
            <v>5</v>
          </cell>
          <cell r="I2381" t="str">
            <v>7</v>
          </cell>
          <cell r="L2381">
            <v>150</v>
          </cell>
        </row>
        <row r="2382">
          <cell r="D2382">
            <v>45920</v>
          </cell>
          <cell r="H2382">
            <v>5</v>
          </cell>
          <cell r="I2382" t="str">
            <v>11</v>
          </cell>
          <cell r="L2382">
            <v>125</v>
          </cell>
        </row>
        <row r="2383">
          <cell r="D2383">
            <v>45920</v>
          </cell>
          <cell r="H2383">
            <v>5</v>
          </cell>
          <cell r="I2383" t="str">
            <v>11</v>
          </cell>
          <cell r="L2383">
            <v>25</v>
          </cell>
        </row>
        <row r="2384">
          <cell r="D2384">
            <v>45920</v>
          </cell>
          <cell r="H2384">
            <v>5</v>
          </cell>
          <cell r="I2384" t="str">
            <v>8</v>
          </cell>
          <cell r="L2384">
            <v>300</v>
          </cell>
        </row>
        <row r="2385">
          <cell r="D2385">
            <v>45920</v>
          </cell>
          <cell r="H2385">
            <v>5</v>
          </cell>
          <cell r="I2385">
            <v>3.5</v>
          </cell>
          <cell r="L2385">
            <v>140</v>
          </cell>
        </row>
        <row r="2386">
          <cell r="D2386">
            <v>45920</v>
          </cell>
          <cell r="H2386">
            <v>10</v>
          </cell>
          <cell r="I2386">
            <v>5.5</v>
          </cell>
          <cell r="L2386">
            <v>77.400000000000006</v>
          </cell>
        </row>
        <row r="2387">
          <cell r="D2387">
            <v>45921</v>
          </cell>
          <cell r="H2387">
            <v>5</v>
          </cell>
          <cell r="I2387">
            <v>12</v>
          </cell>
          <cell r="L2387">
            <v>200</v>
          </cell>
        </row>
        <row r="2388">
          <cell r="D2388">
            <v>45921</v>
          </cell>
          <cell r="H2388">
            <v>5</v>
          </cell>
          <cell r="I2388" t="str">
            <v>13</v>
          </cell>
          <cell r="L2388">
            <v>250</v>
          </cell>
        </row>
        <row r="2389">
          <cell r="D2389">
            <v>45921</v>
          </cell>
          <cell r="H2389">
            <v>5</v>
          </cell>
          <cell r="I2389" t="str">
            <v>12</v>
          </cell>
          <cell r="L2389">
            <v>50</v>
          </cell>
        </row>
        <row r="2390">
          <cell r="D2390">
            <v>45922</v>
          </cell>
          <cell r="H2390">
            <v>4.5</v>
          </cell>
          <cell r="I2390">
            <v>6</v>
          </cell>
          <cell r="L2390">
            <v>50</v>
          </cell>
        </row>
        <row r="2391">
          <cell r="D2391">
            <v>45922</v>
          </cell>
          <cell r="H2391">
            <v>4.5</v>
          </cell>
          <cell r="I2391">
            <v>6</v>
          </cell>
          <cell r="L2391">
            <v>250</v>
          </cell>
        </row>
        <row r="2392">
          <cell r="D2392">
            <v>45922</v>
          </cell>
          <cell r="H2392">
            <v>5</v>
          </cell>
          <cell r="I2392" t="str">
            <v>12</v>
          </cell>
          <cell r="L2392">
            <v>75</v>
          </cell>
        </row>
        <row r="2393">
          <cell r="D2393">
            <v>45922</v>
          </cell>
          <cell r="H2393">
            <v>5</v>
          </cell>
          <cell r="I2393" t="str">
            <v>7</v>
          </cell>
          <cell r="L2393">
            <v>150</v>
          </cell>
        </row>
        <row r="2394">
          <cell r="D2394">
            <v>45922</v>
          </cell>
          <cell r="H2394">
            <v>5</v>
          </cell>
          <cell r="I2394" t="str">
            <v>07</v>
          </cell>
          <cell r="L2394">
            <v>175</v>
          </cell>
        </row>
        <row r="2395">
          <cell r="D2395">
            <v>45922</v>
          </cell>
          <cell r="H2395">
            <v>5</v>
          </cell>
          <cell r="I2395" t="str">
            <v>10</v>
          </cell>
          <cell r="L2395">
            <v>200</v>
          </cell>
        </row>
        <row r="2396">
          <cell r="D2396">
            <v>45922</v>
          </cell>
          <cell r="H2396">
            <v>5</v>
          </cell>
          <cell r="I2396" t="str">
            <v>10</v>
          </cell>
          <cell r="L2396">
            <v>100</v>
          </cell>
        </row>
        <row r="2397">
          <cell r="D2397">
            <v>45922</v>
          </cell>
          <cell r="H2397">
            <v>5</v>
          </cell>
          <cell r="I2397" t="str">
            <v>9</v>
          </cell>
          <cell r="L2397">
            <v>75</v>
          </cell>
        </row>
        <row r="2398">
          <cell r="D2398">
            <v>45922</v>
          </cell>
          <cell r="H2398">
            <v>5</v>
          </cell>
          <cell r="I2398">
            <v>8</v>
          </cell>
          <cell r="L2398">
            <v>100</v>
          </cell>
        </row>
        <row r="2399">
          <cell r="D2399">
            <v>45922</v>
          </cell>
          <cell r="H2399">
            <v>5</v>
          </cell>
          <cell r="I2399" t="str">
            <v>8</v>
          </cell>
          <cell r="L2399">
            <v>200</v>
          </cell>
        </row>
        <row r="2400">
          <cell r="D2400">
            <v>45922</v>
          </cell>
          <cell r="H2400">
            <v>4.5</v>
          </cell>
          <cell r="I2400">
            <v>3.5</v>
          </cell>
          <cell r="L2400">
            <v>170.9</v>
          </cell>
        </row>
        <row r="2401">
          <cell r="D2401">
            <v>45922</v>
          </cell>
          <cell r="H2401">
            <v>4.5</v>
          </cell>
          <cell r="I2401">
            <v>4</v>
          </cell>
          <cell r="L2401">
            <v>40</v>
          </cell>
        </row>
        <row r="2402">
          <cell r="D2402">
            <v>45922</v>
          </cell>
          <cell r="H2402">
            <v>4.5</v>
          </cell>
          <cell r="I2402">
            <v>12</v>
          </cell>
          <cell r="L2402">
            <v>200</v>
          </cell>
        </row>
        <row r="2403">
          <cell r="D2403">
            <v>45922</v>
          </cell>
          <cell r="H2403">
            <v>4.5</v>
          </cell>
          <cell r="I2403">
            <v>10</v>
          </cell>
          <cell r="L2403">
            <v>200</v>
          </cell>
        </row>
        <row r="2404">
          <cell r="D2404">
            <v>45922</v>
          </cell>
          <cell r="H2404">
            <v>4.5</v>
          </cell>
          <cell r="I2404">
            <v>4.5</v>
          </cell>
          <cell r="L2404">
            <v>140</v>
          </cell>
        </row>
        <row r="2405">
          <cell r="D2405">
            <v>45922</v>
          </cell>
          <cell r="H2405">
            <v>4.5</v>
          </cell>
          <cell r="I2405">
            <v>4</v>
          </cell>
          <cell r="L2405">
            <v>254</v>
          </cell>
        </row>
        <row r="2406">
          <cell r="D2406">
            <v>45923</v>
          </cell>
          <cell r="H2406">
            <v>4.5</v>
          </cell>
          <cell r="I2406">
            <v>6</v>
          </cell>
          <cell r="L2406">
            <v>200</v>
          </cell>
        </row>
        <row r="2407">
          <cell r="D2407">
            <v>45923</v>
          </cell>
          <cell r="H2407">
            <v>5</v>
          </cell>
          <cell r="I2407" t="str">
            <v>6</v>
          </cell>
          <cell r="L2407">
            <v>75</v>
          </cell>
        </row>
        <row r="2408">
          <cell r="D2408">
            <v>45923</v>
          </cell>
          <cell r="H2408">
            <v>5</v>
          </cell>
          <cell r="I2408" t="str">
            <v>8</v>
          </cell>
          <cell r="L2408">
            <v>75</v>
          </cell>
        </row>
        <row r="2409">
          <cell r="D2409">
            <v>45923</v>
          </cell>
          <cell r="H2409">
            <v>5</v>
          </cell>
          <cell r="I2409" t="str">
            <v>08</v>
          </cell>
          <cell r="L2409">
            <v>200</v>
          </cell>
        </row>
        <row r="2410">
          <cell r="D2410">
            <v>45923</v>
          </cell>
          <cell r="H2410">
            <v>5</v>
          </cell>
          <cell r="I2410" t="str">
            <v>08</v>
          </cell>
          <cell r="L2410">
            <v>25</v>
          </cell>
        </row>
        <row r="2411">
          <cell r="D2411">
            <v>45923</v>
          </cell>
          <cell r="H2411">
            <v>5</v>
          </cell>
          <cell r="I2411" t="str">
            <v>07</v>
          </cell>
          <cell r="L2411">
            <v>25</v>
          </cell>
        </row>
        <row r="2412">
          <cell r="D2412">
            <v>45923</v>
          </cell>
          <cell r="H2412">
            <v>5</v>
          </cell>
          <cell r="I2412" t="str">
            <v>07</v>
          </cell>
          <cell r="L2412">
            <v>250</v>
          </cell>
        </row>
        <row r="2413">
          <cell r="D2413">
            <v>45923</v>
          </cell>
          <cell r="H2413">
            <v>5</v>
          </cell>
          <cell r="I2413" t="str">
            <v>10</v>
          </cell>
          <cell r="L2413">
            <v>225</v>
          </cell>
        </row>
        <row r="2414">
          <cell r="D2414">
            <v>45923</v>
          </cell>
          <cell r="H2414">
            <v>5</v>
          </cell>
          <cell r="I2414" t="str">
            <v>9</v>
          </cell>
          <cell r="L2414">
            <v>150</v>
          </cell>
        </row>
        <row r="2415">
          <cell r="D2415">
            <v>45923</v>
          </cell>
          <cell r="H2415">
            <v>5</v>
          </cell>
          <cell r="I2415">
            <v>3</v>
          </cell>
          <cell r="L2415">
            <v>75</v>
          </cell>
        </row>
        <row r="2416">
          <cell r="D2416">
            <v>45923</v>
          </cell>
          <cell r="H2416">
            <v>4.5</v>
          </cell>
          <cell r="I2416">
            <v>4.5</v>
          </cell>
          <cell r="L2416">
            <v>37.6</v>
          </cell>
        </row>
        <row r="2417">
          <cell r="D2417">
            <v>45923</v>
          </cell>
          <cell r="H2417">
            <v>5</v>
          </cell>
          <cell r="I2417" t="str">
            <v>3</v>
          </cell>
          <cell r="L2417">
            <v>80</v>
          </cell>
        </row>
        <row r="2418">
          <cell r="D2418">
            <v>45924</v>
          </cell>
          <cell r="H2418">
            <v>5</v>
          </cell>
          <cell r="I2418" t="str">
            <v>6</v>
          </cell>
          <cell r="L2418">
            <v>325</v>
          </cell>
        </row>
        <row r="2419">
          <cell r="D2419">
            <v>45924</v>
          </cell>
          <cell r="H2419">
            <v>4.5</v>
          </cell>
          <cell r="I2419">
            <v>9</v>
          </cell>
          <cell r="L2419">
            <v>50</v>
          </cell>
        </row>
        <row r="2420">
          <cell r="D2420">
            <v>45924</v>
          </cell>
          <cell r="H2420">
            <v>5</v>
          </cell>
          <cell r="I2420" t="str">
            <v>9</v>
          </cell>
          <cell r="L2420">
            <v>75</v>
          </cell>
        </row>
        <row r="2421">
          <cell r="D2421">
            <v>45924</v>
          </cell>
          <cell r="H2421">
            <v>5</v>
          </cell>
          <cell r="I2421" t="str">
            <v>10</v>
          </cell>
          <cell r="L2421">
            <v>100</v>
          </cell>
        </row>
        <row r="2422">
          <cell r="D2422">
            <v>45924</v>
          </cell>
          <cell r="H2422">
            <v>5</v>
          </cell>
          <cell r="I2422" t="str">
            <v>10</v>
          </cell>
          <cell r="L2422">
            <v>50</v>
          </cell>
        </row>
        <row r="2423">
          <cell r="D2423">
            <v>45924</v>
          </cell>
          <cell r="H2423">
            <v>5</v>
          </cell>
          <cell r="I2423" t="str">
            <v>08</v>
          </cell>
          <cell r="L2423">
            <v>375</v>
          </cell>
        </row>
        <row r="2424">
          <cell r="D2424">
            <v>45924</v>
          </cell>
          <cell r="H2424">
            <v>5</v>
          </cell>
          <cell r="I2424" t="str">
            <v>7</v>
          </cell>
          <cell r="L2424">
            <v>325</v>
          </cell>
        </row>
        <row r="2425">
          <cell r="D2425">
            <v>45924</v>
          </cell>
          <cell r="H2425">
            <v>5</v>
          </cell>
          <cell r="I2425" t="str">
            <v>05</v>
          </cell>
          <cell r="L2425">
            <v>200</v>
          </cell>
        </row>
        <row r="2426">
          <cell r="D2426">
            <v>45924</v>
          </cell>
          <cell r="H2426">
            <v>5</v>
          </cell>
          <cell r="I2426">
            <v>2.5</v>
          </cell>
          <cell r="L2426">
            <v>200</v>
          </cell>
        </row>
        <row r="2427">
          <cell r="D2427">
            <v>45924</v>
          </cell>
          <cell r="H2427">
            <v>5</v>
          </cell>
          <cell r="I2427">
            <v>2.5</v>
          </cell>
          <cell r="L2427">
            <v>200</v>
          </cell>
        </row>
        <row r="2428">
          <cell r="D2428">
            <v>45925</v>
          </cell>
          <cell r="H2428">
            <v>5</v>
          </cell>
          <cell r="I2428">
            <v>18</v>
          </cell>
          <cell r="L2428">
            <v>100</v>
          </cell>
        </row>
        <row r="2429">
          <cell r="D2429">
            <v>45925</v>
          </cell>
          <cell r="H2429">
            <v>5</v>
          </cell>
          <cell r="I2429">
            <v>16</v>
          </cell>
          <cell r="L2429">
            <v>100</v>
          </cell>
        </row>
        <row r="2430">
          <cell r="D2430">
            <v>45925</v>
          </cell>
          <cell r="H2430">
            <v>5</v>
          </cell>
          <cell r="I2430" t="str">
            <v>6</v>
          </cell>
          <cell r="L2430">
            <v>75</v>
          </cell>
        </row>
        <row r="2431">
          <cell r="D2431">
            <v>45925</v>
          </cell>
          <cell r="H2431">
            <v>5</v>
          </cell>
          <cell r="I2431">
            <v>6</v>
          </cell>
          <cell r="L2431">
            <v>100</v>
          </cell>
        </row>
        <row r="2432">
          <cell r="D2432">
            <v>45925</v>
          </cell>
          <cell r="H2432">
            <v>5</v>
          </cell>
          <cell r="I2432" t="str">
            <v>8</v>
          </cell>
          <cell r="L2432">
            <v>250</v>
          </cell>
        </row>
        <row r="2433">
          <cell r="D2433">
            <v>45925</v>
          </cell>
          <cell r="H2433">
            <v>4.5</v>
          </cell>
          <cell r="I2433">
            <v>8</v>
          </cell>
          <cell r="L2433">
            <v>175</v>
          </cell>
        </row>
        <row r="2434">
          <cell r="D2434">
            <v>45925</v>
          </cell>
          <cell r="H2434">
            <v>5</v>
          </cell>
          <cell r="I2434" t="str">
            <v>9</v>
          </cell>
          <cell r="L2434">
            <v>175</v>
          </cell>
        </row>
        <row r="2435">
          <cell r="D2435">
            <v>45925</v>
          </cell>
          <cell r="H2435">
            <v>7</v>
          </cell>
          <cell r="I2435">
            <v>9</v>
          </cell>
          <cell r="L2435">
            <v>108.5</v>
          </cell>
        </row>
        <row r="2436">
          <cell r="D2436">
            <v>45925</v>
          </cell>
          <cell r="H2436">
            <v>5</v>
          </cell>
          <cell r="I2436" t="str">
            <v>7</v>
          </cell>
          <cell r="L2436">
            <v>175</v>
          </cell>
        </row>
        <row r="2437">
          <cell r="D2437">
            <v>45925</v>
          </cell>
          <cell r="H2437">
            <v>5</v>
          </cell>
          <cell r="I2437" t="str">
            <v>7</v>
          </cell>
          <cell r="L2437">
            <v>175</v>
          </cell>
        </row>
        <row r="2438">
          <cell r="D2438">
            <v>45925</v>
          </cell>
          <cell r="H2438">
            <v>5</v>
          </cell>
          <cell r="I2438">
            <v>2.5</v>
          </cell>
          <cell r="L2438">
            <v>325</v>
          </cell>
        </row>
        <row r="2439">
          <cell r="D2439">
            <v>45925</v>
          </cell>
          <cell r="H2439">
            <v>14</v>
          </cell>
          <cell r="I2439" t="str">
            <v>05</v>
          </cell>
          <cell r="L2439">
            <v>150</v>
          </cell>
        </row>
        <row r="2440">
          <cell r="D2440">
            <v>45925</v>
          </cell>
          <cell r="H2440">
            <v>5</v>
          </cell>
          <cell r="I2440" t="str">
            <v>5</v>
          </cell>
          <cell r="L2440">
            <v>50</v>
          </cell>
        </row>
        <row r="2441">
          <cell r="D2441">
            <v>45926</v>
          </cell>
          <cell r="H2441">
            <v>5</v>
          </cell>
          <cell r="I2441">
            <v>6</v>
          </cell>
          <cell r="L2441">
            <v>75</v>
          </cell>
        </row>
        <row r="2442">
          <cell r="D2442">
            <v>45926</v>
          </cell>
          <cell r="H2442">
            <v>5</v>
          </cell>
          <cell r="I2442">
            <v>18</v>
          </cell>
          <cell r="L2442">
            <v>100</v>
          </cell>
        </row>
        <row r="2443">
          <cell r="D2443">
            <v>45926</v>
          </cell>
          <cell r="H2443">
            <v>5</v>
          </cell>
          <cell r="I2443">
            <v>18</v>
          </cell>
          <cell r="L2443">
            <v>25</v>
          </cell>
        </row>
        <row r="2444">
          <cell r="D2444">
            <v>45926</v>
          </cell>
          <cell r="H2444">
            <v>5</v>
          </cell>
          <cell r="I2444" t="str">
            <v>18</v>
          </cell>
          <cell r="L2444">
            <v>200</v>
          </cell>
        </row>
        <row r="2445">
          <cell r="D2445">
            <v>45926</v>
          </cell>
          <cell r="H2445">
            <v>5</v>
          </cell>
          <cell r="I2445" t="str">
            <v>12</v>
          </cell>
          <cell r="L2445">
            <v>150</v>
          </cell>
        </row>
        <row r="2446">
          <cell r="D2446">
            <v>45926</v>
          </cell>
          <cell r="H2446">
            <v>5</v>
          </cell>
          <cell r="I2446" t="str">
            <v>12</v>
          </cell>
          <cell r="L2446">
            <v>250</v>
          </cell>
        </row>
        <row r="2447">
          <cell r="D2447">
            <v>45926</v>
          </cell>
          <cell r="H2447">
            <v>5</v>
          </cell>
          <cell r="I2447" t="str">
            <v>9</v>
          </cell>
          <cell r="L2447">
            <v>400</v>
          </cell>
        </row>
        <row r="2448">
          <cell r="D2448">
            <v>45926</v>
          </cell>
          <cell r="H2448">
            <v>4.5</v>
          </cell>
          <cell r="I2448">
            <v>18</v>
          </cell>
          <cell r="L2448">
            <v>100</v>
          </cell>
        </row>
        <row r="2449">
          <cell r="D2449">
            <v>45926</v>
          </cell>
          <cell r="H2449">
            <v>5</v>
          </cell>
          <cell r="I2449" t="str">
            <v>7</v>
          </cell>
          <cell r="L2449">
            <v>100</v>
          </cell>
        </row>
        <row r="2450">
          <cell r="D2450">
            <v>45926</v>
          </cell>
          <cell r="H2450">
            <v>5</v>
          </cell>
          <cell r="I2450" t="str">
            <v>7</v>
          </cell>
          <cell r="L2450">
            <v>175</v>
          </cell>
        </row>
        <row r="2451">
          <cell r="D2451">
            <v>45926</v>
          </cell>
          <cell r="H2451">
            <v>14</v>
          </cell>
          <cell r="I2451" t="str">
            <v>05</v>
          </cell>
          <cell r="L2451">
            <v>55.8</v>
          </cell>
        </row>
        <row r="2452">
          <cell r="D2452">
            <v>45926</v>
          </cell>
          <cell r="H2452">
            <v>5</v>
          </cell>
          <cell r="I2452" t="str">
            <v>4</v>
          </cell>
          <cell r="L2452">
            <v>75</v>
          </cell>
        </row>
        <row r="2453">
          <cell r="D2453">
            <v>45926</v>
          </cell>
          <cell r="H2453">
            <v>5</v>
          </cell>
          <cell r="I2453" t="str">
            <v>2.5</v>
          </cell>
          <cell r="L2453">
            <v>225</v>
          </cell>
        </row>
        <row r="2454">
          <cell r="D2454">
            <v>45927</v>
          </cell>
          <cell r="H2454">
            <v>5</v>
          </cell>
          <cell r="I2454" t="str">
            <v>06</v>
          </cell>
          <cell r="L2454">
            <v>100</v>
          </cell>
        </row>
        <row r="2455">
          <cell r="D2455">
            <v>45927</v>
          </cell>
          <cell r="H2455">
            <v>5</v>
          </cell>
          <cell r="I2455">
            <v>6</v>
          </cell>
          <cell r="L2455">
            <v>275</v>
          </cell>
        </row>
        <row r="2456">
          <cell r="D2456">
            <v>45927</v>
          </cell>
          <cell r="H2456">
            <v>5</v>
          </cell>
          <cell r="I2456" t="str">
            <v>12</v>
          </cell>
          <cell r="L2456">
            <v>125</v>
          </cell>
        </row>
        <row r="2457">
          <cell r="D2457">
            <v>45927</v>
          </cell>
          <cell r="H2457">
            <v>5</v>
          </cell>
          <cell r="I2457" t="str">
            <v>12</v>
          </cell>
          <cell r="L2457">
            <v>125</v>
          </cell>
        </row>
        <row r="2458">
          <cell r="D2458">
            <v>45927</v>
          </cell>
          <cell r="H2458">
            <v>5</v>
          </cell>
          <cell r="I2458" t="str">
            <v>24</v>
          </cell>
          <cell r="L2458">
            <v>200</v>
          </cell>
        </row>
        <row r="2459">
          <cell r="D2459">
            <v>45927</v>
          </cell>
          <cell r="H2459">
            <v>5</v>
          </cell>
          <cell r="I2459" t="str">
            <v>18</v>
          </cell>
          <cell r="L2459">
            <v>450</v>
          </cell>
        </row>
        <row r="2460">
          <cell r="D2460">
            <v>45927</v>
          </cell>
          <cell r="H2460">
            <v>5</v>
          </cell>
          <cell r="I2460" t="str">
            <v>9</v>
          </cell>
          <cell r="L2460">
            <v>400</v>
          </cell>
        </row>
        <row r="2461">
          <cell r="D2461">
            <v>45927</v>
          </cell>
          <cell r="H2461">
            <v>5</v>
          </cell>
          <cell r="I2461" t="str">
            <v>2.5</v>
          </cell>
          <cell r="L2461">
            <v>200</v>
          </cell>
        </row>
        <row r="2462">
          <cell r="D2462">
            <v>45927</v>
          </cell>
          <cell r="H2462">
            <v>5</v>
          </cell>
          <cell r="I2462" t="str">
            <v>4</v>
          </cell>
          <cell r="L2462">
            <v>150</v>
          </cell>
        </row>
        <row r="2463">
          <cell r="D2463">
            <v>45927</v>
          </cell>
          <cell r="H2463">
            <v>5</v>
          </cell>
          <cell r="I2463">
            <v>4.5</v>
          </cell>
          <cell r="L2463">
            <v>97</v>
          </cell>
        </row>
        <row r="2464">
          <cell r="D2464">
            <v>45928</v>
          </cell>
          <cell r="H2464">
            <v>14</v>
          </cell>
          <cell r="I2464" t="str">
            <v>10</v>
          </cell>
          <cell r="L2464">
            <v>192.8</v>
          </cell>
        </row>
        <row r="2465">
          <cell r="D2465">
            <v>45928</v>
          </cell>
          <cell r="H2465">
            <v>7</v>
          </cell>
          <cell r="I2465">
            <v>10</v>
          </cell>
          <cell r="L2465">
            <v>103.4</v>
          </cell>
        </row>
        <row r="2466">
          <cell r="D2466">
            <v>45928</v>
          </cell>
          <cell r="H2466">
            <v>8</v>
          </cell>
          <cell r="I2466">
            <v>10</v>
          </cell>
          <cell r="L2466">
            <v>110.1</v>
          </cell>
        </row>
        <row r="2467">
          <cell r="D2467">
            <v>45928</v>
          </cell>
          <cell r="H2467">
            <v>5</v>
          </cell>
          <cell r="I2467">
            <v>13</v>
          </cell>
          <cell r="L2467">
            <v>75</v>
          </cell>
        </row>
        <row r="2468">
          <cell r="D2468">
            <v>45928</v>
          </cell>
          <cell r="H2468">
            <v>5</v>
          </cell>
          <cell r="I2468" t="str">
            <v>24</v>
          </cell>
          <cell r="L2468">
            <v>200</v>
          </cell>
        </row>
        <row r="2469">
          <cell r="D2469">
            <v>45928</v>
          </cell>
          <cell r="H2469">
            <v>5</v>
          </cell>
          <cell r="I2469" t="str">
            <v>24</v>
          </cell>
          <cell r="L2469">
            <v>25</v>
          </cell>
        </row>
        <row r="2470">
          <cell r="D2470">
            <v>45928</v>
          </cell>
          <cell r="H2470">
            <v>5</v>
          </cell>
          <cell r="I2470" t="str">
            <v>9</v>
          </cell>
          <cell r="L2470">
            <v>100</v>
          </cell>
        </row>
        <row r="2471">
          <cell r="D2471">
            <v>45928</v>
          </cell>
          <cell r="H2471">
            <v>5</v>
          </cell>
          <cell r="I2471" t="str">
            <v>9</v>
          </cell>
          <cell r="L2471">
            <v>125</v>
          </cell>
        </row>
        <row r="2472">
          <cell r="D2472">
            <v>45928</v>
          </cell>
          <cell r="H2472">
            <v>5</v>
          </cell>
          <cell r="I2472" t="str">
            <v>11</v>
          </cell>
          <cell r="L2472">
            <v>175</v>
          </cell>
        </row>
        <row r="2473">
          <cell r="D2473">
            <v>45928</v>
          </cell>
          <cell r="H2473">
            <v>5</v>
          </cell>
          <cell r="I2473" t="str">
            <v>18</v>
          </cell>
          <cell r="L2473">
            <v>375</v>
          </cell>
        </row>
        <row r="2474">
          <cell r="D2474">
            <v>45928</v>
          </cell>
          <cell r="H2474">
            <v>5</v>
          </cell>
          <cell r="I2474" t="str">
            <v>8</v>
          </cell>
          <cell r="L2474">
            <v>25</v>
          </cell>
        </row>
        <row r="2475">
          <cell r="D2475">
            <v>45929</v>
          </cell>
          <cell r="H2475">
            <v>5</v>
          </cell>
          <cell r="I2475" t="str">
            <v>11</v>
          </cell>
          <cell r="L2475">
            <v>150</v>
          </cell>
        </row>
        <row r="2476">
          <cell r="D2476">
            <v>45929</v>
          </cell>
          <cell r="H2476">
            <v>4.5</v>
          </cell>
          <cell r="I2476">
            <v>11</v>
          </cell>
          <cell r="L2476">
            <v>50</v>
          </cell>
        </row>
        <row r="2477">
          <cell r="D2477">
            <v>45929</v>
          </cell>
          <cell r="H2477">
            <v>4.5</v>
          </cell>
          <cell r="I2477">
            <v>11</v>
          </cell>
          <cell r="L2477">
            <v>50</v>
          </cell>
        </row>
        <row r="2478">
          <cell r="D2478">
            <v>45929</v>
          </cell>
          <cell r="H2478">
            <v>5</v>
          </cell>
          <cell r="I2478">
            <v>13</v>
          </cell>
          <cell r="L2478">
            <v>350</v>
          </cell>
        </row>
        <row r="2479">
          <cell r="D2479">
            <v>45929</v>
          </cell>
          <cell r="H2479">
            <v>5</v>
          </cell>
          <cell r="I2479" t="str">
            <v>06</v>
          </cell>
          <cell r="L2479">
            <v>50</v>
          </cell>
        </row>
        <row r="2480">
          <cell r="D2480">
            <v>45929</v>
          </cell>
          <cell r="H2480">
            <v>5</v>
          </cell>
          <cell r="I2480" t="str">
            <v>10</v>
          </cell>
          <cell r="L2480">
            <v>50</v>
          </cell>
        </row>
        <row r="2481">
          <cell r="D2481">
            <v>45929</v>
          </cell>
          <cell r="H2481">
            <v>5</v>
          </cell>
          <cell r="I2481" t="str">
            <v>24</v>
          </cell>
          <cell r="L2481">
            <v>297.7</v>
          </cell>
        </row>
        <row r="2482">
          <cell r="D2482">
            <v>45929</v>
          </cell>
          <cell r="H2482">
            <v>5</v>
          </cell>
          <cell r="I2482" t="str">
            <v>14</v>
          </cell>
          <cell r="L2482">
            <v>250</v>
          </cell>
        </row>
        <row r="2483">
          <cell r="D2483">
            <v>45929</v>
          </cell>
          <cell r="H2483">
            <v>5</v>
          </cell>
          <cell r="I2483" t="str">
            <v>8</v>
          </cell>
          <cell r="L2483">
            <v>425</v>
          </cell>
        </row>
        <row r="2484">
          <cell r="D2484">
            <v>45929</v>
          </cell>
          <cell r="H2484">
            <v>5</v>
          </cell>
          <cell r="I2484" t="str">
            <v>11</v>
          </cell>
          <cell r="L2484">
            <v>150</v>
          </cell>
        </row>
        <row r="2485">
          <cell r="D2485">
            <v>45929</v>
          </cell>
          <cell r="H2485">
            <v>5</v>
          </cell>
          <cell r="I2485" t="str">
            <v>4</v>
          </cell>
          <cell r="L2485">
            <v>275</v>
          </cell>
        </row>
        <row r="2486">
          <cell r="D2486">
            <v>45929</v>
          </cell>
          <cell r="H2486">
            <v>12</v>
          </cell>
          <cell r="I2486">
            <v>2</v>
          </cell>
          <cell r="L2486">
            <v>275</v>
          </cell>
        </row>
        <row r="2487">
          <cell r="D2487">
            <v>45930</v>
          </cell>
          <cell r="H2487">
            <v>5</v>
          </cell>
          <cell r="I2487">
            <v>7</v>
          </cell>
          <cell r="L2487">
            <v>100</v>
          </cell>
        </row>
        <row r="2488">
          <cell r="D2488">
            <v>45930</v>
          </cell>
          <cell r="H2488">
            <v>5</v>
          </cell>
          <cell r="I2488" t="str">
            <v>14</v>
          </cell>
          <cell r="L2488">
            <v>125</v>
          </cell>
        </row>
        <row r="2489">
          <cell r="D2489">
            <v>45930</v>
          </cell>
          <cell r="H2489">
            <v>5</v>
          </cell>
          <cell r="I2489" t="str">
            <v>14</v>
          </cell>
          <cell r="L2489">
            <v>250</v>
          </cell>
        </row>
        <row r="2490">
          <cell r="D2490">
            <v>45930</v>
          </cell>
          <cell r="H2490">
            <v>5</v>
          </cell>
          <cell r="I2490" t="str">
            <v>6</v>
          </cell>
          <cell r="L2490">
            <v>300</v>
          </cell>
        </row>
        <row r="2491">
          <cell r="D2491">
            <v>45930</v>
          </cell>
          <cell r="H2491">
            <v>5</v>
          </cell>
          <cell r="I2491" t="str">
            <v>10</v>
          </cell>
          <cell r="L2491">
            <v>400</v>
          </cell>
        </row>
        <row r="2492">
          <cell r="D2492">
            <v>45930</v>
          </cell>
          <cell r="H2492">
            <v>5</v>
          </cell>
          <cell r="I2492" t="str">
            <v>8</v>
          </cell>
          <cell r="L2492">
            <v>425</v>
          </cell>
        </row>
        <row r="2493">
          <cell r="D2493">
            <v>45930</v>
          </cell>
          <cell r="H2493">
            <v>5</v>
          </cell>
          <cell r="I2493" t="str">
            <v>4</v>
          </cell>
          <cell r="L2493">
            <v>275</v>
          </cell>
        </row>
        <row r="2494">
          <cell r="D2494">
            <v>45930</v>
          </cell>
          <cell r="H2494">
            <v>12</v>
          </cell>
          <cell r="I2494">
            <v>2</v>
          </cell>
          <cell r="L2494">
            <v>233.4</v>
          </cell>
        </row>
        <row r="2495">
          <cell r="D2495">
            <v>45931</v>
          </cell>
          <cell r="H2495">
            <v>5</v>
          </cell>
          <cell r="I2495" t="str">
            <v>6</v>
          </cell>
          <cell r="L2495">
            <v>75</v>
          </cell>
        </row>
        <row r="2496">
          <cell r="D2496">
            <v>45931</v>
          </cell>
          <cell r="H2496">
            <v>5</v>
          </cell>
          <cell r="I2496" t="str">
            <v>10</v>
          </cell>
          <cell r="L2496">
            <v>200</v>
          </cell>
        </row>
        <row r="2497">
          <cell r="D2497">
            <v>45931</v>
          </cell>
          <cell r="H2497">
            <v>7</v>
          </cell>
          <cell r="I2497">
            <v>14</v>
          </cell>
          <cell r="L2497">
            <v>75</v>
          </cell>
        </row>
        <row r="2498">
          <cell r="D2498">
            <v>45931</v>
          </cell>
          <cell r="H2498">
            <v>5</v>
          </cell>
          <cell r="I2498" t="str">
            <v>7</v>
          </cell>
          <cell r="L2498">
            <v>250</v>
          </cell>
        </row>
        <row r="2499">
          <cell r="D2499">
            <v>45931</v>
          </cell>
          <cell r="H2499">
            <v>5</v>
          </cell>
          <cell r="I2499">
            <v>7</v>
          </cell>
          <cell r="L2499">
            <v>50</v>
          </cell>
        </row>
        <row r="2500">
          <cell r="D2500">
            <v>45931</v>
          </cell>
          <cell r="H2500">
            <v>5</v>
          </cell>
          <cell r="I2500" t="str">
            <v>7</v>
          </cell>
          <cell r="L2500">
            <v>150</v>
          </cell>
        </row>
        <row r="2501">
          <cell r="D2501">
            <v>45931</v>
          </cell>
          <cell r="H2501">
            <v>5</v>
          </cell>
          <cell r="I2501" t="str">
            <v>8</v>
          </cell>
          <cell r="L2501">
            <v>300</v>
          </cell>
        </row>
        <row r="2502">
          <cell r="D2502">
            <v>45931</v>
          </cell>
          <cell r="H2502">
            <v>5</v>
          </cell>
          <cell r="I2502" t="str">
            <v>4</v>
          </cell>
          <cell r="L2502">
            <v>25</v>
          </cell>
        </row>
        <row r="2503">
          <cell r="D2503">
            <v>45931</v>
          </cell>
          <cell r="H2503">
            <v>5</v>
          </cell>
          <cell r="I2503" t="str">
            <v>2.5</v>
          </cell>
          <cell r="L2503">
            <v>225</v>
          </cell>
        </row>
        <row r="2504">
          <cell r="D2504">
            <v>45931</v>
          </cell>
          <cell r="H2504">
            <v>5</v>
          </cell>
          <cell r="I2504" t="str">
            <v>4</v>
          </cell>
          <cell r="L2504">
            <v>275</v>
          </cell>
        </row>
        <row r="2505">
          <cell r="D2505">
            <v>45931</v>
          </cell>
          <cell r="H2505">
            <v>5</v>
          </cell>
          <cell r="I2505" t="str">
            <v>2.5</v>
          </cell>
          <cell r="L2505">
            <v>100</v>
          </cell>
        </row>
        <row r="2506">
          <cell r="D2506">
            <v>45931</v>
          </cell>
          <cell r="H2506">
            <v>5</v>
          </cell>
          <cell r="I2506" t="str">
            <v>2.5</v>
          </cell>
          <cell r="L2506">
            <v>25</v>
          </cell>
        </row>
        <row r="2507">
          <cell r="D2507">
            <v>45932</v>
          </cell>
          <cell r="H2507">
            <v>5</v>
          </cell>
          <cell r="I2507" t="str">
            <v>12</v>
          </cell>
          <cell r="L2507">
            <v>475</v>
          </cell>
        </row>
        <row r="2508">
          <cell r="D2508">
            <v>45932</v>
          </cell>
          <cell r="H2508">
            <v>7</v>
          </cell>
          <cell r="I2508">
            <v>14</v>
          </cell>
          <cell r="L2508">
            <v>21.7</v>
          </cell>
        </row>
        <row r="2509">
          <cell r="D2509">
            <v>45932</v>
          </cell>
          <cell r="H2509">
            <v>5</v>
          </cell>
          <cell r="I2509" t="str">
            <v>10</v>
          </cell>
          <cell r="L2509">
            <v>75</v>
          </cell>
        </row>
        <row r="2510">
          <cell r="D2510">
            <v>45932</v>
          </cell>
          <cell r="H2510">
            <v>4.5</v>
          </cell>
          <cell r="I2510">
            <v>10</v>
          </cell>
          <cell r="L2510">
            <v>150</v>
          </cell>
        </row>
        <row r="2511">
          <cell r="D2511">
            <v>45932</v>
          </cell>
          <cell r="H2511">
            <v>4.5</v>
          </cell>
          <cell r="I2511">
            <v>10</v>
          </cell>
          <cell r="L2511">
            <v>50</v>
          </cell>
        </row>
        <row r="2512">
          <cell r="D2512">
            <v>45932</v>
          </cell>
          <cell r="H2512" t="str">
            <v>4-4.5</v>
          </cell>
          <cell r="I2512">
            <v>12</v>
          </cell>
          <cell r="L2512">
            <v>100</v>
          </cell>
        </row>
        <row r="2513">
          <cell r="D2513">
            <v>45932</v>
          </cell>
          <cell r="H2513">
            <v>4.5</v>
          </cell>
          <cell r="I2513">
            <v>12</v>
          </cell>
          <cell r="L2513">
            <v>100</v>
          </cell>
        </row>
        <row r="2514">
          <cell r="D2514">
            <v>45932</v>
          </cell>
          <cell r="H2514">
            <v>5</v>
          </cell>
          <cell r="I2514" t="str">
            <v>7</v>
          </cell>
          <cell r="L2514">
            <v>200</v>
          </cell>
        </row>
        <row r="2515">
          <cell r="D2515">
            <v>45932</v>
          </cell>
          <cell r="H2515">
            <v>5</v>
          </cell>
          <cell r="I2515" t="str">
            <v>14</v>
          </cell>
          <cell r="L2515">
            <v>75</v>
          </cell>
        </row>
        <row r="2516">
          <cell r="D2516">
            <v>45932</v>
          </cell>
          <cell r="H2516">
            <v>5</v>
          </cell>
          <cell r="I2516" t="str">
            <v>8</v>
          </cell>
          <cell r="L2516">
            <v>125</v>
          </cell>
        </row>
        <row r="2517">
          <cell r="D2517">
            <v>45932</v>
          </cell>
          <cell r="H2517">
            <v>4.5</v>
          </cell>
          <cell r="I2517">
            <v>8</v>
          </cell>
          <cell r="L2517">
            <v>75</v>
          </cell>
        </row>
        <row r="2518">
          <cell r="D2518">
            <v>45932</v>
          </cell>
          <cell r="H2518">
            <v>4.5</v>
          </cell>
          <cell r="I2518">
            <v>8</v>
          </cell>
          <cell r="L2518">
            <v>100</v>
          </cell>
        </row>
        <row r="2519">
          <cell r="D2519">
            <v>45932</v>
          </cell>
          <cell r="H2519">
            <v>5</v>
          </cell>
          <cell r="I2519" t="str">
            <v>4</v>
          </cell>
          <cell r="L2519">
            <v>25</v>
          </cell>
        </row>
        <row r="2520">
          <cell r="D2520">
            <v>45932</v>
          </cell>
          <cell r="H2520">
            <v>5</v>
          </cell>
          <cell r="I2520" t="str">
            <v>4</v>
          </cell>
          <cell r="L2520">
            <v>200</v>
          </cell>
        </row>
        <row r="2521">
          <cell r="D2521">
            <v>45932</v>
          </cell>
          <cell r="H2521">
            <v>5</v>
          </cell>
          <cell r="I2521" t="str">
            <v>2.5</v>
          </cell>
          <cell r="L2521">
            <v>175</v>
          </cell>
        </row>
        <row r="2522">
          <cell r="D2522">
            <v>45933</v>
          </cell>
          <cell r="H2522">
            <v>5</v>
          </cell>
          <cell r="I2522">
            <v>12</v>
          </cell>
          <cell r="L2522">
            <v>200</v>
          </cell>
        </row>
        <row r="2523">
          <cell r="D2523">
            <v>45933</v>
          </cell>
          <cell r="H2523">
            <v>5</v>
          </cell>
          <cell r="I2523" t="str">
            <v>12</v>
          </cell>
          <cell r="L2523">
            <v>100</v>
          </cell>
        </row>
        <row r="2524">
          <cell r="D2524">
            <v>45933</v>
          </cell>
          <cell r="H2524">
            <v>5</v>
          </cell>
          <cell r="I2524" t="str">
            <v>13</v>
          </cell>
          <cell r="L2524">
            <v>75</v>
          </cell>
        </row>
        <row r="2525">
          <cell r="D2525">
            <v>45933</v>
          </cell>
          <cell r="H2525">
            <v>5</v>
          </cell>
          <cell r="I2525" t="str">
            <v>14</v>
          </cell>
          <cell r="L2525">
            <v>350</v>
          </cell>
        </row>
        <row r="2526">
          <cell r="D2526">
            <v>45933</v>
          </cell>
          <cell r="H2526">
            <v>4.5</v>
          </cell>
          <cell r="I2526">
            <v>14</v>
          </cell>
          <cell r="L2526">
            <v>150</v>
          </cell>
        </row>
        <row r="2527">
          <cell r="D2527">
            <v>45933</v>
          </cell>
          <cell r="H2527">
            <v>4.5</v>
          </cell>
          <cell r="I2527">
            <v>9</v>
          </cell>
          <cell r="L2527">
            <v>150</v>
          </cell>
        </row>
        <row r="2528">
          <cell r="D2528">
            <v>45933</v>
          </cell>
          <cell r="H2528">
            <v>4.5</v>
          </cell>
          <cell r="I2528">
            <v>10</v>
          </cell>
          <cell r="L2528">
            <v>100</v>
          </cell>
        </row>
        <row r="2529">
          <cell r="D2529">
            <v>45933</v>
          </cell>
          <cell r="H2529">
            <v>5</v>
          </cell>
          <cell r="I2529" t="str">
            <v>10</v>
          </cell>
          <cell r="L2529">
            <v>25</v>
          </cell>
        </row>
        <row r="2530">
          <cell r="D2530">
            <v>45933</v>
          </cell>
          <cell r="H2530">
            <v>5</v>
          </cell>
          <cell r="I2530" t="str">
            <v>4</v>
          </cell>
          <cell r="L2530">
            <v>75</v>
          </cell>
        </row>
        <row r="2531">
          <cell r="D2531">
            <v>45933</v>
          </cell>
          <cell r="H2531">
            <v>5</v>
          </cell>
          <cell r="I2531">
            <v>4</v>
          </cell>
          <cell r="L2531">
            <v>75</v>
          </cell>
        </row>
        <row r="2532">
          <cell r="D2532">
            <v>45933</v>
          </cell>
          <cell r="H2532">
            <v>5</v>
          </cell>
          <cell r="I2532" t="str">
            <v>4</v>
          </cell>
          <cell r="L2532">
            <v>175</v>
          </cell>
        </row>
        <row r="2533">
          <cell r="D2533">
            <v>45933</v>
          </cell>
          <cell r="H2533">
            <v>5</v>
          </cell>
          <cell r="I2533" t="str">
            <v>2.5</v>
          </cell>
          <cell r="L2533">
            <v>150</v>
          </cell>
        </row>
        <row r="2534">
          <cell r="D2534">
            <v>45933</v>
          </cell>
          <cell r="H2534">
            <v>5</v>
          </cell>
          <cell r="I2534" t="str">
            <v>8</v>
          </cell>
          <cell r="L2534">
            <v>50</v>
          </cell>
        </row>
      </sheetData>
      <sheetData sheetId="3">
        <row r="1">
          <cell r="D1" t="str">
            <v>DATE</v>
          </cell>
          <cell r="G1" t="str">
            <v>SIZE</v>
          </cell>
          <cell r="H1" t="str">
            <v>GUAGE</v>
          </cell>
          <cell r="Q1" t="str">
            <v>NET WEIGHT</v>
          </cell>
        </row>
        <row r="2">
          <cell r="D2">
            <v>45658</v>
          </cell>
          <cell r="G2">
            <v>3</v>
          </cell>
          <cell r="H2" t="str">
            <v>رول</v>
          </cell>
          <cell r="Q2">
            <v>128.82999999999998</v>
          </cell>
        </row>
        <row r="3">
          <cell r="D3">
            <v>45658</v>
          </cell>
          <cell r="G3">
            <v>3</v>
          </cell>
          <cell r="H3" t="str">
            <v>رول</v>
          </cell>
          <cell r="Q3">
            <v>35.75</v>
          </cell>
        </row>
        <row r="4">
          <cell r="D4">
            <v>45658</v>
          </cell>
          <cell r="G4">
            <v>2</v>
          </cell>
          <cell r="H4" t="str">
            <v>رول</v>
          </cell>
          <cell r="Q4">
            <v>63.01</v>
          </cell>
        </row>
        <row r="5">
          <cell r="D5">
            <v>45658</v>
          </cell>
          <cell r="G5">
            <v>2</v>
          </cell>
          <cell r="H5" t="str">
            <v>رول</v>
          </cell>
          <cell r="Q5">
            <v>18.450000000000003</v>
          </cell>
        </row>
        <row r="6">
          <cell r="D6">
            <v>45658</v>
          </cell>
          <cell r="G6">
            <v>7</v>
          </cell>
          <cell r="H6" t="str">
            <v>رول</v>
          </cell>
          <cell r="Q6">
            <v>112.72999999999999</v>
          </cell>
        </row>
        <row r="7">
          <cell r="D7">
            <v>45658</v>
          </cell>
          <cell r="G7">
            <v>7</v>
          </cell>
          <cell r="H7">
            <v>6</v>
          </cell>
          <cell r="Q7">
            <v>105.11</v>
          </cell>
        </row>
        <row r="8">
          <cell r="D8">
            <v>45658</v>
          </cell>
          <cell r="G8">
            <v>12</v>
          </cell>
          <cell r="H8" t="str">
            <v>رول</v>
          </cell>
          <cell r="Q8">
            <v>87.81</v>
          </cell>
        </row>
        <row r="9">
          <cell r="D9">
            <v>45658</v>
          </cell>
          <cell r="G9">
            <v>12</v>
          </cell>
          <cell r="H9" t="str">
            <v>رول</v>
          </cell>
          <cell r="Q9">
            <v>255.63</v>
          </cell>
        </row>
        <row r="10">
          <cell r="D10">
            <v>45658</v>
          </cell>
          <cell r="G10">
            <v>16.2</v>
          </cell>
          <cell r="H10" t="str">
            <v>-</v>
          </cell>
          <cell r="Q10">
            <v>614.32000000000016</v>
          </cell>
        </row>
        <row r="11">
          <cell r="D11">
            <v>45658</v>
          </cell>
          <cell r="G11">
            <v>16</v>
          </cell>
          <cell r="H11" t="str">
            <v>5.5/6</v>
          </cell>
          <cell r="Q11">
            <v>187.95000000000002</v>
          </cell>
        </row>
        <row r="12">
          <cell r="D12">
            <v>45658</v>
          </cell>
          <cell r="G12">
            <v>16</v>
          </cell>
          <cell r="H12" t="str">
            <v>5.5/6</v>
          </cell>
          <cell r="Q12">
            <v>289.60000000000002</v>
          </cell>
        </row>
        <row r="13">
          <cell r="D13">
            <v>45658</v>
          </cell>
          <cell r="G13">
            <v>16.2</v>
          </cell>
          <cell r="H13" t="str">
            <v>-</v>
          </cell>
          <cell r="Q13">
            <v>481.21</v>
          </cell>
        </row>
        <row r="14">
          <cell r="D14">
            <v>45658</v>
          </cell>
          <cell r="G14">
            <v>15</v>
          </cell>
          <cell r="H14" t="str">
            <v>6.5-7</v>
          </cell>
          <cell r="Q14">
            <v>369.82000000000005</v>
          </cell>
        </row>
        <row r="15">
          <cell r="D15">
            <v>45658</v>
          </cell>
          <cell r="G15">
            <v>4</v>
          </cell>
          <cell r="H15">
            <v>14</v>
          </cell>
          <cell r="Q15">
            <v>247.84</v>
          </cell>
        </row>
        <row r="16">
          <cell r="D16">
            <v>45658</v>
          </cell>
          <cell r="G16">
            <v>4</v>
          </cell>
          <cell r="H16">
            <v>14</v>
          </cell>
          <cell r="Q16">
            <v>363.62</v>
          </cell>
        </row>
        <row r="17">
          <cell r="D17">
            <v>45658</v>
          </cell>
          <cell r="G17">
            <v>10</v>
          </cell>
          <cell r="H17" t="str">
            <v>رول</v>
          </cell>
          <cell r="Q17">
            <v>204.04</v>
          </cell>
        </row>
        <row r="18">
          <cell r="D18">
            <v>45659</v>
          </cell>
          <cell r="G18">
            <v>3</v>
          </cell>
          <cell r="H18" t="str">
            <v>رول</v>
          </cell>
          <cell r="Q18">
            <v>130.88000000000002</v>
          </cell>
        </row>
        <row r="19">
          <cell r="D19">
            <v>45659</v>
          </cell>
          <cell r="G19">
            <v>3</v>
          </cell>
          <cell r="H19" t="str">
            <v>رول</v>
          </cell>
          <cell r="Q19">
            <v>118.84</v>
          </cell>
        </row>
        <row r="20">
          <cell r="D20">
            <v>45659</v>
          </cell>
          <cell r="G20">
            <v>2</v>
          </cell>
          <cell r="H20" t="str">
            <v>رول</v>
          </cell>
          <cell r="Q20">
            <v>86.37</v>
          </cell>
        </row>
        <row r="21">
          <cell r="D21">
            <v>45659</v>
          </cell>
          <cell r="G21">
            <v>2</v>
          </cell>
          <cell r="H21" t="str">
            <v>رول</v>
          </cell>
          <cell r="Q21">
            <v>72.39</v>
          </cell>
        </row>
        <row r="22">
          <cell r="D22">
            <v>45659</v>
          </cell>
          <cell r="G22">
            <v>16.2</v>
          </cell>
          <cell r="H22" t="str">
            <v>-</v>
          </cell>
          <cell r="Q22">
            <v>555.33000000000004</v>
          </cell>
        </row>
        <row r="23">
          <cell r="D23">
            <v>45659</v>
          </cell>
          <cell r="G23">
            <v>8</v>
          </cell>
          <cell r="H23">
            <v>10</v>
          </cell>
          <cell r="Q23">
            <v>106.25999999999999</v>
          </cell>
        </row>
        <row r="24">
          <cell r="D24">
            <v>45659</v>
          </cell>
          <cell r="G24">
            <v>6</v>
          </cell>
          <cell r="H24">
            <v>14</v>
          </cell>
          <cell r="Q24">
            <v>214.29</v>
          </cell>
        </row>
        <row r="25">
          <cell r="D25">
            <v>45659</v>
          </cell>
          <cell r="G25">
            <v>16.2</v>
          </cell>
          <cell r="H25" t="str">
            <v>-</v>
          </cell>
          <cell r="Q25">
            <v>720.82999999999993</v>
          </cell>
        </row>
        <row r="26">
          <cell r="D26">
            <v>45659</v>
          </cell>
          <cell r="G26">
            <v>16</v>
          </cell>
          <cell r="H26" t="str">
            <v>رول</v>
          </cell>
          <cell r="Q26">
            <v>45.2</v>
          </cell>
        </row>
        <row r="27">
          <cell r="D27">
            <v>45659</v>
          </cell>
          <cell r="G27">
            <v>12</v>
          </cell>
          <cell r="H27" t="str">
            <v>رول</v>
          </cell>
          <cell r="Q27">
            <v>183.95999999999998</v>
          </cell>
        </row>
        <row r="28">
          <cell r="D28">
            <v>45659</v>
          </cell>
          <cell r="G28">
            <v>6</v>
          </cell>
          <cell r="H28">
            <v>10</v>
          </cell>
          <cell r="Q28">
            <v>113.91</v>
          </cell>
        </row>
        <row r="29">
          <cell r="D29">
            <v>45659</v>
          </cell>
          <cell r="G29">
            <v>12</v>
          </cell>
          <cell r="H29" t="str">
            <v>رول</v>
          </cell>
          <cell r="Q29">
            <v>320.82000000000005</v>
          </cell>
        </row>
        <row r="30">
          <cell r="D30">
            <v>45659</v>
          </cell>
          <cell r="G30">
            <v>10</v>
          </cell>
          <cell r="H30" t="str">
            <v>رول</v>
          </cell>
          <cell r="Q30">
            <v>439.83</v>
          </cell>
        </row>
        <row r="31">
          <cell r="D31">
            <v>45659</v>
          </cell>
          <cell r="G31">
            <v>10</v>
          </cell>
          <cell r="H31" t="str">
            <v>رول</v>
          </cell>
          <cell r="Q31">
            <v>538.48</v>
          </cell>
        </row>
        <row r="32">
          <cell r="D32">
            <v>45660</v>
          </cell>
          <cell r="G32">
            <v>3</v>
          </cell>
          <cell r="H32" t="str">
            <v>رول</v>
          </cell>
          <cell r="Q32">
            <v>146.12</v>
          </cell>
        </row>
        <row r="33">
          <cell r="D33">
            <v>45660</v>
          </cell>
          <cell r="G33">
            <v>3</v>
          </cell>
          <cell r="H33" t="str">
            <v>رول</v>
          </cell>
          <cell r="Q33">
            <v>128.62</v>
          </cell>
        </row>
        <row r="34">
          <cell r="D34">
            <v>45660</v>
          </cell>
          <cell r="G34">
            <v>2</v>
          </cell>
          <cell r="H34">
            <v>5</v>
          </cell>
          <cell r="Q34">
            <v>77.150000000000006</v>
          </cell>
        </row>
        <row r="35">
          <cell r="D35">
            <v>45660</v>
          </cell>
          <cell r="G35">
            <v>2</v>
          </cell>
          <cell r="H35" t="str">
            <v>رول</v>
          </cell>
          <cell r="Q35">
            <v>91.46</v>
          </cell>
        </row>
        <row r="36">
          <cell r="D36">
            <v>45660</v>
          </cell>
          <cell r="G36">
            <v>12</v>
          </cell>
          <cell r="H36" t="str">
            <v>رول</v>
          </cell>
          <cell r="Q36">
            <v>203.45</v>
          </cell>
        </row>
        <row r="37">
          <cell r="D37">
            <v>45660</v>
          </cell>
          <cell r="G37">
            <v>12</v>
          </cell>
          <cell r="H37" t="str">
            <v>رول</v>
          </cell>
          <cell r="Q37">
            <v>88.08</v>
          </cell>
        </row>
        <row r="38">
          <cell r="D38">
            <v>45660</v>
          </cell>
          <cell r="G38">
            <v>12</v>
          </cell>
          <cell r="H38" t="str">
            <v>رول</v>
          </cell>
          <cell r="Q38">
            <v>289.84000000000003</v>
          </cell>
        </row>
        <row r="39">
          <cell r="D39">
            <v>45660</v>
          </cell>
          <cell r="G39">
            <v>16.2</v>
          </cell>
          <cell r="H39" t="str">
            <v>-</v>
          </cell>
          <cell r="Q39">
            <v>797.05</v>
          </cell>
        </row>
        <row r="40">
          <cell r="D40">
            <v>45660</v>
          </cell>
          <cell r="G40">
            <v>16.2</v>
          </cell>
          <cell r="H40" t="str">
            <v>-</v>
          </cell>
          <cell r="Q40">
            <v>826.54</v>
          </cell>
        </row>
        <row r="41">
          <cell r="D41">
            <v>45660</v>
          </cell>
          <cell r="G41">
            <v>10</v>
          </cell>
          <cell r="H41" t="str">
            <v>رول</v>
          </cell>
          <cell r="Q41">
            <v>153.38999999999999</v>
          </cell>
        </row>
        <row r="42">
          <cell r="D42">
            <v>45660</v>
          </cell>
          <cell r="G42">
            <v>9</v>
          </cell>
          <cell r="H42" t="str">
            <v>رول</v>
          </cell>
          <cell r="Q42">
            <v>351.34</v>
          </cell>
        </row>
        <row r="43">
          <cell r="D43">
            <v>45660</v>
          </cell>
          <cell r="G43">
            <v>9</v>
          </cell>
          <cell r="H43" t="str">
            <v>رول</v>
          </cell>
          <cell r="Q43">
            <v>557.98</v>
          </cell>
        </row>
        <row r="44">
          <cell r="D44">
            <v>45661</v>
          </cell>
          <cell r="G44">
            <v>3</v>
          </cell>
          <cell r="H44" t="str">
            <v>رول</v>
          </cell>
          <cell r="Q44">
            <v>108.14</v>
          </cell>
        </row>
        <row r="45">
          <cell r="D45">
            <v>45661</v>
          </cell>
          <cell r="G45">
            <v>4</v>
          </cell>
          <cell r="H45" t="str">
            <v>رول</v>
          </cell>
          <cell r="Q45">
            <v>44.379999999999995</v>
          </cell>
        </row>
        <row r="46">
          <cell r="D46">
            <v>45661</v>
          </cell>
          <cell r="G46">
            <v>4</v>
          </cell>
          <cell r="H46" t="str">
            <v>رول</v>
          </cell>
          <cell r="Q46">
            <v>203.11</v>
          </cell>
        </row>
        <row r="47">
          <cell r="D47">
            <v>45661</v>
          </cell>
          <cell r="G47">
            <v>12</v>
          </cell>
          <cell r="H47" t="str">
            <v>رول</v>
          </cell>
          <cell r="Q47">
            <v>50.93</v>
          </cell>
        </row>
        <row r="48">
          <cell r="D48">
            <v>45661</v>
          </cell>
          <cell r="G48">
            <v>12</v>
          </cell>
          <cell r="H48" t="str">
            <v>رول</v>
          </cell>
          <cell r="Q48">
            <v>285.39</v>
          </cell>
        </row>
        <row r="49">
          <cell r="D49">
            <v>45661</v>
          </cell>
          <cell r="G49">
            <v>12</v>
          </cell>
          <cell r="H49" t="str">
            <v>رول</v>
          </cell>
          <cell r="Q49">
            <v>367.92</v>
          </cell>
        </row>
        <row r="50">
          <cell r="D50">
            <v>45661</v>
          </cell>
          <cell r="G50">
            <v>16.2</v>
          </cell>
          <cell r="H50" t="str">
            <v>-</v>
          </cell>
          <cell r="Q50">
            <v>463.2</v>
          </cell>
        </row>
        <row r="51">
          <cell r="D51">
            <v>45661</v>
          </cell>
          <cell r="G51">
            <v>16</v>
          </cell>
          <cell r="H51" t="str">
            <v>5.5-6</v>
          </cell>
          <cell r="Q51">
            <v>324.61</v>
          </cell>
        </row>
        <row r="52">
          <cell r="D52">
            <v>45661</v>
          </cell>
          <cell r="G52">
            <v>16</v>
          </cell>
          <cell r="H52" t="str">
            <v>5.5-6</v>
          </cell>
          <cell r="Q52">
            <v>912.64</v>
          </cell>
        </row>
        <row r="53">
          <cell r="D53">
            <v>45662</v>
          </cell>
          <cell r="G53">
            <v>4</v>
          </cell>
          <cell r="H53" t="str">
            <v>رول</v>
          </cell>
          <cell r="Q53">
            <v>155.63</v>
          </cell>
        </row>
        <row r="54">
          <cell r="D54">
            <v>45662</v>
          </cell>
          <cell r="G54">
            <v>3</v>
          </cell>
          <cell r="H54" t="str">
            <v>رول</v>
          </cell>
          <cell r="Q54">
            <v>110.59</v>
          </cell>
        </row>
        <row r="55">
          <cell r="D55">
            <v>45662</v>
          </cell>
          <cell r="G55">
            <v>4</v>
          </cell>
          <cell r="H55" t="str">
            <v>رول</v>
          </cell>
          <cell r="Q55">
            <v>197.53</v>
          </cell>
        </row>
        <row r="56">
          <cell r="D56">
            <v>45662</v>
          </cell>
          <cell r="G56">
            <v>2</v>
          </cell>
          <cell r="H56">
            <v>5</v>
          </cell>
          <cell r="Q56">
            <v>100.74</v>
          </cell>
        </row>
        <row r="57">
          <cell r="D57">
            <v>45662</v>
          </cell>
          <cell r="G57">
            <v>2</v>
          </cell>
          <cell r="H57">
            <v>5</v>
          </cell>
          <cell r="Q57">
            <v>80.960000000000008</v>
          </cell>
        </row>
        <row r="58">
          <cell r="D58">
            <v>45662</v>
          </cell>
          <cell r="G58">
            <v>16</v>
          </cell>
          <cell r="H58" t="str">
            <v>5.5-6</v>
          </cell>
          <cell r="Q58">
            <v>751.23</v>
          </cell>
        </row>
        <row r="59">
          <cell r="D59">
            <v>45662</v>
          </cell>
          <cell r="G59">
            <v>16</v>
          </cell>
          <cell r="H59" t="str">
            <v>5.5-6</v>
          </cell>
          <cell r="Q59">
            <v>101.5</v>
          </cell>
        </row>
        <row r="60">
          <cell r="D60">
            <v>45662</v>
          </cell>
          <cell r="G60">
            <v>17</v>
          </cell>
          <cell r="H60" t="str">
            <v>7.5-8</v>
          </cell>
          <cell r="Q60">
            <v>418.25</v>
          </cell>
        </row>
        <row r="61">
          <cell r="D61">
            <v>45662</v>
          </cell>
          <cell r="G61">
            <v>16</v>
          </cell>
          <cell r="H61" t="str">
            <v>-</v>
          </cell>
          <cell r="Q61">
            <v>313.08</v>
          </cell>
        </row>
        <row r="62">
          <cell r="D62">
            <v>45662</v>
          </cell>
          <cell r="G62">
            <v>9</v>
          </cell>
          <cell r="H62" t="str">
            <v>رول</v>
          </cell>
          <cell r="Q62">
            <v>381.21000000000004</v>
          </cell>
        </row>
        <row r="63">
          <cell r="D63">
            <v>45662</v>
          </cell>
          <cell r="G63">
            <v>12</v>
          </cell>
          <cell r="H63" t="str">
            <v>رول</v>
          </cell>
          <cell r="Q63">
            <v>253.16000000000003</v>
          </cell>
        </row>
        <row r="64">
          <cell r="D64">
            <v>45663</v>
          </cell>
          <cell r="G64">
            <v>4</v>
          </cell>
          <cell r="H64" t="str">
            <v>رول</v>
          </cell>
          <cell r="Q64">
            <v>191.24</v>
          </cell>
        </row>
        <row r="65">
          <cell r="D65">
            <v>45663</v>
          </cell>
          <cell r="G65">
            <v>4</v>
          </cell>
          <cell r="H65" t="str">
            <v>رول</v>
          </cell>
          <cell r="Q65">
            <v>164.57</v>
          </cell>
        </row>
        <row r="66">
          <cell r="D66">
            <v>45663</v>
          </cell>
          <cell r="G66">
            <v>3</v>
          </cell>
          <cell r="H66" t="str">
            <v>رول</v>
          </cell>
          <cell r="Q66">
            <v>136.63999999999999</v>
          </cell>
        </row>
        <row r="67">
          <cell r="D67">
            <v>45663</v>
          </cell>
          <cell r="G67">
            <v>3</v>
          </cell>
          <cell r="H67" t="str">
            <v>رول</v>
          </cell>
          <cell r="Q67">
            <v>135.43</v>
          </cell>
        </row>
        <row r="68">
          <cell r="D68">
            <v>45663</v>
          </cell>
          <cell r="G68">
            <v>12</v>
          </cell>
          <cell r="H68">
            <v>10</v>
          </cell>
          <cell r="Q68">
            <v>29.71</v>
          </cell>
        </row>
        <row r="69">
          <cell r="D69">
            <v>45663</v>
          </cell>
          <cell r="G69">
            <v>12</v>
          </cell>
          <cell r="H69" t="str">
            <v>رول</v>
          </cell>
          <cell r="Q69">
            <v>43.28</v>
          </cell>
        </row>
        <row r="70">
          <cell r="D70">
            <v>45663</v>
          </cell>
          <cell r="G70">
            <v>8</v>
          </cell>
          <cell r="H70" t="str">
            <v>رول</v>
          </cell>
          <cell r="Q70">
            <v>174.77</v>
          </cell>
        </row>
        <row r="71">
          <cell r="D71">
            <v>45663</v>
          </cell>
          <cell r="G71">
            <v>8</v>
          </cell>
          <cell r="H71" t="str">
            <v>رول</v>
          </cell>
          <cell r="Q71">
            <v>270.19</v>
          </cell>
        </row>
        <row r="72">
          <cell r="D72">
            <v>45663</v>
          </cell>
          <cell r="G72">
            <v>17</v>
          </cell>
          <cell r="H72" t="str">
            <v>7.5-8</v>
          </cell>
          <cell r="Q72">
            <v>252.55</v>
          </cell>
        </row>
        <row r="73">
          <cell r="D73">
            <v>45663</v>
          </cell>
          <cell r="G73">
            <v>20</v>
          </cell>
          <cell r="H73" t="str">
            <v>5.5-6</v>
          </cell>
          <cell r="Q73">
            <v>587.11999999999989</v>
          </cell>
        </row>
        <row r="74">
          <cell r="D74">
            <v>45663</v>
          </cell>
          <cell r="G74">
            <v>21</v>
          </cell>
          <cell r="H74">
            <v>5</v>
          </cell>
          <cell r="Q74">
            <v>55.96</v>
          </cell>
        </row>
        <row r="75">
          <cell r="D75">
            <v>45663</v>
          </cell>
          <cell r="G75">
            <v>21</v>
          </cell>
          <cell r="H75">
            <v>5</v>
          </cell>
          <cell r="Q75">
            <v>235.13000000000002</v>
          </cell>
        </row>
        <row r="76">
          <cell r="D76">
            <v>45663</v>
          </cell>
          <cell r="G76">
            <v>28</v>
          </cell>
          <cell r="H76">
            <v>5</v>
          </cell>
          <cell r="Q76">
            <v>522.58999999999992</v>
          </cell>
        </row>
        <row r="77">
          <cell r="D77">
            <v>45663</v>
          </cell>
          <cell r="G77">
            <v>14</v>
          </cell>
          <cell r="H77" t="str">
            <v>رول</v>
          </cell>
          <cell r="Q77">
            <v>207.11</v>
          </cell>
        </row>
        <row r="78">
          <cell r="D78">
            <v>45663</v>
          </cell>
          <cell r="G78">
            <v>14</v>
          </cell>
          <cell r="H78" t="str">
            <v>رول</v>
          </cell>
          <cell r="Q78">
            <v>617.28</v>
          </cell>
        </row>
        <row r="79">
          <cell r="D79">
            <v>45664</v>
          </cell>
          <cell r="G79">
            <v>4</v>
          </cell>
          <cell r="H79" t="str">
            <v>رول</v>
          </cell>
          <cell r="Q79">
            <v>186.47</v>
          </cell>
        </row>
        <row r="80">
          <cell r="D80">
            <v>45664</v>
          </cell>
          <cell r="G80">
            <v>4</v>
          </cell>
          <cell r="H80" t="str">
            <v>رول</v>
          </cell>
          <cell r="Q80">
            <v>180.26000000000002</v>
          </cell>
        </row>
        <row r="81">
          <cell r="D81">
            <v>45664</v>
          </cell>
          <cell r="G81">
            <v>3</v>
          </cell>
          <cell r="H81" t="str">
            <v>رول</v>
          </cell>
          <cell r="Q81">
            <v>146.84</v>
          </cell>
        </row>
        <row r="82">
          <cell r="D82">
            <v>45664</v>
          </cell>
          <cell r="G82">
            <v>3</v>
          </cell>
          <cell r="H82" t="str">
            <v>رول</v>
          </cell>
          <cell r="Q82">
            <v>126.63000000000001</v>
          </cell>
        </row>
        <row r="83">
          <cell r="D83">
            <v>45664</v>
          </cell>
          <cell r="G83">
            <v>9</v>
          </cell>
          <cell r="H83" t="str">
            <v>رول</v>
          </cell>
          <cell r="Q83">
            <v>259.13</v>
          </cell>
        </row>
        <row r="84">
          <cell r="D84">
            <v>45664</v>
          </cell>
          <cell r="G84">
            <v>9</v>
          </cell>
          <cell r="H84" t="str">
            <v>رول</v>
          </cell>
          <cell r="Q84">
            <v>264.41999999999996</v>
          </cell>
        </row>
        <row r="85">
          <cell r="D85">
            <v>45664</v>
          </cell>
          <cell r="G85">
            <v>28</v>
          </cell>
          <cell r="H85" t="str">
            <v>رول</v>
          </cell>
          <cell r="Q85">
            <v>346.10999999999996</v>
          </cell>
        </row>
        <row r="86">
          <cell r="D86">
            <v>45664</v>
          </cell>
          <cell r="G86">
            <v>22</v>
          </cell>
          <cell r="H86" t="str">
            <v>رول</v>
          </cell>
          <cell r="Q86">
            <v>139.68</v>
          </cell>
        </row>
        <row r="87">
          <cell r="D87">
            <v>45664</v>
          </cell>
          <cell r="G87" t="str">
            <v>-</v>
          </cell>
          <cell r="H87" t="str">
            <v>-</v>
          </cell>
          <cell r="Q87">
            <v>154.37</v>
          </cell>
        </row>
        <row r="88">
          <cell r="D88">
            <v>45664</v>
          </cell>
          <cell r="G88">
            <v>22</v>
          </cell>
          <cell r="H88" t="str">
            <v>رول</v>
          </cell>
          <cell r="Q88">
            <v>860.62</v>
          </cell>
        </row>
        <row r="89">
          <cell r="D89">
            <v>45664</v>
          </cell>
          <cell r="G89">
            <v>14</v>
          </cell>
          <cell r="H89" t="str">
            <v>رول</v>
          </cell>
          <cell r="Q89">
            <v>580.83000000000004</v>
          </cell>
        </row>
        <row r="90">
          <cell r="D90">
            <v>45664</v>
          </cell>
          <cell r="G90">
            <v>14</v>
          </cell>
          <cell r="H90" t="str">
            <v>6-6.5</v>
          </cell>
          <cell r="Q90">
            <v>76.45</v>
          </cell>
        </row>
        <row r="91">
          <cell r="D91">
            <v>45664</v>
          </cell>
          <cell r="G91">
            <v>14</v>
          </cell>
          <cell r="H91" t="str">
            <v>رول</v>
          </cell>
          <cell r="Q91">
            <v>552.59</v>
          </cell>
        </row>
        <row r="92">
          <cell r="D92">
            <v>45665</v>
          </cell>
          <cell r="G92">
            <v>4</v>
          </cell>
          <cell r="H92" t="str">
            <v>رول</v>
          </cell>
          <cell r="Q92">
            <v>186.06</v>
          </cell>
        </row>
        <row r="93">
          <cell r="D93">
            <v>45665</v>
          </cell>
          <cell r="G93">
            <v>4</v>
          </cell>
          <cell r="H93" t="str">
            <v>رول</v>
          </cell>
          <cell r="Q93">
            <v>182.93</v>
          </cell>
        </row>
        <row r="94">
          <cell r="D94">
            <v>45665</v>
          </cell>
          <cell r="G94">
            <v>3</v>
          </cell>
          <cell r="H94" t="str">
            <v>رول</v>
          </cell>
          <cell r="Q94">
            <v>15.73</v>
          </cell>
        </row>
        <row r="95">
          <cell r="D95">
            <v>45665</v>
          </cell>
          <cell r="G95">
            <v>2.5</v>
          </cell>
          <cell r="H95" t="str">
            <v>رول</v>
          </cell>
          <cell r="Q95">
            <v>83.31</v>
          </cell>
        </row>
        <row r="96">
          <cell r="D96">
            <v>45665</v>
          </cell>
          <cell r="G96">
            <v>2.5</v>
          </cell>
          <cell r="H96" t="str">
            <v>رول</v>
          </cell>
          <cell r="Q96">
            <v>98.19</v>
          </cell>
        </row>
        <row r="97">
          <cell r="D97">
            <v>45665</v>
          </cell>
          <cell r="G97">
            <v>8</v>
          </cell>
          <cell r="H97" t="str">
            <v>رول</v>
          </cell>
          <cell r="Q97">
            <v>258.58999999999997</v>
          </cell>
        </row>
        <row r="98">
          <cell r="D98">
            <v>45665</v>
          </cell>
          <cell r="G98">
            <v>8</v>
          </cell>
          <cell r="H98" t="str">
            <v>رول</v>
          </cell>
          <cell r="Q98">
            <v>84.06</v>
          </cell>
        </row>
        <row r="99">
          <cell r="D99">
            <v>45665</v>
          </cell>
          <cell r="G99">
            <v>7</v>
          </cell>
          <cell r="H99" t="str">
            <v>رول</v>
          </cell>
          <cell r="Q99">
            <v>182.74</v>
          </cell>
        </row>
        <row r="100">
          <cell r="D100">
            <v>45665</v>
          </cell>
          <cell r="G100">
            <v>22</v>
          </cell>
          <cell r="H100" t="str">
            <v>رول</v>
          </cell>
          <cell r="Q100">
            <v>54.42</v>
          </cell>
        </row>
        <row r="101">
          <cell r="D101">
            <v>45665</v>
          </cell>
          <cell r="G101">
            <v>18</v>
          </cell>
          <cell r="H101" t="str">
            <v>رول</v>
          </cell>
          <cell r="Q101">
            <v>693.96</v>
          </cell>
        </row>
        <row r="102">
          <cell r="D102">
            <v>45665</v>
          </cell>
          <cell r="G102">
            <v>18</v>
          </cell>
          <cell r="H102" t="str">
            <v>رول</v>
          </cell>
          <cell r="Q102">
            <v>419.43000000000006</v>
          </cell>
        </row>
        <row r="103">
          <cell r="D103">
            <v>45665</v>
          </cell>
          <cell r="G103">
            <v>18</v>
          </cell>
          <cell r="H103" t="str">
            <v>7</v>
          </cell>
          <cell r="Q103">
            <v>410.24</v>
          </cell>
        </row>
        <row r="104">
          <cell r="D104">
            <v>45665</v>
          </cell>
          <cell r="G104">
            <v>14</v>
          </cell>
          <cell r="H104" t="str">
            <v>رول</v>
          </cell>
          <cell r="Q104">
            <v>89.780000000000015</v>
          </cell>
        </row>
        <row r="105">
          <cell r="D105">
            <v>45665</v>
          </cell>
          <cell r="G105">
            <v>12</v>
          </cell>
          <cell r="H105" t="str">
            <v>رول</v>
          </cell>
          <cell r="Q105">
            <v>509.02</v>
          </cell>
        </row>
        <row r="106">
          <cell r="D106">
            <v>45665</v>
          </cell>
          <cell r="G106">
            <v>12</v>
          </cell>
          <cell r="H106" t="str">
            <v>رول</v>
          </cell>
          <cell r="Q106">
            <v>533.98</v>
          </cell>
        </row>
        <row r="107">
          <cell r="D107">
            <v>45665</v>
          </cell>
          <cell r="G107">
            <v>12</v>
          </cell>
          <cell r="H107" t="str">
            <v>رول</v>
          </cell>
          <cell r="Q107">
            <v>92.509999999999991</v>
          </cell>
        </row>
        <row r="108">
          <cell r="D108">
            <v>45666</v>
          </cell>
          <cell r="G108">
            <v>4</v>
          </cell>
          <cell r="H108" t="str">
            <v>رول</v>
          </cell>
          <cell r="Q108">
            <v>209.47</v>
          </cell>
        </row>
        <row r="109">
          <cell r="D109">
            <v>45666</v>
          </cell>
          <cell r="G109">
            <v>4</v>
          </cell>
          <cell r="H109" t="str">
            <v>رول</v>
          </cell>
          <cell r="Q109">
            <v>208.77</v>
          </cell>
        </row>
        <row r="110">
          <cell r="D110">
            <v>45666</v>
          </cell>
          <cell r="G110">
            <v>2.5</v>
          </cell>
          <cell r="H110" t="str">
            <v>رول</v>
          </cell>
          <cell r="Q110">
            <v>106.5</v>
          </cell>
        </row>
        <row r="111">
          <cell r="D111">
            <v>45666</v>
          </cell>
          <cell r="G111">
            <v>2.5</v>
          </cell>
          <cell r="H111" t="str">
            <v>رول</v>
          </cell>
          <cell r="Q111">
            <v>98.72</v>
          </cell>
        </row>
        <row r="112">
          <cell r="D112">
            <v>45666</v>
          </cell>
          <cell r="G112">
            <v>7</v>
          </cell>
          <cell r="H112" t="str">
            <v>رول</v>
          </cell>
          <cell r="Q112">
            <v>124.03999999999999</v>
          </cell>
        </row>
        <row r="113">
          <cell r="D113">
            <v>45666</v>
          </cell>
          <cell r="G113">
            <v>7</v>
          </cell>
          <cell r="H113" t="str">
            <v>رول</v>
          </cell>
          <cell r="Q113">
            <v>112.86</v>
          </cell>
        </row>
        <row r="114">
          <cell r="D114">
            <v>45666</v>
          </cell>
          <cell r="G114">
            <v>7</v>
          </cell>
          <cell r="H114" t="str">
            <v>رول</v>
          </cell>
          <cell r="Q114">
            <v>263.97000000000003</v>
          </cell>
        </row>
        <row r="115">
          <cell r="D115">
            <v>45666</v>
          </cell>
          <cell r="G115">
            <v>16</v>
          </cell>
          <cell r="H115" t="str">
            <v>رول</v>
          </cell>
          <cell r="Q115">
            <v>33</v>
          </cell>
        </row>
        <row r="116">
          <cell r="D116">
            <v>45666</v>
          </cell>
          <cell r="G116">
            <v>18</v>
          </cell>
          <cell r="H116" t="str">
            <v>7</v>
          </cell>
          <cell r="Q116">
            <v>160.12</v>
          </cell>
        </row>
        <row r="117">
          <cell r="D117">
            <v>45666</v>
          </cell>
          <cell r="G117">
            <v>24</v>
          </cell>
          <cell r="H117" t="str">
            <v>رول</v>
          </cell>
          <cell r="Q117">
            <v>502.83000000000004</v>
          </cell>
        </row>
        <row r="118">
          <cell r="D118">
            <v>45666</v>
          </cell>
          <cell r="G118">
            <v>24</v>
          </cell>
          <cell r="H118" t="str">
            <v>رول</v>
          </cell>
          <cell r="Q118">
            <v>469.41</v>
          </cell>
        </row>
        <row r="119">
          <cell r="D119">
            <v>45666</v>
          </cell>
          <cell r="G119">
            <v>16</v>
          </cell>
          <cell r="H119" t="str">
            <v>-</v>
          </cell>
          <cell r="Q119">
            <v>302.01</v>
          </cell>
        </row>
        <row r="120">
          <cell r="D120">
            <v>45666</v>
          </cell>
          <cell r="G120">
            <v>12</v>
          </cell>
          <cell r="H120" t="str">
            <v>رول</v>
          </cell>
          <cell r="Q120">
            <v>417.19</v>
          </cell>
        </row>
        <row r="121">
          <cell r="D121">
            <v>45666</v>
          </cell>
          <cell r="G121">
            <v>12</v>
          </cell>
          <cell r="H121" t="str">
            <v>رول</v>
          </cell>
          <cell r="Q121">
            <v>530.21</v>
          </cell>
        </row>
        <row r="122">
          <cell r="D122">
            <v>45667</v>
          </cell>
          <cell r="G122">
            <v>4</v>
          </cell>
          <cell r="H122" t="str">
            <v>رول</v>
          </cell>
          <cell r="Q122">
            <v>195.58</v>
          </cell>
        </row>
        <row r="123">
          <cell r="D123">
            <v>45667</v>
          </cell>
          <cell r="G123">
            <v>4</v>
          </cell>
          <cell r="H123" t="str">
            <v>رول</v>
          </cell>
          <cell r="Q123">
            <v>196.36</v>
          </cell>
        </row>
        <row r="124">
          <cell r="D124">
            <v>45667</v>
          </cell>
          <cell r="G124">
            <v>2.5</v>
          </cell>
          <cell r="H124" t="str">
            <v>رول</v>
          </cell>
          <cell r="Q124">
            <v>107.58</v>
          </cell>
        </row>
        <row r="125">
          <cell r="D125">
            <v>45667</v>
          </cell>
          <cell r="G125">
            <v>2.5</v>
          </cell>
          <cell r="H125" t="str">
            <v>رول</v>
          </cell>
          <cell r="Q125">
            <v>101.02</v>
          </cell>
        </row>
        <row r="126">
          <cell r="D126">
            <v>45667</v>
          </cell>
          <cell r="G126">
            <v>7</v>
          </cell>
          <cell r="H126" t="str">
            <v>رول</v>
          </cell>
          <cell r="Q126">
            <v>239.57000000000002</v>
          </cell>
        </row>
        <row r="127">
          <cell r="D127">
            <v>45667</v>
          </cell>
          <cell r="G127">
            <v>7</v>
          </cell>
          <cell r="H127" t="str">
            <v>رول</v>
          </cell>
          <cell r="Q127">
            <v>378.89</v>
          </cell>
        </row>
        <row r="128">
          <cell r="D128">
            <v>45667</v>
          </cell>
          <cell r="G128">
            <v>12</v>
          </cell>
          <cell r="H128" t="str">
            <v>14-15</v>
          </cell>
          <cell r="Q128">
            <v>424.05</v>
          </cell>
        </row>
        <row r="129">
          <cell r="D129">
            <v>45667</v>
          </cell>
          <cell r="G129">
            <v>10</v>
          </cell>
          <cell r="H129" t="str">
            <v>رول</v>
          </cell>
          <cell r="Q129">
            <v>555.85</v>
          </cell>
        </row>
        <row r="130">
          <cell r="D130">
            <v>45667</v>
          </cell>
          <cell r="G130">
            <v>12</v>
          </cell>
          <cell r="H130" t="str">
            <v>رول</v>
          </cell>
          <cell r="Q130">
            <v>88.38</v>
          </cell>
        </row>
        <row r="131">
          <cell r="D131">
            <v>45667</v>
          </cell>
          <cell r="G131">
            <v>10</v>
          </cell>
          <cell r="H131" t="str">
            <v>رول</v>
          </cell>
          <cell r="Q131">
            <v>458.06</v>
          </cell>
        </row>
        <row r="132">
          <cell r="D132">
            <v>45668</v>
          </cell>
          <cell r="G132">
            <v>4</v>
          </cell>
          <cell r="H132" t="str">
            <v>رول</v>
          </cell>
          <cell r="Q132">
            <v>70.399999999999991</v>
          </cell>
        </row>
        <row r="133">
          <cell r="D133">
            <v>45668</v>
          </cell>
          <cell r="G133">
            <v>5</v>
          </cell>
          <cell r="H133" t="str">
            <v>رول</v>
          </cell>
          <cell r="Q133">
            <v>116.25999999999999</v>
          </cell>
        </row>
        <row r="134">
          <cell r="D134">
            <v>45668</v>
          </cell>
          <cell r="G134">
            <v>5</v>
          </cell>
          <cell r="H134" t="str">
            <v>رول</v>
          </cell>
          <cell r="Q134">
            <v>167.56</v>
          </cell>
        </row>
        <row r="135">
          <cell r="D135">
            <v>45668</v>
          </cell>
          <cell r="G135">
            <v>2.5</v>
          </cell>
          <cell r="H135" t="str">
            <v>رول</v>
          </cell>
          <cell r="Q135">
            <v>26.11</v>
          </cell>
        </row>
        <row r="136">
          <cell r="D136">
            <v>45668</v>
          </cell>
          <cell r="G136">
            <v>1.5</v>
          </cell>
          <cell r="H136" t="str">
            <v>رول</v>
          </cell>
          <cell r="Q136">
            <v>50.480000000000004</v>
          </cell>
        </row>
        <row r="137">
          <cell r="D137">
            <v>45668</v>
          </cell>
          <cell r="G137">
            <v>1.5</v>
          </cell>
          <cell r="H137" t="str">
            <v>رول</v>
          </cell>
          <cell r="Q137">
            <v>51.989999999999995</v>
          </cell>
        </row>
        <row r="138">
          <cell r="D138">
            <v>45668</v>
          </cell>
          <cell r="G138">
            <v>7</v>
          </cell>
          <cell r="H138" t="str">
            <v>رول</v>
          </cell>
          <cell r="Q138">
            <v>297.56000000000006</v>
          </cell>
        </row>
        <row r="139">
          <cell r="D139">
            <v>45668</v>
          </cell>
          <cell r="G139">
            <v>7</v>
          </cell>
          <cell r="H139" t="str">
            <v>رول</v>
          </cell>
          <cell r="Q139">
            <v>237.58999999999997</v>
          </cell>
        </row>
        <row r="140">
          <cell r="D140">
            <v>45668</v>
          </cell>
          <cell r="G140">
            <v>16</v>
          </cell>
          <cell r="H140" t="str">
            <v>-</v>
          </cell>
          <cell r="Q140">
            <v>74.149999999999991</v>
          </cell>
        </row>
        <row r="141">
          <cell r="D141">
            <v>45668</v>
          </cell>
          <cell r="G141">
            <v>16</v>
          </cell>
          <cell r="H141" t="str">
            <v>-</v>
          </cell>
          <cell r="Q141">
            <v>412.53000000000003</v>
          </cell>
        </row>
        <row r="142">
          <cell r="D142">
            <v>45668</v>
          </cell>
          <cell r="G142">
            <v>16</v>
          </cell>
          <cell r="H142" t="str">
            <v>-</v>
          </cell>
          <cell r="Q142">
            <v>103.94</v>
          </cell>
        </row>
        <row r="143">
          <cell r="D143">
            <v>45668</v>
          </cell>
          <cell r="G143">
            <v>28</v>
          </cell>
          <cell r="H143">
            <v>6</v>
          </cell>
          <cell r="Q143">
            <v>454.32999999999993</v>
          </cell>
        </row>
        <row r="144">
          <cell r="D144">
            <v>45668</v>
          </cell>
          <cell r="G144">
            <v>10</v>
          </cell>
          <cell r="H144" t="str">
            <v>رول</v>
          </cell>
          <cell r="Q144">
            <v>387.99</v>
          </cell>
        </row>
        <row r="145">
          <cell r="D145">
            <v>45668</v>
          </cell>
          <cell r="G145">
            <v>12</v>
          </cell>
          <cell r="H145" t="str">
            <v>رول</v>
          </cell>
          <cell r="Q145">
            <v>162.94</v>
          </cell>
        </row>
        <row r="146">
          <cell r="D146">
            <v>45668</v>
          </cell>
          <cell r="G146">
            <v>12</v>
          </cell>
          <cell r="H146" t="str">
            <v>رول</v>
          </cell>
          <cell r="Q146">
            <v>408.19000000000005</v>
          </cell>
        </row>
        <row r="147">
          <cell r="D147">
            <v>45670</v>
          </cell>
          <cell r="G147">
            <v>5</v>
          </cell>
          <cell r="H147" t="str">
            <v>رول</v>
          </cell>
          <cell r="Q147">
            <v>93.77</v>
          </cell>
        </row>
        <row r="148">
          <cell r="D148">
            <v>45670</v>
          </cell>
          <cell r="G148">
            <v>5</v>
          </cell>
          <cell r="H148" t="str">
            <v>رول</v>
          </cell>
          <cell r="Q148">
            <v>223.73</v>
          </cell>
        </row>
        <row r="149">
          <cell r="D149">
            <v>45670</v>
          </cell>
          <cell r="G149">
            <v>4</v>
          </cell>
          <cell r="H149" t="str">
            <v>رول</v>
          </cell>
          <cell r="Q149">
            <v>133.74</v>
          </cell>
        </row>
        <row r="150">
          <cell r="D150">
            <v>45670</v>
          </cell>
          <cell r="G150">
            <v>4</v>
          </cell>
          <cell r="H150" t="str">
            <v>رول</v>
          </cell>
          <cell r="Q150">
            <v>170.26999999999998</v>
          </cell>
        </row>
        <row r="151">
          <cell r="D151">
            <v>45670</v>
          </cell>
          <cell r="G151">
            <v>8</v>
          </cell>
          <cell r="H151" t="str">
            <v>رول</v>
          </cell>
          <cell r="Q151">
            <v>250.32000000000002</v>
          </cell>
        </row>
        <row r="152">
          <cell r="D152">
            <v>45670</v>
          </cell>
          <cell r="G152">
            <v>8</v>
          </cell>
          <cell r="H152" t="str">
            <v>رول</v>
          </cell>
          <cell r="Q152">
            <v>394.96</v>
          </cell>
        </row>
        <row r="153">
          <cell r="D153">
            <v>45670</v>
          </cell>
          <cell r="G153">
            <v>28</v>
          </cell>
          <cell r="H153">
            <v>6</v>
          </cell>
          <cell r="Q153">
            <v>604.77</v>
          </cell>
        </row>
        <row r="154">
          <cell r="D154">
            <v>45670</v>
          </cell>
          <cell r="G154">
            <v>28</v>
          </cell>
          <cell r="H154">
            <v>6</v>
          </cell>
          <cell r="Q154">
            <v>483.23</v>
          </cell>
        </row>
        <row r="155">
          <cell r="D155">
            <v>45670</v>
          </cell>
          <cell r="G155">
            <v>26</v>
          </cell>
          <cell r="H155" t="str">
            <v>رول</v>
          </cell>
          <cell r="Q155">
            <v>149.14999999999998</v>
          </cell>
        </row>
        <row r="156">
          <cell r="D156">
            <v>45670</v>
          </cell>
          <cell r="G156">
            <v>13</v>
          </cell>
          <cell r="H156">
            <v>6.5</v>
          </cell>
          <cell r="Q156">
            <v>93.425000000000011</v>
          </cell>
        </row>
        <row r="157">
          <cell r="D157">
            <v>45670</v>
          </cell>
          <cell r="G157">
            <v>11</v>
          </cell>
          <cell r="H157">
            <v>6.5</v>
          </cell>
          <cell r="Q157">
            <v>419.26499999999999</v>
          </cell>
        </row>
        <row r="158">
          <cell r="D158">
            <v>45671</v>
          </cell>
          <cell r="G158">
            <v>5</v>
          </cell>
          <cell r="H158" t="str">
            <v>رول</v>
          </cell>
          <cell r="Q158">
            <v>214.2</v>
          </cell>
        </row>
        <row r="159">
          <cell r="D159">
            <v>45671</v>
          </cell>
          <cell r="G159">
            <v>5</v>
          </cell>
          <cell r="H159" t="str">
            <v>رول</v>
          </cell>
          <cell r="Q159">
            <v>208.86</v>
          </cell>
        </row>
        <row r="160">
          <cell r="D160">
            <v>45671</v>
          </cell>
          <cell r="G160">
            <v>3.5</v>
          </cell>
          <cell r="H160" t="str">
            <v>رول</v>
          </cell>
          <cell r="Q160">
            <v>80.03</v>
          </cell>
        </row>
        <row r="161">
          <cell r="D161">
            <v>45671</v>
          </cell>
          <cell r="G161">
            <v>4</v>
          </cell>
          <cell r="H161" t="str">
            <v>رول</v>
          </cell>
          <cell r="Q161">
            <v>46.91</v>
          </cell>
        </row>
        <row r="162">
          <cell r="D162">
            <v>45671</v>
          </cell>
          <cell r="G162">
            <v>3.5</v>
          </cell>
          <cell r="H162" t="str">
            <v>رول</v>
          </cell>
          <cell r="Q162">
            <v>137.35999999999999</v>
          </cell>
        </row>
        <row r="163">
          <cell r="D163">
            <v>45671</v>
          </cell>
          <cell r="G163">
            <v>8</v>
          </cell>
          <cell r="H163" t="str">
            <v>رول</v>
          </cell>
          <cell r="Q163">
            <v>325.61</v>
          </cell>
        </row>
        <row r="164">
          <cell r="D164">
            <v>45671</v>
          </cell>
          <cell r="G164">
            <v>8</v>
          </cell>
          <cell r="H164" t="str">
            <v>رول</v>
          </cell>
          <cell r="Q164">
            <v>312.87</v>
          </cell>
        </row>
        <row r="165">
          <cell r="D165">
            <v>45671</v>
          </cell>
          <cell r="G165">
            <v>26</v>
          </cell>
          <cell r="H165" t="str">
            <v>رول</v>
          </cell>
          <cell r="Q165">
            <v>170.47</v>
          </cell>
        </row>
        <row r="166">
          <cell r="D166">
            <v>45671</v>
          </cell>
          <cell r="G166">
            <v>14</v>
          </cell>
          <cell r="H166" t="str">
            <v>6-6.5</v>
          </cell>
          <cell r="Q166">
            <v>107.13000000000001</v>
          </cell>
        </row>
        <row r="167">
          <cell r="D167">
            <v>45671</v>
          </cell>
          <cell r="G167">
            <v>26</v>
          </cell>
          <cell r="H167" t="str">
            <v>6-6.5</v>
          </cell>
          <cell r="Q167">
            <v>111.77</v>
          </cell>
        </row>
        <row r="168">
          <cell r="D168">
            <v>45671</v>
          </cell>
          <cell r="G168">
            <v>18</v>
          </cell>
          <cell r="H168" t="str">
            <v>6-6.5</v>
          </cell>
          <cell r="Q168">
            <v>104.39</v>
          </cell>
        </row>
        <row r="169">
          <cell r="D169">
            <v>45671</v>
          </cell>
          <cell r="G169">
            <v>13</v>
          </cell>
          <cell r="H169" t="str">
            <v>6-6.5</v>
          </cell>
          <cell r="Q169">
            <v>101.33999999999999</v>
          </cell>
        </row>
        <row r="170">
          <cell r="D170">
            <v>45671</v>
          </cell>
          <cell r="G170">
            <v>18</v>
          </cell>
          <cell r="H170" t="str">
            <v>رول</v>
          </cell>
          <cell r="Q170">
            <v>203.59</v>
          </cell>
        </row>
        <row r="171">
          <cell r="D171">
            <v>45671</v>
          </cell>
          <cell r="G171">
            <v>18</v>
          </cell>
          <cell r="H171" t="str">
            <v>رول</v>
          </cell>
          <cell r="Q171">
            <v>175.03</v>
          </cell>
        </row>
        <row r="172">
          <cell r="D172">
            <v>45671</v>
          </cell>
          <cell r="G172">
            <v>19</v>
          </cell>
          <cell r="H172" t="str">
            <v>رول</v>
          </cell>
          <cell r="Q172">
            <v>646.87</v>
          </cell>
        </row>
        <row r="173">
          <cell r="D173">
            <v>45671</v>
          </cell>
          <cell r="G173">
            <v>13</v>
          </cell>
          <cell r="H173">
            <v>6.5</v>
          </cell>
          <cell r="Q173">
            <v>421.41</v>
          </cell>
        </row>
        <row r="174">
          <cell r="D174">
            <v>45671</v>
          </cell>
          <cell r="G174">
            <v>13</v>
          </cell>
          <cell r="H174">
            <v>6.5</v>
          </cell>
          <cell r="Q174">
            <v>62.900000000000006</v>
          </cell>
        </row>
        <row r="175">
          <cell r="D175">
            <v>45671</v>
          </cell>
          <cell r="G175">
            <v>11</v>
          </cell>
          <cell r="H175">
            <v>6.5</v>
          </cell>
          <cell r="Q175">
            <v>90.929999999999993</v>
          </cell>
        </row>
        <row r="176">
          <cell r="D176">
            <v>45671</v>
          </cell>
          <cell r="G176">
            <v>11</v>
          </cell>
          <cell r="H176">
            <v>6.5</v>
          </cell>
          <cell r="Q176">
            <v>402.26</v>
          </cell>
        </row>
        <row r="177">
          <cell r="D177">
            <v>45671</v>
          </cell>
          <cell r="G177">
            <v>10</v>
          </cell>
          <cell r="H177" t="str">
            <v>رول</v>
          </cell>
          <cell r="Q177">
            <v>184.26</v>
          </cell>
        </row>
        <row r="178">
          <cell r="D178">
            <v>45672</v>
          </cell>
          <cell r="G178">
            <v>5</v>
          </cell>
          <cell r="H178" t="str">
            <v>رول</v>
          </cell>
          <cell r="Q178">
            <v>238.43</v>
          </cell>
        </row>
        <row r="179">
          <cell r="D179">
            <v>45672</v>
          </cell>
          <cell r="G179">
            <v>5</v>
          </cell>
          <cell r="H179" t="str">
            <v>رول</v>
          </cell>
          <cell r="Q179">
            <v>200.26999999999998</v>
          </cell>
        </row>
        <row r="180">
          <cell r="D180">
            <v>45672</v>
          </cell>
          <cell r="G180">
            <v>3.5</v>
          </cell>
          <cell r="H180">
            <v>4.5</v>
          </cell>
          <cell r="Q180">
            <v>24.389999999999997</v>
          </cell>
        </row>
        <row r="181">
          <cell r="D181">
            <v>45672</v>
          </cell>
          <cell r="G181">
            <v>2</v>
          </cell>
          <cell r="H181" t="str">
            <v>رول</v>
          </cell>
          <cell r="Q181">
            <v>83.61</v>
          </cell>
        </row>
        <row r="182">
          <cell r="D182">
            <v>45672</v>
          </cell>
          <cell r="G182">
            <v>2</v>
          </cell>
          <cell r="H182" t="str">
            <v>رول</v>
          </cell>
          <cell r="Q182">
            <v>102.81</v>
          </cell>
        </row>
        <row r="183">
          <cell r="D183">
            <v>45672</v>
          </cell>
          <cell r="G183">
            <v>8</v>
          </cell>
          <cell r="H183" t="str">
            <v>رول</v>
          </cell>
          <cell r="Q183">
            <v>122.57</v>
          </cell>
        </row>
        <row r="184">
          <cell r="D184">
            <v>45672</v>
          </cell>
          <cell r="G184">
            <v>6</v>
          </cell>
          <cell r="H184" t="str">
            <v>رول</v>
          </cell>
          <cell r="Q184">
            <v>169.74</v>
          </cell>
        </row>
        <row r="185">
          <cell r="D185">
            <v>45672</v>
          </cell>
          <cell r="G185">
            <v>6</v>
          </cell>
          <cell r="H185" t="str">
            <v>رول</v>
          </cell>
          <cell r="Q185">
            <v>254.23</v>
          </cell>
        </row>
        <row r="186">
          <cell r="D186">
            <v>45672</v>
          </cell>
          <cell r="G186">
            <v>19</v>
          </cell>
          <cell r="H186" t="str">
            <v>-</v>
          </cell>
          <cell r="Q186">
            <v>119.88000000000001</v>
          </cell>
        </row>
        <row r="187">
          <cell r="D187">
            <v>45672</v>
          </cell>
          <cell r="G187">
            <v>19</v>
          </cell>
          <cell r="H187" t="str">
            <v>7</v>
          </cell>
          <cell r="Q187">
            <v>96.27000000000001</v>
          </cell>
        </row>
        <row r="188">
          <cell r="D188">
            <v>45672</v>
          </cell>
          <cell r="G188">
            <v>17</v>
          </cell>
          <cell r="H188">
            <v>5</v>
          </cell>
          <cell r="Q188">
            <v>646.2299999999999</v>
          </cell>
        </row>
        <row r="189">
          <cell r="D189">
            <v>45672</v>
          </cell>
          <cell r="G189">
            <v>17</v>
          </cell>
          <cell r="H189">
            <v>5</v>
          </cell>
          <cell r="Q189">
            <v>171.5</v>
          </cell>
        </row>
        <row r="190">
          <cell r="D190">
            <v>45672</v>
          </cell>
          <cell r="G190">
            <v>17</v>
          </cell>
          <cell r="H190">
            <v>5</v>
          </cell>
          <cell r="Q190">
            <v>514.82000000000005</v>
          </cell>
        </row>
        <row r="191">
          <cell r="D191">
            <v>45672</v>
          </cell>
          <cell r="G191">
            <v>10</v>
          </cell>
          <cell r="H191" t="str">
            <v>رول</v>
          </cell>
          <cell r="Q191">
            <v>538.52</v>
          </cell>
        </row>
        <row r="192">
          <cell r="D192">
            <v>45672</v>
          </cell>
          <cell r="G192">
            <v>10</v>
          </cell>
          <cell r="H192" t="str">
            <v>رول</v>
          </cell>
          <cell r="Q192">
            <v>570.625</v>
          </cell>
        </row>
        <row r="193">
          <cell r="D193">
            <v>45673</v>
          </cell>
          <cell r="G193">
            <v>5</v>
          </cell>
          <cell r="H193" t="str">
            <v>رول</v>
          </cell>
          <cell r="Q193">
            <v>206.58</v>
          </cell>
        </row>
        <row r="194">
          <cell r="D194">
            <v>45673</v>
          </cell>
          <cell r="G194">
            <v>5</v>
          </cell>
          <cell r="H194" t="str">
            <v>رول</v>
          </cell>
          <cell r="Q194">
            <v>212.48</v>
          </cell>
        </row>
        <row r="195">
          <cell r="D195">
            <v>45673</v>
          </cell>
          <cell r="G195">
            <v>6</v>
          </cell>
          <cell r="H195" t="str">
            <v>رول</v>
          </cell>
          <cell r="Q195">
            <v>271.53000000000003</v>
          </cell>
        </row>
        <row r="196">
          <cell r="D196">
            <v>45673</v>
          </cell>
          <cell r="G196">
            <v>6</v>
          </cell>
          <cell r="H196" t="str">
            <v>رول</v>
          </cell>
          <cell r="Q196">
            <v>274.19</v>
          </cell>
        </row>
        <row r="197">
          <cell r="D197">
            <v>45673</v>
          </cell>
          <cell r="G197">
            <v>10</v>
          </cell>
          <cell r="H197" t="str">
            <v>رول</v>
          </cell>
          <cell r="Q197">
            <v>548.25</v>
          </cell>
        </row>
        <row r="198">
          <cell r="D198">
            <v>45673</v>
          </cell>
          <cell r="G198">
            <v>10</v>
          </cell>
          <cell r="H198" t="str">
            <v>رول</v>
          </cell>
          <cell r="Q198">
            <v>525.65</v>
          </cell>
        </row>
        <row r="199">
          <cell r="D199">
            <v>45673</v>
          </cell>
          <cell r="G199">
            <v>2</v>
          </cell>
          <cell r="H199" t="str">
            <v>رول</v>
          </cell>
          <cell r="Q199">
            <v>112.6</v>
          </cell>
        </row>
        <row r="200">
          <cell r="D200">
            <v>45673</v>
          </cell>
          <cell r="G200">
            <v>2</v>
          </cell>
          <cell r="H200" t="str">
            <v>رول</v>
          </cell>
          <cell r="Q200">
            <v>45.980000000000004</v>
          </cell>
        </row>
        <row r="201">
          <cell r="D201">
            <v>45673</v>
          </cell>
          <cell r="G201">
            <v>3</v>
          </cell>
          <cell r="H201" t="str">
            <v>رول</v>
          </cell>
          <cell r="Q201">
            <v>90.2</v>
          </cell>
        </row>
        <row r="202">
          <cell r="D202">
            <v>45673</v>
          </cell>
          <cell r="G202">
            <v>22</v>
          </cell>
          <cell r="H202" t="str">
            <v>5-5.5</v>
          </cell>
          <cell r="Q202">
            <v>188.91000000000003</v>
          </cell>
        </row>
        <row r="203">
          <cell r="D203">
            <v>45673</v>
          </cell>
          <cell r="G203">
            <v>28</v>
          </cell>
          <cell r="H203" t="str">
            <v>-</v>
          </cell>
          <cell r="Q203">
            <v>504.38</v>
          </cell>
        </row>
        <row r="204">
          <cell r="D204">
            <v>45673</v>
          </cell>
          <cell r="G204">
            <v>28</v>
          </cell>
          <cell r="H204" t="str">
            <v>-</v>
          </cell>
          <cell r="Q204">
            <v>773.51</v>
          </cell>
        </row>
        <row r="205">
          <cell r="D205">
            <v>45674</v>
          </cell>
          <cell r="G205">
            <v>5</v>
          </cell>
          <cell r="H205" t="str">
            <v>رول</v>
          </cell>
          <cell r="Q205">
            <v>23.6</v>
          </cell>
        </row>
        <row r="206">
          <cell r="D206">
            <v>45674</v>
          </cell>
          <cell r="G206">
            <v>2.5</v>
          </cell>
          <cell r="H206" t="str">
            <v>رول</v>
          </cell>
          <cell r="Q206">
            <v>108.69999999999999</v>
          </cell>
        </row>
        <row r="207">
          <cell r="D207">
            <v>45674</v>
          </cell>
          <cell r="G207">
            <v>2.5</v>
          </cell>
          <cell r="H207" t="str">
            <v>رول</v>
          </cell>
          <cell r="Q207">
            <v>135.76</v>
          </cell>
        </row>
        <row r="208">
          <cell r="D208">
            <v>45674</v>
          </cell>
          <cell r="G208">
            <v>3</v>
          </cell>
          <cell r="H208" t="str">
            <v>رول</v>
          </cell>
          <cell r="Q208">
            <v>165.14</v>
          </cell>
        </row>
        <row r="209">
          <cell r="D209">
            <v>45674</v>
          </cell>
          <cell r="G209">
            <v>3</v>
          </cell>
          <cell r="H209" t="str">
            <v>رول</v>
          </cell>
          <cell r="Q209">
            <v>176.73</v>
          </cell>
        </row>
        <row r="210">
          <cell r="D210">
            <v>45674</v>
          </cell>
          <cell r="G210">
            <v>6</v>
          </cell>
          <cell r="H210" t="str">
            <v>رول</v>
          </cell>
          <cell r="Q210">
            <v>262.17</v>
          </cell>
        </row>
        <row r="211">
          <cell r="D211">
            <v>45674</v>
          </cell>
          <cell r="G211">
            <v>6</v>
          </cell>
          <cell r="H211" t="str">
            <v>رول</v>
          </cell>
          <cell r="Q211">
            <v>267.89999999999998</v>
          </cell>
        </row>
        <row r="212">
          <cell r="D212">
            <v>45674</v>
          </cell>
          <cell r="G212">
            <v>28</v>
          </cell>
          <cell r="H212" t="str">
            <v>-</v>
          </cell>
          <cell r="Q212">
            <v>855.31</v>
          </cell>
        </row>
        <row r="213">
          <cell r="D213">
            <v>45674</v>
          </cell>
          <cell r="G213">
            <v>28</v>
          </cell>
          <cell r="H213" t="str">
            <v>-</v>
          </cell>
          <cell r="Q213">
            <v>203.25</v>
          </cell>
        </row>
        <row r="214">
          <cell r="D214">
            <v>45674</v>
          </cell>
          <cell r="G214">
            <v>16</v>
          </cell>
          <cell r="H214" t="str">
            <v>5.5-6</v>
          </cell>
          <cell r="Q214">
            <v>483.17999999999995</v>
          </cell>
        </row>
        <row r="215">
          <cell r="D215">
            <v>45674</v>
          </cell>
          <cell r="G215">
            <v>16</v>
          </cell>
          <cell r="H215" t="str">
            <v>رول</v>
          </cell>
          <cell r="Q215">
            <v>118.32</v>
          </cell>
        </row>
        <row r="216">
          <cell r="D216">
            <v>45674</v>
          </cell>
          <cell r="G216">
            <v>10</v>
          </cell>
          <cell r="H216" t="str">
            <v>رول</v>
          </cell>
          <cell r="Q216">
            <v>248.45</v>
          </cell>
        </row>
        <row r="217">
          <cell r="D217">
            <v>45674</v>
          </cell>
          <cell r="G217">
            <v>10</v>
          </cell>
          <cell r="H217" t="str">
            <v>رول</v>
          </cell>
          <cell r="Q217">
            <v>102.92</v>
          </cell>
        </row>
        <row r="218">
          <cell r="D218">
            <v>45674</v>
          </cell>
          <cell r="G218">
            <v>9</v>
          </cell>
          <cell r="H218" t="str">
            <v>رول</v>
          </cell>
          <cell r="Q218">
            <v>457.78000000000003</v>
          </cell>
        </row>
        <row r="219">
          <cell r="D219">
            <v>45675</v>
          </cell>
          <cell r="G219">
            <v>2.5</v>
          </cell>
          <cell r="H219" t="str">
            <v>رول</v>
          </cell>
          <cell r="Q219">
            <v>148.46</v>
          </cell>
        </row>
        <row r="220">
          <cell r="D220">
            <v>45675</v>
          </cell>
          <cell r="G220">
            <v>2.5</v>
          </cell>
          <cell r="H220" t="str">
            <v>رول</v>
          </cell>
          <cell r="Q220">
            <v>112.8</v>
          </cell>
        </row>
        <row r="221">
          <cell r="D221">
            <v>45675</v>
          </cell>
          <cell r="G221">
            <v>3</v>
          </cell>
          <cell r="H221" t="str">
            <v>رول</v>
          </cell>
          <cell r="Q221">
            <v>183.51000000000002</v>
          </cell>
        </row>
        <row r="222">
          <cell r="D222">
            <v>45675</v>
          </cell>
          <cell r="G222">
            <v>3</v>
          </cell>
          <cell r="H222" t="str">
            <v>رول</v>
          </cell>
          <cell r="Q222">
            <v>132.9</v>
          </cell>
        </row>
        <row r="223">
          <cell r="D223">
            <v>45675</v>
          </cell>
          <cell r="G223">
            <v>6</v>
          </cell>
          <cell r="H223" t="str">
            <v>رول</v>
          </cell>
          <cell r="Q223">
            <v>267.25000000000006</v>
          </cell>
        </row>
        <row r="224">
          <cell r="D224">
            <v>45675</v>
          </cell>
          <cell r="G224">
            <v>6</v>
          </cell>
          <cell r="H224" t="str">
            <v>رول</v>
          </cell>
          <cell r="Q224">
            <v>136.07999999999998</v>
          </cell>
        </row>
        <row r="225">
          <cell r="D225">
            <v>45675</v>
          </cell>
          <cell r="G225">
            <v>16</v>
          </cell>
          <cell r="H225" t="str">
            <v>رول</v>
          </cell>
          <cell r="Q225">
            <v>222.07</v>
          </cell>
        </row>
        <row r="226">
          <cell r="D226">
            <v>45675</v>
          </cell>
          <cell r="G226">
            <v>18</v>
          </cell>
          <cell r="H226" t="str">
            <v>رول</v>
          </cell>
          <cell r="Q226">
            <v>630.96000000000015</v>
          </cell>
        </row>
        <row r="227">
          <cell r="D227">
            <v>45675</v>
          </cell>
          <cell r="G227">
            <v>18</v>
          </cell>
          <cell r="H227" t="str">
            <v>رول</v>
          </cell>
          <cell r="Q227">
            <v>502.62999999999994</v>
          </cell>
        </row>
        <row r="228">
          <cell r="D228">
            <v>45675</v>
          </cell>
          <cell r="G228">
            <v>9</v>
          </cell>
          <cell r="H228" t="str">
            <v>رول</v>
          </cell>
          <cell r="Q228">
            <v>518.3900000000001</v>
          </cell>
        </row>
        <row r="229">
          <cell r="D229">
            <v>45675</v>
          </cell>
          <cell r="G229">
            <v>9</v>
          </cell>
          <cell r="H229" t="str">
            <v>رول</v>
          </cell>
          <cell r="Q229">
            <v>148.42000000000002</v>
          </cell>
        </row>
        <row r="230">
          <cell r="D230">
            <v>45677</v>
          </cell>
          <cell r="G230">
            <v>2</v>
          </cell>
          <cell r="H230" t="str">
            <v>11.5/12</v>
          </cell>
          <cell r="Q230">
            <v>96.36</v>
          </cell>
        </row>
        <row r="231">
          <cell r="D231">
            <v>45677</v>
          </cell>
          <cell r="G231">
            <v>2</v>
          </cell>
          <cell r="H231" t="str">
            <v>11.5/12</v>
          </cell>
          <cell r="Q231">
            <v>156.38999999999999</v>
          </cell>
        </row>
        <row r="232">
          <cell r="D232">
            <v>45677</v>
          </cell>
          <cell r="G232">
            <v>3.5</v>
          </cell>
          <cell r="H232">
            <v>8</v>
          </cell>
          <cell r="Q232">
            <v>149.54</v>
          </cell>
        </row>
        <row r="233">
          <cell r="D233">
            <v>45677</v>
          </cell>
          <cell r="G233">
            <v>3.5</v>
          </cell>
          <cell r="H233">
            <v>8</v>
          </cell>
          <cell r="Q233">
            <v>220.83999999999997</v>
          </cell>
        </row>
        <row r="234">
          <cell r="D234">
            <v>45677</v>
          </cell>
          <cell r="G234">
            <v>8</v>
          </cell>
          <cell r="H234" t="str">
            <v>رول</v>
          </cell>
          <cell r="Q234">
            <v>196.36</v>
          </cell>
        </row>
        <row r="235">
          <cell r="D235">
            <v>45677</v>
          </cell>
          <cell r="G235">
            <v>8</v>
          </cell>
          <cell r="H235" t="str">
            <v>رول</v>
          </cell>
          <cell r="Q235">
            <v>338.43</v>
          </cell>
        </row>
        <row r="236">
          <cell r="D236">
            <v>45677</v>
          </cell>
          <cell r="G236">
            <v>14</v>
          </cell>
          <cell r="H236" t="str">
            <v>رول</v>
          </cell>
          <cell r="Q236">
            <v>365.32</v>
          </cell>
        </row>
        <row r="237">
          <cell r="D237">
            <v>45677</v>
          </cell>
          <cell r="G237">
            <v>14</v>
          </cell>
          <cell r="H237">
            <v>6</v>
          </cell>
          <cell r="Q237">
            <v>164.26</v>
          </cell>
        </row>
        <row r="238">
          <cell r="D238">
            <v>45677</v>
          </cell>
          <cell r="G238">
            <v>15</v>
          </cell>
          <cell r="H238">
            <v>6.5</v>
          </cell>
          <cell r="Q238">
            <v>305.64000000000004</v>
          </cell>
        </row>
        <row r="239">
          <cell r="D239">
            <v>45677</v>
          </cell>
          <cell r="G239">
            <v>15</v>
          </cell>
          <cell r="H239">
            <v>6.5</v>
          </cell>
          <cell r="Q239">
            <v>430.4</v>
          </cell>
        </row>
        <row r="240">
          <cell r="D240">
            <v>45677</v>
          </cell>
          <cell r="G240">
            <v>13</v>
          </cell>
          <cell r="H240">
            <v>6.5</v>
          </cell>
          <cell r="Q240">
            <v>82.5</v>
          </cell>
        </row>
        <row r="241">
          <cell r="D241">
            <v>45678</v>
          </cell>
          <cell r="G241">
            <v>2</v>
          </cell>
          <cell r="H241" t="str">
            <v>11.5/12</v>
          </cell>
          <cell r="Q241">
            <v>149.72999999999999</v>
          </cell>
        </row>
        <row r="242">
          <cell r="D242">
            <v>45678</v>
          </cell>
          <cell r="G242">
            <v>2</v>
          </cell>
          <cell r="H242" t="str">
            <v>11.5/12</v>
          </cell>
          <cell r="Q242">
            <v>161.54000000000002</v>
          </cell>
        </row>
        <row r="243">
          <cell r="D243">
            <v>45678</v>
          </cell>
          <cell r="G243">
            <v>3.5</v>
          </cell>
          <cell r="H243">
            <v>8</v>
          </cell>
          <cell r="Q243">
            <v>165.54999999999998</v>
          </cell>
        </row>
        <row r="244">
          <cell r="D244">
            <v>45678</v>
          </cell>
          <cell r="G244">
            <v>3.5</v>
          </cell>
          <cell r="H244">
            <v>8</v>
          </cell>
          <cell r="Q244">
            <v>182.31</v>
          </cell>
        </row>
        <row r="245">
          <cell r="D245">
            <v>45678</v>
          </cell>
          <cell r="G245">
            <v>8</v>
          </cell>
          <cell r="H245" t="str">
            <v>رول</v>
          </cell>
          <cell r="Q245">
            <v>311.29000000000002</v>
          </cell>
        </row>
        <row r="246">
          <cell r="D246">
            <v>45678</v>
          </cell>
          <cell r="G246">
            <v>8</v>
          </cell>
          <cell r="H246" t="str">
            <v>رول</v>
          </cell>
          <cell r="Q246">
            <v>320.42</v>
          </cell>
        </row>
        <row r="247">
          <cell r="D247">
            <v>45678</v>
          </cell>
          <cell r="G247">
            <v>14</v>
          </cell>
          <cell r="H247" t="str">
            <v>رول</v>
          </cell>
          <cell r="Q247">
            <v>49.050000000000004</v>
          </cell>
        </row>
        <row r="248">
          <cell r="D248">
            <v>45678</v>
          </cell>
          <cell r="G248">
            <v>14</v>
          </cell>
          <cell r="H248">
            <v>6</v>
          </cell>
          <cell r="Q248">
            <v>284.65999999999997</v>
          </cell>
        </row>
        <row r="249">
          <cell r="D249">
            <v>45678</v>
          </cell>
          <cell r="G249">
            <v>14</v>
          </cell>
          <cell r="H249">
            <v>6.5</v>
          </cell>
          <cell r="Q249">
            <v>390.25</v>
          </cell>
        </row>
        <row r="250">
          <cell r="D250">
            <v>45678</v>
          </cell>
          <cell r="G250">
            <v>14</v>
          </cell>
          <cell r="H250">
            <v>6.5</v>
          </cell>
          <cell r="Q250">
            <v>268.71999999999997</v>
          </cell>
        </row>
        <row r="251">
          <cell r="D251">
            <v>45678</v>
          </cell>
          <cell r="G251">
            <v>14</v>
          </cell>
          <cell r="H251" t="str">
            <v>رول</v>
          </cell>
          <cell r="Q251">
            <v>618.2399999999999</v>
          </cell>
        </row>
        <row r="252">
          <cell r="D252">
            <v>45678</v>
          </cell>
          <cell r="G252">
            <v>13</v>
          </cell>
          <cell r="H252">
            <v>6.5</v>
          </cell>
          <cell r="Q252">
            <v>370.53000000000003</v>
          </cell>
        </row>
        <row r="253">
          <cell r="D253">
            <v>45678</v>
          </cell>
          <cell r="G253">
            <v>11</v>
          </cell>
          <cell r="H253">
            <v>6.5</v>
          </cell>
          <cell r="Q253">
            <v>193.14500000000001</v>
          </cell>
        </row>
        <row r="254">
          <cell r="D254">
            <v>45678</v>
          </cell>
          <cell r="G254">
            <v>12</v>
          </cell>
          <cell r="H254" t="str">
            <v>رول</v>
          </cell>
          <cell r="Q254">
            <v>491.13</v>
          </cell>
        </row>
        <row r="255">
          <cell r="D255">
            <v>45678</v>
          </cell>
          <cell r="G255">
            <v>11</v>
          </cell>
          <cell r="H255">
            <v>6.5</v>
          </cell>
          <cell r="Q255">
            <v>33.370000000000005</v>
          </cell>
        </row>
        <row r="256">
          <cell r="D256">
            <v>45679</v>
          </cell>
          <cell r="G256">
            <v>2</v>
          </cell>
          <cell r="H256" t="str">
            <v>رول</v>
          </cell>
          <cell r="Q256">
            <v>29.27</v>
          </cell>
        </row>
        <row r="257">
          <cell r="D257">
            <v>45679</v>
          </cell>
          <cell r="G257">
            <v>2</v>
          </cell>
          <cell r="H257" t="str">
            <v>رول</v>
          </cell>
          <cell r="Q257">
            <v>94.100000000000009</v>
          </cell>
        </row>
        <row r="258">
          <cell r="D258">
            <v>45679</v>
          </cell>
          <cell r="G258">
            <v>2</v>
          </cell>
          <cell r="H258" t="str">
            <v>رول</v>
          </cell>
          <cell r="Q258">
            <v>118.55</v>
          </cell>
        </row>
        <row r="259">
          <cell r="D259">
            <v>45679</v>
          </cell>
          <cell r="G259">
            <v>4</v>
          </cell>
          <cell r="H259" t="str">
            <v>رول</v>
          </cell>
          <cell r="Q259">
            <v>24.41</v>
          </cell>
        </row>
        <row r="260">
          <cell r="D260">
            <v>45679</v>
          </cell>
          <cell r="G260">
            <v>3.5</v>
          </cell>
          <cell r="H260">
            <v>8</v>
          </cell>
          <cell r="Q260">
            <v>56.27</v>
          </cell>
        </row>
        <row r="261">
          <cell r="D261">
            <v>45679</v>
          </cell>
          <cell r="G261">
            <v>8</v>
          </cell>
          <cell r="H261" t="str">
            <v>رول</v>
          </cell>
          <cell r="Q261">
            <v>312.33999999999997</v>
          </cell>
        </row>
        <row r="262">
          <cell r="D262">
            <v>45679</v>
          </cell>
          <cell r="G262">
            <v>8</v>
          </cell>
          <cell r="H262" t="str">
            <v>رول</v>
          </cell>
          <cell r="Q262">
            <v>327.57</v>
          </cell>
        </row>
        <row r="263">
          <cell r="D263">
            <v>45679</v>
          </cell>
          <cell r="G263">
            <v>14</v>
          </cell>
          <cell r="H263" t="str">
            <v>رول</v>
          </cell>
          <cell r="Q263">
            <v>216.1</v>
          </cell>
        </row>
        <row r="264">
          <cell r="D264">
            <v>45679</v>
          </cell>
          <cell r="G264">
            <v>18</v>
          </cell>
          <cell r="H264" t="str">
            <v>-</v>
          </cell>
          <cell r="Q264">
            <v>613.29000000000008</v>
          </cell>
        </row>
        <row r="265">
          <cell r="D265">
            <v>45679</v>
          </cell>
          <cell r="G265">
            <v>18</v>
          </cell>
          <cell r="H265" t="str">
            <v>-</v>
          </cell>
          <cell r="Q265">
            <v>495.34000000000003</v>
          </cell>
        </row>
        <row r="266">
          <cell r="D266">
            <v>45679</v>
          </cell>
          <cell r="G266">
            <v>18</v>
          </cell>
          <cell r="H266" t="str">
            <v>رول</v>
          </cell>
          <cell r="Q266">
            <v>385.23</v>
          </cell>
        </row>
        <row r="267">
          <cell r="D267">
            <v>45679</v>
          </cell>
          <cell r="G267">
            <v>12</v>
          </cell>
          <cell r="H267" t="str">
            <v>رول</v>
          </cell>
          <cell r="Q267">
            <v>592.13499999999999</v>
          </cell>
        </row>
        <row r="268">
          <cell r="D268">
            <v>45679</v>
          </cell>
          <cell r="G268">
            <v>12</v>
          </cell>
          <cell r="H268" t="str">
            <v>رول</v>
          </cell>
          <cell r="Q268">
            <v>626.66</v>
          </cell>
        </row>
        <row r="269">
          <cell r="D269">
            <v>45680</v>
          </cell>
          <cell r="G269">
            <v>2</v>
          </cell>
          <cell r="H269" t="str">
            <v>رول</v>
          </cell>
          <cell r="Q269">
            <v>115.44</v>
          </cell>
        </row>
        <row r="270">
          <cell r="D270">
            <v>45680</v>
          </cell>
          <cell r="G270">
            <v>2</v>
          </cell>
          <cell r="H270" t="str">
            <v>رول</v>
          </cell>
          <cell r="Q270">
            <v>120.84</v>
          </cell>
        </row>
        <row r="271">
          <cell r="D271">
            <v>45680</v>
          </cell>
          <cell r="G271">
            <v>4</v>
          </cell>
          <cell r="H271" t="str">
            <v>رول</v>
          </cell>
          <cell r="Q271">
            <v>199.28</v>
          </cell>
        </row>
        <row r="272">
          <cell r="D272">
            <v>45680</v>
          </cell>
          <cell r="G272">
            <v>8</v>
          </cell>
          <cell r="H272" t="str">
            <v>رول</v>
          </cell>
          <cell r="Q272">
            <v>410.68</v>
          </cell>
        </row>
        <row r="273">
          <cell r="D273">
            <v>45680</v>
          </cell>
          <cell r="G273">
            <v>8</v>
          </cell>
          <cell r="H273" t="str">
            <v>رول</v>
          </cell>
          <cell r="Q273">
            <v>319.15000000000003</v>
          </cell>
        </row>
        <row r="274">
          <cell r="D274">
            <v>45680</v>
          </cell>
          <cell r="G274">
            <v>18</v>
          </cell>
          <cell r="H274" t="str">
            <v>رول</v>
          </cell>
          <cell r="Q274">
            <v>254.43</v>
          </cell>
        </row>
        <row r="275">
          <cell r="D275">
            <v>45680</v>
          </cell>
          <cell r="G275">
            <v>20</v>
          </cell>
          <cell r="H275" t="str">
            <v>5.5-6</v>
          </cell>
          <cell r="Q275">
            <v>101.8</v>
          </cell>
        </row>
        <row r="276">
          <cell r="D276">
            <v>45680</v>
          </cell>
          <cell r="G276">
            <v>20</v>
          </cell>
          <cell r="H276" t="str">
            <v>رول</v>
          </cell>
          <cell r="Q276">
            <v>523.91999999999996</v>
          </cell>
        </row>
        <row r="277">
          <cell r="D277">
            <v>45680</v>
          </cell>
          <cell r="G277">
            <v>20</v>
          </cell>
          <cell r="H277" t="str">
            <v>رول</v>
          </cell>
          <cell r="Q277">
            <v>888.38</v>
          </cell>
        </row>
        <row r="278">
          <cell r="D278">
            <v>45680</v>
          </cell>
          <cell r="G278">
            <v>12</v>
          </cell>
          <cell r="H278" t="str">
            <v>رول</v>
          </cell>
          <cell r="Q278">
            <v>628.75</v>
          </cell>
        </row>
        <row r="279">
          <cell r="D279">
            <v>45680</v>
          </cell>
          <cell r="G279">
            <v>12</v>
          </cell>
          <cell r="H279" t="str">
            <v>رول</v>
          </cell>
          <cell r="Q279">
            <v>593.61</v>
          </cell>
        </row>
        <row r="280">
          <cell r="D280">
            <v>45681</v>
          </cell>
          <cell r="G280">
            <v>2</v>
          </cell>
          <cell r="H280" t="str">
            <v>رول</v>
          </cell>
          <cell r="Q280">
            <v>99.22</v>
          </cell>
        </row>
        <row r="281">
          <cell r="D281">
            <v>45681</v>
          </cell>
          <cell r="G281">
            <v>2</v>
          </cell>
          <cell r="H281" t="str">
            <v>رول</v>
          </cell>
          <cell r="Q281">
            <v>124.58</v>
          </cell>
        </row>
        <row r="282">
          <cell r="D282">
            <v>45681</v>
          </cell>
          <cell r="G282">
            <v>4</v>
          </cell>
          <cell r="H282" t="str">
            <v>رول</v>
          </cell>
          <cell r="Q282">
            <v>45.779999999999994</v>
          </cell>
        </row>
        <row r="283">
          <cell r="D283">
            <v>45681</v>
          </cell>
          <cell r="G283">
            <v>5</v>
          </cell>
          <cell r="H283" t="str">
            <v>رول</v>
          </cell>
          <cell r="Q283">
            <v>177.51</v>
          </cell>
        </row>
        <row r="284">
          <cell r="D284">
            <v>45681</v>
          </cell>
          <cell r="G284">
            <v>8</v>
          </cell>
          <cell r="H284" t="str">
            <v>رول</v>
          </cell>
          <cell r="Q284">
            <v>91.7</v>
          </cell>
        </row>
        <row r="285">
          <cell r="D285">
            <v>45681</v>
          </cell>
          <cell r="G285">
            <v>6</v>
          </cell>
          <cell r="H285" t="str">
            <v>رول</v>
          </cell>
          <cell r="Q285">
            <v>146.74</v>
          </cell>
        </row>
        <row r="286">
          <cell r="D286">
            <v>45681</v>
          </cell>
          <cell r="G286">
            <v>6</v>
          </cell>
          <cell r="H286" t="str">
            <v>رول</v>
          </cell>
          <cell r="Q286">
            <v>324.75</v>
          </cell>
        </row>
        <row r="287">
          <cell r="D287">
            <v>45681</v>
          </cell>
          <cell r="G287">
            <v>20</v>
          </cell>
          <cell r="H287" t="str">
            <v>رول</v>
          </cell>
          <cell r="Q287">
            <v>288.16000000000003</v>
          </cell>
        </row>
        <row r="288">
          <cell r="D288">
            <v>45681</v>
          </cell>
          <cell r="G288">
            <v>24</v>
          </cell>
          <cell r="H288" t="str">
            <v>رول</v>
          </cell>
          <cell r="Q288">
            <v>233.02</v>
          </cell>
        </row>
        <row r="289">
          <cell r="D289">
            <v>45681</v>
          </cell>
          <cell r="G289">
            <v>24</v>
          </cell>
          <cell r="H289" t="str">
            <v>رول</v>
          </cell>
          <cell r="Q289">
            <v>873.1</v>
          </cell>
        </row>
        <row r="290">
          <cell r="D290">
            <v>45681</v>
          </cell>
          <cell r="G290">
            <v>12</v>
          </cell>
          <cell r="H290" t="str">
            <v>رول</v>
          </cell>
          <cell r="Q290">
            <v>436.47999999999996</v>
          </cell>
        </row>
        <row r="291">
          <cell r="D291">
            <v>45681</v>
          </cell>
          <cell r="G291">
            <v>12</v>
          </cell>
          <cell r="H291" t="str">
            <v>رول</v>
          </cell>
          <cell r="Q291">
            <v>584.18499999999995</v>
          </cell>
        </row>
        <row r="292">
          <cell r="D292">
            <v>45682</v>
          </cell>
          <cell r="G292">
            <v>2</v>
          </cell>
          <cell r="H292" t="str">
            <v>رول</v>
          </cell>
          <cell r="Q292">
            <v>116.22</v>
          </cell>
        </row>
        <row r="293">
          <cell r="D293">
            <v>45682</v>
          </cell>
          <cell r="G293">
            <v>2</v>
          </cell>
          <cell r="H293" t="str">
            <v>رول</v>
          </cell>
          <cell r="Q293">
            <v>112.88999999999999</v>
          </cell>
        </row>
        <row r="294">
          <cell r="D294">
            <v>45682</v>
          </cell>
          <cell r="G294">
            <v>5</v>
          </cell>
          <cell r="H294" t="str">
            <v>رول</v>
          </cell>
          <cell r="Q294">
            <v>205.68999999999997</v>
          </cell>
        </row>
        <row r="295">
          <cell r="D295">
            <v>45682</v>
          </cell>
          <cell r="G295">
            <v>5</v>
          </cell>
          <cell r="H295" t="str">
            <v>رول</v>
          </cell>
          <cell r="Q295">
            <v>226.86</v>
          </cell>
        </row>
        <row r="296">
          <cell r="D296">
            <v>45682</v>
          </cell>
          <cell r="G296">
            <v>6</v>
          </cell>
          <cell r="H296" t="str">
            <v>رول</v>
          </cell>
          <cell r="Q296">
            <v>217.52</v>
          </cell>
        </row>
        <row r="297">
          <cell r="D297">
            <v>45682</v>
          </cell>
          <cell r="G297">
            <v>6</v>
          </cell>
          <cell r="H297" t="str">
            <v>رول</v>
          </cell>
          <cell r="Q297">
            <v>284.96999999999997</v>
          </cell>
        </row>
        <row r="298">
          <cell r="D298">
            <v>45682</v>
          </cell>
          <cell r="G298">
            <v>24</v>
          </cell>
          <cell r="H298" t="str">
            <v>رول</v>
          </cell>
          <cell r="Q298">
            <v>780.49</v>
          </cell>
        </row>
        <row r="299">
          <cell r="D299">
            <v>45682</v>
          </cell>
          <cell r="G299">
            <v>24</v>
          </cell>
          <cell r="H299" t="str">
            <v>رول</v>
          </cell>
          <cell r="Q299">
            <v>118.30000000000001</v>
          </cell>
        </row>
        <row r="300">
          <cell r="D300">
            <v>45682</v>
          </cell>
          <cell r="G300">
            <v>28</v>
          </cell>
          <cell r="H300" t="str">
            <v>-</v>
          </cell>
          <cell r="Q300">
            <v>662.33000000000015</v>
          </cell>
        </row>
        <row r="301">
          <cell r="D301">
            <v>45682</v>
          </cell>
          <cell r="G301">
            <v>12</v>
          </cell>
          <cell r="H301" t="str">
            <v>رول</v>
          </cell>
          <cell r="Q301">
            <v>199.84</v>
          </cell>
        </row>
        <row r="302">
          <cell r="D302">
            <v>45682</v>
          </cell>
          <cell r="G302">
            <v>9</v>
          </cell>
          <cell r="H302" t="str">
            <v>رول</v>
          </cell>
          <cell r="Q302">
            <v>184.625</v>
          </cell>
        </row>
        <row r="303">
          <cell r="D303">
            <v>45682</v>
          </cell>
          <cell r="G303">
            <v>9</v>
          </cell>
          <cell r="H303" t="str">
            <v>رول</v>
          </cell>
          <cell r="Q303">
            <v>493.39000000000004</v>
          </cell>
        </row>
        <row r="304">
          <cell r="D304">
            <v>45683</v>
          </cell>
          <cell r="G304">
            <v>2</v>
          </cell>
          <cell r="H304" t="str">
            <v>رول</v>
          </cell>
          <cell r="Q304">
            <v>103.74000000000001</v>
          </cell>
        </row>
        <row r="305">
          <cell r="D305">
            <v>45683</v>
          </cell>
          <cell r="G305">
            <v>2</v>
          </cell>
          <cell r="H305" t="str">
            <v>رول</v>
          </cell>
          <cell r="Q305">
            <v>140.82</v>
          </cell>
        </row>
        <row r="306">
          <cell r="D306">
            <v>45683</v>
          </cell>
          <cell r="G306">
            <v>5</v>
          </cell>
          <cell r="H306" t="str">
            <v>رول</v>
          </cell>
          <cell r="Q306">
            <v>199.32999999999998</v>
          </cell>
        </row>
        <row r="307">
          <cell r="D307">
            <v>45683</v>
          </cell>
          <cell r="G307">
            <v>5</v>
          </cell>
          <cell r="H307" t="str">
            <v>رول</v>
          </cell>
          <cell r="Q307">
            <v>32.35</v>
          </cell>
        </row>
        <row r="308">
          <cell r="D308">
            <v>45683</v>
          </cell>
          <cell r="G308">
            <v>3.5</v>
          </cell>
          <cell r="H308">
            <v>8</v>
          </cell>
          <cell r="Q308">
            <v>187.63</v>
          </cell>
        </row>
        <row r="309">
          <cell r="D309">
            <v>45683</v>
          </cell>
          <cell r="G309">
            <v>6</v>
          </cell>
          <cell r="H309" t="str">
            <v>رول</v>
          </cell>
          <cell r="Q309">
            <v>322.71000000000004</v>
          </cell>
        </row>
        <row r="310">
          <cell r="D310">
            <v>45683</v>
          </cell>
          <cell r="G310">
            <v>6</v>
          </cell>
          <cell r="H310" t="str">
            <v>رول</v>
          </cell>
          <cell r="Q310">
            <v>279.33999999999997</v>
          </cell>
        </row>
        <row r="311">
          <cell r="D311">
            <v>45683</v>
          </cell>
          <cell r="G311">
            <v>28</v>
          </cell>
          <cell r="H311" t="str">
            <v>-</v>
          </cell>
          <cell r="Q311">
            <v>639.28000000000009</v>
          </cell>
        </row>
        <row r="312">
          <cell r="D312">
            <v>45683</v>
          </cell>
          <cell r="G312">
            <v>16</v>
          </cell>
          <cell r="H312" t="str">
            <v>-</v>
          </cell>
          <cell r="Q312">
            <v>141.59</v>
          </cell>
        </row>
        <row r="313">
          <cell r="D313">
            <v>45683</v>
          </cell>
          <cell r="G313">
            <v>16</v>
          </cell>
          <cell r="H313" t="str">
            <v>-</v>
          </cell>
          <cell r="Q313">
            <v>758.12</v>
          </cell>
        </row>
        <row r="314">
          <cell r="D314">
            <v>45683</v>
          </cell>
          <cell r="G314">
            <v>9</v>
          </cell>
          <cell r="H314" t="str">
            <v>رول</v>
          </cell>
          <cell r="Q314">
            <v>530.49</v>
          </cell>
        </row>
        <row r="315">
          <cell r="D315">
            <v>45683</v>
          </cell>
          <cell r="G315">
            <v>9</v>
          </cell>
          <cell r="H315" t="str">
            <v>رول</v>
          </cell>
          <cell r="Q315">
            <v>486.51</v>
          </cell>
        </row>
        <row r="316">
          <cell r="D316">
            <v>45684</v>
          </cell>
          <cell r="G316">
            <v>2</v>
          </cell>
          <cell r="H316" t="str">
            <v>رول</v>
          </cell>
          <cell r="Q316">
            <v>120.60000000000001</v>
          </cell>
        </row>
        <row r="317">
          <cell r="D317">
            <v>45684</v>
          </cell>
          <cell r="G317">
            <v>2</v>
          </cell>
          <cell r="H317" t="str">
            <v>رول</v>
          </cell>
          <cell r="Q317">
            <v>133.02000000000001</v>
          </cell>
        </row>
        <row r="318">
          <cell r="D318">
            <v>45684</v>
          </cell>
          <cell r="G318">
            <v>3.5</v>
          </cell>
          <cell r="H318">
            <v>8</v>
          </cell>
          <cell r="Q318">
            <v>109.51</v>
          </cell>
        </row>
        <row r="319">
          <cell r="D319">
            <v>45684</v>
          </cell>
          <cell r="G319">
            <v>4</v>
          </cell>
          <cell r="H319" t="str">
            <v>رول</v>
          </cell>
          <cell r="Q319">
            <v>77.77000000000001</v>
          </cell>
        </row>
        <row r="320">
          <cell r="D320">
            <v>45684</v>
          </cell>
          <cell r="G320">
            <v>4</v>
          </cell>
          <cell r="H320" t="str">
            <v>رول</v>
          </cell>
          <cell r="Q320">
            <v>203.65</v>
          </cell>
        </row>
        <row r="321">
          <cell r="D321">
            <v>45684</v>
          </cell>
          <cell r="G321">
            <v>6</v>
          </cell>
          <cell r="H321" t="str">
            <v>رول</v>
          </cell>
          <cell r="Q321">
            <v>271.47999999999996</v>
          </cell>
        </row>
        <row r="322">
          <cell r="D322">
            <v>45684</v>
          </cell>
          <cell r="G322">
            <v>6</v>
          </cell>
          <cell r="H322" t="str">
            <v>رول</v>
          </cell>
          <cell r="Q322">
            <v>231.94</v>
          </cell>
        </row>
        <row r="323">
          <cell r="D323">
            <v>45684</v>
          </cell>
          <cell r="G323">
            <v>16</v>
          </cell>
          <cell r="H323" t="str">
            <v>-</v>
          </cell>
          <cell r="Q323">
            <v>929.18</v>
          </cell>
        </row>
        <row r="324">
          <cell r="D324">
            <v>45684</v>
          </cell>
          <cell r="G324">
            <v>16</v>
          </cell>
          <cell r="H324" t="str">
            <v>-</v>
          </cell>
          <cell r="Q324">
            <v>87.22</v>
          </cell>
        </row>
        <row r="325">
          <cell r="D325">
            <v>45684</v>
          </cell>
          <cell r="G325">
            <v>14</v>
          </cell>
          <cell r="H325" t="str">
            <v>رول</v>
          </cell>
          <cell r="Q325">
            <v>576.46</v>
          </cell>
        </row>
        <row r="326">
          <cell r="D326">
            <v>45684</v>
          </cell>
          <cell r="G326">
            <v>9</v>
          </cell>
          <cell r="H326" t="str">
            <v>رول</v>
          </cell>
          <cell r="Q326">
            <v>491.57</v>
          </cell>
        </row>
        <row r="327">
          <cell r="D327">
            <v>45684</v>
          </cell>
          <cell r="G327">
            <v>9</v>
          </cell>
          <cell r="H327" t="str">
            <v>رول</v>
          </cell>
          <cell r="Q327">
            <v>473.19</v>
          </cell>
        </row>
        <row r="328">
          <cell r="D328">
            <v>45685</v>
          </cell>
          <cell r="G328">
            <v>2</v>
          </cell>
          <cell r="H328" t="str">
            <v>رول</v>
          </cell>
          <cell r="Q328">
            <v>136.31</v>
          </cell>
        </row>
        <row r="329">
          <cell r="D329">
            <v>45685</v>
          </cell>
          <cell r="G329">
            <v>2</v>
          </cell>
          <cell r="H329" t="str">
            <v>رول</v>
          </cell>
          <cell r="Q329">
            <v>27.5</v>
          </cell>
        </row>
        <row r="330">
          <cell r="D330">
            <v>45685</v>
          </cell>
          <cell r="G330">
            <v>2</v>
          </cell>
          <cell r="H330" t="str">
            <v>رول</v>
          </cell>
          <cell r="Q330">
            <v>187.37999999999997</v>
          </cell>
        </row>
        <row r="331">
          <cell r="D331">
            <v>45685</v>
          </cell>
          <cell r="G331">
            <v>4</v>
          </cell>
          <cell r="H331" t="str">
            <v>رول</v>
          </cell>
          <cell r="Q331">
            <v>171.48000000000002</v>
          </cell>
        </row>
        <row r="332">
          <cell r="D332">
            <v>45685</v>
          </cell>
          <cell r="G332">
            <v>4</v>
          </cell>
          <cell r="H332" t="str">
            <v>رول</v>
          </cell>
          <cell r="Q332">
            <v>18.860000000000003</v>
          </cell>
        </row>
        <row r="333">
          <cell r="D333">
            <v>45685</v>
          </cell>
          <cell r="G333">
            <v>4</v>
          </cell>
          <cell r="H333" t="str">
            <v>رول</v>
          </cell>
          <cell r="Q333">
            <v>86.740000000000009</v>
          </cell>
        </row>
        <row r="334">
          <cell r="D334">
            <v>45685</v>
          </cell>
          <cell r="G334">
            <v>4</v>
          </cell>
          <cell r="H334" t="str">
            <v>رول</v>
          </cell>
          <cell r="Q334">
            <v>99.77</v>
          </cell>
        </row>
        <row r="335">
          <cell r="D335">
            <v>45685</v>
          </cell>
          <cell r="G335">
            <v>6</v>
          </cell>
          <cell r="H335" t="str">
            <v>رول</v>
          </cell>
          <cell r="Q335">
            <v>323.84000000000003</v>
          </cell>
        </row>
        <row r="336">
          <cell r="D336">
            <v>45685</v>
          </cell>
          <cell r="G336">
            <v>7</v>
          </cell>
          <cell r="H336" t="str">
            <v>رول</v>
          </cell>
          <cell r="Q336">
            <v>336.78000000000003</v>
          </cell>
        </row>
        <row r="337">
          <cell r="D337">
            <v>45685</v>
          </cell>
          <cell r="G337">
            <v>14</v>
          </cell>
          <cell r="H337" t="str">
            <v>رول</v>
          </cell>
          <cell r="Q337">
            <v>796.91</v>
          </cell>
        </row>
        <row r="338">
          <cell r="D338">
            <v>45685</v>
          </cell>
          <cell r="G338">
            <v>14</v>
          </cell>
          <cell r="H338" t="str">
            <v>رول</v>
          </cell>
          <cell r="Q338">
            <v>318.73999999999995</v>
          </cell>
        </row>
        <row r="339">
          <cell r="D339">
            <v>45685</v>
          </cell>
          <cell r="G339">
            <v>23</v>
          </cell>
          <cell r="H339">
            <v>5</v>
          </cell>
          <cell r="Q339">
            <v>441.06</v>
          </cell>
        </row>
        <row r="340">
          <cell r="D340">
            <v>45685</v>
          </cell>
          <cell r="G340">
            <v>9</v>
          </cell>
          <cell r="H340" t="str">
            <v>رول</v>
          </cell>
          <cell r="Q340">
            <v>330.51</v>
          </cell>
        </row>
        <row r="341">
          <cell r="D341">
            <v>45685</v>
          </cell>
          <cell r="G341">
            <v>9</v>
          </cell>
          <cell r="H341" t="str">
            <v>رول</v>
          </cell>
          <cell r="Q341">
            <v>171.52</v>
          </cell>
        </row>
        <row r="342">
          <cell r="D342">
            <v>45685</v>
          </cell>
          <cell r="G342">
            <v>9</v>
          </cell>
          <cell r="H342" t="str">
            <v>رول</v>
          </cell>
          <cell r="Q342">
            <v>521.23</v>
          </cell>
        </row>
        <row r="343">
          <cell r="D343">
            <v>45686</v>
          </cell>
          <cell r="G343">
            <v>1.5</v>
          </cell>
          <cell r="H343">
            <v>5</v>
          </cell>
          <cell r="Q343">
            <v>94.320000000000007</v>
          </cell>
        </row>
        <row r="344">
          <cell r="D344">
            <v>45686</v>
          </cell>
          <cell r="G344">
            <v>2</v>
          </cell>
          <cell r="H344" t="str">
            <v>رول</v>
          </cell>
          <cell r="Q344">
            <v>10.530000000000001</v>
          </cell>
        </row>
        <row r="345">
          <cell r="D345">
            <v>45686</v>
          </cell>
          <cell r="G345">
            <v>1.5</v>
          </cell>
          <cell r="H345">
            <v>5</v>
          </cell>
          <cell r="Q345">
            <v>5.37</v>
          </cell>
        </row>
        <row r="346">
          <cell r="D346">
            <v>45686</v>
          </cell>
          <cell r="G346">
            <v>2.5</v>
          </cell>
          <cell r="H346" t="str">
            <v>رول</v>
          </cell>
          <cell r="Q346">
            <v>139.81</v>
          </cell>
        </row>
        <row r="347">
          <cell r="D347">
            <v>45686</v>
          </cell>
          <cell r="G347">
            <v>4</v>
          </cell>
          <cell r="H347" t="str">
            <v>رول</v>
          </cell>
          <cell r="Q347">
            <v>205.89000000000001</v>
          </cell>
        </row>
        <row r="348">
          <cell r="D348">
            <v>45686</v>
          </cell>
          <cell r="G348">
            <v>4</v>
          </cell>
          <cell r="H348" t="str">
            <v>رول</v>
          </cell>
          <cell r="Q348">
            <v>202.03</v>
          </cell>
        </row>
        <row r="349">
          <cell r="D349">
            <v>45686</v>
          </cell>
          <cell r="G349">
            <v>7</v>
          </cell>
          <cell r="H349" t="str">
            <v>رول</v>
          </cell>
          <cell r="Q349">
            <v>182.13000000000002</v>
          </cell>
        </row>
        <row r="350">
          <cell r="D350">
            <v>45686</v>
          </cell>
          <cell r="G350">
            <v>12</v>
          </cell>
          <cell r="H350">
            <v>5</v>
          </cell>
          <cell r="Q350">
            <v>141.42999999999998</v>
          </cell>
        </row>
        <row r="351">
          <cell r="D351">
            <v>45686</v>
          </cell>
          <cell r="G351">
            <v>7</v>
          </cell>
          <cell r="H351" t="str">
            <v>رول</v>
          </cell>
          <cell r="Q351">
            <v>346.02</v>
          </cell>
        </row>
        <row r="352">
          <cell r="D352">
            <v>45686</v>
          </cell>
          <cell r="G352">
            <v>23</v>
          </cell>
          <cell r="H352">
            <v>5</v>
          </cell>
          <cell r="Q352">
            <v>247.80000000000004</v>
          </cell>
        </row>
        <row r="353">
          <cell r="D353">
            <v>45686</v>
          </cell>
          <cell r="G353">
            <v>18</v>
          </cell>
          <cell r="H353" t="str">
            <v>رول</v>
          </cell>
          <cell r="Q353">
            <v>436.59</v>
          </cell>
        </row>
        <row r="354">
          <cell r="D354">
            <v>45686</v>
          </cell>
          <cell r="G354">
            <v>18</v>
          </cell>
          <cell r="H354" t="str">
            <v>رول</v>
          </cell>
          <cell r="Q354">
            <v>834.77</v>
          </cell>
        </row>
        <row r="355">
          <cell r="D355">
            <v>45686</v>
          </cell>
          <cell r="G355">
            <v>9</v>
          </cell>
          <cell r="H355" t="str">
            <v>رول</v>
          </cell>
          <cell r="Q355">
            <v>421.29999999999995</v>
          </cell>
        </row>
        <row r="356">
          <cell r="D356">
            <v>45686</v>
          </cell>
          <cell r="G356">
            <v>9</v>
          </cell>
          <cell r="H356" t="str">
            <v>رول</v>
          </cell>
          <cell r="Q356">
            <v>478.31</v>
          </cell>
        </row>
        <row r="357">
          <cell r="D357">
            <v>45687</v>
          </cell>
          <cell r="G357">
            <v>2.5</v>
          </cell>
          <cell r="H357" t="str">
            <v>رول</v>
          </cell>
          <cell r="Q357">
            <v>55.5</v>
          </cell>
        </row>
        <row r="358">
          <cell r="D358">
            <v>45687</v>
          </cell>
          <cell r="G358">
            <v>2.5</v>
          </cell>
          <cell r="H358" t="str">
            <v>رول</v>
          </cell>
          <cell r="Q358">
            <v>77.53</v>
          </cell>
        </row>
        <row r="359">
          <cell r="D359">
            <v>45687</v>
          </cell>
          <cell r="G359">
            <v>2.5</v>
          </cell>
          <cell r="H359">
            <v>5</v>
          </cell>
          <cell r="Q359">
            <v>135.09</v>
          </cell>
        </row>
        <row r="360">
          <cell r="D360">
            <v>45687</v>
          </cell>
          <cell r="G360">
            <v>4</v>
          </cell>
          <cell r="H360">
            <v>5</v>
          </cell>
          <cell r="Q360">
            <v>137.54999999999998</v>
          </cell>
        </row>
        <row r="361">
          <cell r="D361">
            <v>45687</v>
          </cell>
          <cell r="G361">
            <v>3.5</v>
          </cell>
          <cell r="H361">
            <v>5</v>
          </cell>
          <cell r="Q361">
            <v>56.81</v>
          </cell>
        </row>
        <row r="362">
          <cell r="D362">
            <v>45687</v>
          </cell>
          <cell r="G362">
            <v>3.5</v>
          </cell>
          <cell r="H362">
            <v>5</v>
          </cell>
          <cell r="Q362">
            <v>204.21</v>
          </cell>
        </row>
        <row r="363">
          <cell r="D363">
            <v>45687</v>
          </cell>
          <cell r="G363">
            <v>7</v>
          </cell>
          <cell r="H363" t="str">
            <v>رول</v>
          </cell>
          <cell r="Q363">
            <v>281.63</v>
          </cell>
        </row>
        <row r="364">
          <cell r="D364">
            <v>45687</v>
          </cell>
          <cell r="G364">
            <v>7</v>
          </cell>
          <cell r="H364" t="str">
            <v>رول</v>
          </cell>
          <cell r="Q364">
            <v>353.36</v>
          </cell>
        </row>
        <row r="365">
          <cell r="D365">
            <v>45687</v>
          </cell>
          <cell r="G365">
            <v>18</v>
          </cell>
          <cell r="H365" t="str">
            <v>رول</v>
          </cell>
          <cell r="Q365">
            <v>136.6</v>
          </cell>
        </row>
        <row r="366">
          <cell r="D366">
            <v>45687</v>
          </cell>
          <cell r="G366">
            <v>18</v>
          </cell>
          <cell r="H366" t="str">
            <v>6.5-7</v>
          </cell>
          <cell r="Q366">
            <v>112.65</v>
          </cell>
        </row>
        <row r="367">
          <cell r="D367">
            <v>45687</v>
          </cell>
          <cell r="G367">
            <v>14</v>
          </cell>
          <cell r="H367" t="str">
            <v>11.5-12</v>
          </cell>
          <cell r="Q367">
            <v>578.0100000000001</v>
          </cell>
        </row>
        <row r="368">
          <cell r="D368">
            <v>45687</v>
          </cell>
          <cell r="G368">
            <v>14</v>
          </cell>
          <cell r="H368" t="str">
            <v>11.5-12</v>
          </cell>
          <cell r="Q368">
            <v>323.03999999999996</v>
          </cell>
        </row>
        <row r="369">
          <cell r="D369">
            <v>45687</v>
          </cell>
          <cell r="G369">
            <v>28</v>
          </cell>
          <cell r="H369" t="str">
            <v>رول</v>
          </cell>
          <cell r="Q369">
            <v>468.53000000000003</v>
          </cell>
        </row>
        <row r="370">
          <cell r="D370">
            <v>45687</v>
          </cell>
          <cell r="G370">
            <v>9</v>
          </cell>
          <cell r="H370" t="str">
            <v>رول</v>
          </cell>
          <cell r="Q370">
            <v>152.67000000000002</v>
          </cell>
        </row>
        <row r="371">
          <cell r="D371">
            <v>45687</v>
          </cell>
          <cell r="G371">
            <v>10</v>
          </cell>
          <cell r="H371" t="str">
            <v>رول</v>
          </cell>
          <cell r="Q371">
            <v>388.76499999999993</v>
          </cell>
        </row>
        <row r="372">
          <cell r="D372">
            <v>45687</v>
          </cell>
          <cell r="G372">
            <v>10</v>
          </cell>
          <cell r="H372" t="str">
            <v>رول</v>
          </cell>
          <cell r="Q372">
            <v>536.91</v>
          </cell>
        </row>
        <row r="373">
          <cell r="D373">
            <v>45688</v>
          </cell>
          <cell r="G373">
            <v>2.5</v>
          </cell>
          <cell r="H373">
            <v>5</v>
          </cell>
          <cell r="Q373">
            <v>136.82</v>
          </cell>
        </row>
        <row r="374">
          <cell r="D374">
            <v>45688</v>
          </cell>
          <cell r="G374">
            <v>2.5</v>
          </cell>
          <cell r="H374">
            <v>5</v>
          </cell>
          <cell r="Q374">
            <v>37.26</v>
          </cell>
        </row>
        <row r="375">
          <cell r="D375">
            <v>45688</v>
          </cell>
          <cell r="G375">
            <v>2.5</v>
          </cell>
          <cell r="H375" t="str">
            <v>رول</v>
          </cell>
          <cell r="Q375">
            <v>11.51</v>
          </cell>
        </row>
        <row r="376">
          <cell r="D376">
            <v>45688</v>
          </cell>
          <cell r="G376">
            <v>2.5</v>
          </cell>
          <cell r="H376">
            <v>5</v>
          </cell>
          <cell r="Q376">
            <v>170.67000000000002</v>
          </cell>
        </row>
        <row r="377">
          <cell r="D377">
            <v>45688</v>
          </cell>
          <cell r="G377">
            <v>3.5</v>
          </cell>
          <cell r="H377">
            <v>5</v>
          </cell>
          <cell r="Q377">
            <v>200.22</v>
          </cell>
        </row>
        <row r="378">
          <cell r="D378">
            <v>45688</v>
          </cell>
          <cell r="G378">
            <v>3.5</v>
          </cell>
          <cell r="H378">
            <v>5</v>
          </cell>
          <cell r="Q378">
            <v>200.56</v>
          </cell>
        </row>
        <row r="379">
          <cell r="D379">
            <v>45688</v>
          </cell>
          <cell r="G379">
            <v>7</v>
          </cell>
          <cell r="H379" t="str">
            <v>رول</v>
          </cell>
          <cell r="Q379">
            <v>334.37</v>
          </cell>
        </row>
        <row r="380">
          <cell r="D380">
            <v>45688</v>
          </cell>
          <cell r="G380">
            <v>7</v>
          </cell>
          <cell r="H380" t="str">
            <v>رول</v>
          </cell>
          <cell r="Q380">
            <v>320.78999999999996</v>
          </cell>
        </row>
        <row r="381">
          <cell r="D381">
            <v>45688</v>
          </cell>
          <cell r="G381">
            <v>28</v>
          </cell>
          <cell r="H381" t="str">
            <v>رول</v>
          </cell>
          <cell r="Q381">
            <v>695.9799999999999</v>
          </cell>
        </row>
        <row r="382">
          <cell r="D382">
            <v>45688</v>
          </cell>
          <cell r="G382">
            <v>28</v>
          </cell>
          <cell r="H382" t="str">
            <v>-</v>
          </cell>
          <cell r="Q382">
            <v>126.34</v>
          </cell>
        </row>
        <row r="383">
          <cell r="D383">
            <v>45688</v>
          </cell>
          <cell r="G383">
            <v>28</v>
          </cell>
          <cell r="H383" t="str">
            <v>-</v>
          </cell>
          <cell r="Q383">
            <v>205.07999999999998</v>
          </cell>
        </row>
        <row r="384">
          <cell r="D384">
            <v>45688</v>
          </cell>
          <cell r="G384">
            <v>8</v>
          </cell>
          <cell r="H384">
            <v>9</v>
          </cell>
          <cell r="Q384">
            <v>213.35000000000002</v>
          </cell>
        </row>
        <row r="385">
          <cell r="D385">
            <v>45688</v>
          </cell>
          <cell r="G385">
            <v>16</v>
          </cell>
          <cell r="H385" t="str">
            <v>-</v>
          </cell>
          <cell r="Q385">
            <v>431.46</v>
          </cell>
        </row>
        <row r="386">
          <cell r="D386">
            <v>45688</v>
          </cell>
          <cell r="G386">
            <v>10</v>
          </cell>
          <cell r="H386" t="str">
            <v>رول</v>
          </cell>
          <cell r="Q386">
            <v>550.35</v>
          </cell>
        </row>
        <row r="387">
          <cell r="D387">
            <v>45688</v>
          </cell>
          <cell r="G387">
            <v>10</v>
          </cell>
          <cell r="H387">
            <v>9</v>
          </cell>
          <cell r="Q387">
            <v>45.14</v>
          </cell>
        </row>
        <row r="388">
          <cell r="D388">
            <v>45688</v>
          </cell>
          <cell r="G388">
            <v>10</v>
          </cell>
          <cell r="H388">
            <v>9</v>
          </cell>
          <cell r="Q388">
            <v>167.7</v>
          </cell>
        </row>
        <row r="389">
          <cell r="D389">
            <v>45688</v>
          </cell>
          <cell r="G389">
            <v>10</v>
          </cell>
          <cell r="H389" t="str">
            <v>رول</v>
          </cell>
          <cell r="Q389">
            <v>417.06</v>
          </cell>
        </row>
        <row r="390">
          <cell r="D390">
            <v>45689</v>
          </cell>
          <cell r="G390">
            <v>3</v>
          </cell>
          <cell r="H390">
            <v>5</v>
          </cell>
          <cell r="Q390">
            <v>137.55000000000001</v>
          </cell>
        </row>
        <row r="391">
          <cell r="D391">
            <v>45689</v>
          </cell>
          <cell r="G391">
            <v>3</v>
          </cell>
          <cell r="H391">
            <v>5</v>
          </cell>
          <cell r="Q391">
            <v>122.34</v>
          </cell>
        </row>
        <row r="392">
          <cell r="D392">
            <v>45689</v>
          </cell>
          <cell r="G392">
            <v>3.5</v>
          </cell>
          <cell r="H392">
            <v>5</v>
          </cell>
          <cell r="Q392">
            <v>15.55</v>
          </cell>
        </row>
        <row r="393">
          <cell r="D393">
            <v>45689</v>
          </cell>
          <cell r="G393">
            <v>3.5</v>
          </cell>
          <cell r="H393">
            <v>5</v>
          </cell>
          <cell r="Q393">
            <v>125.88000000000001</v>
          </cell>
        </row>
        <row r="394">
          <cell r="D394">
            <v>45689</v>
          </cell>
          <cell r="G394">
            <v>3.5</v>
          </cell>
          <cell r="H394">
            <v>5</v>
          </cell>
          <cell r="Q394">
            <v>142.31</v>
          </cell>
        </row>
        <row r="395">
          <cell r="D395">
            <v>45689</v>
          </cell>
          <cell r="G395">
            <v>7</v>
          </cell>
          <cell r="H395" t="str">
            <v>رول</v>
          </cell>
          <cell r="Q395">
            <v>329.77000000000004</v>
          </cell>
        </row>
        <row r="396">
          <cell r="D396">
            <v>45689</v>
          </cell>
          <cell r="G396">
            <v>7</v>
          </cell>
          <cell r="H396" t="str">
            <v>رول</v>
          </cell>
          <cell r="Q396">
            <v>223.90999999999997</v>
          </cell>
        </row>
        <row r="397">
          <cell r="D397">
            <v>45689</v>
          </cell>
          <cell r="G397">
            <v>16</v>
          </cell>
          <cell r="H397" t="str">
            <v>-</v>
          </cell>
          <cell r="Q397">
            <v>855.62999999999988</v>
          </cell>
        </row>
        <row r="398">
          <cell r="D398">
            <v>45689</v>
          </cell>
          <cell r="G398">
            <v>16</v>
          </cell>
          <cell r="H398" t="str">
            <v>-</v>
          </cell>
          <cell r="Q398">
            <v>589.44000000000005</v>
          </cell>
        </row>
        <row r="399">
          <cell r="D399">
            <v>45689</v>
          </cell>
          <cell r="G399">
            <v>10</v>
          </cell>
          <cell r="H399" t="str">
            <v>رول</v>
          </cell>
          <cell r="Q399">
            <v>626.66</v>
          </cell>
        </row>
        <row r="400">
          <cell r="D400">
            <v>45689</v>
          </cell>
          <cell r="G400">
            <v>10</v>
          </cell>
          <cell r="H400" t="str">
            <v>رول</v>
          </cell>
          <cell r="Q400">
            <v>396.77</v>
          </cell>
        </row>
        <row r="401">
          <cell r="D401">
            <v>45691</v>
          </cell>
          <cell r="G401">
            <v>3</v>
          </cell>
          <cell r="H401">
            <v>5</v>
          </cell>
          <cell r="Q401">
            <v>125.9</v>
          </cell>
        </row>
        <row r="402">
          <cell r="D402">
            <v>45691</v>
          </cell>
          <cell r="G402">
            <v>3</v>
          </cell>
          <cell r="H402">
            <v>5</v>
          </cell>
          <cell r="Q402">
            <v>144.44999999999999</v>
          </cell>
        </row>
        <row r="403">
          <cell r="D403">
            <v>45691</v>
          </cell>
          <cell r="G403">
            <v>3.5</v>
          </cell>
          <cell r="H403">
            <v>5</v>
          </cell>
          <cell r="Q403">
            <v>144.57</v>
          </cell>
        </row>
        <row r="404">
          <cell r="D404">
            <v>45691</v>
          </cell>
          <cell r="G404">
            <v>3.5</v>
          </cell>
          <cell r="H404">
            <v>5</v>
          </cell>
          <cell r="Q404">
            <v>169.71</v>
          </cell>
        </row>
        <row r="405">
          <cell r="D405">
            <v>45691</v>
          </cell>
          <cell r="G405">
            <v>7</v>
          </cell>
          <cell r="H405" t="str">
            <v>رول</v>
          </cell>
          <cell r="Q405">
            <v>243.71</v>
          </cell>
        </row>
        <row r="406">
          <cell r="D406">
            <v>45691</v>
          </cell>
          <cell r="G406">
            <v>7</v>
          </cell>
          <cell r="H406" t="str">
            <v>رول</v>
          </cell>
          <cell r="Q406">
            <v>315.40000000000003</v>
          </cell>
        </row>
        <row r="407">
          <cell r="D407">
            <v>45691</v>
          </cell>
          <cell r="G407">
            <v>21</v>
          </cell>
          <cell r="H407" t="str">
            <v>7-7.5</v>
          </cell>
          <cell r="Q407">
            <v>74.89</v>
          </cell>
        </row>
        <row r="408">
          <cell r="D408">
            <v>45691</v>
          </cell>
          <cell r="G408">
            <v>21</v>
          </cell>
          <cell r="H408" t="str">
            <v>7-7.5</v>
          </cell>
          <cell r="Q408">
            <v>145.28</v>
          </cell>
        </row>
        <row r="409">
          <cell r="D409">
            <v>45691</v>
          </cell>
          <cell r="G409">
            <v>10</v>
          </cell>
          <cell r="H409" t="str">
            <v>رول</v>
          </cell>
          <cell r="Q409">
            <v>404.90999999999997</v>
          </cell>
        </row>
        <row r="410">
          <cell r="D410">
            <v>45691</v>
          </cell>
          <cell r="G410">
            <v>10</v>
          </cell>
          <cell r="H410" t="str">
            <v>رول</v>
          </cell>
          <cell r="Q410">
            <v>543.09</v>
          </cell>
        </row>
        <row r="411">
          <cell r="D411">
            <v>45692</v>
          </cell>
          <cell r="G411">
            <v>3</v>
          </cell>
          <cell r="H411" t="str">
            <v>رول</v>
          </cell>
          <cell r="Q411">
            <v>168.07999999999998</v>
          </cell>
        </row>
        <row r="412">
          <cell r="D412">
            <v>45692</v>
          </cell>
          <cell r="G412">
            <v>2</v>
          </cell>
          <cell r="H412" t="str">
            <v>رول</v>
          </cell>
          <cell r="Q412">
            <v>95.22999999999999</v>
          </cell>
        </row>
        <row r="413">
          <cell r="D413">
            <v>45692</v>
          </cell>
          <cell r="G413">
            <v>3.5</v>
          </cell>
          <cell r="H413" t="str">
            <v>رول</v>
          </cell>
          <cell r="Q413">
            <v>45.120000000000005</v>
          </cell>
        </row>
        <row r="414">
          <cell r="D414">
            <v>45692</v>
          </cell>
          <cell r="G414">
            <v>4</v>
          </cell>
          <cell r="H414" t="str">
            <v>رول</v>
          </cell>
          <cell r="Q414">
            <v>148.95000000000002</v>
          </cell>
        </row>
        <row r="415">
          <cell r="D415">
            <v>45692</v>
          </cell>
          <cell r="G415">
            <v>4</v>
          </cell>
          <cell r="H415" t="str">
            <v>رول</v>
          </cell>
          <cell r="Q415">
            <v>180.23999999999998</v>
          </cell>
        </row>
        <row r="416">
          <cell r="D416">
            <v>45692</v>
          </cell>
          <cell r="G416">
            <v>5</v>
          </cell>
          <cell r="H416" t="str">
            <v>رول</v>
          </cell>
          <cell r="Q416">
            <v>226.27</v>
          </cell>
        </row>
        <row r="417">
          <cell r="D417">
            <v>45692</v>
          </cell>
          <cell r="G417">
            <v>5</v>
          </cell>
          <cell r="H417" t="str">
            <v>رول</v>
          </cell>
          <cell r="Q417">
            <v>236.52</v>
          </cell>
        </row>
        <row r="418">
          <cell r="D418">
            <v>45692</v>
          </cell>
          <cell r="G418">
            <v>10</v>
          </cell>
          <cell r="H418" t="str">
            <v>رول</v>
          </cell>
          <cell r="Q418">
            <v>56.84</v>
          </cell>
        </row>
        <row r="419">
          <cell r="D419">
            <v>45692</v>
          </cell>
          <cell r="G419">
            <v>8</v>
          </cell>
          <cell r="H419" t="str">
            <v>رول</v>
          </cell>
          <cell r="Q419">
            <v>432.75999999999993</v>
          </cell>
        </row>
        <row r="420">
          <cell r="D420">
            <v>45692</v>
          </cell>
          <cell r="G420">
            <v>8</v>
          </cell>
          <cell r="H420" t="str">
            <v>رول</v>
          </cell>
          <cell r="Q420">
            <v>531.63</v>
          </cell>
        </row>
        <row r="421">
          <cell r="D421">
            <v>45693</v>
          </cell>
          <cell r="G421">
            <v>2</v>
          </cell>
          <cell r="H421" t="str">
            <v>رول</v>
          </cell>
          <cell r="Q421">
            <v>189.7</v>
          </cell>
        </row>
        <row r="422">
          <cell r="D422">
            <v>45693</v>
          </cell>
          <cell r="G422">
            <v>3.5</v>
          </cell>
          <cell r="H422">
            <v>5</v>
          </cell>
          <cell r="Q422">
            <v>96.690000000000012</v>
          </cell>
        </row>
        <row r="423">
          <cell r="D423">
            <v>45693</v>
          </cell>
          <cell r="G423">
            <v>4</v>
          </cell>
          <cell r="H423" t="str">
            <v>رول</v>
          </cell>
          <cell r="Q423">
            <v>180.52</v>
          </cell>
        </row>
        <row r="424">
          <cell r="D424">
            <v>45693</v>
          </cell>
          <cell r="G424">
            <v>4</v>
          </cell>
          <cell r="H424" t="str">
            <v>رول</v>
          </cell>
          <cell r="Q424">
            <v>171.81</v>
          </cell>
        </row>
        <row r="425">
          <cell r="D425">
            <v>45693</v>
          </cell>
          <cell r="G425">
            <v>5</v>
          </cell>
          <cell r="H425" t="str">
            <v>رول</v>
          </cell>
          <cell r="Q425">
            <v>223.75</v>
          </cell>
        </row>
        <row r="426">
          <cell r="D426">
            <v>45693</v>
          </cell>
          <cell r="G426">
            <v>5</v>
          </cell>
          <cell r="H426" t="str">
            <v>رول</v>
          </cell>
          <cell r="Q426">
            <v>266.19</v>
          </cell>
        </row>
        <row r="427">
          <cell r="D427">
            <v>45693</v>
          </cell>
          <cell r="G427">
            <v>8</v>
          </cell>
          <cell r="H427" t="str">
            <v>رول</v>
          </cell>
          <cell r="Q427">
            <v>40.75</v>
          </cell>
        </row>
        <row r="428">
          <cell r="D428">
            <v>45693</v>
          </cell>
          <cell r="G428">
            <v>8</v>
          </cell>
          <cell r="H428">
            <v>14</v>
          </cell>
          <cell r="Q428">
            <v>161.24</v>
          </cell>
        </row>
        <row r="429">
          <cell r="D429">
            <v>45693</v>
          </cell>
          <cell r="G429">
            <v>14</v>
          </cell>
          <cell r="H429">
            <v>14</v>
          </cell>
          <cell r="Q429">
            <v>362.97999999999996</v>
          </cell>
        </row>
        <row r="430">
          <cell r="D430">
            <v>45693</v>
          </cell>
          <cell r="G430">
            <v>14</v>
          </cell>
          <cell r="H430">
            <v>14</v>
          </cell>
          <cell r="Q430">
            <v>591.06000000000006</v>
          </cell>
        </row>
        <row r="431">
          <cell r="D431">
            <v>45694</v>
          </cell>
          <cell r="G431">
            <v>3.5</v>
          </cell>
          <cell r="H431" t="str">
            <v>رول</v>
          </cell>
          <cell r="Q431">
            <v>158.38</v>
          </cell>
        </row>
        <row r="432">
          <cell r="D432">
            <v>45694</v>
          </cell>
          <cell r="G432">
            <v>3.5</v>
          </cell>
          <cell r="H432" t="str">
            <v>رول</v>
          </cell>
          <cell r="Q432">
            <v>149.52000000000001</v>
          </cell>
        </row>
        <row r="433">
          <cell r="D433">
            <v>45694</v>
          </cell>
          <cell r="G433">
            <v>4</v>
          </cell>
          <cell r="H433" t="str">
            <v>رول</v>
          </cell>
          <cell r="Q433">
            <v>178.38</v>
          </cell>
        </row>
        <row r="434">
          <cell r="D434">
            <v>45694</v>
          </cell>
          <cell r="G434">
            <v>4</v>
          </cell>
          <cell r="H434" t="str">
            <v>رول</v>
          </cell>
          <cell r="Q434">
            <v>178.15</v>
          </cell>
        </row>
        <row r="435">
          <cell r="D435">
            <v>45694</v>
          </cell>
          <cell r="G435">
            <v>5</v>
          </cell>
          <cell r="H435" t="str">
            <v>رول</v>
          </cell>
          <cell r="Q435">
            <v>295.53999999999996</v>
          </cell>
        </row>
        <row r="436">
          <cell r="D436">
            <v>45694</v>
          </cell>
          <cell r="G436">
            <v>5</v>
          </cell>
          <cell r="H436" t="str">
            <v>رول</v>
          </cell>
          <cell r="Q436">
            <v>10.899999999999999</v>
          </cell>
        </row>
        <row r="437">
          <cell r="D437">
            <v>45694</v>
          </cell>
          <cell r="G437">
            <v>6</v>
          </cell>
          <cell r="H437">
            <v>14</v>
          </cell>
          <cell r="Q437">
            <v>107.91</v>
          </cell>
        </row>
        <row r="438">
          <cell r="D438">
            <v>45694</v>
          </cell>
          <cell r="G438">
            <v>7</v>
          </cell>
          <cell r="H438">
            <v>14</v>
          </cell>
          <cell r="Q438">
            <v>114.77000000000001</v>
          </cell>
        </row>
        <row r="439">
          <cell r="D439">
            <v>45694</v>
          </cell>
          <cell r="G439">
            <v>7</v>
          </cell>
          <cell r="H439" t="str">
            <v>رول</v>
          </cell>
          <cell r="Q439">
            <v>30.3</v>
          </cell>
        </row>
        <row r="440">
          <cell r="D440">
            <v>45694</v>
          </cell>
          <cell r="G440">
            <v>14</v>
          </cell>
          <cell r="H440">
            <v>14</v>
          </cell>
          <cell r="Q440">
            <v>627.01</v>
          </cell>
        </row>
        <row r="441">
          <cell r="D441">
            <v>45694</v>
          </cell>
          <cell r="G441">
            <v>14</v>
          </cell>
          <cell r="H441">
            <v>14</v>
          </cell>
          <cell r="Q441">
            <v>412.56</v>
          </cell>
        </row>
        <row r="442">
          <cell r="D442">
            <v>45694</v>
          </cell>
          <cell r="G442">
            <v>12</v>
          </cell>
          <cell r="H442">
            <v>9</v>
          </cell>
          <cell r="Q442">
            <v>106.62</v>
          </cell>
        </row>
        <row r="443">
          <cell r="D443">
            <v>45694</v>
          </cell>
          <cell r="G443">
            <v>14</v>
          </cell>
          <cell r="H443">
            <v>14</v>
          </cell>
          <cell r="Q443">
            <v>39.35</v>
          </cell>
        </row>
        <row r="444">
          <cell r="D444">
            <v>45695</v>
          </cell>
          <cell r="G444">
            <v>3.5</v>
          </cell>
          <cell r="H444" t="str">
            <v>رول</v>
          </cell>
          <cell r="Q444">
            <v>147.82</v>
          </cell>
        </row>
        <row r="445">
          <cell r="D445">
            <v>45695</v>
          </cell>
          <cell r="G445">
            <v>3.5</v>
          </cell>
          <cell r="H445" t="str">
            <v>رول</v>
          </cell>
          <cell r="Q445">
            <v>174.14</v>
          </cell>
        </row>
        <row r="446">
          <cell r="D446">
            <v>45695</v>
          </cell>
          <cell r="G446">
            <v>4</v>
          </cell>
          <cell r="H446" t="str">
            <v>رول</v>
          </cell>
          <cell r="Q446">
            <v>179.86</v>
          </cell>
        </row>
        <row r="447">
          <cell r="D447">
            <v>45695</v>
          </cell>
          <cell r="G447">
            <v>4</v>
          </cell>
          <cell r="H447" t="str">
            <v>رول</v>
          </cell>
          <cell r="Q447">
            <v>188.01999999999998</v>
          </cell>
        </row>
        <row r="448">
          <cell r="D448">
            <v>45695</v>
          </cell>
          <cell r="G448">
            <v>7</v>
          </cell>
          <cell r="H448" t="str">
            <v>رول</v>
          </cell>
          <cell r="Q448">
            <v>307.41000000000008</v>
          </cell>
        </row>
        <row r="449">
          <cell r="D449">
            <v>45695</v>
          </cell>
          <cell r="G449">
            <v>7</v>
          </cell>
          <cell r="H449" t="str">
            <v>رول</v>
          </cell>
          <cell r="Q449">
            <v>337.36999999999995</v>
          </cell>
        </row>
        <row r="450">
          <cell r="D450">
            <v>45695</v>
          </cell>
          <cell r="G450">
            <v>16</v>
          </cell>
          <cell r="H450" t="str">
            <v>5.5-6</v>
          </cell>
          <cell r="Q450">
            <v>65.88000000000001</v>
          </cell>
        </row>
        <row r="451">
          <cell r="D451">
            <v>45695</v>
          </cell>
          <cell r="G451">
            <v>16</v>
          </cell>
          <cell r="H451" t="str">
            <v>5.5-6</v>
          </cell>
          <cell r="Q451">
            <v>566.04999999999995</v>
          </cell>
        </row>
        <row r="452">
          <cell r="D452">
            <v>45696</v>
          </cell>
          <cell r="G452">
            <v>3.5</v>
          </cell>
          <cell r="H452">
            <v>5</v>
          </cell>
          <cell r="Q452">
            <v>161.1</v>
          </cell>
        </row>
        <row r="453">
          <cell r="D453">
            <v>45696</v>
          </cell>
          <cell r="G453">
            <v>3.5</v>
          </cell>
          <cell r="H453">
            <v>5</v>
          </cell>
          <cell r="Q453">
            <v>124.59</v>
          </cell>
        </row>
        <row r="454">
          <cell r="D454">
            <v>45696</v>
          </cell>
          <cell r="G454">
            <v>4</v>
          </cell>
          <cell r="H454" t="str">
            <v>رول</v>
          </cell>
          <cell r="Q454">
            <v>184.39999999999998</v>
          </cell>
        </row>
        <row r="455">
          <cell r="D455">
            <v>45696</v>
          </cell>
          <cell r="G455">
            <v>4</v>
          </cell>
          <cell r="H455" t="str">
            <v>رول</v>
          </cell>
          <cell r="Q455">
            <v>146.14999999999998</v>
          </cell>
        </row>
        <row r="456">
          <cell r="D456">
            <v>45696</v>
          </cell>
          <cell r="G456">
            <v>7</v>
          </cell>
          <cell r="H456" t="str">
            <v>رول</v>
          </cell>
          <cell r="Q456">
            <v>324.72000000000003</v>
          </cell>
        </row>
        <row r="457">
          <cell r="D457">
            <v>45696</v>
          </cell>
          <cell r="G457">
            <v>7</v>
          </cell>
          <cell r="H457" t="str">
            <v>رول</v>
          </cell>
          <cell r="Q457">
            <v>276.33</v>
          </cell>
        </row>
        <row r="458">
          <cell r="D458">
            <v>45696</v>
          </cell>
          <cell r="G458">
            <v>16</v>
          </cell>
          <cell r="H458" t="str">
            <v>5.5-6</v>
          </cell>
          <cell r="Q458">
            <v>640.51</v>
          </cell>
        </row>
        <row r="459">
          <cell r="D459">
            <v>45696</v>
          </cell>
          <cell r="G459">
            <v>16</v>
          </cell>
          <cell r="H459" t="str">
            <v>5.5-6</v>
          </cell>
          <cell r="Q459">
            <v>566.18999999999994</v>
          </cell>
        </row>
        <row r="460">
          <cell r="D460">
            <v>45698</v>
          </cell>
          <cell r="G460">
            <v>3</v>
          </cell>
          <cell r="H460" t="str">
            <v>رول</v>
          </cell>
          <cell r="Q460">
            <v>13.7</v>
          </cell>
        </row>
        <row r="461">
          <cell r="D461">
            <v>45698</v>
          </cell>
          <cell r="G461">
            <v>2.5</v>
          </cell>
          <cell r="H461" t="str">
            <v>رول</v>
          </cell>
          <cell r="Q461">
            <v>74.31</v>
          </cell>
        </row>
        <row r="462">
          <cell r="D462">
            <v>45698</v>
          </cell>
          <cell r="G462">
            <v>2.5</v>
          </cell>
          <cell r="H462" t="str">
            <v>رول</v>
          </cell>
          <cell r="Q462">
            <v>118</v>
          </cell>
        </row>
        <row r="463">
          <cell r="D463">
            <v>45698</v>
          </cell>
          <cell r="G463">
            <v>4</v>
          </cell>
          <cell r="H463" t="str">
            <v>رول</v>
          </cell>
          <cell r="Q463">
            <v>145.10999999999999</v>
          </cell>
        </row>
        <row r="464">
          <cell r="D464">
            <v>45698</v>
          </cell>
          <cell r="G464">
            <v>4</v>
          </cell>
          <cell r="H464" t="str">
            <v>رول</v>
          </cell>
          <cell r="Q464">
            <v>177.19499999999999</v>
          </cell>
        </row>
        <row r="465">
          <cell r="D465">
            <v>45698</v>
          </cell>
          <cell r="G465">
            <v>6</v>
          </cell>
          <cell r="H465" t="str">
            <v>رول</v>
          </cell>
          <cell r="Q465">
            <v>239.25</v>
          </cell>
        </row>
        <row r="466">
          <cell r="D466">
            <v>45698</v>
          </cell>
          <cell r="G466">
            <v>6</v>
          </cell>
          <cell r="H466" t="str">
            <v>رول</v>
          </cell>
          <cell r="Q466">
            <v>281.48</v>
          </cell>
        </row>
        <row r="467">
          <cell r="D467">
            <v>45698</v>
          </cell>
          <cell r="G467">
            <v>16.2</v>
          </cell>
          <cell r="H467" t="str">
            <v>-</v>
          </cell>
          <cell r="Q467">
            <v>441.63</v>
          </cell>
        </row>
        <row r="468">
          <cell r="D468">
            <v>45698</v>
          </cell>
          <cell r="G468">
            <v>16.2</v>
          </cell>
          <cell r="H468" t="str">
            <v>-</v>
          </cell>
          <cell r="Q468">
            <v>600.29999999999995</v>
          </cell>
        </row>
        <row r="469">
          <cell r="D469">
            <v>45698</v>
          </cell>
          <cell r="G469">
            <v>12</v>
          </cell>
          <cell r="H469" t="str">
            <v>رول</v>
          </cell>
          <cell r="Q469">
            <v>393.14000000000004</v>
          </cell>
        </row>
        <row r="470">
          <cell r="D470">
            <v>45698</v>
          </cell>
          <cell r="G470">
            <v>12</v>
          </cell>
          <cell r="H470" t="str">
            <v>رول</v>
          </cell>
          <cell r="Q470">
            <v>539.75</v>
          </cell>
        </row>
        <row r="471">
          <cell r="D471">
            <v>45699</v>
          </cell>
          <cell r="G471">
            <v>2.5</v>
          </cell>
          <cell r="H471" t="str">
            <v>رول</v>
          </cell>
          <cell r="Q471">
            <v>132.83999999999997</v>
          </cell>
        </row>
        <row r="472">
          <cell r="D472">
            <v>45699</v>
          </cell>
          <cell r="G472">
            <v>2.5</v>
          </cell>
          <cell r="H472" t="str">
            <v>رول</v>
          </cell>
          <cell r="Q472">
            <v>138.07</v>
          </cell>
        </row>
        <row r="473">
          <cell r="D473">
            <v>45699</v>
          </cell>
          <cell r="G473">
            <v>4</v>
          </cell>
          <cell r="H473" t="str">
            <v>رول</v>
          </cell>
          <cell r="Q473">
            <v>153.56</v>
          </cell>
        </row>
        <row r="474">
          <cell r="D474">
            <v>45699</v>
          </cell>
          <cell r="G474">
            <v>4</v>
          </cell>
          <cell r="H474">
            <v>4.5</v>
          </cell>
          <cell r="Q474">
            <v>37.950000000000003</v>
          </cell>
        </row>
        <row r="475">
          <cell r="D475">
            <v>45699</v>
          </cell>
          <cell r="G475">
            <v>4</v>
          </cell>
          <cell r="H475">
            <v>4.5</v>
          </cell>
          <cell r="Q475">
            <v>168.60000000000002</v>
          </cell>
        </row>
        <row r="476">
          <cell r="D476">
            <v>45699</v>
          </cell>
          <cell r="G476">
            <v>6</v>
          </cell>
          <cell r="H476" t="str">
            <v>رول</v>
          </cell>
          <cell r="Q476">
            <v>310.52999999999997</v>
          </cell>
        </row>
        <row r="477">
          <cell r="D477">
            <v>45699</v>
          </cell>
          <cell r="G477">
            <v>6</v>
          </cell>
          <cell r="H477" t="str">
            <v>رول</v>
          </cell>
          <cell r="Q477">
            <v>305.38000000000005</v>
          </cell>
        </row>
        <row r="478">
          <cell r="D478">
            <v>45699</v>
          </cell>
          <cell r="G478">
            <v>16.2</v>
          </cell>
          <cell r="H478" t="str">
            <v>-</v>
          </cell>
          <cell r="Q478">
            <v>786.27</v>
          </cell>
        </row>
        <row r="479">
          <cell r="D479">
            <v>45699</v>
          </cell>
          <cell r="G479">
            <v>16.2</v>
          </cell>
          <cell r="H479" t="str">
            <v>-</v>
          </cell>
          <cell r="Q479">
            <v>730.78000000000009</v>
          </cell>
        </row>
        <row r="480">
          <cell r="D480">
            <v>45699</v>
          </cell>
          <cell r="G480">
            <v>12</v>
          </cell>
          <cell r="H480" t="str">
            <v>رول</v>
          </cell>
          <cell r="Q480">
            <v>593.8599999999999</v>
          </cell>
        </row>
        <row r="481">
          <cell r="D481">
            <v>45699</v>
          </cell>
          <cell r="G481">
            <v>12</v>
          </cell>
          <cell r="H481" t="str">
            <v>رول</v>
          </cell>
          <cell r="Q481">
            <v>324.11</v>
          </cell>
        </row>
        <row r="482">
          <cell r="D482">
            <v>45699</v>
          </cell>
          <cell r="G482">
            <v>8</v>
          </cell>
          <cell r="H482">
            <v>4.5</v>
          </cell>
          <cell r="Q482">
            <v>289.37</v>
          </cell>
        </row>
        <row r="483">
          <cell r="D483">
            <v>45700</v>
          </cell>
          <cell r="G483">
            <v>2.5</v>
          </cell>
          <cell r="H483" t="str">
            <v>رول</v>
          </cell>
          <cell r="Q483">
            <v>131.19999999999999</v>
          </cell>
        </row>
        <row r="484">
          <cell r="D484">
            <v>45700</v>
          </cell>
          <cell r="G484">
            <v>2.5</v>
          </cell>
          <cell r="H484" t="str">
            <v>رول</v>
          </cell>
          <cell r="Q484">
            <v>133.55000000000001</v>
          </cell>
        </row>
        <row r="485">
          <cell r="D485">
            <v>45700</v>
          </cell>
          <cell r="G485">
            <v>5</v>
          </cell>
          <cell r="H485">
            <v>4.5</v>
          </cell>
          <cell r="Q485">
            <v>173.82</v>
          </cell>
        </row>
        <row r="486">
          <cell r="D486">
            <v>45700</v>
          </cell>
          <cell r="G486">
            <v>5</v>
          </cell>
          <cell r="H486">
            <v>4.5</v>
          </cell>
          <cell r="Q486">
            <v>26.71</v>
          </cell>
        </row>
        <row r="487">
          <cell r="D487">
            <v>45700</v>
          </cell>
          <cell r="G487">
            <v>5</v>
          </cell>
          <cell r="H487" t="str">
            <v>رول</v>
          </cell>
          <cell r="Q487">
            <v>147.51000000000002</v>
          </cell>
        </row>
        <row r="488">
          <cell r="D488">
            <v>45700</v>
          </cell>
          <cell r="G488">
            <v>6</v>
          </cell>
          <cell r="H488" t="str">
            <v>رول</v>
          </cell>
          <cell r="Q488">
            <v>285.75</v>
          </cell>
        </row>
        <row r="489">
          <cell r="D489">
            <v>45700</v>
          </cell>
          <cell r="G489">
            <v>6</v>
          </cell>
          <cell r="H489" t="str">
            <v>رول</v>
          </cell>
          <cell r="Q489">
            <v>306</v>
          </cell>
        </row>
        <row r="490">
          <cell r="D490">
            <v>45700</v>
          </cell>
          <cell r="G490">
            <v>27</v>
          </cell>
          <cell r="H490">
            <v>6</v>
          </cell>
          <cell r="Q490">
            <v>184.58999999999997</v>
          </cell>
        </row>
        <row r="491">
          <cell r="D491">
            <v>45700</v>
          </cell>
          <cell r="G491">
            <v>16</v>
          </cell>
          <cell r="H491" t="str">
            <v>رول</v>
          </cell>
          <cell r="Q491">
            <v>249.42000000000002</v>
          </cell>
        </row>
        <row r="492">
          <cell r="D492">
            <v>45700</v>
          </cell>
          <cell r="G492">
            <v>16.2</v>
          </cell>
          <cell r="H492" t="str">
            <v>-</v>
          </cell>
          <cell r="Q492">
            <v>322.31</v>
          </cell>
        </row>
        <row r="493">
          <cell r="D493">
            <v>45700</v>
          </cell>
          <cell r="G493">
            <v>16.2</v>
          </cell>
          <cell r="H493" t="str">
            <v>-</v>
          </cell>
          <cell r="Q493">
            <v>83.36</v>
          </cell>
        </row>
        <row r="494">
          <cell r="D494">
            <v>45700</v>
          </cell>
          <cell r="G494">
            <v>16</v>
          </cell>
          <cell r="H494" t="str">
            <v>-</v>
          </cell>
          <cell r="Q494">
            <v>713.08999999999992</v>
          </cell>
        </row>
        <row r="495">
          <cell r="D495">
            <v>45700</v>
          </cell>
          <cell r="G495">
            <v>8</v>
          </cell>
          <cell r="H495">
            <v>4.5</v>
          </cell>
          <cell r="Q495">
            <v>103.1</v>
          </cell>
        </row>
        <row r="496">
          <cell r="D496">
            <v>45700</v>
          </cell>
          <cell r="G496">
            <v>8</v>
          </cell>
          <cell r="H496" t="str">
            <v>رول</v>
          </cell>
          <cell r="Q496">
            <v>373.66</v>
          </cell>
        </row>
        <row r="497">
          <cell r="D497">
            <v>45700</v>
          </cell>
          <cell r="G497">
            <v>8</v>
          </cell>
          <cell r="H497" t="str">
            <v>رول</v>
          </cell>
          <cell r="Q497">
            <v>463.02</v>
          </cell>
        </row>
        <row r="498">
          <cell r="D498">
            <v>45701</v>
          </cell>
          <cell r="G498">
            <v>2.5</v>
          </cell>
          <cell r="H498" t="str">
            <v>رول</v>
          </cell>
          <cell r="Q498">
            <v>52.95</v>
          </cell>
        </row>
        <row r="499">
          <cell r="D499">
            <v>45701</v>
          </cell>
          <cell r="G499">
            <v>3</v>
          </cell>
          <cell r="H499" t="str">
            <v>رول</v>
          </cell>
          <cell r="Q499">
            <v>95.259999999999991</v>
          </cell>
        </row>
        <row r="500">
          <cell r="D500">
            <v>45701</v>
          </cell>
          <cell r="G500">
            <v>3</v>
          </cell>
          <cell r="H500" t="str">
            <v>رول</v>
          </cell>
          <cell r="Q500">
            <v>142.30000000000001</v>
          </cell>
        </row>
        <row r="501">
          <cell r="D501">
            <v>45701</v>
          </cell>
          <cell r="G501">
            <v>4</v>
          </cell>
          <cell r="H501" t="str">
            <v>رول</v>
          </cell>
          <cell r="Q501">
            <v>81.78</v>
          </cell>
        </row>
        <row r="502">
          <cell r="D502">
            <v>45701</v>
          </cell>
          <cell r="G502">
            <v>5</v>
          </cell>
          <cell r="H502" t="str">
            <v>رول</v>
          </cell>
          <cell r="Q502">
            <v>102.25</v>
          </cell>
        </row>
        <row r="503">
          <cell r="D503">
            <v>45701</v>
          </cell>
          <cell r="G503">
            <v>4</v>
          </cell>
          <cell r="H503" t="str">
            <v>رول</v>
          </cell>
          <cell r="Q503">
            <v>175.34</v>
          </cell>
        </row>
        <row r="504">
          <cell r="D504">
            <v>45701</v>
          </cell>
          <cell r="G504">
            <v>6</v>
          </cell>
          <cell r="H504" t="str">
            <v>رول</v>
          </cell>
          <cell r="Q504">
            <v>300.67999999999995</v>
          </cell>
        </row>
        <row r="505">
          <cell r="D505">
            <v>45701</v>
          </cell>
          <cell r="G505">
            <v>6</v>
          </cell>
          <cell r="H505" t="str">
            <v>رول</v>
          </cell>
          <cell r="Q505">
            <v>320.97000000000003</v>
          </cell>
        </row>
        <row r="506">
          <cell r="D506">
            <v>45701</v>
          </cell>
          <cell r="G506">
            <v>16</v>
          </cell>
          <cell r="H506" t="str">
            <v>-</v>
          </cell>
          <cell r="Q506">
            <v>56.25</v>
          </cell>
        </row>
        <row r="507">
          <cell r="D507">
            <v>45701</v>
          </cell>
          <cell r="G507">
            <v>16</v>
          </cell>
          <cell r="H507">
            <v>6</v>
          </cell>
          <cell r="Q507">
            <v>826.1400000000001</v>
          </cell>
        </row>
        <row r="508">
          <cell r="D508">
            <v>45701</v>
          </cell>
          <cell r="G508">
            <v>16</v>
          </cell>
          <cell r="H508">
            <v>6</v>
          </cell>
          <cell r="Q508">
            <v>496.44000000000005</v>
          </cell>
        </row>
        <row r="509">
          <cell r="D509">
            <v>45701</v>
          </cell>
          <cell r="G509">
            <v>16</v>
          </cell>
          <cell r="H509">
            <v>12</v>
          </cell>
          <cell r="Q509">
            <v>351.15000000000003</v>
          </cell>
        </row>
        <row r="510">
          <cell r="D510">
            <v>45701</v>
          </cell>
          <cell r="G510">
            <v>9</v>
          </cell>
          <cell r="H510" t="str">
            <v>رول</v>
          </cell>
          <cell r="Q510">
            <v>483.71999999999997</v>
          </cell>
        </row>
        <row r="511">
          <cell r="D511">
            <v>45701</v>
          </cell>
          <cell r="G511">
            <v>9</v>
          </cell>
          <cell r="H511" t="str">
            <v>رول</v>
          </cell>
          <cell r="Q511">
            <v>490.62</v>
          </cell>
        </row>
        <row r="512">
          <cell r="D512">
            <v>45702</v>
          </cell>
          <cell r="G512">
            <v>3</v>
          </cell>
          <cell r="H512" t="str">
            <v>رول</v>
          </cell>
          <cell r="Q512">
            <v>147.52000000000001</v>
          </cell>
        </row>
        <row r="513">
          <cell r="D513">
            <v>45702</v>
          </cell>
          <cell r="G513">
            <v>3</v>
          </cell>
          <cell r="H513" t="str">
            <v>رول</v>
          </cell>
          <cell r="Q513">
            <v>156.25</v>
          </cell>
        </row>
        <row r="514">
          <cell r="D514">
            <v>45702</v>
          </cell>
          <cell r="G514">
            <v>4</v>
          </cell>
          <cell r="H514" t="str">
            <v>رول</v>
          </cell>
          <cell r="Q514">
            <v>183.75000000000003</v>
          </cell>
        </row>
        <row r="515">
          <cell r="D515">
            <v>45702</v>
          </cell>
          <cell r="G515">
            <v>4</v>
          </cell>
          <cell r="H515" t="str">
            <v>رول</v>
          </cell>
          <cell r="Q515">
            <v>172.76</v>
          </cell>
        </row>
        <row r="516">
          <cell r="D516">
            <v>45702</v>
          </cell>
          <cell r="G516">
            <v>6</v>
          </cell>
          <cell r="H516" t="str">
            <v>رول</v>
          </cell>
          <cell r="Q516">
            <v>307.72000000000003</v>
          </cell>
        </row>
        <row r="517">
          <cell r="D517">
            <v>45702</v>
          </cell>
          <cell r="G517">
            <v>6</v>
          </cell>
          <cell r="H517" t="str">
            <v>رول</v>
          </cell>
          <cell r="Q517">
            <v>279.97000000000003</v>
          </cell>
        </row>
        <row r="518">
          <cell r="D518">
            <v>45702</v>
          </cell>
          <cell r="G518">
            <v>20</v>
          </cell>
          <cell r="H518">
            <v>6</v>
          </cell>
          <cell r="Q518">
            <v>75.900000000000006</v>
          </cell>
        </row>
        <row r="519">
          <cell r="D519">
            <v>45702</v>
          </cell>
          <cell r="G519">
            <v>18</v>
          </cell>
          <cell r="H519" t="str">
            <v>5-5.5</v>
          </cell>
          <cell r="Q519">
            <v>740.86</v>
          </cell>
        </row>
        <row r="520">
          <cell r="D520">
            <v>45702</v>
          </cell>
          <cell r="G520">
            <v>18</v>
          </cell>
          <cell r="H520" t="str">
            <v>5-5.5</v>
          </cell>
          <cell r="Q520">
            <v>347.08</v>
          </cell>
        </row>
        <row r="521">
          <cell r="D521">
            <v>45702</v>
          </cell>
          <cell r="G521">
            <v>20</v>
          </cell>
          <cell r="H521" t="str">
            <v>5-5.5</v>
          </cell>
          <cell r="Q521">
            <v>498.43000000000006</v>
          </cell>
        </row>
        <row r="522">
          <cell r="D522">
            <v>45702</v>
          </cell>
          <cell r="G522">
            <v>9</v>
          </cell>
          <cell r="H522" t="str">
            <v>رول</v>
          </cell>
          <cell r="Q522">
            <v>513.82000000000005</v>
          </cell>
        </row>
        <row r="523">
          <cell r="D523">
            <v>45702</v>
          </cell>
          <cell r="G523">
            <v>9</v>
          </cell>
          <cell r="H523" t="str">
            <v>رول</v>
          </cell>
          <cell r="Q523">
            <v>390.88</v>
          </cell>
        </row>
        <row r="524">
          <cell r="D524">
            <v>45703</v>
          </cell>
          <cell r="G524">
            <v>3</v>
          </cell>
          <cell r="H524" t="str">
            <v>رول</v>
          </cell>
          <cell r="Q524">
            <v>105.05</v>
          </cell>
        </row>
        <row r="525">
          <cell r="D525">
            <v>45703</v>
          </cell>
          <cell r="G525">
            <v>2.5</v>
          </cell>
          <cell r="H525">
            <v>5</v>
          </cell>
          <cell r="Q525">
            <v>38.94</v>
          </cell>
        </row>
        <row r="526">
          <cell r="D526">
            <v>45703</v>
          </cell>
          <cell r="G526">
            <v>2.5</v>
          </cell>
          <cell r="H526">
            <v>5</v>
          </cell>
          <cell r="Q526">
            <v>128.53</v>
          </cell>
        </row>
        <row r="527">
          <cell r="D527">
            <v>45703</v>
          </cell>
          <cell r="G527">
            <v>4</v>
          </cell>
          <cell r="H527" t="str">
            <v>رول</v>
          </cell>
          <cell r="Q527">
            <v>181.37000000000003</v>
          </cell>
        </row>
        <row r="528">
          <cell r="D528">
            <v>45703</v>
          </cell>
          <cell r="G528">
            <v>4</v>
          </cell>
          <cell r="H528" t="str">
            <v>رول</v>
          </cell>
          <cell r="Q528">
            <v>151.92000000000002</v>
          </cell>
        </row>
        <row r="529">
          <cell r="D529">
            <v>45703</v>
          </cell>
          <cell r="G529">
            <v>6</v>
          </cell>
          <cell r="H529" t="str">
            <v>رول</v>
          </cell>
          <cell r="Q529">
            <v>293.73</v>
          </cell>
        </row>
        <row r="530">
          <cell r="D530">
            <v>45703</v>
          </cell>
          <cell r="G530">
            <v>6</v>
          </cell>
          <cell r="H530" t="str">
            <v>رول</v>
          </cell>
          <cell r="Q530">
            <v>282.62</v>
          </cell>
        </row>
        <row r="531">
          <cell r="D531">
            <v>45703</v>
          </cell>
          <cell r="G531">
            <v>20</v>
          </cell>
          <cell r="H531" t="str">
            <v>5-5.5</v>
          </cell>
          <cell r="Q531">
            <v>102.67</v>
          </cell>
        </row>
        <row r="532">
          <cell r="D532">
            <v>45703</v>
          </cell>
          <cell r="G532">
            <v>18</v>
          </cell>
          <cell r="H532">
            <v>12</v>
          </cell>
          <cell r="Q532">
            <v>726.75999999999988</v>
          </cell>
        </row>
        <row r="533">
          <cell r="D533">
            <v>45703</v>
          </cell>
          <cell r="G533">
            <v>18</v>
          </cell>
          <cell r="H533">
            <v>12</v>
          </cell>
          <cell r="Q533">
            <v>361.43</v>
          </cell>
        </row>
        <row r="534">
          <cell r="D534">
            <v>45703</v>
          </cell>
          <cell r="G534">
            <v>20</v>
          </cell>
          <cell r="H534" t="str">
            <v>5-5.5</v>
          </cell>
          <cell r="Q534">
            <v>433.05999999999995</v>
          </cell>
        </row>
        <row r="535">
          <cell r="D535">
            <v>45704</v>
          </cell>
          <cell r="G535">
            <v>2.5</v>
          </cell>
          <cell r="H535">
            <v>5</v>
          </cell>
          <cell r="Q535">
            <v>158.66</v>
          </cell>
        </row>
        <row r="536">
          <cell r="D536">
            <v>45704</v>
          </cell>
          <cell r="G536">
            <v>2.5</v>
          </cell>
          <cell r="H536">
            <v>5</v>
          </cell>
          <cell r="Q536">
            <v>145.59</v>
          </cell>
        </row>
        <row r="537">
          <cell r="D537">
            <v>45704</v>
          </cell>
          <cell r="G537">
            <v>4</v>
          </cell>
          <cell r="H537" t="str">
            <v>رول</v>
          </cell>
          <cell r="Q537">
            <v>161.76999999999998</v>
          </cell>
        </row>
        <row r="538">
          <cell r="D538">
            <v>45704</v>
          </cell>
          <cell r="G538">
            <v>4</v>
          </cell>
          <cell r="H538" t="str">
            <v>رول</v>
          </cell>
          <cell r="Q538">
            <v>184.68</v>
          </cell>
        </row>
        <row r="539">
          <cell r="D539">
            <v>45704</v>
          </cell>
          <cell r="G539">
            <v>6</v>
          </cell>
          <cell r="H539" t="str">
            <v>رول</v>
          </cell>
          <cell r="Q539">
            <v>272.15000000000003</v>
          </cell>
        </row>
        <row r="540">
          <cell r="D540">
            <v>45704</v>
          </cell>
          <cell r="G540">
            <v>6</v>
          </cell>
          <cell r="H540" t="str">
            <v>رول</v>
          </cell>
          <cell r="Q540">
            <v>308.34000000000003</v>
          </cell>
        </row>
        <row r="541">
          <cell r="D541">
            <v>45704</v>
          </cell>
          <cell r="G541">
            <v>20</v>
          </cell>
          <cell r="H541" t="str">
            <v>5-5.5</v>
          </cell>
          <cell r="Q541">
            <v>172.99</v>
          </cell>
        </row>
        <row r="542">
          <cell r="D542">
            <v>45704</v>
          </cell>
          <cell r="G542">
            <v>24</v>
          </cell>
          <cell r="H542" t="str">
            <v>5-5.5</v>
          </cell>
          <cell r="Q542">
            <v>664.06</v>
          </cell>
        </row>
        <row r="543">
          <cell r="D543">
            <v>45704</v>
          </cell>
          <cell r="G543">
            <v>24</v>
          </cell>
          <cell r="H543" t="str">
            <v>5-5.5</v>
          </cell>
          <cell r="Q543">
            <v>797.55</v>
          </cell>
        </row>
        <row r="544">
          <cell r="D544">
            <v>45704</v>
          </cell>
          <cell r="G544">
            <v>8</v>
          </cell>
          <cell r="H544" t="str">
            <v>رول</v>
          </cell>
          <cell r="Q544">
            <v>241.42500000000001</v>
          </cell>
        </row>
        <row r="545">
          <cell r="D545">
            <v>45704</v>
          </cell>
          <cell r="G545">
            <v>8</v>
          </cell>
          <cell r="H545" t="str">
            <v>رول</v>
          </cell>
          <cell r="Q545">
            <v>500.22</v>
          </cell>
        </row>
        <row r="546">
          <cell r="D546">
            <v>45705</v>
          </cell>
          <cell r="G546">
            <v>2.5</v>
          </cell>
          <cell r="H546">
            <v>5</v>
          </cell>
          <cell r="Q546">
            <v>146.16</v>
          </cell>
        </row>
        <row r="547">
          <cell r="D547">
            <v>45705</v>
          </cell>
          <cell r="G547">
            <v>2</v>
          </cell>
          <cell r="H547">
            <v>5</v>
          </cell>
          <cell r="Q547">
            <v>132.57</v>
          </cell>
        </row>
        <row r="548">
          <cell r="D548">
            <v>45705</v>
          </cell>
          <cell r="G548">
            <v>4</v>
          </cell>
          <cell r="H548" t="str">
            <v>رول</v>
          </cell>
          <cell r="Q548">
            <v>179.59999999999997</v>
          </cell>
        </row>
        <row r="549">
          <cell r="D549">
            <v>45705</v>
          </cell>
          <cell r="G549">
            <v>4</v>
          </cell>
          <cell r="H549" t="str">
            <v>رول</v>
          </cell>
          <cell r="Q549">
            <v>171.42000000000002</v>
          </cell>
        </row>
        <row r="550">
          <cell r="D550">
            <v>45705</v>
          </cell>
          <cell r="G550">
            <v>6</v>
          </cell>
          <cell r="H550" t="str">
            <v>رول</v>
          </cell>
          <cell r="Q550">
            <v>282.62</v>
          </cell>
        </row>
        <row r="551">
          <cell r="D551">
            <v>45705</v>
          </cell>
          <cell r="G551">
            <v>6</v>
          </cell>
          <cell r="H551" t="str">
            <v>رول</v>
          </cell>
          <cell r="Q551">
            <v>280.40000000000003</v>
          </cell>
        </row>
        <row r="552">
          <cell r="D552">
            <v>45705</v>
          </cell>
          <cell r="G552">
            <v>19</v>
          </cell>
          <cell r="H552" t="str">
            <v>رول</v>
          </cell>
          <cell r="Q552">
            <v>105.51</v>
          </cell>
        </row>
        <row r="553">
          <cell r="D553">
            <v>45705</v>
          </cell>
          <cell r="G553">
            <v>18</v>
          </cell>
          <cell r="H553">
            <v>12</v>
          </cell>
          <cell r="Q553">
            <v>522.6</v>
          </cell>
        </row>
        <row r="554">
          <cell r="D554">
            <v>45705</v>
          </cell>
          <cell r="G554">
            <v>16.2</v>
          </cell>
          <cell r="H554" t="str">
            <v>-</v>
          </cell>
          <cell r="Q554">
            <v>208.76999999999998</v>
          </cell>
        </row>
        <row r="555">
          <cell r="D555">
            <v>45705</v>
          </cell>
          <cell r="G555">
            <v>16.2</v>
          </cell>
          <cell r="H555" t="str">
            <v>-</v>
          </cell>
          <cell r="Q555">
            <v>882.11</v>
          </cell>
        </row>
        <row r="556">
          <cell r="D556">
            <v>45705</v>
          </cell>
          <cell r="G556">
            <v>9</v>
          </cell>
          <cell r="H556" t="str">
            <v>رول</v>
          </cell>
          <cell r="Q556">
            <v>483.0200000000001</v>
          </cell>
        </row>
        <row r="557">
          <cell r="D557">
            <v>45705</v>
          </cell>
          <cell r="G557">
            <v>9</v>
          </cell>
          <cell r="H557" t="str">
            <v>رول</v>
          </cell>
          <cell r="Q557">
            <v>539.17999999999995</v>
          </cell>
        </row>
        <row r="558">
          <cell r="D558">
            <v>45706</v>
          </cell>
          <cell r="G558">
            <v>2</v>
          </cell>
          <cell r="H558">
            <v>5</v>
          </cell>
          <cell r="Q558">
            <v>111.45</v>
          </cell>
        </row>
        <row r="559">
          <cell r="D559">
            <v>45706</v>
          </cell>
          <cell r="G559">
            <v>2</v>
          </cell>
          <cell r="H559">
            <v>5</v>
          </cell>
          <cell r="Q559">
            <v>152.32999999999998</v>
          </cell>
        </row>
        <row r="560">
          <cell r="D560">
            <v>45706</v>
          </cell>
          <cell r="G560">
            <v>4</v>
          </cell>
          <cell r="H560" t="str">
            <v>رول</v>
          </cell>
          <cell r="Q560">
            <v>147.49</v>
          </cell>
        </row>
        <row r="561">
          <cell r="D561">
            <v>45706</v>
          </cell>
          <cell r="G561">
            <v>4</v>
          </cell>
          <cell r="H561" t="str">
            <v>رول</v>
          </cell>
          <cell r="Q561">
            <v>171.87000000000003</v>
          </cell>
        </row>
        <row r="562">
          <cell r="D562">
            <v>45706</v>
          </cell>
          <cell r="G562">
            <v>6</v>
          </cell>
          <cell r="H562" t="str">
            <v>رول</v>
          </cell>
          <cell r="Q562">
            <v>199.72999999999996</v>
          </cell>
        </row>
        <row r="563">
          <cell r="D563">
            <v>45706</v>
          </cell>
          <cell r="G563">
            <v>6</v>
          </cell>
          <cell r="H563">
            <v>10</v>
          </cell>
          <cell r="Q563">
            <v>86.789999999999992</v>
          </cell>
        </row>
        <row r="564">
          <cell r="D564">
            <v>45706</v>
          </cell>
          <cell r="G564">
            <v>6</v>
          </cell>
          <cell r="H564">
            <v>10</v>
          </cell>
          <cell r="Q564">
            <v>27.04</v>
          </cell>
        </row>
        <row r="565">
          <cell r="D565">
            <v>45706</v>
          </cell>
          <cell r="G565">
            <v>6</v>
          </cell>
          <cell r="H565" t="str">
            <v>رول</v>
          </cell>
          <cell r="Q565">
            <v>239.52</v>
          </cell>
        </row>
        <row r="566">
          <cell r="D566">
            <v>45706</v>
          </cell>
          <cell r="G566">
            <v>16.2</v>
          </cell>
          <cell r="H566" t="str">
            <v>-</v>
          </cell>
          <cell r="Q566">
            <v>853.66000000000008</v>
          </cell>
        </row>
        <row r="567">
          <cell r="D567">
            <v>45706</v>
          </cell>
          <cell r="G567">
            <v>16.2</v>
          </cell>
          <cell r="H567" t="str">
            <v>-</v>
          </cell>
          <cell r="Q567">
            <v>277.98</v>
          </cell>
        </row>
        <row r="568">
          <cell r="D568">
            <v>45706</v>
          </cell>
          <cell r="G568" t="str">
            <v>-</v>
          </cell>
          <cell r="H568" t="str">
            <v>-</v>
          </cell>
          <cell r="Q568">
            <v>530.1</v>
          </cell>
        </row>
        <row r="569">
          <cell r="D569">
            <v>45706</v>
          </cell>
          <cell r="G569">
            <v>9</v>
          </cell>
          <cell r="H569" t="str">
            <v>رول</v>
          </cell>
          <cell r="Q569">
            <v>412.08</v>
          </cell>
        </row>
        <row r="570">
          <cell r="D570">
            <v>45706</v>
          </cell>
          <cell r="G570">
            <v>8</v>
          </cell>
          <cell r="H570" t="str">
            <v>6-6.5</v>
          </cell>
          <cell r="Q570">
            <v>77.34</v>
          </cell>
        </row>
        <row r="571">
          <cell r="D571">
            <v>45706</v>
          </cell>
          <cell r="G571">
            <v>8</v>
          </cell>
          <cell r="H571" t="str">
            <v>6-6.5</v>
          </cell>
          <cell r="Q571">
            <v>497.82000000000005</v>
          </cell>
        </row>
        <row r="572">
          <cell r="D572">
            <v>45707</v>
          </cell>
          <cell r="G572">
            <v>2</v>
          </cell>
          <cell r="H572">
            <v>5</v>
          </cell>
          <cell r="Q572">
            <v>125.13000000000001</v>
          </cell>
        </row>
        <row r="573">
          <cell r="D573">
            <v>45707</v>
          </cell>
          <cell r="G573">
            <v>2</v>
          </cell>
          <cell r="H573">
            <v>5</v>
          </cell>
          <cell r="Q573">
            <v>120.08000000000001</v>
          </cell>
        </row>
        <row r="574">
          <cell r="D574">
            <v>45707</v>
          </cell>
          <cell r="G574">
            <v>4</v>
          </cell>
          <cell r="H574" t="str">
            <v>رول</v>
          </cell>
          <cell r="Q574">
            <v>183.61</v>
          </cell>
        </row>
        <row r="575">
          <cell r="D575">
            <v>45707</v>
          </cell>
          <cell r="G575">
            <v>4</v>
          </cell>
          <cell r="H575" t="str">
            <v>رول</v>
          </cell>
          <cell r="Q575">
            <v>177.35999999999999</v>
          </cell>
        </row>
        <row r="576">
          <cell r="D576">
            <v>45707</v>
          </cell>
          <cell r="G576">
            <v>6</v>
          </cell>
          <cell r="H576" t="str">
            <v>رول</v>
          </cell>
          <cell r="Q576">
            <v>264.43</v>
          </cell>
        </row>
        <row r="577">
          <cell r="D577">
            <v>45707</v>
          </cell>
          <cell r="G577">
            <v>6</v>
          </cell>
          <cell r="H577" t="str">
            <v>رول</v>
          </cell>
          <cell r="Q577">
            <v>258.64999999999998</v>
          </cell>
        </row>
        <row r="578">
          <cell r="D578">
            <v>45707</v>
          </cell>
          <cell r="G578">
            <v>28</v>
          </cell>
          <cell r="H578" t="str">
            <v>5-5.5</v>
          </cell>
          <cell r="Q578">
            <v>804.06</v>
          </cell>
        </row>
        <row r="579">
          <cell r="D579">
            <v>45707</v>
          </cell>
          <cell r="G579">
            <v>28</v>
          </cell>
          <cell r="H579" t="str">
            <v>5-5.5</v>
          </cell>
          <cell r="Q579">
            <v>135.78</v>
          </cell>
        </row>
        <row r="580">
          <cell r="D580">
            <v>45707</v>
          </cell>
          <cell r="G580" t="str">
            <v>28" شیٹ</v>
          </cell>
          <cell r="H580" t="str">
            <v>4-4.5/8-9</v>
          </cell>
          <cell r="Q580">
            <v>75.650000000000006</v>
          </cell>
        </row>
        <row r="581">
          <cell r="D581">
            <v>45707</v>
          </cell>
          <cell r="G581">
            <v>14</v>
          </cell>
          <cell r="H581" t="str">
            <v>11.5-12</v>
          </cell>
          <cell r="Q581">
            <v>528.04000000000008</v>
          </cell>
        </row>
        <row r="582">
          <cell r="D582">
            <v>45707</v>
          </cell>
          <cell r="G582">
            <v>8</v>
          </cell>
          <cell r="H582" t="str">
            <v>6-6.5</v>
          </cell>
          <cell r="Q582">
            <v>548.59999999999991</v>
          </cell>
        </row>
        <row r="583">
          <cell r="D583">
            <v>45707</v>
          </cell>
          <cell r="G583">
            <v>8</v>
          </cell>
          <cell r="H583" t="str">
            <v>6-6.5</v>
          </cell>
          <cell r="Q583">
            <v>486.35999999999996</v>
          </cell>
        </row>
        <row r="584">
          <cell r="D584">
            <v>45708</v>
          </cell>
          <cell r="G584">
            <v>2</v>
          </cell>
          <cell r="H584">
            <v>5</v>
          </cell>
          <cell r="Q584">
            <v>63.92</v>
          </cell>
        </row>
        <row r="585">
          <cell r="D585">
            <v>45708</v>
          </cell>
          <cell r="G585">
            <v>2</v>
          </cell>
          <cell r="H585">
            <v>5</v>
          </cell>
          <cell r="Q585">
            <v>90.809999999999988</v>
          </cell>
        </row>
        <row r="586">
          <cell r="D586">
            <v>45708</v>
          </cell>
          <cell r="G586">
            <v>2</v>
          </cell>
          <cell r="H586">
            <v>5</v>
          </cell>
          <cell r="Q586">
            <v>146.80000000000004</v>
          </cell>
        </row>
        <row r="587">
          <cell r="D587">
            <v>45708</v>
          </cell>
          <cell r="G587">
            <v>4</v>
          </cell>
          <cell r="H587" t="str">
            <v>رول</v>
          </cell>
          <cell r="Q587">
            <v>85.18</v>
          </cell>
        </row>
        <row r="588">
          <cell r="D588">
            <v>45708</v>
          </cell>
          <cell r="G588">
            <v>3.5</v>
          </cell>
          <cell r="H588" t="str">
            <v>رول</v>
          </cell>
          <cell r="Q588">
            <v>108.92999999999999</v>
          </cell>
        </row>
        <row r="589">
          <cell r="D589">
            <v>45708</v>
          </cell>
          <cell r="G589">
            <v>3.5</v>
          </cell>
          <cell r="H589" t="str">
            <v>رول</v>
          </cell>
          <cell r="Q589">
            <v>125.36999999999998</v>
          </cell>
        </row>
        <row r="590">
          <cell r="D590">
            <v>45708</v>
          </cell>
          <cell r="G590">
            <v>3</v>
          </cell>
          <cell r="H590" t="str">
            <v>رول</v>
          </cell>
          <cell r="Q590">
            <v>125.90999999999998</v>
          </cell>
        </row>
        <row r="591">
          <cell r="D591">
            <v>45708</v>
          </cell>
          <cell r="G591">
            <v>9</v>
          </cell>
          <cell r="H591" t="str">
            <v>رول</v>
          </cell>
          <cell r="Q591">
            <v>221.79</v>
          </cell>
        </row>
        <row r="592">
          <cell r="D592">
            <v>45708</v>
          </cell>
          <cell r="G592">
            <v>9</v>
          </cell>
          <cell r="H592" t="str">
            <v>رول</v>
          </cell>
          <cell r="Q592">
            <v>339.21</v>
          </cell>
        </row>
        <row r="593">
          <cell r="D593">
            <v>45708</v>
          </cell>
          <cell r="G593">
            <v>14</v>
          </cell>
          <cell r="H593" t="str">
            <v>11.5-12</v>
          </cell>
          <cell r="Q593">
            <v>524.82999999999993</v>
          </cell>
        </row>
        <row r="594">
          <cell r="D594">
            <v>45708</v>
          </cell>
          <cell r="G594">
            <v>12</v>
          </cell>
          <cell r="H594">
            <v>5</v>
          </cell>
          <cell r="Q594">
            <v>244.57000000000002</v>
          </cell>
        </row>
        <row r="595">
          <cell r="D595">
            <v>45708</v>
          </cell>
          <cell r="G595">
            <v>12</v>
          </cell>
          <cell r="H595">
            <v>5</v>
          </cell>
          <cell r="Q595">
            <v>737.33000000000015</v>
          </cell>
        </row>
        <row r="596">
          <cell r="D596">
            <v>45708</v>
          </cell>
          <cell r="G596">
            <v>8</v>
          </cell>
          <cell r="H596" t="str">
            <v>6-6.5</v>
          </cell>
          <cell r="Q596">
            <v>214.14</v>
          </cell>
        </row>
        <row r="597">
          <cell r="D597">
            <v>45708</v>
          </cell>
          <cell r="G597">
            <v>14</v>
          </cell>
          <cell r="H597">
            <v>6</v>
          </cell>
          <cell r="Q597">
            <v>292.75</v>
          </cell>
        </row>
        <row r="598">
          <cell r="D598">
            <v>45708</v>
          </cell>
          <cell r="G598">
            <v>8</v>
          </cell>
          <cell r="H598">
            <v>9</v>
          </cell>
          <cell r="Q598">
            <v>219.00000000000003</v>
          </cell>
        </row>
        <row r="599">
          <cell r="D599">
            <v>45708</v>
          </cell>
          <cell r="G599">
            <v>11</v>
          </cell>
          <cell r="H599">
            <v>6.5</v>
          </cell>
          <cell r="Q599">
            <v>307.98</v>
          </cell>
        </row>
        <row r="600">
          <cell r="D600">
            <v>45709</v>
          </cell>
          <cell r="G600">
            <v>2</v>
          </cell>
          <cell r="H600">
            <v>5</v>
          </cell>
          <cell r="Q600">
            <v>92.979999999999976</v>
          </cell>
        </row>
        <row r="601">
          <cell r="D601">
            <v>45709</v>
          </cell>
          <cell r="G601">
            <v>5</v>
          </cell>
          <cell r="H601" t="str">
            <v>رول</v>
          </cell>
          <cell r="Q601">
            <v>76.38</v>
          </cell>
        </row>
        <row r="602">
          <cell r="D602">
            <v>45709</v>
          </cell>
          <cell r="G602">
            <v>3</v>
          </cell>
          <cell r="H602" t="str">
            <v>رول</v>
          </cell>
          <cell r="Q602">
            <v>152.66999999999999</v>
          </cell>
        </row>
        <row r="603">
          <cell r="D603">
            <v>45709</v>
          </cell>
          <cell r="G603">
            <v>5</v>
          </cell>
          <cell r="H603" t="str">
            <v>رول</v>
          </cell>
          <cell r="Q603">
            <v>29.13</v>
          </cell>
        </row>
        <row r="604">
          <cell r="D604">
            <v>45709</v>
          </cell>
          <cell r="G604">
            <v>2</v>
          </cell>
          <cell r="H604" t="str">
            <v>رول</v>
          </cell>
          <cell r="Q604">
            <v>100.74999999999999</v>
          </cell>
        </row>
        <row r="605">
          <cell r="D605">
            <v>45709</v>
          </cell>
          <cell r="G605">
            <v>3</v>
          </cell>
          <cell r="H605" t="str">
            <v>رول</v>
          </cell>
          <cell r="Q605">
            <v>143.16</v>
          </cell>
        </row>
        <row r="606">
          <cell r="D606">
            <v>45709</v>
          </cell>
          <cell r="G606">
            <v>14</v>
          </cell>
          <cell r="H606">
            <v>6</v>
          </cell>
          <cell r="Q606">
            <v>119.16000000000001</v>
          </cell>
        </row>
        <row r="607">
          <cell r="D607">
            <v>45709</v>
          </cell>
          <cell r="G607">
            <v>7</v>
          </cell>
          <cell r="H607" t="str">
            <v>رول</v>
          </cell>
          <cell r="Q607">
            <v>213.17999999999998</v>
          </cell>
        </row>
        <row r="608">
          <cell r="D608">
            <v>45709</v>
          </cell>
          <cell r="G608">
            <v>7</v>
          </cell>
          <cell r="H608" t="str">
            <v>رول</v>
          </cell>
          <cell r="Q608">
            <v>339.32999999999993</v>
          </cell>
        </row>
        <row r="609">
          <cell r="D609">
            <v>45709</v>
          </cell>
          <cell r="G609">
            <v>14</v>
          </cell>
          <cell r="H609">
            <v>6</v>
          </cell>
          <cell r="Q609">
            <v>250.78000000000003</v>
          </cell>
        </row>
        <row r="610">
          <cell r="D610">
            <v>45709</v>
          </cell>
          <cell r="G610">
            <v>19</v>
          </cell>
          <cell r="H610" t="str">
            <v>8</v>
          </cell>
          <cell r="Q610">
            <v>108.66000000000001</v>
          </cell>
        </row>
        <row r="611">
          <cell r="D611">
            <v>45709</v>
          </cell>
          <cell r="G611">
            <v>14</v>
          </cell>
          <cell r="H611">
            <v>6</v>
          </cell>
          <cell r="Q611">
            <v>282.57</v>
          </cell>
        </row>
        <row r="612">
          <cell r="D612">
            <v>45709</v>
          </cell>
          <cell r="G612">
            <v>19</v>
          </cell>
          <cell r="H612" t="str">
            <v>8</v>
          </cell>
          <cell r="Q612">
            <v>174.07999999999998</v>
          </cell>
        </row>
        <row r="613">
          <cell r="D613">
            <v>45709</v>
          </cell>
          <cell r="G613">
            <v>14</v>
          </cell>
          <cell r="H613">
            <v>6</v>
          </cell>
          <cell r="Q613">
            <v>420.91999999999996</v>
          </cell>
        </row>
        <row r="614">
          <cell r="D614">
            <v>45709</v>
          </cell>
          <cell r="G614">
            <v>16</v>
          </cell>
          <cell r="H614">
            <v>5</v>
          </cell>
          <cell r="Q614">
            <v>254.73000000000002</v>
          </cell>
        </row>
        <row r="615">
          <cell r="D615">
            <v>45709</v>
          </cell>
          <cell r="G615">
            <v>14</v>
          </cell>
          <cell r="H615">
            <v>6</v>
          </cell>
          <cell r="Q615">
            <v>103.68</v>
          </cell>
        </row>
        <row r="616">
          <cell r="D616">
            <v>45709</v>
          </cell>
          <cell r="G616">
            <v>11</v>
          </cell>
          <cell r="H616" t="str">
            <v>8-8.5</v>
          </cell>
          <cell r="Q616">
            <v>150.55000000000001</v>
          </cell>
        </row>
        <row r="617">
          <cell r="D617">
            <v>45709</v>
          </cell>
          <cell r="G617">
            <v>13</v>
          </cell>
          <cell r="H617">
            <v>6.5</v>
          </cell>
          <cell r="Q617">
            <v>462</v>
          </cell>
        </row>
        <row r="618">
          <cell r="D618">
            <v>45709</v>
          </cell>
          <cell r="G618">
            <v>13</v>
          </cell>
          <cell r="H618">
            <v>6.5</v>
          </cell>
          <cell r="Q618">
            <v>348.57</v>
          </cell>
        </row>
        <row r="619">
          <cell r="D619">
            <v>45709</v>
          </cell>
          <cell r="G619">
            <v>14</v>
          </cell>
          <cell r="H619">
            <v>6</v>
          </cell>
          <cell r="Q619">
            <v>236.79</v>
          </cell>
        </row>
        <row r="620">
          <cell r="D620">
            <v>45710</v>
          </cell>
          <cell r="G620">
            <v>2</v>
          </cell>
          <cell r="H620" t="str">
            <v>رول</v>
          </cell>
          <cell r="Q620">
            <v>114.87</v>
          </cell>
        </row>
        <row r="621">
          <cell r="D621">
            <v>45710</v>
          </cell>
          <cell r="G621">
            <v>2</v>
          </cell>
          <cell r="H621" t="str">
            <v>رول</v>
          </cell>
          <cell r="Q621">
            <v>131.09000000000003</v>
          </cell>
        </row>
        <row r="622">
          <cell r="D622">
            <v>45710</v>
          </cell>
          <cell r="G622">
            <v>3</v>
          </cell>
          <cell r="H622" t="str">
            <v>رول</v>
          </cell>
          <cell r="Q622">
            <v>142.16000000000003</v>
          </cell>
        </row>
        <row r="623">
          <cell r="D623">
            <v>45710</v>
          </cell>
          <cell r="G623">
            <v>3</v>
          </cell>
          <cell r="H623" t="str">
            <v>رول</v>
          </cell>
          <cell r="Q623">
            <v>132.41</v>
          </cell>
        </row>
        <row r="624">
          <cell r="D624">
            <v>45710</v>
          </cell>
          <cell r="G624">
            <v>7</v>
          </cell>
          <cell r="H624" t="str">
            <v>رول</v>
          </cell>
          <cell r="Q624">
            <v>340.59000000000003</v>
          </cell>
        </row>
        <row r="625">
          <cell r="D625">
            <v>45710</v>
          </cell>
          <cell r="G625">
            <v>7</v>
          </cell>
          <cell r="H625" t="str">
            <v>رول</v>
          </cell>
          <cell r="Q625">
            <v>321.67</v>
          </cell>
        </row>
        <row r="626">
          <cell r="D626">
            <v>45710</v>
          </cell>
          <cell r="G626">
            <v>16</v>
          </cell>
          <cell r="H626">
            <v>5</v>
          </cell>
          <cell r="Q626">
            <v>564.93000000000006</v>
          </cell>
        </row>
        <row r="627">
          <cell r="D627">
            <v>45710</v>
          </cell>
          <cell r="G627">
            <v>17</v>
          </cell>
          <cell r="H627" t="str">
            <v>5.5-6</v>
          </cell>
          <cell r="Q627">
            <v>211.7</v>
          </cell>
        </row>
        <row r="628">
          <cell r="D628">
            <v>45710</v>
          </cell>
          <cell r="G628">
            <v>17</v>
          </cell>
          <cell r="H628" t="str">
            <v>5.5-6</v>
          </cell>
          <cell r="Q628">
            <v>110.99</v>
          </cell>
        </row>
        <row r="629">
          <cell r="D629">
            <v>45710</v>
          </cell>
          <cell r="G629">
            <v>14</v>
          </cell>
          <cell r="H629">
            <v>6</v>
          </cell>
          <cell r="Q629">
            <v>105.29</v>
          </cell>
        </row>
        <row r="630">
          <cell r="D630">
            <v>45710</v>
          </cell>
          <cell r="G630">
            <v>18</v>
          </cell>
          <cell r="H630" t="str">
            <v>رول</v>
          </cell>
          <cell r="Q630">
            <v>606.59</v>
          </cell>
        </row>
        <row r="631">
          <cell r="D631">
            <v>45710</v>
          </cell>
          <cell r="G631">
            <v>14</v>
          </cell>
          <cell r="H631">
            <v>6</v>
          </cell>
          <cell r="Q631">
            <v>545.01499999999987</v>
          </cell>
        </row>
        <row r="632">
          <cell r="D632">
            <v>45710</v>
          </cell>
          <cell r="G632">
            <v>14</v>
          </cell>
          <cell r="H632">
            <v>6</v>
          </cell>
          <cell r="Q632">
            <v>179.77</v>
          </cell>
        </row>
        <row r="633">
          <cell r="D633">
            <v>45710</v>
          </cell>
          <cell r="G633">
            <v>12</v>
          </cell>
          <cell r="H633" t="str">
            <v>رول</v>
          </cell>
          <cell r="Q633">
            <v>385.73</v>
          </cell>
        </row>
        <row r="634">
          <cell r="D634">
            <v>45711</v>
          </cell>
          <cell r="G634">
            <v>2</v>
          </cell>
          <cell r="H634" t="str">
            <v>رول</v>
          </cell>
          <cell r="Q634">
            <v>115.77999999999999</v>
          </cell>
        </row>
        <row r="635">
          <cell r="D635">
            <v>45711</v>
          </cell>
          <cell r="G635">
            <v>2</v>
          </cell>
          <cell r="H635" t="str">
            <v>رول</v>
          </cell>
          <cell r="Q635">
            <v>114.32000000000001</v>
          </cell>
        </row>
        <row r="636">
          <cell r="D636">
            <v>45711</v>
          </cell>
          <cell r="G636">
            <v>3</v>
          </cell>
          <cell r="H636" t="str">
            <v>رول</v>
          </cell>
          <cell r="Q636">
            <v>137.10000000000002</v>
          </cell>
        </row>
        <row r="637">
          <cell r="D637">
            <v>45711</v>
          </cell>
          <cell r="G637">
            <v>3</v>
          </cell>
          <cell r="H637" t="str">
            <v>رول</v>
          </cell>
          <cell r="Q637">
            <v>144.32</v>
          </cell>
        </row>
        <row r="638">
          <cell r="D638">
            <v>45711</v>
          </cell>
          <cell r="G638">
            <v>7</v>
          </cell>
          <cell r="H638" t="str">
            <v>رول</v>
          </cell>
          <cell r="Q638">
            <v>379.47000000000008</v>
          </cell>
        </row>
        <row r="639">
          <cell r="D639">
            <v>45711</v>
          </cell>
          <cell r="G639">
            <v>7</v>
          </cell>
          <cell r="H639" t="str">
            <v>رول</v>
          </cell>
          <cell r="Q639">
            <v>365.32</v>
          </cell>
        </row>
        <row r="640">
          <cell r="D640">
            <v>45711</v>
          </cell>
          <cell r="G640">
            <v>18</v>
          </cell>
          <cell r="H640" t="str">
            <v>رول</v>
          </cell>
          <cell r="Q640">
            <v>538.73</v>
          </cell>
        </row>
        <row r="641">
          <cell r="D641">
            <v>45711</v>
          </cell>
          <cell r="G641">
            <v>15</v>
          </cell>
          <cell r="H641" t="str">
            <v>11.5-12</v>
          </cell>
          <cell r="Q641">
            <v>314.3</v>
          </cell>
        </row>
        <row r="642">
          <cell r="D642">
            <v>45711</v>
          </cell>
          <cell r="G642">
            <v>20</v>
          </cell>
          <cell r="H642" t="str">
            <v>رول</v>
          </cell>
          <cell r="Q642">
            <v>439.81</v>
          </cell>
        </row>
        <row r="643">
          <cell r="D643">
            <v>45711</v>
          </cell>
          <cell r="G643">
            <v>20</v>
          </cell>
          <cell r="H643" t="str">
            <v>6-6.5</v>
          </cell>
          <cell r="Q643">
            <v>208.49</v>
          </cell>
        </row>
        <row r="644">
          <cell r="D644">
            <v>45711</v>
          </cell>
          <cell r="G644">
            <v>20</v>
          </cell>
          <cell r="H644" t="str">
            <v>6-6.5</v>
          </cell>
          <cell r="Q644">
            <v>217.19</v>
          </cell>
        </row>
        <row r="645">
          <cell r="D645">
            <v>45711</v>
          </cell>
          <cell r="G645">
            <v>12</v>
          </cell>
          <cell r="H645" t="str">
            <v>رول</v>
          </cell>
          <cell r="Q645">
            <v>520.35</v>
          </cell>
        </row>
        <row r="646">
          <cell r="D646">
            <v>45711</v>
          </cell>
          <cell r="G646">
            <v>12</v>
          </cell>
          <cell r="H646" t="str">
            <v>رول</v>
          </cell>
          <cell r="Q646">
            <v>587.33000000000004</v>
          </cell>
        </row>
        <row r="647">
          <cell r="D647">
            <v>45712</v>
          </cell>
          <cell r="G647">
            <v>2</v>
          </cell>
          <cell r="H647" t="str">
            <v>رول</v>
          </cell>
          <cell r="Q647">
            <v>152.17999999999998</v>
          </cell>
        </row>
        <row r="648">
          <cell r="D648">
            <v>45712</v>
          </cell>
          <cell r="G648">
            <v>2</v>
          </cell>
          <cell r="H648" t="str">
            <v>رول</v>
          </cell>
          <cell r="Q648">
            <v>133.71</v>
          </cell>
        </row>
        <row r="649">
          <cell r="D649">
            <v>45712</v>
          </cell>
          <cell r="G649">
            <v>3</v>
          </cell>
          <cell r="H649" t="str">
            <v>رول</v>
          </cell>
          <cell r="Q649">
            <v>138.46</v>
          </cell>
        </row>
        <row r="650">
          <cell r="D650">
            <v>45712</v>
          </cell>
          <cell r="G650">
            <v>3</v>
          </cell>
          <cell r="H650" t="str">
            <v>رول</v>
          </cell>
          <cell r="Q650">
            <v>133.67000000000002</v>
          </cell>
        </row>
        <row r="651">
          <cell r="D651">
            <v>45712</v>
          </cell>
          <cell r="G651">
            <v>7</v>
          </cell>
          <cell r="H651" t="str">
            <v>رول</v>
          </cell>
          <cell r="Q651">
            <v>325.02000000000004</v>
          </cell>
        </row>
        <row r="652">
          <cell r="D652">
            <v>45712</v>
          </cell>
          <cell r="G652">
            <v>7</v>
          </cell>
          <cell r="H652" t="str">
            <v>رول</v>
          </cell>
          <cell r="Q652">
            <v>378.04999999999995</v>
          </cell>
        </row>
        <row r="653">
          <cell r="D653">
            <v>45712</v>
          </cell>
          <cell r="G653">
            <v>20</v>
          </cell>
          <cell r="H653" t="str">
            <v>رول</v>
          </cell>
          <cell r="Q653">
            <v>342.85</v>
          </cell>
        </row>
        <row r="654">
          <cell r="D654">
            <v>45712</v>
          </cell>
          <cell r="G654" t="str">
            <v>22" شیٹ</v>
          </cell>
          <cell r="H654" t="str">
            <v>4-4.5/8-9</v>
          </cell>
          <cell r="Q654">
            <v>108.92</v>
          </cell>
        </row>
        <row r="655">
          <cell r="D655">
            <v>45712</v>
          </cell>
          <cell r="G655">
            <v>24</v>
          </cell>
          <cell r="H655" t="str">
            <v>رول</v>
          </cell>
          <cell r="Q655">
            <v>106.33</v>
          </cell>
        </row>
        <row r="656">
          <cell r="D656">
            <v>45712</v>
          </cell>
          <cell r="G656">
            <v>24</v>
          </cell>
          <cell r="H656">
            <v>4.5</v>
          </cell>
          <cell r="Q656">
            <v>304.19</v>
          </cell>
        </row>
        <row r="657">
          <cell r="D657">
            <v>45712</v>
          </cell>
          <cell r="G657">
            <v>24</v>
          </cell>
          <cell r="H657" t="str">
            <v>رول</v>
          </cell>
          <cell r="Q657">
            <v>820.73</v>
          </cell>
        </row>
        <row r="658">
          <cell r="D658">
            <v>45712</v>
          </cell>
          <cell r="G658">
            <v>12</v>
          </cell>
          <cell r="H658" t="str">
            <v>رول</v>
          </cell>
          <cell r="Q658">
            <v>595.79999999999995</v>
          </cell>
        </row>
        <row r="659">
          <cell r="D659">
            <v>45712</v>
          </cell>
          <cell r="G659">
            <v>12</v>
          </cell>
          <cell r="H659" t="str">
            <v>رول</v>
          </cell>
          <cell r="Q659">
            <v>618.5</v>
          </cell>
        </row>
        <row r="660">
          <cell r="D660">
            <v>45713</v>
          </cell>
          <cell r="G660">
            <v>2</v>
          </cell>
          <cell r="H660" t="str">
            <v>رول</v>
          </cell>
          <cell r="Q660">
            <v>173.32</v>
          </cell>
        </row>
        <row r="661">
          <cell r="D661">
            <v>45713</v>
          </cell>
          <cell r="G661">
            <v>2</v>
          </cell>
          <cell r="H661" t="str">
            <v>رول</v>
          </cell>
          <cell r="Q661">
            <v>152.44999999999999</v>
          </cell>
        </row>
        <row r="662">
          <cell r="D662">
            <v>45713</v>
          </cell>
          <cell r="G662">
            <v>3</v>
          </cell>
          <cell r="H662" t="str">
            <v>رول</v>
          </cell>
          <cell r="Q662">
            <v>158.72999999999999</v>
          </cell>
        </row>
        <row r="663">
          <cell r="D663">
            <v>45713</v>
          </cell>
          <cell r="G663">
            <v>3</v>
          </cell>
          <cell r="H663" t="str">
            <v>رول</v>
          </cell>
          <cell r="Q663">
            <v>151.77999999999997</v>
          </cell>
        </row>
        <row r="664">
          <cell r="D664">
            <v>45713</v>
          </cell>
          <cell r="G664">
            <v>7</v>
          </cell>
          <cell r="H664" t="str">
            <v>رول</v>
          </cell>
          <cell r="Q664">
            <v>365.57000000000005</v>
          </cell>
        </row>
        <row r="665">
          <cell r="D665">
            <v>45713</v>
          </cell>
          <cell r="G665">
            <v>7</v>
          </cell>
          <cell r="H665" t="str">
            <v>رول</v>
          </cell>
          <cell r="Q665">
            <v>307.22000000000003</v>
          </cell>
        </row>
        <row r="666">
          <cell r="D666">
            <v>45713</v>
          </cell>
          <cell r="G666">
            <v>24</v>
          </cell>
          <cell r="H666" t="str">
            <v>رول</v>
          </cell>
          <cell r="Q666">
            <v>460.41000000000008</v>
          </cell>
        </row>
        <row r="667">
          <cell r="D667">
            <v>45713</v>
          </cell>
          <cell r="G667">
            <v>16</v>
          </cell>
          <cell r="H667" t="str">
            <v>رول</v>
          </cell>
          <cell r="Q667">
            <v>91.72</v>
          </cell>
        </row>
        <row r="668">
          <cell r="D668">
            <v>45713</v>
          </cell>
          <cell r="G668">
            <v>16</v>
          </cell>
          <cell r="H668" t="str">
            <v>8</v>
          </cell>
          <cell r="Q668">
            <v>98.71</v>
          </cell>
        </row>
        <row r="669">
          <cell r="D669">
            <v>45713</v>
          </cell>
          <cell r="G669">
            <v>7.5</v>
          </cell>
          <cell r="H669">
            <v>10</v>
          </cell>
          <cell r="Q669">
            <v>175.35000000000002</v>
          </cell>
        </row>
        <row r="670">
          <cell r="D670">
            <v>45713</v>
          </cell>
          <cell r="G670">
            <v>16</v>
          </cell>
          <cell r="H670" t="str">
            <v>8</v>
          </cell>
          <cell r="Q670">
            <v>44.72</v>
          </cell>
        </row>
        <row r="671">
          <cell r="D671">
            <v>45713</v>
          </cell>
          <cell r="G671">
            <v>16</v>
          </cell>
          <cell r="H671" t="str">
            <v>8</v>
          </cell>
          <cell r="Q671">
            <v>48.46</v>
          </cell>
        </row>
        <row r="672">
          <cell r="D672">
            <v>45713</v>
          </cell>
          <cell r="G672">
            <v>16.2</v>
          </cell>
          <cell r="H672" t="str">
            <v>-</v>
          </cell>
          <cell r="Q672">
            <v>453.36</v>
          </cell>
        </row>
        <row r="673">
          <cell r="D673">
            <v>45713</v>
          </cell>
          <cell r="G673">
            <v>16.2</v>
          </cell>
          <cell r="H673" t="str">
            <v>-</v>
          </cell>
          <cell r="Q673">
            <v>123.84</v>
          </cell>
        </row>
        <row r="674">
          <cell r="D674">
            <v>45713</v>
          </cell>
          <cell r="G674">
            <v>12</v>
          </cell>
          <cell r="H674" t="str">
            <v>رول</v>
          </cell>
          <cell r="Q674">
            <v>432.66</v>
          </cell>
        </row>
        <row r="675">
          <cell r="D675">
            <v>45713</v>
          </cell>
          <cell r="G675">
            <v>8</v>
          </cell>
          <cell r="H675">
            <v>10</v>
          </cell>
          <cell r="Q675">
            <v>126.69</v>
          </cell>
        </row>
        <row r="676">
          <cell r="D676">
            <v>45713</v>
          </cell>
          <cell r="G676">
            <v>8</v>
          </cell>
          <cell r="H676">
            <v>10</v>
          </cell>
          <cell r="Q676">
            <v>27.2</v>
          </cell>
        </row>
        <row r="677">
          <cell r="D677">
            <v>45713</v>
          </cell>
          <cell r="G677">
            <v>8</v>
          </cell>
          <cell r="H677" t="str">
            <v>رول</v>
          </cell>
          <cell r="Q677">
            <v>513.97500000000002</v>
          </cell>
        </row>
        <row r="678">
          <cell r="D678">
            <v>45714</v>
          </cell>
          <cell r="G678">
            <v>2</v>
          </cell>
          <cell r="H678" t="str">
            <v>رول</v>
          </cell>
          <cell r="Q678">
            <v>142.59</v>
          </cell>
        </row>
        <row r="679">
          <cell r="D679">
            <v>45714</v>
          </cell>
          <cell r="G679">
            <v>2</v>
          </cell>
          <cell r="H679" t="str">
            <v>رول</v>
          </cell>
          <cell r="Q679">
            <v>141.48999999999998</v>
          </cell>
        </row>
        <row r="680">
          <cell r="D680">
            <v>45714</v>
          </cell>
          <cell r="G680">
            <v>3</v>
          </cell>
          <cell r="H680" t="str">
            <v>رول</v>
          </cell>
          <cell r="Q680">
            <v>29.15</v>
          </cell>
        </row>
        <row r="681">
          <cell r="D681">
            <v>45714</v>
          </cell>
          <cell r="G681">
            <v>4</v>
          </cell>
          <cell r="H681" t="str">
            <v>رول</v>
          </cell>
          <cell r="Q681">
            <v>126.38000000000001</v>
          </cell>
        </row>
        <row r="682">
          <cell r="D682">
            <v>45714</v>
          </cell>
          <cell r="G682">
            <v>4</v>
          </cell>
          <cell r="H682" t="str">
            <v>رول</v>
          </cell>
          <cell r="Q682">
            <v>168.38</v>
          </cell>
        </row>
        <row r="683">
          <cell r="D683">
            <v>45714</v>
          </cell>
          <cell r="G683">
            <v>7</v>
          </cell>
          <cell r="H683" t="str">
            <v>رول</v>
          </cell>
          <cell r="Q683">
            <v>103.52999999999999</v>
          </cell>
        </row>
        <row r="684">
          <cell r="D684">
            <v>45714</v>
          </cell>
          <cell r="G684">
            <v>7</v>
          </cell>
          <cell r="H684">
            <v>10</v>
          </cell>
          <cell r="Q684">
            <v>174.41</v>
          </cell>
        </row>
        <row r="685">
          <cell r="D685">
            <v>45714</v>
          </cell>
          <cell r="G685">
            <v>6</v>
          </cell>
          <cell r="H685">
            <v>10</v>
          </cell>
          <cell r="Q685">
            <v>64.47</v>
          </cell>
        </row>
        <row r="686">
          <cell r="D686">
            <v>45714</v>
          </cell>
          <cell r="G686">
            <v>6</v>
          </cell>
          <cell r="H686">
            <v>10</v>
          </cell>
          <cell r="Q686">
            <v>321.05</v>
          </cell>
        </row>
        <row r="687">
          <cell r="D687">
            <v>45714</v>
          </cell>
          <cell r="G687">
            <v>16.2</v>
          </cell>
          <cell r="H687" t="str">
            <v>-</v>
          </cell>
          <cell r="Q687">
            <v>790.67000000000007</v>
          </cell>
        </row>
        <row r="688">
          <cell r="D688">
            <v>45714</v>
          </cell>
          <cell r="G688">
            <v>16.2</v>
          </cell>
          <cell r="H688" t="str">
            <v>-</v>
          </cell>
          <cell r="Q688">
            <v>717.96</v>
          </cell>
        </row>
        <row r="689">
          <cell r="D689">
            <v>45714</v>
          </cell>
          <cell r="G689">
            <v>8</v>
          </cell>
          <cell r="H689" t="str">
            <v>رول</v>
          </cell>
          <cell r="Q689">
            <v>394.24</v>
          </cell>
        </row>
        <row r="690">
          <cell r="D690">
            <v>45714</v>
          </cell>
          <cell r="G690">
            <v>14</v>
          </cell>
          <cell r="H690" t="str">
            <v>رول</v>
          </cell>
          <cell r="Q690">
            <v>183.51999999999998</v>
          </cell>
        </row>
        <row r="691">
          <cell r="D691">
            <v>45714</v>
          </cell>
          <cell r="G691">
            <v>14</v>
          </cell>
          <cell r="H691" t="str">
            <v>رول</v>
          </cell>
          <cell r="Q691">
            <v>563.04</v>
          </cell>
        </row>
        <row r="692">
          <cell r="D692">
            <v>45715</v>
          </cell>
          <cell r="G692">
            <v>2</v>
          </cell>
          <cell r="H692" t="str">
            <v>رول</v>
          </cell>
          <cell r="Q692">
            <v>138.51999999999998</v>
          </cell>
        </row>
        <row r="693">
          <cell r="D693">
            <v>45715</v>
          </cell>
          <cell r="G693">
            <v>2</v>
          </cell>
          <cell r="H693" t="str">
            <v>رول</v>
          </cell>
          <cell r="Q693">
            <v>140.03</v>
          </cell>
        </row>
        <row r="694">
          <cell r="D694">
            <v>45715</v>
          </cell>
          <cell r="G694">
            <v>4</v>
          </cell>
          <cell r="H694" t="str">
            <v>رول</v>
          </cell>
          <cell r="Q694">
            <v>130.58000000000001</v>
          </cell>
        </row>
        <row r="695">
          <cell r="D695">
            <v>45715</v>
          </cell>
          <cell r="G695">
            <v>4</v>
          </cell>
          <cell r="H695" t="str">
            <v>رول</v>
          </cell>
          <cell r="Q695">
            <v>139.60000000000002</v>
          </cell>
        </row>
        <row r="696">
          <cell r="D696">
            <v>45715</v>
          </cell>
          <cell r="G696">
            <v>6</v>
          </cell>
          <cell r="H696">
            <v>10</v>
          </cell>
          <cell r="Q696">
            <v>306.60000000000002</v>
          </cell>
        </row>
        <row r="697">
          <cell r="D697">
            <v>45715</v>
          </cell>
          <cell r="G697">
            <v>6</v>
          </cell>
          <cell r="H697">
            <v>10</v>
          </cell>
          <cell r="Q697">
            <v>55.1</v>
          </cell>
        </row>
        <row r="698">
          <cell r="D698">
            <v>45715</v>
          </cell>
          <cell r="G698">
            <v>6</v>
          </cell>
          <cell r="H698" t="str">
            <v>رول</v>
          </cell>
          <cell r="Q698">
            <v>209.63</v>
          </cell>
        </row>
        <row r="699">
          <cell r="D699">
            <v>45715</v>
          </cell>
          <cell r="G699">
            <v>16.2</v>
          </cell>
          <cell r="H699" t="str">
            <v>-</v>
          </cell>
          <cell r="Q699">
            <v>749.0200000000001</v>
          </cell>
        </row>
        <row r="700">
          <cell r="D700">
            <v>45715</v>
          </cell>
          <cell r="G700">
            <v>16.2</v>
          </cell>
          <cell r="H700" t="str">
            <v>-</v>
          </cell>
          <cell r="Q700">
            <v>663.79</v>
          </cell>
        </row>
        <row r="701">
          <cell r="D701">
            <v>45715</v>
          </cell>
          <cell r="G701">
            <v>14</v>
          </cell>
          <cell r="H701" t="str">
            <v>رول</v>
          </cell>
          <cell r="Q701">
            <v>550.21999999999991</v>
          </cell>
        </row>
        <row r="702">
          <cell r="D702">
            <v>45715</v>
          </cell>
          <cell r="G702">
            <v>14</v>
          </cell>
          <cell r="H702" t="str">
            <v>رول</v>
          </cell>
          <cell r="Q702">
            <v>527.12</v>
          </cell>
        </row>
        <row r="703">
          <cell r="D703">
            <v>45716</v>
          </cell>
          <cell r="G703">
            <v>2</v>
          </cell>
          <cell r="H703" t="str">
            <v>رول</v>
          </cell>
          <cell r="Q703">
            <v>107.33</v>
          </cell>
        </row>
        <row r="704">
          <cell r="D704">
            <v>45716</v>
          </cell>
          <cell r="G704">
            <v>2</v>
          </cell>
          <cell r="H704">
            <v>5</v>
          </cell>
          <cell r="Q704">
            <v>22.810000000000002</v>
          </cell>
        </row>
        <row r="705">
          <cell r="D705">
            <v>45716</v>
          </cell>
          <cell r="G705">
            <v>2</v>
          </cell>
          <cell r="H705">
            <v>5</v>
          </cell>
          <cell r="Q705">
            <v>114.97</v>
          </cell>
        </row>
        <row r="706">
          <cell r="D706">
            <v>45716</v>
          </cell>
          <cell r="G706">
            <v>4</v>
          </cell>
          <cell r="H706" t="str">
            <v>رول</v>
          </cell>
          <cell r="Q706">
            <v>163.03</v>
          </cell>
        </row>
        <row r="707">
          <cell r="D707">
            <v>45716</v>
          </cell>
          <cell r="G707">
            <v>4</v>
          </cell>
          <cell r="H707" t="str">
            <v>رول</v>
          </cell>
          <cell r="Q707">
            <v>154.47000000000003</v>
          </cell>
        </row>
        <row r="708">
          <cell r="D708">
            <v>45716</v>
          </cell>
          <cell r="G708">
            <v>6</v>
          </cell>
          <cell r="H708" t="str">
            <v>رول</v>
          </cell>
          <cell r="Q708">
            <v>163.01</v>
          </cell>
        </row>
        <row r="709">
          <cell r="D709">
            <v>45716</v>
          </cell>
          <cell r="G709">
            <v>7</v>
          </cell>
          <cell r="H709">
            <v>4.5</v>
          </cell>
          <cell r="Q709">
            <v>132.85999999999999</v>
          </cell>
        </row>
        <row r="710">
          <cell r="D710">
            <v>45716</v>
          </cell>
          <cell r="G710">
            <v>7</v>
          </cell>
          <cell r="H710">
            <v>4.5</v>
          </cell>
          <cell r="Q710">
            <v>72.17</v>
          </cell>
        </row>
        <row r="711">
          <cell r="D711">
            <v>45716</v>
          </cell>
          <cell r="G711">
            <v>7</v>
          </cell>
          <cell r="H711">
            <v>15</v>
          </cell>
          <cell r="Q711">
            <v>226.25000000000003</v>
          </cell>
        </row>
        <row r="712">
          <cell r="D712">
            <v>45716</v>
          </cell>
          <cell r="G712">
            <v>16.2</v>
          </cell>
          <cell r="H712" t="str">
            <v>-</v>
          </cell>
          <cell r="Q712">
            <v>313.14999999999998</v>
          </cell>
        </row>
        <row r="713">
          <cell r="D713">
            <v>45716</v>
          </cell>
          <cell r="G713">
            <v>16</v>
          </cell>
          <cell r="H713">
            <v>12</v>
          </cell>
          <cell r="Q713">
            <v>87.88000000000001</v>
          </cell>
        </row>
        <row r="714">
          <cell r="D714">
            <v>45716</v>
          </cell>
          <cell r="G714" t="str">
            <v>22" شیٹ</v>
          </cell>
          <cell r="H714" t="str">
            <v>4-4.5/8-9</v>
          </cell>
          <cell r="Q714">
            <v>341.12</v>
          </cell>
        </row>
        <row r="715">
          <cell r="D715">
            <v>45716</v>
          </cell>
          <cell r="G715">
            <v>10</v>
          </cell>
          <cell r="H715" t="str">
            <v>4.5-5</v>
          </cell>
          <cell r="Q715">
            <v>100.13</v>
          </cell>
        </row>
        <row r="716">
          <cell r="D716">
            <v>45716</v>
          </cell>
          <cell r="G716" t="str">
            <v>-</v>
          </cell>
          <cell r="H716" t="str">
            <v>-</v>
          </cell>
          <cell r="Q716">
            <v>114.11</v>
          </cell>
        </row>
        <row r="717">
          <cell r="D717">
            <v>45716</v>
          </cell>
          <cell r="G717">
            <v>7</v>
          </cell>
          <cell r="H717">
            <v>5</v>
          </cell>
          <cell r="Q717">
            <v>106.7</v>
          </cell>
        </row>
        <row r="718">
          <cell r="D718">
            <v>45716</v>
          </cell>
          <cell r="G718" t="str">
            <v>28 شیٹ</v>
          </cell>
          <cell r="H718" t="str">
            <v>4-4.5/8-9</v>
          </cell>
          <cell r="Q718">
            <v>99.240000000000009</v>
          </cell>
        </row>
        <row r="719">
          <cell r="D719">
            <v>45716</v>
          </cell>
          <cell r="G719" t="str">
            <v>28 شیٹ</v>
          </cell>
          <cell r="H719" t="str">
            <v>4-4.5/8-9</v>
          </cell>
          <cell r="Q719">
            <v>108.96000000000001</v>
          </cell>
        </row>
        <row r="720">
          <cell r="D720">
            <v>45716</v>
          </cell>
          <cell r="G720" t="str">
            <v>28 شیٹ</v>
          </cell>
          <cell r="H720" t="str">
            <v>4-4.5/8-9</v>
          </cell>
          <cell r="Q720">
            <v>165.32999999999998</v>
          </cell>
        </row>
        <row r="721">
          <cell r="D721">
            <v>45716</v>
          </cell>
          <cell r="G721">
            <v>14</v>
          </cell>
          <cell r="H721" t="str">
            <v>رول</v>
          </cell>
          <cell r="Q721">
            <v>268.53999999999996</v>
          </cell>
        </row>
        <row r="722">
          <cell r="D722">
            <v>45716</v>
          </cell>
          <cell r="G722">
            <v>10</v>
          </cell>
          <cell r="H722">
            <v>8</v>
          </cell>
          <cell r="Q722">
            <v>88.509999999999991</v>
          </cell>
        </row>
        <row r="723">
          <cell r="D723">
            <v>45716</v>
          </cell>
          <cell r="G723">
            <v>10</v>
          </cell>
          <cell r="H723">
            <v>4.5</v>
          </cell>
          <cell r="Q723">
            <v>249.14000000000001</v>
          </cell>
        </row>
        <row r="724">
          <cell r="D724">
            <v>45716</v>
          </cell>
          <cell r="G724">
            <v>10</v>
          </cell>
          <cell r="H724">
            <v>4.5</v>
          </cell>
          <cell r="Q724">
            <v>112.32</v>
          </cell>
        </row>
        <row r="725">
          <cell r="D725">
            <v>45716</v>
          </cell>
          <cell r="G725">
            <v>4</v>
          </cell>
          <cell r="H725">
            <v>14</v>
          </cell>
          <cell r="Q725">
            <v>166.23</v>
          </cell>
        </row>
        <row r="726">
          <cell r="D726">
            <v>45716</v>
          </cell>
          <cell r="G726">
            <v>28</v>
          </cell>
          <cell r="H726">
            <v>5</v>
          </cell>
          <cell r="Q726">
            <v>250.56</v>
          </cell>
        </row>
        <row r="727">
          <cell r="D727">
            <v>45717</v>
          </cell>
          <cell r="G727">
            <v>2</v>
          </cell>
          <cell r="H727">
            <v>5</v>
          </cell>
          <cell r="Q727">
            <v>125.95999999999998</v>
          </cell>
        </row>
        <row r="728">
          <cell r="D728">
            <v>45717</v>
          </cell>
          <cell r="G728">
            <v>2</v>
          </cell>
          <cell r="H728">
            <v>5</v>
          </cell>
          <cell r="Q728">
            <v>26.450000000000003</v>
          </cell>
        </row>
        <row r="729">
          <cell r="D729">
            <v>45717</v>
          </cell>
          <cell r="G729">
            <v>5</v>
          </cell>
          <cell r="H729" t="str">
            <v>رول</v>
          </cell>
          <cell r="Q729">
            <v>79.930000000000007</v>
          </cell>
        </row>
        <row r="730">
          <cell r="D730">
            <v>45717</v>
          </cell>
          <cell r="G730">
            <v>4</v>
          </cell>
          <cell r="H730" t="str">
            <v>رول</v>
          </cell>
          <cell r="Q730">
            <v>71.679999999999993</v>
          </cell>
        </row>
        <row r="731">
          <cell r="D731">
            <v>45717</v>
          </cell>
          <cell r="G731">
            <v>4.5</v>
          </cell>
          <cell r="H731">
            <v>4.5</v>
          </cell>
          <cell r="Q731">
            <v>61.300000000000004</v>
          </cell>
        </row>
        <row r="732">
          <cell r="D732">
            <v>45717</v>
          </cell>
          <cell r="G732">
            <v>4.5</v>
          </cell>
          <cell r="H732">
            <v>4.5</v>
          </cell>
          <cell r="Q732">
            <v>128.13000000000002</v>
          </cell>
        </row>
        <row r="733">
          <cell r="D733">
            <v>45717</v>
          </cell>
          <cell r="G733">
            <v>7</v>
          </cell>
          <cell r="H733">
            <v>15</v>
          </cell>
          <cell r="Q733">
            <v>270.12000000000006</v>
          </cell>
        </row>
        <row r="734">
          <cell r="D734">
            <v>45717</v>
          </cell>
          <cell r="G734">
            <v>9</v>
          </cell>
          <cell r="H734">
            <v>4.5</v>
          </cell>
          <cell r="Q734">
            <v>35.050000000000004</v>
          </cell>
        </row>
        <row r="735">
          <cell r="D735">
            <v>45717</v>
          </cell>
          <cell r="G735">
            <v>9</v>
          </cell>
          <cell r="H735">
            <v>4.5</v>
          </cell>
          <cell r="Q735">
            <v>395.21</v>
          </cell>
        </row>
        <row r="736">
          <cell r="D736">
            <v>45717</v>
          </cell>
          <cell r="G736" t="str">
            <v>28 شیٹ</v>
          </cell>
          <cell r="H736" t="str">
            <v>4-4.5/8-9</v>
          </cell>
          <cell r="Q736">
            <v>184.76000000000002</v>
          </cell>
        </row>
        <row r="737">
          <cell r="D737">
            <v>45717</v>
          </cell>
          <cell r="G737" t="str">
            <v>26شیٹ</v>
          </cell>
          <cell r="H737" t="str">
            <v>4-4.5/8-9</v>
          </cell>
          <cell r="Q737">
            <v>142.36000000000001</v>
          </cell>
        </row>
        <row r="738">
          <cell r="D738">
            <v>45717</v>
          </cell>
          <cell r="G738">
            <v>17</v>
          </cell>
          <cell r="H738" t="str">
            <v>6-6.5</v>
          </cell>
          <cell r="Q738">
            <v>385.73</v>
          </cell>
        </row>
        <row r="739">
          <cell r="D739">
            <v>45717</v>
          </cell>
          <cell r="G739">
            <v>17</v>
          </cell>
          <cell r="H739" t="str">
            <v>6-6.5</v>
          </cell>
          <cell r="Q739">
            <v>815.51</v>
          </cell>
        </row>
        <row r="740">
          <cell r="D740">
            <v>45717</v>
          </cell>
          <cell r="G740">
            <v>15</v>
          </cell>
          <cell r="H740">
            <v>10</v>
          </cell>
          <cell r="Q740">
            <v>333.98499999999996</v>
          </cell>
        </row>
        <row r="741">
          <cell r="D741">
            <v>45717</v>
          </cell>
          <cell r="G741">
            <v>14</v>
          </cell>
          <cell r="H741">
            <v>6</v>
          </cell>
          <cell r="Q741">
            <v>164.93</v>
          </cell>
        </row>
        <row r="742">
          <cell r="D742">
            <v>45717</v>
          </cell>
          <cell r="G742">
            <v>14</v>
          </cell>
          <cell r="H742">
            <v>6</v>
          </cell>
          <cell r="Q742">
            <v>255.78500000000003</v>
          </cell>
        </row>
        <row r="743">
          <cell r="D743">
            <v>45717</v>
          </cell>
          <cell r="G743">
            <v>12</v>
          </cell>
          <cell r="H743">
            <v>10</v>
          </cell>
          <cell r="Q743">
            <v>347.40500000000003</v>
          </cell>
        </row>
        <row r="744">
          <cell r="D744">
            <v>45718</v>
          </cell>
          <cell r="G744">
            <v>5</v>
          </cell>
          <cell r="H744" t="str">
            <v>رول</v>
          </cell>
          <cell r="Q744">
            <v>175.18</v>
          </cell>
        </row>
        <row r="745">
          <cell r="D745">
            <v>45718</v>
          </cell>
          <cell r="G745">
            <v>5</v>
          </cell>
          <cell r="H745" t="str">
            <v>رول</v>
          </cell>
          <cell r="Q745">
            <v>175.85999999999999</v>
          </cell>
        </row>
        <row r="746">
          <cell r="D746">
            <v>45718</v>
          </cell>
          <cell r="G746">
            <v>4.5</v>
          </cell>
          <cell r="H746">
            <v>4.5</v>
          </cell>
          <cell r="Q746">
            <v>108.86999999999999</v>
          </cell>
        </row>
        <row r="747">
          <cell r="D747">
            <v>45718</v>
          </cell>
          <cell r="G747">
            <v>3</v>
          </cell>
          <cell r="H747" t="str">
            <v>رول</v>
          </cell>
          <cell r="Q747">
            <v>50.11</v>
          </cell>
        </row>
        <row r="748">
          <cell r="D748">
            <v>45718</v>
          </cell>
          <cell r="G748">
            <v>3</v>
          </cell>
          <cell r="H748" t="str">
            <v>رول</v>
          </cell>
          <cell r="Q748">
            <v>125.79</v>
          </cell>
        </row>
        <row r="749">
          <cell r="D749">
            <v>45718</v>
          </cell>
          <cell r="G749">
            <v>9</v>
          </cell>
          <cell r="H749" t="str">
            <v>رول</v>
          </cell>
          <cell r="Q749">
            <v>257.66000000000003</v>
          </cell>
        </row>
        <row r="750">
          <cell r="D750">
            <v>45718</v>
          </cell>
          <cell r="G750">
            <v>9</v>
          </cell>
          <cell r="H750" t="str">
            <v>رول</v>
          </cell>
          <cell r="Q750">
            <v>273.59999999999997</v>
          </cell>
        </row>
        <row r="751">
          <cell r="D751">
            <v>45718</v>
          </cell>
          <cell r="G751">
            <v>26</v>
          </cell>
          <cell r="H751" t="str">
            <v>رول</v>
          </cell>
          <cell r="Q751">
            <v>453.39000000000004</v>
          </cell>
        </row>
        <row r="752">
          <cell r="D752">
            <v>45718</v>
          </cell>
          <cell r="G752">
            <v>26</v>
          </cell>
          <cell r="H752" t="str">
            <v>رول</v>
          </cell>
          <cell r="Q752">
            <v>745.78999999999985</v>
          </cell>
        </row>
        <row r="753">
          <cell r="D753">
            <v>45718</v>
          </cell>
          <cell r="G753">
            <v>12</v>
          </cell>
          <cell r="H753" t="str">
            <v>رول</v>
          </cell>
          <cell r="Q753">
            <v>433.25</v>
          </cell>
        </row>
        <row r="754">
          <cell r="D754">
            <v>45718</v>
          </cell>
          <cell r="G754">
            <v>12</v>
          </cell>
          <cell r="H754" t="str">
            <v>رول</v>
          </cell>
          <cell r="Q754">
            <v>93.82</v>
          </cell>
        </row>
        <row r="755">
          <cell r="D755">
            <v>45718</v>
          </cell>
          <cell r="G755">
            <v>11</v>
          </cell>
          <cell r="H755" t="str">
            <v>رول</v>
          </cell>
          <cell r="Q755">
            <v>359.13</v>
          </cell>
        </row>
        <row r="756">
          <cell r="D756">
            <v>45719</v>
          </cell>
          <cell r="G756">
            <v>5</v>
          </cell>
          <cell r="H756" t="str">
            <v>رول</v>
          </cell>
          <cell r="Q756">
            <v>68.94</v>
          </cell>
        </row>
        <row r="757">
          <cell r="D757">
            <v>45719</v>
          </cell>
          <cell r="G757">
            <v>5</v>
          </cell>
          <cell r="H757">
            <v>4.5</v>
          </cell>
          <cell r="Q757">
            <v>137.03</v>
          </cell>
        </row>
        <row r="758">
          <cell r="D758">
            <v>45719</v>
          </cell>
          <cell r="G758">
            <v>5</v>
          </cell>
          <cell r="H758">
            <v>4.5</v>
          </cell>
          <cell r="Q758">
            <v>179.7</v>
          </cell>
        </row>
        <row r="759">
          <cell r="D759">
            <v>45719</v>
          </cell>
          <cell r="G759">
            <v>3</v>
          </cell>
          <cell r="H759" t="str">
            <v>رول</v>
          </cell>
          <cell r="Q759">
            <v>124.30999999999999</v>
          </cell>
        </row>
        <row r="760">
          <cell r="D760">
            <v>45719</v>
          </cell>
          <cell r="G760">
            <v>3</v>
          </cell>
          <cell r="H760" t="str">
            <v>رول</v>
          </cell>
          <cell r="Q760">
            <v>132.96</v>
          </cell>
        </row>
        <row r="761">
          <cell r="D761">
            <v>45719</v>
          </cell>
          <cell r="G761">
            <v>9</v>
          </cell>
          <cell r="H761" t="str">
            <v>رول</v>
          </cell>
          <cell r="Q761">
            <v>361.8</v>
          </cell>
        </row>
        <row r="762">
          <cell r="D762">
            <v>45719</v>
          </cell>
          <cell r="G762">
            <v>9</v>
          </cell>
          <cell r="H762" t="str">
            <v>رول</v>
          </cell>
          <cell r="Q762">
            <v>295.53000000000003</v>
          </cell>
        </row>
        <row r="763">
          <cell r="D763">
            <v>45719</v>
          </cell>
          <cell r="G763">
            <v>26</v>
          </cell>
          <cell r="H763" t="str">
            <v>رول</v>
          </cell>
          <cell r="Q763">
            <v>117.36</v>
          </cell>
        </row>
        <row r="764">
          <cell r="D764">
            <v>45719</v>
          </cell>
          <cell r="G764">
            <v>18</v>
          </cell>
          <cell r="H764" t="str">
            <v>6-6.5</v>
          </cell>
          <cell r="Q764">
            <v>418.23</v>
          </cell>
        </row>
        <row r="765">
          <cell r="D765">
            <v>45719</v>
          </cell>
          <cell r="G765">
            <v>18</v>
          </cell>
          <cell r="H765">
            <v>10</v>
          </cell>
          <cell r="Q765">
            <v>77.55</v>
          </cell>
        </row>
        <row r="766">
          <cell r="D766">
            <v>45719</v>
          </cell>
          <cell r="G766">
            <v>18</v>
          </cell>
          <cell r="H766">
            <v>10</v>
          </cell>
          <cell r="Q766">
            <v>31.11</v>
          </cell>
        </row>
        <row r="767">
          <cell r="D767">
            <v>45719</v>
          </cell>
          <cell r="G767">
            <v>18</v>
          </cell>
          <cell r="H767" t="str">
            <v>رول</v>
          </cell>
          <cell r="Q767">
            <v>769.03000000000009</v>
          </cell>
        </row>
        <row r="768">
          <cell r="D768">
            <v>45719</v>
          </cell>
          <cell r="G768">
            <v>11</v>
          </cell>
          <cell r="H768" t="str">
            <v>رول</v>
          </cell>
          <cell r="Q768">
            <v>525.44000000000005</v>
          </cell>
        </row>
        <row r="769">
          <cell r="D769">
            <v>45719</v>
          </cell>
          <cell r="G769">
            <v>11</v>
          </cell>
          <cell r="H769" t="str">
            <v>رول</v>
          </cell>
          <cell r="Q769">
            <v>551.32999999999993</v>
          </cell>
        </row>
        <row r="770">
          <cell r="D770">
            <v>45720</v>
          </cell>
          <cell r="G770">
            <v>5</v>
          </cell>
          <cell r="H770" t="str">
            <v>رول</v>
          </cell>
          <cell r="Q770">
            <v>22.6</v>
          </cell>
        </row>
        <row r="771">
          <cell r="D771">
            <v>45720</v>
          </cell>
          <cell r="G771">
            <v>3.5</v>
          </cell>
          <cell r="H771">
            <v>4.5</v>
          </cell>
          <cell r="Q771">
            <v>119.28</v>
          </cell>
        </row>
        <row r="772">
          <cell r="D772">
            <v>45720</v>
          </cell>
          <cell r="G772">
            <v>3.5</v>
          </cell>
          <cell r="H772">
            <v>4.5</v>
          </cell>
          <cell r="Q772">
            <v>136.24</v>
          </cell>
        </row>
        <row r="773">
          <cell r="D773">
            <v>45720</v>
          </cell>
          <cell r="G773">
            <v>3</v>
          </cell>
          <cell r="H773" t="str">
            <v>رول</v>
          </cell>
          <cell r="Q773">
            <v>125.03</v>
          </cell>
        </row>
        <row r="774">
          <cell r="D774">
            <v>45720</v>
          </cell>
          <cell r="G774">
            <v>4</v>
          </cell>
          <cell r="H774" t="str">
            <v>رول</v>
          </cell>
          <cell r="Q774">
            <v>162.21</v>
          </cell>
        </row>
        <row r="775">
          <cell r="D775">
            <v>45720</v>
          </cell>
          <cell r="G775">
            <v>9</v>
          </cell>
          <cell r="H775" t="str">
            <v>رول</v>
          </cell>
          <cell r="Q775">
            <v>190.70000000000002</v>
          </cell>
        </row>
        <row r="776">
          <cell r="D776">
            <v>45720</v>
          </cell>
          <cell r="G776">
            <v>7</v>
          </cell>
          <cell r="H776" t="str">
            <v>رول</v>
          </cell>
          <cell r="Q776">
            <v>71.259999999999991</v>
          </cell>
        </row>
        <row r="777">
          <cell r="D777">
            <v>45720</v>
          </cell>
          <cell r="G777">
            <v>7</v>
          </cell>
          <cell r="H777" t="str">
            <v>رول</v>
          </cell>
          <cell r="Q777">
            <v>296.67</v>
          </cell>
        </row>
        <row r="778">
          <cell r="D778">
            <v>45720</v>
          </cell>
          <cell r="G778">
            <v>18</v>
          </cell>
          <cell r="H778" t="str">
            <v>رول</v>
          </cell>
          <cell r="Q778">
            <v>408.4</v>
          </cell>
        </row>
        <row r="779">
          <cell r="D779">
            <v>45720</v>
          </cell>
          <cell r="G779">
            <v>24</v>
          </cell>
          <cell r="H779">
            <v>10</v>
          </cell>
          <cell r="Q779">
            <v>109.75</v>
          </cell>
        </row>
        <row r="780">
          <cell r="D780">
            <v>45720</v>
          </cell>
          <cell r="G780">
            <v>24</v>
          </cell>
          <cell r="H780" t="str">
            <v>رول</v>
          </cell>
          <cell r="Q780">
            <v>91.47</v>
          </cell>
        </row>
        <row r="781">
          <cell r="D781">
            <v>45720</v>
          </cell>
          <cell r="G781">
            <v>24</v>
          </cell>
          <cell r="H781" t="str">
            <v>رول</v>
          </cell>
          <cell r="Q781">
            <v>693.93000000000018</v>
          </cell>
        </row>
        <row r="782">
          <cell r="D782">
            <v>45720</v>
          </cell>
          <cell r="G782">
            <v>20</v>
          </cell>
          <cell r="H782" t="str">
            <v>رول</v>
          </cell>
          <cell r="Q782">
            <v>52.279999999999994</v>
          </cell>
        </row>
        <row r="783">
          <cell r="D783">
            <v>45720</v>
          </cell>
          <cell r="G783">
            <v>11</v>
          </cell>
          <cell r="H783" t="str">
            <v>رول</v>
          </cell>
          <cell r="Q783">
            <v>284.42</v>
          </cell>
        </row>
        <row r="784">
          <cell r="D784">
            <v>45720</v>
          </cell>
          <cell r="G784">
            <v>13</v>
          </cell>
          <cell r="H784" t="str">
            <v>رول</v>
          </cell>
          <cell r="Q784">
            <v>206.42</v>
          </cell>
        </row>
        <row r="785">
          <cell r="D785">
            <v>45720</v>
          </cell>
          <cell r="G785">
            <v>13</v>
          </cell>
          <cell r="H785" t="str">
            <v>رول</v>
          </cell>
          <cell r="Q785">
            <v>546.59</v>
          </cell>
        </row>
        <row r="786">
          <cell r="D786">
            <v>45721</v>
          </cell>
          <cell r="G786">
            <v>3.5</v>
          </cell>
          <cell r="H786">
            <v>4.5</v>
          </cell>
          <cell r="Q786">
            <v>132.69</v>
          </cell>
        </row>
        <row r="787">
          <cell r="D787">
            <v>45721</v>
          </cell>
          <cell r="G787">
            <v>3.5</v>
          </cell>
          <cell r="H787">
            <v>4.5</v>
          </cell>
          <cell r="Q787">
            <v>43.3</v>
          </cell>
        </row>
        <row r="788">
          <cell r="D788">
            <v>45721</v>
          </cell>
          <cell r="G788">
            <v>3.5</v>
          </cell>
          <cell r="H788">
            <v>8</v>
          </cell>
          <cell r="Q788">
            <v>115.21000000000001</v>
          </cell>
        </row>
        <row r="789">
          <cell r="D789">
            <v>45721</v>
          </cell>
          <cell r="G789">
            <v>4</v>
          </cell>
          <cell r="H789" t="str">
            <v>رول</v>
          </cell>
          <cell r="Q789">
            <v>168.04000000000002</v>
          </cell>
        </row>
        <row r="790">
          <cell r="D790">
            <v>45721</v>
          </cell>
          <cell r="G790">
            <v>4</v>
          </cell>
          <cell r="H790" t="str">
            <v>رول</v>
          </cell>
          <cell r="Q790">
            <v>121.60999999999999</v>
          </cell>
        </row>
        <row r="791">
          <cell r="D791">
            <v>45721</v>
          </cell>
          <cell r="G791">
            <v>4</v>
          </cell>
          <cell r="H791">
            <v>5</v>
          </cell>
          <cell r="Q791">
            <v>57.18</v>
          </cell>
        </row>
        <row r="792">
          <cell r="D792">
            <v>45721</v>
          </cell>
          <cell r="G792">
            <v>7</v>
          </cell>
          <cell r="H792" t="str">
            <v>رول</v>
          </cell>
          <cell r="Q792">
            <v>293.99</v>
          </cell>
        </row>
        <row r="793">
          <cell r="D793">
            <v>45721</v>
          </cell>
          <cell r="G793">
            <v>7</v>
          </cell>
          <cell r="H793" t="str">
            <v>رول</v>
          </cell>
          <cell r="Q793">
            <v>272.76</v>
          </cell>
        </row>
        <row r="794">
          <cell r="D794">
            <v>45721</v>
          </cell>
          <cell r="G794">
            <v>20</v>
          </cell>
          <cell r="H794">
            <v>10</v>
          </cell>
          <cell r="Q794">
            <v>234.29000000000002</v>
          </cell>
        </row>
        <row r="795">
          <cell r="D795">
            <v>45721</v>
          </cell>
          <cell r="G795">
            <v>16</v>
          </cell>
          <cell r="H795" t="str">
            <v>رول</v>
          </cell>
          <cell r="Q795">
            <v>110.76</v>
          </cell>
        </row>
        <row r="796">
          <cell r="D796">
            <v>45721</v>
          </cell>
          <cell r="G796">
            <v>17</v>
          </cell>
          <cell r="H796" t="str">
            <v>5-5.5</v>
          </cell>
          <cell r="Q796">
            <v>373.73</v>
          </cell>
        </row>
        <row r="797">
          <cell r="D797">
            <v>45721</v>
          </cell>
          <cell r="G797">
            <v>17</v>
          </cell>
          <cell r="H797" t="str">
            <v>5-5.5</v>
          </cell>
          <cell r="Q797">
            <v>120.54</v>
          </cell>
        </row>
        <row r="798">
          <cell r="D798">
            <v>45721</v>
          </cell>
          <cell r="G798">
            <v>18</v>
          </cell>
          <cell r="H798" t="str">
            <v>7</v>
          </cell>
          <cell r="Q798">
            <v>338.11999999999995</v>
          </cell>
        </row>
        <row r="799">
          <cell r="D799">
            <v>45721</v>
          </cell>
          <cell r="G799">
            <v>18</v>
          </cell>
          <cell r="H799" t="str">
            <v>رول</v>
          </cell>
          <cell r="Q799">
            <v>262.64</v>
          </cell>
        </row>
        <row r="800">
          <cell r="D800">
            <v>45721</v>
          </cell>
          <cell r="G800">
            <v>13</v>
          </cell>
          <cell r="H800" t="str">
            <v>رول</v>
          </cell>
          <cell r="Q800">
            <v>517</v>
          </cell>
        </row>
        <row r="801">
          <cell r="D801">
            <v>45721</v>
          </cell>
          <cell r="G801">
            <v>13</v>
          </cell>
          <cell r="H801" t="str">
            <v>رول</v>
          </cell>
          <cell r="Q801">
            <v>522.57000000000005</v>
          </cell>
        </row>
        <row r="802">
          <cell r="D802">
            <v>45722</v>
          </cell>
          <cell r="G802">
            <v>3.5</v>
          </cell>
          <cell r="H802">
            <v>8</v>
          </cell>
          <cell r="Q802">
            <v>157.36999999999998</v>
          </cell>
        </row>
        <row r="803">
          <cell r="D803">
            <v>45722</v>
          </cell>
          <cell r="G803">
            <v>3.5</v>
          </cell>
          <cell r="H803">
            <v>8</v>
          </cell>
          <cell r="Q803">
            <v>157.85</v>
          </cell>
        </row>
        <row r="804">
          <cell r="D804">
            <v>45722</v>
          </cell>
          <cell r="G804">
            <v>4</v>
          </cell>
          <cell r="H804" t="str">
            <v>رول</v>
          </cell>
          <cell r="Q804">
            <v>134.81000000000003</v>
          </cell>
        </row>
        <row r="805">
          <cell r="D805">
            <v>45722</v>
          </cell>
          <cell r="G805">
            <v>4</v>
          </cell>
          <cell r="H805" t="str">
            <v>رول</v>
          </cell>
          <cell r="Q805">
            <v>172.38</v>
          </cell>
        </row>
        <row r="806">
          <cell r="D806">
            <v>45722</v>
          </cell>
          <cell r="G806">
            <v>7</v>
          </cell>
          <cell r="H806" t="str">
            <v>رول</v>
          </cell>
          <cell r="Q806">
            <v>267.52</v>
          </cell>
        </row>
        <row r="807">
          <cell r="D807">
            <v>45722</v>
          </cell>
          <cell r="G807">
            <v>7</v>
          </cell>
          <cell r="H807" t="str">
            <v>رول</v>
          </cell>
          <cell r="Q807">
            <v>269.26000000000005</v>
          </cell>
        </row>
        <row r="808">
          <cell r="D808">
            <v>45722</v>
          </cell>
          <cell r="G808">
            <v>18</v>
          </cell>
          <cell r="H808" t="str">
            <v>رول</v>
          </cell>
          <cell r="Q808">
            <v>762.39</v>
          </cell>
        </row>
        <row r="809">
          <cell r="D809">
            <v>45722</v>
          </cell>
          <cell r="G809">
            <v>18</v>
          </cell>
          <cell r="H809" t="str">
            <v>رول</v>
          </cell>
          <cell r="Q809">
            <v>214.77</v>
          </cell>
        </row>
        <row r="810">
          <cell r="D810">
            <v>45722</v>
          </cell>
          <cell r="G810">
            <v>18</v>
          </cell>
          <cell r="H810" t="str">
            <v>-</v>
          </cell>
          <cell r="Q810">
            <v>619.37</v>
          </cell>
        </row>
        <row r="811">
          <cell r="D811">
            <v>45722</v>
          </cell>
          <cell r="G811">
            <v>13</v>
          </cell>
          <cell r="H811" t="str">
            <v>رول</v>
          </cell>
          <cell r="Q811">
            <v>209.57000000000002</v>
          </cell>
        </row>
        <row r="812">
          <cell r="D812">
            <v>45722</v>
          </cell>
          <cell r="G812">
            <v>14</v>
          </cell>
          <cell r="H812" t="str">
            <v>رول</v>
          </cell>
          <cell r="Q812">
            <v>315.59999999999997</v>
          </cell>
        </row>
        <row r="813">
          <cell r="D813">
            <v>45722</v>
          </cell>
          <cell r="G813">
            <v>14</v>
          </cell>
          <cell r="H813" t="str">
            <v>رول</v>
          </cell>
          <cell r="Q813">
            <v>551.74000000000012</v>
          </cell>
        </row>
        <row r="814">
          <cell r="D814">
            <v>45723</v>
          </cell>
          <cell r="G814">
            <v>3.5</v>
          </cell>
          <cell r="H814">
            <v>8</v>
          </cell>
          <cell r="Q814">
            <v>146.26</v>
          </cell>
        </row>
        <row r="815">
          <cell r="D815">
            <v>45723</v>
          </cell>
          <cell r="G815">
            <v>3.5</v>
          </cell>
          <cell r="H815">
            <v>8</v>
          </cell>
          <cell r="Q815">
            <v>167.01</v>
          </cell>
        </row>
        <row r="816">
          <cell r="D816">
            <v>45723</v>
          </cell>
          <cell r="G816">
            <v>4</v>
          </cell>
          <cell r="H816" t="str">
            <v>رول</v>
          </cell>
          <cell r="Q816">
            <v>178.25000000000003</v>
          </cell>
        </row>
        <row r="817">
          <cell r="D817">
            <v>45723</v>
          </cell>
          <cell r="G817">
            <v>4</v>
          </cell>
          <cell r="H817" t="str">
            <v>رول</v>
          </cell>
          <cell r="Q817">
            <v>179.3</v>
          </cell>
        </row>
        <row r="818">
          <cell r="D818">
            <v>45723</v>
          </cell>
          <cell r="G818">
            <v>7</v>
          </cell>
          <cell r="H818" t="str">
            <v>رول</v>
          </cell>
          <cell r="Q818">
            <v>269.56</v>
          </cell>
        </row>
        <row r="819">
          <cell r="D819">
            <v>45723</v>
          </cell>
          <cell r="G819">
            <v>7</v>
          </cell>
          <cell r="H819" t="str">
            <v>رول</v>
          </cell>
          <cell r="Q819">
            <v>266.68</v>
          </cell>
        </row>
        <row r="820">
          <cell r="D820">
            <v>45723</v>
          </cell>
          <cell r="G820">
            <v>18</v>
          </cell>
          <cell r="H820" t="str">
            <v>-</v>
          </cell>
          <cell r="Q820">
            <v>518.81000000000006</v>
          </cell>
        </row>
        <row r="821">
          <cell r="D821">
            <v>45723</v>
          </cell>
          <cell r="G821">
            <v>18</v>
          </cell>
          <cell r="H821" t="str">
            <v>-</v>
          </cell>
          <cell r="Q821">
            <v>761.44000000000017</v>
          </cell>
        </row>
        <row r="822">
          <cell r="D822">
            <v>45723</v>
          </cell>
          <cell r="G822">
            <v>14</v>
          </cell>
          <cell r="H822" t="str">
            <v>رول</v>
          </cell>
          <cell r="Q822">
            <v>542.08000000000015</v>
          </cell>
        </row>
        <row r="823">
          <cell r="D823">
            <v>45723</v>
          </cell>
          <cell r="G823">
            <v>14</v>
          </cell>
          <cell r="H823" t="str">
            <v>رول</v>
          </cell>
          <cell r="Q823">
            <v>527.55999999999995</v>
          </cell>
        </row>
        <row r="824">
          <cell r="D824">
            <v>45724</v>
          </cell>
          <cell r="G824">
            <v>3.5</v>
          </cell>
          <cell r="H824">
            <v>8</v>
          </cell>
          <cell r="Q824">
            <v>155.12999999999997</v>
          </cell>
        </row>
        <row r="825">
          <cell r="D825">
            <v>45724</v>
          </cell>
          <cell r="G825">
            <v>3.5</v>
          </cell>
          <cell r="H825">
            <v>8</v>
          </cell>
          <cell r="Q825">
            <v>152.1</v>
          </cell>
        </row>
        <row r="826">
          <cell r="D826">
            <v>45724</v>
          </cell>
          <cell r="G826">
            <v>4</v>
          </cell>
          <cell r="H826" t="str">
            <v>رول</v>
          </cell>
          <cell r="Q826">
            <v>26.25</v>
          </cell>
        </row>
        <row r="827">
          <cell r="D827">
            <v>45724</v>
          </cell>
          <cell r="G827">
            <v>2.5</v>
          </cell>
          <cell r="H827" t="str">
            <v>رول</v>
          </cell>
          <cell r="Q827">
            <v>87.210000000000008</v>
          </cell>
        </row>
        <row r="828">
          <cell r="D828">
            <v>45724</v>
          </cell>
          <cell r="G828">
            <v>2.5</v>
          </cell>
          <cell r="H828" t="str">
            <v>رول</v>
          </cell>
          <cell r="Q828">
            <v>114.36000000000001</v>
          </cell>
        </row>
        <row r="829">
          <cell r="D829">
            <v>45724</v>
          </cell>
          <cell r="G829">
            <v>7</v>
          </cell>
          <cell r="H829" t="str">
            <v>رول</v>
          </cell>
          <cell r="Q829">
            <v>291.01</v>
          </cell>
        </row>
        <row r="830">
          <cell r="D830">
            <v>45724</v>
          </cell>
          <cell r="G830">
            <v>7</v>
          </cell>
          <cell r="H830" t="str">
            <v>رول</v>
          </cell>
          <cell r="Q830">
            <v>252.12000000000003</v>
          </cell>
        </row>
        <row r="831">
          <cell r="D831">
            <v>45724</v>
          </cell>
          <cell r="G831">
            <v>18</v>
          </cell>
          <cell r="H831" t="str">
            <v>-</v>
          </cell>
          <cell r="Q831">
            <v>228.21</v>
          </cell>
        </row>
        <row r="832">
          <cell r="D832">
            <v>45724</v>
          </cell>
          <cell r="G832">
            <v>18</v>
          </cell>
          <cell r="H832">
            <v>10</v>
          </cell>
          <cell r="Q832">
            <v>111.25</v>
          </cell>
        </row>
        <row r="833">
          <cell r="D833">
            <v>45724</v>
          </cell>
          <cell r="G833">
            <v>17</v>
          </cell>
          <cell r="H833">
            <v>5</v>
          </cell>
          <cell r="Q833">
            <v>434.21999999999997</v>
          </cell>
        </row>
        <row r="834">
          <cell r="D834">
            <v>45724</v>
          </cell>
          <cell r="G834">
            <v>17</v>
          </cell>
          <cell r="H834">
            <v>5</v>
          </cell>
          <cell r="Q834">
            <v>234.62</v>
          </cell>
        </row>
        <row r="835">
          <cell r="D835">
            <v>45724</v>
          </cell>
          <cell r="G835">
            <v>17</v>
          </cell>
          <cell r="H835">
            <v>5</v>
          </cell>
          <cell r="Q835">
            <v>532.6</v>
          </cell>
        </row>
        <row r="836">
          <cell r="D836">
            <v>45724</v>
          </cell>
          <cell r="G836">
            <v>14</v>
          </cell>
          <cell r="H836" t="str">
            <v>رول</v>
          </cell>
          <cell r="Q836">
            <v>532.35</v>
          </cell>
        </row>
        <row r="837">
          <cell r="D837">
            <v>45724</v>
          </cell>
          <cell r="G837">
            <v>14</v>
          </cell>
          <cell r="H837" t="str">
            <v>رول</v>
          </cell>
          <cell r="Q837">
            <v>544.53</v>
          </cell>
        </row>
        <row r="838">
          <cell r="D838">
            <v>45725</v>
          </cell>
          <cell r="G838">
            <v>3.5</v>
          </cell>
          <cell r="H838">
            <v>8</v>
          </cell>
          <cell r="Q838">
            <v>156.05999999999997</v>
          </cell>
        </row>
        <row r="839">
          <cell r="D839">
            <v>45725</v>
          </cell>
          <cell r="G839">
            <v>3.5</v>
          </cell>
          <cell r="H839">
            <v>8</v>
          </cell>
          <cell r="Q839">
            <v>151.97999999999999</v>
          </cell>
        </row>
        <row r="840">
          <cell r="D840">
            <v>45725</v>
          </cell>
          <cell r="G840">
            <v>2.5</v>
          </cell>
          <cell r="H840" t="str">
            <v>رول</v>
          </cell>
          <cell r="Q840">
            <v>121.6</v>
          </cell>
        </row>
        <row r="841">
          <cell r="D841">
            <v>45725</v>
          </cell>
          <cell r="G841">
            <v>2.5</v>
          </cell>
          <cell r="H841" t="str">
            <v>رول</v>
          </cell>
          <cell r="Q841">
            <v>111.54999999999998</v>
          </cell>
        </row>
        <row r="842">
          <cell r="D842">
            <v>45725</v>
          </cell>
          <cell r="G842">
            <v>7</v>
          </cell>
          <cell r="H842" t="str">
            <v>رول</v>
          </cell>
          <cell r="Q842">
            <v>275.99</v>
          </cell>
        </row>
        <row r="843">
          <cell r="D843">
            <v>45725</v>
          </cell>
          <cell r="G843">
            <v>7</v>
          </cell>
          <cell r="H843" t="str">
            <v>رول</v>
          </cell>
          <cell r="Q843">
            <v>264.7</v>
          </cell>
        </row>
        <row r="844">
          <cell r="D844">
            <v>45725</v>
          </cell>
          <cell r="G844">
            <v>17</v>
          </cell>
          <cell r="H844">
            <v>5</v>
          </cell>
          <cell r="Q844">
            <v>352.24999999999994</v>
          </cell>
        </row>
        <row r="845">
          <cell r="D845">
            <v>45725</v>
          </cell>
          <cell r="G845">
            <v>17</v>
          </cell>
          <cell r="H845">
            <v>5</v>
          </cell>
          <cell r="Q845">
            <v>310.36</v>
          </cell>
        </row>
        <row r="846">
          <cell r="D846">
            <v>45725</v>
          </cell>
          <cell r="G846">
            <v>17</v>
          </cell>
          <cell r="H846">
            <v>5</v>
          </cell>
          <cell r="Q846">
            <v>187.98999999999998</v>
          </cell>
        </row>
        <row r="847">
          <cell r="D847">
            <v>45725</v>
          </cell>
          <cell r="G847">
            <v>17</v>
          </cell>
          <cell r="H847">
            <v>5</v>
          </cell>
          <cell r="Q847">
            <v>310.7</v>
          </cell>
        </row>
        <row r="848">
          <cell r="D848">
            <v>45725</v>
          </cell>
          <cell r="G848">
            <v>16</v>
          </cell>
          <cell r="H848" t="str">
            <v>5-5.5</v>
          </cell>
          <cell r="Q848">
            <v>432.38</v>
          </cell>
        </row>
        <row r="849">
          <cell r="D849">
            <v>45725</v>
          </cell>
          <cell r="G849">
            <v>14</v>
          </cell>
          <cell r="H849" t="str">
            <v>رول</v>
          </cell>
          <cell r="Q849">
            <v>240.57999999999998</v>
          </cell>
        </row>
        <row r="850">
          <cell r="D850">
            <v>45725</v>
          </cell>
          <cell r="G850">
            <v>12</v>
          </cell>
          <cell r="H850" t="str">
            <v>5-5.5</v>
          </cell>
          <cell r="Q850">
            <v>272.05</v>
          </cell>
        </row>
        <row r="851">
          <cell r="D851">
            <v>45725</v>
          </cell>
          <cell r="G851">
            <v>12</v>
          </cell>
          <cell r="H851" t="str">
            <v>5-5.5</v>
          </cell>
          <cell r="Q851">
            <v>459.98999999999995</v>
          </cell>
        </row>
        <row r="852">
          <cell r="D852">
            <v>45726</v>
          </cell>
          <cell r="G852">
            <v>3.5</v>
          </cell>
          <cell r="H852">
            <v>8</v>
          </cell>
          <cell r="Q852">
            <v>159.10999999999999</v>
          </cell>
        </row>
        <row r="853">
          <cell r="D853">
            <v>45726</v>
          </cell>
          <cell r="G853">
            <v>3.5</v>
          </cell>
          <cell r="H853">
            <v>8</v>
          </cell>
          <cell r="Q853">
            <v>157.15999999999997</v>
          </cell>
        </row>
        <row r="854">
          <cell r="D854">
            <v>45726</v>
          </cell>
          <cell r="G854">
            <v>2.5</v>
          </cell>
          <cell r="H854" t="str">
            <v>رول</v>
          </cell>
          <cell r="Q854">
            <v>132.69</v>
          </cell>
        </row>
        <row r="855">
          <cell r="D855">
            <v>45726</v>
          </cell>
          <cell r="G855">
            <v>2.5</v>
          </cell>
          <cell r="H855" t="str">
            <v>رول</v>
          </cell>
          <cell r="Q855">
            <v>126.28999999999999</v>
          </cell>
        </row>
        <row r="856">
          <cell r="D856">
            <v>45726</v>
          </cell>
          <cell r="G856">
            <v>7</v>
          </cell>
          <cell r="H856" t="str">
            <v>رول</v>
          </cell>
          <cell r="Q856">
            <v>259.36</v>
          </cell>
        </row>
        <row r="857">
          <cell r="D857">
            <v>45726</v>
          </cell>
          <cell r="G857">
            <v>7</v>
          </cell>
          <cell r="H857" t="str">
            <v>رول</v>
          </cell>
          <cell r="Q857">
            <v>305.67</v>
          </cell>
        </row>
        <row r="858">
          <cell r="D858">
            <v>45726</v>
          </cell>
          <cell r="G858">
            <v>16</v>
          </cell>
          <cell r="H858" t="str">
            <v>5-5.5</v>
          </cell>
          <cell r="Q858">
            <v>762.94999999999993</v>
          </cell>
        </row>
        <row r="859">
          <cell r="D859">
            <v>45726</v>
          </cell>
          <cell r="G859">
            <v>16</v>
          </cell>
          <cell r="H859" t="str">
            <v>5-5.5</v>
          </cell>
          <cell r="Q859">
            <v>52.43</v>
          </cell>
        </row>
        <row r="860">
          <cell r="D860">
            <v>45726</v>
          </cell>
          <cell r="G860" t="str">
            <v>16" شیٹ</v>
          </cell>
          <cell r="H860" t="str">
            <v>7-7.5/14-15</v>
          </cell>
          <cell r="Q860">
            <v>672.57</v>
          </cell>
        </row>
        <row r="861">
          <cell r="D861">
            <v>45726</v>
          </cell>
          <cell r="G861">
            <v>12</v>
          </cell>
          <cell r="H861" t="str">
            <v>رول</v>
          </cell>
          <cell r="Q861">
            <v>102.14</v>
          </cell>
        </row>
        <row r="862">
          <cell r="D862">
            <v>45726</v>
          </cell>
          <cell r="G862">
            <v>9</v>
          </cell>
          <cell r="H862" t="str">
            <v>رول</v>
          </cell>
          <cell r="Q862">
            <v>322.84000000000003</v>
          </cell>
        </row>
        <row r="863">
          <cell r="D863">
            <v>45726</v>
          </cell>
          <cell r="G863">
            <v>9</v>
          </cell>
          <cell r="H863" t="str">
            <v>رول</v>
          </cell>
          <cell r="Q863">
            <v>419.18999999999994</v>
          </cell>
        </row>
        <row r="864">
          <cell r="D864">
            <v>45727</v>
          </cell>
          <cell r="G864">
            <v>2.5</v>
          </cell>
          <cell r="H864" t="str">
            <v>رول</v>
          </cell>
          <cell r="Q864">
            <v>77.47999999999999</v>
          </cell>
        </row>
        <row r="865">
          <cell r="D865">
            <v>45727</v>
          </cell>
          <cell r="G865">
            <v>2.5</v>
          </cell>
          <cell r="H865" t="str">
            <v>رول</v>
          </cell>
          <cell r="Q865">
            <v>110.83</v>
          </cell>
        </row>
        <row r="866">
          <cell r="D866">
            <v>45727</v>
          </cell>
          <cell r="G866">
            <v>4</v>
          </cell>
          <cell r="H866">
            <v>4.5</v>
          </cell>
          <cell r="Q866">
            <v>105.47</v>
          </cell>
        </row>
        <row r="867">
          <cell r="D867">
            <v>45727</v>
          </cell>
          <cell r="G867">
            <v>4</v>
          </cell>
          <cell r="H867">
            <v>4.5</v>
          </cell>
          <cell r="Q867">
            <v>160.22999999999999</v>
          </cell>
        </row>
        <row r="868">
          <cell r="D868">
            <v>45727</v>
          </cell>
          <cell r="G868">
            <v>7</v>
          </cell>
          <cell r="H868" t="str">
            <v>رول</v>
          </cell>
          <cell r="Q868">
            <v>116.4</v>
          </cell>
        </row>
        <row r="869">
          <cell r="D869">
            <v>45727</v>
          </cell>
          <cell r="G869">
            <v>6</v>
          </cell>
          <cell r="H869" t="str">
            <v>4-4.5</v>
          </cell>
          <cell r="Q869">
            <v>172.08999999999997</v>
          </cell>
        </row>
        <row r="870">
          <cell r="D870">
            <v>45727</v>
          </cell>
          <cell r="G870">
            <v>6</v>
          </cell>
          <cell r="H870" t="str">
            <v>4-4.5</v>
          </cell>
          <cell r="Q870">
            <v>262.48</v>
          </cell>
        </row>
        <row r="871">
          <cell r="D871">
            <v>45727</v>
          </cell>
          <cell r="G871">
            <v>18</v>
          </cell>
          <cell r="H871" t="str">
            <v>رول</v>
          </cell>
          <cell r="Q871">
            <v>218.72000000000003</v>
          </cell>
        </row>
        <row r="872">
          <cell r="D872">
            <v>45727</v>
          </cell>
          <cell r="G872">
            <v>16</v>
          </cell>
          <cell r="H872" t="str">
            <v>5.5-6</v>
          </cell>
          <cell r="Q872">
            <v>640.29</v>
          </cell>
        </row>
        <row r="873">
          <cell r="D873">
            <v>45727</v>
          </cell>
          <cell r="G873">
            <v>16</v>
          </cell>
          <cell r="H873" t="str">
            <v>5.5-6</v>
          </cell>
          <cell r="Q873">
            <v>587.24000000000012</v>
          </cell>
        </row>
        <row r="874">
          <cell r="D874">
            <v>45727</v>
          </cell>
          <cell r="G874">
            <v>16</v>
          </cell>
          <cell r="H874">
            <v>10</v>
          </cell>
          <cell r="Q874">
            <v>159.62</v>
          </cell>
        </row>
        <row r="875">
          <cell r="D875">
            <v>45727</v>
          </cell>
          <cell r="G875">
            <v>9</v>
          </cell>
          <cell r="H875" t="str">
            <v>رول</v>
          </cell>
          <cell r="Q875">
            <v>115.54</v>
          </cell>
        </row>
        <row r="876">
          <cell r="D876">
            <v>45727</v>
          </cell>
          <cell r="G876">
            <v>9</v>
          </cell>
          <cell r="H876">
            <v>4.5</v>
          </cell>
          <cell r="Q876">
            <v>309.16999999999996</v>
          </cell>
        </row>
        <row r="877">
          <cell r="D877">
            <v>45727</v>
          </cell>
          <cell r="G877">
            <v>9</v>
          </cell>
          <cell r="H877">
            <v>4.5</v>
          </cell>
          <cell r="Q877">
            <v>275.03000000000003</v>
          </cell>
        </row>
        <row r="878">
          <cell r="D878">
            <v>45727</v>
          </cell>
          <cell r="G878">
            <v>9</v>
          </cell>
          <cell r="H878" t="str">
            <v>رول</v>
          </cell>
          <cell r="Q878">
            <v>144.78</v>
          </cell>
        </row>
        <row r="879">
          <cell r="D879">
            <v>45727</v>
          </cell>
          <cell r="G879">
            <v>9</v>
          </cell>
          <cell r="H879">
            <v>10</v>
          </cell>
          <cell r="Q879">
            <v>35.07</v>
          </cell>
        </row>
        <row r="880">
          <cell r="D880">
            <v>45728</v>
          </cell>
          <cell r="G880">
            <v>4</v>
          </cell>
          <cell r="H880">
            <v>4.5</v>
          </cell>
          <cell r="Q880">
            <v>122.77000000000001</v>
          </cell>
        </row>
        <row r="881">
          <cell r="D881">
            <v>45728</v>
          </cell>
          <cell r="G881">
            <v>3</v>
          </cell>
          <cell r="H881" t="str">
            <v>رول</v>
          </cell>
          <cell r="Q881">
            <v>30.799999999999997</v>
          </cell>
        </row>
        <row r="882">
          <cell r="D882">
            <v>45728</v>
          </cell>
          <cell r="G882">
            <v>3</v>
          </cell>
          <cell r="H882" t="str">
            <v>رول</v>
          </cell>
          <cell r="Q882">
            <v>127.1</v>
          </cell>
        </row>
        <row r="883">
          <cell r="D883">
            <v>45728</v>
          </cell>
          <cell r="G883">
            <v>2.5</v>
          </cell>
          <cell r="H883" t="str">
            <v>رول</v>
          </cell>
          <cell r="Q883">
            <v>22.85</v>
          </cell>
        </row>
        <row r="884">
          <cell r="D884">
            <v>45728</v>
          </cell>
          <cell r="G884">
            <v>5</v>
          </cell>
          <cell r="H884" t="str">
            <v>رول</v>
          </cell>
          <cell r="Q884">
            <v>155.32</v>
          </cell>
        </row>
        <row r="885">
          <cell r="D885">
            <v>45728</v>
          </cell>
          <cell r="G885">
            <v>6</v>
          </cell>
          <cell r="H885" t="str">
            <v>رول</v>
          </cell>
          <cell r="Q885">
            <v>300.24</v>
          </cell>
        </row>
        <row r="886">
          <cell r="D886">
            <v>45728</v>
          </cell>
          <cell r="G886">
            <v>6</v>
          </cell>
          <cell r="H886" t="str">
            <v>رول</v>
          </cell>
          <cell r="Q886">
            <v>267.40999999999997</v>
          </cell>
        </row>
        <row r="887">
          <cell r="D887">
            <v>45728</v>
          </cell>
          <cell r="G887">
            <v>16</v>
          </cell>
          <cell r="H887" t="str">
            <v>رول</v>
          </cell>
          <cell r="Q887">
            <v>216.15</v>
          </cell>
        </row>
        <row r="888">
          <cell r="D888">
            <v>45728</v>
          </cell>
          <cell r="G888">
            <v>22</v>
          </cell>
          <cell r="H888" t="str">
            <v>6-6.5</v>
          </cell>
          <cell r="Q888">
            <v>111.68</v>
          </cell>
        </row>
        <row r="889">
          <cell r="D889">
            <v>45728</v>
          </cell>
          <cell r="G889">
            <v>22</v>
          </cell>
          <cell r="H889" t="str">
            <v>5-5.5</v>
          </cell>
          <cell r="Q889">
            <v>336.87</v>
          </cell>
        </row>
        <row r="890">
          <cell r="D890">
            <v>45728</v>
          </cell>
          <cell r="G890">
            <v>22</v>
          </cell>
          <cell r="H890" t="str">
            <v>5-5.5</v>
          </cell>
          <cell r="Q890">
            <v>407.05999999999995</v>
          </cell>
        </row>
        <row r="891">
          <cell r="D891">
            <v>45728</v>
          </cell>
          <cell r="G891">
            <v>22</v>
          </cell>
          <cell r="H891">
            <v>10</v>
          </cell>
          <cell r="Q891">
            <v>183.9</v>
          </cell>
        </row>
        <row r="892">
          <cell r="D892">
            <v>45728</v>
          </cell>
          <cell r="G892">
            <v>9</v>
          </cell>
          <cell r="H892" t="str">
            <v>رول</v>
          </cell>
          <cell r="Q892">
            <v>195.93</v>
          </cell>
        </row>
        <row r="893">
          <cell r="D893">
            <v>45728</v>
          </cell>
          <cell r="G893">
            <v>9</v>
          </cell>
          <cell r="H893">
            <v>10</v>
          </cell>
          <cell r="Q893">
            <v>82.7</v>
          </cell>
        </row>
        <row r="894">
          <cell r="D894">
            <v>45728</v>
          </cell>
          <cell r="G894">
            <v>10</v>
          </cell>
          <cell r="H894">
            <v>4.5</v>
          </cell>
          <cell r="Q894">
            <v>214.35</v>
          </cell>
        </row>
        <row r="895">
          <cell r="D895">
            <v>45728</v>
          </cell>
          <cell r="G895">
            <v>10</v>
          </cell>
          <cell r="H895">
            <v>4.5</v>
          </cell>
          <cell r="Q895">
            <v>425.05</v>
          </cell>
        </row>
        <row r="896">
          <cell r="D896">
            <v>45728</v>
          </cell>
          <cell r="G896">
            <v>10</v>
          </cell>
          <cell r="H896" t="str">
            <v>رول</v>
          </cell>
          <cell r="Q896">
            <v>145.52000000000001</v>
          </cell>
        </row>
        <row r="897">
          <cell r="D897">
            <v>45729</v>
          </cell>
          <cell r="G897">
            <v>3</v>
          </cell>
          <cell r="H897" t="str">
            <v>رول</v>
          </cell>
          <cell r="Q897">
            <v>141.84</v>
          </cell>
        </row>
        <row r="898">
          <cell r="D898">
            <v>45729</v>
          </cell>
          <cell r="G898">
            <v>3</v>
          </cell>
          <cell r="H898" t="str">
            <v>رول</v>
          </cell>
          <cell r="Q898">
            <v>121.97</v>
          </cell>
        </row>
        <row r="899">
          <cell r="D899">
            <v>45729</v>
          </cell>
          <cell r="G899">
            <v>5</v>
          </cell>
          <cell r="H899" t="str">
            <v>رول</v>
          </cell>
          <cell r="Q899">
            <v>203.76</v>
          </cell>
        </row>
        <row r="900">
          <cell r="D900">
            <v>45729</v>
          </cell>
          <cell r="G900">
            <v>5</v>
          </cell>
          <cell r="H900" t="str">
            <v>رول</v>
          </cell>
          <cell r="Q900">
            <v>196.54999999999998</v>
          </cell>
        </row>
        <row r="901">
          <cell r="D901">
            <v>45729</v>
          </cell>
          <cell r="G901">
            <v>6</v>
          </cell>
          <cell r="H901" t="str">
            <v>رول</v>
          </cell>
          <cell r="Q901">
            <v>340.28</v>
          </cell>
        </row>
        <row r="902">
          <cell r="D902">
            <v>45729</v>
          </cell>
          <cell r="G902">
            <v>6</v>
          </cell>
          <cell r="H902" t="str">
            <v>رول</v>
          </cell>
          <cell r="Q902">
            <v>304.98</v>
          </cell>
        </row>
        <row r="903">
          <cell r="D903">
            <v>45729</v>
          </cell>
          <cell r="G903" t="str">
            <v>22" شیٹ</v>
          </cell>
          <cell r="H903" t="str">
            <v>7-7.5/14-15</v>
          </cell>
          <cell r="Q903">
            <v>488.09</v>
          </cell>
        </row>
        <row r="904">
          <cell r="D904">
            <v>45729</v>
          </cell>
          <cell r="G904">
            <v>20</v>
          </cell>
          <cell r="H904">
            <v>10</v>
          </cell>
          <cell r="Q904">
            <v>207.29</v>
          </cell>
        </row>
        <row r="905">
          <cell r="D905">
            <v>45729</v>
          </cell>
          <cell r="G905" t="str">
            <v>16" شیٹ</v>
          </cell>
          <cell r="H905" t="str">
            <v>7-7.5/14-15</v>
          </cell>
          <cell r="Q905">
            <v>159.42999999999998</v>
          </cell>
        </row>
        <row r="906">
          <cell r="D906">
            <v>45729</v>
          </cell>
          <cell r="G906">
            <v>20</v>
          </cell>
          <cell r="H906" t="str">
            <v>5-5.5</v>
          </cell>
          <cell r="Q906">
            <v>710.75</v>
          </cell>
        </row>
        <row r="907">
          <cell r="D907">
            <v>45729</v>
          </cell>
          <cell r="G907">
            <v>10</v>
          </cell>
          <cell r="H907" t="str">
            <v>رول</v>
          </cell>
          <cell r="Q907">
            <v>494.06</v>
          </cell>
        </row>
        <row r="908">
          <cell r="D908">
            <v>45729</v>
          </cell>
          <cell r="G908">
            <v>11</v>
          </cell>
          <cell r="H908">
            <v>10</v>
          </cell>
          <cell r="Q908">
            <v>27.41</v>
          </cell>
        </row>
        <row r="909">
          <cell r="D909">
            <v>45729</v>
          </cell>
          <cell r="G909">
            <v>11</v>
          </cell>
          <cell r="H909">
            <v>10</v>
          </cell>
          <cell r="Q909">
            <v>92.86999999999999</v>
          </cell>
        </row>
        <row r="910">
          <cell r="D910">
            <v>45729</v>
          </cell>
          <cell r="G910">
            <v>12</v>
          </cell>
          <cell r="H910">
            <v>10</v>
          </cell>
          <cell r="Q910">
            <v>287.68</v>
          </cell>
        </row>
        <row r="911">
          <cell r="D911">
            <v>45729</v>
          </cell>
          <cell r="G911">
            <v>10</v>
          </cell>
          <cell r="H911" t="str">
            <v>رول</v>
          </cell>
          <cell r="Q911">
            <v>141.99</v>
          </cell>
        </row>
        <row r="912">
          <cell r="D912">
            <v>45730</v>
          </cell>
          <cell r="G912">
            <v>3</v>
          </cell>
          <cell r="H912" t="str">
            <v>رول</v>
          </cell>
          <cell r="Q912">
            <v>123.4</v>
          </cell>
        </row>
        <row r="913">
          <cell r="D913">
            <v>45730</v>
          </cell>
          <cell r="G913">
            <v>3</v>
          </cell>
          <cell r="H913" t="str">
            <v>رول</v>
          </cell>
          <cell r="Q913">
            <v>126.61999999999998</v>
          </cell>
        </row>
        <row r="914">
          <cell r="D914">
            <v>45730</v>
          </cell>
          <cell r="G914">
            <v>5</v>
          </cell>
          <cell r="H914" t="str">
            <v>رول</v>
          </cell>
          <cell r="Q914">
            <v>172.05</v>
          </cell>
        </row>
        <row r="915">
          <cell r="D915">
            <v>45730</v>
          </cell>
          <cell r="G915">
            <v>5</v>
          </cell>
          <cell r="H915" t="str">
            <v>رول</v>
          </cell>
          <cell r="Q915">
            <v>208.5</v>
          </cell>
        </row>
        <row r="916">
          <cell r="D916">
            <v>45730</v>
          </cell>
          <cell r="G916">
            <v>6</v>
          </cell>
          <cell r="H916" t="str">
            <v>رول</v>
          </cell>
          <cell r="Q916">
            <v>377.18</v>
          </cell>
        </row>
        <row r="917">
          <cell r="D917">
            <v>45730</v>
          </cell>
          <cell r="G917">
            <v>6</v>
          </cell>
          <cell r="H917" t="str">
            <v>رول</v>
          </cell>
          <cell r="Q917">
            <v>305.25000000000006</v>
          </cell>
        </row>
        <row r="918">
          <cell r="D918">
            <v>45730</v>
          </cell>
          <cell r="G918">
            <v>20</v>
          </cell>
          <cell r="H918" t="str">
            <v>5-5.5</v>
          </cell>
          <cell r="Q918">
            <v>623.03000000000009</v>
          </cell>
        </row>
        <row r="919">
          <cell r="D919">
            <v>45730</v>
          </cell>
          <cell r="G919">
            <v>28</v>
          </cell>
          <cell r="H919">
            <v>5</v>
          </cell>
          <cell r="Q919">
            <v>244.73999999999998</v>
          </cell>
        </row>
        <row r="920">
          <cell r="D920">
            <v>45730</v>
          </cell>
          <cell r="G920">
            <v>28</v>
          </cell>
          <cell r="H920">
            <v>5</v>
          </cell>
          <cell r="Q920">
            <v>253.56</v>
          </cell>
        </row>
        <row r="921">
          <cell r="D921">
            <v>45730</v>
          </cell>
          <cell r="G921">
            <v>14</v>
          </cell>
          <cell r="H921">
            <v>10</v>
          </cell>
          <cell r="Q921">
            <v>294.15999999999997</v>
          </cell>
        </row>
        <row r="922">
          <cell r="D922">
            <v>45730</v>
          </cell>
          <cell r="G922">
            <v>18</v>
          </cell>
          <cell r="H922">
            <v>10</v>
          </cell>
          <cell r="Q922">
            <v>201.87999999999997</v>
          </cell>
        </row>
        <row r="923">
          <cell r="D923">
            <v>45730</v>
          </cell>
          <cell r="G923">
            <v>12</v>
          </cell>
          <cell r="H923" t="str">
            <v>رول</v>
          </cell>
          <cell r="Q923">
            <v>580.79</v>
          </cell>
        </row>
        <row r="924">
          <cell r="D924">
            <v>45730</v>
          </cell>
          <cell r="G924">
            <v>12</v>
          </cell>
          <cell r="H924" t="str">
            <v>رول</v>
          </cell>
          <cell r="Q924">
            <v>533.45000000000016</v>
          </cell>
        </row>
        <row r="925">
          <cell r="D925">
            <v>45731</v>
          </cell>
          <cell r="G925">
            <v>3</v>
          </cell>
          <cell r="H925" t="str">
            <v>رول</v>
          </cell>
          <cell r="Q925">
            <v>114.52000000000001</v>
          </cell>
        </row>
        <row r="926">
          <cell r="D926">
            <v>45731</v>
          </cell>
          <cell r="G926">
            <v>3</v>
          </cell>
          <cell r="H926" t="str">
            <v>رول</v>
          </cell>
          <cell r="Q926">
            <v>138.05999999999997</v>
          </cell>
        </row>
        <row r="927">
          <cell r="D927">
            <v>45731</v>
          </cell>
          <cell r="G927">
            <v>5</v>
          </cell>
          <cell r="H927" t="str">
            <v>رول</v>
          </cell>
          <cell r="Q927">
            <v>173.93</v>
          </cell>
        </row>
        <row r="928">
          <cell r="D928">
            <v>45731</v>
          </cell>
          <cell r="G928">
            <v>5</v>
          </cell>
          <cell r="H928" t="str">
            <v>رول</v>
          </cell>
          <cell r="Q928">
            <v>193.35</v>
          </cell>
        </row>
        <row r="929">
          <cell r="D929">
            <v>45731</v>
          </cell>
          <cell r="G929">
            <v>6</v>
          </cell>
          <cell r="H929" t="str">
            <v>رول</v>
          </cell>
          <cell r="Q929">
            <v>290.13</v>
          </cell>
        </row>
        <row r="930">
          <cell r="D930">
            <v>45731</v>
          </cell>
          <cell r="G930">
            <v>6</v>
          </cell>
          <cell r="H930" t="str">
            <v>رول</v>
          </cell>
          <cell r="Q930">
            <v>344.74</v>
          </cell>
        </row>
        <row r="931">
          <cell r="D931">
            <v>45731</v>
          </cell>
          <cell r="G931">
            <v>18</v>
          </cell>
          <cell r="H931">
            <v>4.5</v>
          </cell>
          <cell r="Q931">
            <v>746.56</v>
          </cell>
        </row>
        <row r="932">
          <cell r="D932">
            <v>45731</v>
          </cell>
          <cell r="G932">
            <v>18</v>
          </cell>
          <cell r="H932">
            <v>4.5</v>
          </cell>
          <cell r="Q932">
            <v>258.5</v>
          </cell>
        </row>
        <row r="933">
          <cell r="D933">
            <v>45731</v>
          </cell>
          <cell r="G933">
            <v>24</v>
          </cell>
          <cell r="H933" t="str">
            <v>رول</v>
          </cell>
          <cell r="Q933">
            <v>715.58999999999992</v>
          </cell>
        </row>
        <row r="934">
          <cell r="D934">
            <v>45731</v>
          </cell>
          <cell r="G934">
            <v>12</v>
          </cell>
          <cell r="H934" t="str">
            <v>رول</v>
          </cell>
          <cell r="Q934">
            <v>510.03</v>
          </cell>
        </row>
        <row r="935">
          <cell r="D935">
            <v>45731</v>
          </cell>
          <cell r="G935">
            <v>12</v>
          </cell>
          <cell r="H935" t="str">
            <v>رول</v>
          </cell>
          <cell r="Q935">
            <v>482.88</v>
          </cell>
        </row>
        <row r="936">
          <cell r="D936">
            <v>45732</v>
          </cell>
          <cell r="G936">
            <v>3</v>
          </cell>
          <cell r="H936" t="str">
            <v>رول</v>
          </cell>
          <cell r="Q936">
            <v>111.38999999999999</v>
          </cell>
        </row>
        <row r="937">
          <cell r="D937">
            <v>45732</v>
          </cell>
          <cell r="G937">
            <v>3</v>
          </cell>
          <cell r="H937" t="str">
            <v>رول</v>
          </cell>
          <cell r="Q937">
            <v>120.46000000000001</v>
          </cell>
        </row>
        <row r="938">
          <cell r="D938">
            <v>45732</v>
          </cell>
          <cell r="G938">
            <v>5</v>
          </cell>
          <cell r="H938" t="str">
            <v>رول</v>
          </cell>
          <cell r="Q938">
            <v>186.64999999999995</v>
          </cell>
        </row>
        <row r="939">
          <cell r="D939">
            <v>45732</v>
          </cell>
          <cell r="G939">
            <v>5</v>
          </cell>
          <cell r="H939" t="str">
            <v>رول</v>
          </cell>
          <cell r="Q939">
            <v>182.9</v>
          </cell>
        </row>
        <row r="940">
          <cell r="D940">
            <v>45732</v>
          </cell>
          <cell r="G940">
            <v>6</v>
          </cell>
          <cell r="H940" t="str">
            <v>رول</v>
          </cell>
          <cell r="Q940">
            <v>287.44</v>
          </cell>
        </row>
        <row r="941">
          <cell r="D941">
            <v>45732</v>
          </cell>
          <cell r="G941">
            <v>6</v>
          </cell>
          <cell r="H941" t="str">
            <v>رول</v>
          </cell>
          <cell r="Q941">
            <v>302.26</v>
          </cell>
        </row>
        <row r="942">
          <cell r="D942">
            <v>45732</v>
          </cell>
          <cell r="G942">
            <v>24</v>
          </cell>
          <cell r="H942" t="str">
            <v>رول</v>
          </cell>
          <cell r="Q942">
            <v>751.67000000000007</v>
          </cell>
        </row>
        <row r="943">
          <cell r="D943">
            <v>45732</v>
          </cell>
          <cell r="G943">
            <v>24</v>
          </cell>
          <cell r="H943" t="str">
            <v>رول</v>
          </cell>
          <cell r="Q943">
            <v>812.38999999999987</v>
          </cell>
        </row>
        <row r="944">
          <cell r="D944">
            <v>45732</v>
          </cell>
          <cell r="G944">
            <v>10</v>
          </cell>
          <cell r="H944" t="str">
            <v>رول</v>
          </cell>
          <cell r="Q944">
            <v>527.48</v>
          </cell>
        </row>
        <row r="945">
          <cell r="D945">
            <v>45732</v>
          </cell>
          <cell r="G945">
            <v>10</v>
          </cell>
          <cell r="H945" t="str">
            <v>رول</v>
          </cell>
          <cell r="Q945">
            <v>603.11</v>
          </cell>
        </row>
        <row r="946">
          <cell r="D946">
            <v>45733</v>
          </cell>
          <cell r="G946">
            <v>3</v>
          </cell>
          <cell r="H946" t="str">
            <v>رول</v>
          </cell>
          <cell r="Q946">
            <v>136.28</v>
          </cell>
        </row>
        <row r="947">
          <cell r="D947">
            <v>45733</v>
          </cell>
          <cell r="G947">
            <v>3</v>
          </cell>
          <cell r="H947" t="str">
            <v>رول</v>
          </cell>
          <cell r="Q947">
            <v>121.12000000000002</v>
          </cell>
        </row>
        <row r="948">
          <cell r="D948">
            <v>45733</v>
          </cell>
          <cell r="G948">
            <v>5</v>
          </cell>
          <cell r="H948" t="str">
            <v>رول</v>
          </cell>
          <cell r="Q948">
            <v>76.990000000000009</v>
          </cell>
        </row>
        <row r="949">
          <cell r="D949">
            <v>45733</v>
          </cell>
          <cell r="G949">
            <v>2</v>
          </cell>
          <cell r="H949">
            <v>5</v>
          </cell>
          <cell r="Q949">
            <v>65.070000000000007</v>
          </cell>
        </row>
        <row r="950">
          <cell r="D950">
            <v>45733</v>
          </cell>
          <cell r="G950">
            <v>2</v>
          </cell>
          <cell r="H950">
            <v>5</v>
          </cell>
          <cell r="Q950">
            <v>112.82000000000001</v>
          </cell>
        </row>
        <row r="951">
          <cell r="D951">
            <v>45733</v>
          </cell>
          <cell r="G951">
            <v>6</v>
          </cell>
          <cell r="H951" t="str">
            <v>رول</v>
          </cell>
          <cell r="Q951">
            <v>34.18</v>
          </cell>
        </row>
        <row r="952">
          <cell r="D952">
            <v>45733</v>
          </cell>
          <cell r="G952">
            <v>7</v>
          </cell>
          <cell r="H952" t="str">
            <v>رول</v>
          </cell>
          <cell r="Q952">
            <v>309.27</v>
          </cell>
        </row>
        <row r="953">
          <cell r="D953">
            <v>45733</v>
          </cell>
          <cell r="G953">
            <v>7</v>
          </cell>
          <cell r="H953" t="str">
            <v>رول</v>
          </cell>
          <cell r="Q953">
            <v>355.78999999999996</v>
          </cell>
        </row>
        <row r="954">
          <cell r="D954">
            <v>45733</v>
          </cell>
          <cell r="G954">
            <v>24</v>
          </cell>
          <cell r="H954" t="str">
            <v>رول</v>
          </cell>
          <cell r="Q954">
            <v>222.26999999999998</v>
          </cell>
        </row>
        <row r="955">
          <cell r="D955">
            <v>45733</v>
          </cell>
          <cell r="G955">
            <v>24</v>
          </cell>
          <cell r="H955">
            <v>10</v>
          </cell>
          <cell r="Q955">
            <v>116.75</v>
          </cell>
        </row>
        <row r="956">
          <cell r="D956">
            <v>45733</v>
          </cell>
          <cell r="G956">
            <v>20</v>
          </cell>
          <cell r="H956" t="str">
            <v>رول</v>
          </cell>
          <cell r="Q956">
            <v>424.24</v>
          </cell>
        </row>
        <row r="957">
          <cell r="D957">
            <v>45733</v>
          </cell>
          <cell r="G957">
            <v>20</v>
          </cell>
          <cell r="H957" t="str">
            <v>رول</v>
          </cell>
          <cell r="Q957">
            <v>758.6</v>
          </cell>
        </row>
        <row r="958">
          <cell r="D958">
            <v>45733</v>
          </cell>
          <cell r="G958">
            <v>12</v>
          </cell>
          <cell r="H958" t="str">
            <v>رول</v>
          </cell>
          <cell r="Q958">
            <v>137.45000000000002</v>
          </cell>
        </row>
        <row r="959">
          <cell r="D959">
            <v>45733</v>
          </cell>
          <cell r="G959">
            <v>9</v>
          </cell>
          <cell r="H959" t="str">
            <v>رول</v>
          </cell>
          <cell r="Q959">
            <v>386.32</v>
          </cell>
        </row>
        <row r="960">
          <cell r="D960">
            <v>45733</v>
          </cell>
          <cell r="G960">
            <v>9</v>
          </cell>
          <cell r="H960" t="str">
            <v>رول</v>
          </cell>
          <cell r="Q960">
            <v>559.3900000000001</v>
          </cell>
        </row>
        <row r="961">
          <cell r="D961">
            <v>45734</v>
          </cell>
          <cell r="G961">
            <v>3</v>
          </cell>
          <cell r="H961" t="str">
            <v>رول</v>
          </cell>
          <cell r="Q961">
            <v>128.74999999999997</v>
          </cell>
        </row>
        <row r="962">
          <cell r="D962">
            <v>45734</v>
          </cell>
          <cell r="G962">
            <v>3</v>
          </cell>
          <cell r="H962" t="str">
            <v>رول</v>
          </cell>
          <cell r="Q962">
            <v>119.91999999999999</v>
          </cell>
        </row>
        <row r="963">
          <cell r="D963">
            <v>45734</v>
          </cell>
          <cell r="G963">
            <v>2</v>
          </cell>
          <cell r="H963" t="str">
            <v>رول</v>
          </cell>
          <cell r="Q963">
            <v>33.150000000000006</v>
          </cell>
        </row>
        <row r="964">
          <cell r="D964">
            <v>45734</v>
          </cell>
          <cell r="G964">
            <v>2.5</v>
          </cell>
          <cell r="H964" t="str">
            <v>رول</v>
          </cell>
          <cell r="Q964">
            <v>66.94</v>
          </cell>
        </row>
        <row r="965">
          <cell r="D965">
            <v>45734</v>
          </cell>
          <cell r="G965">
            <v>2.5</v>
          </cell>
          <cell r="H965" t="str">
            <v>رول</v>
          </cell>
          <cell r="Q965">
            <v>131.44</v>
          </cell>
        </row>
        <row r="966">
          <cell r="D966">
            <v>45734</v>
          </cell>
          <cell r="G966">
            <v>7</v>
          </cell>
          <cell r="H966" t="str">
            <v>رول</v>
          </cell>
          <cell r="Q966">
            <v>275.49999999999994</v>
          </cell>
        </row>
        <row r="967">
          <cell r="D967">
            <v>45734</v>
          </cell>
          <cell r="G967">
            <v>7</v>
          </cell>
          <cell r="H967" t="str">
            <v>رول</v>
          </cell>
          <cell r="Q967">
            <v>339.62</v>
          </cell>
        </row>
        <row r="968">
          <cell r="D968">
            <v>45734</v>
          </cell>
          <cell r="G968">
            <v>20</v>
          </cell>
          <cell r="H968" t="str">
            <v>رول</v>
          </cell>
          <cell r="Q968">
            <v>76.190000000000012</v>
          </cell>
        </row>
        <row r="969">
          <cell r="D969">
            <v>45734</v>
          </cell>
          <cell r="G969">
            <v>15</v>
          </cell>
          <cell r="H969" t="str">
            <v>رول</v>
          </cell>
          <cell r="Q969">
            <v>365.01000000000005</v>
          </cell>
        </row>
        <row r="970">
          <cell r="D970">
            <v>45734</v>
          </cell>
          <cell r="G970">
            <v>15</v>
          </cell>
          <cell r="H970">
            <v>10</v>
          </cell>
          <cell r="Q970">
            <v>261.51</v>
          </cell>
        </row>
        <row r="971">
          <cell r="D971">
            <v>45734</v>
          </cell>
          <cell r="G971">
            <v>15</v>
          </cell>
          <cell r="H971">
            <v>10</v>
          </cell>
          <cell r="Q971">
            <v>163.45000000000002</v>
          </cell>
        </row>
        <row r="972">
          <cell r="D972">
            <v>45734</v>
          </cell>
          <cell r="G972">
            <v>15</v>
          </cell>
          <cell r="H972" t="str">
            <v>7</v>
          </cell>
          <cell r="Q972">
            <v>92.220000000000013</v>
          </cell>
        </row>
        <row r="973">
          <cell r="D973">
            <v>45734</v>
          </cell>
          <cell r="G973">
            <v>26</v>
          </cell>
          <cell r="H973" t="str">
            <v>رول</v>
          </cell>
          <cell r="Q973">
            <v>371.53999999999996</v>
          </cell>
        </row>
        <row r="974">
          <cell r="D974">
            <v>45734</v>
          </cell>
          <cell r="G974">
            <v>26</v>
          </cell>
          <cell r="H974">
            <v>10</v>
          </cell>
          <cell r="Q974">
            <v>106.22</v>
          </cell>
        </row>
        <row r="975">
          <cell r="D975">
            <v>45734</v>
          </cell>
          <cell r="G975">
            <v>9</v>
          </cell>
          <cell r="H975" t="str">
            <v>رول</v>
          </cell>
          <cell r="Q975">
            <v>485.29999999999995</v>
          </cell>
        </row>
        <row r="976">
          <cell r="D976">
            <v>45734</v>
          </cell>
          <cell r="G976">
            <v>9</v>
          </cell>
          <cell r="H976" t="str">
            <v>رول</v>
          </cell>
          <cell r="Q976">
            <v>548.65</v>
          </cell>
        </row>
        <row r="977">
          <cell r="D977">
            <v>45735</v>
          </cell>
          <cell r="G977">
            <v>3</v>
          </cell>
          <cell r="H977" t="str">
            <v>رول</v>
          </cell>
          <cell r="Q977">
            <v>134.01999999999998</v>
          </cell>
        </row>
        <row r="978">
          <cell r="D978">
            <v>45735</v>
          </cell>
          <cell r="G978">
            <v>17</v>
          </cell>
          <cell r="H978">
            <v>6</v>
          </cell>
          <cell r="Q978">
            <v>149.01</v>
          </cell>
        </row>
        <row r="979">
          <cell r="D979">
            <v>45735</v>
          </cell>
          <cell r="G979">
            <v>2.5</v>
          </cell>
          <cell r="H979" t="str">
            <v>رول</v>
          </cell>
          <cell r="Q979">
            <v>132.01</v>
          </cell>
        </row>
        <row r="980">
          <cell r="D980">
            <v>45735</v>
          </cell>
          <cell r="G980">
            <v>2.5</v>
          </cell>
          <cell r="H980" t="str">
            <v>رول</v>
          </cell>
          <cell r="Q980">
            <v>113.67000000000002</v>
          </cell>
        </row>
        <row r="981">
          <cell r="D981">
            <v>45735</v>
          </cell>
          <cell r="G981">
            <v>7</v>
          </cell>
          <cell r="H981" t="str">
            <v>رول</v>
          </cell>
          <cell r="Q981">
            <v>286.99</v>
          </cell>
        </row>
        <row r="982">
          <cell r="D982">
            <v>45735</v>
          </cell>
          <cell r="G982" t="str">
            <v>-</v>
          </cell>
          <cell r="H982" t="str">
            <v>-</v>
          </cell>
          <cell r="Q982">
            <v>56.15</v>
          </cell>
        </row>
        <row r="983">
          <cell r="D983">
            <v>45735</v>
          </cell>
          <cell r="G983" t="str">
            <v>-</v>
          </cell>
          <cell r="H983" t="str">
            <v>-</v>
          </cell>
          <cell r="Q983">
            <v>302.19</v>
          </cell>
        </row>
        <row r="984">
          <cell r="D984">
            <v>45735</v>
          </cell>
          <cell r="G984">
            <v>26</v>
          </cell>
          <cell r="H984" t="str">
            <v>رول</v>
          </cell>
          <cell r="Q984">
            <v>258.5</v>
          </cell>
        </row>
        <row r="985">
          <cell r="D985">
            <v>45735</v>
          </cell>
          <cell r="G985">
            <v>18</v>
          </cell>
          <cell r="H985" t="str">
            <v>رول</v>
          </cell>
          <cell r="Q985">
            <v>219.3</v>
          </cell>
        </row>
        <row r="986">
          <cell r="D986">
            <v>45735</v>
          </cell>
          <cell r="G986">
            <v>14</v>
          </cell>
          <cell r="H986" t="str">
            <v>11.5-12</v>
          </cell>
          <cell r="Q986">
            <v>203.82999999999998</v>
          </cell>
        </row>
        <row r="987">
          <cell r="D987">
            <v>45735</v>
          </cell>
          <cell r="G987">
            <v>14</v>
          </cell>
          <cell r="H987" t="str">
            <v>11.5-12</v>
          </cell>
          <cell r="Q987">
            <v>767.85</v>
          </cell>
        </row>
        <row r="988">
          <cell r="D988">
            <v>45735</v>
          </cell>
          <cell r="G988">
            <v>10</v>
          </cell>
          <cell r="H988" t="str">
            <v>رول</v>
          </cell>
          <cell r="Q988">
            <v>409.89000000000004</v>
          </cell>
        </row>
        <row r="989">
          <cell r="D989">
            <v>45735</v>
          </cell>
          <cell r="G989">
            <v>9</v>
          </cell>
          <cell r="H989" t="str">
            <v>رول</v>
          </cell>
          <cell r="Q989">
            <v>51.57</v>
          </cell>
        </row>
        <row r="990">
          <cell r="D990">
            <v>45735</v>
          </cell>
          <cell r="G990">
            <v>10</v>
          </cell>
          <cell r="H990" t="str">
            <v>رول</v>
          </cell>
          <cell r="Q990">
            <v>506.83</v>
          </cell>
        </row>
        <row r="991">
          <cell r="D991">
            <v>45736</v>
          </cell>
          <cell r="G991">
            <v>17</v>
          </cell>
          <cell r="H991">
            <v>6</v>
          </cell>
          <cell r="Q991">
            <v>160.57000000000002</v>
          </cell>
        </row>
        <row r="992">
          <cell r="D992">
            <v>45736</v>
          </cell>
          <cell r="G992">
            <v>17</v>
          </cell>
          <cell r="H992">
            <v>6</v>
          </cell>
          <cell r="Q992">
            <v>131.97</v>
          </cell>
        </row>
        <row r="993">
          <cell r="D993">
            <v>45736</v>
          </cell>
          <cell r="G993">
            <v>2.5</v>
          </cell>
          <cell r="H993" t="str">
            <v>رول</v>
          </cell>
          <cell r="Q993">
            <v>116.7</v>
          </cell>
        </row>
        <row r="994">
          <cell r="D994">
            <v>45736</v>
          </cell>
          <cell r="G994">
            <v>2.5</v>
          </cell>
          <cell r="H994" t="str">
            <v>رول</v>
          </cell>
          <cell r="Q994">
            <v>109.91999999999999</v>
          </cell>
        </row>
        <row r="995">
          <cell r="D995">
            <v>45736</v>
          </cell>
          <cell r="G995" t="str">
            <v>-</v>
          </cell>
          <cell r="H995" t="str">
            <v>-</v>
          </cell>
          <cell r="Q995">
            <v>308.49</v>
          </cell>
        </row>
        <row r="996">
          <cell r="D996">
            <v>45736</v>
          </cell>
          <cell r="G996" t="str">
            <v>-</v>
          </cell>
          <cell r="H996" t="str">
            <v>-</v>
          </cell>
          <cell r="Q996">
            <v>322.59999999999997</v>
          </cell>
        </row>
        <row r="997">
          <cell r="D997">
            <v>45736</v>
          </cell>
          <cell r="G997">
            <v>14</v>
          </cell>
          <cell r="H997" t="str">
            <v>11.5-12</v>
          </cell>
          <cell r="Q997">
            <v>667.18</v>
          </cell>
        </row>
        <row r="998">
          <cell r="D998">
            <v>45736</v>
          </cell>
          <cell r="G998">
            <v>18</v>
          </cell>
          <cell r="H998" t="str">
            <v>رول</v>
          </cell>
          <cell r="Q998">
            <v>760.21</v>
          </cell>
        </row>
        <row r="999">
          <cell r="D999">
            <v>45736</v>
          </cell>
          <cell r="G999">
            <v>10</v>
          </cell>
          <cell r="H999" t="str">
            <v>رول</v>
          </cell>
          <cell r="Q999">
            <v>485.15</v>
          </cell>
        </row>
        <row r="1000">
          <cell r="D1000">
            <v>45736</v>
          </cell>
          <cell r="G1000">
            <v>10</v>
          </cell>
          <cell r="H1000" t="str">
            <v>رول</v>
          </cell>
          <cell r="Q1000">
            <v>507.32000000000005</v>
          </cell>
        </row>
        <row r="1001">
          <cell r="D1001">
            <v>45737</v>
          </cell>
          <cell r="G1001">
            <v>2</v>
          </cell>
          <cell r="H1001" t="str">
            <v>رول</v>
          </cell>
          <cell r="Q1001">
            <v>155.19999999999999</v>
          </cell>
        </row>
        <row r="1002">
          <cell r="D1002">
            <v>45737</v>
          </cell>
          <cell r="G1002">
            <v>2</v>
          </cell>
          <cell r="H1002" t="str">
            <v>رول</v>
          </cell>
          <cell r="Q1002">
            <v>148.45000000000002</v>
          </cell>
        </row>
        <row r="1003">
          <cell r="D1003">
            <v>45737</v>
          </cell>
          <cell r="G1003">
            <v>2.5</v>
          </cell>
          <cell r="H1003" t="str">
            <v>رول</v>
          </cell>
          <cell r="Q1003">
            <v>103.23</v>
          </cell>
        </row>
        <row r="1004">
          <cell r="D1004">
            <v>45737</v>
          </cell>
          <cell r="G1004">
            <v>5</v>
          </cell>
          <cell r="H1004" t="str">
            <v>رول</v>
          </cell>
          <cell r="Q1004">
            <v>43.71</v>
          </cell>
        </row>
        <row r="1005">
          <cell r="D1005">
            <v>45737</v>
          </cell>
          <cell r="G1005">
            <v>5</v>
          </cell>
          <cell r="H1005" t="str">
            <v>رول</v>
          </cell>
          <cell r="Q1005">
            <v>140.59</v>
          </cell>
        </row>
        <row r="1006">
          <cell r="D1006">
            <v>45737</v>
          </cell>
          <cell r="G1006">
            <v>7</v>
          </cell>
          <cell r="H1006" t="str">
            <v>رول</v>
          </cell>
          <cell r="Q1006">
            <v>94.02</v>
          </cell>
        </row>
        <row r="1007">
          <cell r="D1007">
            <v>45737</v>
          </cell>
          <cell r="G1007">
            <v>6</v>
          </cell>
          <cell r="H1007" t="str">
            <v>رول</v>
          </cell>
          <cell r="Q1007">
            <v>188.29999999999998</v>
          </cell>
        </row>
        <row r="1008">
          <cell r="D1008">
            <v>45737</v>
          </cell>
          <cell r="G1008">
            <v>6</v>
          </cell>
          <cell r="H1008" t="str">
            <v>رول</v>
          </cell>
          <cell r="Q1008">
            <v>273.17</v>
          </cell>
        </row>
        <row r="1009">
          <cell r="D1009">
            <v>45737</v>
          </cell>
          <cell r="G1009">
            <v>18</v>
          </cell>
          <cell r="H1009" t="str">
            <v>رول</v>
          </cell>
          <cell r="Q1009">
            <v>517.15</v>
          </cell>
        </row>
        <row r="1010">
          <cell r="D1010">
            <v>45737</v>
          </cell>
          <cell r="G1010">
            <v>17</v>
          </cell>
          <cell r="H1010" t="str">
            <v>رول</v>
          </cell>
          <cell r="Q1010">
            <v>167.18</v>
          </cell>
        </row>
        <row r="1011">
          <cell r="D1011">
            <v>45737</v>
          </cell>
          <cell r="G1011">
            <v>17</v>
          </cell>
          <cell r="H1011" t="str">
            <v>رول</v>
          </cell>
          <cell r="Q1011">
            <v>627.91</v>
          </cell>
        </row>
        <row r="1012">
          <cell r="D1012">
            <v>45737</v>
          </cell>
          <cell r="G1012">
            <v>10</v>
          </cell>
          <cell r="H1012" t="str">
            <v>رول</v>
          </cell>
          <cell r="Q1012">
            <v>60.1</v>
          </cell>
        </row>
        <row r="1013">
          <cell r="D1013">
            <v>45737</v>
          </cell>
          <cell r="G1013">
            <v>8</v>
          </cell>
          <cell r="H1013">
            <v>15</v>
          </cell>
          <cell r="Q1013">
            <v>155.44999999999999</v>
          </cell>
        </row>
        <row r="1014">
          <cell r="D1014">
            <v>45737</v>
          </cell>
          <cell r="G1014">
            <v>11</v>
          </cell>
          <cell r="H1014" t="str">
            <v>6-6.5</v>
          </cell>
          <cell r="Q1014">
            <v>120.17</v>
          </cell>
        </row>
        <row r="1015">
          <cell r="D1015">
            <v>45737</v>
          </cell>
          <cell r="G1015">
            <v>8</v>
          </cell>
          <cell r="H1015" t="str">
            <v>رول</v>
          </cell>
          <cell r="Q1015">
            <v>135.49</v>
          </cell>
        </row>
        <row r="1016">
          <cell r="D1016">
            <v>45737</v>
          </cell>
          <cell r="G1016">
            <v>8</v>
          </cell>
          <cell r="H1016" t="str">
            <v>رول</v>
          </cell>
          <cell r="Q1016">
            <v>439.27000000000004</v>
          </cell>
        </row>
        <row r="1017">
          <cell r="D1017">
            <v>45738</v>
          </cell>
          <cell r="G1017">
            <v>2</v>
          </cell>
          <cell r="H1017" t="str">
            <v>رول</v>
          </cell>
          <cell r="Q1017">
            <v>23.36</v>
          </cell>
        </row>
        <row r="1018">
          <cell r="D1018">
            <v>45738</v>
          </cell>
          <cell r="G1018">
            <v>4</v>
          </cell>
          <cell r="H1018" t="str">
            <v>رول</v>
          </cell>
          <cell r="Q1018">
            <v>123.92</v>
          </cell>
        </row>
        <row r="1019">
          <cell r="D1019">
            <v>45738</v>
          </cell>
          <cell r="G1019">
            <v>4</v>
          </cell>
          <cell r="H1019" t="str">
            <v>رول</v>
          </cell>
          <cell r="Q1019">
            <v>155.91999999999999</v>
          </cell>
        </row>
        <row r="1020">
          <cell r="D1020">
            <v>45738</v>
          </cell>
          <cell r="G1020">
            <v>5</v>
          </cell>
          <cell r="H1020" t="str">
            <v>رول</v>
          </cell>
          <cell r="Q1020">
            <v>114.99</v>
          </cell>
        </row>
        <row r="1021">
          <cell r="D1021">
            <v>45738</v>
          </cell>
          <cell r="G1021">
            <v>5</v>
          </cell>
          <cell r="H1021" t="str">
            <v>رول</v>
          </cell>
          <cell r="Q1021">
            <v>131.49</v>
          </cell>
        </row>
        <row r="1022">
          <cell r="D1022">
            <v>45738</v>
          </cell>
          <cell r="G1022">
            <v>6</v>
          </cell>
          <cell r="H1022" t="str">
            <v>رول</v>
          </cell>
          <cell r="Q1022">
            <v>151.4</v>
          </cell>
        </row>
        <row r="1023">
          <cell r="D1023">
            <v>45738</v>
          </cell>
          <cell r="G1023">
            <v>7</v>
          </cell>
          <cell r="H1023" t="str">
            <v>رول</v>
          </cell>
          <cell r="Q1023">
            <v>136.1</v>
          </cell>
        </row>
        <row r="1024">
          <cell r="D1024">
            <v>45738</v>
          </cell>
          <cell r="G1024">
            <v>7</v>
          </cell>
          <cell r="H1024" t="str">
            <v>رول</v>
          </cell>
          <cell r="Q1024">
            <v>322.46999999999997</v>
          </cell>
        </row>
        <row r="1025">
          <cell r="D1025">
            <v>45738</v>
          </cell>
          <cell r="G1025">
            <v>17</v>
          </cell>
          <cell r="H1025" t="str">
            <v>رول</v>
          </cell>
          <cell r="Q1025">
            <v>508.85999999999996</v>
          </cell>
        </row>
        <row r="1026">
          <cell r="D1026">
            <v>45738</v>
          </cell>
          <cell r="G1026">
            <v>16</v>
          </cell>
          <cell r="H1026" t="str">
            <v>5-5.5</v>
          </cell>
          <cell r="Q1026">
            <v>241.73000000000002</v>
          </cell>
        </row>
        <row r="1027">
          <cell r="D1027">
            <v>45738</v>
          </cell>
          <cell r="G1027">
            <v>16</v>
          </cell>
          <cell r="H1027" t="str">
            <v>5-5.5</v>
          </cell>
          <cell r="Q1027">
            <v>784.94</v>
          </cell>
        </row>
        <row r="1028">
          <cell r="D1028">
            <v>45738</v>
          </cell>
          <cell r="G1028">
            <v>8</v>
          </cell>
          <cell r="H1028" t="str">
            <v>رول</v>
          </cell>
          <cell r="Q1028">
            <v>463.10999999999996</v>
          </cell>
        </row>
        <row r="1029">
          <cell r="D1029">
            <v>45738</v>
          </cell>
          <cell r="G1029">
            <v>8</v>
          </cell>
          <cell r="H1029" t="str">
            <v>رول</v>
          </cell>
          <cell r="Q1029">
            <v>507.97</v>
          </cell>
        </row>
        <row r="1030">
          <cell r="D1030">
            <v>45739</v>
          </cell>
          <cell r="G1030">
            <v>4</v>
          </cell>
          <cell r="H1030" t="str">
            <v>رول</v>
          </cell>
          <cell r="Q1030">
            <v>160.14000000000001</v>
          </cell>
        </row>
        <row r="1031">
          <cell r="D1031">
            <v>45739</v>
          </cell>
          <cell r="G1031">
            <v>4</v>
          </cell>
          <cell r="H1031" t="str">
            <v>رول</v>
          </cell>
          <cell r="Q1031">
            <v>187.68</v>
          </cell>
        </row>
        <row r="1032">
          <cell r="D1032">
            <v>45739</v>
          </cell>
          <cell r="G1032">
            <v>5</v>
          </cell>
          <cell r="H1032" t="str">
            <v>رول</v>
          </cell>
          <cell r="Q1032">
            <v>130.83999999999997</v>
          </cell>
        </row>
        <row r="1033">
          <cell r="D1033">
            <v>45739</v>
          </cell>
          <cell r="G1033">
            <v>5</v>
          </cell>
          <cell r="H1033" t="str">
            <v>رول</v>
          </cell>
          <cell r="Q1033">
            <v>128.07</v>
          </cell>
        </row>
        <row r="1034">
          <cell r="D1034">
            <v>45739</v>
          </cell>
          <cell r="G1034">
            <v>7</v>
          </cell>
          <cell r="H1034" t="str">
            <v>رول</v>
          </cell>
          <cell r="Q1034">
            <v>207.55</v>
          </cell>
        </row>
        <row r="1035">
          <cell r="D1035">
            <v>45739</v>
          </cell>
          <cell r="G1035" t="str">
            <v>-</v>
          </cell>
          <cell r="H1035" t="str">
            <v>-</v>
          </cell>
          <cell r="Q1035">
            <v>92.580000000000013</v>
          </cell>
        </row>
        <row r="1036">
          <cell r="D1036">
            <v>45739</v>
          </cell>
          <cell r="G1036" t="str">
            <v>-</v>
          </cell>
          <cell r="H1036" t="str">
            <v>-</v>
          </cell>
          <cell r="Q1036">
            <v>84.7</v>
          </cell>
        </row>
        <row r="1037">
          <cell r="D1037">
            <v>45739</v>
          </cell>
          <cell r="G1037">
            <v>5</v>
          </cell>
          <cell r="H1037" t="str">
            <v>رول</v>
          </cell>
          <cell r="Q1037">
            <v>160.13999999999999</v>
          </cell>
        </row>
        <row r="1038">
          <cell r="D1038">
            <v>45739</v>
          </cell>
          <cell r="G1038">
            <v>16</v>
          </cell>
          <cell r="H1038" t="str">
            <v>5-5.5</v>
          </cell>
          <cell r="Q1038">
            <v>728.56000000000006</v>
          </cell>
        </row>
        <row r="1039">
          <cell r="D1039">
            <v>45739</v>
          </cell>
          <cell r="G1039">
            <v>16</v>
          </cell>
          <cell r="H1039" t="str">
            <v>5-5.5</v>
          </cell>
          <cell r="Q1039">
            <v>815.73</v>
          </cell>
        </row>
        <row r="1040">
          <cell r="D1040">
            <v>45739</v>
          </cell>
          <cell r="G1040">
            <v>8</v>
          </cell>
          <cell r="H1040" t="str">
            <v>رول</v>
          </cell>
          <cell r="Q1040">
            <v>485.14000000000004</v>
          </cell>
        </row>
        <row r="1041">
          <cell r="D1041">
            <v>45739</v>
          </cell>
          <cell r="G1041">
            <v>8</v>
          </cell>
          <cell r="H1041" t="str">
            <v>رول</v>
          </cell>
          <cell r="Q1041">
            <v>483.11</v>
          </cell>
        </row>
        <row r="1042">
          <cell r="D1042">
            <v>45740</v>
          </cell>
          <cell r="G1042">
            <v>4</v>
          </cell>
          <cell r="H1042" t="str">
            <v>رول</v>
          </cell>
          <cell r="Q1042">
            <v>76.820000000000007</v>
          </cell>
        </row>
        <row r="1043">
          <cell r="D1043">
            <v>45740</v>
          </cell>
          <cell r="G1043">
            <v>2</v>
          </cell>
          <cell r="H1043" t="str">
            <v>رول</v>
          </cell>
          <cell r="Q1043">
            <v>72.81</v>
          </cell>
        </row>
        <row r="1044">
          <cell r="D1044">
            <v>45740</v>
          </cell>
          <cell r="G1044">
            <v>3</v>
          </cell>
          <cell r="H1044" t="str">
            <v>رول</v>
          </cell>
          <cell r="Q1044">
            <v>109.19</v>
          </cell>
        </row>
        <row r="1045">
          <cell r="D1045">
            <v>45740</v>
          </cell>
          <cell r="G1045">
            <v>5</v>
          </cell>
          <cell r="H1045" t="str">
            <v>رول</v>
          </cell>
          <cell r="Q1045">
            <v>19.670000000000002</v>
          </cell>
        </row>
        <row r="1046">
          <cell r="D1046">
            <v>45740</v>
          </cell>
          <cell r="G1046">
            <v>3.5</v>
          </cell>
          <cell r="H1046" t="str">
            <v>رول</v>
          </cell>
          <cell r="Q1046">
            <v>102.92999999999998</v>
          </cell>
        </row>
        <row r="1047">
          <cell r="D1047">
            <v>45740</v>
          </cell>
          <cell r="G1047">
            <v>2</v>
          </cell>
          <cell r="H1047" t="str">
            <v>رول</v>
          </cell>
          <cell r="Q1047">
            <v>113.16999999999999</v>
          </cell>
        </row>
        <row r="1048">
          <cell r="D1048">
            <v>45740</v>
          </cell>
          <cell r="G1048">
            <v>5</v>
          </cell>
          <cell r="H1048" t="str">
            <v>رول</v>
          </cell>
          <cell r="Q1048">
            <v>235.77999999999997</v>
          </cell>
        </row>
        <row r="1049">
          <cell r="D1049">
            <v>45740</v>
          </cell>
          <cell r="G1049">
            <v>5</v>
          </cell>
          <cell r="H1049" t="str">
            <v>رول</v>
          </cell>
          <cell r="Q1049">
            <v>216.73999999999998</v>
          </cell>
        </row>
        <row r="1050">
          <cell r="D1050">
            <v>45740</v>
          </cell>
          <cell r="G1050">
            <v>16</v>
          </cell>
          <cell r="H1050" t="str">
            <v>5-5.5</v>
          </cell>
          <cell r="Q1050">
            <v>219.9</v>
          </cell>
        </row>
        <row r="1051">
          <cell r="D1051">
            <v>45740</v>
          </cell>
          <cell r="G1051">
            <v>16</v>
          </cell>
          <cell r="H1051" t="str">
            <v>رول</v>
          </cell>
          <cell r="Q1051">
            <v>496.67999999999995</v>
          </cell>
        </row>
        <row r="1052">
          <cell r="D1052">
            <v>45740</v>
          </cell>
          <cell r="G1052">
            <v>16</v>
          </cell>
          <cell r="H1052" t="str">
            <v>رول</v>
          </cell>
          <cell r="Q1052">
            <v>782.12</v>
          </cell>
        </row>
        <row r="1053">
          <cell r="D1053">
            <v>45740</v>
          </cell>
          <cell r="G1053">
            <v>8</v>
          </cell>
          <cell r="H1053" t="str">
            <v>رول</v>
          </cell>
          <cell r="Q1053">
            <v>375.8</v>
          </cell>
        </row>
        <row r="1054">
          <cell r="D1054">
            <v>45740</v>
          </cell>
          <cell r="G1054">
            <v>10</v>
          </cell>
          <cell r="H1054" t="str">
            <v>رول</v>
          </cell>
          <cell r="Q1054">
            <v>99.95</v>
          </cell>
        </row>
        <row r="1055">
          <cell r="D1055">
            <v>45740</v>
          </cell>
          <cell r="G1055">
            <v>10</v>
          </cell>
          <cell r="H1055" t="str">
            <v>رول</v>
          </cell>
          <cell r="Q1055">
            <v>541.36</v>
          </cell>
        </row>
        <row r="1056">
          <cell r="D1056">
            <v>45741</v>
          </cell>
          <cell r="G1056">
            <v>2</v>
          </cell>
          <cell r="H1056" t="str">
            <v>رول</v>
          </cell>
          <cell r="Q1056">
            <v>119.44999999999999</v>
          </cell>
        </row>
        <row r="1057">
          <cell r="D1057">
            <v>45741</v>
          </cell>
          <cell r="G1057">
            <v>2</v>
          </cell>
          <cell r="H1057" t="str">
            <v>رول</v>
          </cell>
          <cell r="Q1057">
            <v>119.87000000000002</v>
          </cell>
        </row>
        <row r="1058">
          <cell r="D1058">
            <v>45741</v>
          </cell>
          <cell r="G1058">
            <v>3</v>
          </cell>
          <cell r="H1058" t="str">
            <v>رول</v>
          </cell>
          <cell r="Q1058">
            <v>110.74</v>
          </cell>
        </row>
        <row r="1059">
          <cell r="D1059">
            <v>45741</v>
          </cell>
          <cell r="G1059">
            <v>3</v>
          </cell>
          <cell r="H1059" t="str">
            <v>رول</v>
          </cell>
          <cell r="Q1059">
            <v>126.48</v>
          </cell>
        </row>
        <row r="1060">
          <cell r="D1060">
            <v>45741</v>
          </cell>
          <cell r="G1060">
            <v>5</v>
          </cell>
          <cell r="H1060" t="str">
            <v>رول</v>
          </cell>
          <cell r="Q1060">
            <v>210.03</v>
          </cell>
        </row>
        <row r="1061">
          <cell r="D1061">
            <v>45741</v>
          </cell>
          <cell r="G1061">
            <v>5</v>
          </cell>
          <cell r="H1061" t="str">
            <v>رول</v>
          </cell>
          <cell r="Q1061">
            <v>239.3</v>
          </cell>
        </row>
        <row r="1062">
          <cell r="D1062">
            <v>45741</v>
          </cell>
          <cell r="G1062">
            <v>20</v>
          </cell>
          <cell r="H1062" t="str">
            <v>5.5/6</v>
          </cell>
          <cell r="Q1062">
            <v>551.21</v>
          </cell>
        </row>
        <row r="1063">
          <cell r="D1063">
            <v>45741</v>
          </cell>
          <cell r="G1063">
            <v>20</v>
          </cell>
          <cell r="H1063">
            <v>8</v>
          </cell>
          <cell r="Q1063">
            <v>270.38</v>
          </cell>
        </row>
        <row r="1064">
          <cell r="D1064">
            <v>45741</v>
          </cell>
          <cell r="G1064">
            <v>22</v>
          </cell>
          <cell r="H1064">
            <v>7</v>
          </cell>
          <cell r="Q1064">
            <v>279.16000000000003</v>
          </cell>
        </row>
        <row r="1065">
          <cell r="D1065">
            <v>45741</v>
          </cell>
          <cell r="G1065">
            <v>20</v>
          </cell>
          <cell r="H1065" t="str">
            <v>8</v>
          </cell>
          <cell r="Q1065">
            <v>70.600000000000009</v>
          </cell>
        </row>
        <row r="1066">
          <cell r="D1066">
            <v>45741</v>
          </cell>
          <cell r="G1066">
            <v>22</v>
          </cell>
          <cell r="H1066" t="str">
            <v>رول</v>
          </cell>
          <cell r="Q1066">
            <v>58.39</v>
          </cell>
        </row>
        <row r="1067">
          <cell r="D1067">
            <v>45741</v>
          </cell>
          <cell r="G1067">
            <v>10</v>
          </cell>
          <cell r="H1067" t="str">
            <v>رول</v>
          </cell>
          <cell r="Q1067">
            <v>399.25</v>
          </cell>
        </row>
        <row r="1068">
          <cell r="D1068">
            <v>45741</v>
          </cell>
          <cell r="G1068">
            <v>10</v>
          </cell>
          <cell r="H1068" t="str">
            <v>رول</v>
          </cell>
          <cell r="Q1068">
            <v>495.3</v>
          </cell>
        </row>
        <row r="1069">
          <cell r="D1069">
            <v>45742</v>
          </cell>
          <cell r="G1069">
            <v>2</v>
          </cell>
          <cell r="H1069" t="str">
            <v>رول</v>
          </cell>
          <cell r="Q1069">
            <v>122.17</v>
          </cell>
        </row>
        <row r="1070">
          <cell r="D1070">
            <v>45742</v>
          </cell>
          <cell r="G1070">
            <v>2</v>
          </cell>
          <cell r="H1070" t="str">
            <v>رول</v>
          </cell>
          <cell r="Q1070">
            <v>117.2</v>
          </cell>
        </row>
        <row r="1071">
          <cell r="D1071">
            <v>45742</v>
          </cell>
          <cell r="G1071">
            <v>3</v>
          </cell>
          <cell r="H1071" t="str">
            <v>رول</v>
          </cell>
          <cell r="Q1071">
            <v>46.87</v>
          </cell>
        </row>
        <row r="1072">
          <cell r="D1072">
            <v>45742</v>
          </cell>
          <cell r="G1072">
            <v>4.5</v>
          </cell>
          <cell r="H1072" t="str">
            <v>رول</v>
          </cell>
          <cell r="Q1072">
            <v>73.72</v>
          </cell>
        </row>
        <row r="1073">
          <cell r="D1073">
            <v>45742</v>
          </cell>
          <cell r="G1073">
            <v>4.5</v>
          </cell>
          <cell r="H1073" t="str">
            <v>رول</v>
          </cell>
          <cell r="Q1073">
            <v>114.11</v>
          </cell>
        </row>
        <row r="1074">
          <cell r="D1074">
            <v>45742</v>
          </cell>
          <cell r="G1074">
            <v>5</v>
          </cell>
          <cell r="H1074" t="str">
            <v>رول</v>
          </cell>
          <cell r="Q1074">
            <v>215.10999999999996</v>
          </cell>
        </row>
        <row r="1075">
          <cell r="D1075">
            <v>45742</v>
          </cell>
          <cell r="G1075">
            <v>5</v>
          </cell>
          <cell r="H1075" t="str">
            <v>رول</v>
          </cell>
          <cell r="Q1075">
            <v>245.13999999999996</v>
          </cell>
        </row>
        <row r="1076">
          <cell r="D1076">
            <v>45742</v>
          </cell>
          <cell r="G1076">
            <v>20</v>
          </cell>
          <cell r="H1076" t="str">
            <v>رول</v>
          </cell>
          <cell r="Q1076">
            <v>142.97999999999999</v>
          </cell>
        </row>
        <row r="1077">
          <cell r="D1077">
            <v>45742</v>
          </cell>
          <cell r="G1077">
            <v>17</v>
          </cell>
          <cell r="H1077">
            <v>5</v>
          </cell>
          <cell r="Q1077">
            <v>197.50000000000003</v>
          </cell>
        </row>
        <row r="1078">
          <cell r="D1078">
            <v>45742</v>
          </cell>
          <cell r="G1078">
            <v>21</v>
          </cell>
          <cell r="H1078" t="str">
            <v>12</v>
          </cell>
          <cell r="Q1078">
            <v>426.18</v>
          </cell>
        </row>
        <row r="1079">
          <cell r="D1079">
            <v>45742</v>
          </cell>
          <cell r="G1079">
            <v>21</v>
          </cell>
          <cell r="H1079" t="str">
            <v>12</v>
          </cell>
          <cell r="Q1079">
            <v>368.77</v>
          </cell>
        </row>
        <row r="1080">
          <cell r="D1080">
            <v>45742</v>
          </cell>
          <cell r="G1080">
            <v>17</v>
          </cell>
          <cell r="H1080">
            <v>5</v>
          </cell>
          <cell r="Q1080">
            <v>332.38</v>
          </cell>
        </row>
        <row r="1081">
          <cell r="D1081">
            <v>45742</v>
          </cell>
          <cell r="G1081">
            <v>10</v>
          </cell>
          <cell r="H1081" t="str">
            <v>رول</v>
          </cell>
          <cell r="Q1081">
            <v>508.24</v>
          </cell>
        </row>
        <row r="1082">
          <cell r="D1082">
            <v>45742</v>
          </cell>
          <cell r="G1082">
            <v>10</v>
          </cell>
          <cell r="H1082" t="str">
            <v>رول</v>
          </cell>
          <cell r="Q1082">
            <v>500.5100000000001</v>
          </cell>
        </row>
        <row r="1083">
          <cell r="D1083">
            <v>45743</v>
          </cell>
          <cell r="G1083">
            <v>2</v>
          </cell>
          <cell r="H1083" t="str">
            <v>رول</v>
          </cell>
          <cell r="Q1083">
            <v>127.32000000000001</v>
          </cell>
        </row>
        <row r="1084">
          <cell r="D1084">
            <v>45743</v>
          </cell>
          <cell r="G1084">
            <v>2</v>
          </cell>
          <cell r="H1084" t="str">
            <v>رول</v>
          </cell>
          <cell r="Q1084">
            <v>119.43</v>
          </cell>
        </row>
        <row r="1085">
          <cell r="D1085">
            <v>45743</v>
          </cell>
          <cell r="G1085">
            <v>4.5</v>
          </cell>
          <cell r="H1085" t="str">
            <v>رول</v>
          </cell>
          <cell r="Q1085">
            <v>88.33</v>
          </cell>
        </row>
        <row r="1086">
          <cell r="D1086">
            <v>45743</v>
          </cell>
          <cell r="G1086">
            <v>4</v>
          </cell>
          <cell r="H1086" t="str">
            <v>رول</v>
          </cell>
          <cell r="Q1086">
            <v>50.41</v>
          </cell>
        </row>
        <row r="1087">
          <cell r="D1087">
            <v>45743</v>
          </cell>
          <cell r="G1087">
            <v>4</v>
          </cell>
          <cell r="H1087" t="str">
            <v>رول</v>
          </cell>
          <cell r="Q1087">
            <v>186.07</v>
          </cell>
        </row>
        <row r="1088">
          <cell r="D1088">
            <v>45743</v>
          </cell>
          <cell r="G1088">
            <v>5</v>
          </cell>
          <cell r="H1088" t="str">
            <v>رول</v>
          </cell>
          <cell r="Q1088">
            <v>191.35000000000002</v>
          </cell>
        </row>
        <row r="1089">
          <cell r="D1089">
            <v>45743</v>
          </cell>
          <cell r="G1089">
            <v>5</v>
          </cell>
          <cell r="H1089" t="str">
            <v>رول</v>
          </cell>
          <cell r="Q1089">
            <v>224.1</v>
          </cell>
        </row>
        <row r="1090">
          <cell r="D1090">
            <v>45743</v>
          </cell>
          <cell r="G1090">
            <v>17</v>
          </cell>
          <cell r="H1090">
            <v>5</v>
          </cell>
          <cell r="Q1090">
            <v>417.52</v>
          </cell>
        </row>
        <row r="1091">
          <cell r="D1091">
            <v>45743</v>
          </cell>
          <cell r="G1091">
            <v>17</v>
          </cell>
          <cell r="H1091">
            <v>5</v>
          </cell>
          <cell r="Q1091">
            <v>264.01</v>
          </cell>
        </row>
        <row r="1092">
          <cell r="D1092">
            <v>45743</v>
          </cell>
          <cell r="G1092">
            <v>24</v>
          </cell>
          <cell r="H1092" t="str">
            <v>5-5.5</v>
          </cell>
          <cell r="Q1092">
            <v>433.58999999999992</v>
          </cell>
        </row>
        <row r="1093">
          <cell r="D1093">
            <v>45743</v>
          </cell>
          <cell r="G1093">
            <v>11</v>
          </cell>
          <cell r="H1093" t="str">
            <v>رول</v>
          </cell>
          <cell r="Q1093">
            <v>432.25000000000006</v>
          </cell>
        </row>
        <row r="1094">
          <cell r="D1094">
            <v>45743</v>
          </cell>
          <cell r="G1094">
            <v>11</v>
          </cell>
          <cell r="H1094" t="str">
            <v>رول</v>
          </cell>
          <cell r="Q1094">
            <v>472.01</v>
          </cell>
        </row>
        <row r="1095">
          <cell r="D1095">
            <v>45744</v>
          </cell>
          <cell r="G1095">
            <v>2</v>
          </cell>
          <cell r="H1095" t="str">
            <v>رول</v>
          </cell>
          <cell r="Q1095">
            <v>115.64999999999999</v>
          </cell>
        </row>
        <row r="1096">
          <cell r="D1096">
            <v>45744</v>
          </cell>
          <cell r="G1096">
            <v>2</v>
          </cell>
          <cell r="H1096" t="str">
            <v>رول</v>
          </cell>
          <cell r="Q1096">
            <v>108.42999999999999</v>
          </cell>
        </row>
        <row r="1097">
          <cell r="D1097">
            <v>45744</v>
          </cell>
          <cell r="G1097">
            <v>4</v>
          </cell>
          <cell r="H1097" t="str">
            <v>رول</v>
          </cell>
          <cell r="Q1097">
            <v>159.02000000000001</v>
          </cell>
        </row>
        <row r="1098">
          <cell r="D1098">
            <v>45744</v>
          </cell>
          <cell r="G1098">
            <v>4</v>
          </cell>
          <cell r="H1098" t="str">
            <v>رول</v>
          </cell>
          <cell r="Q1098">
            <v>164.99</v>
          </cell>
        </row>
        <row r="1099">
          <cell r="D1099">
            <v>45744</v>
          </cell>
          <cell r="G1099">
            <v>5</v>
          </cell>
          <cell r="H1099" t="str">
            <v>رول</v>
          </cell>
          <cell r="Q1099">
            <v>221.61</v>
          </cell>
        </row>
        <row r="1100">
          <cell r="D1100">
            <v>45744</v>
          </cell>
          <cell r="G1100">
            <v>5</v>
          </cell>
          <cell r="H1100" t="str">
            <v>رول</v>
          </cell>
          <cell r="Q1100">
            <v>211.26000000000002</v>
          </cell>
        </row>
        <row r="1101">
          <cell r="D1101">
            <v>45744</v>
          </cell>
          <cell r="G1101">
            <v>24</v>
          </cell>
          <cell r="H1101" t="str">
            <v>5-5.5</v>
          </cell>
          <cell r="Q1101">
            <v>405.40999999999997</v>
          </cell>
        </row>
        <row r="1102">
          <cell r="D1102">
            <v>45744</v>
          </cell>
          <cell r="G1102">
            <v>15</v>
          </cell>
          <cell r="H1102" t="str">
            <v>7-7.5</v>
          </cell>
          <cell r="Q1102">
            <v>103.19</v>
          </cell>
        </row>
        <row r="1103">
          <cell r="D1103">
            <v>45744</v>
          </cell>
          <cell r="G1103">
            <v>16</v>
          </cell>
          <cell r="H1103" t="str">
            <v>8</v>
          </cell>
          <cell r="Q1103">
            <v>176.02999999999997</v>
          </cell>
        </row>
        <row r="1104">
          <cell r="D1104">
            <v>45744</v>
          </cell>
          <cell r="G1104">
            <v>16</v>
          </cell>
          <cell r="H1104" t="str">
            <v>8</v>
          </cell>
          <cell r="Q1104">
            <v>44.37</v>
          </cell>
        </row>
        <row r="1105">
          <cell r="D1105">
            <v>45744</v>
          </cell>
          <cell r="G1105">
            <v>22</v>
          </cell>
          <cell r="H1105" t="str">
            <v>12.5-13</v>
          </cell>
          <cell r="Q1105">
            <v>689.66999999999985</v>
          </cell>
        </row>
        <row r="1106">
          <cell r="D1106">
            <v>45744</v>
          </cell>
          <cell r="G1106">
            <v>11</v>
          </cell>
          <cell r="H1106" t="str">
            <v>رول</v>
          </cell>
          <cell r="Q1106">
            <v>492.96999999999997</v>
          </cell>
        </row>
        <row r="1107">
          <cell r="D1107">
            <v>45744</v>
          </cell>
          <cell r="G1107">
            <v>11</v>
          </cell>
          <cell r="H1107" t="str">
            <v>رول</v>
          </cell>
          <cell r="Q1107">
            <v>487.67999999999995</v>
          </cell>
        </row>
        <row r="1108">
          <cell r="D1108">
            <v>45745</v>
          </cell>
          <cell r="G1108">
            <v>2</v>
          </cell>
          <cell r="H1108" t="str">
            <v>رول</v>
          </cell>
          <cell r="Q1108">
            <v>123.39</v>
          </cell>
        </row>
        <row r="1109">
          <cell r="D1109">
            <v>45745</v>
          </cell>
          <cell r="G1109">
            <v>2</v>
          </cell>
          <cell r="H1109" t="str">
            <v>رول</v>
          </cell>
          <cell r="Q1109">
            <v>82.17</v>
          </cell>
        </row>
        <row r="1110">
          <cell r="D1110">
            <v>45745</v>
          </cell>
          <cell r="G1110">
            <v>4</v>
          </cell>
          <cell r="H1110" t="str">
            <v>رول</v>
          </cell>
          <cell r="Q1110">
            <v>149.04999999999998</v>
          </cell>
        </row>
        <row r="1111">
          <cell r="D1111">
            <v>45745</v>
          </cell>
          <cell r="G1111">
            <v>4</v>
          </cell>
          <cell r="H1111" t="str">
            <v>رول</v>
          </cell>
          <cell r="Q1111">
            <v>100.65999999999998</v>
          </cell>
        </row>
        <row r="1112">
          <cell r="D1112">
            <v>45745</v>
          </cell>
          <cell r="G1112">
            <v>5</v>
          </cell>
          <cell r="H1112" t="str">
            <v>رول</v>
          </cell>
          <cell r="Q1112">
            <v>215.74</v>
          </cell>
        </row>
        <row r="1113">
          <cell r="D1113">
            <v>45745</v>
          </cell>
          <cell r="G1113">
            <v>5</v>
          </cell>
          <cell r="H1113" t="str">
            <v>رول</v>
          </cell>
          <cell r="Q1113">
            <v>116.35</v>
          </cell>
        </row>
        <row r="1114">
          <cell r="D1114">
            <v>45745</v>
          </cell>
          <cell r="G1114">
            <v>16</v>
          </cell>
          <cell r="H1114" t="str">
            <v>-</v>
          </cell>
          <cell r="Q1114">
            <v>623.0200000000001</v>
          </cell>
        </row>
        <row r="1115">
          <cell r="D1115">
            <v>45745</v>
          </cell>
          <cell r="G1115">
            <v>16</v>
          </cell>
          <cell r="H1115" t="str">
            <v>-</v>
          </cell>
          <cell r="Q1115">
            <v>412.66999999999996</v>
          </cell>
        </row>
        <row r="1116">
          <cell r="D1116">
            <v>45745</v>
          </cell>
          <cell r="G1116">
            <v>11</v>
          </cell>
          <cell r="H1116" t="str">
            <v>رول</v>
          </cell>
          <cell r="Q1116">
            <v>502.87</v>
          </cell>
        </row>
        <row r="1117">
          <cell r="D1117">
            <v>45745</v>
          </cell>
          <cell r="G1117">
            <v>11</v>
          </cell>
          <cell r="H1117" t="str">
            <v>رول</v>
          </cell>
          <cell r="Q1117">
            <v>282.56000000000006</v>
          </cell>
        </row>
        <row r="1118">
          <cell r="D1118">
            <v>45754</v>
          </cell>
          <cell r="G1118">
            <v>2</v>
          </cell>
          <cell r="H1118" t="str">
            <v>رول</v>
          </cell>
          <cell r="Q1118">
            <v>74.009999999999991</v>
          </cell>
        </row>
        <row r="1119">
          <cell r="D1119">
            <v>45754</v>
          </cell>
          <cell r="G1119">
            <v>2</v>
          </cell>
          <cell r="H1119" t="str">
            <v>رول</v>
          </cell>
          <cell r="Q1119">
            <v>101.29</v>
          </cell>
        </row>
        <row r="1120">
          <cell r="D1120">
            <v>45754</v>
          </cell>
          <cell r="G1120">
            <v>4</v>
          </cell>
          <cell r="H1120" t="str">
            <v>رول</v>
          </cell>
          <cell r="Q1120">
            <v>114.98999999999998</v>
          </cell>
        </row>
        <row r="1121">
          <cell r="D1121">
            <v>45754</v>
          </cell>
          <cell r="G1121">
            <v>4</v>
          </cell>
          <cell r="H1121" t="str">
            <v>رول</v>
          </cell>
          <cell r="Q1121">
            <v>123.07</v>
          </cell>
        </row>
        <row r="1122">
          <cell r="D1122">
            <v>45754</v>
          </cell>
          <cell r="G1122">
            <v>5</v>
          </cell>
          <cell r="H1122" t="str">
            <v>رول</v>
          </cell>
          <cell r="Q1122">
            <v>124.21000000000001</v>
          </cell>
        </row>
        <row r="1123">
          <cell r="D1123">
            <v>45754</v>
          </cell>
          <cell r="G1123">
            <v>5</v>
          </cell>
          <cell r="H1123" t="str">
            <v>رول</v>
          </cell>
          <cell r="Q1123">
            <v>206.26</v>
          </cell>
        </row>
        <row r="1124">
          <cell r="D1124">
            <v>45754</v>
          </cell>
          <cell r="G1124">
            <v>16</v>
          </cell>
          <cell r="H1124" t="str">
            <v>-</v>
          </cell>
          <cell r="Q1124">
            <v>260.83000000000004</v>
          </cell>
        </row>
        <row r="1125">
          <cell r="D1125">
            <v>45754</v>
          </cell>
          <cell r="G1125">
            <v>16</v>
          </cell>
          <cell r="H1125" t="str">
            <v>-</v>
          </cell>
          <cell r="Q1125">
            <v>640.05000000000007</v>
          </cell>
        </row>
        <row r="1126">
          <cell r="D1126">
            <v>45755</v>
          </cell>
          <cell r="G1126">
            <v>2</v>
          </cell>
          <cell r="H1126" t="str">
            <v>رول</v>
          </cell>
          <cell r="Q1126">
            <v>107.69999999999999</v>
          </cell>
        </row>
        <row r="1127">
          <cell r="D1127">
            <v>45755</v>
          </cell>
          <cell r="G1127">
            <v>4</v>
          </cell>
          <cell r="H1127" t="str">
            <v>رول</v>
          </cell>
          <cell r="Q1127">
            <v>248.48000000000002</v>
          </cell>
        </row>
        <row r="1128">
          <cell r="D1128">
            <v>45755</v>
          </cell>
          <cell r="G1128">
            <v>4</v>
          </cell>
          <cell r="H1128" t="str">
            <v>رول</v>
          </cell>
          <cell r="Q1128">
            <v>171.07</v>
          </cell>
        </row>
        <row r="1129">
          <cell r="D1129">
            <v>45755</v>
          </cell>
          <cell r="G1129">
            <v>3</v>
          </cell>
          <cell r="H1129" t="str">
            <v>رول</v>
          </cell>
          <cell r="Q1129">
            <v>125.47</v>
          </cell>
        </row>
        <row r="1130">
          <cell r="D1130">
            <v>45755</v>
          </cell>
          <cell r="G1130">
            <v>5</v>
          </cell>
          <cell r="H1130" t="str">
            <v>رول</v>
          </cell>
          <cell r="Q1130">
            <v>196.33999999999997</v>
          </cell>
        </row>
        <row r="1131">
          <cell r="D1131">
            <v>45755</v>
          </cell>
          <cell r="G1131">
            <v>12</v>
          </cell>
          <cell r="H1131" t="str">
            <v>رول</v>
          </cell>
          <cell r="Q1131">
            <v>249.96999999999997</v>
          </cell>
        </row>
        <row r="1132">
          <cell r="D1132">
            <v>45755</v>
          </cell>
          <cell r="G1132">
            <v>16</v>
          </cell>
          <cell r="H1132" t="str">
            <v>-</v>
          </cell>
          <cell r="Q1132">
            <v>457.68000000000006</v>
          </cell>
        </row>
        <row r="1133">
          <cell r="D1133">
            <v>45755</v>
          </cell>
          <cell r="G1133">
            <v>18</v>
          </cell>
          <cell r="H1133" t="str">
            <v>رول</v>
          </cell>
          <cell r="Q1133">
            <v>158.98000000000002</v>
          </cell>
        </row>
        <row r="1134">
          <cell r="D1134">
            <v>45755</v>
          </cell>
          <cell r="G1134">
            <v>18</v>
          </cell>
          <cell r="H1134" t="str">
            <v>رول</v>
          </cell>
          <cell r="Q1134">
            <v>477.16999999999996</v>
          </cell>
        </row>
        <row r="1135">
          <cell r="D1135">
            <v>45755</v>
          </cell>
          <cell r="G1135">
            <v>28</v>
          </cell>
          <cell r="H1135" t="str">
            <v>رول</v>
          </cell>
          <cell r="Q1135">
            <v>151.1</v>
          </cell>
        </row>
        <row r="1136">
          <cell r="D1136">
            <v>45756</v>
          </cell>
          <cell r="G1136">
            <v>4</v>
          </cell>
          <cell r="H1136" t="str">
            <v>رول</v>
          </cell>
          <cell r="Q1136">
            <v>240.16000000000003</v>
          </cell>
        </row>
        <row r="1137">
          <cell r="D1137">
            <v>45756</v>
          </cell>
          <cell r="G1137">
            <v>4</v>
          </cell>
          <cell r="H1137" t="str">
            <v>رول</v>
          </cell>
          <cell r="Q1137">
            <v>217.39</v>
          </cell>
        </row>
        <row r="1138">
          <cell r="D1138">
            <v>45756</v>
          </cell>
          <cell r="G1138">
            <v>3</v>
          </cell>
          <cell r="H1138" t="str">
            <v>رول</v>
          </cell>
          <cell r="Q1138">
            <v>88.2</v>
          </cell>
        </row>
        <row r="1139">
          <cell r="D1139">
            <v>45756</v>
          </cell>
          <cell r="G1139" t="str">
            <v>-</v>
          </cell>
          <cell r="H1139" t="str">
            <v>-</v>
          </cell>
          <cell r="Q1139">
            <v>89.740000000000009</v>
          </cell>
        </row>
        <row r="1140">
          <cell r="D1140">
            <v>45756</v>
          </cell>
          <cell r="G1140">
            <v>28</v>
          </cell>
          <cell r="H1140" t="str">
            <v>رول</v>
          </cell>
          <cell r="Q1140">
            <v>424.73</v>
          </cell>
        </row>
        <row r="1141">
          <cell r="D1141">
            <v>45756</v>
          </cell>
          <cell r="G1141">
            <v>17</v>
          </cell>
          <cell r="H1141" t="str">
            <v>رول</v>
          </cell>
          <cell r="Q1141">
            <v>265.63</v>
          </cell>
        </row>
        <row r="1142">
          <cell r="D1142">
            <v>45756</v>
          </cell>
          <cell r="G1142">
            <v>17</v>
          </cell>
          <cell r="H1142" t="str">
            <v>رول</v>
          </cell>
          <cell r="Q1142">
            <v>623.15000000000009</v>
          </cell>
        </row>
        <row r="1143">
          <cell r="D1143">
            <v>45756</v>
          </cell>
          <cell r="G1143">
            <v>12</v>
          </cell>
          <cell r="H1143" t="str">
            <v>رول</v>
          </cell>
          <cell r="Q1143">
            <v>347.36999999999995</v>
          </cell>
        </row>
        <row r="1144">
          <cell r="D1144">
            <v>45756</v>
          </cell>
          <cell r="G1144">
            <v>9</v>
          </cell>
          <cell r="H1144" t="str">
            <v>رول</v>
          </cell>
          <cell r="Q1144">
            <v>174.69</v>
          </cell>
        </row>
        <row r="1145">
          <cell r="D1145">
            <v>45756</v>
          </cell>
          <cell r="G1145">
            <v>9</v>
          </cell>
          <cell r="H1145" t="str">
            <v>رول</v>
          </cell>
          <cell r="Q1145">
            <v>179.36999999999998</v>
          </cell>
        </row>
        <row r="1146">
          <cell r="D1146">
            <v>45756</v>
          </cell>
          <cell r="G1146">
            <v>15</v>
          </cell>
          <cell r="H1146" t="str">
            <v>رول</v>
          </cell>
          <cell r="Q1146">
            <v>197.44999999999996</v>
          </cell>
        </row>
        <row r="1147">
          <cell r="D1147">
            <v>45757</v>
          </cell>
          <cell r="G1147">
            <v>4</v>
          </cell>
          <cell r="H1147" t="str">
            <v>رول</v>
          </cell>
          <cell r="Q1147">
            <v>75.399999999999991</v>
          </cell>
        </row>
        <row r="1148">
          <cell r="D1148">
            <v>45757</v>
          </cell>
          <cell r="G1148">
            <v>3</v>
          </cell>
          <cell r="H1148" t="str">
            <v>رول</v>
          </cell>
          <cell r="Q1148">
            <v>63.589999999999996</v>
          </cell>
        </row>
        <row r="1149">
          <cell r="D1149">
            <v>45757</v>
          </cell>
          <cell r="G1149">
            <v>3</v>
          </cell>
          <cell r="H1149" t="str">
            <v>رول</v>
          </cell>
          <cell r="Q1149">
            <v>128.69</v>
          </cell>
        </row>
        <row r="1150">
          <cell r="D1150">
            <v>45757</v>
          </cell>
          <cell r="G1150">
            <v>2.5</v>
          </cell>
          <cell r="H1150" t="str">
            <v>رول</v>
          </cell>
          <cell r="Q1150">
            <v>102.8</v>
          </cell>
        </row>
        <row r="1151">
          <cell r="D1151">
            <v>45757</v>
          </cell>
          <cell r="G1151">
            <v>2.5</v>
          </cell>
          <cell r="H1151" t="str">
            <v>رول</v>
          </cell>
          <cell r="Q1151">
            <v>111.22</v>
          </cell>
        </row>
        <row r="1152">
          <cell r="D1152">
            <v>45757</v>
          </cell>
          <cell r="G1152" t="str">
            <v>16" شیٹ</v>
          </cell>
          <cell r="H1152" t="str">
            <v>7-7.5/14-15</v>
          </cell>
          <cell r="Q1152">
            <v>176.45</v>
          </cell>
        </row>
        <row r="1153">
          <cell r="D1153">
            <v>45757</v>
          </cell>
          <cell r="G1153">
            <v>22</v>
          </cell>
          <cell r="H1153" t="str">
            <v>12-13</v>
          </cell>
          <cell r="Q1153">
            <v>51.64</v>
          </cell>
        </row>
        <row r="1154">
          <cell r="D1154">
            <v>45757</v>
          </cell>
          <cell r="G1154" t="str">
            <v>22" شیٹ</v>
          </cell>
          <cell r="H1154" t="str">
            <v>7-7.5/14-15</v>
          </cell>
          <cell r="Q1154">
            <v>106.66000000000001</v>
          </cell>
        </row>
        <row r="1155">
          <cell r="D1155">
            <v>45757</v>
          </cell>
          <cell r="G1155">
            <v>22</v>
          </cell>
          <cell r="H1155">
            <v>15</v>
          </cell>
          <cell r="Q1155">
            <v>252.04999999999998</v>
          </cell>
        </row>
        <row r="1156">
          <cell r="D1156">
            <v>45757</v>
          </cell>
          <cell r="G1156">
            <v>24</v>
          </cell>
          <cell r="H1156">
            <v>5</v>
          </cell>
          <cell r="Q1156">
            <v>49.83</v>
          </cell>
        </row>
        <row r="1157">
          <cell r="D1157">
            <v>45757</v>
          </cell>
          <cell r="G1157">
            <v>24</v>
          </cell>
          <cell r="H1157">
            <v>5</v>
          </cell>
          <cell r="Q1157">
            <v>552.79999999999995</v>
          </cell>
        </row>
        <row r="1158">
          <cell r="D1158">
            <v>45757</v>
          </cell>
          <cell r="G1158">
            <v>18</v>
          </cell>
          <cell r="H1158" t="str">
            <v>6-6.5</v>
          </cell>
          <cell r="Q1158">
            <v>118.7</v>
          </cell>
        </row>
        <row r="1159">
          <cell r="D1159">
            <v>45757</v>
          </cell>
          <cell r="G1159">
            <v>24</v>
          </cell>
          <cell r="H1159">
            <v>5</v>
          </cell>
          <cell r="Q1159">
            <v>508.59</v>
          </cell>
        </row>
        <row r="1160">
          <cell r="D1160">
            <v>45757</v>
          </cell>
          <cell r="G1160">
            <v>3</v>
          </cell>
          <cell r="H1160">
            <v>5</v>
          </cell>
          <cell r="Q1160">
            <v>29.65</v>
          </cell>
        </row>
        <row r="1161">
          <cell r="D1161">
            <v>45757</v>
          </cell>
          <cell r="G1161">
            <v>3</v>
          </cell>
          <cell r="H1161">
            <v>5</v>
          </cell>
          <cell r="Q1161">
            <v>134.6</v>
          </cell>
        </row>
        <row r="1162">
          <cell r="D1162">
            <v>45757</v>
          </cell>
          <cell r="G1162">
            <v>12</v>
          </cell>
          <cell r="H1162" t="str">
            <v>رول</v>
          </cell>
          <cell r="Q1162">
            <v>332.97</v>
          </cell>
        </row>
        <row r="1163">
          <cell r="D1163">
            <v>45758</v>
          </cell>
          <cell r="G1163">
            <v>3</v>
          </cell>
          <cell r="H1163" t="str">
            <v>رول</v>
          </cell>
          <cell r="Q1163">
            <v>135.25</v>
          </cell>
        </row>
        <row r="1164">
          <cell r="D1164">
            <v>45758</v>
          </cell>
          <cell r="G1164">
            <v>3</v>
          </cell>
          <cell r="H1164" t="str">
            <v>رول</v>
          </cell>
          <cell r="Q1164">
            <v>147.13</v>
          </cell>
        </row>
        <row r="1165">
          <cell r="D1165">
            <v>45758</v>
          </cell>
          <cell r="G1165">
            <v>2.5</v>
          </cell>
          <cell r="H1165" t="str">
            <v>رول</v>
          </cell>
          <cell r="Q1165">
            <v>114.57000000000001</v>
          </cell>
        </row>
        <row r="1166">
          <cell r="D1166">
            <v>45758</v>
          </cell>
          <cell r="G1166">
            <v>2.5</v>
          </cell>
          <cell r="H1166" t="str">
            <v>رول</v>
          </cell>
          <cell r="Q1166">
            <v>133.04000000000002</v>
          </cell>
        </row>
        <row r="1167">
          <cell r="D1167">
            <v>45758</v>
          </cell>
          <cell r="G1167">
            <v>18</v>
          </cell>
          <cell r="H1167" t="str">
            <v>6-6.5</v>
          </cell>
          <cell r="Q1167">
            <v>165.85</v>
          </cell>
        </row>
        <row r="1168">
          <cell r="D1168">
            <v>45758</v>
          </cell>
          <cell r="G1168">
            <v>16</v>
          </cell>
          <cell r="H1168" t="str">
            <v>7.5-8</v>
          </cell>
          <cell r="Q1168">
            <v>102.60000000000001</v>
          </cell>
        </row>
        <row r="1169">
          <cell r="D1169">
            <v>45758</v>
          </cell>
          <cell r="G1169">
            <v>18</v>
          </cell>
          <cell r="H1169" t="str">
            <v>7</v>
          </cell>
          <cell r="Q1169">
            <v>57.62</v>
          </cell>
        </row>
        <row r="1170">
          <cell r="D1170">
            <v>45758</v>
          </cell>
          <cell r="G1170">
            <v>24</v>
          </cell>
          <cell r="H1170">
            <v>5</v>
          </cell>
          <cell r="Q1170">
            <v>378.71</v>
          </cell>
        </row>
        <row r="1171">
          <cell r="D1171">
            <v>45758</v>
          </cell>
          <cell r="G1171">
            <v>17</v>
          </cell>
          <cell r="H1171">
            <v>5</v>
          </cell>
          <cell r="Q1171">
            <v>661.7</v>
          </cell>
        </row>
        <row r="1172">
          <cell r="D1172">
            <v>45758</v>
          </cell>
          <cell r="G1172">
            <v>12</v>
          </cell>
          <cell r="H1172" t="str">
            <v>رول</v>
          </cell>
          <cell r="Q1172">
            <v>276.38</v>
          </cell>
        </row>
        <row r="1173">
          <cell r="D1173">
            <v>45758</v>
          </cell>
          <cell r="G1173">
            <v>13</v>
          </cell>
          <cell r="H1173">
            <v>10</v>
          </cell>
          <cell r="Q1173">
            <v>106.35999999999999</v>
          </cell>
        </row>
        <row r="1174">
          <cell r="D1174">
            <v>45758</v>
          </cell>
          <cell r="G1174">
            <v>12</v>
          </cell>
          <cell r="H1174" t="str">
            <v>4-4.5</v>
          </cell>
          <cell r="Q1174">
            <v>105.84000000000002</v>
          </cell>
        </row>
        <row r="1175">
          <cell r="D1175">
            <v>45758</v>
          </cell>
          <cell r="G1175">
            <v>12</v>
          </cell>
          <cell r="H1175" t="str">
            <v>4-4.5</v>
          </cell>
          <cell r="Q1175">
            <v>369.98</v>
          </cell>
        </row>
        <row r="1176">
          <cell r="D1176">
            <v>45759</v>
          </cell>
          <cell r="G1176">
            <v>3</v>
          </cell>
          <cell r="H1176" t="str">
            <v>رول</v>
          </cell>
          <cell r="Q1176">
            <v>115.54</v>
          </cell>
        </row>
        <row r="1177">
          <cell r="D1177">
            <v>45759</v>
          </cell>
          <cell r="G1177">
            <v>4</v>
          </cell>
          <cell r="H1177">
            <v>4.5</v>
          </cell>
          <cell r="Q1177">
            <v>41.9</v>
          </cell>
        </row>
        <row r="1178">
          <cell r="D1178">
            <v>45759</v>
          </cell>
          <cell r="G1178">
            <v>4</v>
          </cell>
          <cell r="H1178">
            <v>4.5</v>
          </cell>
          <cell r="Q1178">
            <v>110.10000000000001</v>
          </cell>
        </row>
        <row r="1179">
          <cell r="D1179">
            <v>45759</v>
          </cell>
          <cell r="G1179" t="str">
            <v>-</v>
          </cell>
          <cell r="H1179" t="str">
            <v>-</v>
          </cell>
          <cell r="Q1179">
            <v>120.92</v>
          </cell>
        </row>
        <row r="1180">
          <cell r="D1180">
            <v>45759</v>
          </cell>
          <cell r="G1180" t="str">
            <v>-</v>
          </cell>
          <cell r="H1180" t="str">
            <v>-</v>
          </cell>
          <cell r="Q1180">
            <v>101.44</v>
          </cell>
        </row>
        <row r="1181">
          <cell r="D1181">
            <v>45759</v>
          </cell>
          <cell r="G1181">
            <v>17</v>
          </cell>
          <cell r="H1181">
            <v>5</v>
          </cell>
          <cell r="Q1181">
            <v>217.25</v>
          </cell>
        </row>
        <row r="1182">
          <cell r="D1182">
            <v>45759</v>
          </cell>
          <cell r="G1182">
            <v>17</v>
          </cell>
          <cell r="H1182">
            <v>5</v>
          </cell>
          <cell r="Q1182">
            <v>494.47999999999996</v>
          </cell>
        </row>
        <row r="1183">
          <cell r="D1183">
            <v>45759</v>
          </cell>
          <cell r="G1183">
            <v>17</v>
          </cell>
          <cell r="H1183">
            <v>5</v>
          </cell>
          <cell r="Q1183">
            <v>495.2</v>
          </cell>
        </row>
        <row r="1184">
          <cell r="D1184">
            <v>45761</v>
          </cell>
          <cell r="G1184">
            <v>4</v>
          </cell>
          <cell r="H1184" t="str">
            <v>رول</v>
          </cell>
          <cell r="Q1184">
            <v>57.8</v>
          </cell>
        </row>
        <row r="1185">
          <cell r="D1185">
            <v>45761</v>
          </cell>
          <cell r="G1185">
            <v>4</v>
          </cell>
          <cell r="H1185" t="str">
            <v>رول</v>
          </cell>
          <cell r="Q1185">
            <v>154.91999999999999</v>
          </cell>
        </row>
        <row r="1186">
          <cell r="D1186">
            <v>45761</v>
          </cell>
          <cell r="G1186">
            <v>2.5</v>
          </cell>
          <cell r="H1186" t="str">
            <v>رول</v>
          </cell>
          <cell r="Q1186">
            <v>93.15</v>
          </cell>
        </row>
        <row r="1187">
          <cell r="D1187">
            <v>45761</v>
          </cell>
          <cell r="G1187">
            <v>2.5</v>
          </cell>
          <cell r="H1187" t="str">
            <v>رول</v>
          </cell>
          <cell r="Q1187">
            <v>51.400000000000006</v>
          </cell>
        </row>
        <row r="1188">
          <cell r="D1188">
            <v>45761</v>
          </cell>
          <cell r="G1188">
            <v>3.5</v>
          </cell>
          <cell r="H1188" t="str">
            <v>رول</v>
          </cell>
          <cell r="Q1188">
            <v>67.649999999999991</v>
          </cell>
        </row>
        <row r="1189">
          <cell r="D1189">
            <v>45761</v>
          </cell>
          <cell r="G1189">
            <v>16.2</v>
          </cell>
          <cell r="H1189" t="str">
            <v>-</v>
          </cell>
          <cell r="Q1189">
            <v>335.31</v>
          </cell>
        </row>
        <row r="1190">
          <cell r="D1190">
            <v>45761</v>
          </cell>
          <cell r="G1190">
            <v>16.2</v>
          </cell>
          <cell r="H1190" t="str">
            <v>-</v>
          </cell>
          <cell r="Q1190">
            <v>668.97000000000014</v>
          </cell>
        </row>
        <row r="1191">
          <cell r="D1191">
            <v>45761</v>
          </cell>
          <cell r="G1191">
            <v>24</v>
          </cell>
          <cell r="H1191">
            <v>5</v>
          </cell>
          <cell r="Q1191">
            <v>149.66</v>
          </cell>
        </row>
        <row r="1192">
          <cell r="D1192">
            <v>45761</v>
          </cell>
          <cell r="G1192">
            <v>24</v>
          </cell>
          <cell r="H1192">
            <v>5</v>
          </cell>
          <cell r="Q1192">
            <v>167.05</v>
          </cell>
        </row>
        <row r="1193">
          <cell r="D1193">
            <v>45761</v>
          </cell>
          <cell r="G1193">
            <v>24</v>
          </cell>
          <cell r="H1193">
            <v>5</v>
          </cell>
          <cell r="Q1193">
            <v>140.47</v>
          </cell>
        </row>
        <row r="1194">
          <cell r="D1194">
            <v>45761</v>
          </cell>
          <cell r="G1194">
            <v>14</v>
          </cell>
          <cell r="H1194" t="str">
            <v>6-6.5</v>
          </cell>
          <cell r="Q1194">
            <v>100.64999999999999</v>
          </cell>
        </row>
        <row r="1195">
          <cell r="D1195">
            <v>45761</v>
          </cell>
          <cell r="G1195">
            <v>9</v>
          </cell>
          <cell r="H1195">
            <v>4.5</v>
          </cell>
          <cell r="Q1195">
            <v>161.89999999999998</v>
          </cell>
        </row>
        <row r="1196">
          <cell r="D1196">
            <v>45762</v>
          </cell>
          <cell r="G1196">
            <v>4</v>
          </cell>
          <cell r="H1196">
            <v>4.5</v>
          </cell>
          <cell r="Q1196">
            <v>90.339999999999989</v>
          </cell>
        </row>
        <row r="1197">
          <cell r="D1197">
            <v>45762</v>
          </cell>
          <cell r="G1197">
            <v>5</v>
          </cell>
          <cell r="H1197">
            <v>4.5</v>
          </cell>
          <cell r="Q1197">
            <v>50.680000000000007</v>
          </cell>
        </row>
        <row r="1198">
          <cell r="D1198">
            <v>45762</v>
          </cell>
          <cell r="G1198">
            <v>5</v>
          </cell>
          <cell r="H1198">
            <v>4.5</v>
          </cell>
          <cell r="Q1198">
            <v>167.74</v>
          </cell>
        </row>
        <row r="1199">
          <cell r="D1199">
            <v>45762</v>
          </cell>
          <cell r="G1199">
            <v>3.5</v>
          </cell>
          <cell r="H1199">
            <v>4.5</v>
          </cell>
          <cell r="Q1199">
            <v>121.39</v>
          </cell>
        </row>
        <row r="1200">
          <cell r="D1200">
            <v>45762</v>
          </cell>
          <cell r="G1200">
            <v>16.2</v>
          </cell>
          <cell r="H1200" t="str">
            <v>-</v>
          </cell>
          <cell r="Q1200">
            <v>584.6400000000001</v>
          </cell>
        </row>
        <row r="1201">
          <cell r="D1201">
            <v>45762</v>
          </cell>
          <cell r="G1201">
            <v>25</v>
          </cell>
          <cell r="H1201" t="str">
            <v>7.5-8</v>
          </cell>
          <cell r="Q1201">
            <v>35.5</v>
          </cell>
        </row>
        <row r="1202">
          <cell r="D1202">
            <v>45762</v>
          </cell>
          <cell r="G1202">
            <v>25</v>
          </cell>
          <cell r="H1202" t="str">
            <v>7.5-8</v>
          </cell>
          <cell r="Q1202">
            <v>93.37</v>
          </cell>
        </row>
        <row r="1203">
          <cell r="D1203">
            <v>45762</v>
          </cell>
          <cell r="G1203">
            <v>18</v>
          </cell>
          <cell r="H1203" t="str">
            <v>7</v>
          </cell>
          <cell r="Q1203">
            <v>571.16</v>
          </cell>
        </row>
        <row r="1204">
          <cell r="D1204">
            <v>45762</v>
          </cell>
          <cell r="G1204">
            <v>9</v>
          </cell>
          <cell r="H1204" t="str">
            <v>010-011</v>
          </cell>
          <cell r="Q1204">
            <v>352.96999999999997</v>
          </cell>
        </row>
        <row r="1205">
          <cell r="D1205">
            <v>45762</v>
          </cell>
          <cell r="G1205" t="str">
            <v>-</v>
          </cell>
          <cell r="H1205" t="str">
            <v>-</v>
          </cell>
          <cell r="Q1205">
            <v>75.759999999999991</v>
          </cell>
        </row>
        <row r="1206">
          <cell r="D1206">
            <v>45762</v>
          </cell>
          <cell r="G1206" t="str">
            <v>-</v>
          </cell>
          <cell r="H1206" t="str">
            <v>-</v>
          </cell>
          <cell r="Q1206">
            <v>328.69000000000005</v>
          </cell>
        </row>
        <row r="1207">
          <cell r="D1207">
            <v>45762</v>
          </cell>
          <cell r="G1207">
            <v>12</v>
          </cell>
          <cell r="H1207" t="str">
            <v>4-4.5</v>
          </cell>
          <cell r="Q1207">
            <v>24.59</v>
          </cell>
        </row>
        <row r="1208">
          <cell r="D1208">
            <v>45763</v>
          </cell>
          <cell r="G1208">
            <v>5</v>
          </cell>
          <cell r="H1208" t="str">
            <v>رول</v>
          </cell>
          <cell r="Q1208">
            <v>143.40999999999997</v>
          </cell>
        </row>
        <row r="1209">
          <cell r="D1209">
            <v>45763</v>
          </cell>
          <cell r="G1209">
            <v>5</v>
          </cell>
          <cell r="H1209" t="str">
            <v>رول</v>
          </cell>
          <cell r="Q1209">
            <v>160.35999999999999</v>
          </cell>
        </row>
        <row r="1210">
          <cell r="D1210">
            <v>45763</v>
          </cell>
          <cell r="G1210">
            <v>3.5</v>
          </cell>
          <cell r="H1210" t="str">
            <v>رول</v>
          </cell>
          <cell r="Q1210">
            <v>82.14</v>
          </cell>
        </row>
        <row r="1211">
          <cell r="D1211">
            <v>45763</v>
          </cell>
          <cell r="G1211">
            <v>4</v>
          </cell>
          <cell r="H1211" t="str">
            <v>رول</v>
          </cell>
          <cell r="Q1211">
            <v>82.509999999999991</v>
          </cell>
        </row>
        <row r="1212">
          <cell r="D1212">
            <v>45763</v>
          </cell>
          <cell r="G1212">
            <v>4</v>
          </cell>
          <cell r="H1212" t="str">
            <v>رول</v>
          </cell>
          <cell r="Q1212">
            <v>175.35</v>
          </cell>
        </row>
        <row r="1213">
          <cell r="D1213">
            <v>45763</v>
          </cell>
          <cell r="G1213">
            <v>18</v>
          </cell>
          <cell r="H1213" t="str">
            <v>4-4.5</v>
          </cell>
          <cell r="Q1213">
            <v>563.56999999999994</v>
          </cell>
        </row>
        <row r="1214">
          <cell r="D1214">
            <v>45763</v>
          </cell>
          <cell r="G1214">
            <v>18</v>
          </cell>
          <cell r="H1214" t="str">
            <v>4-4.5</v>
          </cell>
          <cell r="Q1214">
            <v>155.15999999999997</v>
          </cell>
        </row>
        <row r="1215">
          <cell r="D1215">
            <v>45763</v>
          </cell>
          <cell r="G1215">
            <v>17</v>
          </cell>
          <cell r="H1215">
            <v>5</v>
          </cell>
          <cell r="Q1215">
            <v>570.65</v>
          </cell>
        </row>
        <row r="1216">
          <cell r="D1216">
            <v>45763</v>
          </cell>
          <cell r="G1216">
            <v>12</v>
          </cell>
          <cell r="H1216" t="str">
            <v>4-4.5</v>
          </cell>
          <cell r="Q1216">
            <v>493.76</v>
          </cell>
        </row>
        <row r="1217">
          <cell r="D1217">
            <v>45763</v>
          </cell>
          <cell r="G1217">
            <v>12</v>
          </cell>
          <cell r="H1217" t="str">
            <v>4-4.5</v>
          </cell>
          <cell r="Q1217">
            <v>362.82</v>
          </cell>
        </row>
        <row r="1218">
          <cell r="D1218">
            <v>45763</v>
          </cell>
          <cell r="G1218">
            <v>12</v>
          </cell>
          <cell r="H1218" t="str">
            <v>رول</v>
          </cell>
          <cell r="Q1218">
            <v>163.69999999999999</v>
          </cell>
        </row>
        <row r="1219">
          <cell r="D1219">
            <v>45764</v>
          </cell>
          <cell r="G1219">
            <v>5</v>
          </cell>
          <cell r="H1219" t="str">
            <v>رول</v>
          </cell>
          <cell r="Q1219">
            <v>152.95000000000002</v>
          </cell>
        </row>
        <row r="1220">
          <cell r="D1220">
            <v>45764</v>
          </cell>
          <cell r="G1220">
            <v>2.5</v>
          </cell>
          <cell r="H1220" t="str">
            <v>رول</v>
          </cell>
          <cell r="Q1220">
            <v>9.1</v>
          </cell>
        </row>
        <row r="1221">
          <cell r="D1221">
            <v>45764</v>
          </cell>
          <cell r="G1221">
            <v>2.5</v>
          </cell>
          <cell r="H1221" t="str">
            <v>رول</v>
          </cell>
          <cell r="Q1221">
            <v>130.13</v>
          </cell>
        </row>
        <row r="1222">
          <cell r="D1222">
            <v>45764</v>
          </cell>
          <cell r="G1222">
            <v>4</v>
          </cell>
          <cell r="H1222" t="str">
            <v>رول</v>
          </cell>
          <cell r="Q1222">
            <v>126.89999999999999</v>
          </cell>
        </row>
        <row r="1223">
          <cell r="D1223">
            <v>45764</v>
          </cell>
          <cell r="G1223">
            <v>4</v>
          </cell>
          <cell r="H1223" t="str">
            <v>رول</v>
          </cell>
          <cell r="Q1223">
            <v>149.73000000000002</v>
          </cell>
        </row>
        <row r="1224">
          <cell r="D1224">
            <v>45764</v>
          </cell>
          <cell r="G1224">
            <v>17</v>
          </cell>
          <cell r="H1224">
            <v>5</v>
          </cell>
          <cell r="Q1224">
            <v>211.16</v>
          </cell>
        </row>
        <row r="1225">
          <cell r="D1225">
            <v>45764</v>
          </cell>
          <cell r="G1225">
            <v>17</v>
          </cell>
          <cell r="H1225" t="str">
            <v>5.5-6</v>
          </cell>
          <cell r="Q1225">
            <v>154.39999999999998</v>
          </cell>
        </row>
        <row r="1226">
          <cell r="D1226">
            <v>45764</v>
          </cell>
          <cell r="G1226">
            <v>20</v>
          </cell>
          <cell r="H1226" t="str">
            <v>5-5.5</v>
          </cell>
          <cell r="Q1226">
            <v>420.80000000000007</v>
          </cell>
        </row>
        <row r="1227">
          <cell r="D1227">
            <v>45764</v>
          </cell>
          <cell r="G1227">
            <v>20</v>
          </cell>
          <cell r="H1227" t="str">
            <v>5-5.5</v>
          </cell>
          <cell r="Q1227">
            <v>711.56</v>
          </cell>
        </row>
        <row r="1228">
          <cell r="D1228">
            <v>45764</v>
          </cell>
          <cell r="G1228">
            <v>12</v>
          </cell>
          <cell r="H1228" t="str">
            <v>رول</v>
          </cell>
          <cell r="Q1228">
            <v>247.09999999999997</v>
          </cell>
        </row>
        <row r="1229">
          <cell r="D1229">
            <v>45764</v>
          </cell>
          <cell r="G1229">
            <v>7</v>
          </cell>
          <cell r="H1229">
            <v>5</v>
          </cell>
          <cell r="Q1229">
            <v>293.77999999999997</v>
          </cell>
        </row>
        <row r="1230">
          <cell r="D1230">
            <v>45764</v>
          </cell>
          <cell r="G1230">
            <v>7</v>
          </cell>
          <cell r="H1230">
            <v>5</v>
          </cell>
          <cell r="Q1230">
            <v>254.45999999999998</v>
          </cell>
        </row>
        <row r="1231">
          <cell r="D1231">
            <v>45764</v>
          </cell>
          <cell r="G1231">
            <v>14</v>
          </cell>
          <cell r="H1231" t="str">
            <v>4-4.5</v>
          </cell>
          <cell r="Q1231">
            <v>212.62</v>
          </cell>
        </row>
        <row r="1232">
          <cell r="D1232">
            <v>45764</v>
          </cell>
          <cell r="G1232">
            <v>11</v>
          </cell>
          <cell r="H1232" t="str">
            <v>4-4.5</v>
          </cell>
          <cell r="Q1232">
            <v>50.34</v>
          </cell>
        </row>
        <row r="1233">
          <cell r="D1233">
            <v>45765</v>
          </cell>
          <cell r="G1233">
            <v>2.5</v>
          </cell>
          <cell r="H1233" t="str">
            <v>رول</v>
          </cell>
          <cell r="Q1233">
            <v>102.96000000000001</v>
          </cell>
        </row>
        <row r="1234">
          <cell r="D1234">
            <v>45765</v>
          </cell>
          <cell r="G1234">
            <v>4</v>
          </cell>
          <cell r="H1234">
            <v>5</v>
          </cell>
          <cell r="Q1234">
            <v>24.509999999999998</v>
          </cell>
        </row>
        <row r="1235">
          <cell r="D1235">
            <v>45765</v>
          </cell>
          <cell r="G1235">
            <v>4</v>
          </cell>
          <cell r="H1235">
            <v>5</v>
          </cell>
          <cell r="Q1235">
            <v>100.78999999999999</v>
          </cell>
        </row>
        <row r="1236">
          <cell r="D1236">
            <v>45765</v>
          </cell>
          <cell r="G1236">
            <v>2.5</v>
          </cell>
          <cell r="H1236" t="str">
            <v>رول</v>
          </cell>
          <cell r="Q1236">
            <v>53.06</v>
          </cell>
        </row>
        <row r="1237">
          <cell r="D1237">
            <v>45765</v>
          </cell>
          <cell r="G1237">
            <v>4</v>
          </cell>
          <cell r="H1237" t="str">
            <v>رول</v>
          </cell>
          <cell r="Q1237">
            <v>134.06</v>
          </cell>
        </row>
        <row r="1238">
          <cell r="D1238">
            <v>45765</v>
          </cell>
          <cell r="G1238">
            <v>4</v>
          </cell>
          <cell r="H1238" t="str">
            <v>رول</v>
          </cell>
          <cell r="Q1238">
            <v>144.39000000000001</v>
          </cell>
        </row>
        <row r="1239">
          <cell r="D1239">
            <v>45765</v>
          </cell>
          <cell r="G1239">
            <v>22</v>
          </cell>
          <cell r="H1239" t="str">
            <v>5-5.5</v>
          </cell>
          <cell r="Q1239">
            <v>648.95999999999992</v>
          </cell>
        </row>
        <row r="1240">
          <cell r="D1240">
            <v>45765</v>
          </cell>
          <cell r="G1240">
            <v>22</v>
          </cell>
          <cell r="H1240" t="str">
            <v>5-5.5</v>
          </cell>
          <cell r="Q1240">
            <v>476.21</v>
          </cell>
        </row>
        <row r="1241">
          <cell r="D1241">
            <v>45765</v>
          </cell>
          <cell r="G1241">
            <v>24</v>
          </cell>
          <cell r="H1241" t="str">
            <v>5-5.5</v>
          </cell>
          <cell r="Q1241">
            <v>252.62</v>
          </cell>
        </row>
        <row r="1242">
          <cell r="D1242">
            <v>45765</v>
          </cell>
          <cell r="G1242">
            <v>11</v>
          </cell>
          <cell r="H1242" t="str">
            <v>4-4.5</v>
          </cell>
          <cell r="Q1242">
            <v>44.3</v>
          </cell>
        </row>
        <row r="1243">
          <cell r="D1243">
            <v>45765</v>
          </cell>
          <cell r="G1243">
            <v>8</v>
          </cell>
          <cell r="H1243" t="str">
            <v>4-4.5</v>
          </cell>
          <cell r="Q1243">
            <v>204.5</v>
          </cell>
        </row>
        <row r="1244">
          <cell r="D1244">
            <v>45765</v>
          </cell>
          <cell r="G1244">
            <v>7</v>
          </cell>
          <cell r="H1244" t="str">
            <v>رول</v>
          </cell>
          <cell r="Q1244">
            <v>303.72000000000003</v>
          </cell>
        </row>
        <row r="1245">
          <cell r="D1245">
            <v>45765</v>
          </cell>
          <cell r="G1245">
            <v>10</v>
          </cell>
          <cell r="H1245">
            <v>8</v>
          </cell>
          <cell r="Q1245">
            <v>27.68</v>
          </cell>
        </row>
        <row r="1246">
          <cell r="D1246">
            <v>45766</v>
          </cell>
          <cell r="G1246">
            <v>2.5</v>
          </cell>
          <cell r="H1246" t="str">
            <v>رول</v>
          </cell>
          <cell r="Q1246">
            <v>106.89999999999999</v>
          </cell>
        </row>
        <row r="1247">
          <cell r="D1247">
            <v>45766</v>
          </cell>
          <cell r="G1247">
            <v>2.5</v>
          </cell>
          <cell r="H1247" t="str">
            <v>رول</v>
          </cell>
          <cell r="Q1247">
            <v>90.02000000000001</v>
          </cell>
        </row>
        <row r="1248">
          <cell r="D1248">
            <v>45766</v>
          </cell>
          <cell r="G1248">
            <v>4</v>
          </cell>
          <cell r="H1248" t="str">
            <v>رول</v>
          </cell>
          <cell r="Q1248">
            <v>145.72000000000003</v>
          </cell>
        </row>
        <row r="1249">
          <cell r="D1249">
            <v>45766</v>
          </cell>
          <cell r="G1249">
            <v>5</v>
          </cell>
          <cell r="H1249" t="str">
            <v>رول</v>
          </cell>
          <cell r="Q1249">
            <v>69.39</v>
          </cell>
        </row>
        <row r="1250">
          <cell r="D1250">
            <v>45766</v>
          </cell>
          <cell r="G1250">
            <v>4</v>
          </cell>
          <cell r="H1250" t="str">
            <v>رول</v>
          </cell>
          <cell r="Q1250">
            <v>87.66</v>
          </cell>
        </row>
        <row r="1251">
          <cell r="D1251">
            <v>45766</v>
          </cell>
          <cell r="G1251">
            <v>24</v>
          </cell>
          <cell r="H1251" t="str">
            <v>5-5.5</v>
          </cell>
          <cell r="Q1251">
            <v>244.5</v>
          </cell>
        </row>
        <row r="1252">
          <cell r="D1252">
            <v>45766</v>
          </cell>
          <cell r="G1252">
            <v>24</v>
          </cell>
          <cell r="H1252" t="str">
            <v>5-5.5</v>
          </cell>
          <cell r="Q1252">
            <v>455.75</v>
          </cell>
        </row>
        <row r="1253">
          <cell r="D1253">
            <v>45766</v>
          </cell>
          <cell r="G1253">
            <v>24</v>
          </cell>
          <cell r="H1253" t="str">
            <v>5-5.5</v>
          </cell>
          <cell r="Q1253">
            <v>101.2</v>
          </cell>
        </row>
        <row r="1254">
          <cell r="D1254">
            <v>45766</v>
          </cell>
          <cell r="G1254">
            <v>18</v>
          </cell>
          <cell r="H1254" t="str">
            <v>5-5.5</v>
          </cell>
          <cell r="Q1254">
            <v>103.25</v>
          </cell>
        </row>
        <row r="1255">
          <cell r="D1255">
            <v>45766</v>
          </cell>
          <cell r="G1255">
            <v>18</v>
          </cell>
          <cell r="H1255" t="str">
            <v>5-5.5</v>
          </cell>
          <cell r="Q1255">
            <v>208.08</v>
          </cell>
        </row>
        <row r="1256">
          <cell r="D1256">
            <v>45766</v>
          </cell>
          <cell r="G1256" t="str">
            <v>18" شیٹ</v>
          </cell>
          <cell r="H1256" t="str">
            <v>4-4.5/8-9</v>
          </cell>
          <cell r="Q1256">
            <v>78.33</v>
          </cell>
        </row>
        <row r="1257">
          <cell r="D1257">
            <v>45766</v>
          </cell>
          <cell r="G1257" t="str">
            <v>18" شیٹ</v>
          </cell>
          <cell r="H1257" t="str">
            <v>4-4.5/8-9</v>
          </cell>
          <cell r="Q1257">
            <v>54.62</v>
          </cell>
        </row>
        <row r="1258">
          <cell r="D1258">
            <v>45766</v>
          </cell>
          <cell r="G1258">
            <v>14</v>
          </cell>
          <cell r="H1258">
            <v>5</v>
          </cell>
          <cell r="Q1258">
            <v>353.64</v>
          </cell>
        </row>
        <row r="1259">
          <cell r="D1259">
            <v>45766</v>
          </cell>
          <cell r="G1259">
            <v>9.5</v>
          </cell>
          <cell r="H1259">
            <v>5</v>
          </cell>
          <cell r="Q1259">
            <v>280.76</v>
          </cell>
        </row>
        <row r="1260">
          <cell r="D1260">
            <v>45768</v>
          </cell>
          <cell r="G1260">
            <v>7</v>
          </cell>
          <cell r="H1260">
            <v>5</v>
          </cell>
          <cell r="Q1260">
            <v>75.25</v>
          </cell>
        </row>
        <row r="1261">
          <cell r="D1261">
            <v>45768</v>
          </cell>
          <cell r="G1261">
            <v>14</v>
          </cell>
          <cell r="H1261">
            <v>5</v>
          </cell>
          <cell r="Q1261">
            <v>139.59</v>
          </cell>
        </row>
        <row r="1262">
          <cell r="D1262">
            <v>45768</v>
          </cell>
          <cell r="G1262">
            <v>14</v>
          </cell>
          <cell r="H1262">
            <v>5</v>
          </cell>
          <cell r="Q1262">
            <v>110.45</v>
          </cell>
        </row>
        <row r="1263">
          <cell r="D1263">
            <v>45768</v>
          </cell>
          <cell r="G1263">
            <v>16</v>
          </cell>
          <cell r="H1263">
            <v>5</v>
          </cell>
          <cell r="Q1263">
            <v>179.98999999999998</v>
          </cell>
        </row>
        <row r="1264">
          <cell r="D1264">
            <v>45768</v>
          </cell>
          <cell r="G1264">
            <v>12</v>
          </cell>
          <cell r="H1264">
            <v>8</v>
          </cell>
          <cell r="Q1264">
            <v>458.68</v>
          </cell>
        </row>
        <row r="1265">
          <cell r="D1265">
            <v>45768</v>
          </cell>
          <cell r="G1265">
            <v>18</v>
          </cell>
          <cell r="H1265">
            <v>5</v>
          </cell>
          <cell r="Q1265">
            <v>50.35</v>
          </cell>
        </row>
        <row r="1266">
          <cell r="D1266">
            <v>45768</v>
          </cell>
          <cell r="G1266">
            <v>16</v>
          </cell>
          <cell r="H1266">
            <v>5</v>
          </cell>
          <cell r="Q1266">
            <v>245.42</v>
          </cell>
        </row>
        <row r="1267">
          <cell r="D1267">
            <v>45768</v>
          </cell>
          <cell r="G1267">
            <v>7</v>
          </cell>
          <cell r="H1267">
            <v>5</v>
          </cell>
          <cell r="Q1267">
            <v>106.93</v>
          </cell>
        </row>
        <row r="1268">
          <cell r="D1268">
            <v>45768</v>
          </cell>
          <cell r="G1268">
            <v>18</v>
          </cell>
          <cell r="H1268" t="str">
            <v>5-5.5</v>
          </cell>
          <cell r="Q1268">
            <v>283.02</v>
          </cell>
        </row>
        <row r="1269">
          <cell r="D1269">
            <v>45768</v>
          </cell>
          <cell r="G1269">
            <v>7</v>
          </cell>
          <cell r="H1269" t="str">
            <v>رول</v>
          </cell>
          <cell r="Q1269">
            <v>119.71000000000001</v>
          </cell>
        </row>
        <row r="1270">
          <cell r="D1270">
            <v>45768</v>
          </cell>
          <cell r="G1270" t="str">
            <v>-</v>
          </cell>
          <cell r="H1270" t="str">
            <v>-</v>
          </cell>
          <cell r="Q1270">
            <v>311.82000000000005</v>
          </cell>
        </row>
        <row r="1271">
          <cell r="D1271">
            <v>45768</v>
          </cell>
          <cell r="G1271" t="str">
            <v>-</v>
          </cell>
          <cell r="H1271" t="str">
            <v>-</v>
          </cell>
          <cell r="Q1271">
            <v>265.61</v>
          </cell>
        </row>
        <row r="1272">
          <cell r="D1272">
            <v>45768</v>
          </cell>
          <cell r="G1272">
            <v>14</v>
          </cell>
          <cell r="H1272" t="str">
            <v>رول</v>
          </cell>
          <cell r="Q1272">
            <v>138.44999999999999</v>
          </cell>
        </row>
        <row r="1273">
          <cell r="D1273">
            <v>45768</v>
          </cell>
          <cell r="G1273">
            <v>14</v>
          </cell>
          <cell r="H1273" t="str">
            <v>5-5.5</v>
          </cell>
          <cell r="Q1273">
            <v>183.67000000000002</v>
          </cell>
        </row>
        <row r="1274">
          <cell r="D1274">
            <v>45769</v>
          </cell>
          <cell r="G1274">
            <v>4</v>
          </cell>
          <cell r="H1274" t="str">
            <v>رول</v>
          </cell>
          <cell r="Q1274">
            <v>118.93</v>
          </cell>
        </row>
        <row r="1275">
          <cell r="D1275">
            <v>45769</v>
          </cell>
          <cell r="G1275">
            <v>4</v>
          </cell>
          <cell r="H1275" t="str">
            <v>رول</v>
          </cell>
          <cell r="Q1275">
            <v>136.32999999999998</v>
          </cell>
        </row>
        <row r="1276">
          <cell r="D1276">
            <v>45769</v>
          </cell>
          <cell r="G1276">
            <v>5</v>
          </cell>
          <cell r="H1276" t="str">
            <v>رول</v>
          </cell>
          <cell r="Q1276">
            <v>110.05000000000001</v>
          </cell>
        </row>
        <row r="1277">
          <cell r="D1277">
            <v>45769</v>
          </cell>
          <cell r="G1277">
            <v>3</v>
          </cell>
          <cell r="H1277" t="str">
            <v>رول</v>
          </cell>
          <cell r="Q1277">
            <v>51.04</v>
          </cell>
        </row>
        <row r="1278">
          <cell r="D1278">
            <v>45769</v>
          </cell>
          <cell r="G1278">
            <v>3</v>
          </cell>
          <cell r="H1278" t="str">
            <v>رول</v>
          </cell>
          <cell r="Q1278">
            <v>80.59</v>
          </cell>
        </row>
        <row r="1279">
          <cell r="D1279">
            <v>45769</v>
          </cell>
          <cell r="G1279">
            <v>14</v>
          </cell>
          <cell r="H1279" t="str">
            <v>5-5.5</v>
          </cell>
          <cell r="Q1279">
            <v>261.12</v>
          </cell>
        </row>
        <row r="1280">
          <cell r="D1280">
            <v>45769</v>
          </cell>
          <cell r="G1280">
            <v>26</v>
          </cell>
          <cell r="H1280" t="str">
            <v>5-5.5</v>
          </cell>
          <cell r="Q1280">
            <v>274.26</v>
          </cell>
        </row>
        <row r="1281">
          <cell r="D1281">
            <v>45769</v>
          </cell>
          <cell r="G1281">
            <v>18</v>
          </cell>
          <cell r="H1281" t="str">
            <v>رول</v>
          </cell>
          <cell r="Q1281">
            <v>166.98000000000002</v>
          </cell>
        </row>
        <row r="1282">
          <cell r="D1282">
            <v>45769</v>
          </cell>
          <cell r="G1282">
            <v>16</v>
          </cell>
          <cell r="H1282" t="str">
            <v>رول</v>
          </cell>
          <cell r="Q1282">
            <v>182</v>
          </cell>
        </row>
        <row r="1283">
          <cell r="D1283">
            <v>45769</v>
          </cell>
          <cell r="G1283">
            <v>14</v>
          </cell>
          <cell r="H1283" t="str">
            <v>رول</v>
          </cell>
          <cell r="Q1283">
            <v>316.03000000000003</v>
          </cell>
        </row>
        <row r="1284">
          <cell r="D1284">
            <v>45769</v>
          </cell>
          <cell r="G1284">
            <v>14</v>
          </cell>
          <cell r="H1284">
            <v>10</v>
          </cell>
          <cell r="Q1284">
            <v>89.44</v>
          </cell>
        </row>
        <row r="1285">
          <cell r="D1285">
            <v>45769</v>
          </cell>
          <cell r="G1285">
            <v>12</v>
          </cell>
          <cell r="H1285">
            <v>5</v>
          </cell>
          <cell r="Q1285">
            <v>327.64999999999998</v>
          </cell>
        </row>
        <row r="1286">
          <cell r="D1286">
            <v>45769</v>
          </cell>
          <cell r="G1286">
            <v>28</v>
          </cell>
          <cell r="H1286" t="str">
            <v>6-6.5</v>
          </cell>
          <cell r="Q1286">
            <v>291.33999999999997</v>
          </cell>
        </row>
        <row r="1287">
          <cell r="D1287">
            <v>45769</v>
          </cell>
          <cell r="G1287">
            <v>28</v>
          </cell>
          <cell r="H1287" t="str">
            <v>6-6.5</v>
          </cell>
          <cell r="Q1287">
            <v>260.83000000000004</v>
          </cell>
        </row>
        <row r="1288">
          <cell r="D1288">
            <v>45769</v>
          </cell>
          <cell r="G1288">
            <v>15</v>
          </cell>
          <cell r="H1288" t="str">
            <v>رول</v>
          </cell>
          <cell r="Q1288">
            <v>206.44000000000003</v>
          </cell>
        </row>
        <row r="1289">
          <cell r="D1289">
            <v>45769</v>
          </cell>
          <cell r="G1289">
            <v>23</v>
          </cell>
          <cell r="H1289">
            <v>5</v>
          </cell>
          <cell r="Q1289">
            <v>99.449999999999989</v>
          </cell>
        </row>
        <row r="1290">
          <cell r="D1290">
            <v>45770</v>
          </cell>
          <cell r="G1290">
            <v>4</v>
          </cell>
          <cell r="H1290" t="str">
            <v>رول</v>
          </cell>
          <cell r="Q1290">
            <v>175.38</v>
          </cell>
        </row>
        <row r="1291">
          <cell r="D1291">
            <v>45770</v>
          </cell>
          <cell r="G1291">
            <v>4</v>
          </cell>
          <cell r="H1291" t="str">
            <v>رول</v>
          </cell>
          <cell r="Q1291">
            <v>193.53</v>
          </cell>
        </row>
        <row r="1292">
          <cell r="D1292">
            <v>45770</v>
          </cell>
          <cell r="G1292">
            <v>3</v>
          </cell>
          <cell r="H1292" t="str">
            <v>رول</v>
          </cell>
          <cell r="Q1292">
            <v>82.140000000000015</v>
          </cell>
        </row>
        <row r="1293">
          <cell r="D1293">
            <v>45770</v>
          </cell>
          <cell r="G1293">
            <v>3</v>
          </cell>
          <cell r="H1293" t="str">
            <v>رول</v>
          </cell>
          <cell r="Q1293">
            <v>129.58000000000001</v>
          </cell>
        </row>
        <row r="1294">
          <cell r="D1294">
            <v>45770</v>
          </cell>
          <cell r="G1294">
            <v>14</v>
          </cell>
          <cell r="H1294">
            <v>10</v>
          </cell>
          <cell r="Q1294">
            <v>560.57999999999993</v>
          </cell>
        </row>
        <row r="1295">
          <cell r="D1295">
            <v>45770</v>
          </cell>
          <cell r="G1295">
            <v>16</v>
          </cell>
          <cell r="H1295">
            <v>10</v>
          </cell>
          <cell r="Q1295">
            <v>205.40999999999997</v>
          </cell>
        </row>
        <row r="1296">
          <cell r="D1296">
            <v>45770</v>
          </cell>
          <cell r="G1296">
            <v>16</v>
          </cell>
          <cell r="H1296">
            <v>10</v>
          </cell>
          <cell r="Q1296">
            <v>55.3</v>
          </cell>
        </row>
        <row r="1297">
          <cell r="D1297">
            <v>45770</v>
          </cell>
          <cell r="G1297">
            <v>24</v>
          </cell>
          <cell r="H1297">
            <v>10</v>
          </cell>
          <cell r="Q1297">
            <v>146.19999999999999</v>
          </cell>
        </row>
        <row r="1298">
          <cell r="D1298">
            <v>45770</v>
          </cell>
          <cell r="G1298">
            <v>20</v>
          </cell>
          <cell r="H1298">
            <v>10</v>
          </cell>
          <cell r="Q1298">
            <v>337.38</v>
          </cell>
        </row>
        <row r="1299">
          <cell r="D1299">
            <v>45770</v>
          </cell>
          <cell r="G1299">
            <v>23</v>
          </cell>
          <cell r="H1299">
            <v>5</v>
          </cell>
          <cell r="Q1299">
            <v>207</v>
          </cell>
        </row>
        <row r="1300">
          <cell r="D1300">
            <v>45770</v>
          </cell>
          <cell r="G1300">
            <v>13</v>
          </cell>
          <cell r="H1300" t="str">
            <v>رول</v>
          </cell>
          <cell r="Q1300">
            <v>162.77000000000001</v>
          </cell>
        </row>
        <row r="1301">
          <cell r="D1301">
            <v>45770</v>
          </cell>
          <cell r="G1301" t="str">
            <v>-</v>
          </cell>
          <cell r="H1301" t="str">
            <v>-</v>
          </cell>
          <cell r="Q1301">
            <v>66.53</v>
          </cell>
        </row>
        <row r="1302">
          <cell r="D1302">
            <v>45770</v>
          </cell>
          <cell r="G1302" t="str">
            <v>-</v>
          </cell>
          <cell r="H1302" t="str">
            <v>-</v>
          </cell>
          <cell r="Q1302">
            <v>469.68</v>
          </cell>
        </row>
        <row r="1303">
          <cell r="D1303">
            <v>45770</v>
          </cell>
          <cell r="G1303">
            <v>11</v>
          </cell>
          <cell r="H1303">
            <v>5</v>
          </cell>
          <cell r="Q1303">
            <v>104.69999999999999</v>
          </cell>
        </row>
        <row r="1304">
          <cell r="D1304">
            <v>45771</v>
          </cell>
          <cell r="G1304">
            <v>4</v>
          </cell>
          <cell r="H1304" t="str">
            <v>رول</v>
          </cell>
          <cell r="Q1304">
            <v>179.07000000000002</v>
          </cell>
        </row>
        <row r="1305">
          <cell r="D1305">
            <v>45771</v>
          </cell>
          <cell r="G1305">
            <v>4</v>
          </cell>
          <cell r="H1305" t="str">
            <v>رول</v>
          </cell>
          <cell r="Q1305">
            <v>195.39999999999998</v>
          </cell>
        </row>
        <row r="1306">
          <cell r="D1306">
            <v>45771</v>
          </cell>
          <cell r="G1306">
            <v>3</v>
          </cell>
          <cell r="H1306" t="str">
            <v>رول</v>
          </cell>
          <cell r="Q1306">
            <v>130.04000000000002</v>
          </cell>
        </row>
        <row r="1307">
          <cell r="D1307">
            <v>45771</v>
          </cell>
          <cell r="G1307">
            <v>1.5</v>
          </cell>
          <cell r="H1307" t="str">
            <v>رول</v>
          </cell>
          <cell r="Q1307">
            <v>75.64</v>
          </cell>
        </row>
        <row r="1308">
          <cell r="D1308">
            <v>45771</v>
          </cell>
          <cell r="G1308">
            <v>20</v>
          </cell>
          <cell r="H1308" t="str">
            <v>رول</v>
          </cell>
          <cell r="Q1308">
            <v>598.44999999999993</v>
          </cell>
        </row>
        <row r="1309">
          <cell r="D1309">
            <v>45771</v>
          </cell>
          <cell r="G1309">
            <v>28</v>
          </cell>
          <cell r="H1309" t="str">
            <v>5-5.5</v>
          </cell>
          <cell r="Q1309">
            <v>97.29</v>
          </cell>
        </row>
        <row r="1310">
          <cell r="D1310">
            <v>45771</v>
          </cell>
          <cell r="G1310" t="str">
            <v>28" شیٹ</v>
          </cell>
          <cell r="H1310" t="str">
            <v>4-4.5/8-9</v>
          </cell>
          <cell r="Q1310">
            <v>116.7</v>
          </cell>
        </row>
        <row r="1311">
          <cell r="D1311">
            <v>45771</v>
          </cell>
          <cell r="G1311">
            <v>28</v>
          </cell>
          <cell r="H1311" t="str">
            <v>5-5.5</v>
          </cell>
          <cell r="Q1311">
            <v>554.4</v>
          </cell>
        </row>
        <row r="1312">
          <cell r="D1312">
            <v>45771</v>
          </cell>
          <cell r="G1312">
            <v>17</v>
          </cell>
          <cell r="H1312" t="str">
            <v>رول</v>
          </cell>
          <cell r="Q1312">
            <v>205.3</v>
          </cell>
        </row>
        <row r="1313">
          <cell r="D1313">
            <v>45771</v>
          </cell>
          <cell r="G1313">
            <v>9</v>
          </cell>
          <cell r="H1313" t="str">
            <v>رول</v>
          </cell>
          <cell r="Q1313">
            <v>300.85000000000002</v>
          </cell>
        </row>
        <row r="1314">
          <cell r="D1314">
            <v>45771</v>
          </cell>
          <cell r="G1314">
            <v>9</v>
          </cell>
          <cell r="H1314" t="str">
            <v>رول</v>
          </cell>
          <cell r="Q1314">
            <v>215.32000000000002</v>
          </cell>
        </row>
        <row r="1315">
          <cell r="D1315">
            <v>45771</v>
          </cell>
          <cell r="G1315">
            <v>8</v>
          </cell>
          <cell r="H1315" t="str">
            <v>رول</v>
          </cell>
          <cell r="Q1315">
            <v>188.91000000000003</v>
          </cell>
        </row>
        <row r="1316">
          <cell r="D1316">
            <v>45772</v>
          </cell>
          <cell r="G1316">
            <v>4</v>
          </cell>
          <cell r="H1316" t="str">
            <v>رول</v>
          </cell>
          <cell r="Q1316">
            <v>99.33</v>
          </cell>
        </row>
        <row r="1317">
          <cell r="D1317">
            <v>45772</v>
          </cell>
          <cell r="G1317">
            <v>4</v>
          </cell>
          <cell r="H1317" t="str">
            <v>رول</v>
          </cell>
          <cell r="Q1317">
            <v>173.1</v>
          </cell>
        </row>
        <row r="1318">
          <cell r="D1318">
            <v>45772</v>
          </cell>
          <cell r="G1318">
            <v>1.5</v>
          </cell>
          <cell r="H1318" t="str">
            <v>رول</v>
          </cell>
          <cell r="Q1318">
            <v>74.59</v>
          </cell>
        </row>
        <row r="1319">
          <cell r="D1319">
            <v>45772</v>
          </cell>
          <cell r="G1319">
            <v>1.5</v>
          </cell>
          <cell r="H1319" t="str">
            <v>رول</v>
          </cell>
          <cell r="Q1319">
            <v>69.69</v>
          </cell>
        </row>
        <row r="1320">
          <cell r="D1320">
            <v>45772</v>
          </cell>
          <cell r="G1320">
            <v>28</v>
          </cell>
          <cell r="H1320" t="str">
            <v>5-5.5</v>
          </cell>
          <cell r="Q1320">
            <v>597.96999999999991</v>
          </cell>
        </row>
        <row r="1321">
          <cell r="D1321">
            <v>45772</v>
          </cell>
          <cell r="G1321">
            <v>22</v>
          </cell>
          <cell r="H1321" t="str">
            <v>5-5.5</v>
          </cell>
          <cell r="Q1321">
            <v>294.94999999999993</v>
          </cell>
        </row>
        <row r="1322">
          <cell r="D1322">
            <v>45772</v>
          </cell>
          <cell r="G1322">
            <v>22</v>
          </cell>
          <cell r="H1322" t="str">
            <v>رول</v>
          </cell>
          <cell r="Q1322">
            <v>260.78000000000003</v>
          </cell>
        </row>
        <row r="1323">
          <cell r="D1323">
            <v>45772</v>
          </cell>
          <cell r="G1323">
            <v>14</v>
          </cell>
          <cell r="H1323" t="str">
            <v>رول</v>
          </cell>
          <cell r="Q1323">
            <v>108.03</v>
          </cell>
        </row>
        <row r="1324">
          <cell r="D1324">
            <v>45772</v>
          </cell>
          <cell r="G1324">
            <v>8</v>
          </cell>
          <cell r="H1324" t="str">
            <v>رول</v>
          </cell>
          <cell r="Q1324">
            <v>412.37</v>
          </cell>
        </row>
        <row r="1325">
          <cell r="D1325">
            <v>45772</v>
          </cell>
          <cell r="G1325">
            <v>7</v>
          </cell>
          <cell r="H1325" t="str">
            <v>رول</v>
          </cell>
          <cell r="Q1325">
            <v>67</v>
          </cell>
        </row>
        <row r="1326">
          <cell r="D1326">
            <v>45772</v>
          </cell>
          <cell r="G1326">
            <v>7</v>
          </cell>
          <cell r="H1326" t="str">
            <v>رول</v>
          </cell>
          <cell r="Q1326">
            <v>357.75</v>
          </cell>
        </row>
        <row r="1327">
          <cell r="D1327">
            <v>45773</v>
          </cell>
          <cell r="G1327">
            <v>4</v>
          </cell>
          <cell r="H1327" t="str">
            <v>رول</v>
          </cell>
          <cell r="Q1327">
            <v>199.47</v>
          </cell>
        </row>
        <row r="1328">
          <cell r="D1328">
            <v>45773</v>
          </cell>
          <cell r="G1328">
            <v>4</v>
          </cell>
          <cell r="H1328" t="str">
            <v>رول</v>
          </cell>
          <cell r="Q1328">
            <v>134.19</v>
          </cell>
        </row>
        <row r="1329">
          <cell r="D1329">
            <v>45773</v>
          </cell>
          <cell r="G1329">
            <v>1.5</v>
          </cell>
          <cell r="H1329" t="str">
            <v>رول</v>
          </cell>
          <cell r="Q1329">
            <v>84.01</v>
          </cell>
        </row>
        <row r="1330">
          <cell r="D1330">
            <v>45773</v>
          </cell>
          <cell r="G1330">
            <v>1.5</v>
          </cell>
          <cell r="H1330" t="str">
            <v>رول</v>
          </cell>
          <cell r="Q1330">
            <v>4.4799999999999995</v>
          </cell>
        </row>
        <row r="1331">
          <cell r="D1331">
            <v>45773</v>
          </cell>
          <cell r="G1331">
            <v>2</v>
          </cell>
          <cell r="H1331" t="str">
            <v>رول</v>
          </cell>
          <cell r="Q1331">
            <v>78.349999999999994</v>
          </cell>
        </row>
        <row r="1332">
          <cell r="D1332">
            <v>45773</v>
          </cell>
          <cell r="G1332">
            <v>14</v>
          </cell>
          <cell r="H1332" t="str">
            <v>رول</v>
          </cell>
          <cell r="Q1332">
            <v>570.75</v>
          </cell>
        </row>
        <row r="1333">
          <cell r="D1333">
            <v>45773</v>
          </cell>
          <cell r="G1333">
            <v>16</v>
          </cell>
          <cell r="H1333" t="str">
            <v>5-5.5</v>
          </cell>
          <cell r="Q1333">
            <v>99.960000000000008</v>
          </cell>
        </row>
        <row r="1334">
          <cell r="D1334">
            <v>45773</v>
          </cell>
          <cell r="G1334">
            <v>16</v>
          </cell>
          <cell r="H1334" t="str">
            <v>5-5.5</v>
          </cell>
          <cell r="Q1334">
            <v>476.40000000000003</v>
          </cell>
        </row>
        <row r="1335">
          <cell r="D1335">
            <v>45773</v>
          </cell>
          <cell r="G1335">
            <v>7</v>
          </cell>
          <cell r="H1335" t="str">
            <v>رول</v>
          </cell>
          <cell r="Q1335">
            <v>251.03999999999996</v>
          </cell>
        </row>
        <row r="1336">
          <cell r="D1336">
            <v>45773</v>
          </cell>
          <cell r="G1336">
            <v>10</v>
          </cell>
          <cell r="H1336">
            <v>6</v>
          </cell>
          <cell r="Q1336">
            <v>155.9</v>
          </cell>
        </row>
        <row r="1337">
          <cell r="D1337">
            <v>45773</v>
          </cell>
          <cell r="G1337">
            <v>12</v>
          </cell>
          <cell r="H1337">
            <v>6</v>
          </cell>
          <cell r="Q1337">
            <v>58.550000000000004</v>
          </cell>
        </row>
        <row r="1338">
          <cell r="D1338">
            <v>45773</v>
          </cell>
          <cell r="G1338">
            <v>12</v>
          </cell>
          <cell r="H1338">
            <v>6</v>
          </cell>
          <cell r="Q1338">
            <v>56.199999999999996</v>
          </cell>
        </row>
        <row r="1339">
          <cell r="D1339">
            <v>45773</v>
          </cell>
          <cell r="G1339">
            <v>10</v>
          </cell>
          <cell r="H1339">
            <v>5</v>
          </cell>
          <cell r="Q1339">
            <v>230.71999999999997</v>
          </cell>
        </row>
        <row r="1340">
          <cell r="D1340">
            <v>45775</v>
          </cell>
          <cell r="G1340">
            <v>4</v>
          </cell>
          <cell r="H1340" t="str">
            <v>رول</v>
          </cell>
          <cell r="Q1340">
            <v>145.6</v>
          </cell>
        </row>
        <row r="1341">
          <cell r="D1341">
            <v>45775</v>
          </cell>
          <cell r="G1341">
            <v>4</v>
          </cell>
          <cell r="H1341" t="str">
            <v>رول</v>
          </cell>
          <cell r="Q1341">
            <v>178.79000000000002</v>
          </cell>
        </row>
        <row r="1342">
          <cell r="D1342">
            <v>45775</v>
          </cell>
          <cell r="G1342">
            <v>2</v>
          </cell>
          <cell r="H1342" t="str">
            <v>رول</v>
          </cell>
          <cell r="Q1342">
            <v>93.539999999999992</v>
          </cell>
        </row>
        <row r="1343">
          <cell r="D1343">
            <v>45775</v>
          </cell>
          <cell r="G1343">
            <v>2</v>
          </cell>
          <cell r="H1343" t="str">
            <v>رول</v>
          </cell>
          <cell r="Q1343">
            <v>110.78999999999999</v>
          </cell>
        </row>
        <row r="1344">
          <cell r="D1344">
            <v>45775</v>
          </cell>
          <cell r="G1344">
            <v>16</v>
          </cell>
          <cell r="H1344" t="str">
            <v>5-5.5</v>
          </cell>
          <cell r="Q1344">
            <v>346.2</v>
          </cell>
        </row>
        <row r="1345">
          <cell r="D1345">
            <v>45775</v>
          </cell>
          <cell r="G1345">
            <v>16</v>
          </cell>
          <cell r="H1345" t="str">
            <v>5-5.5</v>
          </cell>
          <cell r="Q1345">
            <v>608.90999999999985</v>
          </cell>
        </row>
        <row r="1346">
          <cell r="D1346">
            <v>45775</v>
          </cell>
          <cell r="G1346">
            <v>11</v>
          </cell>
          <cell r="H1346" t="str">
            <v>رول</v>
          </cell>
          <cell r="Q1346">
            <v>318.88000000000005</v>
          </cell>
        </row>
        <row r="1347">
          <cell r="D1347">
            <v>45775</v>
          </cell>
          <cell r="G1347">
            <v>8</v>
          </cell>
          <cell r="H1347" t="str">
            <v>رول</v>
          </cell>
          <cell r="Q1347">
            <v>347.34999999999997</v>
          </cell>
        </row>
        <row r="1348">
          <cell r="D1348">
            <v>45776</v>
          </cell>
          <cell r="G1348">
            <v>4</v>
          </cell>
          <cell r="H1348" t="str">
            <v>رول</v>
          </cell>
          <cell r="Q1348">
            <v>209.49</v>
          </cell>
        </row>
        <row r="1349">
          <cell r="D1349">
            <v>45776</v>
          </cell>
          <cell r="G1349">
            <v>4</v>
          </cell>
          <cell r="H1349" t="str">
            <v>رول</v>
          </cell>
          <cell r="Q1349">
            <v>182.91000000000003</v>
          </cell>
        </row>
        <row r="1350">
          <cell r="D1350">
            <v>45776</v>
          </cell>
          <cell r="G1350">
            <v>2</v>
          </cell>
          <cell r="H1350" t="str">
            <v>رول</v>
          </cell>
          <cell r="Q1350">
            <v>106.91</v>
          </cell>
        </row>
        <row r="1351">
          <cell r="D1351">
            <v>45776</v>
          </cell>
          <cell r="G1351">
            <v>2</v>
          </cell>
          <cell r="H1351" t="str">
            <v>رول</v>
          </cell>
          <cell r="Q1351">
            <v>104.46</v>
          </cell>
        </row>
        <row r="1352">
          <cell r="D1352">
            <v>45776</v>
          </cell>
          <cell r="G1352">
            <v>16</v>
          </cell>
          <cell r="H1352" t="str">
            <v>رول</v>
          </cell>
          <cell r="Q1352">
            <v>235.50000000000003</v>
          </cell>
        </row>
        <row r="1353">
          <cell r="D1353">
            <v>45776</v>
          </cell>
          <cell r="G1353">
            <v>22</v>
          </cell>
          <cell r="H1353" t="str">
            <v>رول</v>
          </cell>
          <cell r="Q1353">
            <v>349.72999999999996</v>
          </cell>
        </row>
        <row r="1354">
          <cell r="D1354">
            <v>45776</v>
          </cell>
          <cell r="G1354">
            <v>22</v>
          </cell>
          <cell r="H1354" t="str">
            <v>رول</v>
          </cell>
          <cell r="Q1354">
            <v>657.20999999999992</v>
          </cell>
        </row>
        <row r="1355">
          <cell r="D1355">
            <v>45776</v>
          </cell>
          <cell r="G1355">
            <v>8</v>
          </cell>
          <cell r="H1355" t="str">
            <v>رول</v>
          </cell>
          <cell r="Q1355">
            <v>387.02</v>
          </cell>
        </row>
        <row r="1356">
          <cell r="D1356">
            <v>45776</v>
          </cell>
          <cell r="G1356">
            <v>8</v>
          </cell>
          <cell r="H1356" t="str">
            <v>رول</v>
          </cell>
          <cell r="Q1356">
            <v>113.97</v>
          </cell>
        </row>
        <row r="1357">
          <cell r="D1357">
            <v>45776</v>
          </cell>
          <cell r="G1357">
            <v>11</v>
          </cell>
          <cell r="H1357">
            <v>6.5</v>
          </cell>
          <cell r="Q1357">
            <v>313.47999999999996</v>
          </cell>
        </row>
        <row r="1358">
          <cell r="D1358">
            <v>45777</v>
          </cell>
          <cell r="G1358">
            <v>4</v>
          </cell>
          <cell r="H1358" t="str">
            <v>رول</v>
          </cell>
          <cell r="Q1358">
            <v>185.65</v>
          </cell>
        </row>
        <row r="1359">
          <cell r="D1359">
            <v>45777</v>
          </cell>
          <cell r="G1359">
            <v>5</v>
          </cell>
          <cell r="H1359" t="str">
            <v>رول</v>
          </cell>
          <cell r="Q1359">
            <v>146.81</v>
          </cell>
        </row>
        <row r="1360">
          <cell r="D1360">
            <v>45777</v>
          </cell>
          <cell r="G1360">
            <v>4</v>
          </cell>
          <cell r="H1360" t="str">
            <v>رول</v>
          </cell>
          <cell r="Q1360">
            <v>54.42</v>
          </cell>
        </row>
        <row r="1361">
          <cell r="D1361">
            <v>45777</v>
          </cell>
          <cell r="G1361">
            <v>2</v>
          </cell>
          <cell r="H1361" t="str">
            <v>رول</v>
          </cell>
          <cell r="Q1361">
            <v>104.64</v>
          </cell>
        </row>
        <row r="1362">
          <cell r="D1362">
            <v>45777</v>
          </cell>
          <cell r="G1362">
            <v>2.5</v>
          </cell>
          <cell r="H1362" t="str">
            <v>رول</v>
          </cell>
          <cell r="Q1362">
            <v>10.95</v>
          </cell>
        </row>
        <row r="1363">
          <cell r="D1363">
            <v>45777</v>
          </cell>
          <cell r="G1363">
            <v>2.5</v>
          </cell>
          <cell r="H1363" t="str">
            <v>رول</v>
          </cell>
          <cell r="Q1363">
            <v>102.53999999999999</v>
          </cell>
        </row>
        <row r="1364">
          <cell r="D1364">
            <v>45777</v>
          </cell>
          <cell r="G1364">
            <v>22</v>
          </cell>
          <cell r="H1364" t="str">
            <v>رول</v>
          </cell>
          <cell r="Q1364">
            <v>183.98</v>
          </cell>
        </row>
        <row r="1365">
          <cell r="D1365">
            <v>45777</v>
          </cell>
          <cell r="G1365">
            <v>20</v>
          </cell>
          <cell r="H1365" t="str">
            <v>7-7.5</v>
          </cell>
          <cell r="Q1365">
            <v>107.3</v>
          </cell>
        </row>
        <row r="1366">
          <cell r="D1366">
            <v>45777</v>
          </cell>
          <cell r="G1366">
            <v>12</v>
          </cell>
          <cell r="H1366">
            <v>8</v>
          </cell>
          <cell r="Q1366">
            <v>171.95</v>
          </cell>
        </row>
        <row r="1367">
          <cell r="D1367">
            <v>45777</v>
          </cell>
          <cell r="G1367">
            <v>14</v>
          </cell>
          <cell r="H1367">
            <v>12</v>
          </cell>
          <cell r="Q1367">
            <v>130.17000000000002</v>
          </cell>
        </row>
        <row r="1368">
          <cell r="D1368">
            <v>45777</v>
          </cell>
          <cell r="G1368">
            <v>14</v>
          </cell>
          <cell r="H1368">
            <v>12</v>
          </cell>
          <cell r="Q1368">
            <v>117.37</v>
          </cell>
        </row>
        <row r="1369">
          <cell r="D1369">
            <v>45777</v>
          </cell>
          <cell r="G1369">
            <v>27</v>
          </cell>
          <cell r="H1369">
            <v>6</v>
          </cell>
          <cell r="Q1369">
            <v>154.85</v>
          </cell>
        </row>
        <row r="1370">
          <cell r="D1370">
            <v>45777</v>
          </cell>
          <cell r="G1370">
            <v>12</v>
          </cell>
          <cell r="H1370">
            <v>8</v>
          </cell>
          <cell r="Q1370">
            <v>209.19</v>
          </cell>
        </row>
        <row r="1371">
          <cell r="D1371">
            <v>45777</v>
          </cell>
          <cell r="G1371">
            <v>18</v>
          </cell>
          <cell r="H1371" t="str">
            <v>4.5-5</v>
          </cell>
          <cell r="Q1371">
            <v>100.83000000000001</v>
          </cell>
        </row>
        <row r="1372">
          <cell r="D1372">
            <v>45777</v>
          </cell>
          <cell r="G1372">
            <v>11</v>
          </cell>
          <cell r="H1372">
            <v>6.5</v>
          </cell>
          <cell r="Q1372">
            <v>283.60000000000002</v>
          </cell>
        </row>
        <row r="1373">
          <cell r="D1373">
            <v>45777</v>
          </cell>
          <cell r="G1373">
            <v>13</v>
          </cell>
          <cell r="H1373">
            <v>10</v>
          </cell>
          <cell r="Q1373">
            <v>110.62</v>
          </cell>
        </row>
        <row r="1374">
          <cell r="D1374">
            <v>45777</v>
          </cell>
          <cell r="G1374">
            <v>11</v>
          </cell>
          <cell r="H1374">
            <v>6.5</v>
          </cell>
          <cell r="Q1374">
            <v>140.69</v>
          </cell>
        </row>
        <row r="1375">
          <cell r="D1375">
            <v>45777</v>
          </cell>
          <cell r="G1375">
            <v>11</v>
          </cell>
          <cell r="H1375">
            <v>6.5</v>
          </cell>
          <cell r="Q1375">
            <v>129.93</v>
          </cell>
        </row>
        <row r="1376">
          <cell r="D1376">
            <v>45777</v>
          </cell>
          <cell r="G1376">
            <v>12</v>
          </cell>
          <cell r="H1376">
            <v>8</v>
          </cell>
          <cell r="Q1376">
            <v>225.31</v>
          </cell>
        </row>
        <row r="1377">
          <cell r="D1377">
            <v>45777</v>
          </cell>
          <cell r="G1377">
            <v>12</v>
          </cell>
          <cell r="H1377" t="str">
            <v>رول</v>
          </cell>
          <cell r="Q1377">
            <v>228.94000000000003</v>
          </cell>
        </row>
        <row r="1378">
          <cell r="D1378">
            <v>45778</v>
          </cell>
          <cell r="G1378">
            <v>4</v>
          </cell>
          <cell r="H1378" t="str">
            <v>5.5-6</v>
          </cell>
          <cell r="Q1378">
            <v>125.65</v>
          </cell>
        </row>
        <row r="1379">
          <cell r="D1379">
            <v>45778</v>
          </cell>
          <cell r="G1379">
            <v>3</v>
          </cell>
          <cell r="H1379" t="str">
            <v>5.5-6</v>
          </cell>
          <cell r="Q1379">
            <v>43.18</v>
          </cell>
        </row>
        <row r="1380">
          <cell r="D1380">
            <v>45778</v>
          </cell>
          <cell r="G1380">
            <v>3</v>
          </cell>
          <cell r="H1380" t="str">
            <v>5.5-6</v>
          </cell>
          <cell r="Q1380">
            <v>95.97</v>
          </cell>
        </row>
        <row r="1381">
          <cell r="D1381">
            <v>45778</v>
          </cell>
          <cell r="G1381">
            <v>2.5</v>
          </cell>
          <cell r="H1381" t="str">
            <v>5.5-6</v>
          </cell>
          <cell r="Q1381">
            <v>67.5</v>
          </cell>
        </row>
        <row r="1382">
          <cell r="D1382">
            <v>45778</v>
          </cell>
          <cell r="G1382">
            <v>2.5</v>
          </cell>
          <cell r="H1382">
            <v>5</v>
          </cell>
          <cell r="Q1382">
            <v>43.629999999999995</v>
          </cell>
        </row>
        <row r="1383">
          <cell r="D1383">
            <v>45778</v>
          </cell>
          <cell r="G1383">
            <v>2.5</v>
          </cell>
          <cell r="H1383">
            <v>5</v>
          </cell>
          <cell r="Q1383">
            <v>106.74000000000001</v>
          </cell>
        </row>
        <row r="1384">
          <cell r="D1384">
            <v>45778</v>
          </cell>
          <cell r="G1384">
            <v>18</v>
          </cell>
          <cell r="H1384">
            <v>12</v>
          </cell>
          <cell r="Q1384">
            <v>209.19</v>
          </cell>
        </row>
        <row r="1385">
          <cell r="D1385">
            <v>45778</v>
          </cell>
          <cell r="G1385">
            <v>18</v>
          </cell>
          <cell r="H1385" t="str">
            <v>6-6.5</v>
          </cell>
          <cell r="Q1385">
            <v>96.920000000000016</v>
          </cell>
        </row>
        <row r="1386">
          <cell r="D1386">
            <v>45778</v>
          </cell>
          <cell r="G1386">
            <v>16</v>
          </cell>
          <cell r="H1386">
            <v>5</v>
          </cell>
          <cell r="Q1386">
            <v>74.430000000000007</v>
          </cell>
        </row>
        <row r="1387">
          <cell r="D1387">
            <v>45778</v>
          </cell>
          <cell r="G1387">
            <v>18</v>
          </cell>
          <cell r="H1387" t="str">
            <v>6-6.5</v>
          </cell>
          <cell r="Q1387">
            <v>105.99000000000001</v>
          </cell>
        </row>
        <row r="1388">
          <cell r="D1388">
            <v>45778</v>
          </cell>
          <cell r="G1388">
            <v>16</v>
          </cell>
          <cell r="H1388">
            <v>8</v>
          </cell>
          <cell r="Q1388">
            <v>97.89</v>
          </cell>
        </row>
        <row r="1389">
          <cell r="D1389">
            <v>45778</v>
          </cell>
          <cell r="G1389">
            <v>16</v>
          </cell>
          <cell r="H1389">
            <v>8</v>
          </cell>
          <cell r="Q1389">
            <v>52.96</v>
          </cell>
        </row>
        <row r="1390">
          <cell r="D1390">
            <v>45778</v>
          </cell>
          <cell r="G1390">
            <v>22</v>
          </cell>
          <cell r="H1390">
            <v>5</v>
          </cell>
          <cell r="Q1390">
            <v>214.05999999999997</v>
          </cell>
        </row>
        <row r="1391">
          <cell r="D1391">
            <v>45778</v>
          </cell>
          <cell r="G1391">
            <v>16</v>
          </cell>
          <cell r="H1391" t="str">
            <v>11-11.5</v>
          </cell>
          <cell r="Q1391">
            <v>144.13999999999999</v>
          </cell>
        </row>
        <row r="1392">
          <cell r="D1392">
            <v>45778</v>
          </cell>
          <cell r="G1392">
            <v>24</v>
          </cell>
          <cell r="H1392">
            <v>5</v>
          </cell>
          <cell r="Q1392">
            <v>212.20000000000002</v>
          </cell>
        </row>
        <row r="1393">
          <cell r="D1393">
            <v>45778</v>
          </cell>
          <cell r="G1393">
            <v>12</v>
          </cell>
          <cell r="H1393">
            <v>5</v>
          </cell>
          <cell r="Q1393">
            <v>490.96999999999997</v>
          </cell>
        </row>
        <row r="1394">
          <cell r="D1394">
            <v>45778</v>
          </cell>
          <cell r="G1394">
            <v>13</v>
          </cell>
          <cell r="H1394">
            <v>5</v>
          </cell>
          <cell r="Q1394">
            <v>43.81</v>
          </cell>
        </row>
        <row r="1395">
          <cell r="D1395">
            <v>45778</v>
          </cell>
          <cell r="G1395">
            <v>13</v>
          </cell>
          <cell r="H1395">
            <v>5</v>
          </cell>
          <cell r="Q1395">
            <v>62.959999999999994</v>
          </cell>
        </row>
        <row r="1396">
          <cell r="D1396">
            <v>45778</v>
          </cell>
          <cell r="G1396">
            <v>10</v>
          </cell>
          <cell r="H1396">
            <v>5</v>
          </cell>
          <cell r="Q1396">
            <v>259</v>
          </cell>
        </row>
        <row r="1397">
          <cell r="D1397">
            <v>45778</v>
          </cell>
          <cell r="G1397">
            <v>9</v>
          </cell>
          <cell r="H1397">
            <v>6</v>
          </cell>
          <cell r="Q1397">
            <v>70.550000000000011</v>
          </cell>
        </row>
        <row r="1398">
          <cell r="D1398">
            <v>45779</v>
          </cell>
          <cell r="G1398">
            <v>3</v>
          </cell>
          <cell r="H1398" t="str">
            <v>5.5-6</v>
          </cell>
          <cell r="Q1398">
            <v>124.56</v>
          </cell>
        </row>
        <row r="1399">
          <cell r="D1399">
            <v>45779</v>
          </cell>
          <cell r="G1399">
            <v>3</v>
          </cell>
          <cell r="H1399" t="str">
            <v>5.5-6</v>
          </cell>
          <cell r="Q1399">
            <v>137.37</v>
          </cell>
        </row>
        <row r="1400">
          <cell r="D1400">
            <v>45779</v>
          </cell>
          <cell r="G1400">
            <v>2.5</v>
          </cell>
          <cell r="H1400" t="str">
            <v>5.5-6</v>
          </cell>
          <cell r="Q1400">
            <v>99.52</v>
          </cell>
        </row>
        <row r="1401">
          <cell r="D1401">
            <v>45779</v>
          </cell>
          <cell r="G1401">
            <v>2.5</v>
          </cell>
          <cell r="H1401" t="str">
            <v>5.5-6</v>
          </cell>
          <cell r="Q1401">
            <v>115.25999999999999</v>
          </cell>
        </row>
        <row r="1402">
          <cell r="D1402">
            <v>45779</v>
          </cell>
          <cell r="G1402">
            <v>2.5</v>
          </cell>
          <cell r="H1402" t="str">
            <v>5.5-6</v>
          </cell>
          <cell r="Q1402">
            <v>115.25999999999999</v>
          </cell>
        </row>
        <row r="1403">
          <cell r="D1403">
            <v>45779</v>
          </cell>
          <cell r="G1403">
            <v>14</v>
          </cell>
          <cell r="H1403">
            <v>5</v>
          </cell>
          <cell r="Q1403">
            <v>213.34</v>
          </cell>
        </row>
        <row r="1404">
          <cell r="D1404">
            <v>45779</v>
          </cell>
          <cell r="G1404">
            <v>14</v>
          </cell>
          <cell r="H1404" t="str">
            <v>11.5-12</v>
          </cell>
          <cell r="Q1404">
            <v>419.2</v>
          </cell>
        </row>
        <row r="1405">
          <cell r="D1405">
            <v>45779</v>
          </cell>
          <cell r="G1405">
            <v>14</v>
          </cell>
          <cell r="H1405" t="str">
            <v>11.5-12</v>
          </cell>
          <cell r="Q1405">
            <v>665.88</v>
          </cell>
        </row>
        <row r="1406">
          <cell r="D1406">
            <v>45779</v>
          </cell>
          <cell r="G1406">
            <v>10</v>
          </cell>
          <cell r="H1406">
            <v>5</v>
          </cell>
          <cell r="Q1406">
            <v>269.49</v>
          </cell>
        </row>
        <row r="1407">
          <cell r="D1407">
            <v>45779</v>
          </cell>
          <cell r="G1407">
            <v>8</v>
          </cell>
          <cell r="H1407">
            <v>5</v>
          </cell>
          <cell r="Q1407">
            <v>111.82999999999998</v>
          </cell>
        </row>
        <row r="1408">
          <cell r="D1408">
            <v>45779</v>
          </cell>
          <cell r="G1408">
            <v>8</v>
          </cell>
          <cell r="H1408">
            <v>5</v>
          </cell>
          <cell r="Q1408">
            <v>386.56</v>
          </cell>
        </row>
        <row r="1409">
          <cell r="D1409">
            <v>45780</v>
          </cell>
          <cell r="G1409">
            <v>3</v>
          </cell>
          <cell r="H1409" t="str">
            <v>5.5-6</v>
          </cell>
          <cell r="Q1409">
            <v>88.280000000000015</v>
          </cell>
        </row>
        <row r="1410">
          <cell r="D1410">
            <v>45780</v>
          </cell>
          <cell r="G1410">
            <v>4</v>
          </cell>
          <cell r="H1410" t="str">
            <v>5.5-6</v>
          </cell>
          <cell r="Q1410">
            <v>58.8</v>
          </cell>
        </row>
        <row r="1411">
          <cell r="D1411">
            <v>45780</v>
          </cell>
          <cell r="G1411">
            <v>4</v>
          </cell>
          <cell r="H1411" t="str">
            <v>5.5-6</v>
          </cell>
          <cell r="Q1411">
            <v>128.58999999999997</v>
          </cell>
        </row>
        <row r="1412">
          <cell r="D1412">
            <v>45780</v>
          </cell>
          <cell r="G1412">
            <v>2.5</v>
          </cell>
          <cell r="H1412" t="str">
            <v>5.5-6</v>
          </cell>
          <cell r="Q1412">
            <v>72.260000000000005</v>
          </cell>
        </row>
        <row r="1413">
          <cell r="D1413">
            <v>45780</v>
          </cell>
          <cell r="G1413">
            <v>3</v>
          </cell>
          <cell r="H1413" t="str">
            <v>5.5-6</v>
          </cell>
          <cell r="Q1413">
            <v>33.190000000000005</v>
          </cell>
        </row>
        <row r="1414">
          <cell r="D1414">
            <v>45780</v>
          </cell>
          <cell r="G1414">
            <v>3</v>
          </cell>
          <cell r="H1414" t="str">
            <v>5.5-6</v>
          </cell>
          <cell r="Q1414">
            <v>85.19</v>
          </cell>
        </row>
        <row r="1415">
          <cell r="D1415">
            <v>45780</v>
          </cell>
          <cell r="G1415">
            <v>14</v>
          </cell>
          <cell r="H1415">
            <v>8</v>
          </cell>
          <cell r="Q1415">
            <v>203.20999999999998</v>
          </cell>
        </row>
        <row r="1416">
          <cell r="D1416">
            <v>45780</v>
          </cell>
          <cell r="G1416">
            <v>14</v>
          </cell>
          <cell r="H1416" t="str">
            <v>6-6.5</v>
          </cell>
          <cell r="Q1416">
            <v>200.77999999999997</v>
          </cell>
        </row>
        <row r="1417">
          <cell r="D1417">
            <v>45780</v>
          </cell>
          <cell r="G1417">
            <v>14</v>
          </cell>
          <cell r="H1417">
            <v>5</v>
          </cell>
          <cell r="Q1417">
            <v>453.99</v>
          </cell>
        </row>
        <row r="1418">
          <cell r="D1418">
            <v>45780</v>
          </cell>
          <cell r="G1418">
            <v>8</v>
          </cell>
          <cell r="H1418">
            <v>5</v>
          </cell>
          <cell r="Q1418">
            <v>38.650000000000006</v>
          </cell>
        </row>
        <row r="1419">
          <cell r="D1419">
            <v>45780</v>
          </cell>
          <cell r="G1419">
            <v>7</v>
          </cell>
          <cell r="H1419">
            <v>5</v>
          </cell>
          <cell r="Q1419">
            <v>261.86</v>
          </cell>
        </row>
        <row r="1420">
          <cell r="D1420">
            <v>45780</v>
          </cell>
          <cell r="G1420">
            <v>7</v>
          </cell>
          <cell r="H1420">
            <v>5</v>
          </cell>
          <cell r="Q1420">
            <v>286.11</v>
          </cell>
        </row>
        <row r="1421">
          <cell r="D1421">
            <v>45782</v>
          </cell>
          <cell r="G1421">
            <v>4</v>
          </cell>
          <cell r="H1421" t="str">
            <v>5.5-6</v>
          </cell>
          <cell r="Q1421">
            <v>101.62</v>
          </cell>
        </row>
        <row r="1422">
          <cell r="D1422">
            <v>45782</v>
          </cell>
          <cell r="G1422">
            <v>4</v>
          </cell>
          <cell r="H1422" t="str">
            <v>5.5-6</v>
          </cell>
          <cell r="Q1422">
            <v>137.05000000000001</v>
          </cell>
        </row>
        <row r="1423">
          <cell r="D1423">
            <v>45782</v>
          </cell>
          <cell r="G1423">
            <v>3</v>
          </cell>
          <cell r="H1423" t="str">
            <v>5.5-6</v>
          </cell>
          <cell r="Q1423">
            <v>69.050000000000011</v>
          </cell>
        </row>
        <row r="1424">
          <cell r="D1424">
            <v>45782</v>
          </cell>
          <cell r="G1424">
            <v>2.5</v>
          </cell>
          <cell r="H1424" t="str">
            <v>5.5-6</v>
          </cell>
          <cell r="Q1424">
            <v>100.72999999999999</v>
          </cell>
        </row>
        <row r="1425">
          <cell r="D1425">
            <v>45782</v>
          </cell>
          <cell r="G1425">
            <v>14</v>
          </cell>
          <cell r="H1425">
            <v>6</v>
          </cell>
          <cell r="Q1425">
            <v>439.86000000000007</v>
          </cell>
        </row>
        <row r="1426">
          <cell r="D1426">
            <v>45782</v>
          </cell>
          <cell r="G1426">
            <v>14</v>
          </cell>
          <cell r="H1426">
            <v>6</v>
          </cell>
          <cell r="Q1426">
            <v>280.24000000000007</v>
          </cell>
        </row>
        <row r="1427">
          <cell r="D1427">
            <v>45782</v>
          </cell>
          <cell r="G1427">
            <v>14</v>
          </cell>
          <cell r="H1427">
            <v>5</v>
          </cell>
          <cell r="Q1427">
            <v>194.1</v>
          </cell>
        </row>
        <row r="1428">
          <cell r="D1428">
            <v>45782</v>
          </cell>
          <cell r="G1428">
            <v>19</v>
          </cell>
          <cell r="H1428" t="str">
            <v>7</v>
          </cell>
          <cell r="Q1428">
            <v>91.56</v>
          </cell>
        </row>
        <row r="1429">
          <cell r="D1429">
            <v>45782</v>
          </cell>
          <cell r="G1429">
            <v>7</v>
          </cell>
          <cell r="H1429">
            <v>5</v>
          </cell>
          <cell r="Q1429">
            <v>336.7</v>
          </cell>
        </row>
        <row r="1430">
          <cell r="D1430">
            <v>45782</v>
          </cell>
          <cell r="G1430">
            <v>7</v>
          </cell>
          <cell r="H1430">
            <v>5</v>
          </cell>
          <cell r="Q1430">
            <v>375.79</v>
          </cell>
        </row>
        <row r="1431">
          <cell r="D1431">
            <v>45783</v>
          </cell>
          <cell r="G1431">
            <v>4</v>
          </cell>
          <cell r="H1431" t="str">
            <v>4-4.5</v>
          </cell>
          <cell r="Q1431">
            <v>124.91</v>
          </cell>
        </row>
        <row r="1432">
          <cell r="D1432">
            <v>45783</v>
          </cell>
          <cell r="G1432">
            <v>5</v>
          </cell>
          <cell r="H1432" t="str">
            <v>5.5-6</v>
          </cell>
          <cell r="Q1432">
            <v>144.14000000000001</v>
          </cell>
        </row>
        <row r="1433">
          <cell r="D1433">
            <v>45783</v>
          </cell>
          <cell r="G1433">
            <v>2.5</v>
          </cell>
          <cell r="H1433" t="str">
            <v>5.5-6</v>
          </cell>
          <cell r="Q1433">
            <v>99.15</v>
          </cell>
        </row>
        <row r="1434">
          <cell r="D1434">
            <v>45783</v>
          </cell>
          <cell r="G1434">
            <v>2.5</v>
          </cell>
          <cell r="H1434" t="str">
            <v>5.5-6</v>
          </cell>
          <cell r="Q1434">
            <v>108.44</v>
          </cell>
        </row>
        <row r="1435">
          <cell r="D1435">
            <v>45783</v>
          </cell>
          <cell r="G1435">
            <v>19</v>
          </cell>
          <cell r="H1435" t="str">
            <v>7</v>
          </cell>
          <cell r="Q1435">
            <v>232.83999999999997</v>
          </cell>
        </row>
        <row r="1436">
          <cell r="D1436">
            <v>45783</v>
          </cell>
          <cell r="G1436">
            <v>18</v>
          </cell>
          <cell r="H1436">
            <v>9</v>
          </cell>
          <cell r="Q1436">
            <v>222.26</v>
          </cell>
        </row>
        <row r="1437">
          <cell r="D1437">
            <v>45783</v>
          </cell>
          <cell r="G1437">
            <v>22</v>
          </cell>
          <cell r="H1437">
            <v>9</v>
          </cell>
          <cell r="Q1437">
            <v>218.68</v>
          </cell>
        </row>
        <row r="1438">
          <cell r="D1438">
            <v>45783</v>
          </cell>
          <cell r="G1438" t="str">
            <v>16" شیٹ</v>
          </cell>
          <cell r="H1438" t="str">
            <v>7-7.5/14-15</v>
          </cell>
          <cell r="Q1438">
            <v>302.22000000000003</v>
          </cell>
        </row>
        <row r="1439">
          <cell r="D1439">
            <v>45783</v>
          </cell>
          <cell r="G1439">
            <v>16.2</v>
          </cell>
          <cell r="H1439" t="str">
            <v>-</v>
          </cell>
          <cell r="Q1439">
            <v>331.05</v>
          </cell>
        </row>
        <row r="1440">
          <cell r="D1440">
            <v>45783</v>
          </cell>
          <cell r="G1440">
            <v>7</v>
          </cell>
          <cell r="H1440">
            <v>5</v>
          </cell>
          <cell r="Q1440">
            <v>439.85</v>
          </cell>
        </row>
        <row r="1441">
          <cell r="D1441">
            <v>45783</v>
          </cell>
          <cell r="G1441">
            <v>10</v>
          </cell>
          <cell r="H1441">
            <v>4.5</v>
          </cell>
          <cell r="Q1441">
            <v>318.45</v>
          </cell>
        </row>
        <row r="1442">
          <cell r="D1442">
            <v>45783</v>
          </cell>
          <cell r="G1442">
            <v>12</v>
          </cell>
          <cell r="H1442">
            <v>4.5</v>
          </cell>
          <cell r="Q1442">
            <v>98.169999999999987</v>
          </cell>
        </row>
        <row r="1443">
          <cell r="D1443">
            <v>45784</v>
          </cell>
          <cell r="G1443">
            <v>5</v>
          </cell>
          <cell r="H1443" t="str">
            <v>5.5-6</v>
          </cell>
          <cell r="Q1443">
            <v>163.87999999999997</v>
          </cell>
        </row>
        <row r="1444">
          <cell r="D1444">
            <v>45784</v>
          </cell>
          <cell r="G1444">
            <v>5</v>
          </cell>
          <cell r="H1444" t="str">
            <v>5.5-6</v>
          </cell>
          <cell r="Q1444">
            <v>174.42000000000002</v>
          </cell>
        </row>
        <row r="1445">
          <cell r="D1445">
            <v>45784</v>
          </cell>
          <cell r="G1445">
            <v>2.5</v>
          </cell>
          <cell r="H1445" t="str">
            <v>5.5-6</v>
          </cell>
          <cell r="Q1445">
            <v>112.79</v>
          </cell>
        </row>
        <row r="1446">
          <cell r="D1446">
            <v>45784</v>
          </cell>
          <cell r="G1446">
            <v>2.5</v>
          </cell>
          <cell r="H1446" t="str">
            <v>5.5-6</v>
          </cell>
          <cell r="Q1446">
            <v>131.85999999999999</v>
          </cell>
        </row>
        <row r="1447">
          <cell r="D1447">
            <v>45784</v>
          </cell>
          <cell r="G1447">
            <v>16.2</v>
          </cell>
          <cell r="H1447" t="str">
            <v>-</v>
          </cell>
          <cell r="Q1447">
            <v>417.34</v>
          </cell>
        </row>
        <row r="1448">
          <cell r="D1448">
            <v>45784</v>
          </cell>
          <cell r="G1448">
            <v>16</v>
          </cell>
          <cell r="H1448">
            <v>5</v>
          </cell>
          <cell r="Q1448">
            <v>217.82000000000002</v>
          </cell>
        </row>
        <row r="1449">
          <cell r="D1449">
            <v>45784</v>
          </cell>
          <cell r="G1449">
            <v>16.2</v>
          </cell>
          <cell r="H1449" t="str">
            <v>-</v>
          </cell>
          <cell r="Q1449">
            <v>581.74</v>
          </cell>
        </row>
        <row r="1450">
          <cell r="D1450">
            <v>45784</v>
          </cell>
          <cell r="G1450">
            <v>12</v>
          </cell>
          <cell r="H1450">
            <v>5</v>
          </cell>
          <cell r="Q1450">
            <v>113.36</v>
          </cell>
        </row>
        <row r="1451">
          <cell r="D1451">
            <v>45784</v>
          </cell>
          <cell r="G1451">
            <v>15</v>
          </cell>
          <cell r="H1451">
            <v>6.5</v>
          </cell>
          <cell r="Q1451">
            <v>354.7</v>
          </cell>
        </row>
        <row r="1452">
          <cell r="D1452">
            <v>45784</v>
          </cell>
          <cell r="G1452">
            <v>15</v>
          </cell>
          <cell r="H1452">
            <v>6.5</v>
          </cell>
          <cell r="Q1452">
            <v>348.89</v>
          </cell>
        </row>
        <row r="1453">
          <cell r="D1453">
            <v>45784</v>
          </cell>
          <cell r="G1453">
            <v>10</v>
          </cell>
          <cell r="H1453">
            <v>5</v>
          </cell>
          <cell r="Q1453">
            <v>143</v>
          </cell>
        </row>
        <row r="1454">
          <cell r="D1454">
            <v>45785</v>
          </cell>
          <cell r="G1454">
            <v>5</v>
          </cell>
          <cell r="H1454" t="str">
            <v>5.5-6</v>
          </cell>
          <cell r="Q1454">
            <v>193.46</v>
          </cell>
        </row>
        <row r="1455">
          <cell r="D1455">
            <v>45785</v>
          </cell>
          <cell r="G1455">
            <v>5</v>
          </cell>
          <cell r="H1455" t="str">
            <v>5.5-6</v>
          </cell>
          <cell r="Q1455">
            <v>180.05</v>
          </cell>
        </row>
        <row r="1456">
          <cell r="D1456">
            <v>45785</v>
          </cell>
          <cell r="G1456">
            <v>2.5</v>
          </cell>
          <cell r="H1456" t="str">
            <v>5.5-6</v>
          </cell>
          <cell r="Q1456">
            <v>17.810000000000002</v>
          </cell>
        </row>
        <row r="1457">
          <cell r="D1457">
            <v>45785</v>
          </cell>
          <cell r="G1457">
            <v>3</v>
          </cell>
          <cell r="H1457" t="str">
            <v>5.5-6</v>
          </cell>
          <cell r="Q1457">
            <v>90.6</v>
          </cell>
        </row>
        <row r="1458">
          <cell r="D1458">
            <v>45785</v>
          </cell>
          <cell r="G1458">
            <v>3</v>
          </cell>
          <cell r="H1458" t="str">
            <v>5.5-6</v>
          </cell>
          <cell r="Q1458">
            <v>117.74000000000001</v>
          </cell>
        </row>
        <row r="1459">
          <cell r="D1459">
            <v>45785</v>
          </cell>
          <cell r="G1459">
            <v>16.2</v>
          </cell>
          <cell r="H1459" t="str">
            <v>-</v>
          </cell>
          <cell r="Q1459">
            <v>679.16</v>
          </cell>
        </row>
        <row r="1460">
          <cell r="D1460">
            <v>45785</v>
          </cell>
          <cell r="G1460">
            <v>16.2</v>
          </cell>
          <cell r="H1460" t="str">
            <v>-</v>
          </cell>
          <cell r="Q1460">
            <v>236.76999999999998</v>
          </cell>
        </row>
        <row r="1461">
          <cell r="D1461">
            <v>45785</v>
          </cell>
          <cell r="G1461">
            <v>17</v>
          </cell>
          <cell r="H1461">
            <v>6.5</v>
          </cell>
          <cell r="Q1461">
            <v>489.01000000000005</v>
          </cell>
        </row>
        <row r="1462">
          <cell r="D1462">
            <v>45785</v>
          </cell>
          <cell r="G1462">
            <v>10</v>
          </cell>
          <cell r="H1462">
            <v>5</v>
          </cell>
          <cell r="Q1462">
            <v>600.59</v>
          </cell>
        </row>
        <row r="1463">
          <cell r="D1463">
            <v>45785</v>
          </cell>
          <cell r="G1463">
            <v>10</v>
          </cell>
          <cell r="H1463">
            <v>5</v>
          </cell>
          <cell r="Q1463">
            <v>412.51000000000005</v>
          </cell>
        </row>
        <row r="1464">
          <cell r="D1464">
            <v>45785</v>
          </cell>
          <cell r="G1464">
            <v>12</v>
          </cell>
          <cell r="H1464">
            <v>5</v>
          </cell>
          <cell r="Q1464">
            <v>226.75</v>
          </cell>
        </row>
        <row r="1465">
          <cell r="D1465">
            <v>45786</v>
          </cell>
          <cell r="G1465">
            <v>5</v>
          </cell>
          <cell r="H1465" t="str">
            <v>5.5-6</v>
          </cell>
          <cell r="Q1465">
            <v>184.24</v>
          </cell>
        </row>
        <row r="1466">
          <cell r="D1466">
            <v>45786</v>
          </cell>
          <cell r="G1466">
            <v>5</v>
          </cell>
          <cell r="H1466" t="str">
            <v>5.5-6</v>
          </cell>
          <cell r="Q1466">
            <v>215.5</v>
          </cell>
        </row>
        <row r="1467">
          <cell r="D1467">
            <v>45786</v>
          </cell>
          <cell r="G1467">
            <v>3</v>
          </cell>
          <cell r="H1467" t="str">
            <v>5.5-6</v>
          </cell>
          <cell r="Q1467">
            <v>84.46</v>
          </cell>
        </row>
        <row r="1468">
          <cell r="D1468">
            <v>45786</v>
          </cell>
          <cell r="G1468">
            <v>2.5</v>
          </cell>
          <cell r="H1468" t="str">
            <v>5.5-6</v>
          </cell>
          <cell r="Q1468">
            <v>20.8</v>
          </cell>
        </row>
        <row r="1469">
          <cell r="D1469">
            <v>45786</v>
          </cell>
          <cell r="G1469">
            <v>2.5</v>
          </cell>
          <cell r="H1469" t="str">
            <v>5.5-6</v>
          </cell>
          <cell r="Q1469">
            <v>125.88</v>
          </cell>
        </row>
        <row r="1470">
          <cell r="D1470">
            <v>45786</v>
          </cell>
          <cell r="G1470">
            <v>17</v>
          </cell>
          <cell r="H1470">
            <v>6.5</v>
          </cell>
          <cell r="Q1470">
            <v>617.18000000000006</v>
          </cell>
        </row>
        <row r="1471">
          <cell r="D1471">
            <v>45786</v>
          </cell>
          <cell r="G1471">
            <v>20</v>
          </cell>
          <cell r="H1471" t="str">
            <v>5-5.5</v>
          </cell>
          <cell r="Q1471">
            <v>670.86</v>
          </cell>
        </row>
        <row r="1472">
          <cell r="D1472">
            <v>45786</v>
          </cell>
          <cell r="G1472">
            <v>12</v>
          </cell>
          <cell r="H1472">
            <v>5</v>
          </cell>
          <cell r="Q1472">
            <v>582.06000000000006</v>
          </cell>
        </row>
        <row r="1473">
          <cell r="D1473">
            <v>45786</v>
          </cell>
          <cell r="G1473">
            <v>12</v>
          </cell>
          <cell r="H1473">
            <v>5</v>
          </cell>
          <cell r="Q1473">
            <v>529.17000000000007</v>
          </cell>
        </row>
        <row r="1474">
          <cell r="D1474">
            <v>45787</v>
          </cell>
          <cell r="G1474">
            <v>5</v>
          </cell>
          <cell r="H1474" t="str">
            <v>5.5-6</v>
          </cell>
          <cell r="Q1474">
            <v>116.88999999999999</v>
          </cell>
        </row>
        <row r="1475">
          <cell r="D1475">
            <v>45787</v>
          </cell>
          <cell r="G1475">
            <v>4</v>
          </cell>
          <cell r="H1475" t="str">
            <v>5.5-6</v>
          </cell>
          <cell r="Q1475">
            <v>74.160000000000011</v>
          </cell>
        </row>
        <row r="1476">
          <cell r="D1476">
            <v>45787</v>
          </cell>
          <cell r="G1476">
            <v>4</v>
          </cell>
          <cell r="H1476" t="str">
            <v>5.5-6</v>
          </cell>
          <cell r="Q1476">
            <v>182.76000000000002</v>
          </cell>
        </row>
        <row r="1477">
          <cell r="D1477">
            <v>45787</v>
          </cell>
          <cell r="G1477">
            <v>2.5</v>
          </cell>
          <cell r="H1477" t="str">
            <v>5.5-6</v>
          </cell>
          <cell r="Q1477">
            <v>109.15</v>
          </cell>
        </row>
        <row r="1478">
          <cell r="D1478">
            <v>45787</v>
          </cell>
          <cell r="G1478">
            <v>2.5</v>
          </cell>
          <cell r="H1478" t="str">
            <v>5.5-6</v>
          </cell>
          <cell r="Q1478">
            <v>116.76</v>
          </cell>
        </row>
        <row r="1479">
          <cell r="D1479">
            <v>45787</v>
          </cell>
          <cell r="G1479">
            <v>20</v>
          </cell>
          <cell r="H1479" t="str">
            <v>5-5.5</v>
          </cell>
          <cell r="Q1479">
            <v>465.17</v>
          </cell>
        </row>
        <row r="1480">
          <cell r="D1480">
            <v>45787</v>
          </cell>
          <cell r="G1480">
            <v>16.2</v>
          </cell>
          <cell r="H1480" t="str">
            <v>-</v>
          </cell>
          <cell r="Q1480">
            <v>673.59000000000015</v>
          </cell>
        </row>
        <row r="1481">
          <cell r="D1481">
            <v>45787</v>
          </cell>
          <cell r="G1481">
            <v>7</v>
          </cell>
          <cell r="H1481">
            <v>5</v>
          </cell>
          <cell r="Q1481">
            <v>149.28</v>
          </cell>
        </row>
        <row r="1482">
          <cell r="D1482">
            <v>45787</v>
          </cell>
          <cell r="G1482">
            <v>12</v>
          </cell>
          <cell r="H1482">
            <v>5</v>
          </cell>
          <cell r="Q1482">
            <v>453.58</v>
          </cell>
        </row>
        <row r="1483">
          <cell r="D1483">
            <v>45787</v>
          </cell>
          <cell r="G1483">
            <v>12</v>
          </cell>
          <cell r="H1483">
            <v>5</v>
          </cell>
          <cell r="Q1483">
            <v>356.7</v>
          </cell>
        </row>
        <row r="1484">
          <cell r="D1484">
            <v>45787</v>
          </cell>
          <cell r="G1484">
            <v>9</v>
          </cell>
          <cell r="H1484">
            <v>5</v>
          </cell>
          <cell r="Q1484">
            <v>55.300000000000004</v>
          </cell>
        </row>
        <row r="1485">
          <cell r="D1485">
            <v>45788</v>
          </cell>
          <cell r="G1485">
            <v>4</v>
          </cell>
          <cell r="H1485" t="str">
            <v>5.5-6</v>
          </cell>
          <cell r="Q1485">
            <v>105.18</v>
          </cell>
        </row>
        <row r="1486">
          <cell r="D1486">
            <v>45788</v>
          </cell>
          <cell r="G1486">
            <v>4</v>
          </cell>
          <cell r="H1486" t="str">
            <v>5.5-6</v>
          </cell>
          <cell r="Q1486">
            <v>164.67000000000002</v>
          </cell>
        </row>
        <row r="1487">
          <cell r="D1487">
            <v>45788</v>
          </cell>
          <cell r="G1487">
            <v>2.5</v>
          </cell>
          <cell r="H1487" t="str">
            <v>5.5-6</v>
          </cell>
          <cell r="Q1487">
            <v>106.13</v>
          </cell>
        </row>
        <row r="1488">
          <cell r="D1488">
            <v>45788</v>
          </cell>
          <cell r="G1488">
            <v>2.5</v>
          </cell>
          <cell r="H1488" t="str">
            <v>5.5-6</v>
          </cell>
          <cell r="Q1488">
            <v>109.54</v>
          </cell>
        </row>
        <row r="1489">
          <cell r="D1489">
            <v>45788</v>
          </cell>
          <cell r="G1489">
            <v>7</v>
          </cell>
          <cell r="H1489">
            <v>5</v>
          </cell>
          <cell r="Q1489">
            <v>37.5</v>
          </cell>
        </row>
        <row r="1490">
          <cell r="D1490">
            <v>45788</v>
          </cell>
          <cell r="G1490">
            <v>7</v>
          </cell>
          <cell r="H1490">
            <v>5</v>
          </cell>
          <cell r="Q1490">
            <v>281.8</v>
          </cell>
        </row>
        <row r="1491">
          <cell r="D1491">
            <v>45788</v>
          </cell>
          <cell r="G1491">
            <v>16.2</v>
          </cell>
          <cell r="H1491" t="str">
            <v>-</v>
          </cell>
          <cell r="Q1491">
            <v>449.26</v>
          </cell>
        </row>
        <row r="1492">
          <cell r="D1492">
            <v>45788</v>
          </cell>
          <cell r="G1492">
            <v>9</v>
          </cell>
          <cell r="H1492">
            <v>5</v>
          </cell>
          <cell r="Q1492">
            <v>414.84999999999997</v>
          </cell>
        </row>
        <row r="1493">
          <cell r="D1493">
            <v>45788</v>
          </cell>
          <cell r="G1493">
            <v>9</v>
          </cell>
          <cell r="H1493">
            <v>5</v>
          </cell>
          <cell r="Q1493">
            <v>414.46999999999997</v>
          </cell>
        </row>
        <row r="1494">
          <cell r="D1494">
            <v>45789</v>
          </cell>
          <cell r="G1494">
            <v>4</v>
          </cell>
          <cell r="H1494" t="str">
            <v>5.5-6</v>
          </cell>
          <cell r="Q1494">
            <v>147.72999999999999</v>
          </cell>
        </row>
        <row r="1495">
          <cell r="D1495">
            <v>45789</v>
          </cell>
          <cell r="G1495">
            <v>4</v>
          </cell>
          <cell r="H1495" t="str">
            <v>5.5-6</v>
          </cell>
          <cell r="Q1495">
            <v>152.25000000000003</v>
          </cell>
        </row>
        <row r="1496">
          <cell r="D1496">
            <v>45789</v>
          </cell>
          <cell r="G1496">
            <v>2.5</v>
          </cell>
          <cell r="H1496" t="str">
            <v>5.5-6</v>
          </cell>
          <cell r="Q1496">
            <v>116.19000000000001</v>
          </cell>
        </row>
        <row r="1497">
          <cell r="D1497">
            <v>45789</v>
          </cell>
          <cell r="G1497">
            <v>2.5</v>
          </cell>
          <cell r="H1497" t="str">
            <v>5.5-6</v>
          </cell>
          <cell r="Q1497">
            <v>114.81</v>
          </cell>
        </row>
        <row r="1498">
          <cell r="D1498">
            <v>45789</v>
          </cell>
          <cell r="G1498">
            <v>7</v>
          </cell>
          <cell r="H1498">
            <v>5</v>
          </cell>
          <cell r="Q1498">
            <v>248.13000000000002</v>
          </cell>
        </row>
        <row r="1499">
          <cell r="D1499">
            <v>45789</v>
          </cell>
          <cell r="G1499">
            <v>7</v>
          </cell>
          <cell r="H1499">
            <v>5</v>
          </cell>
          <cell r="Q1499">
            <v>276.73</v>
          </cell>
        </row>
        <row r="1500">
          <cell r="D1500">
            <v>45789</v>
          </cell>
          <cell r="G1500">
            <v>15</v>
          </cell>
          <cell r="H1500">
            <v>6.5</v>
          </cell>
          <cell r="Q1500">
            <v>575.64</v>
          </cell>
        </row>
        <row r="1501">
          <cell r="D1501">
            <v>45789</v>
          </cell>
          <cell r="G1501">
            <v>9</v>
          </cell>
          <cell r="H1501">
            <v>5</v>
          </cell>
          <cell r="Q1501">
            <v>239.04</v>
          </cell>
        </row>
        <row r="1502">
          <cell r="D1502">
            <v>45789</v>
          </cell>
          <cell r="G1502">
            <v>10</v>
          </cell>
          <cell r="H1502">
            <v>4.5</v>
          </cell>
          <cell r="Q1502">
            <v>153.49</v>
          </cell>
        </row>
        <row r="1503">
          <cell r="D1503">
            <v>45789</v>
          </cell>
          <cell r="G1503">
            <v>10</v>
          </cell>
          <cell r="H1503">
            <v>4.5</v>
          </cell>
          <cell r="Q1503">
            <v>443.10000000000008</v>
          </cell>
        </row>
        <row r="1504">
          <cell r="D1504">
            <v>45790</v>
          </cell>
          <cell r="G1504">
            <v>4</v>
          </cell>
          <cell r="H1504" t="str">
            <v>5.5-6</v>
          </cell>
          <cell r="Q1504">
            <v>150.4</v>
          </cell>
        </row>
        <row r="1505">
          <cell r="D1505">
            <v>45790</v>
          </cell>
          <cell r="G1505">
            <v>4</v>
          </cell>
          <cell r="H1505" t="str">
            <v>5.5-6</v>
          </cell>
          <cell r="Q1505">
            <v>170.26</v>
          </cell>
        </row>
        <row r="1506">
          <cell r="D1506">
            <v>45790</v>
          </cell>
          <cell r="G1506">
            <v>2.5</v>
          </cell>
          <cell r="H1506" t="str">
            <v>5.5-6</v>
          </cell>
          <cell r="Q1506">
            <v>147.94999999999996</v>
          </cell>
        </row>
        <row r="1507">
          <cell r="D1507">
            <v>45790</v>
          </cell>
          <cell r="G1507">
            <v>3</v>
          </cell>
          <cell r="H1507" t="str">
            <v>5.5-6</v>
          </cell>
          <cell r="Q1507">
            <v>100.68</v>
          </cell>
        </row>
        <row r="1508">
          <cell r="D1508">
            <v>45790</v>
          </cell>
          <cell r="G1508">
            <v>2.5</v>
          </cell>
          <cell r="H1508" t="str">
            <v>5.5-6</v>
          </cell>
          <cell r="Q1508">
            <v>13.75</v>
          </cell>
        </row>
        <row r="1509">
          <cell r="D1509">
            <v>45790</v>
          </cell>
          <cell r="G1509">
            <v>7</v>
          </cell>
          <cell r="H1509">
            <v>5</v>
          </cell>
          <cell r="Q1509">
            <v>290.58</v>
          </cell>
        </row>
        <row r="1510">
          <cell r="D1510">
            <v>45790</v>
          </cell>
          <cell r="G1510">
            <v>7</v>
          </cell>
          <cell r="H1510">
            <v>5</v>
          </cell>
          <cell r="Q1510">
            <v>287.61999999999995</v>
          </cell>
        </row>
        <row r="1511">
          <cell r="D1511">
            <v>45790</v>
          </cell>
          <cell r="G1511">
            <v>15</v>
          </cell>
          <cell r="H1511">
            <v>6.5</v>
          </cell>
          <cell r="Q1511">
            <v>192.51999999999998</v>
          </cell>
        </row>
        <row r="1512">
          <cell r="D1512">
            <v>45790</v>
          </cell>
          <cell r="G1512">
            <v>17</v>
          </cell>
          <cell r="H1512">
            <v>6.5</v>
          </cell>
          <cell r="Q1512">
            <v>374.62</v>
          </cell>
        </row>
        <row r="1513">
          <cell r="D1513">
            <v>45790</v>
          </cell>
          <cell r="G1513">
            <v>17</v>
          </cell>
          <cell r="H1513">
            <v>6.5</v>
          </cell>
          <cell r="Q1513">
            <v>32.96</v>
          </cell>
        </row>
        <row r="1514">
          <cell r="D1514">
            <v>45790</v>
          </cell>
          <cell r="G1514">
            <v>10</v>
          </cell>
          <cell r="H1514">
            <v>5</v>
          </cell>
          <cell r="Q1514">
            <v>199.43</v>
          </cell>
        </row>
        <row r="1515">
          <cell r="D1515">
            <v>45790</v>
          </cell>
          <cell r="G1515">
            <v>12</v>
          </cell>
          <cell r="H1515">
            <v>6</v>
          </cell>
          <cell r="Q1515">
            <v>216.5</v>
          </cell>
        </row>
        <row r="1516">
          <cell r="D1516">
            <v>45790</v>
          </cell>
          <cell r="G1516">
            <v>12</v>
          </cell>
          <cell r="H1516">
            <v>6</v>
          </cell>
          <cell r="Q1516">
            <v>261.05</v>
          </cell>
        </row>
        <row r="1517">
          <cell r="D1517">
            <v>45790</v>
          </cell>
          <cell r="G1517">
            <v>10</v>
          </cell>
          <cell r="H1517">
            <v>4.5</v>
          </cell>
          <cell r="Q1517">
            <v>156.36000000000001</v>
          </cell>
        </row>
        <row r="1518">
          <cell r="D1518">
            <v>45790</v>
          </cell>
          <cell r="G1518" t="str">
            <v>-</v>
          </cell>
          <cell r="H1518" t="str">
            <v>-</v>
          </cell>
          <cell r="Q1518">
            <v>41.48</v>
          </cell>
        </row>
        <row r="1519">
          <cell r="D1519">
            <v>45791</v>
          </cell>
          <cell r="G1519">
            <v>4</v>
          </cell>
          <cell r="H1519" t="str">
            <v>5.5-6</v>
          </cell>
          <cell r="Q1519">
            <v>152.40999999999997</v>
          </cell>
        </row>
        <row r="1520">
          <cell r="D1520">
            <v>45791</v>
          </cell>
          <cell r="G1520">
            <v>3.5</v>
          </cell>
          <cell r="H1520" t="str">
            <v>5.5-6</v>
          </cell>
          <cell r="Q1520">
            <v>188.61</v>
          </cell>
        </row>
        <row r="1521">
          <cell r="D1521">
            <v>45791</v>
          </cell>
          <cell r="G1521">
            <v>3</v>
          </cell>
          <cell r="H1521" t="str">
            <v>5.5-6</v>
          </cell>
          <cell r="Q1521">
            <v>101.81000000000002</v>
          </cell>
        </row>
        <row r="1522">
          <cell r="D1522">
            <v>45791</v>
          </cell>
          <cell r="G1522">
            <v>3</v>
          </cell>
          <cell r="H1522" t="str">
            <v>5.5-6</v>
          </cell>
          <cell r="Q1522">
            <v>112.39999999999999</v>
          </cell>
        </row>
        <row r="1523">
          <cell r="D1523">
            <v>45791</v>
          </cell>
          <cell r="G1523">
            <v>9</v>
          </cell>
          <cell r="H1523">
            <v>5</v>
          </cell>
          <cell r="Q1523">
            <v>259.14999999999998</v>
          </cell>
        </row>
        <row r="1524">
          <cell r="D1524">
            <v>45791</v>
          </cell>
          <cell r="G1524">
            <v>7</v>
          </cell>
          <cell r="H1524">
            <v>5</v>
          </cell>
          <cell r="Q1524">
            <v>260.93</v>
          </cell>
        </row>
        <row r="1525">
          <cell r="D1525">
            <v>45791</v>
          </cell>
          <cell r="G1525">
            <v>7</v>
          </cell>
          <cell r="H1525">
            <v>6</v>
          </cell>
          <cell r="Q1525">
            <v>24.71</v>
          </cell>
        </row>
        <row r="1526">
          <cell r="D1526">
            <v>45791</v>
          </cell>
          <cell r="G1526">
            <v>8</v>
          </cell>
          <cell r="H1526">
            <v>5</v>
          </cell>
          <cell r="Q1526">
            <v>267.98</v>
          </cell>
        </row>
        <row r="1527">
          <cell r="D1527">
            <v>45791</v>
          </cell>
          <cell r="G1527">
            <v>8</v>
          </cell>
          <cell r="H1527">
            <v>5</v>
          </cell>
          <cell r="Q1527">
            <v>141.27000000000001</v>
          </cell>
        </row>
        <row r="1528">
          <cell r="D1528">
            <v>45791</v>
          </cell>
          <cell r="G1528">
            <v>8</v>
          </cell>
          <cell r="H1528">
            <v>6</v>
          </cell>
          <cell r="Q1528">
            <v>65.53</v>
          </cell>
        </row>
        <row r="1529">
          <cell r="D1529">
            <v>45791</v>
          </cell>
          <cell r="G1529">
            <v>8</v>
          </cell>
          <cell r="H1529" t="str">
            <v>7.5-8</v>
          </cell>
          <cell r="Q1529">
            <v>103.49000000000001</v>
          </cell>
        </row>
        <row r="1530">
          <cell r="D1530">
            <v>45792</v>
          </cell>
          <cell r="G1530">
            <v>3.5</v>
          </cell>
          <cell r="H1530">
            <v>8</v>
          </cell>
          <cell r="Q1530">
            <v>181.14999999999998</v>
          </cell>
        </row>
        <row r="1531">
          <cell r="D1531">
            <v>45792</v>
          </cell>
          <cell r="G1531">
            <v>3.5</v>
          </cell>
          <cell r="H1531">
            <v>8</v>
          </cell>
          <cell r="Q1531">
            <v>187.05</v>
          </cell>
        </row>
        <row r="1532">
          <cell r="D1532">
            <v>45792</v>
          </cell>
          <cell r="G1532">
            <v>3</v>
          </cell>
          <cell r="H1532" t="str">
            <v>5.5-6</v>
          </cell>
          <cell r="Q1532">
            <v>119.53999999999999</v>
          </cell>
        </row>
        <row r="1533">
          <cell r="D1533">
            <v>45792</v>
          </cell>
          <cell r="G1533">
            <v>3</v>
          </cell>
          <cell r="H1533" t="str">
            <v>5.5-6</v>
          </cell>
          <cell r="Q1533">
            <v>112.50000000000001</v>
          </cell>
        </row>
        <row r="1534">
          <cell r="D1534">
            <v>45792</v>
          </cell>
          <cell r="G1534">
            <v>7</v>
          </cell>
          <cell r="H1534">
            <v>5</v>
          </cell>
          <cell r="Q1534">
            <v>112.97999999999999</v>
          </cell>
        </row>
        <row r="1535">
          <cell r="D1535">
            <v>45792</v>
          </cell>
          <cell r="G1535">
            <v>7</v>
          </cell>
          <cell r="H1535">
            <v>5</v>
          </cell>
          <cell r="Q1535">
            <v>210.18</v>
          </cell>
        </row>
        <row r="1536">
          <cell r="D1536">
            <v>45792</v>
          </cell>
          <cell r="G1536">
            <v>7</v>
          </cell>
          <cell r="H1536">
            <v>5</v>
          </cell>
          <cell r="Q1536">
            <v>287.35000000000002</v>
          </cell>
        </row>
        <row r="1537">
          <cell r="D1537">
            <v>45792</v>
          </cell>
          <cell r="G1537">
            <v>17</v>
          </cell>
          <cell r="H1537">
            <v>6.5</v>
          </cell>
          <cell r="Q1537">
            <v>425.15</v>
          </cell>
        </row>
        <row r="1538">
          <cell r="D1538">
            <v>45792</v>
          </cell>
          <cell r="G1538">
            <v>22</v>
          </cell>
          <cell r="H1538">
            <v>4.5</v>
          </cell>
          <cell r="Q1538">
            <v>107.95</v>
          </cell>
        </row>
        <row r="1539">
          <cell r="D1539">
            <v>45792</v>
          </cell>
          <cell r="G1539">
            <v>22</v>
          </cell>
          <cell r="H1539">
            <v>8</v>
          </cell>
          <cell r="Q1539">
            <v>317.84999999999997</v>
          </cell>
        </row>
        <row r="1540">
          <cell r="D1540">
            <v>45792</v>
          </cell>
          <cell r="G1540" t="str">
            <v>22" شیٹ</v>
          </cell>
          <cell r="H1540" t="str">
            <v>4-4.5/8-9</v>
          </cell>
          <cell r="Q1540">
            <v>111.89999999999999</v>
          </cell>
        </row>
        <row r="1541">
          <cell r="D1541">
            <v>45792</v>
          </cell>
          <cell r="G1541">
            <v>12</v>
          </cell>
          <cell r="H1541">
            <v>6</v>
          </cell>
          <cell r="Q1541">
            <v>24</v>
          </cell>
        </row>
        <row r="1542">
          <cell r="D1542">
            <v>45792</v>
          </cell>
          <cell r="G1542">
            <v>3</v>
          </cell>
          <cell r="H1542">
            <v>5</v>
          </cell>
          <cell r="Q1542">
            <v>117.27</v>
          </cell>
        </row>
        <row r="1543">
          <cell r="D1543">
            <v>45792</v>
          </cell>
          <cell r="G1543">
            <v>8</v>
          </cell>
          <cell r="H1543">
            <v>6</v>
          </cell>
          <cell r="Q1543">
            <v>63.36999999999999</v>
          </cell>
        </row>
        <row r="1544">
          <cell r="D1544">
            <v>45792</v>
          </cell>
          <cell r="G1544">
            <v>9</v>
          </cell>
          <cell r="H1544">
            <v>15</v>
          </cell>
          <cell r="Q1544">
            <v>154.39999999999998</v>
          </cell>
        </row>
        <row r="1545">
          <cell r="D1545">
            <v>45792</v>
          </cell>
          <cell r="G1545">
            <v>12</v>
          </cell>
          <cell r="H1545">
            <v>5</v>
          </cell>
          <cell r="Q1545">
            <v>34.72</v>
          </cell>
        </row>
        <row r="1546">
          <cell r="D1546">
            <v>45792</v>
          </cell>
          <cell r="G1546">
            <v>12</v>
          </cell>
          <cell r="H1546">
            <v>5</v>
          </cell>
          <cell r="Q1546">
            <v>329.92999999999995</v>
          </cell>
        </row>
        <row r="1547">
          <cell r="D1547">
            <v>45792</v>
          </cell>
          <cell r="G1547">
            <v>5</v>
          </cell>
          <cell r="H1547">
            <v>5</v>
          </cell>
          <cell r="Q1547">
            <v>126.00000000000001</v>
          </cell>
        </row>
        <row r="1548">
          <cell r="D1548">
            <v>45793</v>
          </cell>
          <cell r="G1548">
            <v>3.5</v>
          </cell>
          <cell r="H1548" t="str">
            <v>5.5-6</v>
          </cell>
          <cell r="Q1548">
            <v>179.29999999999998</v>
          </cell>
        </row>
        <row r="1549">
          <cell r="D1549">
            <v>45793</v>
          </cell>
          <cell r="G1549">
            <v>3.5</v>
          </cell>
          <cell r="H1549" t="str">
            <v>5.5-6</v>
          </cell>
          <cell r="Q1549">
            <v>181.79999999999998</v>
          </cell>
        </row>
        <row r="1550">
          <cell r="D1550">
            <v>45793</v>
          </cell>
          <cell r="G1550">
            <v>3</v>
          </cell>
          <cell r="H1550" t="str">
            <v>5.5-6</v>
          </cell>
          <cell r="Q1550">
            <v>132.49</v>
          </cell>
        </row>
        <row r="1551">
          <cell r="D1551">
            <v>45793</v>
          </cell>
          <cell r="G1551">
            <v>3</v>
          </cell>
          <cell r="H1551" t="str">
            <v>5.5-6</v>
          </cell>
          <cell r="Q1551">
            <v>163.37</v>
          </cell>
        </row>
        <row r="1552">
          <cell r="D1552">
            <v>45793</v>
          </cell>
          <cell r="G1552">
            <v>7</v>
          </cell>
          <cell r="H1552">
            <v>5</v>
          </cell>
          <cell r="Q1552">
            <v>278.73999999999995</v>
          </cell>
        </row>
        <row r="1553">
          <cell r="D1553">
            <v>45793</v>
          </cell>
          <cell r="G1553">
            <v>7</v>
          </cell>
          <cell r="H1553">
            <v>5</v>
          </cell>
          <cell r="Q1553">
            <v>78.910000000000011</v>
          </cell>
        </row>
        <row r="1554">
          <cell r="D1554">
            <v>45793</v>
          </cell>
          <cell r="G1554">
            <v>9</v>
          </cell>
          <cell r="H1554">
            <v>5</v>
          </cell>
          <cell r="Q1554">
            <v>172.32999999999998</v>
          </cell>
        </row>
        <row r="1555">
          <cell r="D1555">
            <v>45793</v>
          </cell>
          <cell r="G1555">
            <v>18</v>
          </cell>
          <cell r="H1555">
            <v>5</v>
          </cell>
          <cell r="Q1555">
            <v>163.76</v>
          </cell>
        </row>
        <row r="1556">
          <cell r="D1556">
            <v>45793</v>
          </cell>
          <cell r="G1556">
            <v>18</v>
          </cell>
          <cell r="H1556">
            <v>4.5</v>
          </cell>
          <cell r="Q1556">
            <v>425.98</v>
          </cell>
        </row>
        <row r="1557">
          <cell r="D1557">
            <v>45793</v>
          </cell>
          <cell r="G1557">
            <v>18</v>
          </cell>
          <cell r="H1557" t="str">
            <v>7</v>
          </cell>
          <cell r="Q1557">
            <v>29.04</v>
          </cell>
        </row>
        <row r="1558">
          <cell r="D1558">
            <v>45793</v>
          </cell>
          <cell r="G1558">
            <v>18</v>
          </cell>
          <cell r="H1558" t="str">
            <v>7</v>
          </cell>
          <cell r="Q1558">
            <v>187.31</v>
          </cell>
        </row>
        <row r="1559">
          <cell r="D1559">
            <v>45793</v>
          </cell>
          <cell r="G1559">
            <v>18</v>
          </cell>
          <cell r="H1559" t="str">
            <v>6-6.5</v>
          </cell>
          <cell r="Q1559">
            <v>104.94</v>
          </cell>
        </row>
        <row r="1560">
          <cell r="D1560">
            <v>45793</v>
          </cell>
          <cell r="G1560" t="str">
            <v>18" شیٹ</v>
          </cell>
          <cell r="H1560" t="str">
            <v>4-4.5/8-9</v>
          </cell>
          <cell r="Q1560">
            <v>59.779999999999994</v>
          </cell>
        </row>
        <row r="1561">
          <cell r="D1561">
            <v>45793</v>
          </cell>
          <cell r="G1561">
            <v>18</v>
          </cell>
          <cell r="H1561" t="str">
            <v>7</v>
          </cell>
          <cell r="Q1561">
            <v>196.45000000000002</v>
          </cell>
        </row>
        <row r="1562">
          <cell r="D1562">
            <v>45793</v>
          </cell>
          <cell r="G1562">
            <v>12</v>
          </cell>
          <cell r="H1562">
            <v>5</v>
          </cell>
          <cell r="Q1562">
            <v>447.73</v>
          </cell>
        </row>
        <row r="1563">
          <cell r="D1563">
            <v>45793</v>
          </cell>
          <cell r="G1563">
            <v>12</v>
          </cell>
          <cell r="H1563">
            <v>5</v>
          </cell>
          <cell r="Q1563">
            <v>51.35</v>
          </cell>
        </row>
        <row r="1564">
          <cell r="D1564">
            <v>45793</v>
          </cell>
          <cell r="G1564">
            <v>12</v>
          </cell>
          <cell r="H1564">
            <v>5</v>
          </cell>
          <cell r="Q1564">
            <v>467.61000000000007</v>
          </cell>
        </row>
        <row r="1565">
          <cell r="D1565">
            <v>45794</v>
          </cell>
          <cell r="G1565">
            <v>3.5</v>
          </cell>
          <cell r="H1565">
            <v>8</v>
          </cell>
          <cell r="Q1565">
            <v>174.27</v>
          </cell>
        </row>
        <row r="1566">
          <cell r="D1566">
            <v>45794</v>
          </cell>
          <cell r="G1566">
            <v>3.5</v>
          </cell>
          <cell r="H1566">
            <v>8</v>
          </cell>
          <cell r="Q1566">
            <v>139.94999999999999</v>
          </cell>
        </row>
        <row r="1567">
          <cell r="D1567">
            <v>45794</v>
          </cell>
          <cell r="G1567">
            <v>3</v>
          </cell>
          <cell r="H1567" t="str">
            <v>5.5-6</v>
          </cell>
          <cell r="Q1567">
            <v>116.65</v>
          </cell>
        </row>
        <row r="1568">
          <cell r="D1568">
            <v>45794</v>
          </cell>
          <cell r="G1568">
            <v>2</v>
          </cell>
          <cell r="H1568" t="str">
            <v>5.5-6</v>
          </cell>
          <cell r="Q1568">
            <v>113.05</v>
          </cell>
        </row>
        <row r="1569">
          <cell r="D1569">
            <v>45794</v>
          </cell>
          <cell r="G1569">
            <v>10</v>
          </cell>
          <cell r="H1569">
            <v>5</v>
          </cell>
          <cell r="Q1569">
            <v>266.35999999999996</v>
          </cell>
        </row>
        <row r="1570">
          <cell r="D1570">
            <v>45794</v>
          </cell>
          <cell r="G1570">
            <v>10</v>
          </cell>
          <cell r="H1570">
            <v>5</v>
          </cell>
          <cell r="Q1570">
            <v>216.53999999999996</v>
          </cell>
        </row>
        <row r="1571">
          <cell r="D1571">
            <v>45794</v>
          </cell>
          <cell r="G1571" t="str">
            <v>18" شیٹ</v>
          </cell>
          <cell r="H1571" t="str">
            <v>4-4.5/8-9</v>
          </cell>
          <cell r="Q1571">
            <v>102.84</v>
          </cell>
        </row>
        <row r="1572">
          <cell r="D1572">
            <v>45794</v>
          </cell>
          <cell r="G1572">
            <v>18</v>
          </cell>
          <cell r="H1572" t="str">
            <v>7-7.5</v>
          </cell>
          <cell r="Q1572">
            <v>64.149999999999991</v>
          </cell>
        </row>
        <row r="1573">
          <cell r="D1573">
            <v>45794</v>
          </cell>
          <cell r="G1573">
            <v>18</v>
          </cell>
          <cell r="H1573" t="str">
            <v>6-6.5</v>
          </cell>
          <cell r="Q1573">
            <v>372.61</v>
          </cell>
        </row>
        <row r="1574">
          <cell r="D1574">
            <v>45794</v>
          </cell>
          <cell r="G1574">
            <v>18</v>
          </cell>
          <cell r="H1574" t="str">
            <v>6-6.5</v>
          </cell>
          <cell r="Q1574">
            <v>273.16999999999996</v>
          </cell>
        </row>
        <row r="1575">
          <cell r="D1575">
            <v>45794</v>
          </cell>
          <cell r="G1575">
            <v>24</v>
          </cell>
          <cell r="H1575">
            <v>5</v>
          </cell>
          <cell r="Q1575">
            <v>111.75999999999999</v>
          </cell>
        </row>
        <row r="1576">
          <cell r="D1576">
            <v>45794</v>
          </cell>
          <cell r="G1576">
            <v>18</v>
          </cell>
          <cell r="H1576" t="str">
            <v>5-5.5</v>
          </cell>
          <cell r="Q1576">
            <v>102.24999999999999</v>
          </cell>
        </row>
        <row r="1577">
          <cell r="D1577">
            <v>45794</v>
          </cell>
          <cell r="G1577">
            <v>14</v>
          </cell>
          <cell r="H1577">
            <v>5</v>
          </cell>
          <cell r="Q1577">
            <v>378.06</v>
          </cell>
        </row>
        <row r="1578">
          <cell r="D1578">
            <v>45794</v>
          </cell>
          <cell r="G1578">
            <v>12</v>
          </cell>
          <cell r="H1578">
            <v>5</v>
          </cell>
          <cell r="Q1578">
            <v>24.939999999999998</v>
          </cell>
        </row>
        <row r="1579">
          <cell r="D1579">
            <v>45794</v>
          </cell>
          <cell r="G1579">
            <v>16</v>
          </cell>
          <cell r="H1579" t="str">
            <v>7-7.5</v>
          </cell>
          <cell r="Q1579">
            <v>89.44</v>
          </cell>
        </row>
        <row r="1580">
          <cell r="D1580">
            <v>45794</v>
          </cell>
          <cell r="G1580">
            <v>14</v>
          </cell>
          <cell r="H1580" t="str">
            <v>7-7.5</v>
          </cell>
          <cell r="Q1580">
            <v>87.61</v>
          </cell>
        </row>
        <row r="1581">
          <cell r="D1581">
            <v>45794</v>
          </cell>
          <cell r="G1581">
            <v>14</v>
          </cell>
          <cell r="H1581">
            <v>6</v>
          </cell>
          <cell r="Q1581">
            <v>216.67000000000002</v>
          </cell>
        </row>
        <row r="1582">
          <cell r="D1582">
            <v>45794</v>
          </cell>
          <cell r="G1582">
            <v>15</v>
          </cell>
          <cell r="H1582">
            <v>6.5</v>
          </cell>
          <cell r="Q1582">
            <v>118.50999999999999</v>
          </cell>
        </row>
        <row r="1583">
          <cell r="D1583">
            <v>45796</v>
          </cell>
          <cell r="G1583">
            <v>3.5</v>
          </cell>
          <cell r="H1583">
            <v>8</v>
          </cell>
          <cell r="Q1583">
            <v>116.19</v>
          </cell>
        </row>
        <row r="1584">
          <cell r="D1584">
            <v>45796</v>
          </cell>
          <cell r="G1584">
            <v>3.5</v>
          </cell>
          <cell r="H1584">
            <v>8</v>
          </cell>
          <cell r="Q1584">
            <v>188.44999999999996</v>
          </cell>
        </row>
        <row r="1585">
          <cell r="D1585">
            <v>45796</v>
          </cell>
          <cell r="G1585">
            <v>2</v>
          </cell>
          <cell r="H1585">
            <v>10</v>
          </cell>
          <cell r="Q1585">
            <v>112.18</v>
          </cell>
        </row>
        <row r="1586">
          <cell r="D1586">
            <v>45796</v>
          </cell>
          <cell r="G1586">
            <v>2</v>
          </cell>
          <cell r="H1586">
            <v>10</v>
          </cell>
          <cell r="Q1586">
            <v>147.68</v>
          </cell>
        </row>
        <row r="1587">
          <cell r="D1587">
            <v>45796</v>
          </cell>
          <cell r="G1587">
            <v>18</v>
          </cell>
          <cell r="H1587" t="str">
            <v>5-5.5</v>
          </cell>
          <cell r="Q1587">
            <v>407.95000000000005</v>
          </cell>
        </row>
        <row r="1588">
          <cell r="D1588">
            <v>45796</v>
          </cell>
          <cell r="G1588">
            <v>18</v>
          </cell>
          <cell r="H1588" t="str">
            <v>5-5.5</v>
          </cell>
          <cell r="Q1588">
            <v>106.6</v>
          </cell>
        </row>
        <row r="1589">
          <cell r="D1589">
            <v>45796</v>
          </cell>
          <cell r="G1589">
            <v>23</v>
          </cell>
          <cell r="H1589" t="str">
            <v>7</v>
          </cell>
          <cell r="Q1589">
            <v>120.85000000000001</v>
          </cell>
        </row>
        <row r="1590">
          <cell r="D1590">
            <v>45796</v>
          </cell>
          <cell r="G1590">
            <v>28</v>
          </cell>
          <cell r="H1590" t="str">
            <v>5-5.5</v>
          </cell>
          <cell r="Q1590">
            <v>320.62</v>
          </cell>
        </row>
        <row r="1591">
          <cell r="D1591">
            <v>45796</v>
          </cell>
          <cell r="G1591">
            <v>15</v>
          </cell>
          <cell r="H1591">
            <v>6.5</v>
          </cell>
          <cell r="Q1591">
            <v>103.37</v>
          </cell>
        </row>
        <row r="1592">
          <cell r="D1592">
            <v>45796</v>
          </cell>
          <cell r="G1592">
            <v>8</v>
          </cell>
          <cell r="H1592">
            <v>6</v>
          </cell>
          <cell r="Q1592">
            <v>106.41999999999999</v>
          </cell>
        </row>
        <row r="1593">
          <cell r="D1593">
            <v>45796</v>
          </cell>
          <cell r="G1593">
            <v>8</v>
          </cell>
          <cell r="H1593">
            <v>6</v>
          </cell>
          <cell r="Q1593">
            <v>56.11</v>
          </cell>
        </row>
        <row r="1594">
          <cell r="D1594">
            <v>45796</v>
          </cell>
          <cell r="G1594">
            <v>8</v>
          </cell>
          <cell r="H1594">
            <v>5</v>
          </cell>
          <cell r="Q1594">
            <v>171.29999999999995</v>
          </cell>
        </row>
        <row r="1595">
          <cell r="D1595">
            <v>45796</v>
          </cell>
          <cell r="G1595">
            <v>7</v>
          </cell>
          <cell r="H1595">
            <v>5</v>
          </cell>
          <cell r="Q1595">
            <v>164.26000000000002</v>
          </cell>
        </row>
        <row r="1596">
          <cell r="D1596">
            <v>45797</v>
          </cell>
          <cell r="G1596">
            <v>3.5</v>
          </cell>
          <cell r="H1596">
            <v>8</v>
          </cell>
          <cell r="Q1596">
            <v>19.29</v>
          </cell>
        </row>
        <row r="1597">
          <cell r="D1597">
            <v>45797</v>
          </cell>
          <cell r="G1597">
            <v>3.5</v>
          </cell>
          <cell r="H1597" t="str">
            <v>5.5-6</v>
          </cell>
          <cell r="Q1597">
            <v>131.12999999999997</v>
          </cell>
        </row>
        <row r="1598">
          <cell r="D1598">
            <v>45797</v>
          </cell>
          <cell r="G1598">
            <v>3.5</v>
          </cell>
          <cell r="H1598" t="str">
            <v>5.5-6</v>
          </cell>
          <cell r="Q1598">
            <v>166.08999999999997</v>
          </cell>
        </row>
        <row r="1599">
          <cell r="D1599">
            <v>45797</v>
          </cell>
          <cell r="G1599">
            <v>2</v>
          </cell>
          <cell r="H1599">
            <v>10</v>
          </cell>
          <cell r="Q1599">
            <v>9.8800000000000008</v>
          </cell>
        </row>
        <row r="1600">
          <cell r="D1600">
            <v>45797</v>
          </cell>
          <cell r="G1600">
            <v>4</v>
          </cell>
          <cell r="H1600" t="str">
            <v>5.5-6</v>
          </cell>
          <cell r="Q1600">
            <v>172.15</v>
          </cell>
        </row>
        <row r="1601">
          <cell r="D1601">
            <v>45797</v>
          </cell>
          <cell r="G1601">
            <v>4</v>
          </cell>
          <cell r="H1601" t="str">
            <v>5.5-6</v>
          </cell>
          <cell r="Q1601">
            <v>171.35</v>
          </cell>
        </row>
        <row r="1602">
          <cell r="D1602">
            <v>45797</v>
          </cell>
          <cell r="G1602">
            <v>7</v>
          </cell>
          <cell r="H1602">
            <v>5</v>
          </cell>
          <cell r="Q1602">
            <v>269.18999999999994</v>
          </cell>
        </row>
        <row r="1603">
          <cell r="D1603">
            <v>45797</v>
          </cell>
          <cell r="G1603">
            <v>28</v>
          </cell>
          <cell r="H1603" t="str">
            <v>5-5.5</v>
          </cell>
          <cell r="Q1603">
            <v>376.8</v>
          </cell>
        </row>
        <row r="1604">
          <cell r="D1604">
            <v>45797</v>
          </cell>
          <cell r="G1604" t="str">
            <v>28" شیٹ</v>
          </cell>
          <cell r="H1604" t="str">
            <v>4-4.5/8-9</v>
          </cell>
          <cell r="Q1604">
            <v>56.550000000000004</v>
          </cell>
        </row>
        <row r="1605">
          <cell r="D1605">
            <v>45797</v>
          </cell>
          <cell r="G1605">
            <v>20</v>
          </cell>
          <cell r="H1605" t="str">
            <v>5-5.5</v>
          </cell>
          <cell r="Q1605">
            <v>230.67000000000002</v>
          </cell>
        </row>
        <row r="1606">
          <cell r="D1606">
            <v>45797</v>
          </cell>
          <cell r="G1606">
            <v>20</v>
          </cell>
          <cell r="H1606" t="str">
            <v>5-5.5</v>
          </cell>
          <cell r="Q1606">
            <v>591.58000000000004</v>
          </cell>
        </row>
        <row r="1607">
          <cell r="D1607">
            <v>45797</v>
          </cell>
          <cell r="G1607">
            <v>7</v>
          </cell>
          <cell r="H1607">
            <v>5</v>
          </cell>
          <cell r="Q1607">
            <v>105.52</v>
          </cell>
        </row>
        <row r="1608">
          <cell r="D1608">
            <v>45797</v>
          </cell>
          <cell r="G1608">
            <v>7</v>
          </cell>
          <cell r="H1608">
            <v>6</v>
          </cell>
          <cell r="Q1608">
            <v>249.35000000000002</v>
          </cell>
        </row>
        <row r="1609">
          <cell r="D1609">
            <v>45797</v>
          </cell>
          <cell r="G1609">
            <v>6</v>
          </cell>
          <cell r="H1609" t="str">
            <v>7.5-8</v>
          </cell>
          <cell r="Q1609">
            <v>105.55000000000001</v>
          </cell>
        </row>
        <row r="1610">
          <cell r="D1610">
            <v>45797</v>
          </cell>
          <cell r="G1610">
            <v>12</v>
          </cell>
          <cell r="H1610">
            <v>5</v>
          </cell>
          <cell r="Q1610">
            <v>352.32</v>
          </cell>
        </row>
        <row r="1611">
          <cell r="D1611">
            <v>45798</v>
          </cell>
          <cell r="G1611">
            <v>3.5</v>
          </cell>
          <cell r="H1611" t="str">
            <v>5.5-6</v>
          </cell>
          <cell r="Q1611">
            <v>143.43</v>
          </cell>
        </row>
        <row r="1612">
          <cell r="D1612">
            <v>45798</v>
          </cell>
          <cell r="G1612">
            <v>3.5</v>
          </cell>
          <cell r="H1612" t="str">
            <v>5.5-6</v>
          </cell>
          <cell r="Q1612">
            <v>170.04999999999998</v>
          </cell>
        </row>
        <row r="1613">
          <cell r="D1613">
            <v>45798</v>
          </cell>
          <cell r="G1613">
            <v>4</v>
          </cell>
          <cell r="H1613" t="str">
            <v>5.5-6</v>
          </cell>
          <cell r="Q1613">
            <v>180.42000000000002</v>
          </cell>
        </row>
        <row r="1614">
          <cell r="D1614">
            <v>45798</v>
          </cell>
          <cell r="G1614">
            <v>4</v>
          </cell>
          <cell r="H1614" t="str">
            <v>5.5-6</v>
          </cell>
          <cell r="Q1614">
            <v>157.91</v>
          </cell>
        </row>
        <row r="1615">
          <cell r="D1615">
            <v>45798</v>
          </cell>
          <cell r="G1615">
            <v>7</v>
          </cell>
          <cell r="H1615">
            <v>5</v>
          </cell>
          <cell r="Q1615">
            <v>218.86</v>
          </cell>
        </row>
        <row r="1616">
          <cell r="D1616">
            <v>45798</v>
          </cell>
          <cell r="G1616">
            <v>6</v>
          </cell>
          <cell r="H1616">
            <v>5</v>
          </cell>
          <cell r="Q1616">
            <v>93.949999999999989</v>
          </cell>
        </row>
        <row r="1617">
          <cell r="D1617">
            <v>45798</v>
          </cell>
          <cell r="G1617">
            <v>6</v>
          </cell>
          <cell r="H1617">
            <v>5</v>
          </cell>
          <cell r="Q1617">
            <v>254.26999999999995</v>
          </cell>
        </row>
        <row r="1618">
          <cell r="D1618">
            <v>45798</v>
          </cell>
          <cell r="G1618">
            <v>20</v>
          </cell>
          <cell r="H1618" t="str">
            <v>5-5.5</v>
          </cell>
          <cell r="Q1618">
            <v>308.31000000000006</v>
          </cell>
        </row>
        <row r="1619">
          <cell r="D1619">
            <v>45798</v>
          </cell>
          <cell r="G1619" t="str">
            <v>-</v>
          </cell>
          <cell r="H1619" t="str">
            <v>-</v>
          </cell>
          <cell r="Q1619">
            <v>104.17</v>
          </cell>
        </row>
        <row r="1620">
          <cell r="D1620">
            <v>45798</v>
          </cell>
          <cell r="G1620">
            <v>19</v>
          </cell>
          <cell r="H1620" t="str">
            <v>6-6.5</v>
          </cell>
          <cell r="Q1620">
            <v>54.040000000000006</v>
          </cell>
        </row>
        <row r="1621">
          <cell r="D1621">
            <v>45798</v>
          </cell>
          <cell r="G1621">
            <v>21</v>
          </cell>
          <cell r="H1621" t="str">
            <v>7.25-7.5</v>
          </cell>
          <cell r="Q1621">
            <v>158.15</v>
          </cell>
        </row>
        <row r="1622">
          <cell r="D1622">
            <v>45798</v>
          </cell>
          <cell r="G1622">
            <v>19</v>
          </cell>
          <cell r="H1622" t="str">
            <v>6-6.5</v>
          </cell>
          <cell r="Q1622">
            <v>53.650000000000006</v>
          </cell>
        </row>
        <row r="1623">
          <cell r="D1623">
            <v>45798</v>
          </cell>
          <cell r="G1623">
            <v>19</v>
          </cell>
          <cell r="H1623" t="str">
            <v>7-7.5</v>
          </cell>
          <cell r="Q1623">
            <v>55.96</v>
          </cell>
        </row>
        <row r="1624">
          <cell r="D1624">
            <v>45798</v>
          </cell>
          <cell r="G1624">
            <v>16</v>
          </cell>
          <cell r="H1624" t="str">
            <v>7-7.5</v>
          </cell>
          <cell r="Q1624">
            <v>196.66</v>
          </cell>
        </row>
        <row r="1625">
          <cell r="D1625">
            <v>45798</v>
          </cell>
          <cell r="G1625">
            <v>16</v>
          </cell>
          <cell r="H1625" t="str">
            <v>5-5.5</v>
          </cell>
          <cell r="Q1625">
            <v>227.09</v>
          </cell>
        </row>
        <row r="1626">
          <cell r="D1626">
            <v>45798</v>
          </cell>
          <cell r="G1626">
            <v>12</v>
          </cell>
          <cell r="H1626">
            <v>5</v>
          </cell>
          <cell r="Q1626">
            <v>519.84</v>
          </cell>
        </row>
        <row r="1627">
          <cell r="D1627">
            <v>45798</v>
          </cell>
          <cell r="G1627">
            <v>12</v>
          </cell>
          <cell r="H1627">
            <v>5</v>
          </cell>
          <cell r="Q1627">
            <v>83.46</v>
          </cell>
        </row>
        <row r="1628">
          <cell r="D1628">
            <v>45798</v>
          </cell>
          <cell r="G1628">
            <v>9</v>
          </cell>
          <cell r="H1628">
            <v>4</v>
          </cell>
          <cell r="Q1628">
            <v>53.01</v>
          </cell>
        </row>
        <row r="1629">
          <cell r="D1629">
            <v>45798</v>
          </cell>
          <cell r="G1629">
            <v>10</v>
          </cell>
          <cell r="H1629">
            <v>5</v>
          </cell>
          <cell r="Q1629">
            <v>178.87</v>
          </cell>
        </row>
        <row r="1630">
          <cell r="D1630">
            <v>45798</v>
          </cell>
          <cell r="G1630">
            <v>10</v>
          </cell>
          <cell r="H1630">
            <v>8</v>
          </cell>
          <cell r="Q1630">
            <v>51.45</v>
          </cell>
        </row>
        <row r="1631">
          <cell r="D1631">
            <v>45799</v>
          </cell>
          <cell r="G1631">
            <v>3</v>
          </cell>
          <cell r="H1631" t="str">
            <v>5.5-6</v>
          </cell>
          <cell r="Q1631">
            <v>145</v>
          </cell>
        </row>
        <row r="1632">
          <cell r="D1632">
            <v>45799</v>
          </cell>
          <cell r="G1632">
            <v>3</v>
          </cell>
          <cell r="H1632" t="str">
            <v>5.5-6</v>
          </cell>
          <cell r="Q1632">
            <v>138.25</v>
          </cell>
        </row>
        <row r="1633">
          <cell r="D1633">
            <v>45799</v>
          </cell>
          <cell r="G1633">
            <v>4</v>
          </cell>
          <cell r="H1633" t="str">
            <v>5.5-6</v>
          </cell>
          <cell r="Q1633">
            <v>181.99999999999997</v>
          </cell>
        </row>
        <row r="1634">
          <cell r="D1634">
            <v>45799</v>
          </cell>
          <cell r="G1634">
            <v>4</v>
          </cell>
          <cell r="H1634" t="str">
            <v>5.5-6</v>
          </cell>
          <cell r="Q1634">
            <v>169.02</v>
          </cell>
        </row>
        <row r="1635">
          <cell r="D1635">
            <v>45799</v>
          </cell>
          <cell r="G1635">
            <v>6</v>
          </cell>
          <cell r="H1635">
            <v>5</v>
          </cell>
          <cell r="Q1635">
            <v>334.45</v>
          </cell>
        </row>
        <row r="1636">
          <cell r="D1636">
            <v>45799</v>
          </cell>
          <cell r="G1636">
            <v>6</v>
          </cell>
          <cell r="H1636">
            <v>5</v>
          </cell>
          <cell r="Q1636">
            <v>290.16000000000003</v>
          </cell>
        </row>
        <row r="1637">
          <cell r="D1637">
            <v>45799</v>
          </cell>
          <cell r="G1637">
            <v>16</v>
          </cell>
          <cell r="H1637" t="str">
            <v>5-5.5</v>
          </cell>
          <cell r="Q1637">
            <v>704.4</v>
          </cell>
        </row>
        <row r="1638">
          <cell r="D1638">
            <v>45799</v>
          </cell>
          <cell r="G1638">
            <v>16</v>
          </cell>
          <cell r="H1638" t="str">
            <v>5-5.5</v>
          </cell>
          <cell r="Q1638">
            <v>201.16</v>
          </cell>
        </row>
        <row r="1639">
          <cell r="D1639">
            <v>45799</v>
          </cell>
          <cell r="G1639">
            <v>16</v>
          </cell>
          <cell r="H1639" t="str">
            <v>8</v>
          </cell>
          <cell r="Q1639">
            <v>204.45000000000002</v>
          </cell>
        </row>
        <row r="1640">
          <cell r="D1640">
            <v>45799</v>
          </cell>
          <cell r="G1640">
            <v>24</v>
          </cell>
          <cell r="H1640" t="str">
            <v>5-5.5</v>
          </cell>
          <cell r="Q1640">
            <v>93.3</v>
          </cell>
        </row>
        <row r="1641">
          <cell r="D1641">
            <v>45799</v>
          </cell>
          <cell r="G1641">
            <v>24</v>
          </cell>
          <cell r="H1641" t="str">
            <v>8</v>
          </cell>
          <cell r="Q1641">
            <v>150.83999999999997</v>
          </cell>
        </row>
        <row r="1642">
          <cell r="D1642">
            <v>45799</v>
          </cell>
          <cell r="G1642">
            <v>10</v>
          </cell>
          <cell r="H1642">
            <v>5</v>
          </cell>
          <cell r="Q1642">
            <v>502.18999999999994</v>
          </cell>
        </row>
        <row r="1643">
          <cell r="D1643">
            <v>45799</v>
          </cell>
          <cell r="G1643">
            <v>10</v>
          </cell>
          <cell r="H1643">
            <v>5</v>
          </cell>
          <cell r="Q1643">
            <v>364.15</v>
          </cell>
        </row>
        <row r="1644">
          <cell r="D1644">
            <v>45799</v>
          </cell>
          <cell r="G1644">
            <v>14</v>
          </cell>
          <cell r="H1644">
            <v>5</v>
          </cell>
          <cell r="Q1644">
            <v>87.72</v>
          </cell>
        </row>
        <row r="1645">
          <cell r="D1645">
            <v>45800</v>
          </cell>
          <cell r="G1645">
            <v>3</v>
          </cell>
          <cell r="H1645" t="str">
            <v>5.5-6</v>
          </cell>
          <cell r="Q1645">
            <v>64.11999999999999</v>
          </cell>
        </row>
        <row r="1646">
          <cell r="D1646">
            <v>45800</v>
          </cell>
          <cell r="G1646">
            <v>3.5</v>
          </cell>
          <cell r="H1646" t="str">
            <v>5.5-6</v>
          </cell>
          <cell r="Q1646">
            <v>48.7</v>
          </cell>
        </row>
        <row r="1647">
          <cell r="D1647">
            <v>45800</v>
          </cell>
          <cell r="G1647">
            <v>3.5</v>
          </cell>
          <cell r="H1647" t="str">
            <v>5.5-6</v>
          </cell>
          <cell r="Q1647">
            <v>150.35999999999999</v>
          </cell>
        </row>
        <row r="1648">
          <cell r="D1648">
            <v>45800</v>
          </cell>
          <cell r="G1648">
            <v>4</v>
          </cell>
          <cell r="H1648" t="str">
            <v>5.5-6</v>
          </cell>
          <cell r="Q1648">
            <v>110.72</v>
          </cell>
        </row>
        <row r="1649">
          <cell r="D1649">
            <v>45800</v>
          </cell>
          <cell r="G1649">
            <v>3.5</v>
          </cell>
          <cell r="H1649">
            <v>5</v>
          </cell>
          <cell r="Q1649">
            <v>66.2</v>
          </cell>
        </row>
        <row r="1650">
          <cell r="D1650">
            <v>45800</v>
          </cell>
          <cell r="G1650">
            <v>3.5</v>
          </cell>
          <cell r="H1650">
            <v>5</v>
          </cell>
          <cell r="Q1650">
            <v>32.24</v>
          </cell>
        </row>
        <row r="1651">
          <cell r="D1651">
            <v>45800</v>
          </cell>
          <cell r="G1651">
            <v>4</v>
          </cell>
          <cell r="H1651" t="str">
            <v>5.5-6</v>
          </cell>
          <cell r="Q1651">
            <v>141.09</v>
          </cell>
        </row>
        <row r="1652">
          <cell r="D1652">
            <v>45800</v>
          </cell>
          <cell r="G1652">
            <v>6</v>
          </cell>
          <cell r="H1652">
            <v>5</v>
          </cell>
          <cell r="Q1652">
            <v>319.95999999999998</v>
          </cell>
        </row>
        <row r="1653">
          <cell r="D1653">
            <v>45800</v>
          </cell>
          <cell r="G1653">
            <v>6</v>
          </cell>
          <cell r="H1653">
            <v>5</v>
          </cell>
          <cell r="Q1653">
            <v>299.69000000000005</v>
          </cell>
        </row>
        <row r="1654">
          <cell r="D1654">
            <v>45800</v>
          </cell>
          <cell r="G1654">
            <v>24</v>
          </cell>
          <cell r="H1654" t="str">
            <v>5-5.5</v>
          </cell>
          <cell r="Q1654">
            <v>617.23</v>
          </cell>
        </row>
        <row r="1655">
          <cell r="D1655">
            <v>45800</v>
          </cell>
          <cell r="G1655">
            <v>24</v>
          </cell>
          <cell r="H1655" t="str">
            <v>5-5.5</v>
          </cell>
          <cell r="Q1655">
            <v>230.60000000000002</v>
          </cell>
        </row>
        <row r="1656">
          <cell r="D1656">
            <v>45800</v>
          </cell>
          <cell r="G1656">
            <v>8</v>
          </cell>
          <cell r="H1656">
            <v>5</v>
          </cell>
          <cell r="Q1656">
            <v>103.75</v>
          </cell>
        </row>
        <row r="1657">
          <cell r="D1657">
            <v>45800</v>
          </cell>
          <cell r="G1657">
            <v>28</v>
          </cell>
          <cell r="H1657" t="str">
            <v>5-5.5</v>
          </cell>
          <cell r="Q1657">
            <v>130.49</v>
          </cell>
        </row>
        <row r="1658">
          <cell r="D1658">
            <v>45800</v>
          </cell>
          <cell r="G1658">
            <v>28</v>
          </cell>
          <cell r="H1658">
            <v>5</v>
          </cell>
          <cell r="Q1658">
            <v>129.59</v>
          </cell>
        </row>
        <row r="1659">
          <cell r="D1659">
            <v>45800</v>
          </cell>
          <cell r="G1659">
            <v>14</v>
          </cell>
          <cell r="H1659">
            <v>5</v>
          </cell>
          <cell r="Q1659">
            <v>583.29999999999995</v>
          </cell>
        </row>
        <row r="1660">
          <cell r="D1660">
            <v>45800</v>
          </cell>
          <cell r="G1660">
            <v>14</v>
          </cell>
          <cell r="H1660">
            <v>5</v>
          </cell>
          <cell r="Q1660">
            <v>155.47</v>
          </cell>
        </row>
        <row r="1661">
          <cell r="D1661">
            <v>45800</v>
          </cell>
          <cell r="G1661">
            <v>14</v>
          </cell>
          <cell r="H1661" t="str">
            <v>8</v>
          </cell>
          <cell r="Q1661">
            <v>44.949999999999996</v>
          </cell>
        </row>
        <row r="1662">
          <cell r="D1662">
            <v>45800</v>
          </cell>
          <cell r="G1662">
            <v>12</v>
          </cell>
          <cell r="H1662">
            <v>5</v>
          </cell>
          <cell r="Q1662">
            <v>354.37999999999994</v>
          </cell>
        </row>
        <row r="1663">
          <cell r="D1663">
            <v>45801</v>
          </cell>
          <cell r="G1663">
            <v>3</v>
          </cell>
          <cell r="H1663" t="str">
            <v>5.5-6</v>
          </cell>
          <cell r="Q1663">
            <v>123.37</v>
          </cell>
        </row>
        <row r="1664">
          <cell r="D1664">
            <v>45801</v>
          </cell>
          <cell r="G1664">
            <v>3</v>
          </cell>
          <cell r="H1664" t="str">
            <v>5.5-6</v>
          </cell>
          <cell r="Q1664">
            <v>107.35000000000002</v>
          </cell>
        </row>
        <row r="1665">
          <cell r="D1665">
            <v>45801</v>
          </cell>
          <cell r="G1665">
            <v>4</v>
          </cell>
          <cell r="H1665" t="str">
            <v>5.5-6</v>
          </cell>
          <cell r="Q1665">
            <v>148.37000000000003</v>
          </cell>
        </row>
        <row r="1666">
          <cell r="D1666">
            <v>45801</v>
          </cell>
          <cell r="G1666">
            <v>4</v>
          </cell>
          <cell r="H1666" t="str">
            <v>5.5-6</v>
          </cell>
          <cell r="Q1666">
            <v>104.63000000000001</v>
          </cell>
        </row>
        <row r="1667">
          <cell r="D1667">
            <v>45801</v>
          </cell>
          <cell r="G1667">
            <v>6</v>
          </cell>
          <cell r="H1667">
            <v>5</v>
          </cell>
          <cell r="Q1667">
            <v>291.09999999999997</v>
          </cell>
        </row>
        <row r="1668">
          <cell r="D1668">
            <v>45801</v>
          </cell>
          <cell r="G1668">
            <v>28</v>
          </cell>
          <cell r="H1668" t="str">
            <v>5-5.5</v>
          </cell>
          <cell r="Q1668">
            <v>417.47</v>
          </cell>
        </row>
        <row r="1669">
          <cell r="D1669">
            <v>45801</v>
          </cell>
          <cell r="G1669">
            <v>22</v>
          </cell>
          <cell r="H1669">
            <v>4.5</v>
          </cell>
          <cell r="Q1669">
            <v>106.13</v>
          </cell>
        </row>
        <row r="1670">
          <cell r="D1670">
            <v>45801</v>
          </cell>
          <cell r="G1670">
            <v>13.5</v>
          </cell>
          <cell r="H1670">
            <v>5</v>
          </cell>
          <cell r="Q1670">
            <v>91.27000000000001</v>
          </cell>
        </row>
        <row r="1671">
          <cell r="D1671">
            <v>45801</v>
          </cell>
          <cell r="G1671">
            <v>12</v>
          </cell>
          <cell r="H1671">
            <v>5</v>
          </cell>
          <cell r="Q1671">
            <v>507.36</v>
          </cell>
        </row>
        <row r="1672">
          <cell r="D1672">
            <v>45803</v>
          </cell>
          <cell r="G1672">
            <v>3</v>
          </cell>
          <cell r="H1672" t="str">
            <v>5.5-6</v>
          </cell>
          <cell r="Q1672">
            <v>131.51000000000002</v>
          </cell>
        </row>
        <row r="1673">
          <cell r="D1673">
            <v>45803</v>
          </cell>
          <cell r="G1673">
            <v>3</v>
          </cell>
          <cell r="H1673" t="str">
            <v>5.5-6</v>
          </cell>
          <cell r="Q1673">
            <v>140.60999999999999</v>
          </cell>
        </row>
        <row r="1674">
          <cell r="D1674">
            <v>45803</v>
          </cell>
          <cell r="G1674">
            <v>4</v>
          </cell>
          <cell r="H1674" t="str">
            <v>5.5-6</v>
          </cell>
          <cell r="Q1674">
            <v>120.47000000000001</v>
          </cell>
        </row>
        <row r="1675">
          <cell r="D1675">
            <v>45803</v>
          </cell>
          <cell r="G1675">
            <v>2</v>
          </cell>
          <cell r="H1675" t="str">
            <v>5.5-6</v>
          </cell>
          <cell r="Q1675">
            <v>120.28999999999999</v>
          </cell>
        </row>
        <row r="1676">
          <cell r="D1676">
            <v>45803</v>
          </cell>
          <cell r="G1676">
            <v>6</v>
          </cell>
          <cell r="H1676">
            <v>5</v>
          </cell>
          <cell r="Q1676">
            <v>180.36</v>
          </cell>
        </row>
        <row r="1677">
          <cell r="D1677">
            <v>45803</v>
          </cell>
          <cell r="G1677">
            <v>6</v>
          </cell>
          <cell r="H1677">
            <v>5</v>
          </cell>
          <cell r="Q1677">
            <v>274.52999999999997</v>
          </cell>
        </row>
        <row r="1678">
          <cell r="D1678">
            <v>45803</v>
          </cell>
          <cell r="G1678">
            <v>14</v>
          </cell>
          <cell r="H1678">
            <v>5</v>
          </cell>
          <cell r="Q1678">
            <v>181.18</v>
          </cell>
        </row>
        <row r="1679">
          <cell r="D1679">
            <v>45803</v>
          </cell>
          <cell r="G1679">
            <v>14</v>
          </cell>
          <cell r="H1679" t="str">
            <v>11.5-12</v>
          </cell>
          <cell r="Q1679">
            <v>222.09</v>
          </cell>
        </row>
        <row r="1680">
          <cell r="D1680">
            <v>45803</v>
          </cell>
          <cell r="G1680">
            <v>14</v>
          </cell>
          <cell r="H1680" t="str">
            <v>11.5-12</v>
          </cell>
          <cell r="Q1680">
            <v>559.67000000000007</v>
          </cell>
        </row>
        <row r="1681">
          <cell r="D1681">
            <v>45803</v>
          </cell>
          <cell r="G1681">
            <v>12</v>
          </cell>
          <cell r="H1681">
            <v>5</v>
          </cell>
          <cell r="Q1681">
            <v>311.37</v>
          </cell>
        </row>
        <row r="1682">
          <cell r="D1682">
            <v>45803</v>
          </cell>
          <cell r="G1682">
            <v>14</v>
          </cell>
          <cell r="H1682">
            <v>5</v>
          </cell>
          <cell r="Q1682">
            <v>68.320000000000007</v>
          </cell>
        </row>
        <row r="1683">
          <cell r="D1683">
            <v>45803</v>
          </cell>
          <cell r="G1683">
            <v>14</v>
          </cell>
          <cell r="H1683">
            <v>5</v>
          </cell>
          <cell r="Q1683">
            <v>255.2</v>
          </cell>
        </row>
        <row r="1684">
          <cell r="D1684">
            <v>45803</v>
          </cell>
          <cell r="G1684">
            <v>14</v>
          </cell>
          <cell r="H1684">
            <v>5</v>
          </cell>
          <cell r="Q1684">
            <v>156.18</v>
          </cell>
        </row>
        <row r="1685">
          <cell r="D1685">
            <v>45804</v>
          </cell>
          <cell r="G1685">
            <v>3</v>
          </cell>
          <cell r="H1685" t="str">
            <v>5.5-6</v>
          </cell>
          <cell r="Q1685">
            <v>54.309999999999995</v>
          </cell>
        </row>
        <row r="1686">
          <cell r="D1686">
            <v>45804</v>
          </cell>
          <cell r="G1686">
            <v>5</v>
          </cell>
          <cell r="H1686" t="str">
            <v>5.5-6</v>
          </cell>
          <cell r="Q1686">
            <v>79.399999999999991</v>
          </cell>
        </row>
        <row r="1687">
          <cell r="D1687">
            <v>45804</v>
          </cell>
          <cell r="G1687">
            <v>5</v>
          </cell>
          <cell r="H1687" t="str">
            <v>5.5-6</v>
          </cell>
          <cell r="Q1687">
            <v>177.49</v>
          </cell>
        </row>
        <row r="1688">
          <cell r="D1688">
            <v>45804</v>
          </cell>
          <cell r="G1688">
            <v>2</v>
          </cell>
          <cell r="H1688" t="str">
            <v>5.5-6</v>
          </cell>
          <cell r="Q1688">
            <v>98.9</v>
          </cell>
        </row>
        <row r="1689">
          <cell r="D1689">
            <v>45804</v>
          </cell>
          <cell r="G1689">
            <v>2</v>
          </cell>
          <cell r="H1689" t="str">
            <v>5.5-6</v>
          </cell>
          <cell r="Q1689">
            <v>79.649999999999991</v>
          </cell>
        </row>
        <row r="1690">
          <cell r="D1690">
            <v>45804</v>
          </cell>
          <cell r="G1690">
            <v>6</v>
          </cell>
          <cell r="H1690">
            <v>5</v>
          </cell>
          <cell r="Q1690">
            <v>177.53</v>
          </cell>
        </row>
        <row r="1691">
          <cell r="D1691">
            <v>45804</v>
          </cell>
          <cell r="G1691">
            <v>7</v>
          </cell>
          <cell r="H1691">
            <v>5</v>
          </cell>
          <cell r="Q1691">
            <v>127.16000000000001</v>
          </cell>
        </row>
        <row r="1692">
          <cell r="D1692">
            <v>45804</v>
          </cell>
          <cell r="G1692">
            <v>7</v>
          </cell>
          <cell r="H1692">
            <v>5</v>
          </cell>
          <cell r="Q1692">
            <v>258.71999999999997</v>
          </cell>
        </row>
        <row r="1693">
          <cell r="D1693">
            <v>45804</v>
          </cell>
          <cell r="G1693">
            <v>14</v>
          </cell>
          <cell r="H1693" t="str">
            <v>11.5-12</v>
          </cell>
          <cell r="Q1693">
            <v>178.78999999999996</v>
          </cell>
        </row>
        <row r="1694">
          <cell r="D1694">
            <v>45804</v>
          </cell>
          <cell r="G1694">
            <v>13.5</v>
          </cell>
          <cell r="H1694">
            <v>5</v>
          </cell>
          <cell r="Q1694">
            <v>96.199999999999989</v>
          </cell>
        </row>
        <row r="1695">
          <cell r="D1695">
            <v>45804</v>
          </cell>
          <cell r="G1695">
            <v>18</v>
          </cell>
          <cell r="H1695" t="str">
            <v>5-5.5</v>
          </cell>
          <cell r="Q1695">
            <v>299.09000000000003</v>
          </cell>
        </row>
        <row r="1696">
          <cell r="D1696">
            <v>45804</v>
          </cell>
          <cell r="G1696">
            <v>18</v>
          </cell>
          <cell r="H1696" t="str">
            <v>5-5.5</v>
          </cell>
          <cell r="Q1696">
            <v>662.99</v>
          </cell>
        </row>
        <row r="1697">
          <cell r="D1697">
            <v>45804</v>
          </cell>
          <cell r="G1697">
            <v>15</v>
          </cell>
          <cell r="H1697">
            <v>5</v>
          </cell>
          <cell r="Q1697">
            <v>104.76</v>
          </cell>
        </row>
        <row r="1698">
          <cell r="D1698">
            <v>45804</v>
          </cell>
          <cell r="G1698">
            <v>14</v>
          </cell>
          <cell r="H1698">
            <v>5</v>
          </cell>
          <cell r="Q1698">
            <v>193.57</v>
          </cell>
        </row>
        <row r="1699">
          <cell r="D1699">
            <v>45804</v>
          </cell>
          <cell r="G1699">
            <v>13</v>
          </cell>
          <cell r="H1699" t="str">
            <v>8</v>
          </cell>
          <cell r="Q1699">
            <v>158.75</v>
          </cell>
        </row>
        <row r="1700">
          <cell r="D1700">
            <v>45804</v>
          </cell>
          <cell r="G1700">
            <v>13</v>
          </cell>
          <cell r="H1700" t="str">
            <v>8</v>
          </cell>
          <cell r="Q1700">
            <v>83.55</v>
          </cell>
        </row>
        <row r="1701">
          <cell r="D1701">
            <v>45804</v>
          </cell>
          <cell r="G1701">
            <v>14</v>
          </cell>
          <cell r="H1701">
            <v>5</v>
          </cell>
          <cell r="Q1701">
            <v>216.2</v>
          </cell>
        </row>
        <row r="1702">
          <cell r="D1702">
            <v>45804</v>
          </cell>
          <cell r="G1702">
            <v>16</v>
          </cell>
          <cell r="H1702">
            <v>5</v>
          </cell>
          <cell r="Q1702">
            <v>203.04</v>
          </cell>
        </row>
        <row r="1703">
          <cell r="D1703">
            <v>45805</v>
          </cell>
          <cell r="G1703">
            <v>5</v>
          </cell>
          <cell r="H1703" t="str">
            <v>5.5-6</v>
          </cell>
          <cell r="Q1703">
            <v>190.03</v>
          </cell>
        </row>
        <row r="1704">
          <cell r="D1704">
            <v>45805</v>
          </cell>
          <cell r="G1704">
            <v>5</v>
          </cell>
          <cell r="H1704" t="str">
            <v>5.5-6</v>
          </cell>
          <cell r="Q1704">
            <v>164.87</v>
          </cell>
        </row>
        <row r="1705">
          <cell r="D1705">
            <v>45805</v>
          </cell>
          <cell r="G1705">
            <v>2</v>
          </cell>
          <cell r="H1705" t="str">
            <v>5.5-6</v>
          </cell>
          <cell r="Q1705">
            <v>20.6</v>
          </cell>
        </row>
        <row r="1706">
          <cell r="D1706">
            <v>45805</v>
          </cell>
          <cell r="G1706">
            <v>4</v>
          </cell>
          <cell r="H1706" t="str">
            <v>5.5-6</v>
          </cell>
          <cell r="Q1706">
            <v>112.07000000000001</v>
          </cell>
        </row>
        <row r="1707">
          <cell r="D1707">
            <v>45805</v>
          </cell>
          <cell r="G1707">
            <v>4</v>
          </cell>
          <cell r="H1707" t="str">
            <v>5.5-6</v>
          </cell>
          <cell r="Q1707">
            <v>150.02999999999997</v>
          </cell>
        </row>
        <row r="1708">
          <cell r="D1708">
            <v>45805</v>
          </cell>
          <cell r="G1708">
            <v>7</v>
          </cell>
          <cell r="H1708">
            <v>5</v>
          </cell>
          <cell r="Q1708">
            <v>225.25</v>
          </cell>
        </row>
        <row r="1709">
          <cell r="D1709">
            <v>45805</v>
          </cell>
          <cell r="G1709">
            <v>8</v>
          </cell>
          <cell r="H1709">
            <v>5</v>
          </cell>
          <cell r="Q1709">
            <v>81.31</v>
          </cell>
        </row>
        <row r="1710">
          <cell r="D1710">
            <v>45805</v>
          </cell>
          <cell r="G1710">
            <v>9</v>
          </cell>
          <cell r="H1710">
            <v>5</v>
          </cell>
          <cell r="Q1710">
            <v>73.509999999999991</v>
          </cell>
        </row>
        <row r="1711">
          <cell r="D1711">
            <v>45805</v>
          </cell>
          <cell r="G1711">
            <v>8</v>
          </cell>
          <cell r="H1711">
            <v>5</v>
          </cell>
          <cell r="Q1711">
            <v>161.82999999999998</v>
          </cell>
        </row>
        <row r="1712">
          <cell r="D1712">
            <v>45805</v>
          </cell>
          <cell r="G1712">
            <v>18</v>
          </cell>
          <cell r="H1712" t="str">
            <v>5-5.5</v>
          </cell>
          <cell r="Q1712">
            <v>243.72000000000003</v>
          </cell>
        </row>
        <row r="1713">
          <cell r="D1713">
            <v>45805</v>
          </cell>
          <cell r="G1713">
            <v>18</v>
          </cell>
          <cell r="H1713">
            <v>5</v>
          </cell>
          <cell r="Q1713">
            <v>151.36000000000001</v>
          </cell>
        </row>
        <row r="1714">
          <cell r="D1714">
            <v>45805</v>
          </cell>
          <cell r="G1714">
            <v>17</v>
          </cell>
          <cell r="H1714" t="str">
            <v>5.5-6</v>
          </cell>
          <cell r="Q1714">
            <v>244.06</v>
          </cell>
        </row>
        <row r="1715">
          <cell r="D1715">
            <v>45805</v>
          </cell>
          <cell r="G1715">
            <v>17</v>
          </cell>
          <cell r="H1715" t="str">
            <v>5.5-6</v>
          </cell>
          <cell r="Q1715">
            <v>269.22999999999996</v>
          </cell>
        </row>
        <row r="1716">
          <cell r="D1716">
            <v>45805</v>
          </cell>
          <cell r="G1716">
            <v>22</v>
          </cell>
          <cell r="H1716" t="str">
            <v>6-6.5</v>
          </cell>
          <cell r="Q1716">
            <v>104.92999999999999</v>
          </cell>
        </row>
        <row r="1717">
          <cell r="D1717">
            <v>45805</v>
          </cell>
          <cell r="G1717">
            <v>22</v>
          </cell>
          <cell r="H1717">
            <v>5</v>
          </cell>
          <cell r="Q1717">
            <v>274.90000000000003</v>
          </cell>
        </row>
        <row r="1718">
          <cell r="D1718">
            <v>45805</v>
          </cell>
          <cell r="G1718">
            <v>16</v>
          </cell>
          <cell r="H1718">
            <v>5</v>
          </cell>
          <cell r="Q1718">
            <v>299.79000000000002</v>
          </cell>
        </row>
        <row r="1719">
          <cell r="D1719">
            <v>45805</v>
          </cell>
          <cell r="G1719">
            <v>12</v>
          </cell>
          <cell r="H1719">
            <v>5</v>
          </cell>
          <cell r="Q1719">
            <v>156.89000000000001</v>
          </cell>
        </row>
        <row r="1720">
          <cell r="D1720">
            <v>45805</v>
          </cell>
          <cell r="G1720">
            <v>12</v>
          </cell>
          <cell r="H1720">
            <v>5</v>
          </cell>
          <cell r="Q1720">
            <v>453.52</v>
          </cell>
        </row>
        <row r="1721">
          <cell r="D1721">
            <v>45806</v>
          </cell>
          <cell r="G1721">
            <v>5</v>
          </cell>
          <cell r="H1721" t="str">
            <v>5.5-6</v>
          </cell>
          <cell r="Q1721">
            <v>179.19</v>
          </cell>
        </row>
        <row r="1722">
          <cell r="D1722">
            <v>45806</v>
          </cell>
          <cell r="G1722">
            <v>3.5</v>
          </cell>
          <cell r="H1722" t="str">
            <v>5.5-6</v>
          </cell>
          <cell r="Q1722">
            <v>11.620000000000001</v>
          </cell>
        </row>
        <row r="1723">
          <cell r="D1723">
            <v>45806</v>
          </cell>
          <cell r="G1723">
            <v>3.5</v>
          </cell>
          <cell r="H1723" t="str">
            <v>5.5-6</v>
          </cell>
          <cell r="Q1723">
            <v>156.98000000000002</v>
          </cell>
        </row>
        <row r="1724">
          <cell r="D1724">
            <v>45806</v>
          </cell>
          <cell r="G1724">
            <v>4</v>
          </cell>
          <cell r="H1724" t="str">
            <v>5.5-6</v>
          </cell>
          <cell r="Q1724">
            <v>163.53999999999994</v>
          </cell>
        </row>
        <row r="1725">
          <cell r="D1725">
            <v>45806</v>
          </cell>
          <cell r="G1725">
            <v>9</v>
          </cell>
          <cell r="H1725">
            <v>5</v>
          </cell>
          <cell r="Q1725">
            <v>164.28000000000003</v>
          </cell>
        </row>
        <row r="1726">
          <cell r="D1726">
            <v>45806</v>
          </cell>
          <cell r="G1726">
            <v>8</v>
          </cell>
          <cell r="H1726">
            <v>5</v>
          </cell>
          <cell r="Q1726">
            <v>223.57999999999998</v>
          </cell>
        </row>
        <row r="1727">
          <cell r="D1727">
            <v>45806</v>
          </cell>
          <cell r="G1727">
            <v>8</v>
          </cell>
          <cell r="H1727">
            <v>5</v>
          </cell>
          <cell r="Q1727">
            <v>322.72000000000003</v>
          </cell>
        </row>
        <row r="1728">
          <cell r="D1728">
            <v>45806</v>
          </cell>
          <cell r="G1728">
            <v>13</v>
          </cell>
          <cell r="H1728">
            <v>5</v>
          </cell>
          <cell r="Q1728">
            <v>482.38999999999993</v>
          </cell>
        </row>
        <row r="1729">
          <cell r="D1729">
            <v>45806</v>
          </cell>
          <cell r="G1729">
            <v>18</v>
          </cell>
          <cell r="H1729" t="str">
            <v>7</v>
          </cell>
          <cell r="Q1729">
            <v>189.73</v>
          </cell>
        </row>
        <row r="1730">
          <cell r="D1730">
            <v>45806</v>
          </cell>
          <cell r="G1730">
            <v>18</v>
          </cell>
          <cell r="H1730" t="str">
            <v>7</v>
          </cell>
          <cell r="Q1730">
            <v>316.07</v>
          </cell>
        </row>
        <row r="1731">
          <cell r="D1731">
            <v>45806</v>
          </cell>
          <cell r="G1731">
            <v>18</v>
          </cell>
          <cell r="H1731" t="str">
            <v>7</v>
          </cell>
          <cell r="Q1731">
            <v>166.09</v>
          </cell>
        </row>
        <row r="1732">
          <cell r="D1732">
            <v>45806</v>
          </cell>
          <cell r="G1732">
            <v>19</v>
          </cell>
          <cell r="H1732" t="str">
            <v>7</v>
          </cell>
          <cell r="Q1732">
            <v>154.49</v>
          </cell>
        </row>
        <row r="1733">
          <cell r="D1733">
            <v>45806</v>
          </cell>
          <cell r="G1733">
            <v>12</v>
          </cell>
          <cell r="H1733">
            <v>5</v>
          </cell>
          <cell r="Q1733">
            <v>453.99</v>
          </cell>
        </row>
        <row r="1734">
          <cell r="D1734">
            <v>45806</v>
          </cell>
          <cell r="G1734">
            <v>14</v>
          </cell>
          <cell r="H1734">
            <v>5</v>
          </cell>
          <cell r="Q1734">
            <v>103.81</v>
          </cell>
        </row>
        <row r="1735">
          <cell r="D1735">
            <v>45806</v>
          </cell>
          <cell r="G1735">
            <v>14</v>
          </cell>
          <cell r="H1735">
            <v>5</v>
          </cell>
          <cell r="Q1735">
            <v>394.05999999999995</v>
          </cell>
        </row>
        <row r="1736">
          <cell r="D1736">
            <v>45807</v>
          </cell>
          <cell r="G1736">
            <v>3.5</v>
          </cell>
          <cell r="H1736" t="str">
            <v>5.5-6</v>
          </cell>
          <cell r="Q1736">
            <v>158.09</v>
          </cell>
        </row>
        <row r="1737">
          <cell r="D1737">
            <v>45807</v>
          </cell>
          <cell r="G1737">
            <v>3.5</v>
          </cell>
          <cell r="H1737" t="str">
            <v>5.5-6</v>
          </cell>
          <cell r="Q1737">
            <v>152.82000000000002</v>
          </cell>
        </row>
        <row r="1738">
          <cell r="D1738">
            <v>45807</v>
          </cell>
          <cell r="G1738">
            <v>4</v>
          </cell>
          <cell r="H1738" t="str">
            <v>5.5-6</v>
          </cell>
          <cell r="Q1738">
            <v>162.19</v>
          </cell>
        </row>
        <row r="1739">
          <cell r="D1739">
            <v>45807</v>
          </cell>
          <cell r="G1739">
            <v>4</v>
          </cell>
          <cell r="H1739" t="str">
            <v>5.5-6</v>
          </cell>
          <cell r="Q1739">
            <v>153.72999999999999</v>
          </cell>
        </row>
        <row r="1740">
          <cell r="D1740">
            <v>45807</v>
          </cell>
          <cell r="G1740">
            <v>8</v>
          </cell>
          <cell r="H1740">
            <v>5</v>
          </cell>
          <cell r="Q1740">
            <v>314.35000000000002</v>
          </cell>
        </row>
        <row r="1741">
          <cell r="D1741">
            <v>45807</v>
          </cell>
          <cell r="G1741">
            <v>8</v>
          </cell>
          <cell r="H1741">
            <v>5</v>
          </cell>
          <cell r="Q1741">
            <v>137.63999999999999</v>
          </cell>
        </row>
        <row r="1742">
          <cell r="D1742">
            <v>45807</v>
          </cell>
          <cell r="G1742">
            <v>7</v>
          </cell>
          <cell r="H1742">
            <v>5</v>
          </cell>
          <cell r="Q1742">
            <v>143.61999999999998</v>
          </cell>
        </row>
        <row r="1743">
          <cell r="D1743">
            <v>45807</v>
          </cell>
          <cell r="G1743">
            <v>19</v>
          </cell>
          <cell r="H1743" t="str">
            <v>7</v>
          </cell>
          <cell r="Q1743">
            <v>86.26</v>
          </cell>
        </row>
        <row r="1744">
          <cell r="D1744">
            <v>45807</v>
          </cell>
          <cell r="G1744">
            <v>6.5</v>
          </cell>
          <cell r="H1744" t="str">
            <v>6-6.5</v>
          </cell>
          <cell r="Q1744">
            <v>322.62999999999994</v>
          </cell>
        </row>
        <row r="1745">
          <cell r="D1745">
            <v>45807</v>
          </cell>
          <cell r="G1745">
            <v>6.5</v>
          </cell>
          <cell r="H1745" t="str">
            <v>6-6.5</v>
          </cell>
          <cell r="Q1745">
            <v>214.79000000000002</v>
          </cell>
        </row>
        <row r="1746">
          <cell r="D1746">
            <v>45807</v>
          </cell>
          <cell r="G1746">
            <v>6.5</v>
          </cell>
          <cell r="H1746" t="str">
            <v>6-6.5</v>
          </cell>
          <cell r="Q1746">
            <v>49.4</v>
          </cell>
        </row>
        <row r="1747">
          <cell r="D1747">
            <v>45807</v>
          </cell>
          <cell r="G1747">
            <v>16.2</v>
          </cell>
          <cell r="H1747" t="str">
            <v>-</v>
          </cell>
          <cell r="Q1747">
            <v>605.34999999999991</v>
          </cell>
        </row>
        <row r="1748">
          <cell r="D1748">
            <v>45807</v>
          </cell>
          <cell r="G1748">
            <v>10</v>
          </cell>
          <cell r="H1748">
            <v>8</v>
          </cell>
          <cell r="Q1748">
            <v>25.8</v>
          </cell>
        </row>
        <row r="1749">
          <cell r="D1749">
            <v>45807</v>
          </cell>
          <cell r="G1749">
            <v>10</v>
          </cell>
          <cell r="H1749">
            <v>5</v>
          </cell>
          <cell r="Q1749">
            <v>367.58000000000004</v>
          </cell>
        </row>
        <row r="1750">
          <cell r="D1750">
            <v>45807</v>
          </cell>
          <cell r="G1750">
            <v>10</v>
          </cell>
          <cell r="H1750">
            <v>5</v>
          </cell>
          <cell r="Q1750">
            <v>160.6</v>
          </cell>
        </row>
        <row r="1751">
          <cell r="D1751">
            <v>45807</v>
          </cell>
          <cell r="G1751">
            <v>13</v>
          </cell>
          <cell r="H1751">
            <v>5</v>
          </cell>
          <cell r="Q1751">
            <v>109.59</v>
          </cell>
        </row>
        <row r="1752">
          <cell r="D1752">
            <v>45807</v>
          </cell>
          <cell r="G1752">
            <v>14</v>
          </cell>
          <cell r="H1752">
            <v>5</v>
          </cell>
          <cell r="Q1752">
            <v>116.53</v>
          </cell>
        </row>
        <row r="1753">
          <cell r="D1753">
            <v>45808</v>
          </cell>
          <cell r="G1753">
            <v>3.5</v>
          </cell>
          <cell r="H1753" t="str">
            <v>5.5-6</v>
          </cell>
          <cell r="Q1753">
            <v>28.66</v>
          </cell>
        </row>
        <row r="1754">
          <cell r="D1754">
            <v>45808</v>
          </cell>
          <cell r="G1754">
            <v>3</v>
          </cell>
          <cell r="H1754" t="str">
            <v>5.5-6</v>
          </cell>
          <cell r="Q1754">
            <v>112.94999999999999</v>
          </cell>
        </row>
        <row r="1755">
          <cell r="D1755">
            <v>45808</v>
          </cell>
          <cell r="G1755">
            <v>3</v>
          </cell>
          <cell r="H1755" t="str">
            <v>5.5-6</v>
          </cell>
          <cell r="Q1755">
            <v>154.42000000000004</v>
          </cell>
        </row>
        <row r="1756">
          <cell r="D1756">
            <v>45808</v>
          </cell>
          <cell r="G1756">
            <v>4</v>
          </cell>
          <cell r="H1756" t="str">
            <v>5.5-6</v>
          </cell>
          <cell r="Q1756">
            <v>139.22999999999999</v>
          </cell>
        </row>
        <row r="1757">
          <cell r="D1757">
            <v>45808</v>
          </cell>
          <cell r="G1757">
            <v>4</v>
          </cell>
          <cell r="H1757" t="str">
            <v>5.5-6</v>
          </cell>
          <cell r="Q1757">
            <v>159.82999999999998</v>
          </cell>
        </row>
        <row r="1758">
          <cell r="D1758">
            <v>45808</v>
          </cell>
          <cell r="G1758">
            <v>7</v>
          </cell>
          <cell r="H1758">
            <v>5</v>
          </cell>
          <cell r="Q1758">
            <v>274.49</v>
          </cell>
        </row>
        <row r="1759">
          <cell r="D1759">
            <v>45808</v>
          </cell>
          <cell r="G1759">
            <v>7</v>
          </cell>
          <cell r="H1759">
            <v>5</v>
          </cell>
          <cell r="Q1759">
            <v>293.83000000000004</v>
          </cell>
        </row>
        <row r="1760">
          <cell r="D1760">
            <v>45808</v>
          </cell>
          <cell r="G1760">
            <v>16.2</v>
          </cell>
          <cell r="H1760" t="str">
            <v>-</v>
          </cell>
          <cell r="Q1760">
            <v>579.72</v>
          </cell>
        </row>
        <row r="1761">
          <cell r="D1761">
            <v>45808</v>
          </cell>
          <cell r="G1761">
            <v>16</v>
          </cell>
          <cell r="H1761">
            <v>6.5</v>
          </cell>
          <cell r="Q1761">
            <v>314.85999999999996</v>
          </cell>
        </row>
        <row r="1762">
          <cell r="D1762">
            <v>45808</v>
          </cell>
          <cell r="G1762">
            <v>17</v>
          </cell>
          <cell r="H1762">
            <v>6.5</v>
          </cell>
          <cell r="Q1762">
            <v>259.38</v>
          </cell>
        </row>
        <row r="1763">
          <cell r="D1763">
            <v>45808</v>
          </cell>
          <cell r="G1763">
            <v>14</v>
          </cell>
          <cell r="H1763">
            <v>5</v>
          </cell>
          <cell r="Q1763">
            <v>471.16</v>
          </cell>
        </row>
        <row r="1764">
          <cell r="D1764">
            <v>45808</v>
          </cell>
          <cell r="G1764">
            <v>13</v>
          </cell>
          <cell r="H1764">
            <v>5</v>
          </cell>
          <cell r="Q1764">
            <v>25.57</v>
          </cell>
        </row>
        <row r="1765">
          <cell r="D1765">
            <v>45808</v>
          </cell>
          <cell r="G1765">
            <v>13</v>
          </cell>
          <cell r="H1765">
            <v>5</v>
          </cell>
          <cell r="Q1765">
            <v>104.00999999999999</v>
          </cell>
        </row>
        <row r="1766">
          <cell r="D1766">
            <v>45809</v>
          </cell>
          <cell r="G1766">
            <v>3</v>
          </cell>
          <cell r="H1766" t="str">
            <v>5.5-6</v>
          </cell>
          <cell r="Q1766">
            <v>153.5</v>
          </cell>
        </row>
        <row r="1767">
          <cell r="D1767">
            <v>45809</v>
          </cell>
          <cell r="G1767">
            <v>3</v>
          </cell>
          <cell r="H1767" t="str">
            <v>5.5-6</v>
          </cell>
          <cell r="Q1767">
            <v>160.47</v>
          </cell>
        </row>
        <row r="1768">
          <cell r="D1768">
            <v>45809</v>
          </cell>
          <cell r="G1768">
            <v>5</v>
          </cell>
          <cell r="H1768" t="str">
            <v>5.5-6</v>
          </cell>
          <cell r="Q1768">
            <v>171.10000000000002</v>
          </cell>
        </row>
        <row r="1769">
          <cell r="D1769">
            <v>45809</v>
          </cell>
          <cell r="G1769">
            <v>5</v>
          </cell>
          <cell r="H1769" t="str">
            <v>5.5-6</v>
          </cell>
          <cell r="Q1769">
            <v>181.62</v>
          </cell>
        </row>
        <row r="1770">
          <cell r="D1770">
            <v>45809</v>
          </cell>
          <cell r="G1770">
            <v>7</v>
          </cell>
          <cell r="H1770">
            <v>5</v>
          </cell>
          <cell r="Q1770">
            <v>249.53000000000003</v>
          </cell>
        </row>
        <row r="1771">
          <cell r="D1771">
            <v>45809</v>
          </cell>
          <cell r="G1771">
            <v>7</v>
          </cell>
          <cell r="H1771">
            <v>5</v>
          </cell>
          <cell r="Q1771">
            <v>244.18999999999994</v>
          </cell>
        </row>
        <row r="1772">
          <cell r="D1772">
            <v>45809</v>
          </cell>
          <cell r="G1772">
            <v>17</v>
          </cell>
          <cell r="H1772">
            <v>6.5</v>
          </cell>
          <cell r="Q1772">
            <v>172.1</v>
          </cell>
        </row>
        <row r="1773">
          <cell r="D1773">
            <v>45809</v>
          </cell>
          <cell r="G1773">
            <v>15</v>
          </cell>
          <cell r="H1773">
            <v>5</v>
          </cell>
          <cell r="Q1773">
            <v>205.09</v>
          </cell>
        </row>
        <row r="1774">
          <cell r="D1774">
            <v>45809</v>
          </cell>
          <cell r="G1774">
            <v>15</v>
          </cell>
          <cell r="H1774">
            <v>6.5</v>
          </cell>
          <cell r="Q1774">
            <v>233.42999999999998</v>
          </cell>
        </row>
        <row r="1775">
          <cell r="D1775">
            <v>45809</v>
          </cell>
          <cell r="G1775">
            <v>15</v>
          </cell>
          <cell r="H1775">
            <v>6.5</v>
          </cell>
          <cell r="Q1775">
            <v>454.55999999999995</v>
          </cell>
        </row>
        <row r="1776">
          <cell r="D1776">
            <v>45809</v>
          </cell>
          <cell r="G1776">
            <v>15</v>
          </cell>
          <cell r="H1776" t="str">
            <v>8-8.5</v>
          </cell>
          <cell r="Q1776">
            <v>150.94</v>
          </cell>
        </row>
        <row r="1777">
          <cell r="D1777">
            <v>45809</v>
          </cell>
          <cell r="G1777">
            <v>13</v>
          </cell>
          <cell r="H1777">
            <v>5</v>
          </cell>
          <cell r="Q1777">
            <v>487.07999999999993</v>
          </cell>
        </row>
        <row r="1778">
          <cell r="D1778">
            <v>45809</v>
          </cell>
          <cell r="G1778">
            <v>13</v>
          </cell>
          <cell r="H1778">
            <v>5</v>
          </cell>
          <cell r="Q1778">
            <v>117.77</v>
          </cell>
        </row>
        <row r="1779">
          <cell r="D1779">
            <v>45809</v>
          </cell>
          <cell r="G1779">
            <v>12</v>
          </cell>
          <cell r="H1779">
            <v>5</v>
          </cell>
          <cell r="Q1779">
            <v>367.6</v>
          </cell>
        </row>
        <row r="1780">
          <cell r="D1780">
            <v>45810</v>
          </cell>
          <cell r="G1780">
            <v>3</v>
          </cell>
          <cell r="H1780" t="str">
            <v>5.5-6</v>
          </cell>
          <cell r="Q1780">
            <v>35.380000000000003</v>
          </cell>
        </row>
        <row r="1781">
          <cell r="D1781">
            <v>45810</v>
          </cell>
          <cell r="G1781">
            <v>2</v>
          </cell>
          <cell r="H1781" t="str">
            <v>5.5-6</v>
          </cell>
          <cell r="Q1781">
            <v>92.25</v>
          </cell>
        </row>
        <row r="1782">
          <cell r="D1782">
            <v>45810</v>
          </cell>
          <cell r="G1782">
            <v>2</v>
          </cell>
          <cell r="H1782" t="str">
            <v>5.5-6</v>
          </cell>
          <cell r="Q1782">
            <v>100.56</v>
          </cell>
        </row>
        <row r="1783">
          <cell r="D1783">
            <v>45810</v>
          </cell>
          <cell r="G1783">
            <v>4</v>
          </cell>
          <cell r="H1783" t="str">
            <v>5.5-6</v>
          </cell>
          <cell r="Q1783">
            <v>112.02</v>
          </cell>
        </row>
        <row r="1784">
          <cell r="D1784">
            <v>45810</v>
          </cell>
          <cell r="G1784">
            <v>4</v>
          </cell>
          <cell r="H1784" t="str">
            <v>5.5-6</v>
          </cell>
          <cell r="Q1784">
            <v>64.739999999999995</v>
          </cell>
        </row>
        <row r="1785">
          <cell r="D1785">
            <v>45810</v>
          </cell>
          <cell r="G1785">
            <v>7</v>
          </cell>
          <cell r="H1785">
            <v>5</v>
          </cell>
          <cell r="Q1785">
            <v>46.66</v>
          </cell>
        </row>
        <row r="1786">
          <cell r="D1786">
            <v>45810</v>
          </cell>
          <cell r="G1786">
            <v>7</v>
          </cell>
          <cell r="H1786">
            <v>15</v>
          </cell>
          <cell r="Q1786">
            <v>251.51999999999998</v>
          </cell>
        </row>
        <row r="1787">
          <cell r="D1787">
            <v>45810</v>
          </cell>
          <cell r="G1787">
            <v>7</v>
          </cell>
          <cell r="H1787">
            <v>15</v>
          </cell>
          <cell r="Q1787">
            <v>322.06</v>
          </cell>
        </row>
        <row r="1788">
          <cell r="D1788">
            <v>45810</v>
          </cell>
          <cell r="G1788">
            <v>15</v>
          </cell>
          <cell r="H1788">
            <v>6.5</v>
          </cell>
          <cell r="Q1788">
            <v>228.74</v>
          </cell>
        </row>
        <row r="1789">
          <cell r="D1789">
            <v>45810</v>
          </cell>
          <cell r="G1789">
            <v>14</v>
          </cell>
          <cell r="H1789">
            <v>5</v>
          </cell>
          <cell r="Q1789">
            <v>308.28999999999996</v>
          </cell>
        </row>
        <row r="1790">
          <cell r="D1790">
            <v>45810</v>
          </cell>
          <cell r="G1790">
            <v>14</v>
          </cell>
          <cell r="H1790">
            <v>6.5</v>
          </cell>
          <cell r="Q1790">
            <v>56.69</v>
          </cell>
        </row>
        <row r="1791">
          <cell r="D1791">
            <v>45810</v>
          </cell>
          <cell r="G1791">
            <v>14</v>
          </cell>
          <cell r="H1791">
            <v>6.5</v>
          </cell>
          <cell r="Q1791">
            <v>525.80000000000007</v>
          </cell>
        </row>
        <row r="1792">
          <cell r="D1792">
            <v>45810</v>
          </cell>
          <cell r="G1792">
            <v>12</v>
          </cell>
          <cell r="H1792">
            <v>5</v>
          </cell>
          <cell r="Q1792">
            <v>430.9</v>
          </cell>
        </row>
        <row r="1793">
          <cell r="D1793">
            <v>45810</v>
          </cell>
          <cell r="G1793">
            <v>12</v>
          </cell>
          <cell r="H1793">
            <v>5</v>
          </cell>
          <cell r="Q1793">
            <v>502.60999999999996</v>
          </cell>
        </row>
        <row r="1794">
          <cell r="D1794">
            <v>45811</v>
          </cell>
          <cell r="G1794">
            <v>2</v>
          </cell>
          <cell r="H1794" t="str">
            <v>5.5-6</v>
          </cell>
          <cell r="Q1794">
            <v>113</v>
          </cell>
        </row>
        <row r="1795">
          <cell r="D1795">
            <v>45811</v>
          </cell>
          <cell r="G1795">
            <v>2</v>
          </cell>
          <cell r="H1795" t="str">
            <v>5.5-6</v>
          </cell>
          <cell r="Q1795">
            <v>95.49</v>
          </cell>
        </row>
        <row r="1796">
          <cell r="D1796">
            <v>45811</v>
          </cell>
          <cell r="G1796">
            <v>4</v>
          </cell>
          <cell r="H1796" t="str">
            <v>5.5-6</v>
          </cell>
          <cell r="Q1796">
            <v>259.06</v>
          </cell>
        </row>
        <row r="1797">
          <cell r="D1797">
            <v>45811</v>
          </cell>
          <cell r="G1797">
            <v>4</v>
          </cell>
          <cell r="H1797" t="str">
            <v>5.5-6</v>
          </cell>
          <cell r="Q1797">
            <v>166.47</v>
          </cell>
        </row>
        <row r="1798">
          <cell r="D1798">
            <v>45811</v>
          </cell>
          <cell r="G1798">
            <v>7</v>
          </cell>
          <cell r="H1798">
            <v>5</v>
          </cell>
          <cell r="Q1798">
            <v>294.40999999999997</v>
          </cell>
        </row>
        <row r="1799">
          <cell r="D1799">
            <v>45811</v>
          </cell>
          <cell r="G1799">
            <v>7</v>
          </cell>
          <cell r="H1799">
            <v>5</v>
          </cell>
          <cell r="Q1799">
            <v>268.08</v>
          </cell>
        </row>
        <row r="1800">
          <cell r="D1800">
            <v>45811</v>
          </cell>
          <cell r="G1800">
            <v>20</v>
          </cell>
          <cell r="H1800" t="str">
            <v>5-5.5</v>
          </cell>
          <cell r="Q1800">
            <v>633.67999999999995</v>
          </cell>
        </row>
        <row r="1801">
          <cell r="D1801">
            <v>45811</v>
          </cell>
          <cell r="G1801" t="str">
            <v>18" شیٹ</v>
          </cell>
          <cell r="H1801" t="str">
            <v>4-4.5/8-9</v>
          </cell>
          <cell r="Q1801">
            <v>620.09</v>
          </cell>
        </row>
        <row r="1802">
          <cell r="D1802">
            <v>45811</v>
          </cell>
          <cell r="G1802" t="str">
            <v>22" شیٹ</v>
          </cell>
          <cell r="H1802" t="str">
            <v>4-4.5/8-9</v>
          </cell>
          <cell r="Q1802">
            <v>48.589999999999996</v>
          </cell>
        </row>
        <row r="1803">
          <cell r="D1803">
            <v>45811</v>
          </cell>
          <cell r="G1803">
            <v>12</v>
          </cell>
          <cell r="H1803">
            <v>5</v>
          </cell>
          <cell r="Q1803">
            <v>103.38</v>
          </cell>
        </row>
        <row r="1804">
          <cell r="D1804">
            <v>45811</v>
          </cell>
          <cell r="G1804">
            <v>9</v>
          </cell>
          <cell r="H1804">
            <v>4.5</v>
          </cell>
          <cell r="Q1804">
            <v>158.22</v>
          </cell>
        </row>
        <row r="1805">
          <cell r="D1805">
            <v>45811</v>
          </cell>
          <cell r="G1805">
            <v>11</v>
          </cell>
          <cell r="H1805">
            <v>4.5</v>
          </cell>
          <cell r="Q1805">
            <v>353.53000000000003</v>
          </cell>
        </row>
        <row r="1806">
          <cell r="D1806">
            <v>45811</v>
          </cell>
          <cell r="G1806">
            <v>11</v>
          </cell>
          <cell r="H1806">
            <v>4.5</v>
          </cell>
          <cell r="Q1806">
            <v>67.709999999999994</v>
          </cell>
        </row>
        <row r="1807">
          <cell r="D1807">
            <v>45812</v>
          </cell>
          <cell r="G1807">
            <v>2</v>
          </cell>
          <cell r="H1807" t="str">
            <v>5.5-6</v>
          </cell>
          <cell r="Q1807">
            <v>119.44000000000001</v>
          </cell>
        </row>
        <row r="1808">
          <cell r="D1808">
            <v>45812</v>
          </cell>
          <cell r="G1808">
            <v>2</v>
          </cell>
          <cell r="H1808" t="str">
            <v>5.5-6</v>
          </cell>
          <cell r="Q1808">
            <v>31.699999999999996</v>
          </cell>
        </row>
        <row r="1809">
          <cell r="D1809">
            <v>45812</v>
          </cell>
          <cell r="G1809">
            <v>5</v>
          </cell>
          <cell r="H1809" t="str">
            <v>5.5-6</v>
          </cell>
          <cell r="Q1809">
            <v>128.24</v>
          </cell>
        </row>
        <row r="1810">
          <cell r="D1810">
            <v>45812</v>
          </cell>
          <cell r="G1810">
            <v>4</v>
          </cell>
          <cell r="H1810" t="str">
            <v>5.5-6</v>
          </cell>
          <cell r="Q1810">
            <v>139.43</v>
          </cell>
        </row>
        <row r="1811">
          <cell r="D1811">
            <v>45812</v>
          </cell>
          <cell r="G1811">
            <v>4</v>
          </cell>
          <cell r="H1811" t="str">
            <v>5.5-6</v>
          </cell>
          <cell r="Q1811">
            <v>171.1</v>
          </cell>
        </row>
        <row r="1812">
          <cell r="D1812">
            <v>45812</v>
          </cell>
          <cell r="G1812">
            <v>7</v>
          </cell>
          <cell r="H1812">
            <v>5</v>
          </cell>
          <cell r="Q1812">
            <v>239.86</v>
          </cell>
        </row>
        <row r="1813">
          <cell r="D1813">
            <v>45812</v>
          </cell>
          <cell r="G1813">
            <v>7</v>
          </cell>
          <cell r="H1813">
            <v>5</v>
          </cell>
          <cell r="Q1813">
            <v>236.54</v>
          </cell>
        </row>
        <row r="1814">
          <cell r="D1814">
            <v>45812</v>
          </cell>
          <cell r="G1814">
            <v>22</v>
          </cell>
          <cell r="H1814" t="str">
            <v>5-5.5</v>
          </cell>
          <cell r="Q1814">
            <v>540.29</v>
          </cell>
        </row>
        <row r="1815">
          <cell r="D1815">
            <v>45812</v>
          </cell>
          <cell r="G1815">
            <v>22</v>
          </cell>
          <cell r="H1815" t="str">
            <v>8</v>
          </cell>
          <cell r="Q1815">
            <v>52.28</v>
          </cell>
        </row>
        <row r="1816">
          <cell r="D1816">
            <v>45812</v>
          </cell>
          <cell r="G1816">
            <v>27</v>
          </cell>
          <cell r="H1816">
            <v>6</v>
          </cell>
          <cell r="Q1816">
            <v>218.09</v>
          </cell>
        </row>
        <row r="1817">
          <cell r="D1817">
            <v>45812</v>
          </cell>
          <cell r="G1817" t="str">
            <v>28 شیٹ</v>
          </cell>
          <cell r="H1817" t="str">
            <v>4-4.5/8-9</v>
          </cell>
          <cell r="Q1817">
            <v>88.83</v>
          </cell>
        </row>
        <row r="1818">
          <cell r="D1818">
            <v>45812</v>
          </cell>
          <cell r="G1818">
            <v>28</v>
          </cell>
          <cell r="H1818" t="str">
            <v>5-5.5</v>
          </cell>
          <cell r="Q1818">
            <v>175.69000000000003</v>
          </cell>
        </row>
        <row r="1819">
          <cell r="D1819">
            <v>45812</v>
          </cell>
          <cell r="G1819" t="str">
            <v>28 شیٹ</v>
          </cell>
          <cell r="H1819" t="str">
            <v>4-4.5/8-9</v>
          </cell>
          <cell r="Q1819">
            <v>86.500000000000014</v>
          </cell>
        </row>
        <row r="1820">
          <cell r="D1820">
            <v>45812</v>
          </cell>
          <cell r="G1820">
            <v>11</v>
          </cell>
          <cell r="H1820">
            <v>5</v>
          </cell>
          <cell r="Q1820">
            <v>241.29000000000002</v>
          </cell>
        </row>
        <row r="1821">
          <cell r="D1821">
            <v>45812</v>
          </cell>
          <cell r="G1821">
            <v>13</v>
          </cell>
          <cell r="H1821">
            <v>5</v>
          </cell>
          <cell r="Q1821">
            <v>126.32000000000001</v>
          </cell>
        </row>
        <row r="1822">
          <cell r="D1822">
            <v>45812</v>
          </cell>
          <cell r="G1822">
            <v>13</v>
          </cell>
          <cell r="H1822" t="str">
            <v>8</v>
          </cell>
          <cell r="Q1822">
            <v>93.75</v>
          </cell>
        </row>
        <row r="1823">
          <cell r="D1823">
            <v>45812</v>
          </cell>
          <cell r="G1823">
            <v>13</v>
          </cell>
          <cell r="H1823" t="str">
            <v>8</v>
          </cell>
          <cell r="Q1823">
            <v>496.81</v>
          </cell>
        </row>
        <row r="1824">
          <cell r="D1824">
            <v>45813</v>
          </cell>
          <cell r="G1824">
            <v>5</v>
          </cell>
          <cell r="H1824" t="str">
            <v>5.5-6</v>
          </cell>
          <cell r="Q1824">
            <v>165.76999999999998</v>
          </cell>
        </row>
        <row r="1825">
          <cell r="D1825">
            <v>45813</v>
          </cell>
          <cell r="G1825">
            <v>5</v>
          </cell>
          <cell r="H1825" t="str">
            <v>5.5-6</v>
          </cell>
          <cell r="Q1825">
            <v>106.82000000000001</v>
          </cell>
        </row>
        <row r="1826">
          <cell r="D1826">
            <v>45813</v>
          </cell>
          <cell r="G1826">
            <v>4</v>
          </cell>
          <cell r="H1826" t="str">
            <v>5.5-6</v>
          </cell>
          <cell r="Q1826">
            <v>132.4</v>
          </cell>
        </row>
        <row r="1827">
          <cell r="D1827">
            <v>45813</v>
          </cell>
          <cell r="G1827">
            <v>4</v>
          </cell>
          <cell r="H1827" t="str">
            <v>5.5-6</v>
          </cell>
          <cell r="Q1827">
            <v>108.30000000000003</v>
          </cell>
        </row>
        <row r="1828">
          <cell r="D1828">
            <v>45813</v>
          </cell>
          <cell r="G1828">
            <v>7</v>
          </cell>
          <cell r="H1828">
            <v>5</v>
          </cell>
          <cell r="Q1828">
            <v>144.04999999999998</v>
          </cell>
        </row>
        <row r="1829">
          <cell r="D1829">
            <v>45813</v>
          </cell>
          <cell r="G1829">
            <v>12</v>
          </cell>
          <cell r="H1829">
            <v>5</v>
          </cell>
          <cell r="Q1829">
            <v>145.29</v>
          </cell>
        </row>
        <row r="1830">
          <cell r="D1830">
            <v>45813</v>
          </cell>
          <cell r="G1830">
            <v>12</v>
          </cell>
          <cell r="H1830">
            <v>5</v>
          </cell>
          <cell r="Q1830">
            <v>149.10999999999999</v>
          </cell>
        </row>
        <row r="1831">
          <cell r="D1831">
            <v>45813</v>
          </cell>
          <cell r="G1831" t="str">
            <v>28 شیٹ</v>
          </cell>
          <cell r="H1831" t="str">
            <v>4-4.5/8-9</v>
          </cell>
          <cell r="Q1831">
            <v>108.45</v>
          </cell>
        </row>
        <row r="1832">
          <cell r="D1832">
            <v>45813</v>
          </cell>
          <cell r="G1832">
            <v>28</v>
          </cell>
          <cell r="H1832" t="str">
            <v>5-5.5</v>
          </cell>
          <cell r="Q1832">
            <v>492.59</v>
          </cell>
        </row>
        <row r="1833">
          <cell r="D1833">
            <v>45813</v>
          </cell>
          <cell r="G1833">
            <v>28</v>
          </cell>
          <cell r="H1833" t="str">
            <v>5-5.5</v>
          </cell>
          <cell r="Q1833">
            <v>407.08</v>
          </cell>
        </row>
        <row r="1834">
          <cell r="D1834">
            <v>45813</v>
          </cell>
          <cell r="G1834">
            <v>13</v>
          </cell>
          <cell r="H1834">
            <v>5</v>
          </cell>
          <cell r="Q1834">
            <v>313.67</v>
          </cell>
        </row>
        <row r="1835">
          <cell r="D1835">
            <v>45813</v>
          </cell>
          <cell r="G1835">
            <v>18</v>
          </cell>
          <cell r="H1835" t="str">
            <v>5-5.5</v>
          </cell>
          <cell r="Q1835">
            <v>178.29999999999998</v>
          </cell>
        </row>
        <row r="1836">
          <cell r="D1836">
            <v>45813</v>
          </cell>
          <cell r="G1836">
            <v>18</v>
          </cell>
          <cell r="H1836" t="str">
            <v>5-5.5</v>
          </cell>
          <cell r="Q1836">
            <v>434.92999999999995</v>
          </cell>
        </row>
        <row r="1837">
          <cell r="D1837">
            <v>45820</v>
          </cell>
          <cell r="G1837">
            <v>5</v>
          </cell>
          <cell r="H1837" t="str">
            <v>5.5-6</v>
          </cell>
          <cell r="Q1837">
            <v>113.72</v>
          </cell>
        </row>
        <row r="1838">
          <cell r="D1838">
            <v>45820</v>
          </cell>
          <cell r="G1838">
            <v>5</v>
          </cell>
          <cell r="H1838" t="str">
            <v>5.5-6</v>
          </cell>
          <cell r="Q1838">
            <v>185.82999999999998</v>
          </cell>
        </row>
        <row r="1839">
          <cell r="D1839">
            <v>45820</v>
          </cell>
          <cell r="G1839">
            <v>4</v>
          </cell>
          <cell r="H1839" t="str">
            <v>5.5-6</v>
          </cell>
          <cell r="Q1839">
            <v>112.33</v>
          </cell>
        </row>
        <row r="1840">
          <cell r="D1840">
            <v>45820</v>
          </cell>
          <cell r="G1840">
            <v>4</v>
          </cell>
          <cell r="H1840" t="str">
            <v>5.5-6</v>
          </cell>
          <cell r="Q1840">
            <v>124.01</v>
          </cell>
        </row>
        <row r="1841">
          <cell r="D1841">
            <v>45820</v>
          </cell>
          <cell r="G1841">
            <v>7</v>
          </cell>
          <cell r="H1841">
            <v>5</v>
          </cell>
          <cell r="Q1841">
            <v>174.17999999999998</v>
          </cell>
        </row>
        <row r="1842">
          <cell r="D1842">
            <v>45820</v>
          </cell>
          <cell r="G1842">
            <v>7</v>
          </cell>
          <cell r="H1842">
            <v>5</v>
          </cell>
          <cell r="Q1842">
            <v>285.97000000000003</v>
          </cell>
        </row>
        <row r="1843">
          <cell r="D1843">
            <v>45820</v>
          </cell>
          <cell r="G1843">
            <v>16</v>
          </cell>
          <cell r="H1843" t="str">
            <v>5-5.5</v>
          </cell>
          <cell r="Q1843">
            <v>415.52</v>
          </cell>
        </row>
        <row r="1844">
          <cell r="D1844">
            <v>45820</v>
          </cell>
          <cell r="G1844">
            <v>16</v>
          </cell>
          <cell r="H1844" t="str">
            <v>5-5.5</v>
          </cell>
          <cell r="Q1844">
            <v>601.88</v>
          </cell>
        </row>
        <row r="1845">
          <cell r="D1845">
            <v>45820</v>
          </cell>
          <cell r="G1845">
            <v>12</v>
          </cell>
          <cell r="H1845">
            <v>5</v>
          </cell>
          <cell r="Q1845">
            <v>340.27000000000004</v>
          </cell>
        </row>
        <row r="1846">
          <cell r="D1846">
            <v>45820</v>
          </cell>
          <cell r="G1846">
            <v>12</v>
          </cell>
          <cell r="H1846">
            <v>5</v>
          </cell>
          <cell r="Q1846">
            <v>488.28000000000003</v>
          </cell>
        </row>
        <row r="1847">
          <cell r="D1847">
            <v>45821</v>
          </cell>
          <cell r="G1847">
            <v>5</v>
          </cell>
          <cell r="H1847" t="str">
            <v>5.5-6</v>
          </cell>
          <cell r="Q1847">
            <v>50.8</v>
          </cell>
        </row>
        <row r="1848">
          <cell r="D1848">
            <v>45821</v>
          </cell>
          <cell r="G1848">
            <v>3</v>
          </cell>
          <cell r="H1848" t="str">
            <v>5.5-6</v>
          </cell>
          <cell r="Q1848">
            <v>79.16</v>
          </cell>
        </row>
        <row r="1849">
          <cell r="D1849">
            <v>45821</v>
          </cell>
          <cell r="G1849">
            <v>3</v>
          </cell>
          <cell r="H1849" t="str">
            <v>5.5-6</v>
          </cell>
          <cell r="Q1849">
            <v>146.81</v>
          </cell>
        </row>
        <row r="1850">
          <cell r="D1850">
            <v>45821</v>
          </cell>
          <cell r="G1850">
            <v>4</v>
          </cell>
          <cell r="H1850" t="str">
            <v>5.5-6</v>
          </cell>
          <cell r="Q1850">
            <v>151.21</v>
          </cell>
        </row>
        <row r="1851">
          <cell r="D1851">
            <v>45821</v>
          </cell>
          <cell r="G1851">
            <v>4</v>
          </cell>
          <cell r="H1851" t="str">
            <v>5.5-6</v>
          </cell>
          <cell r="Q1851">
            <v>131.12</v>
          </cell>
        </row>
        <row r="1852">
          <cell r="D1852">
            <v>45821</v>
          </cell>
          <cell r="G1852">
            <v>7</v>
          </cell>
          <cell r="H1852">
            <v>5</v>
          </cell>
          <cell r="Q1852">
            <v>292.81</v>
          </cell>
        </row>
        <row r="1853">
          <cell r="D1853">
            <v>45821</v>
          </cell>
          <cell r="G1853">
            <v>7</v>
          </cell>
          <cell r="H1853">
            <v>5</v>
          </cell>
          <cell r="Q1853">
            <v>265.14</v>
          </cell>
        </row>
        <row r="1854">
          <cell r="D1854">
            <v>45821</v>
          </cell>
          <cell r="G1854">
            <v>16</v>
          </cell>
          <cell r="H1854" t="str">
            <v>5-5.5</v>
          </cell>
          <cell r="Q1854">
            <v>281.09999999999997</v>
          </cell>
        </row>
        <row r="1855">
          <cell r="D1855">
            <v>45821</v>
          </cell>
          <cell r="G1855">
            <v>19</v>
          </cell>
          <cell r="H1855">
            <v>7</v>
          </cell>
          <cell r="Q1855">
            <v>231.08</v>
          </cell>
        </row>
        <row r="1856">
          <cell r="D1856">
            <v>45821</v>
          </cell>
          <cell r="G1856">
            <v>19</v>
          </cell>
          <cell r="H1856">
            <v>7</v>
          </cell>
          <cell r="Q1856">
            <v>143.58000000000001</v>
          </cell>
        </row>
        <row r="1857">
          <cell r="D1857">
            <v>45821</v>
          </cell>
          <cell r="G1857">
            <v>27</v>
          </cell>
          <cell r="H1857">
            <v>6</v>
          </cell>
          <cell r="Q1857">
            <v>110.35999999999999</v>
          </cell>
        </row>
        <row r="1858">
          <cell r="D1858">
            <v>45821</v>
          </cell>
          <cell r="G1858">
            <v>18</v>
          </cell>
          <cell r="H1858">
            <v>5</v>
          </cell>
          <cell r="Q1858">
            <v>359.15999999999997</v>
          </cell>
        </row>
        <row r="1859">
          <cell r="D1859">
            <v>45821</v>
          </cell>
          <cell r="G1859">
            <v>12</v>
          </cell>
          <cell r="H1859">
            <v>5</v>
          </cell>
          <cell r="Q1859">
            <v>437.57999999999993</v>
          </cell>
        </row>
        <row r="1860">
          <cell r="D1860">
            <v>45821</v>
          </cell>
          <cell r="G1860">
            <v>10</v>
          </cell>
          <cell r="H1860">
            <v>5</v>
          </cell>
          <cell r="Q1860">
            <v>43</v>
          </cell>
        </row>
        <row r="1861">
          <cell r="D1861">
            <v>45821</v>
          </cell>
          <cell r="G1861">
            <v>10</v>
          </cell>
          <cell r="H1861">
            <v>5</v>
          </cell>
          <cell r="Q1861">
            <v>494.21999999999997</v>
          </cell>
        </row>
        <row r="1862">
          <cell r="D1862">
            <v>45822</v>
          </cell>
          <cell r="G1862">
            <v>3</v>
          </cell>
          <cell r="H1862" t="str">
            <v>5.5-6</v>
          </cell>
          <cell r="Q1862">
            <v>138.92000000000002</v>
          </cell>
        </row>
        <row r="1863">
          <cell r="D1863">
            <v>45822</v>
          </cell>
          <cell r="G1863">
            <v>3</v>
          </cell>
          <cell r="H1863" t="str">
            <v>5.5-6</v>
          </cell>
          <cell r="Q1863">
            <v>148.38999999999999</v>
          </cell>
        </row>
        <row r="1864">
          <cell r="D1864">
            <v>45822</v>
          </cell>
          <cell r="G1864">
            <v>4</v>
          </cell>
          <cell r="H1864" t="str">
            <v>5.5-6</v>
          </cell>
          <cell r="Q1864">
            <v>125.71999999999998</v>
          </cell>
        </row>
        <row r="1865">
          <cell r="D1865">
            <v>45822</v>
          </cell>
          <cell r="G1865">
            <v>4</v>
          </cell>
          <cell r="H1865" t="str">
            <v>5.5-6</v>
          </cell>
          <cell r="Q1865">
            <v>142.64999999999998</v>
          </cell>
        </row>
        <row r="1866">
          <cell r="D1866">
            <v>45822</v>
          </cell>
          <cell r="G1866">
            <v>7</v>
          </cell>
          <cell r="H1866">
            <v>5</v>
          </cell>
          <cell r="Q1866">
            <v>99.7</v>
          </cell>
        </row>
        <row r="1867">
          <cell r="D1867">
            <v>45822</v>
          </cell>
          <cell r="G1867">
            <v>8</v>
          </cell>
          <cell r="H1867">
            <v>5</v>
          </cell>
          <cell r="Q1867">
            <v>141.51</v>
          </cell>
        </row>
        <row r="1868">
          <cell r="D1868">
            <v>45822</v>
          </cell>
          <cell r="G1868">
            <v>8</v>
          </cell>
          <cell r="H1868">
            <v>5</v>
          </cell>
          <cell r="Q1868">
            <v>272.83</v>
          </cell>
        </row>
        <row r="1869">
          <cell r="D1869">
            <v>45822</v>
          </cell>
          <cell r="G1869">
            <v>18</v>
          </cell>
          <cell r="H1869" t="str">
            <v>5-5.5</v>
          </cell>
          <cell r="Q1869">
            <v>570.17999999999995</v>
          </cell>
        </row>
        <row r="1870">
          <cell r="D1870">
            <v>45822</v>
          </cell>
          <cell r="G1870">
            <v>18</v>
          </cell>
          <cell r="H1870" t="str">
            <v>5-5.5</v>
          </cell>
          <cell r="Q1870">
            <v>301.14</v>
          </cell>
        </row>
        <row r="1871">
          <cell r="D1871">
            <v>45822</v>
          </cell>
          <cell r="G1871">
            <v>18</v>
          </cell>
          <cell r="H1871">
            <v>5</v>
          </cell>
          <cell r="Q1871">
            <v>458.41999999999996</v>
          </cell>
        </row>
        <row r="1872">
          <cell r="D1872">
            <v>45822</v>
          </cell>
          <cell r="G1872">
            <v>10</v>
          </cell>
          <cell r="H1872">
            <v>5</v>
          </cell>
          <cell r="Q1872">
            <v>389.33</v>
          </cell>
        </row>
        <row r="1873">
          <cell r="D1873">
            <v>45822</v>
          </cell>
          <cell r="G1873">
            <v>10</v>
          </cell>
          <cell r="H1873">
            <v>5</v>
          </cell>
          <cell r="Q1873">
            <v>179.46999999999997</v>
          </cell>
        </row>
        <row r="1874">
          <cell r="D1874">
            <v>45822</v>
          </cell>
          <cell r="G1874">
            <v>14</v>
          </cell>
          <cell r="H1874">
            <v>5</v>
          </cell>
          <cell r="Q1874">
            <v>260.51000000000005</v>
          </cell>
        </row>
        <row r="1875">
          <cell r="D1875">
            <v>45823</v>
          </cell>
          <cell r="G1875">
            <v>3</v>
          </cell>
          <cell r="H1875" t="str">
            <v>5.5-6</v>
          </cell>
          <cell r="Q1875">
            <v>101.65</v>
          </cell>
        </row>
        <row r="1876">
          <cell r="D1876">
            <v>45823</v>
          </cell>
          <cell r="G1876">
            <v>2</v>
          </cell>
          <cell r="H1876" t="str">
            <v>5.5-6</v>
          </cell>
          <cell r="Q1876">
            <v>51.96</v>
          </cell>
        </row>
        <row r="1877">
          <cell r="D1877">
            <v>45823</v>
          </cell>
          <cell r="G1877">
            <v>2</v>
          </cell>
          <cell r="H1877" t="str">
            <v>5.5-6</v>
          </cell>
          <cell r="Q1877">
            <v>144.13999999999999</v>
          </cell>
        </row>
        <row r="1878">
          <cell r="D1878">
            <v>45823</v>
          </cell>
          <cell r="G1878">
            <v>4</v>
          </cell>
          <cell r="H1878" t="str">
            <v>5.5-6</v>
          </cell>
          <cell r="Q1878">
            <v>153.23999999999998</v>
          </cell>
        </row>
        <row r="1879">
          <cell r="D1879">
            <v>45823</v>
          </cell>
          <cell r="G1879">
            <v>4</v>
          </cell>
          <cell r="H1879" t="str">
            <v>5.5-6</v>
          </cell>
          <cell r="Q1879">
            <v>149.13</v>
          </cell>
        </row>
        <row r="1880">
          <cell r="D1880">
            <v>45823</v>
          </cell>
          <cell r="G1880">
            <v>8</v>
          </cell>
          <cell r="H1880">
            <v>5</v>
          </cell>
          <cell r="Q1880">
            <v>153.34</v>
          </cell>
        </row>
        <row r="1881">
          <cell r="D1881">
            <v>45823</v>
          </cell>
          <cell r="G1881">
            <v>9</v>
          </cell>
          <cell r="H1881">
            <v>5</v>
          </cell>
          <cell r="Q1881">
            <v>124.08</v>
          </cell>
        </row>
        <row r="1882">
          <cell r="D1882">
            <v>45823</v>
          </cell>
          <cell r="G1882">
            <v>9</v>
          </cell>
          <cell r="H1882">
            <v>5</v>
          </cell>
          <cell r="Q1882">
            <v>233.72</v>
          </cell>
        </row>
        <row r="1883">
          <cell r="D1883">
            <v>45823</v>
          </cell>
          <cell r="G1883">
            <v>18</v>
          </cell>
          <cell r="H1883" t="str">
            <v>6-6.5</v>
          </cell>
          <cell r="Q1883">
            <v>157.04</v>
          </cell>
        </row>
        <row r="1884">
          <cell r="D1884">
            <v>45823</v>
          </cell>
          <cell r="G1884">
            <v>20</v>
          </cell>
          <cell r="H1884">
            <v>4.5</v>
          </cell>
          <cell r="Q1884">
            <v>160.94</v>
          </cell>
        </row>
        <row r="1885">
          <cell r="D1885">
            <v>45823</v>
          </cell>
          <cell r="G1885">
            <v>20</v>
          </cell>
          <cell r="H1885" t="str">
            <v>5-5.5</v>
          </cell>
          <cell r="Q1885">
            <v>334.46999999999997</v>
          </cell>
        </row>
        <row r="1886">
          <cell r="D1886">
            <v>45823</v>
          </cell>
          <cell r="G1886">
            <v>20</v>
          </cell>
          <cell r="H1886" t="str">
            <v>5-5.5</v>
          </cell>
          <cell r="Q1886">
            <v>624.93999999999994</v>
          </cell>
        </row>
        <row r="1887">
          <cell r="D1887">
            <v>45823</v>
          </cell>
          <cell r="G1887">
            <v>14</v>
          </cell>
          <cell r="H1887">
            <v>5</v>
          </cell>
          <cell r="Q1887">
            <v>446.67999999999995</v>
          </cell>
        </row>
        <row r="1888">
          <cell r="D1888">
            <v>45823</v>
          </cell>
          <cell r="G1888">
            <v>14</v>
          </cell>
          <cell r="H1888">
            <v>5</v>
          </cell>
          <cell r="Q1888">
            <v>461.55</v>
          </cell>
        </row>
        <row r="1889">
          <cell r="D1889">
            <v>45823</v>
          </cell>
          <cell r="G1889">
            <v>12</v>
          </cell>
          <cell r="H1889">
            <v>5</v>
          </cell>
          <cell r="Q1889">
            <v>31.76</v>
          </cell>
        </row>
        <row r="1890">
          <cell r="D1890">
            <v>45824</v>
          </cell>
          <cell r="G1890">
            <v>2</v>
          </cell>
          <cell r="H1890" t="str">
            <v>5.5-6</v>
          </cell>
          <cell r="Q1890">
            <v>115.82</v>
          </cell>
        </row>
        <row r="1891">
          <cell r="D1891">
            <v>45824</v>
          </cell>
          <cell r="G1891">
            <v>2</v>
          </cell>
          <cell r="H1891" t="str">
            <v>5.5-6</v>
          </cell>
          <cell r="Q1891">
            <v>122.69</v>
          </cell>
        </row>
        <row r="1892">
          <cell r="D1892">
            <v>45824</v>
          </cell>
          <cell r="G1892">
            <v>4</v>
          </cell>
          <cell r="H1892" t="str">
            <v>5.5-6</v>
          </cell>
          <cell r="Q1892">
            <v>129.48999999999998</v>
          </cell>
        </row>
        <row r="1893">
          <cell r="D1893">
            <v>45824</v>
          </cell>
          <cell r="G1893">
            <v>4</v>
          </cell>
          <cell r="H1893" t="str">
            <v>5.5-6</v>
          </cell>
          <cell r="Q1893">
            <v>129.47000000000003</v>
          </cell>
        </row>
        <row r="1894">
          <cell r="D1894">
            <v>45824</v>
          </cell>
          <cell r="G1894">
            <v>9</v>
          </cell>
          <cell r="H1894">
            <v>4.5</v>
          </cell>
          <cell r="Q1894">
            <v>154.07999999999998</v>
          </cell>
        </row>
        <row r="1895">
          <cell r="D1895">
            <v>45824</v>
          </cell>
          <cell r="G1895">
            <v>7</v>
          </cell>
          <cell r="H1895">
            <v>15</v>
          </cell>
          <cell r="Q1895">
            <v>132.79000000000002</v>
          </cell>
        </row>
        <row r="1896">
          <cell r="D1896">
            <v>45824</v>
          </cell>
          <cell r="G1896">
            <v>7</v>
          </cell>
          <cell r="H1896">
            <v>15</v>
          </cell>
          <cell r="Q1896">
            <v>187.6</v>
          </cell>
        </row>
        <row r="1897">
          <cell r="D1897">
            <v>45824</v>
          </cell>
          <cell r="G1897">
            <v>7</v>
          </cell>
          <cell r="H1897" t="str">
            <v>7.5-8</v>
          </cell>
          <cell r="Q1897">
            <v>73.7</v>
          </cell>
        </row>
        <row r="1898">
          <cell r="D1898">
            <v>45824</v>
          </cell>
          <cell r="G1898">
            <v>20</v>
          </cell>
          <cell r="H1898" t="str">
            <v>5-5.5</v>
          </cell>
          <cell r="Q1898">
            <v>434.56000000000006</v>
          </cell>
        </row>
        <row r="1899">
          <cell r="D1899">
            <v>45824</v>
          </cell>
          <cell r="G1899">
            <v>24</v>
          </cell>
          <cell r="H1899" t="str">
            <v>5-5.5</v>
          </cell>
          <cell r="Q1899">
            <v>197.72</v>
          </cell>
        </row>
        <row r="1900">
          <cell r="D1900">
            <v>45824</v>
          </cell>
          <cell r="G1900">
            <v>24</v>
          </cell>
          <cell r="H1900" t="str">
            <v>5-5.5</v>
          </cell>
          <cell r="Q1900">
            <v>611.15</v>
          </cell>
        </row>
        <row r="1901">
          <cell r="D1901">
            <v>45824</v>
          </cell>
          <cell r="G1901">
            <v>12</v>
          </cell>
          <cell r="H1901">
            <v>4.5</v>
          </cell>
          <cell r="Q1901">
            <v>171.1</v>
          </cell>
        </row>
        <row r="1902">
          <cell r="D1902">
            <v>45824</v>
          </cell>
          <cell r="G1902">
            <v>12</v>
          </cell>
          <cell r="H1902">
            <v>4</v>
          </cell>
          <cell r="Q1902">
            <v>168.23999999999998</v>
          </cell>
        </row>
        <row r="1903">
          <cell r="D1903">
            <v>45824</v>
          </cell>
          <cell r="G1903">
            <v>12</v>
          </cell>
          <cell r="H1903">
            <v>4</v>
          </cell>
          <cell r="Q1903">
            <v>352.26000000000005</v>
          </cell>
        </row>
        <row r="1904">
          <cell r="D1904">
            <v>45825</v>
          </cell>
          <cell r="G1904">
            <v>2</v>
          </cell>
          <cell r="H1904" t="str">
            <v>5.5-6</v>
          </cell>
          <cell r="Q1904">
            <v>91.62</v>
          </cell>
        </row>
        <row r="1905">
          <cell r="D1905">
            <v>45825</v>
          </cell>
          <cell r="G1905">
            <v>3</v>
          </cell>
          <cell r="H1905" t="str">
            <v>5.5-6</v>
          </cell>
          <cell r="Q1905">
            <v>15.849999999999998</v>
          </cell>
        </row>
        <row r="1906">
          <cell r="D1906">
            <v>45825</v>
          </cell>
          <cell r="G1906">
            <v>4</v>
          </cell>
          <cell r="H1906" t="str">
            <v>5.5-6</v>
          </cell>
          <cell r="Q1906">
            <v>94.819999999999979</v>
          </cell>
        </row>
        <row r="1907">
          <cell r="D1907">
            <v>45825</v>
          </cell>
          <cell r="G1907">
            <v>4.5</v>
          </cell>
          <cell r="H1907" t="str">
            <v>5.5-6</v>
          </cell>
          <cell r="Q1907">
            <v>32.110000000000007</v>
          </cell>
        </row>
        <row r="1908">
          <cell r="D1908">
            <v>45825</v>
          </cell>
          <cell r="G1908">
            <v>7</v>
          </cell>
          <cell r="H1908" t="str">
            <v>7.5-8</v>
          </cell>
          <cell r="Q1908">
            <v>30.85</v>
          </cell>
        </row>
        <row r="1909">
          <cell r="D1909">
            <v>45825</v>
          </cell>
          <cell r="G1909">
            <v>6</v>
          </cell>
          <cell r="H1909">
            <v>5</v>
          </cell>
          <cell r="Q1909">
            <v>153.55000000000001</v>
          </cell>
        </row>
        <row r="1910">
          <cell r="D1910">
            <v>45825</v>
          </cell>
          <cell r="G1910">
            <v>6</v>
          </cell>
          <cell r="H1910">
            <v>5</v>
          </cell>
          <cell r="Q1910">
            <v>223.84000000000003</v>
          </cell>
        </row>
        <row r="1911">
          <cell r="D1911">
            <v>45825</v>
          </cell>
          <cell r="G1911">
            <v>24</v>
          </cell>
          <cell r="H1911" t="str">
            <v>5-5.5</v>
          </cell>
          <cell r="Q1911">
            <v>450.34</v>
          </cell>
        </row>
        <row r="1912">
          <cell r="D1912">
            <v>45825</v>
          </cell>
          <cell r="G1912">
            <v>18</v>
          </cell>
          <cell r="H1912">
            <v>5</v>
          </cell>
          <cell r="Q1912">
            <v>203.72</v>
          </cell>
        </row>
        <row r="1913">
          <cell r="D1913">
            <v>45825</v>
          </cell>
          <cell r="G1913">
            <v>18</v>
          </cell>
          <cell r="H1913">
            <v>5</v>
          </cell>
          <cell r="Q1913">
            <v>578.91000000000008</v>
          </cell>
        </row>
        <row r="1914">
          <cell r="D1914">
            <v>45825</v>
          </cell>
          <cell r="G1914">
            <v>12</v>
          </cell>
          <cell r="H1914">
            <v>5</v>
          </cell>
          <cell r="Q1914">
            <v>108.68</v>
          </cell>
        </row>
        <row r="1915">
          <cell r="D1915">
            <v>45825</v>
          </cell>
          <cell r="G1915">
            <v>9</v>
          </cell>
          <cell r="H1915">
            <v>5</v>
          </cell>
          <cell r="Q1915">
            <v>233.22000000000003</v>
          </cell>
        </row>
        <row r="1916">
          <cell r="D1916">
            <v>45825</v>
          </cell>
          <cell r="G1916">
            <v>9</v>
          </cell>
          <cell r="H1916">
            <v>5</v>
          </cell>
          <cell r="Q1916">
            <v>304.21999999999997</v>
          </cell>
        </row>
        <row r="1917">
          <cell r="D1917">
            <v>45826</v>
          </cell>
          <cell r="G1917">
            <v>3</v>
          </cell>
          <cell r="H1917" t="str">
            <v>5.5-6</v>
          </cell>
          <cell r="Q1917">
            <v>123.70000000000002</v>
          </cell>
        </row>
        <row r="1918">
          <cell r="D1918">
            <v>45826</v>
          </cell>
          <cell r="G1918">
            <v>3</v>
          </cell>
          <cell r="H1918" t="str">
            <v>5.5-6</v>
          </cell>
          <cell r="Q1918">
            <v>114.30999999999999</v>
          </cell>
        </row>
        <row r="1919">
          <cell r="D1919">
            <v>45826</v>
          </cell>
          <cell r="G1919">
            <v>4.5</v>
          </cell>
          <cell r="H1919" t="str">
            <v>5.5-6</v>
          </cell>
          <cell r="Q1919">
            <v>86.36999999999999</v>
          </cell>
        </row>
        <row r="1920">
          <cell r="D1920">
            <v>45826</v>
          </cell>
          <cell r="G1920">
            <v>4</v>
          </cell>
          <cell r="H1920" t="str">
            <v>5.5-6</v>
          </cell>
          <cell r="Q1920">
            <v>129.17000000000002</v>
          </cell>
        </row>
        <row r="1921">
          <cell r="D1921">
            <v>45826</v>
          </cell>
          <cell r="G1921">
            <v>3.5</v>
          </cell>
          <cell r="H1921" t="str">
            <v>5.5-6</v>
          </cell>
          <cell r="Q1921">
            <v>14.3</v>
          </cell>
        </row>
        <row r="1922">
          <cell r="D1922">
            <v>45826</v>
          </cell>
          <cell r="G1922">
            <v>6</v>
          </cell>
          <cell r="H1922">
            <v>5</v>
          </cell>
          <cell r="Q1922">
            <v>183.95000000000002</v>
          </cell>
        </row>
        <row r="1923">
          <cell r="D1923">
            <v>45826</v>
          </cell>
          <cell r="G1923">
            <v>7</v>
          </cell>
          <cell r="H1923">
            <v>5</v>
          </cell>
          <cell r="Q1923">
            <v>54.800000000000004</v>
          </cell>
        </row>
        <row r="1924">
          <cell r="D1924">
            <v>45826</v>
          </cell>
          <cell r="G1924">
            <v>22</v>
          </cell>
          <cell r="H1924">
            <v>5</v>
          </cell>
          <cell r="Q1924">
            <v>317.27999999999997</v>
          </cell>
        </row>
        <row r="1925">
          <cell r="D1925">
            <v>45826</v>
          </cell>
          <cell r="G1925">
            <v>16</v>
          </cell>
          <cell r="H1925">
            <v>5</v>
          </cell>
          <cell r="Q1925">
            <v>274.48</v>
          </cell>
        </row>
        <row r="1926">
          <cell r="D1926">
            <v>45826</v>
          </cell>
          <cell r="G1926">
            <v>16</v>
          </cell>
          <cell r="H1926">
            <v>5</v>
          </cell>
          <cell r="Q1926">
            <v>491.84999999999997</v>
          </cell>
        </row>
        <row r="1927">
          <cell r="D1927">
            <v>45826</v>
          </cell>
          <cell r="G1927">
            <v>17</v>
          </cell>
          <cell r="H1927">
            <v>5</v>
          </cell>
          <cell r="Q1927">
            <v>59</v>
          </cell>
        </row>
        <row r="1928">
          <cell r="D1928">
            <v>45826</v>
          </cell>
          <cell r="G1928">
            <v>9</v>
          </cell>
          <cell r="H1928">
            <v>5</v>
          </cell>
          <cell r="Q1928">
            <v>222.83999999999997</v>
          </cell>
        </row>
        <row r="1929">
          <cell r="D1929">
            <v>45826</v>
          </cell>
          <cell r="G1929">
            <v>11</v>
          </cell>
          <cell r="H1929">
            <v>5</v>
          </cell>
          <cell r="Q1929">
            <v>49.28</v>
          </cell>
        </row>
        <row r="1930">
          <cell r="D1930">
            <v>45826</v>
          </cell>
          <cell r="G1930">
            <v>11</v>
          </cell>
          <cell r="H1930">
            <v>5</v>
          </cell>
          <cell r="Q1930">
            <v>401.75</v>
          </cell>
        </row>
        <row r="1931">
          <cell r="D1931">
            <v>45827</v>
          </cell>
          <cell r="G1931">
            <v>3</v>
          </cell>
          <cell r="H1931" t="str">
            <v>5.5-6</v>
          </cell>
          <cell r="Q1931">
            <v>143.69</v>
          </cell>
        </row>
        <row r="1932">
          <cell r="D1932">
            <v>45827</v>
          </cell>
          <cell r="G1932">
            <v>3</v>
          </cell>
          <cell r="H1932" t="str">
            <v>5.5-6</v>
          </cell>
          <cell r="Q1932">
            <v>131.4</v>
          </cell>
        </row>
        <row r="1933">
          <cell r="D1933">
            <v>45827</v>
          </cell>
          <cell r="G1933">
            <v>2.5</v>
          </cell>
          <cell r="H1933" t="str">
            <v>5.5-6</v>
          </cell>
          <cell r="Q1933">
            <v>11.56</v>
          </cell>
        </row>
        <row r="1934">
          <cell r="D1934">
            <v>45827</v>
          </cell>
          <cell r="G1934">
            <v>3.5</v>
          </cell>
          <cell r="H1934" t="str">
            <v>5.5-6</v>
          </cell>
          <cell r="Q1934">
            <v>110.9</v>
          </cell>
        </row>
        <row r="1935">
          <cell r="D1935">
            <v>45827</v>
          </cell>
          <cell r="G1935">
            <v>4</v>
          </cell>
          <cell r="H1935" t="str">
            <v>5.5-6</v>
          </cell>
          <cell r="Q1935">
            <v>125.74</v>
          </cell>
        </row>
        <row r="1936">
          <cell r="D1936">
            <v>45827</v>
          </cell>
          <cell r="G1936">
            <v>17</v>
          </cell>
          <cell r="H1936">
            <v>5</v>
          </cell>
          <cell r="Q1936">
            <v>204.45999999999998</v>
          </cell>
        </row>
        <row r="1937">
          <cell r="D1937">
            <v>45827</v>
          </cell>
          <cell r="G1937">
            <v>20</v>
          </cell>
          <cell r="H1937">
            <v>5</v>
          </cell>
          <cell r="Q1937">
            <v>392.99</v>
          </cell>
        </row>
        <row r="1938">
          <cell r="D1938">
            <v>45827</v>
          </cell>
          <cell r="G1938">
            <v>20</v>
          </cell>
          <cell r="H1938">
            <v>5</v>
          </cell>
          <cell r="Q1938">
            <v>616.89</v>
          </cell>
        </row>
        <row r="1939">
          <cell r="D1939">
            <v>45827</v>
          </cell>
          <cell r="G1939">
            <v>11</v>
          </cell>
          <cell r="H1939" t="str">
            <v>7-7.5</v>
          </cell>
          <cell r="Q1939">
            <v>72.77</v>
          </cell>
        </row>
        <row r="1940">
          <cell r="D1940">
            <v>45827</v>
          </cell>
          <cell r="G1940">
            <v>11</v>
          </cell>
          <cell r="H1940">
            <v>5</v>
          </cell>
          <cell r="Q1940">
            <v>97.91</v>
          </cell>
        </row>
        <row r="1941">
          <cell r="D1941">
            <v>45828</v>
          </cell>
          <cell r="G1941">
            <v>2.5</v>
          </cell>
          <cell r="H1941" t="str">
            <v>5.5-6</v>
          </cell>
          <cell r="Q1941">
            <v>140.18000000000004</v>
          </cell>
        </row>
        <row r="1942">
          <cell r="D1942">
            <v>45828</v>
          </cell>
          <cell r="G1942">
            <v>2.5</v>
          </cell>
          <cell r="H1942" t="str">
            <v>5.5-6</v>
          </cell>
          <cell r="Q1942">
            <v>123.03999999999999</v>
          </cell>
        </row>
        <row r="1943">
          <cell r="D1943">
            <v>45828</v>
          </cell>
          <cell r="G1943">
            <v>4</v>
          </cell>
          <cell r="H1943" t="str">
            <v>5.5-6</v>
          </cell>
          <cell r="Q1943">
            <v>151.47999999999999</v>
          </cell>
        </row>
        <row r="1944">
          <cell r="D1944">
            <v>45828</v>
          </cell>
          <cell r="G1944">
            <v>4</v>
          </cell>
          <cell r="H1944" t="str">
            <v>5.5-6</v>
          </cell>
          <cell r="Q1944">
            <v>164.78000000000003</v>
          </cell>
        </row>
        <row r="1945">
          <cell r="D1945">
            <v>45828</v>
          </cell>
          <cell r="G1945">
            <v>20</v>
          </cell>
          <cell r="H1945" t="str">
            <v>5-5.5</v>
          </cell>
          <cell r="Q1945">
            <v>216.08999999999997</v>
          </cell>
        </row>
        <row r="1946">
          <cell r="D1946">
            <v>45828</v>
          </cell>
          <cell r="G1946">
            <v>20</v>
          </cell>
          <cell r="H1946">
            <v>5</v>
          </cell>
          <cell r="Q1946">
            <v>317.31000000000006</v>
          </cell>
        </row>
        <row r="1947">
          <cell r="D1947">
            <v>45828</v>
          </cell>
          <cell r="G1947">
            <v>22</v>
          </cell>
          <cell r="H1947">
            <v>5</v>
          </cell>
          <cell r="Q1947">
            <v>89.91</v>
          </cell>
        </row>
        <row r="1948">
          <cell r="D1948">
            <v>45828</v>
          </cell>
          <cell r="G1948">
            <v>22</v>
          </cell>
          <cell r="H1948">
            <v>5</v>
          </cell>
          <cell r="Q1948">
            <v>156.84</v>
          </cell>
        </row>
        <row r="1949">
          <cell r="D1949">
            <v>45828</v>
          </cell>
          <cell r="G1949">
            <v>26</v>
          </cell>
          <cell r="H1949">
            <v>5</v>
          </cell>
          <cell r="Q1949">
            <v>106.49999999999999</v>
          </cell>
        </row>
        <row r="1950">
          <cell r="D1950">
            <v>45828</v>
          </cell>
          <cell r="G1950">
            <v>18</v>
          </cell>
          <cell r="H1950">
            <v>5</v>
          </cell>
          <cell r="Q1950">
            <v>102.7</v>
          </cell>
        </row>
        <row r="1951">
          <cell r="D1951">
            <v>45828</v>
          </cell>
          <cell r="G1951">
            <v>12</v>
          </cell>
          <cell r="H1951">
            <v>5</v>
          </cell>
          <cell r="Q1951">
            <v>168.17000000000002</v>
          </cell>
        </row>
        <row r="1952">
          <cell r="D1952">
            <v>45828</v>
          </cell>
          <cell r="G1952">
            <v>14</v>
          </cell>
          <cell r="H1952">
            <v>5</v>
          </cell>
          <cell r="Q1952">
            <v>83.62</v>
          </cell>
        </row>
        <row r="1953">
          <cell r="D1953">
            <v>45828</v>
          </cell>
          <cell r="G1953">
            <v>14</v>
          </cell>
          <cell r="H1953">
            <v>5</v>
          </cell>
          <cell r="Q1953">
            <v>370.94</v>
          </cell>
        </row>
        <row r="1954">
          <cell r="D1954">
            <v>45828</v>
          </cell>
          <cell r="G1954">
            <v>12</v>
          </cell>
          <cell r="H1954">
            <v>5</v>
          </cell>
          <cell r="Q1954">
            <v>61.23</v>
          </cell>
        </row>
        <row r="1955">
          <cell r="D1955">
            <v>45829</v>
          </cell>
          <cell r="G1955">
            <v>2.5</v>
          </cell>
          <cell r="H1955" t="str">
            <v>5.5-6</v>
          </cell>
          <cell r="Q1955">
            <v>135.46</v>
          </cell>
        </row>
        <row r="1956">
          <cell r="D1956">
            <v>45829</v>
          </cell>
          <cell r="G1956">
            <v>2.5</v>
          </cell>
          <cell r="H1956" t="str">
            <v>5.5-6</v>
          </cell>
          <cell r="Q1956">
            <v>123.53999999999999</v>
          </cell>
        </row>
        <row r="1957">
          <cell r="D1957">
            <v>45829</v>
          </cell>
          <cell r="G1957">
            <v>4</v>
          </cell>
          <cell r="H1957" t="str">
            <v>5.5-6</v>
          </cell>
          <cell r="Q1957">
            <v>151.52000000000001</v>
          </cell>
        </row>
        <row r="1958">
          <cell r="D1958">
            <v>45829</v>
          </cell>
          <cell r="G1958">
            <v>4</v>
          </cell>
          <cell r="H1958" t="str">
            <v>5.5-6</v>
          </cell>
          <cell r="Q1958">
            <v>111.22</v>
          </cell>
        </row>
        <row r="1959">
          <cell r="D1959">
            <v>45829</v>
          </cell>
          <cell r="G1959">
            <v>12</v>
          </cell>
          <cell r="H1959">
            <v>5</v>
          </cell>
          <cell r="Q1959">
            <v>83.76</v>
          </cell>
        </row>
        <row r="1960">
          <cell r="D1960">
            <v>45829</v>
          </cell>
          <cell r="G1960">
            <v>16</v>
          </cell>
          <cell r="H1960">
            <v>5</v>
          </cell>
          <cell r="Q1960">
            <v>122.50999999999999</v>
          </cell>
        </row>
        <row r="1961">
          <cell r="D1961">
            <v>45829</v>
          </cell>
          <cell r="G1961">
            <v>16.2</v>
          </cell>
          <cell r="H1961" t="str">
            <v>-</v>
          </cell>
          <cell r="Q1961">
            <v>415.8599999999999</v>
          </cell>
        </row>
        <row r="1962">
          <cell r="D1962">
            <v>45829</v>
          </cell>
          <cell r="G1962">
            <v>16.2</v>
          </cell>
          <cell r="H1962" t="str">
            <v>-</v>
          </cell>
          <cell r="Q1962">
            <v>479.81</v>
          </cell>
        </row>
        <row r="1963">
          <cell r="D1963">
            <v>45829</v>
          </cell>
          <cell r="G1963">
            <v>14</v>
          </cell>
          <cell r="H1963">
            <v>5</v>
          </cell>
          <cell r="Q1963">
            <v>199.82000000000002</v>
          </cell>
        </row>
        <row r="1964">
          <cell r="D1964">
            <v>45829</v>
          </cell>
          <cell r="G1964">
            <v>10</v>
          </cell>
          <cell r="H1964">
            <v>5</v>
          </cell>
          <cell r="Q1964">
            <v>142.47999999999999</v>
          </cell>
        </row>
        <row r="1965">
          <cell r="D1965">
            <v>45829</v>
          </cell>
          <cell r="G1965">
            <v>8</v>
          </cell>
          <cell r="H1965">
            <v>5</v>
          </cell>
          <cell r="Q1965">
            <v>282.07</v>
          </cell>
        </row>
        <row r="1966">
          <cell r="D1966">
            <v>45831</v>
          </cell>
          <cell r="G1966">
            <v>2</v>
          </cell>
          <cell r="H1966" t="str">
            <v>5.5-6</v>
          </cell>
          <cell r="Q1966">
            <v>106.44999999999999</v>
          </cell>
        </row>
        <row r="1967">
          <cell r="D1967">
            <v>45831</v>
          </cell>
          <cell r="G1967">
            <v>2</v>
          </cell>
          <cell r="H1967" t="str">
            <v>5.5-6</v>
          </cell>
          <cell r="Q1967">
            <v>55.910000000000004</v>
          </cell>
        </row>
        <row r="1968">
          <cell r="D1968">
            <v>45831</v>
          </cell>
          <cell r="G1968">
            <v>1.5</v>
          </cell>
          <cell r="H1968" t="str">
            <v>5.5-6</v>
          </cell>
          <cell r="Q1968">
            <v>42.480000000000004</v>
          </cell>
        </row>
        <row r="1969">
          <cell r="D1969">
            <v>45831</v>
          </cell>
          <cell r="G1969">
            <v>4</v>
          </cell>
          <cell r="H1969" t="str">
            <v>5.5-6</v>
          </cell>
          <cell r="Q1969">
            <v>109.38000000000001</v>
          </cell>
        </row>
        <row r="1970">
          <cell r="D1970">
            <v>45831</v>
          </cell>
          <cell r="G1970">
            <v>4</v>
          </cell>
          <cell r="H1970" t="str">
            <v>5.5-6</v>
          </cell>
          <cell r="Q1970">
            <v>144.96</v>
          </cell>
        </row>
        <row r="1971">
          <cell r="D1971">
            <v>45831</v>
          </cell>
          <cell r="G1971">
            <v>20</v>
          </cell>
          <cell r="H1971" t="str">
            <v>5-5.5</v>
          </cell>
          <cell r="Q1971">
            <v>325.64999999999998</v>
          </cell>
        </row>
        <row r="1972">
          <cell r="D1972">
            <v>45831</v>
          </cell>
          <cell r="G1972">
            <v>20</v>
          </cell>
          <cell r="H1972" t="str">
            <v>5-5.5</v>
          </cell>
          <cell r="Q1972">
            <v>371.29999999999995</v>
          </cell>
        </row>
        <row r="1973">
          <cell r="D1973">
            <v>45831</v>
          </cell>
          <cell r="G1973">
            <v>26</v>
          </cell>
          <cell r="H1973" t="str">
            <v>5-5.5</v>
          </cell>
          <cell r="Q1973">
            <v>232.17000000000002</v>
          </cell>
        </row>
        <row r="1974">
          <cell r="D1974">
            <v>45831</v>
          </cell>
          <cell r="G1974">
            <v>7</v>
          </cell>
          <cell r="H1974">
            <v>5</v>
          </cell>
          <cell r="Q1974">
            <v>233.56</v>
          </cell>
        </row>
        <row r="1975">
          <cell r="D1975">
            <v>45831</v>
          </cell>
          <cell r="G1975">
            <v>7</v>
          </cell>
          <cell r="H1975">
            <v>5</v>
          </cell>
          <cell r="Q1975">
            <v>37.24</v>
          </cell>
        </row>
        <row r="1976">
          <cell r="D1976">
            <v>45831</v>
          </cell>
          <cell r="G1976">
            <v>9</v>
          </cell>
          <cell r="H1976">
            <v>5</v>
          </cell>
          <cell r="Q1976">
            <v>239.48000000000005</v>
          </cell>
        </row>
        <row r="1977">
          <cell r="D1977">
            <v>45832</v>
          </cell>
          <cell r="G1977">
            <v>1.5</v>
          </cell>
          <cell r="H1977" t="str">
            <v>5.5-6</v>
          </cell>
          <cell r="Q1977">
            <v>48.25</v>
          </cell>
        </row>
        <row r="1978">
          <cell r="D1978">
            <v>45832</v>
          </cell>
          <cell r="G1978">
            <v>5</v>
          </cell>
          <cell r="H1978" t="str">
            <v>5.5-6</v>
          </cell>
          <cell r="Q1978">
            <v>60.05</v>
          </cell>
        </row>
        <row r="1979">
          <cell r="D1979">
            <v>45832</v>
          </cell>
          <cell r="G1979">
            <v>5</v>
          </cell>
          <cell r="H1979" t="str">
            <v>5.5-6</v>
          </cell>
          <cell r="Q1979">
            <v>148.82</v>
          </cell>
        </row>
        <row r="1980">
          <cell r="D1980">
            <v>45832</v>
          </cell>
          <cell r="G1980">
            <v>4</v>
          </cell>
          <cell r="H1980" t="str">
            <v>5.5-6</v>
          </cell>
          <cell r="Q1980">
            <v>66.72</v>
          </cell>
        </row>
        <row r="1981">
          <cell r="D1981">
            <v>45832</v>
          </cell>
          <cell r="G1981">
            <v>3</v>
          </cell>
          <cell r="H1981" t="str">
            <v>5.5-6</v>
          </cell>
          <cell r="Q1981">
            <v>90.57</v>
          </cell>
        </row>
        <row r="1982">
          <cell r="D1982">
            <v>45832</v>
          </cell>
          <cell r="G1982">
            <v>3</v>
          </cell>
          <cell r="H1982" t="str">
            <v>5.5-6</v>
          </cell>
          <cell r="Q1982">
            <v>115.12</v>
          </cell>
        </row>
        <row r="1983">
          <cell r="D1983">
            <v>45832</v>
          </cell>
          <cell r="G1983">
            <v>26</v>
          </cell>
          <cell r="H1983" t="str">
            <v>5-5.5</v>
          </cell>
          <cell r="Q1983">
            <v>372.18</v>
          </cell>
        </row>
        <row r="1984">
          <cell r="D1984">
            <v>45832</v>
          </cell>
          <cell r="G1984">
            <v>18</v>
          </cell>
          <cell r="H1984" t="str">
            <v>7</v>
          </cell>
          <cell r="Q1984">
            <v>218.66</v>
          </cell>
        </row>
        <row r="1985">
          <cell r="D1985">
            <v>45832</v>
          </cell>
          <cell r="G1985">
            <v>18</v>
          </cell>
          <cell r="H1985" t="str">
            <v>7</v>
          </cell>
          <cell r="Q1985">
            <v>424.43</v>
          </cell>
        </row>
        <row r="1986">
          <cell r="D1986">
            <v>45832</v>
          </cell>
          <cell r="G1986">
            <v>18</v>
          </cell>
          <cell r="H1986" t="str">
            <v>5-5.5</v>
          </cell>
          <cell r="Q1986">
            <v>197.5</v>
          </cell>
        </row>
        <row r="1987">
          <cell r="D1987">
            <v>45832</v>
          </cell>
          <cell r="G1987">
            <v>9</v>
          </cell>
          <cell r="H1987">
            <v>5</v>
          </cell>
          <cell r="Q1987">
            <v>452.87999999999994</v>
          </cell>
        </row>
        <row r="1988">
          <cell r="D1988">
            <v>45832</v>
          </cell>
          <cell r="G1988">
            <v>9</v>
          </cell>
          <cell r="H1988">
            <v>5</v>
          </cell>
          <cell r="Q1988">
            <v>32.119999999999997</v>
          </cell>
        </row>
        <row r="1989">
          <cell r="D1989">
            <v>45832</v>
          </cell>
          <cell r="G1989">
            <v>12</v>
          </cell>
          <cell r="H1989">
            <v>5</v>
          </cell>
          <cell r="Q1989">
            <v>353.42999999999995</v>
          </cell>
        </row>
        <row r="1990">
          <cell r="D1990">
            <v>45833</v>
          </cell>
          <cell r="G1990">
            <v>5</v>
          </cell>
          <cell r="H1990" t="str">
            <v>5.5-6</v>
          </cell>
          <cell r="Q1990">
            <v>161.70000000000002</v>
          </cell>
        </row>
        <row r="1991">
          <cell r="D1991">
            <v>45833</v>
          </cell>
          <cell r="G1991">
            <v>5</v>
          </cell>
          <cell r="H1991" t="str">
            <v>5.5-6</v>
          </cell>
          <cell r="Q1991">
            <v>154.81</v>
          </cell>
        </row>
        <row r="1992">
          <cell r="D1992">
            <v>45833</v>
          </cell>
          <cell r="G1992">
            <v>3</v>
          </cell>
          <cell r="H1992" t="str">
            <v>5.5-6</v>
          </cell>
          <cell r="Q1992">
            <v>130.6</v>
          </cell>
        </row>
        <row r="1993">
          <cell r="D1993">
            <v>45833</v>
          </cell>
          <cell r="G1993">
            <v>4</v>
          </cell>
          <cell r="H1993" t="str">
            <v>5.5-6</v>
          </cell>
          <cell r="Q1993">
            <v>145.18</v>
          </cell>
        </row>
        <row r="1994">
          <cell r="D1994">
            <v>45833</v>
          </cell>
          <cell r="G1994">
            <v>18</v>
          </cell>
          <cell r="H1994" t="str">
            <v>5-5.5</v>
          </cell>
          <cell r="Q1994">
            <v>602.79999999999984</v>
          </cell>
        </row>
        <row r="1995">
          <cell r="D1995">
            <v>45833</v>
          </cell>
          <cell r="G1995">
            <v>18</v>
          </cell>
          <cell r="H1995" t="str">
            <v>5-5.5</v>
          </cell>
          <cell r="Q1995">
            <v>257.2</v>
          </cell>
        </row>
        <row r="1996">
          <cell r="D1996">
            <v>45833</v>
          </cell>
          <cell r="G1996">
            <v>16</v>
          </cell>
          <cell r="H1996">
            <v>5</v>
          </cell>
          <cell r="Q1996">
            <v>149.37</v>
          </cell>
        </row>
        <row r="1997">
          <cell r="D1997">
            <v>45833</v>
          </cell>
          <cell r="G1997">
            <v>16.2</v>
          </cell>
          <cell r="H1997" t="str">
            <v>-</v>
          </cell>
          <cell r="Q1997">
            <v>152.12</v>
          </cell>
        </row>
        <row r="1998">
          <cell r="D1998">
            <v>45833</v>
          </cell>
          <cell r="G1998">
            <v>12</v>
          </cell>
          <cell r="H1998">
            <v>5</v>
          </cell>
          <cell r="Q1998">
            <v>165</v>
          </cell>
        </row>
        <row r="1999">
          <cell r="D1999">
            <v>45833</v>
          </cell>
          <cell r="G1999">
            <v>8</v>
          </cell>
          <cell r="H1999">
            <v>5</v>
          </cell>
          <cell r="Q1999">
            <v>98.36</v>
          </cell>
        </row>
        <row r="2000">
          <cell r="D2000">
            <v>45833</v>
          </cell>
          <cell r="G2000">
            <v>11</v>
          </cell>
          <cell r="H2000">
            <v>5</v>
          </cell>
          <cell r="Q2000">
            <v>171.44</v>
          </cell>
        </row>
        <row r="2001">
          <cell r="D2001">
            <v>45833</v>
          </cell>
          <cell r="G2001">
            <v>11</v>
          </cell>
          <cell r="H2001">
            <v>5</v>
          </cell>
          <cell r="Q2001">
            <v>411.14999999999992</v>
          </cell>
        </row>
        <row r="2002">
          <cell r="D2002">
            <v>45833</v>
          </cell>
          <cell r="G2002">
            <v>9</v>
          </cell>
          <cell r="H2002">
            <v>5</v>
          </cell>
          <cell r="Q2002">
            <v>55.540000000000006</v>
          </cell>
        </row>
        <row r="2003">
          <cell r="D2003">
            <v>45834</v>
          </cell>
          <cell r="G2003">
            <v>5</v>
          </cell>
          <cell r="H2003" t="str">
            <v>5.5-6</v>
          </cell>
          <cell r="Q2003">
            <v>137.45000000000002</v>
          </cell>
        </row>
        <row r="2004">
          <cell r="D2004">
            <v>45834</v>
          </cell>
          <cell r="G2004">
            <v>5</v>
          </cell>
          <cell r="H2004" t="str">
            <v>5.5-6</v>
          </cell>
          <cell r="Q2004">
            <v>177.2</v>
          </cell>
        </row>
        <row r="2005">
          <cell r="D2005">
            <v>45834</v>
          </cell>
          <cell r="G2005">
            <v>4</v>
          </cell>
          <cell r="H2005" t="str">
            <v>5.5-6</v>
          </cell>
          <cell r="Q2005">
            <v>116.20000000000002</v>
          </cell>
        </row>
        <row r="2006">
          <cell r="D2006">
            <v>45834</v>
          </cell>
          <cell r="G2006">
            <v>4</v>
          </cell>
          <cell r="H2006" t="str">
            <v>5.5-6</v>
          </cell>
          <cell r="Q2006">
            <v>151.81</v>
          </cell>
        </row>
        <row r="2007">
          <cell r="D2007">
            <v>45834</v>
          </cell>
          <cell r="G2007">
            <v>18</v>
          </cell>
          <cell r="H2007">
            <v>6</v>
          </cell>
          <cell r="Q2007">
            <v>534.17999999999995</v>
          </cell>
        </row>
        <row r="2008">
          <cell r="D2008">
            <v>45834</v>
          </cell>
          <cell r="G2008">
            <v>18</v>
          </cell>
          <cell r="H2008">
            <v>6</v>
          </cell>
          <cell r="Q2008">
            <v>587.56000000000006</v>
          </cell>
        </row>
        <row r="2009">
          <cell r="D2009">
            <v>45834</v>
          </cell>
          <cell r="G2009">
            <v>9</v>
          </cell>
          <cell r="H2009">
            <v>5</v>
          </cell>
          <cell r="Q2009">
            <v>363.15000000000003</v>
          </cell>
        </row>
        <row r="2010">
          <cell r="D2010">
            <v>45834</v>
          </cell>
          <cell r="G2010">
            <v>9</v>
          </cell>
          <cell r="H2010">
            <v>5</v>
          </cell>
          <cell r="Q2010">
            <v>356.93</v>
          </cell>
        </row>
        <row r="2011">
          <cell r="D2011">
            <v>45834</v>
          </cell>
          <cell r="G2011">
            <v>9</v>
          </cell>
          <cell r="H2011">
            <v>5</v>
          </cell>
          <cell r="Q2011">
            <v>388.33</v>
          </cell>
        </row>
        <row r="2012">
          <cell r="D2012">
            <v>45835</v>
          </cell>
          <cell r="G2012">
            <v>5</v>
          </cell>
          <cell r="H2012" t="str">
            <v>5.5-6</v>
          </cell>
          <cell r="Q2012">
            <v>51.3</v>
          </cell>
        </row>
        <row r="2013">
          <cell r="D2013">
            <v>45835</v>
          </cell>
          <cell r="G2013">
            <v>4</v>
          </cell>
          <cell r="H2013" t="str">
            <v>5.5-6</v>
          </cell>
          <cell r="Q2013">
            <v>47.7</v>
          </cell>
        </row>
        <row r="2014">
          <cell r="D2014">
            <v>45835</v>
          </cell>
          <cell r="G2014">
            <v>4</v>
          </cell>
          <cell r="H2014" t="str">
            <v>5.5-6</v>
          </cell>
          <cell r="Q2014">
            <v>153.88000000000002</v>
          </cell>
        </row>
        <row r="2015">
          <cell r="D2015">
            <v>45835</v>
          </cell>
          <cell r="G2015">
            <v>4</v>
          </cell>
          <cell r="H2015" t="str">
            <v>5.5-6</v>
          </cell>
          <cell r="Q2015">
            <v>76.8</v>
          </cell>
        </row>
        <row r="2016">
          <cell r="D2016">
            <v>45835</v>
          </cell>
          <cell r="G2016">
            <v>3</v>
          </cell>
          <cell r="H2016" t="str">
            <v>5.5-6</v>
          </cell>
          <cell r="Q2016">
            <v>47.33</v>
          </cell>
        </row>
        <row r="2017">
          <cell r="D2017">
            <v>45835</v>
          </cell>
          <cell r="G2017">
            <v>3</v>
          </cell>
          <cell r="H2017" t="str">
            <v>5.5-6</v>
          </cell>
          <cell r="Q2017">
            <v>114.43999999999998</v>
          </cell>
        </row>
        <row r="2018">
          <cell r="D2018">
            <v>45835</v>
          </cell>
          <cell r="G2018">
            <v>18</v>
          </cell>
          <cell r="H2018">
            <v>6</v>
          </cell>
          <cell r="Q2018">
            <v>95.5</v>
          </cell>
        </row>
        <row r="2019">
          <cell r="D2019">
            <v>45835</v>
          </cell>
          <cell r="G2019">
            <v>18</v>
          </cell>
          <cell r="H2019">
            <v>5</v>
          </cell>
          <cell r="Q2019">
            <v>151.85999999999999</v>
          </cell>
        </row>
        <row r="2020">
          <cell r="D2020">
            <v>45835</v>
          </cell>
          <cell r="G2020">
            <v>24</v>
          </cell>
          <cell r="H2020">
            <v>5</v>
          </cell>
          <cell r="Q2020">
            <v>376.97</v>
          </cell>
        </row>
        <row r="2021">
          <cell r="D2021">
            <v>45835</v>
          </cell>
          <cell r="G2021">
            <v>24</v>
          </cell>
          <cell r="H2021">
            <v>5</v>
          </cell>
          <cell r="Q2021">
            <v>584.80000000000007</v>
          </cell>
        </row>
        <row r="2022">
          <cell r="D2022">
            <v>45835</v>
          </cell>
          <cell r="G2022">
            <v>9</v>
          </cell>
          <cell r="H2022">
            <v>5</v>
          </cell>
          <cell r="Q2022">
            <v>393.92999999999995</v>
          </cell>
        </row>
        <row r="2023">
          <cell r="D2023">
            <v>45835</v>
          </cell>
          <cell r="G2023">
            <v>9</v>
          </cell>
          <cell r="H2023">
            <v>5</v>
          </cell>
          <cell r="Q2023">
            <v>128.77000000000001</v>
          </cell>
        </row>
        <row r="2024">
          <cell r="D2024">
            <v>45835</v>
          </cell>
          <cell r="G2024">
            <v>8</v>
          </cell>
          <cell r="H2024">
            <v>5</v>
          </cell>
          <cell r="Q2024">
            <v>151.79000000000002</v>
          </cell>
        </row>
        <row r="2025">
          <cell r="D2025">
            <v>45835</v>
          </cell>
          <cell r="G2025">
            <v>7</v>
          </cell>
          <cell r="H2025">
            <v>5</v>
          </cell>
          <cell r="Q2025">
            <v>63.930000000000007</v>
          </cell>
        </row>
        <row r="2026">
          <cell r="D2026">
            <v>45836</v>
          </cell>
          <cell r="G2026">
            <v>4</v>
          </cell>
          <cell r="H2026" t="str">
            <v>5.5-6</v>
          </cell>
          <cell r="Q2026">
            <v>117.7</v>
          </cell>
        </row>
        <row r="2027">
          <cell r="D2027">
            <v>45836</v>
          </cell>
          <cell r="G2027">
            <v>4</v>
          </cell>
          <cell r="H2027" t="str">
            <v>5.5-6</v>
          </cell>
          <cell r="Q2027">
            <v>124.89999999999999</v>
          </cell>
        </row>
        <row r="2028">
          <cell r="D2028">
            <v>45836</v>
          </cell>
          <cell r="G2028">
            <v>3</v>
          </cell>
          <cell r="H2028" t="str">
            <v>5.5-6</v>
          </cell>
          <cell r="Q2028">
            <v>95.4</v>
          </cell>
        </row>
        <row r="2029">
          <cell r="D2029">
            <v>45836</v>
          </cell>
          <cell r="G2029">
            <v>3</v>
          </cell>
          <cell r="H2029" t="str">
            <v>5.5-6</v>
          </cell>
          <cell r="Q2029">
            <v>72.090000000000018</v>
          </cell>
        </row>
        <row r="2030">
          <cell r="D2030">
            <v>45836</v>
          </cell>
          <cell r="G2030">
            <v>14</v>
          </cell>
          <cell r="H2030">
            <v>5</v>
          </cell>
          <cell r="Q2030">
            <v>499.14999999999992</v>
          </cell>
        </row>
        <row r="2031">
          <cell r="D2031">
            <v>45836</v>
          </cell>
          <cell r="G2031">
            <v>14</v>
          </cell>
          <cell r="H2031">
            <v>5</v>
          </cell>
          <cell r="Q2031">
            <v>62.9</v>
          </cell>
        </row>
        <row r="2032">
          <cell r="D2032">
            <v>45836</v>
          </cell>
          <cell r="G2032">
            <v>22</v>
          </cell>
          <cell r="H2032" t="str">
            <v>6-6.5</v>
          </cell>
          <cell r="Q2032">
            <v>107.13</v>
          </cell>
        </row>
        <row r="2033">
          <cell r="D2033">
            <v>45836</v>
          </cell>
          <cell r="G2033">
            <v>22</v>
          </cell>
          <cell r="H2033" t="str">
            <v>5-5.5</v>
          </cell>
          <cell r="Q2033">
            <v>304.41999999999996</v>
          </cell>
        </row>
        <row r="2034">
          <cell r="D2034">
            <v>45836</v>
          </cell>
          <cell r="G2034">
            <v>7</v>
          </cell>
          <cell r="H2034">
            <v>15</v>
          </cell>
          <cell r="Q2034">
            <v>330.28000000000003</v>
          </cell>
        </row>
        <row r="2035">
          <cell r="D2035">
            <v>45836</v>
          </cell>
          <cell r="G2035">
            <v>9</v>
          </cell>
          <cell r="H2035">
            <v>5</v>
          </cell>
          <cell r="Q2035">
            <v>297.50000000000006</v>
          </cell>
        </row>
        <row r="2036">
          <cell r="D2036">
            <v>45838</v>
          </cell>
          <cell r="G2036">
            <v>4</v>
          </cell>
          <cell r="H2036" t="str">
            <v>5.5-6</v>
          </cell>
          <cell r="Q2036">
            <v>84.91</v>
          </cell>
        </row>
        <row r="2037">
          <cell r="D2037">
            <v>45838</v>
          </cell>
          <cell r="G2037">
            <v>4</v>
          </cell>
          <cell r="H2037" t="str">
            <v>5.5-6</v>
          </cell>
          <cell r="Q2037">
            <v>66.8</v>
          </cell>
        </row>
        <row r="2038">
          <cell r="D2038">
            <v>45838</v>
          </cell>
          <cell r="G2038">
            <v>4</v>
          </cell>
          <cell r="H2038" t="str">
            <v>5.5-6</v>
          </cell>
          <cell r="Q2038">
            <v>75.7</v>
          </cell>
        </row>
        <row r="2039">
          <cell r="D2039">
            <v>45838</v>
          </cell>
          <cell r="G2039">
            <v>3</v>
          </cell>
          <cell r="H2039" t="str">
            <v>5.5-6</v>
          </cell>
          <cell r="Q2039">
            <v>94.82</v>
          </cell>
        </row>
        <row r="2040">
          <cell r="D2040">
            <v>45838</v>
          </cell>
          <cell r="G2040">
            <v>3</v>
          </cell>
          <cell r="H2040" t="str">
            <v>5.5-6</v>
          </cell>
          <cell r="Q2040">
            <v>120.12</v>
          </cell>
        </row>
        <row r="2041">
          <cell r="D2041">
            <v>45838</v>
          </cell>
          <cell r="G2041">
            <v>16.2</v>
          </cell>
          <cell r="H2041" t="str">
            <v>-</v>
          </cell>
          <cell r="Q2041">
            <v>288.83</v>
          </cell>
        </row>
        <row r="2042">
          <cell r="D2042">
            <v>45838</v>
          </cell>
          <cell r="G2042">
            <v>16</v>
          </cell>
          <cell r="H2042">
            <v>5</v>
          </cell>
          <cell r="Q2042">
            <v>204.54999999999998</v>
          </cell>
        </row>
        <row r="2043">
          <cell r="D2043">
            <v>45838</v>
          </cell>
          <cell r="G2043">
            <v>16.2</v>
          </cell>
          <cell r="H2043" t="str">
            <v>-</v>
          </cell>
          <cell r="Q2043">
            <v>233.19999999999996</v>
          </cell>
        </row>
        <row r="2044">
          <cell r="D2044">
            <v>45838</v>
          </cell>
          <cell r="G2044">
            <v>24</v>
          </cell>
          <cell r="H2044">
            <v>5</v>
          </cell>
          <cell r="Q2044">
            <v>285.5</v>
          </cell>
        </row>
        <row r="2045">
          <cell r="D2045">
            <v>45838</v>
          </cell>
          <cell r="G2045">
            <v>9</v>
          </cell>
          <cell r="H2045">
            <v>5</v>
          </cell>
          <cell r="Q2045">
            <v>214.8</v>
          </cell>
        </row>
        <row r="2046">
          <cell r="D2046">
            <v>45838</v>
          </cell>
          <cell r="G2046">
            <v>9</v>
          </cell>
          <cell r="H2046">
            <v>5</v>
          </cell>
          <cell r="Q2046">
            <v>195.05000000000004</v>
          </cell>
        </row>
        <row r="2047">
          <cell r="D2047">
            <v>45839</v>
          </cell>
          <cell r="G2047">
            <v>4</v>
          </cell>
          <cell r="H2047" t="str">
            <v>5.5-6</v>
          </cell>
          <cell r="Q2047">
            <v>159.88999999999999</v>
          </cell>
        </row>
        <row r="2048">
          <cell r="D2048">
            <v>45839</v>
          </cell>
          <cell r="G2048">
            <v>4</v>
          </cell>
          <cell r="H2048" t="str">
            <v>5.5-6</v>
          </cell>
          <cell r="Q2048">
            <v>167.8</v>
          </cell>
        </row>
        <row r="2049">
          <cell r="D2049">
            <v>45839</v>
          </cell>
          <cell r="G2049">
            <v>3</v>
          </cell>
          <cell r="H2049" t="str">
            <v>5.5-6</v>
          </cell>
          <cell r="Q2049">
            <v>38.550000000000004</v>
          </cell>
        </row>
        <row r="2050">
          <cell r="D2050">
            <v>45839</v>
          </cell>
          <cell r="G2050">
            <v>2.5</v>
          </cell>
          <cell r="H2050" t="str">
            <v>5.5-6</v>
          </cell>
          <cell r="Q2050">
            <v>62.679999999999993</v>
          </cell>
        </row>
        <row r="2051">
          <cell r="D2051">
            <v>45839</v>
          </cell>
          <cell r="G2051">
            <v>2.5</v>
          </cell>
          <cell r="H2051" t="str">
            <v>5.5-6</v>
          </cell>
          <cell r="Q2051">
            <v>104.75</v>
          </cell>
        </row>
        <row r="2052">
          <cell r="D2052">
            <v>45839</v>
          </cell>
          <cell r="G2052" t="str">
            <v>22" شیٹ</v>
          </cell>
          <cell r="H2052" t="str">
            <v>4-4.5/8-9</v>
          </cell>
          <cell r="Q2052">
            <v>148.81</v>
          </cell>
        </row>
        <row r="2053">
          <cell r="D2053">
            <v>45839</v>
          </cell>
          <cell r="G2053" t="str">
            <v>18" شیٹ</v>
          </cell>
          <cell r="H2053" t="str">
            <v>4-4.5/8-9</v>
          </cell>
          <cell r="Q2053">
            <v>179.73</v>
          </cell>
        </row>
        <row r="2054">
          <cell r="D2054">
            <v>45839</v>
          </cell>
          <cell r="G2054" t="str">
            <v>28" شیٹ</v>
          </cell>
          <cell r="H2054" t="str">
            <v>4-4.5/8-9</v>
          </cell>
          <cell r="Q2054">
            <v>203.48</v>
          </cell>
        </row>
        <row r="2055">
          <cell r="D2055">
            <v>45839</v>
          </cell>
          <cell r="G2055">
            <v>18</v>
          </cell>
          <cell r="H2055">
            <v>6</v>
          </cell>
          <cell r="Q2055">
            <v>47.44</v>
          </cell>
        </row>
        <row r="2056">
          <cell r="D2056">
            <v>45839</v>
          </cell>
          <cell r="G2056">
            <v>18</v>
          </cell>
          <cell r="H2056">
            <v>6</v>
          </cell>
          <cell r="Q2056">
            <v>117.86</v>
          </cell>
        </row>
        <row r="2057">
          <cell r="D2057">
            <v>45839</v>
          </cell>
          <cell r="G2057">
            <v>14</v>
          </cell>
          <cell r="H2057">
            <v>6</v>
          </cell>
          <cell r="Q2057">
            <v>148.79999999999998</v>
          </cell>
        </row>
        <row r="2058">
          <cell r="D2058">
            <v>45839</v>
          </cell>
          <cell r="G2058">
            <v>14</v>
          </cell>
          <cell r="H2058" t="str">
            <v>4.5-5</v>
          </cell>
          <cell r="Q2058">
            <v>95.66</v>
          </cell>
        </row>
        <row r="2059">
          <cell r="D2059">
            <v>45839</v>
          </cell>
          <cell r="G2059" t="str">
            <v>22" شیٹ</v>
          </cell>
          <cell r="H2059" t="str">
            <v>4-4.5/8-9</v>
          </cell>
          <cell r="Q2059">
            <v>53.3</v>
          </cell>
        </row>
        <row r="2060">
          <cell r="D2060">
            <v>45839</v>
          </cell>
          <cell r="G2060">
            <v>9</v>
          </cell>
          <cell r="H2060">
            <v>5</v>
          </cell>
          <cell r="Q2060">
            <v>338.91999999999996</v>
          </cell>
        </row>
        <row r="2061">
          <cell r="D2061">
            <v>45839</v>
          </cell>
          <cell r="G2061">
            <v>9</v>
          </cell>
          <cell r="H2061" t="str">
            <v>4.5-5</v>
          </cell>
          <cell r="Q2061">
            <v>136.4</v>
          </cell>
        </row>
        <row r="2062">
          <cell r="D2062">
            <v>45839</v>
          </cell>
          <cell r="G2062">
            <v>9</v>
          </cell>
          <cell r="H2062" t="str">
            <v>4.5-5</v>
          </cell>
          <cell r="Q2062">
            <v>277.22000000000003</v>
          </cell>
        </row>
        <row r="2063">
          <cell r="D2063">
            <v>45839</v>
          </cell>
          <cell r="G2063">
            <v>6</v>
          </cell>
          <cell r="H2063">
            <v>5</v>
          </cell>
          <cell r="Q2063">
            <v>85.22</v>
          </cell>
        </row>
        <row r="2064">
          <cell r="D2064">
            <v>45840</v>
          </cell>
          <cell r="G2064">
            <v>4</v>
          </cell>
          <cell r="H2064" t="str">
            <v>5.5-6</v>
          </cell>
          <cell r="Q2064">
            <v>167.60000000000002</v>
          </cell>
        </row>
        <row r="2065">
          <cell r="D2065">
            <v>45840</v>
          </cell>
          <cell r="G2065">
            <v>4</v>
          </cell>
          <cell r="H2065" t="str">
            <v>5.5-6</v>
          </cell>
          <cell r="Q2065">
            <v>181.16000000000003</v>
          </cell>
        </row>
        <row r="2066">
          <cell r="D2066">
            <v>45840</v>
          </cell>
          <cell r="G2066">
            <v>2.5</v>
          </cell>
          <cell r="H2066" t="str">
            <v>5.5-6</v>
          </cell>
          <cell r="Q2066">
            <v>109.99999999999999</v>
          </cell>
        </row>
        <row r="2067">
          <cell r="D2067">
            <v>45840</v>
          </cell>
          <cell r="G2067">
            <v>2.5</v>
          </cell>
          <cell r="H2067" t="str">
            <v>5.5-6</v>
          </cell>
          <cell r="Q2067">
            <v>111.63999999999999</v>
          </cell>
        </row>
        <row r="2068">
          <cell r="D2068">
            <v>45840</v>
          </cell>
          <cell r="G2068" t="str">
            <v>22" شیٹ</v>
          </cell>
          <cell r="H2068" t="str">
            <v>4-4.5/8-9</v>
          </cell>
          <cell r="Q2068">
            <v>204.70000000000002</v>
          </cell>
        </row>
        <row r="2069">
          <cell r="D2069">
            <v>45840</v>
          </cell>
          <cell r="G2069">
            <v>16</v>
          </cell>
          <cell r="H2069">
            <v>5</v>
          </cell>
          <cell r="Q2069">
            <v>36.799999999999997</v>
          </cell>
        </row>
        <row r="2070">
          <cell r="D2070">
            <v>45840</v>
          </cell>
          <cell r="G2070">
            <v>16.2</v>
          </cell>
          <cell r="H2070" t="str">
            <v>-</v>
          </cell>
          <cell r="Q2070">
            <v>309.70000000000005</v>
          </cell>
        </row>
        <row r="2071">
          <cell r="D2071">
            <v>45840</v>
          </cell>
          <cell r="G2071">
            <v>16.2</v>
          </cell>
          <cell r="H2071" t="str">
            <v>-</v>
          </cell>
          <cell r="Q2071">
            <v>604.80000000000007</v>
          </cell>
        </row>
        <row r="2072">
          <cell r="D2072">
            <v>45840</v>
          </cell>
          <cell r="G2072">
            <v>6</v>
          </cell>
          <cell r="H2072">
            <v>5</v>
          </cell>
          <cell r="Q2072">
            <v>255.5</v>
          </cell>
        </row>
        <row r="2073">
          <cell r="D2073">
            <v>45840</v>
          </cell>
          <cell r="G2073">
            <v>6</v>
          </cell>
          <cell r="H2073">
            <v>5</v>
          </cell>
          <cell r="Q2073">
            <v>197.6</v>
          </cell>
        </row>
        <row r="2074">
          <cell r="D2074">
            <v>45840</v>
          </cell>
          <cell r="G2074">
            <v>12</v>
          </cell>
          <cell r="H2074">
            <v>5</v>
          </cell>
          <cell r="Q2074">
            <v>163.72</v>
          </cell>
        </row>
        <row r="2075">
          <cell r="D2075">
            <v>45841</v>
          </cell>
          <cell r="G2075">
            <v>4</v>
          </cell>
          <cell r="H2075" t="str">
            <v>5.5-6</v>
          </cell>
          <cell r="Q2075">
            <v>155.95000000000002</v>
          </cell>
        </row>
        <row r="2076">
          <cell r="D2076">
            <v>45841</v>
          </cell>
          <cell r="G2076">
            <v>5</v>
          </cell>
          <cell r="H2076" t="str">
            <v>5.5-6</v>
          </cell>
          <cell r="Q2076">
            <v>191.94</v>
          </cell>
        </row>
        <row r="2077">
          <cell r="D2077">
            <v>45841</v>
          </cell>
          <cell r="G2077">
            <v>2.5</v>
          </cell>
          <cell r="H2077">
            <v>5</v>
          </cell>
          <cell r="Q2077">
            <v>97.09</v>
          </cell>
        </row>
        <row r="2078">
          <cell r="D2078">
            <v>45841</v>
          </cell>
          <cell r="G2078">
            <v>2.5</v>
          </cell>
          <cell r="H2078">
            <v>5</v>
          </cell>
          <cell r="Q2078">
            <v>114.02999999999999</v>
          </cell>
        </row>
        <row r="2079">
          <cell r="D2079">
            <v>45841</v>
          </cell>
          <cell r="G2079">
            <v>16.2</v>
          </cell>
          <cell r="H2079" t="str">
            <v>-</v>
          </cell>
          <cell r="Q2079">
            <v>447.80000000000007</v>
          </cell>
        </row>
        <row r="2080">
          <cell r="D2080">
            <v>45841</v>
          </cell>
          <cell r="G2080">
            <v>16</v>
          </cell>
          <cell r="H2080">
            <v>6</v>
          </cell>
          <cell r="Q2080">
            <v>152.44</v>
          </cell>
        </row>
        <row r="2081">
          <cell r="D2081">
            <v>45841</v>
          </cell>
          <cell r="G2081">
            <v>16</v>
          </cell>
          <cell r="H2081">
            <v>6</v>
          </cell>
          <cell r="Q2081">
            <v>614.79000000000008</v>
          </cell>
        </row>
        <row r="2082">
          <cell r="D2082">
            <v>45841</v>
          </cell>
          <cell r="G2082">
            <v>12</v>
          </cell>
          <cell r="H2082">
            <v>5</v>
          </cell>
          <cell r="Q2082">
            <v>367.93</v>
          </cell>
        </row>
        <row r="2083">
          <cell r="D2083">
            <v>45841</v>
          </cell>
          <cell r="G2083">
            <v>12</v>
          </cell>
          <cell r="H2083" t="str">
            <v>4.5-5</v>
          </cell>
          <cell r="Q2083">
            <v>96.14</v>
          </cell>
        </row>
        <row r="2084">
          <cell r="D2084">
            <v>45841</v>
          </cell>
          <cell r="G2084">
            <v>12</v>
          </cell>
          <cell r="H2084" t="str">
            <v>4.5-5</v>
          </cell>
          <cell r="Q2084">
            <v>391.46000000000004</v>
          </cell>
        </row>
        <row r="2085">
          <cell r="D2085">
            <v>45841</v>
          </cell>
          <cell r="G2085">
            <v>8</v>
          </cell>
          <cell r="H2085">
            <v>5</v>
          </cell>
          <cell r="Q2085">
            <v>25.639999999999997</v>
          </cell>
        </row>
        <row r="2086">
          <cell r="D2086">
            <v>45842</v>
          </cell>
          <cell r="G2086">
            <v>5</v>
          </cell>
          <cell r="H2086" t="str">
            <v>5.5-6</v>
          </cell>
          <cell r="Q2086">
            <v>35</v>
          </cell>
        </row>
        <row r="2087">
          <cell r="D2087">
            <v>45842</v>
          </cell>
          <cell r="G2087">
            <v>5</v>
          </cell>
          <cell r="H2087" t="str">
            <v>5.5-6</v>
          </cell>
          <cell r="Q2087">
            <v>139.1</v>
          </cell>
        </row>
        <row r="2088">
          <cell r="D2088">
            <v>45842</v>
          </cell>
          <cell r="G2088">
            <v>5</v>
          </cell>
          <cell r="H2088" t="str">
            <v>5.5-6</v>
          </cell>
          <cell r="Q2088">
            <v>109.8</v>
          </cell>
        </row>
        <row r="2089">
          <cell r="D2089">
            <v>45842</v>
          </cell>
          <cell r="G2089">
            <v>2.5</v>
          </cell>
          <cell r="H2089">
            <v>5</v>
          </cell>
          <cell r="Q2089">
            <v>107.82999999999998</v>
          </cell>
        </row>
        <row r="2090">
          <cell r="D2090">
            <v>45842</v>
          </cell>
          <cell r="G2090">
            <v>2.5</v>
          </cell>
          <cell r="H2090">
            <v>5</v>
          </cell>
          <cell r="Q2090">
            <v>70.3</v>
          </cell>
        </row>
        <row r="2091">
          <cell r="D2091">
            <v>45842</v>
          </cell>
          <cell r="G2091">
            <v>16</v>
          </cell>
          <cell r="H2091">
            <v>6</v>
          </cell>
          <cell r="Q2091">
            <v>58.2</v>
          </cell>
        </row>
        <row r="2092">
          <cell r="D2092">
            <v>45842</v>
          </cell>
          <cell r="G2092">
            <v>18</v>
          </cell>
          <cell r="H2092" t="str">
            <v>7</v>
          </cell>
          <cell r="Q2092">
            <v>425.17</v>
          </cell>
        </row>
        <row r="2093">
          <cell r="D2093">
            <v>45842</v>
          </cell>
          <cell r="G2093">
            <v>18</v>
          </cell>
          <cell r="H2093" t="str">
            <v>7</v>
          </cell>
          <cell r="Q2093">
            <v>96.73</v>
          </cell>
        </row>
        <row r="2094">
          <cell r="D2094">
            <v>45842</v>
          </cell>
          <cell r="G2094">
            <v>18</v>
          </cell>
          <cell r="H2094" t="str">
            <v>7</v>
          </cell>
          <cell r="Q2094">
            <v>139.64000000000001</v>
          </cell>
        </row>
        <row r="2095">
          <cell r="D2095">
            <v>45842</v>
          </cell>
          <cell r="G2095">
            <v>18</v>
          </cell>
          <cell r="H2095">
            <v>5</v>
          </cell>
          <cell r="Q2095">
            <v>310.09999999999997</v>
          </cell>
        </row>
        <row r="2096">
          <cell r="D2096">
            <v>45842</v>
          </cell>
          <cell r="G2096">
            <v>8</v>
          </cell>
          <cell r="H2096">
            <v>6</v>
          </cell>
          <cell r="Q2096">
            <v>32</v>
          </cell>
        </row>
        <row r="2097">
          <cell r="D2097">
            <v>45842</v>
          </cell>
          <cell r="G2097">
            <v>10</v>
          </cell>
          <cell r="H2097" t="str">
            <v>4.5-5</v>
          </cell>
          <cell r="Q2097">
            <v>107.64999999999999</v>
          </cell>
        </row>
        <row r="2098">
          <cell r="D2098">
            <v>45842</v>
          </cell>
          <cell r="G2098">
            <v>10</v>
          </cell>
          <cell r="H2098">
            <v>5</v>
          </cell>
          <cell r="Q2098">
            <v>94.800000000000011</v>
          </cell>
        </row>
        <row r="2099">
          <cell r="D2099">
            <v>45842</v>
          </cell>
          <cell r="G2099">
            <v>8</v>
          </cell>
          <cell r="H2099" t="str">
            <v>4.5-5</v>
          </cell>
          <cell r="Q2099">
            <v>107.75</v>
          </cell>
        </row>
        <row r="2100">
          <cell r="D2100">
            <v>45842</v>
          </cell>
          <cell r="G2100">
            <v>10</v>
          </cell>
          <cell r="H2100">
            <v>5</v>
          </cell>
          <cell r="Q2100">
            <v>341.3</v>
          </cell>
        </row>
        <row r="2101">
          <cell r="D2101">
            <v>45845</v>
          </cell>
          <cell r="G2101">
            <v>5</v>
          </cell>
          <cell r="H2101" t="str">
            <v>5.5-6</v>
          </cell>
          <cell r="Q2101">
            <v>113.5</v>
          </cell>
        </row>
        <row r="2102">
          <cell r="D2102">
            <v>45845</v>
          </cell>
          <cell r="G2102">
            <v>5</v>
          </cell>
          <cell r="H2102" t="str">
            <v>5.5-6</v>
          </cell>
          <cell r="Q2102">
            <v>159.51999999999998</v>
          </cell>
        </row>
        <row r="2103">
          <cell r="D2103">
            <v>45845</v>
          </cell>
          <cell r="G2103">
            <v>2.5</v>
          </cell>
          <cell r="H2103">
            <v>5</v>
          </cell>
          <cell r="Q2103">
            <v>79.300000000000011</v>
          </cell>
        </row>
        <row r="2104">
          <cell r="D2104">
            <v>45845</v>
          </cell>
          <cell r="G2104">
            <v>2.5</v>
          </cell>
          <cell r="H2104">
            <v>5</v>
          </cell>
          <cell r="Q2104">
            <v>105.71000000000001</v>
          </cell>
        </row>
        <row r="2105">
          <cell r="D2105">
            <v>45845</v>
          </cell>
          <cell r="G2105">
            <v>14</v>
          </cell>
          <cell r="H2105">
            <v>6</v>
          </cell>
          <cell r="Q2105">
            <v>241.10000000000002</v>
          </cell>
        </row>
        <row r="2106">
          <cell r="D2106">
            <v>45845</v>
          </cell>
          <cell r="G2106">
            <v>14</v>
          </cell>
          <cell r="H2106">
            <v>5</v>
          </cell>
          <cell r="Q2106">
            <v>131.20000000000002</v>
          </cell>
        </row>
        <row r="2107">
          <cell r="D2107">
            <v>45845</v>
          </cell>
          <cell r="G2107">
            <v>14</v>
          </cell>
          <cell r="H2107">
            <v>6</v>
          </cell>
          <cell r="Q2107">
            <v>120.75999999999999</v>
          </cell>
        </row>
        <row r="2108">
          <cell r="D2108">
            <v>45845</v>
          </cell>
          <cell r="G2108">
            <v>14</v>
          </cell>
          <cell r="H2108">
            <v>5</v>
          </cell>
          <cell r="Q2108">
            <v>403.18</v>
          </cell>
        </row>
        <row r="2109">
          <cell r="D2109">
            <v>45845</v>
          </cell>
          <cell r="G2109">
            <v>10</v>
          </cell>
          <cell r="H2109">
            <v>5</v>
          </cell>
          <cell r="Q2109">
            <v>305.10000000000008</v>
          </cell>
        </row>
        <row r="2110">
          <cell r="D2110">
            <v>45845</v>
          </cell>
          <cell r="G2110">
            <v>10</v>
          </cell>
          <cell r="H2110">
            <v>5</v>
          </cell>
          <cell r="Q2110">
            <v>393.23000000000008</v>
          </cell>
        </row>
        <row r="2111">
          <cell r="D2111">
            <v>45846</v>
          </cell>
          <cell r="G2111">
            <v>5</v>
          </cell>
          <cell r="H2111" t="str">
            <v>5.5-6</v>
          </cell>
          <cell r="Q2111">
            <v>49.2</v>
          </cell>
        </row>
        <row r="2112">
          <cell r="D2112">
            <v>45846</v>
          </cell>
          <cell r="G2112">
            <v>3</v>
          </cell>
          <cell r="H2112" t="str">
            <v>5.5-6</v>
          </cell>
          <cell r="Q2112">
            <v>151.04999999999998</v>
          </cell>
        </row>
        <row r="2113">
          <cell r="D2113">
            <v>45846</v>
          </cell>
          <cell r="G2113">
            <v>3</v>
          </cell>
          <cell r="H2113" t="str">
            <v>5.5-6</v>
          </cell>
          <cell r="Q2113">
            <v>159.69</v>
          </cell>
        </row>
        <row r="2114">
          <cell r="D2114">
            <v>45846</v>
          </cell>
          <cell r="G2114">
            <v>2.5</v>
          </cell>
          <cell r="H2114" t="str">
            <v>5.5-6</v>
          </cell>
          <cell r="Q2114">
            <v>57</v>
          </cell>
        </row>
        <row r="2115">
          <cell r="D2115">
            <v>45846</v>
          </cell>
          <cell r="G2115">
            <v>3.5</v>
          </cell>
          <cell r="H2115">
            <v>5.5</v>
          </cell>
          <cell r="Q2115">
            <v>69.400000000000006</v>
          </cell>
        </row>
        <row r="2116">
          <cell r="D2116">
            <v>45846</v>
          </cell>
          <cell r="G2116">
            <v>3.5</v>
          </cell>
          <cell r="H2116">
            <v>5.5</v>
          </cell>
          <cell r="Q2116">
            <v>160.06</v>
          </cell>
        </row>
        <row r="2117">
          <cell r="D2117">
            <v>45846</v>
          </cell>
          <cell r="G2117">
            <v>14</v>
          </cell>
          <cell r="H2117">
            <v>5</v>
          </cell>
          <cell r="Q2117">
            <v>537.20000000000016</v>
          </cell>
        </row>
        <row r="2118">
          <cell r="D2118">
            <v>45846</v>
          </cell>
          <cell r="G2118">
            <v>14</v>
          </cell>
          <cell r="H2118">
            <v>5</v>
          </cell>
          <cell r="Q2118">
            <v>184.85999999999999</v>
          </cell>
        </row>
        <row r="2119">
          <cell r="D2119">
            <v>45846</v>
          </cell>
          <cell r="G2119">
            <v>23</v>
          </cell>
          <cell r="H2119">
            <v>5</v>
          </cell>
          <cell r="Q2119">
            <v>367</v>
          </cell>
        </row>
        <row r="2120">
          <cell r="D2120">
            <v>45846</v>
          </cell>
          <cell r="G2120">
            <v>9</v>
          </cell>
          <cell r="H2120" t="str">
            <v>4.5-5</v>
          </cell>
          <cell r="Q2120">
            <v>99.249999999999986</v>
          </cell>
        </row>
        <row r="2121">
          <cell r="D2121">
            <v>45846</v>
          </cell>
          <cell r="G2121">
            <v>11</v>
          </cell>
          <cell r="H2121" t="str">
            <v>4.5-5</v>
          </cell>
          <cell r="Q2121">
            <v>307.40000000000003</v>
          </cell>
        </row>
        <row r="2122">
          <cell r="D2122">
            <v>45846</v>
          </cell>
          <cell r="G2122">
            <v>11</v>
          </cell>
          <cell r="H2122">
            <v>5</v>
          </cell>
          <cell r="Q2122">
            <v>27.299999999999997</v>
          </cell>
        </row>
        <row r="2123">
          <cell r="D2123">
            <v>45846</v>
          </cell>
          <cell r="G2123">
            <v>13</v>
          </cell>
          <cell r="H2123">
            <v>4.5</v>
          </cell>
          <cell r="Q2123">
            <v>77.149999999999991</v>
          </cell>
        </row>
        <row r="2124">
          <cell r="D2124">
            <v>45846</v>
          </cell>
          <cell r="G2124">
            <v>12</v>
          </cell>
          <cell r="H2124">
            <v>5</v>
          </cell>
          <cell r="Q2124">
            <v>321.46999999999997</v>
          </cell>
        </row>
        <row r="2125">
          <cell r="D2125">
            <v>45847</v>
          </cell>
          <cell r="G2125">
            <v>3</v>
          </cell>
          <cell r="H2125">
            <v>5.5</v>
          </cell>
          <cell r="Q2125">
            <v>138</v>
          </cell>
        </row>
        <row r="2126">
          <cell r="D2126">
            <v>45847</v>
          </cell>
          <cell r="G2126">
            <v>3</v>
          </cell>
          <cell r="H2126">
            <v>5.5</v>
          </cell>
          <cell r="Q2126">
            <v>21.2</v>
          </cell>
        </row>
        <row r="2127">
          <cell r="D2127">
            <v>45847</v>
          </cell>
          <cell r="G2127">
            <v>3</v>
          </cell>
          <cell r="H2127">
            <v>5.5</v>
          </cell>
          <cell r="Q2127">
            <v>158.77000000000001</v>
          </cell>
        </row>
        <row r="2128">
          <cell r="D2128">
            <v>45847</v>
          </cell>
          <cell r="G2128">
            <v>3.5</v>
          </cell>
          <cell r="H2128">
            <v>5.5</v>
          </cell>
          <cell r="Q2128">
            <v>58.95</v>
          </cell>
        </row>
        <row r="2129">
          <cell r="D2129">
            <v>45847</v>
          </cell>
          <cell r="G2129">
            <v>2.5</v>
          </cell>
          <cell r="H2129">
            <v>5</v>
          </cell>
          <cell r="Q2129">
            <v>53.25</v>
          </cell>
        </row>
        <row r="2130">
          <cell r="D2130">
            <v>45847</v>
          </cell>
          <cell r="G2130">
            <v>2.5</v>
          </cell>
          <cell r="H2130" t="str">
            <v>5.5-6</v>
          </cell>
          <cell r="Q2130">
            <v>67</v>
          </cell>
        </row>
        <row r="2131">
          <cell r="D2131">
            <v>45847</v>
          </cell>
          <cell r="G2131">
            <v>12</v>
          </cell>
          <cell r="H2131">
            <v>5</v>
          </cell>
          <cell r="Q2131">
            <v>446.20000000000005</v>
          </cell>
        </row>
        <row r="2132">
          <cell r="D2132">
            <v>45847</v>
          </cell>
          <cell r="G2132">
            <v>12</v>
          </cell>
          <cell r="H2132">
            <v>5</v>
          </cell>
          <cell r="Q2132">
            <v>285.97999999999996</v>
          </cell>
        </row>
        <row r="2133">
          <cell r="D2133">
            <v>45847</v>
          </cell>
          <cell r="G2133">
            <v>6</v>
          </cell>
          <cell r="H2133">
            <v>5</v>
          </cell>
          <cell r="Q2133">
            <v>108.79999999999998</v>
          </cell>
        </row>
        <row r="2134">
          <cell r="D2134">
            <v>45847</v>
          </cell>
          <cell r="G2134">
            <v>23</v>
          </cell>
          <cell r="H2134">
            <v>5</v>
          </cell>
          <cell r="Q2134">
            <v>119.19999999999999</v>
          </cell>
        </row>
        <row r="2135">
          <cell r="D2135">
            <v>45847</v>
          </cell>
          <cell r="G2135">
            <v>19</v>
          </cell>
          <cell r="H2135" t="str">
            <v>7</v>
          </cell>
          <cell r="Q2135">
            <v>79.8</v>
          </cell>
        </row>
        <row r="2136">
          <cell r="D2136">
            <v>45847</v>
          </cell>
          <cell r="G2136">
            <v>16</v>
          </cell>
          <cell r="H2136">
            <v>6</v>
          </cell>
          <cell r="Q2136">
            <v>347.62</v>
          </cell>
        </row>
        <row r="2137">
          <cell r="D2137">
            <v>45847</v>
          </cell>
          <cell r="G2137">
            <v>16</v>
          </cell>
          <cell r="H2137">
            <v>6</v>
          </cell>
          <cell r="Q2137">
            <v>279.7</v>
          </cell>
        </row>
        <row r="2138">
          <cell r="D2138">
            <v>45847</v>
          </cell>
          <cell r="G2138">
            <v>18</v>
          </cell>
          <cell r="H2138">
            <v>5</v>
          </cell>
          <cell r="Q2138">
            <v>338.71000000000004</v>
          </cell>
        </row>
        <row r="2139">
          <cell r="D2139">
            <v>45848</v>
          </cell>
          <cell r="G2139">
            <v>3</v>
          </cell>
          <cell r="H2139">
            <v>5.5</v>
          </cell>
          <cell r="Q2139">
            <v>168.10000000000002</v>
          </cell>
        </row>
        <row r="2140">
          <cell r="D2140">
            <v>45848</v>
          </cell>
          <cell r="G2140">
            <v>3</v>
          </cell>
          <cell r="H2140">
            <v>5.5</v>
          </cell>
          <cell r="Q2140">
            <v>122.04</v>
          </cell>
        </row>
        <row r="2141">
          <cell r="D2141">
            <v>45848</v>
          </cell>
          <cell r="G2141">
            <v>3</v>
          </cell>
          <cell r="H2141">
            <v>5.5</v>
          </cell>
          <cell r="Q2141">
            <v>24.8</v>
          </cell>
        </row>
        <row r="2142">
          <cell r="D2142">
            <v>45848</v>
          </cell>
          <cell r="G2142">
            <v>2</v>
          </cell>
          <cell r="H2142">
            <v>5</v>
          </cell>
          <cell r="Q2142">
            <v>76.800000000000011</v>
          </cell>
        </row>
        <row r="2143">
          <cell r="D2143">
            <v>45848</v>
          </cell>
          <cell r="G2143">
            <v>2</v>
          </cell>
          <cell r="H2143">
            <v>5</v>
          </cell>
          <cell r="Q2143">
            <v>70</v>
          </cell>
        </row>
        <row r="2144">
          <cell r="D2144">
            <v>45848</v>
          </cell>
          <cell r="G2144">
            <v>18</v>
          </cell>
          <cell r="H2144">
            <v>5</v>
          </cell>
          <cell r="Q2144">
            <v>302.19999999999993</v>
          </cell>
        </row>
        <row r="2145">
          <cell r="D2145">
            <v>45848</v>
          </cell>
          <cell r="G2145">
            <v>24</v>
          </cell>
          <cell r="H2145">
            <v>6</v>
          </cell>
          <cell r="Q2145">
            <v>160.99999999999997</v>
          </cell>
        </row>
        <row r="2146">
          <cell r="D2146">
            <v>45848</v>
          </cell>
          <cell r="G2146">
            <v>24</v>
          </cell>
          <cell r="H2146">
            <v>6</v>
          </cell>
          <cell r="Q2146">
            <v>262.58999999999997</v>
          </cell>
        </row>
        <row r="2147">
          <cell r="D2147">
            <v>45848</v>
          </cell>
          <cell r="G2147">
            <v>15</v>
          </cell>
          <cell r="H2147">
            <v>5</v>
          </cell>
          <cell r="Q2147">
            <v>166.07999999999998</v>
          </cell>
        </row>
        <row r="2148">
          <cell r="D2148">
            <v>45848</v>
          </cell>
          <cell r="G2148">
            <v>15</v>
          </cell>
          <cell r="H2148">
            <v>6.5</v>
          </cell>
          <cell r="Q2148">
            <v>154.59999999999997</v>
          </cell>
        </row>
        <row r="2149">
          <cell r="D2149">
            <v>45848</v>
          </cell>
          <cell r="G2149">
            <v>6</v>
          </cell>
          <cell r="H2149">
            <v>5</v>
          </cell>
          <cell r="Q2149">
            <v>233.76999999999998</v>
          </cell>
        </row>
        <row r="2150">
          <cell r="D2150">
            <v>45848</v>
          </cell>
          <cell r="G2150">
            <v>6</v>
          </cell>
          <cell r="H2150">
            <v>5</v>
          </cell>
          <cell r="Q2150">
            <v>198.8</v>
          </cell>
        </row>
        <row r="2151">
          <cell r="D2151">
            <v>45848</v>
          </cell>
          <cell r="G2151">
            <v>6</v>
          </cell>
          <cell r="H2151">
            <v>10</v>
          </cell>
          <cell r="Q2151">
            <v>46.599999999999994</v>
          </cell>
        </row>
        <row r="2152">
          <cell r="D2152">
            <v>45848</v>
          </cell>
          <cell r="G2152">
            <v>13</v>
          </cell>
          <cell r="H2152">
            <v>6.5</v>
          </cell>
          <cell r="Q2152">
            <v>52.599999999999994</v>
          </cell>
        </row>
        <row r="2153">
          <cell r="D2153">
            <v>45849</v>
          </cell>
          <cell r="G2153">
            <v>5</v>
          </cell>
          <cell r="H2153">
            <v>5</v>
          </cell>
          <cell r="Q2153">
            <v>98.32</v>
          </cell>
        </row>
        <row r="2154">
          <cell r="D2154">
            <v>45849</v>
          </cell>
          <cell r="G2154">
            <v>4</v>
          </cell>
          <cell r="H2154">
            <v>5</v>
          </cell>
          <cell r="Q2154">
            <v>68.539999999999992</v>
          </cell>
        </row>
        <row r="2155">
          <cell r="D2155">
            <v>45849</v>
          </cell>
          <cell r="G2155">
            <v>4</v>
          </cell>
          <cell r="H2155">
            <v>5</v>
          </cell>
          <cell r="Q2155">
            <v>176.7</v>
          </cell>
        </row>
        <row r="2156">
          <cell r="D2156">
            <v>45849</v>
          </cell>
          <cell r="G2156">
            <v>2</v>
          </cell>
          <cell r="H2156">
            <v>5</v>
          </cell>
          <cell r="Q2156">
            <v>76.3</v>
          </cell>
        </row>
        <row r="2157">
          <cell r="D2157">
            <v>45849</v>
          </cell>
          <cell r="G2157">
            <v>2</v>
          </cell>
          <cell r="H2157">
            <v>5</v>
          </cell>
          <cell r="Q2157">
            <v>61.8</v>
          </cell>
        </row>
        <row r="2158">
          <cell r="D2158">
            <v>45849</v>
          </cell>
          <cell r="G2158">
            <v>15</v>
          </cell>
          <cell r="H2158">
            <v>6.5</v>
          </cell>
          <cell r="Q2158">
            <v>254.68000000000004</v>
          </cell>
        </row>
        <row r="2159">
          <cell r="D2159">
            <v>45849</v>
          </cell>
          <cell r="G2159">
            <v>17</v>
          </cell>
          <cell r="H2159">
            <v>5</v>
          </cell>
          <cell r="Q2159">
            <v>102.39999999999999</v>
          </cell>
        </row>
        <row r="2160">
          <cell r="D2160">
            <v>45849</v>
          </cell>
          <cell r="G2160">
            <v>18</v>
          </cell>
          <cell r="H2160">
            <v>5</v>
          </cell>
          <cell r="Q2160">
            <v>111.4</v>
          </cell>
        </row>
        <row r="2161">
          <cell r="D2161">
            <v>45849</v>
          </cell>
          <cell r="G2161">
            <v>17</v>
          </cell>
          <cell r="H2161" t="str">
            <v>8</v>
          </cell>
          <cell r="Q2161">
            <v>84.6</v>
          </cell>
        </row>
        <row r="2162">
          <cell r="D2162">
            <v>45849</v>
          </cell>
          <cell r="G2162">
            <v>18</v>
          </cell>
          <cell r="H2162">
            <v>4.5</v>
          </cell>
          <cell r="Q2162">
            <v>77.599999999999994</v>
          </cell>
        </row>
        <row r="2163">
          <cell r="D2163">
            <v>45849</v>
          </cell>
          <cell r="G2163">
            <v>14</v>
          </cell>
          <cell r="H2163">
            <v>4.5</v>
          </cell>
          <cell r="Q2163">
            <v>122.28</v>
          </cell>
        </row>
        <row r="2164">
          <cell r="D2164">
            <v>45849</v>
          </cell>
          <cell r="G2164">
            <v>22</v>
          </cell>
          <cell r="H2164" t="str">
            <v>7-7.5</v>
          </cell>
          <cell r="Q2164">
            <v>173.20000000000002</v>
          </cell>
        </row>
        <row r="2165">
          <cell r="D2165">
            <v>45849</v>
          </cell>
          <cell r="G2165">
            <v>18</v>
          </cell>
          <cell r="H2165">
            <v>4.5</v>
          </cell>
          <cell r="Q2165">
            <v>59.899999999999991</v>
          </cell>
        </row>
        <row r="2166">
          <cell r="D2166">
            <v>45849</v>
          </cell>
          <cell r="G2166">
            <v>14</v>
          </cell>
          <cell r="H2166">
            <v>4.5</v>
          </cell>
          <cell r="Q2166">
            <v>37.119999999999997</v>
          </cell>
        </row>
        <row r="2167">
          <cell r="D2167">
            <v>45849</v>
          </cell>
          <cell r="G2167">
            <v>22</v>
          </cell>
          <cell r="H2167" t="str">
            <v>7-7.5</v>
          </cell>
          <cell r="Q2167">
            <v>66.790000000000006</v>
          </cell>
        </row>
        <row r="2168">
          <cell r="D2168">
            <v>45849</v>
          </cell>
          <cell r="G2168">
            <v>13</v>
          </cell>
          <cell r="H2168">
            <v>6.5</v>
          </cell>
          <cell r="Q2168">
            <v>367.81999999999994</v>
          </cell>
        </row>
        <row r="2169">
          <cell r="D2169">
            <v>45849</v>
          </cell>
          <cell r="G2169">
            <v>9</v>
          </cell>
          <cell r="H2169">
            <v>4.5</v>
          </cell>
          <cell r="Q2169">
            <v>65.7</v>
          </cell>
        </row>
        <row r="2170">
          <cell r="D2170">
            <v>45849</v>
          </cell>
          <cell r="G2170">
            <v>9</v>
          </cell>
          <cell r="H2170">
            <v>4.5</v>
          </cell>
          <cell r="Q2170">
            <v>16.450000000000003</v>
          </cell>
        </row>
        <row r="2171">
          <cell r="D2171">
            <v>45849</v>
          </cell>
          <cell r="G2171">
            <v>9</v>
          </cell>
          <cell r="H2171">
            <v>4.5</v>
          </cell>
          <cell r="Q2171">
            <v>59.35</v>
          </cell>
        </row>
        <row r="2172">
          <cell r="D2172">
            <v>45849</v>
          </cell>
          <cell r="G2172">
            <v>9</v>
          </cell>
          <cell r="H2172">
            <v>6</v>
          </cell>
          <cell r="Q2172">
            <v>51.870000000000005</v>
          </cell>
        </row>
        <row r="2173">
          <cell r="D2173">
            <v>45849</v>
          </cell>
          <cell r="G2173">
            <v>12</v>
          </cell>
          <cell r="H2173">
            <v>4.5</v>
          </cell>
          <cell r="Q2173">
            <v>238.40000000000003</v>
          </cell>
        </row>
        <row r="2174">
          <cell r="D2174">
            <v>45850</v>
          </cell>
          <cell r="G2174">
            <v>2.5</v>
          </cell>
          <cell r="H2174" t="str">
            <v>5.5-6</v>
          </cell>
          <cell r="Q2174">
            <v>43.38</v>
          </cell>
        </row>
        <row r="2175">
          <cell r="D2175">
            <v>45850</v>
          </cell>
          <cell r="G2175">
            <v>3.5</v>
          </cell>
          <cell r="H2175" t="str">
            <v>5.5-6</v>
          </cell>
          <cell r="Q2175">
            <v>12.700000000000001</v>
          </cell>
        </row>
        <row r="2176">
          <cell r="D2176">
            <v>45850</v>
          </cell>
          <cell r="G2176">
            <v>3.5</v>
          </cell>
          <cell r="H2176" t="str">
            <v>5.5-6</v>
          </cell>
          <cell r="Q2176">
            <v>75.09</v>
          </cell>
        </row>
        <row r="2177">
          <cell r="D2177">
            <v>45850</v>
          </cell>
          <cell r="G2177">
            <v>3</v>
          </cell>
          <cell r="H2177">
            <v>5.5</v>
          </cell>
          <cell r="Q2177">
            <v>69.28</v>
          </cell>
        </row>
        <row r="2178">
          <cell r="D2178">
            <v>45850</v>
          </cell>
          <cell r="G2178">
            <v>3</v>
          </cell>
          <cell r="H2178">
            <v>5.5</v>
          </cell>
          <cell r="Q2178">
            <v>66.349999999999994</v>
          </cell>
        </row>
        <row r="2179">
          <cell r="D2179">
            <v>45850</v>
          </cell>
          <cell r="G2179">
            <v>22</v>
          </cell>
          <cell r="H2179" t="str">
            <v>7-7.5</v>
          </cell>
          <cell r="Q2179">
            <v>117.4</v>
          </cell>
        </row>
        <row r="2180">
          <cell r="D2180">
            <v>45850</v>
          </cell>
          <cell r="G2180">
            <v>14</v>
          </cell>
          <cell r="H2180" t="str">
            <v>11.5-12</v>
          </cell>
          <cell r="Q2180">
            <v>173.39999999999998</v>
          </cell>
        </row>
        <row r="2181">
          <cell r="D2181">
            <v>45850</v>
          </cell>
          <cell r="G2181">
            <v>14</v>
          </cell>
          <cell r="H2181">
            <v>5</v>
          </cell>
          <cell r="Q2181">
            <v>62.82</v>
          </cell>
        </row>
        <row r="2182">
          <cell r="D2182">
            <v>45850</v>
          </cell>
          <cell r="G2182">
            <v>14</v>
          </cell>
          <cell r="H2182" t="str">
            <v>11.5-12</v>
          </cell>
          <cell r="Q2182">
            <v>510.18</v>
          </cell>
        </row>
        <row r="2183">
          <cell r="D2183">
            <v>45850</v>
          </cell>
          <cell r="G2183">
            <v>12</v>
          </cell>
          <cell r="H2183">
            <v>4.5</v>
          </cell>
          <cell r="Q2183">
            <v>94.539999999999992</v>
          </cell>
        </row>
        <row r="2184">
          <cell r="D2184">
            <v>45850</v>
          </cell>
          <cell r="G2184">
            <v>18</v>
          </cell>
          <cell r="H2184">
            <v>5</v>
          </cell>
          <cell r="Q2184">
            <v>167.39999999999998</v>
          </cell>
        </row>
        <row r="2185">
          <cell r="D2185">
            <v>45850</v>
          </cell>
          <cell r="G2185">
            <v>7</v>
          </cell>
          <cell r="H2185">
            <v>5</v>
          </cell>
          <cell r="Q2185">
            <v>60.999999999999993</v>
          </cell>
        </row>
        <row r="2186">
          <cell r="D2186">
            <v>45850</v>
          </cell>
          <cell r="G2186">
            <v>7</v>
          </cell>
          <cell r="H2186">
            <v>5</v>
          </cell>
          <cell r="Q2186">
            <v>101.99999999999999</v>
          </cell>
        </row>
        <row r="2187">
          <cell r="D2187">
            <v>45850</v>
          </cell>
          <cell r="G2187">
            <v>7</v>
          </cell>
          <cell r="H2187">
            <v>4.5</v>
          </cell>
          <cell r="Q2187">
            <v>24.099999999999998</v>
          </cell>
        </row>
        <row r="2188">
          <cell r="D2188">
            <v>45852</v>
          </cell>
          <cell r="G2188">
            <v>3.5</v>
          </cell>
          <cell r="H2188" t="str">
            <v>5.5-6</v>
          </cell>
          <cell r="Q2188">
            <v>85.16</v>
          </cell>
        </row>
        <row r="2189">
          <cell r="D2189">
            <v>45852</v>
          </cell>
          <cell r="G2189">
            <v>3.5</v>
          </cell>
          <cell r="H2189" t="str">
            <v>5.5-6</v>
          </cell>
          <cell r="Q2189">
            <v>114.13</v>
          </cell>
        </row>
        <row r="2190">
          <cell r="D2190">
            <v>45852</v>
          </cell>
          <cell r="G2190">
            <v>4</v>
          </cell>
          <cell r="H2190">
            <v>5</v>
          </cell>
          <cell r="Q2190">
            <v>27.400000000000002</v>
          </cell>
        </row>
        <row r="2191">
          <cell r="D2191">
            <v>45852</v>
          </cell>
          <cell r="G2191">
            <v>3.5</v>
          </cell>
          <cell r="H2191" t="str">
            <v>5.5-6</v>
          </cell>
          <cell r="Q2191">
            <v>82.064999999999998</v>
          </cell>
        </row>
        <row r="2192">
          <cell r="D2192">
            <v>45852</v>
          </cell>
          <cell r="G2192">
            <v>3.5</v>
          </cell>
          <cell r="H2192" t="str">
            <v>5.5-6</v>
          </cell>
          <cell r="Q2192">
            <v>20.03</v>
          </cell>
        </row>
        <row r="2193">
          <cell r="D2193">
            <v>45852</v>
          </cell>
          <cell r="G2193">
            <v>2</v>
          </cell>
          <cell r="H2193" t="str">
            <v>5.5-6</v>
          </cell>
          <cell r="Q2193">
            <v>66.699999999999989</v>
          </cell>
        </row>
        <row r="2194">
          <cell r="D2194">
            <v>45852</v>
          </cell>
          <cell r="G2194">
            <v>7</v>
          </cell>
          <cell r="H2194">
            <v>5</v>
          </cell>
          <cell r="Q2194">
            <v>99.399999999999991</v>
          </cell>
        </row>
        <row r="2195">
          <cell r="D2195">
            <v>45852</v>
          </cell>
          <cell r="G2195">
            <v>7</v>
          </cell>
          <cell r="H2195">
            <v>5</v>
          </cell>
          <cell r="Q2195">
            <v>211.20000000000002</v>
          </cell>
        </row>
        <row r="2196">
          <cell r="D2196">
            <v>45852</v>
          </cell>
          <cell r="G2196">
            <v>10</v>
          </cell>
          <cell r="H2196">
            <v>5</v>
          </cell>
          <cell r="Q2196">
            <v>42.499999999999993</v>
          </cell>
        </row>
        <row r="2197">
          <cell r="D2197">
            <v>45852</v>
          </cell>
          <cell r="G2197">
            <v>12</v>
          </cell>
          <cell r="H2197">
            <v>5</v>
          </cell>
          <cell r="Q2197">
            <v>201.9</v>
          </cell>
        </row>
        <row r="2198">
          <cell r="D2198">
            <v>45852</v>
          </cell>
          <cell r="G2198">
            <v>12</v>
          </cell>
          <cell r="H2198">
            <v>5</v>
          </cell>
          <cell r="Q2198">
            <v>409.50000000000006</v>
          </cell>
        </row>
        <row r="2199">
          <cell r="D2199">
            <v>45853</v>
          </cell>
          <cell r="G2199">
            <v>4</v>
          </cell>
          <cell r="H2199">
            <v>5</v>
          </cell>
          <cell r="Q2199">
            <v>161</v>
          </cell>
        </row>
        <row r="2200">
          <cell r="D2200">
            <v>45853</v>
          </cell>
          <cell r="G2200">
            <v>4</v>
          </cell>
          <cell r="H2200">
            <v>5</v>
          </cell>
          <cell r="Q2200">
            <v>179.60000000000002</v>
          </cell>
        </row>
        <row r="2201">
          <cell r="D2201">
            <v>45853</v>
          </cell>
          <cell r="G2201">
            <v>2</v>
          </cell>
          <cell r="H2201" t="str">
            <v>5.5-6</v>
          </cell>
          <cell r="Q2201">
            <v>82.9</v>
          </cell>
        </row>
        <row r="2202">
          <cell r="D2202">
            <v>45853</v>
          </cell>
          <cell r="G2202">
            <v>2</v>
          </cell>
          <cell r="H2202" t="str">
            <v>5.5-6</v>
          </cell>
          <cell r="Q2202">
            <v>108.3</v>
          </cell>
        </row>
        <row r="2203">
          <cell r="D2203">
            <v>45853</v>
          </cell>
          <cell r="G2203">
            <v>10</v>
          </cell>
          <cell r="H2203">
            <v>5</v>
          </cell>
          <cell r="Q2203">
            <v>39.500000000000007</v>
          </cell>
        </row>
        <row r="2204">
          <cell r="D2204">
            <v>45853</v>
          </cell>
          <cell r="G2204">
            <v>10</v>
          </cell>
          <cell r="H2204">
            <v>8</v>
          </cell>
          <cell r="Q2204">
            <v>52.2</v>
          </cell>
        </row>
        <row r="2205">
          <cell r="D2205">
            <v>45853</v>
          </cell>
          <cell r="G2205">
            <v>10</v>
          </cell>
          <cell r="H2205">
            <v>4.5</v>
          </cell>
          <cell r="Q2205">
            <v>119.39999999999999</v>
          </cell>
        </row>
        <row r="2206">
          <cell r="D2206">
            <v>45853</v>
          </cell>
          <cell r="G2206">
            <v>10</v>
          </cell>
          <cell r="H2206">
            <v>4.5</v>
          </cell>
          <cell r="Q2206">
            <v>31.599999999999998</v>
          </cell>
        </row>
        <row r="2207">
          <cell r="D2207">
            <v>45853</v>
          </cell>
          <cell r="G2207">
            <v>7</v>
          </cell>
          <cell r="H2207">
            <v>4.5</v>
          </cell>
          <cell r="Q2207">
            <v>45.5</v>
          </cell>
        </row>
        <row r="2208">
          <cell r="D2208">
            <v>45853</v>
          </cell>
          <cell r="G2208">
            <v>7</v>
          </cell>
          <cell r="H2208">
            <v>4.5</v>
          </cell>
          <cell r="Q2208">
            <v>63.8</v>
          </cell>
        </row>
        <row r="2209">
          <cell r="D2209">
            <v>45853</v>
          </cell>
          <cell r="G2209">
            <v>7</v>
          </cell>
          <cell r="H2209">
            <v>5</v>
          </cell>
          <cell r="Q2209">
            <v>170.40000000000003</v>
          </cell>
        </row>
        <row r="2210">
          <cell r="D2210">
            <v>45853</v>
          </cell>
          <cell r="G2210">
            <v>8</v>
          </cell>
          <cell r="H2210">
            <v>4.5</v>
          </cell>
          <cell r="Q2210">
            <v>74.099999999999994</v>
          </cell>
        </row>
        <row r="2211">
          <cell r="D2211">
            <v>45853</v>
          </cell>
          <cell r="G2211">
            <v>12</v>
          </cell>
          <cell r="H2211">
            <v>5</v>
          </cell>
          <cell r="Q2211">
            <v>376.15000000000003</v>
          </cell>
        </row>
        <row r="2212">
          <cell r="D2212">
            <v>45853</v>
          </cell>
          <cell r="G2212">
            <v>12</v>
          </cell>
          <cell r="H2212">
            <v>4.5</v>
          </cell>
          <cell r="Q2212">
            <v>74.2</v>
          </cell>
        </row>
        <row r="2213">
          <cell r="D2213">
            <v>45853</v>
          </cell>
          <cell r="G2213">
            <v>12</v>
          </cell>
          <cell r="H2213">
            <v>6</v>
          </cell>
          <cell r="Q2213">
            <v>279.59999999999997</v>
          </cell>
        </row>
        <row r="2214">
          <cell r="D2214">
            <v>45853</v>
          </cell>
          <cell r="G2214">
            <v>12</v>
          </cell>
          <cell r="H2214">
            <v>4.5</v>
          </cell>
          <cell r="Q2214">
            <v>25.279999999999998</v>
          </cell>
        </row>
        <row r="2215">
          <cell r="D2215">
            <v>45853</v>
          </cell>
          <cell r="G2215">
            <v>11</v>
          </cell>
          <cell r="H2215">
            <v>4.5</v>
          </cell>
          <cell r="Q2215">
            <v>110.7</v>
          </cell>
        </row>
        <row r="2216">
          <cell r="D2216">
            <v>45854</v>
          </cell>
          <cell r="G2216">
            <v>4</v>
          </cell>
          <cell r="H2216">
            <v>5</v>
          </cell>
          <cell r="Q2216">
            <v>180.1</v>
          </cell>
        </row>
        <row r="2217">
          <cell r="D2217">
            <v>45854</v>
          </cell>
          <cell r="G2217">
            <v>4</v>
          </cell>
          <cell r="H2217">
            <v>5</v>
          </cell>
          <cell r="Q2217">
            <v>181.28</v>
          </cell>
        </row>
        <row r="2218">
          <cell r="D2218">
            <v>45854</v>
          </cell>
          <cell r="G2218">
            <v>2</v>
          </cell>
          <cell r="H2218" t="str">
            <v>5.5-6</v>
          </cell>
          <cell r="Q2218">
            <v>55.70000000000001</v>
          </cell>
        </row>
        <row r="2219">
          <cell r="D2219">
            <v>45854</v>
          </cell>
          <cell r="G2219">
            <v>2</v>
          </cell>
          <cell r="H2219" t="str">
            <v>5.5-6</v>
          </cell>
          <cell r="Q2219">
            <v>75.78</v>
          </cell>
        </row>
        <row r="2220">
          <cell r="D2220">
            <v>45854</v>
          </cell>
          <cell r="G2220">
            <v>8</v>
          </cell>
          <cell r="H2220">
            <v>4.5</v>
          </cell>
          <cell r="Q2220">
            <v>22.1</v>
          </cell>
        </row>
        <row r="2221">
          <cell r="D2221">
            <v>45854</v>
          </cell>
          <cell r="G2221">
            <v>8</v>
          </cell>
          <cell r="H2221">
            <v>4.5</v>
          </cell>
          <cell r="Q2221">
            <v>55.1</v>
          </cell>
        </row>
        <row r="2222">
          <cell r="D2222">
            <v>45854</v>
          </cell>
          <cell r="G2222">
            <v>8</v>
          </cell>
          <cell r="H2222">
            <v>4.5</v>
          </cell>
          <cell r="Q2222">
            <v>48.400000000000006</v>
          </cell>
        </row>
        <row r="2223">
          <cell r="D2223">
            <v>45854</v>
          </cell>
          <cell r="G2223">
            <v>6</v>
          </cell>
          <cell r="H2223">
            <v>5</v>
          </cell>
          <cell r="Q2223">
            <v>123.52</v>
          </cell>
        </row>
        <row r="2224">
          <cell r="D2224">
            <v>45854</v>
          </cell>
          <cell r="G2224">
            <v>6</v>
          </cell>
          <cell r="H2224">
            <v>5</v>
          </cell>
          <cell r="Q2224">
            <v>268.59999999999997</v>
          </cell>
        </row>
        <row r="2225">
          <cell r="D2225">
            <v>45854</v>
          </cell>
          <cell r="G2225">
            <v>14</v>
          </cell>
          <cell r="H2225" t="str">
            <v>11.5-12</v>
          </cell>
          <cell r="Q2225">
            <v>149</v>
          </cell>
        </row>
        <row r="2226">
          <cell r="D2226">
            <v>45854</v>
          </cell>
          <cell r="G2226">
            <v>14</v>
          </cell>
          <cell r="H2226" t="str">
            <v>6-6.5</v>
          </cell>
          <cell r="Q2226">
            <v>84.4</v>
          </cell>
        </row>
        <row r="2227">
          <cell r="D2227">
            <v>45854</v>
          </cell>
          <cell r="G2227">
            <v>19</v>
          </cell>
          <cell r="H2227" t="str">
            <v>6-6.5</v>
          </cell>
          <cell r="Q2227">
            <v>103.2</v>
          </cell>
        </row>
        <row r="2228">
          <cell r="D2228">
            <v>45854</v>
          </cell>
          <cell r="G2228">
            <v>28</v>
          </cell>
          <cell r="H2228">
            <v>5</v>
          </cell>
          <cell r="Q2228">
            <v>150.6</v>
          </cell>
        </row>
        <row r="2229">
          <cell r="D2229">
            <v>45854</v>
          </cell>
          <cell r="G2229">
            <v>28</v>
          </cell>
          <cell r="H2229" t="str">
            <v>5-5.5</v>
          </cell>
          <cell r="Q2229">
            <v>387.24</v>
          </cell>
        </row>
        <row r="2230">
          <cell r="D2230">
            <v>45854</v>
          </cell>
          <cell r="G2230">
            <v>15</v>
          </cell>
          <cell r="H2230" t="str">
            <v>6-6.5</v>
          </cell>
          <cell r="Q2230">
            <v>87.43</v>
          </cell>
        </row>
        <row r="2231">
          <cell r="D2231">
            <v>45854</v>
          </cell>
          <cell r="G2231">
            <v>13</v>
          </cell>
          <cell r="H2231" t="str">
            <v>5/5.5</v>
          </cell>
          <cell r="Q2231">
            <v>360.34</v>
          </cell>
        </row>
        <row r="2232">
          <cell r="D2232">
            <v>45854</v>
          </cell>
          <cell r="G2232">
            <v>13</v>
          </cell>
          <cell r="H2232" t="str">
            <v>5/5.5</v>
          </cell>
          <cell r="Q2232">
            <v>286.17</v>
          </cell>
        </row>
        <row r="2233">
          <cell r="D2233">
            <v>45854</v>
          </cell>
          <cell r="G2233">
            <v>13</v>
          </cell>
          <cell r="H2233">
            <v>5</v>
          </cell>
          <cell r="Q2233">
            <v>121.83000000000001</v>
          </cell>
        </row>
        <row r="2234">
          <cell r="D2234">
            <v>45855</v>
          </cell>
          <cell r="G2234">
            <v>4</v>
          </cell>
          <cell r="H2234">
            <v>5</v>
          </cell>
          <cell r="Q2234">
            <v>166.4</v>
          </cell>
        </row>
        <row r="2235">
          <cell r="D2235">
            <v>45855</v>
          </cell>
          <cell r="G2235">
            <v>4</v>
          </cell>
          <cell r="H2235">
            <v>5</v>
          </cell>
          <cell r="Q2235">
            <v>133.80000000000001</v>
          </cell>
        </row>
        <row r="2236">
          <cell r="D2236">
            <v>45855</v>
          </cell>
          <cell r="G2236">
            <v>2</v>
          </cell>
          <cell r="H2236">
            <v>5</v>
          </cell>
          <cell r="Q2236">
            <v>80.08</v>
          </cell>
        </row>
        <row r="2237">
          <cell r="D2237">
            <v>45855</v>
          </cell>
          <cell r="G2237">
            <v>2</v>
          </cell>
          <cell r="H2237">
            <v>5</v>
          </cell>
          <cell r="Q2237">
            <v>77.67</v>
          </cell>
        </row>
        <row r="2238">
          <cell r="D2238">
            <v>45855</v>
          </cell>
          <cell r="G2238">
            <v>6</v>
          </cell>
          <cell r="H2238">
            <v>5</v>
          </cell>
          <cell r="Q2238">
            <v>280.87000000000006</v>
          </cell>
        </row>
        <row r="2239">
          <cell r="D2239">
            <v>45855</v>
          </cell>
          <cell r="G2239">
            <v>6</v>
          </cell>
          <cell r="H2239">
            <v>5</v>
          </cell>
          <cell r="Q2239">
            <v>279.89999999999998</v>
          </cell>
        </row>
        <row r="2240">
          <cell r="D2240">
            <v>45855</v>
          </cell>
          <cell r="G2240">
            <v>28</v>
          </cell>
          <cell r="H2240" t="str">
            <v>5-5.5</v>
          </cell>
          <cell r="Q2240">
            <v>443.20000000000005</v>
          </cell>
        </row>
        <row r="2241">
          <cell r="D2241">
            <v>45855</v>
          </cell>
          <cell r="G2241">
            <v>28</v>
          </cell>
          <cell r="H2241">
            <v>5</v>
          </cell>
          <cell r="Q2241">
            <v>257.10000000000002</v>
          </cell>
        </row>
        <row r="2242">
          <cell r="D2242">
            <v>45855</v>
          </cell>
          <cell r="G2242">
            <v>28</v>
          </cell>
          <cell r="H2242" t="str">
            <v>5-5.5</v>
          </cell>
          <cell r="Q2242">
            <v>126.20000000000002</v>
          </cell>
        </row>
        <row r="2243">
          <cell r="D2243">
            <v>45855</v>
          </cell>
          <cell r="G2243">
            <v>28</v>
          </cell>
          <cell r="H2243">
            <v>5</v>
          </cell>
          <cell r="Q2243">
            <v>273.39999999999998</v>
          </cell>
        </row>
        <row r="2244">
          <cell r="D2244">
            <v>45855</v>
          </cell>
          <cell r="G2244">
            <v>23</v>
          </cell>
          <cell r="H2244" t="str">
            <v>7</v>
          </cell>
          <cell r="Q2244">
            <v>175.4</v>
          </cell>
        </row>
        <row r="2245">
          <cell r="D2245">
            <v>45855</v>
          </cell>
          <cell r="G2245">
            <v>13</v>
          </cell>
          <cell r="H2245">
            <v>6.5</v>
          </cell>
          <cell r="Q2245">
            <v>151.69999999999999</v>
          </cell>
        </row>
        <row r="2246">
          <cell r="D2246">
            <v>45855</v>
          </cell>
          <cell r="G2246">
            <v>14</v>
          </cell>
          <cell r="H2246">
            <v>5</v>
          </cell>
          <cell r="Q2246">
            <v>246.7</v>
          </cell>
        </row>
        <row r="2247">
          <cell r="D2247">
            <v>45855</v>
          </cell>
          <cell r="G2247">
            <v>14</v>
          </cell>
          <cell r="H2247" t="str">
            <v>6-6.5</v>
          </cell>
          <cell r="Q2247">
            <v>34.699999999999996</v>
          </cell>
        </row>
        <row r="2248">
          <cell r="D2248">
            <v>45855</v>
          </cell>
          <cell r="G2248">
            <v>14</v>
          </cell>
          <cell r="H2248" t="str">
            <v>11.5-12</v>
          </cell>
          <cell r="Q2248">
            <v>70.25</v>
          </cell>
        </row>
        <row r="2249">
          <cell r="D2249">
            <v>45855</v>
          </cell>
          <cell r="G2249">
            <v>17</v>
          </cell>
          <cell r="H2249">
            <v>6.5</v>
          </cell>
          <cell r="Q2249">
            <v>177.95000000000002</v>
          </cell>
        </row>
        <row r="2250">
          <cell r="D2250">
            <v>45856</v>
          </cell>
          <cell r="G2250">
            <v>4</v>
          </cell>
          <cell r="H2250" t="str">
            <v>5.5-6</v>
          </cell>
          <cell r="Q2250">
            <v>162.20000000000002</v>
          </cell>
        </row>
        <row r="2251">
          <cell r="D2251">
            <v>45856</v>
          </cell>
          <cell r="G2251">
            <v>4</v>
          </cell>
          <cell r="H2251" t="str">
            <v>5.5-6</v>
          </cell>
          <cell r="Q2251">
            <v>201.84</v>
          </cell>
        </row>
        <row r="2252">
          <cell r="D2252">
            <v>45856</v>
          </cell>
          <cell r="G2252">
            <v>2</v>
          </cell>
          <cell r="H2252" t="str">
            <v>5.5-6</v>
          </cell>
          <cell r="Q2252">
            <v>80.000000000000014</v>
          </cell>
        </row>
        <row r="2253">
          <cell r="D2253">
            <v>45856</v>
          </cell>
          <cell r="G2253">
            <v>2</v>
          </cell>
          <cell r="H2253" t="str">
            <v>5.5-6</v>
          </cell>
          <cell r="Q2253">
            <v>87.4</v>
          </cell>
        </row>
        <row r="2254">
          <cell r="D2254">
            <v>45856</v>
          </cell>
          <cell r="G2254">
            <v>6</v>
          </cell>
          <cell r="H2254">
            <v>5</v>
          </cell>
          <cell r="Q2254">
            <v>257.32000000000005</v>
          </cell>
        </row>
        <row r="2255">
          <cell r="D2255">
            <v>45856</v>
          </cell>
          <cell r="G2255">
            <v>6</v>
          </cell>
          <cell r="H2255">
            <v>5</v>
          </cell>
          <cell r="Q2255">
            <v>226.2</v>
          </cell>
        </row>
        <row r="2256">
          <cell r="D2256">
            <v>45856</v>
          </cell>
          <cell r="G2256">
            <v>23</v>
          </cell>
          <cell r="H2256" t="str">
            <v>7</v>
          </cell>
          <cell r="Q2256">
            <v>221.74999999999997</v>
          </cell>
        </row>
        <row r="2257">
          <cell r="D2257">
            <v>45856</v>
          </cell>
          <cell r="G2257">
            <v>20</v>
          </cell>
          <cell r="H2257" t="str">
            <v>6-6.5</v>
          </cell>
          <cell r="Q2257">
            <v>436.98</v>
          </cell>
        </row>
        <row r="2258">
          <cell r="D2258">
            <v>45856</v>
          </cell>
          <cell r="G2258">
            <v>20</v>
          </cell>
          <cell r="H2258" t="str">
            <v>6-6.5</v>
          </cell>
          <cell r="Q2258">
            <v>237.29999999999998</v>
          </cell>
        </row>
        <row r="2259">
          <cell r="D2259">
            <v>45856</v>
          </cell>
          <cell r="G2259">
            <v>20</v>
          </cell>
          <cell r="H2259" t="str">
            <v>5-5.5</v>
          </cell>
          <cell r="Q2259">
            <v>421.59999999999997</v>
          </cell>
        </row>
        <row r="2260">
          <cell r="D2260">
            <v>45856</v>
          </cell>
          <cell r="G2260">
            <v>11</v>
          </cell>
          <cell r="H2260">
            <v>5</v>
          </cell>
          <cell r="Q2260">
            <v>420.99</v>
          </cell>
        </row>
        <row r="2261">
          <cell r="D2261">
            <v>45856</v>
          </cell>
          <cell r="G2261">
            <v>11</v>
          </cell>
          <cell r="H2261">
            <v>5</v>
          </cell>
          <cell r="Q2261">
            <v>450.29999999999995</v>
          </cell>
        </row>
        <row r="2262">
          <cell r="D2262">
            <v>45857</v>
          </cell>
          <cell r="G2262">
            <v>4</v>
          </cell>
          <cell r="H2262">
            <v>5</v>
          </cell>
          <cell r="Q2262">
            <v>183.39999999999998</v>
          </cell>
        </row>
        <row r="2263">
          <cell r="D2263">
            <v>45857</v>
          </cell>
          <cell r="G2263">
            <v>4</v>
          </cell>
          <cell r="H2263">
            <v>5</v>
          </cell>
          <cell r="Q2263">
            <v>149.79</v>
          </cell>
        </row>
        <row r="2264">
          <cell r="D2264">
            <v>45857</v>
          </cell>
          <cell r="G2264">
            <v>2.5</v>
          </cell>
          <cell r="H2264">
            <v>5</v>
          </cell>
          <cell r="Q2264">
            <v>72.73</v>
          </cell>
        </row>
        <row r="2265">
          <cell r="D2265">
            <v>45857</v>
          </cell>
          <cell r="G2265">
            <v>2.5</v>
          </cell>
          <cell r="H2265">
            <v>5</v>
          </cell>
          <cell r="Q2265">
            <v>18.5</v>
          </cell>
        </row>
        <row r="2266">
          <cell r="D2266">
            <v>45857</v>
          </cell>
          <cell r="G2266">
            <v>2.5</v>
          </cell>
          <cell r="H2266">
            <v>5</v>
          </cell>
          <cell r="Q2266">
            <v>82.320000000000007</v>
          </cell>
        </row>
        <row r="2267">
          <cell r="D2267">
            <v>45857</v>
          </cell>
          <cell r="G2267">
            <v>6</v>
          </cell>
          <cell r="H2267">
            <v>5</v>
          </cell>
          <cell r="Q2267">
            <v>134.82999999999998</v>
          </cell>
        </row>
        <row r="2268">
          <cell r="D2268">
            <v>45857</v>
          </cell>
          <cell r="G2268">
            <v>8</v>
          </cell>
          <cell r="H2268">
            <v>10</v>
          </cell>
          <cell r="Q2268">
            <v>127.49999999999999</v>
          </cell>
        </row>
        <row r="2269">
          <cell r="D2269">
            <v>45857</v>
          </cell>
          <cell r="G2269">
            <v>8</v>
          </cell>
          <cell r="H2269">
            <v>10</v>
          </cell>
          <cell r="Q2269">
            <v>33.5</v>
          </cell>
        </row>
        <row r="2270">
          <cell r="D2270">
            <v>45857</v>
          </cell>
          <cell r="G2270">
            <v>8</v>
          </cell>
          <cell r="H2270">
            <v>5</v>
          </cell>
          <cell r="Q2270">
            <v>249.6</v>
          </cell>
        </row>
        <row r="2271">
          <cell r="D2271">
            <v>45857</v>
          </cell>
          <cell r="G2271">
            <v>20</v>
          </cell>
          <cell r="H2271" t="str">
            <v>5-5.5</v>
          </cell>
          <cell r="Q2271">
            <v>151.79999999999998</v>
          </cell>
        </row>
        <row r="2272">
          <cell r="D2272">
            <v>45857</v>
          </cell>
          <cell r="G2272">
            <v>20</v>
          </cell>
          <cell r="H2272" t="str">
            <v>5-5.5</v>
          </cell>
          <cell r="Q2272">
            <v>72.900000000000006</v>
          </cell>
        </row>
        <row r="2273">
          <cell r="D2273">
            <v>45857</v>
          </cell>
          <cell r="G2273">
            <v>22</v>
          </cell>
          <cell r="H2273" t="str">
            <v>5-5.5</v>
          </cell>
          <cell r="Q2273">
            <v>408.85</v>
          </cell>
        </row>
        <row r="2274">
          <cell r="D2274">
            <v>45857</v>
          </cell>
          <cell r="G2274">
            <v>22</v>
          </cell>
          <cell r="H2274" t="str">
            <v>5-5.5</v>
          </cell>
          <cell r="Q2274">
            <v>613.80000000000007</v>
          </cell>
        </row>
        <row r="2275">
          <cell r="D2275">
            <v>45857</v>
          </cell>
          <cell r="G2275">
            <v>11</v>
          </cell>
          <cell r="H2275">
            <v>5</v>
          </cell>
          <cell r="Q2275">
            <v>113.60000000000001</v>
          </cell>
        </row>
        <row r="2276">
          <cell r="D2276">
            <v>45857</v>
          </cell>
          <cell r="G2276">
            <v>12</v>
          </cell>
          <cell r="H2276">
            <v>5</v>
          </cell>
          <cell r="Q2276">
            <v>418.33</v>
          </cell>
        </row>
        <row r="2277">
          <cell r="D2277">
            <v>45857</v>
          </cell>
          <cell r="G2277">
            <v>12</v>
          </cell>
          <cell r="H2277">
            <v>5</v>
          </cell>
          <cell r="Q2277">
            <v>455.42999999999995</v>
          </cell>
        </row>
        <row r="2278">
          <cell r="D2278">
            <v>45859</v>
          </cell>
          <cell r="G2278">
            <v>5</v>
          </cell>
          <cell r="H2278">
            <v>5</v>
          </cell>
          <cell r="Q2278">
            <v>45.449999999999996</v>
          </cell>
        </row>
        <row r="2279">
          <cell r="D2279">
            <v>45859</v>
          </cell>
          <cell r="G2279">
            <v>5</v>
          </cell>
          <cell r="H2279">
            <v>5</v>
          </cell>
          <cell r="Q2279">
            <v>149.67000000000002</v>
          </cell>
        </row>
        <row r="2280">
          <cell r="D2280">
            <v>45859</v>
          </cell>
          <cell r="G2280">
            <v>2.5</v>
          </cell>
          <cell r="H2280">
            <v>5</v>
          </cell>
          <cell r="Q2280">
            <v>82.550000000000011</v>
          </cell>
        </row>
        <row r="2281">
          <cell r="D2281">
            <v>45859</v>
          </cell>
          <cell r="G2281">
            <v>2.5</v>
          </cell>
          <cell r="H2281">
            <v>5</v>
          </cell>
          <cell r="Q2281">
            <v>110.13999999999999</v>
          </cell>
        </row>
        <row r="2282">
          <cell r="D2282">
            <v>45859</v>
          </cell>
          <cell r="G2282">
            <v>8</v>
          </cell>
          <cell r="H2282">
            <v>5</v>
          </cell>
          <cell r="Q2282">
            <v>236.19000000000003</v>
          </cell>
        </row>
        <row r="2283">
          <cell r="D2283">
            <v>45859</v>
          </cell>
          <cell r="G2283">
            <v>8</v>
          </cell>
          <cell r="H2283">
            <v>5</v>
          </cell>
          <cell r="Q2283">
            <v>135.94999999999999</v>
          </cell>
        </row>
        <row r="2284">
          <cell r="D2284">
            <v>45859</v>
          </cell>
          <cell r="G2284">
            <v>7</v>
          </cell>
          <cell r="H2284">
            <v>10</v>
          </cell>
          <cell r="Q2284">
            <v>104.19999999999999</v>
          </cell>
        </row>
        <row r="2285">
          <cell r="D2285">
            <v>45859</v>
          </cell>
          <cell r="G2285">
            <v>7</v>
          </cell>
          <cell r="H2285">
            <v>4.5</v>
          </cell>
          <cell r="Q2285">
            <v>92.77</v>
          </cell>
        </row>
        <row r="2286">
          <cell r="D2286">
            <v>45859</v>
          </cell>
          <cell r="G2286">
            <v>18</v>
          </cell>
          <cell r="H2286" t="str">
            <v>5-5.5</v>
          </cell>
          <cell r="Q2286">
            <v>464.38</v>
          </cell>
        </row>
        <row r="2287">
          <cell r="D2287">
            <v>45859</v>
          </cell>
          <cell r="G2287">
            <v>18</v>
          </cell>
          <cell r="H2287" t="str">
            <v>5-5.5</v>
          </cell>
          <cell r="Q2287">
            <v>630.68999999999994</v>
          </cell>
        </row>
        <row r="2288">
          <cell r="D2288">
            <v>45859</v>
          </cell>
          <cell r="G2288">
            <v>18</v>
          </cell>
          <cell r="H2288">
            <v>5</v>
          </cell>
          <cell r="Q2288">
            <v>102.7</v>
          </cell>
        </row>
        <row r="2289">
          <cell r="D2289">
            <v>45859</v>
          </cell>
          <cell r="G2289">
            <v>14</v>
          </cell>
          <cell r="H2289">
            <v>5</v>
          </cell>
          <cell r="Q2289">
            <v>365.95</v>
          </cell>
        </row>
        <row r="2290">
          <cell r="D2290">
            <v>45859</v>
          </cell>
          <cell r="G2290">
            <v>14</v>
          </cell>
          <cell r="H2290">
            <v>10</v>
          </cell>
          <cell r="Q2290">
            <v>42.6</v>
          </cell>
        </row>
        <row r="2291">
          <cell r="D2291">
            <v>45859</v>
          </cell>
          <cell r="G2291">
            <v>14</v>
          </cell>
          <cell r="H2291" t="str">
            <v>6-6.5</v>
          </cell>
          <cell r="Q2291">
            <v>12.55</v>
          </cell>
        </row>
        <row r="2292">
          <cell r="D2292">
            <v>45859</v>
          </cell>
          <cell r="G2292">
            <v>14</v>
          </cell>
          <cell r="H2292">
            <v>10</v>
          </cell>
          <cell r="Q2292">
            <v>57.4</v>
          </cell>
        </row>
        <row r="2293">
          <cell r="D2293">
            <v>45859</v>
          </cell>
          <cell r="G2293">
            <v>14</v>
          </cell>
          <cell r="H2293">
            <v>5</v>
          </cell>
          <cell r="Q2293">
            <v>276.09999999999997</v>
          </cell>
        </row>
        <row r="2294">
          <cell r="D2294">
            <v>45859</v>
          </cell>
          <cell r="G2294">
            <v>10</v>
          </cell>
          <cell r="H2294">
            <v>5</v>
          </cell>
          <cell r="Q2294">
            <v>164.4</v>
          </cell>
        </row>
        <row r="2295">
          <cell r="D2295">
            <v>45860</v>
          </cell>
          <cell r="G2295">
            <v>5</v>
          </cell>
          <cell r="H2295">
            <v>5</v>
          </cell>
          <cell r="Q2295">
            <v>18.25</v>
          </cell>
        </row>
        <row r="2296">
          <cell r="D2296">
            <v>45860</v>
          </cell>
          <cell r="G2296">
            <v>4.5</v>
          </cell>
          <cell r="H2296">
            <v>5</v>
          </cell>
          <cell r="Q2296">
            <v>173.22</v>
          </cell>
        </row>
        <row r="2297">
          <cell r="D2297">
            <v>45860</v>
          </cell>
          <cell r="G2297">
            <v>4.5</v>
          </cell>
          <cell r="H2297">
            <v>5</v>
          </cell>
          <cell r="Q2297">
            <v>59.29</v>
          </cell>
        </row>
        <row r="2298">
          <cell r="D2298">
            <v>45860</v>
          </cell>
          <cell r="G2298">
            <v>4</v>
          </cell>
          <cell r="H2298">
            <v>8</v>
          </cell>
          <cell r="Q2298">
            <v>88.92</v>
          </cell>
        </row>
        <row r="2299">
          <cell r="D2299">
            <v>45860</v>
          </cell>
          <cell r="G2299">
            <v>2.5</v>
          </cell>
          <cell r="H2299">
            <v>5</v>
          </cell>
          <cell r="Q2299">
            <v>103.05</v>
          </cell>
        </row>
        <row r="2300">
          <cell r="D2300">
            <v>45860</v>
          </cell>
          <cell r="G2300">
            <v>2.5</v>
          </cell>
          <cell r="H2300">
            <v>5</v>
          </cell>
          <cell r="Q2300">
            <v>43.800000000000004</v>
          </cell>
        </row>
        <row r="2301">
          <cell r="D2301">
            <v>45860</v>
          </cell>
          <cell r="G2301">
            <v>3.5</v>
          </cell>
          <cell r="H2301">
            <v>5</v>
          </cell>
          <cell r="Q2301">
            <v>85.740000000000009</v>
          </cell>
        </row>
        <row r="2302">
          <cell r="D2302">
            <v>45860</v>
          </cell>
          <cell r="G2302">
            <v>7</v>
          </cell>
          <cell r="H2302">
            <v>4.5</v>
          </cell>
          <cell r="Q2302">
            <v>90.9</v>
          </cell>
        </row>
        <row r="2303">
          <cell r="D2303">
            <v>45860</v>
          </cell>
          <cell r="G2303">
            <v>7</v>
          </cell>
          <cell r="H2303">
            <v>5</v>
          </cell>
          <cell r="Q2303">
            <v>198.51999999999998</v>
          </cell>
        </row>
        <row r="2304">
          <cell r="D2304">
            <v>45860</v>
          </cell>
          <cell r="G2304">
            <v>7</v>
          </cell>
          <cell r="H2304">
            <v>5</v>
          </cell>
          <cell r="Q2304">
            <v>282.3</v>
          </cell>
        </row>
        <row r="2305">
          <cell r="D2305">
            <v>45860</v>
          </cell>
          <cell r="G2305">
            <v>18</v>
          </cell>
          <cell r="H2305">
            <v>5</v>
          </cell>
          <cell r="Q2305">
            <v>563.79999999999984</v>
          </cell>
        </row>
        <row r="2306">
          <cell r="D2306">
            <v>45860</v>
          </cell>
          <cell r="G2306">
            <v>18</v>
          </cell>
          <cell r="H2306" t="str">
            <v>4-4.5</v>
          </cell>
          <cell r="Q2306">
            <v>99.83</v>
          </cell>
        </row>
        <row r="2307">
          <cell r="D2307">
            <v>45860</v>
          </cell>
          <cell r="G2307">
            <v>17</v>
          </cell>
          <cell r="H2307" t="str">
            <v>5-5.5</v>
          </cell>
          <cell r="Q2307">
            <v>45.53</v>
          </cell>
        </row>
        <row r="2308">
          <cell r="D2308">
            <v>45860</v>
          </cell>
          <cell r="G2308">
            <v>17</v>
          </cell>
          <cell r="H2308" t="str">
            <v>5-5.5</v>
          </cell>
          <cell r="Q2308">
            <v>112.7</v>
          </cell>
        </row>
        <row r="2309">
          <cell r="D2309">
            <v>45860</v>
          </cell>
          <cell r="G2309">
            <v>16</v>
          </cell>
          <cell r="H2309" t="str">
            <v>11-11.5</v>
          </cell>
          <cell r="Q2309">
            <v>106.3</v>
          </cell>
        </row>
        <row r="2310">
          <cell r="D2310">
            <v>45860</v>
          </cell>
          <cell r="G2310">
            <v>16</v>
          </cell>
          <cell r="H2310" t="str">
            <v>5-5.5</v>
          </cell>
          <cell r="Q2310">
            <v>289.26</v>
          </cell>
        </row>
        <row r="2311">
          <cell r="D2311">
            <v>45860</v>
          </cell>
          <cell r="G2311">
            <v>17</v>
          </cell>
          <cell r="H2311" t="str">
            <v>5-5.5</v>
          </cell>
          <cell r="Q2311">
            <v>207.50000000000003</v>
          </cell>
        </row>
        <row r="2312">
          <cell r="D2312">
            <v>45860</v>
          </cell>
          <cell r="G2312">
            <v>10</v>
          </cell>
          <cell r="H2312">
            <v>8</v>
          </cell>
          <cell r="Q2312">
            <v>58.1</v>
          </cell>
        </row>
        <row r="2313">
          <cell r="D2313">
            <v>45860</v>
          </cell>
          <cell r="G2313">
            <v>10</v>
          </cell>
          <cell r="H2313">
            <v>5</v>
          </cell>
          <cell r="Q2313">
            <v>438.36999999999989</v>
          </cell>
        </row>
        <row r="2314">
          <cell r="D2314">
            <v>45860</v>
          </cell>
          <cell r="G2314">
            <v>10</v>
          </cell>
          <cell r="H2314">
            <v>5</v>
          </cell>
          <cell r="Q2314">
            <v>140.5</v>
          </cell>
        </row>
        <row r="2315">
          <cell r="D2315">
            <v>45860</v>
          </cell>
          <cell r="G2315">
            <v>10</v>
          </cell>
          <cell r="H2315">
            <v>5</v>
          </cell>
          <cell r="Q2315">
            <v>201.33999999999997</v>
          </cell>
        </row>
        <row r="2316">
          <cell r="D2316">
            <v>45860</v>
          </cell>
          <cell r="G2316">
            <v>10</v>
          </cell>
          <cell r="H2316" t="str">
            <v>4-4.5</v>
          </cell>
          <cell r="Q2316">
            <v>112.6</v>
          </cell>
        </row>
        <row r="2317">
          <cell r="D2317">
            <v>45861</v>
          </cell>
          <cell r="G2317">
            <v>4</v>
          </cell>
          <cell r="H2317" t="str">
            <v>5.5-6</v>
          </cell>
          <cell r="Q2317">
            <v>144.96</v>
          </cell>
        </row>
        <row r="2318">
          <cell r="D2318">
            <v>45861</v>
          </cell>
          <cell r="G2318">
            <v>4</v>
          </cell>
          <cell r="H2318" t="str">
            <v>6-6.5</v>
          </cell>
          <cell r="Q2318">
            <v>27.9</v>
          </cell>
        </row>
        <row r="2319">
          <cell r="D2319">
            <v>45861</v>
          </cell>
          <cell r="G2319">
            <v>4</v>
          </cell>
          <cell r="H2319" t="str">
            <v>6-6.5</v>
          </cell>
          <cell r="Q2319">
            <v>168.98</v>
          </cell>
        </row>
        <row r="2320">
          <cell r="D2320">
            <v>45861</v>
          </cell>
          <cell r="G2320">
            <v>3.5</v>
          </cell>
          <cell r="H2320">
            <v>5</v>
          </cell>
          <cell r="Q2320">
            <v>102.45</v>
          </cell>
        </row>
        <row r="2321">
          <cell r="D2321">
            <v>45861</v>
          </cell>
          <cell r="G2321">
            <v>3.5</v>
          </cell>
          <cell r="H2321">
            <v>5</v>
          </cell>
          <cell r="Q2321">
            <v>121.34999999999998</v>
          </cell>
        </row>
        <row r="2322">
          <cell r="D2322">
            <v>45861</v>
          </cell>
          <cell r="G2322">
            <v>7</v>
          </cell>
          <cell r="H2322">
            <v>5</v>
          </cell>
          <cell r="Q2322">
            <v>399</v>
          </cell>
        </row>
        <row r="2323">
          <cell r="D2323">
            <v>45861</v>
          </cell>
          <cell r="G2323">
            <v>7</v>
          </cell>
          <cell r="H2323">
            <v>10</v>
          </cell>
          <cell r="Q2323">
            <v>132.00000000000003</v>
          </cell>
        </row>
        <row r="2324">
          <cell r="D2324">
            <v>45861</v>
          </cell>
          <cell r="G2324">
            <v>8</v>
          </cell>
          <cell r="H2324" t="str">
            <v>6-6.5</v>
          </cell>
          <cell r="Q2324">
            <v>148.20000000000002</v>
          </cell>
        </row>
        <row r="2325">
          <cell r="D2325">
            <v>45861</v>
          </cell>
          <cell r="G2325">
            <v>7</v>
          </cell>
          <cell r="H2325">
            <v>5</v>
          </cell>
          <cell r="Q2325">
            <v>32.5</v>
          </cell>
        </row>
        <row r="2326">
          <cell r="D2326">
            <v>45861</v>
          </cell>
          <cell r="G2326">
            <v>16</v>
          </cell>
          <cell r="H2326" t="str">
            <v>5-5.5</v>
          </cell>
          <cell r="Q2326">
            <v>657.4000000000002</v>
          </cell>
        </row>
        <row r="2327">
          <cell r="D2327">
            <v>45861</v>
          </cell>
          <cell r="G2327">
            <v>16</v>
          </cell>
          <cell r="H2327" t="str">
            <v>5-5.5</v>
          </cell>
          <cell r="Q2327">
            <v>101.36</v>
          </cell>
        </row>
        <row r="2328">
          <cell r="D2328">
            <v>45861</v>
          </cell>
          <cell r="G2328">
            <v>16.2</v>
          </cell>
          <cell r="H2328" t="str">
            <v>-</v>
          </cell>
          <cell r="Q2328">
            <v>566.69000000000005</v>
          </cell>
        </row>
        <row r="2329">
          <cell r="D2329">
            <v>45861</v>
          </cell>
          <cell r="G2329">
            <v>10</v>
          </cell>
          <cell r="H2329">
            <v>5</v>
          </cell>
          <cell r="Q2329">
            <v>214.3</v>
          </cell>
        </row>
        <row r="2330">
          <cell r="D2330">
            <v>45861</v>
          </cell>
          <cell r="G2330">
            <v>12</v>
          </cell>
          <cell r="H2330">
            <v>5</v>
          </cell>
          <cell r="Q2330">
            <v>300.94</v>
          </cell>
        </row>
        <row r="2331">
          <cell r="D2331">
            <v>45861</v>
          </cell>
          <cell r="G2331">
            <v>12</v>
          </cell>
          <cell r="H2331">
            <v>6</v>
          </cell>
          <cell r="Q2331">
            <v>30.4</v>
          </cell>
        </row>
        <row r="2332">
          <cell r="D2332">
            <v>45861</v>
          </cell>
          <cell r="G2332">
            <v>12</v>
          </cell>
          <cell r="H2332">
            <v>6</v>
          </cell>
          <cell r="Q2332">
            <v>46.1</v>
          </cell>
        </row>
        <row r="2333">
          <cell r="D2333">
            <v>45861</v>
          </cell>
          <cell r="G2333" t="str">
            <v>-</v>
          </cell>
          <cell r="H2333" t="str">
            <v>-</v>
          </cell>
          <cell r="Q2333">
            <v>462.90000000000003</v>
          </cell>
        </row>
        <row r="2334">
          <cell r="D2334">
            <v>45862</v>
          </cell>
          <cell r="G2334">
            <v>4</v>
          </cell>
          <cell r="H2334" t="str">
            <v>6-6.5</v>
          </cell>
          <cell r="Q2334">
            <v>89.46</v>
          </cell>
        </row>
        <row r="2335">
          <cell r="D2335">
            <v>45862</v>
          </cell>
          <cell r="G2335">
            <v>4</v>
          </cell>
          <cell r="H2335" t="str">
            <v>5.5-6</v>
          </cell>
          <cell r="Q2335">
            <v>50</v>
          </cell>
        </row>
        <row r="2336">
          <cell r="D2336">
            <v>45862</v>
          </cell>
          <cell r="G2336">
            <v>4</v>
          </cell>
          <cell r="H2336" t="str">
            <v>6-6.5</v>
          </cell>
          <cell r="Q2336">
            <v>32.75</v>
          </cell>
        </row>
        <row r="2337">
          <cell r="D2337">
            <v>45862</v>
          </cell>
          <cell r="G2337">
            <v>4</v>
          </cell>
          <cell r="H2337" t="str">
            <v>5.5-6</v>
          </cell>
          <cell r="Q2337">
            <v>141.21000000000004</v>
          </cell>
        </row>
        <row r="2338">
          <cell r="D2338">
            <v>45862</v>
          </cell>
          <cell r="G2338">
            <v>3.5</v>
          </cell>
          <cell r="H2338">
            <v>5</v>
          </cell>
          <cell r="Q2338">
            <v>137.5</v>
          </cell>
        </row>
        <row r="2339">
          <cell r="D2339">
            <v>45862</v>
          </cell>
          <cell r="G2339">
            <v>3.5</v>
          </cell>
          <cell r="H2339">
            <v>5</v>
          </cell>
          <cell r="Q2339">
            <v>69.95</v>
          </cell>
        </row>
        <row r="2340">
          <cell r="D2340">
            <v>45862</v>
          </cell>
          <cell r="G2340">
            <v>3.5</v>
          </cell>
          <cell r="H2340">
            <v>8</v>
          </cell>
          <cell r="Q2340">
            <v>54.9</v>
          </cell>
        </row>
        <row r="2341">
          <cell r="D2341">
            <v>45862</v>
          </cell>
          <cell r="G2341">
            <v>8</v>
          </cell>
          <cell r="H2341" t="str">
            <v>6-6.5</v>
          </cell>
          <cell r="Q2341">
            <v>181</v>
          </cell>
        </row>
        <row r="2342">
          <cell r="D2342">
            <v>45862</v>
          </cell>
          <cell r="G2342">
            <v>8</v>
          </cell>
          <cell r="H2342">
            <v>5</v>
          </cell>
          <cell r="Q2342">
            <v>112.72999999999999</v>
          </cell>
        </row>
        <row r="2343">
          <cell r="D2343">
            <v>45862</v>
          </cell>
          <cell r="G2343">
            <v>8</v>
          </cell>
          <cell r="H2343">
            <v>5</v>
          </cell>
          <cell r="Q2343">
            <v>343.6</v>
          </cell>
        </row>
        <row r="2344">
          <cell r="D2344">
            <v>45862</v>
          </cell>
          <cell r="G2344">
            <v>16.2</v>
          </cell>
          <cell r="H2344" t="str">
            <v>-</v>
          </cell>
          <cell r="Q2344">
            <v>708.88</v>
          </cell>
        </row>
        <row r="2345">
          <cell r="D2345">
            <v>45862</v>
          </cell>
          <cell r="G2345">
            <v>16.2</v>
          </cell>
          <cell r="H2345" t="str">
            <v>-</v>
          </cell>
          <cell r="Q2345">
            <v>812.45</v>
          </cell>
        </row>
        <row r="2346">
          <cell r="D2346">
            <v>45862</v>
          </cell>
          <cell r="G2346">
            <v>12</v>
          </cell>
          <cell r="H2346">
            <v>5</v>
          </cell>
          <cell r="Q2346">
            <v>366.11999999999995</v>
          </cell>
        </row>
        <row r="2347">
          <cell r="D2347">
            <v>45862</v>
          </cell>
          <cell r="G2347">
            <v>14</v>
          </cell>
          <cell r="H2347" t="str">
            <v>3_6</v>
          </cell>
          <cell r="Q2347">
            <v>62.580000000000005</v>
          </cell>
        </row>
        <row r="2348">
          <cell r="D2348">
            <v>45862</v>
          </cell>
          <cell r="G2348">
            <v>15</v>
          </cell>
          <cell r="H2348">
            <v>10</v>
          </cell>
          <cell r="Q2348">
            <v>107.8</v>
          </cell>
        </row>
        <row r="2349">
          <cell r="D2349">
            <v>45862</v>
          </cell>
          <cell r="G2349">
            <v>15</v>
          </cell>
          <cell r="H2349">
            <v>10</v>
          </cell>
          <cell r="Q2349">
            <v>92.8</v>
          </cell>
        </row>
        <row r="2350">
          <cell r="D2350">
            <v>45862</v>
          </cell>
          <cell r="G2350">
            <v>15</v>
          </cell>
          <cell r="H2350">
            <v>6.5</v>
          </cell>
          <cell r="Q2350">
            <v>328.09999999999997</v>
          </cell>
        </row>
        <row r="2351">
          <cell r="D2351">
            <v>45862</v>
          </cell>
          <cell r="G2351">
            <v>15</v>
          </cell>
          <cell r="H2351">
            <v>6.5</v>
          </cell>
          <cell r="Q2351">
            <v>136.15</v>
          </cell>
        </row>
        <row r="2352">
          <cell r="D2352">
            <v>45863</v>
          </cell>
          <cell r="G2352">
            <v>4</v>
          </cell>
          <cell r="H2352" t="str">
            <v>5.5-6</v>
          </cell>
          <cell r="Q2352">
            <v>176.3</v>
          </cell>
        </row>
        <row r="2353">
          <cell r="D2353">
            <v>45863</v>
          </cell>
          <cell r="G2353">
            <v>4</v>
          </cell>
          <cell r="H2353" t="str">
            <v>5.5-6</v>
          </cell>
          <cell r="Q2353">
            <v>162.99000000000004</v>
          </cell>
        </row>
        <row r="2354">
          <cell r="D2354">
            <v>45863</v>
          </cell>
          <cell r="G2354">
            <v>3.5</v>
          </cell>
          <cell r="H2354">
            <v>8</v>
          </cell>
          <cell r="Q2354">
            <v>116.02</v>
          </cell>
        </row>
        <row r="2355">
          <cell r="D2355">
            <v>45863</v>
          </cell>
          <cell r="G2355">
            <v>3.5</v>
          </cell>
          <cell r="H2355">
            <v>8</v>
          </cell>
          <cell r="Q2355">
            <v>148.14000000000001</v>
          </cell>
        </row>
        <row r="2356">
          <cell r="D2356">
            <v>45863</v>
          </cell>
          <cell r="G2356">
            <v>8</v>
          </cell>
          <cell r="H2356">
            <v>5</v>
          </cell>
          <cell r="Q2356">
            <v>272.04999999999995</v>
          </cell>
        </row>
        <row r="2357">
          <cell r="D2357">
            <v>45863</v>
          </cell>
          <cell r="G2357">
            <v>8</v>
          </cell>
          <cell r="H2357">
            <v>5</v>
          </cell>
          <cell r="Q2357">
            <v>291.79999999999995</v>
          </cell>
        </row>
        <row r="2358">
          <cell r="D2358">
            <v>45863</v>
          </cell>
          <cell r="G2358">
            <v>16.2</v>
          </cell>
          <cell r="H2358" t="str">
            <v>-</v>
          </cell>
          <cell r="Q2358">
            <v>96.600000000000009</v>
          </cell>
        </row>
        <row r="2359">
          <cell r="D2359">
            <v>45863</v>
          </cell>
          <cell r="G2359">
            <v>18</v>
          </cell>
          <cell r="H2359" t="str">
            <v>6-6.5</v>
          </cell>
          <cell r="Q2359">
            <v>201.79999999999998</v>
          </cell>
        </row>
        <row r="2360">
          <cell r="D2360">
            <v>45863</v>
          </cell>
          <cell r="G2360">
            <v>24</v>
          </cell>
          <cell r="H2360" t="str">
            <v>5-5.5</v>
          </cell>
          <cell r="Q2360">
            <v>495.30000000000007</v>
          </cell>
        </row>
        <row r="2361">
          <cell r="D2361">
            <v>45863</v>
          </cell>
          <cell r="G2361">
            <v>24</v>
          </cell>
          <cell r="H2361" t="str">
            <v>5-5.5</v>
          </cell>
          <cell r="Q2361">
            <v>270.21000000000004</v>
          </cell>
        </row>
        <row r="2362">
          <cell r="D2362">
            <v>45863</v>
          </cell>
          <cell r="G2362">
            <v>18</v>
          </cell>
          <cell r="H2362">
            <v>5</v>
          </cell>
          <cell r="Q2362">
            <v>532.15</v>
          </cell>
        </row>
        <row r="2363">
          <cell r="D2363">
            <v>45863</v>
          </cell>
          <cell r="G2363">
            <v>15</v>
          </cell>
          <cell r="H2363">
            <v>6.5</v>
          </cell>
          <cell r="Q2363">
            <v>508.25999999999993</v>
          </cell>
        </row>
        <row r="2364">
          <cell r="D2364">
            <v>45863</v>
          </cell>
          <cell r="G2364">
            <v>15</v>
          </cell>
          <cell r="H2364">
            <v>6.5</v>
          </cell>
          <cell r="Q2364">
            <v>210.05</v>
          </cell>
        </row>
        <row r="2365">
          <cell r="D2365">
            <v>45863</v>
          </cell>
          <cell r="G2365">
            <v>11</v>
          </cell>
          <cell r="H2365">
            <v>6.5</v>
          </cell>
          <cell r="Q2365">
            <v>247.29999999999998</v>
          </cell>
        </row>
        <row r="2366">
          <cell r="D2366">
            <v>45863</v>
          </cell>
          <cell r="G2366" t="str">
            <v>-</v>
          </cell>
          <cell r="H2366" t="str">
            <v>-</v>
          </cell>
          <cell r="Q2366">
            <v>97.000000000000014</v>
          </cell>
        </row>
        <row r="2367">
          <cell r="D2367">
            <v>45864</v>
          </cell>
          <cell r="G2367">
            <v>4</v>
          </cell>
          <cell r="H2367" t="str">
            <v>5.5-6</v>
          </cell>
          <cell r="Q2367">
            <v>159.75</v>
          </cell>
        </row>
        <row r="2368">
          <cell r="D2368">
            <v>45864</v>
          </cell>
          <cell r="G2368">
            <v>4</v>
          </cell>
          <cell r="H2368" t="str">
            <v>5.5-6</v>
          </cell>
          <cell r="Q2368">
            <v>120.75</v>
          </cell>
        </row>
        <row r="2369">
          <cell r="D2369">
            <v>45864</v>
          </cell>
          <cell r="G2369">
            <v>3.5</v>
          </cell>
          <cell r="H2369">
            <v>5</v>
          </cell>
          <cell r="Q2369">
            <v>158.88</v>
          </cell>
        </row>
        <row r="2370">
          <cell r="D2370">
            <v>45864</v>
          </cell>
          <cell r="G2370">
            <v>3.5</v>
          </cell>
          <cell r="H2370">
            <v>5</v>
          </cell>
          <cell r="Q2370">
            <v>117.85</v>
          </cell>
        </row>
        <row r="2371">
          <cell r="D2371">
            <v>45864</v>
          </cell>
          <cell r="G2371">
            <v>8</v>
          </cell>
          <cell r="H2371">
            <v>5</v>
          </cell>
          <cell r="Q2371">
            <v>69.600000000000009</v>
          </cell>
        </row>
        <row r="2372">
          <cell r="D2372">
            <v>45864</v>
          </cell>
          <cell r="G2372">
            <v>8</v>
          </cell>
          <cell r="H2372" t="str">
            <v>6-6.5</v>
          </cell>
          <cell r="Q2372">
            <v>225.94000000000003</v>
          </cell>
        </row>
        <row r="2373">
          <cell r="D2373">
            <v>45864</v>
          </cell>
          <cell r="G2373">
            <v>8</v>
          </cell>
          <cell r="H2373" t="str">
            <v>6-6.5</v>
          </cell>
          <cell r="Q2373">
            <v>118.89999999999999</v>
          </cell>
        </row>
        <row r="2374">
          <cell r="D2374">
            <v>45864</v>
          </cell>
          <cell r="G2374">
            <v>18</v>
          </cell>
          <cell r="H2374">
            <v>5</v>
          </cell>
          <cell r="Q2374">
            <v>580.9899999999999</v>
          </cell>
        </row>
        <row r="2375">
          <cell r="D2375">
            <v>45864</v>
          </cell>
          <cell r="G2375">
            <v>19</v>
          </cell>
          <cell r="H2375">
            <v>7</v>
          </cell>
          <cell r="Q2375">
            <v>98.06</v>
          </cell>
        </row>
        <row r="2376">
          <cell r="D2376">
            <v>45864</v>
          </cell>
          <cell r="G2376">
            <v>19</v>
          </cell>
          <cell r="H2376">
            <v>7</v>
          </cell>
          <cell r="Q2376">
            <v>101.39999999999999</v>
          </cell>
        </row>
        <row r="2377">
          <cell r="D2377">
            <v>45864</v>
          </cell>
          <cell r="G2377">
            <v>22</v>
          </cell>
          <cell r="H2377" t="str">
            <v>7-7.5</v>
          </cell>
          <cell r="Q2377">
            <v>101.80000000000001</v>
          </cell>
        </row>
        <row r="2378">
          <cell r="D2378">
            <v>45864</v>
          </cell>
          <cell r="G2378">
            <v>23</v>
          </cell>
          <cell r="H2378">
            <v>7</v>
          </cell>
          <cell r="Q2378">
            <v>195.20000000000002</v>
          </cell>
        </row>
        <row r="2379">
          <cell r="D2379">
            <v>45864</v>
          </cell>
          <cell r="G2379">
            <v>20</v>
          </cell>
          <cell r="H2379" t="str">
            <v>8</v>
          </cell>
          <cell r="Q2379">
            <v>104.39999999999999</v>
          </cell>
        </row>
        <row r="2380">
          <cell r="D2380">
            <v>45864</v>
          </cell>
          <cell r="G2380">
            <v>14</v>
          </cell>
          <cell r="H2380">
            <v>5</v>
          </cell>
          <cell r="Q2380">
            <v>241.42</v>
          </cell>
        </row>
        <row r="2381">
          <cell r="D2381">
            <v>45864</v>
          </cell>
          <cell r="G2381">
            <v>14</v>
          </cell>
          <cell r="H2381">
            <v>4.5</v>
          </cell>
          <cell r="Q2381">
            <v>164.34</v>
          </cell>
        </row>
        <row r="2382">
          <cell r="D2382">
            <v>45864</v>
          </cell>
          <cell r="G2382">
            <v>14</v>
          </cell>
          <cell r="H2382" t="str">
            <v>6-6.5</v>
          </cell>
          <cell r="Q2382">
            <v>100.53999999999999</v>
          </cell>
        </row>
        <row r="2383">
          <cell r="D2383">
            <v>45864</v>
          </cell>
          <cell r="G2383">
            <v>14</v>
          </cell>
          <cell r="H2383">
            <v>5</v>
          </cell>
          <cell r="Q2383">
            <v>366.89</v>
          </cell>
        </row>
        <row r="2384">
          <cell r="D2384">
            <v>45864</v>
          </cell>
          <cell r="G2384">
            <v>14</v>
          </cell>
          <cell r="H2384">
            <v>5</v>
          </cell>
          <cell r="Q2384">
            <v>73.62</v>
          </cell>
        </row>
        <row r="2385">
          <cell r="D2385">
            <v>45866</v>
          </cell>
          <cell r="G2385">
            <v>2.5</v>
          </cell>
          <cell r="H2385">
            <v>5</v>
          </cell>
          <cell r="Q2385">
            <v>94.5</v>
          </cell>
        </row>
        <row r="2386">
          <cell r="D2386">
            <v>45866</v>
          </cell>
          <cell r="G2386">
            <v>2.5</v>
          </cell>
          <cell r="H2386">
            <v>5</v>
          </cell>
          <cell r="Q2386">
            <v>127.63999999999999</v>
          </cell>
        </row>
        <row r="2387">
          <cell r="D2387">
            <v>45866</v>
          </cell>
          <cell r="G2387">
            <v>3.5</v>
          </cell>
          <cell r="H2387">
            <v>8</v>
          </cell>
          <cell r="Q2387">
            <v>108.77000000000001</v>
          </cell>
        </row>
        <row r="2388">
          <cell r="D2388">
            <v>45866</v>
          </cell>
          <cell r="G2388">
            <v>3.5</v>
          </cell>
          <cell r="H2388">
            <v>8</v>
          </cell>
          <cell r="Q2388">
            <v>140.35000000000002</v>
          </cell>
        </row>
        <row r="2389">
          <cell r="D2389">
            <v>45866</v>
          </cell>
          <cell r="G2389">
            <v>8</v>
          </cell>
          <cell r="H2389" t="str">
            <v>6-6.5</v>
          </cell>
          <cell r="Q2389">
            <v>232.37999999999997</v>
          </cell>
        </row>
        <row r="2390">
          <cell r="D2390">
            <v>45866</v>
          </cell>
          <cell r="G2390">
            <v>8</v>
          </cell>
          <cell r="H2390" t="str">
            <v>6-6.5</v>
          </cell>
          <cell r="Q2390">
            <v>213.20000000000005</v>
          </cell>
        </row>
        <row r="2391">
          <cell r="D2391">
            <v>45866</v>
          </cell>
          <cell r="G2391">
            <v>8</v>
          </cell>
          <cell r="H2391">
            <v>5</v>
          </cell>
          <cell r="Q2391">
            <v>78.3</v>
          </cell>
        </row>
        <row r="2392">
          <cell r="D2392">
            <v>45866</v>
          </cell>
          <cell r="G2392">
            <v>14</v>
          </cell>
          <cell r="H2392">
            <v>8</v>
          </cell>
          <cell r="Q2392">
            <v>106.05</v>
          </cell>
        </row>
        <row r="2393">
          <cell r="D2393">
            <v>45866</v>
          </cell>
          <cell r="G2393">
            <v>14</v>
          </cell>
          <cell r="H2393">
            <v>5</v>
          </cell>
          <cell r="Q2393">
            <v>309.14999999999998</v>
          </cell>
        </row>
        <row r="2394">
          <cell r="D2394">
            <v>45866</v>
          </cell>
          <cell r="G2394">
            <v>14</v>
          </cell>
          <cell r="H2394">
            <v>5</v>
          </cell>
          <cell r="Q2394">
            <v>215.3</v>
          </cell>
        </row>
        <row r="2395">
          <cell r="D2395">
            <v>45866</v>
          </cell>
          <cell r="G2395">
            <v>13</v>
          </cell>
          <cell r="H2395">
            <v>6.5</v>
          </cell>
          <cell r="Q2395">
            <v>365.63</v>
          </cell>
        </row>
        <row r="2396">
          <cell r="D2396">
            <v>45867</v>
          </cell>
          <cell r="G2396">
            <v>2.5</v>
          </cell>
          <cell r="H2396">
            <v>5</v>
          </cell>
          <cell r="Q2396">
            <v>128.08000000000001</v>
          </cell>
        </row>
        <row r="2397">
          <cell r="D2397">
            <v>45867</v>
          </cell>
          <cell r="G2397">
            <v>2.5</v>
          </cell>
          <cell r="H2397">
            <v>5</v>
          </cell>
          <cell r="Q2397">
            <v>118.5</v>
          </cell>
        </row>
        <row r="2398">
          <cell r="D2398">
            <v>45867</v>
          </cell>
          <cell r="G2398">
            <v>3.5</v>
          </cell>
          <cell r="H2398">
            <v>8</v>
          </cell>
          <cell r="Q2398">
            <v>155.75</v>
          </cell>
        </row>
        <row r="2399">
          <cell r="D2399">
            <v>45867</v>
          </cell>
          <cell r="G2399">
            <v>3.5</v>
          </cell>
          <cell r="H2399">
            <v>8</v>
          </cell>
          <cell r="Q2399">
            <v>33.650000000000006</v>
          </cell>
        </row>
        <row r="2400">
          <cell r="D2400">
            <v>45867</v>
          </cell>
          <cell r="G2400">
            <v>2</v>
          </cell>
          <cell r="H2400">
            <v>5</v>
          </cell>
          <cell r="Q2400">
            <v>61.15</v>
          </cell>
        </row>
        <row r="2401">
          <cell r="D2401">
            <v>45867</v>
          </cell>
          <cell r="G2401">
            <v>8</v>
          </cell>
          <cell r="H2401">
            <v>5</v>
          </cell>
          <cell r="Q2401">
            <v>111.05</v>
          </cell>
        </row>
        <row r="2402">
          <cell r="D2402">
            <v>45867</v>
          </cell>
          <cell r="G2402">
            <v>8</v>
          </cell>
          <cell r="H2402">
            <v>15</v>
          </cell>
          <cell r="Q2402">
            <v>155.28</v>
          </cell>
        </row>
        <row r="2403">
          <cell r="D2403">
            <v>45867</v>
          </cell>
          <cell r="G2403">
            <v>8</v>
          </cell>
          <cell r="H2403">
            <v>15</v>
          </cell>
          <cell r="Q2403">
            <v>87.56</v>
          </cell>
        </row>
        <row r="2404">
          <cell r="D2404">
            <v>45867</v>
          </cell>
          <cell r="G2404">
            <v>8</v>
          </cell>
          <cell r="H2404">
            <v>15</v>
          </cell>
          <cell r="Q2404">
            <v>138.70000000000002</v>
          </cell>
        </row>
        <row r="2405">
          <cell r="D2405">
            <v>45867</v>
          </cell>
          <cell r="G2405" t="str">
            <v>8</v>
          </cell>
          <cell r="H2405">
            <v>5</v>
          </cell>
          <cell r="Q2405">
            <v>182.89999999999998</v>
          </cell>
        </row>
        <row r="2406">
          <cell r="D2406">
            <v>45867</v>
          </cell>
          <cell r="G2406">
            <v>13</v>
          </cell>
          <cell r="H2406">
            <v>6.5</v>
          </cell>
          <cell r="Q2406">
            <v>341.14</v>
          </cell>
        </row>
        <row r="2407">
          <cell r="D2407">
            <v>45867</v>
          </cell>
          <cell r="G2407">
            <v>13</v>
          </cell>
          <cell r="H2407">
            <v>5</v>
          </cell>
          <cell r="Q2407">
            <v>260.44999999999993</v>
          </cell>
        </row>
        <row r="2408">
          <cell r="D2408">
            <v>45867</v>
          </cell>
          <cell r="G2408">
            <v>13</v>
          </cell>
          <cell r="H2408">
            <v>5</v>
          </cell>
          <cell r="Q2408">
            <v>281.28999999999996</v>
          </cell>
        </row>
        <row r="2409">
          <cell r="D2409">
            <v>45867</v>
          </cell>
          <cell r="G2409">
            <v>13</v>
          </cell>
          <cell r="H2409">
            <v>4.5</v>
          </cell>
          <cell r="Q2409">
            <v>163.98</v>
          </cell>
        </row>
        <row r="2410">
          <cell r="D2410">
            <v>45867</v>
          </cell>
          <cell r="G2410">
            <v>12</v>
          </cell>
          <cell r="H2410">
            <v>5</v>
          </cell>
          <cell r="Q2410">
            <v>135.19000000000003</v>
          </cell>
        </row>
        <row r="2411">
          <cell r="D2411">
            <v>45868</v>
          </cell>
          <cell r="G2411">
            <v>2.5</v>
          </cell>
          <cell r="H2411">
            <v>5</v>
          </cell>
          <cell r="Q2411">
            <v>122.92999999999999</v>
          </cell>
        </row>
        <row r="2412">
          <cell r="D2412">
            <v>45868</v>
          </cell>
          <cell r="G2412">
            <v>3</v>
          </cell>
          <cell r="H2412">
            <v>5</v>
          </cell>
          <cell r="Q2412">
            <v>148.51000000000002</v>
          </cell>
        </row>
        <row r="2413">
          <cell r="D2413">
            <v>45868</v>
          </cell>
          <cell r="G2413">
            <v>2</v>
          </cell>
          <cell r="H2413" t="str">
            <v>5.5-6</v>
          </cell>
          <cell r="Q2413">
            <v>99.7</v>
          </cell>
        </row>
        <row r="2414">
          <cell r="D2414">
            <v>45868</v>
          </cell>
          <cell r="G2414">
            <v>2</v>
          </cell>
          <cell r="H2414" t="str">
            <v>5.5-6</v>
          </cell>
          <cell r="Q2414">
            <v>107.80000000000001</v>
          </cell>
        </row>
        <row r="2415">
          <cell r="D2415">
            <v>45868</v>
          </cell>
          <cell r="G2415">
            <v>8</v>
          </cell>
          <cell r="H2415">
            <v>5</v>
          </cell>
          <cell r="Q2415">
            <v>339</v>
          </cell>
        </row>
        <row r="2416">
          <cell r="D2416">
            <v>45868</v>
          </cell>
          <cell r="G2416">
            <v>8</v>
          </cell>
          <cell r="H2416">
            <v>5</v>
          </cell>
          <cell r="Q2416">
            <v>327.05</v>
          </cell>
        </row>
        <row r="2417">
          <cell r="D2417">
            <v>45868</v>
          </cell>
          <cell r="G2417">
            <v>20</v>
          </cell>
          <cell r="H2417" t="str">
            <v>6-6.5</v>
          </cell>
          <cell r="Q2417">
            <v>104.60000000000001</v>
          </cell>
        </row>
        <row r="2418">
          <cell r="D2418">
            <v>45868</v>
          </cell>
          <cell r="G2418">
            <v>20</v>
          </cell>
          <cell r="H2418" t="str">
            <v>5-5.5</v>
          </cell>
          <cell r="Q2418">
            <v>438.96999999999997</v>
          </cell>
        </row>
        <row r="2419">
          <cell r="D2419">
            <v>45868</v>
          </cell>
          <cell r="G2419">
            <v>20</v>
          </cell>
          <cell r="H2419" t="str">
            <v>5-5.5</v>
          </cell>
          <cell r="Q2419">
            <v>92.9</v>
          </cell>
        </row>
        <row r="2420">
          <cell r="D2420">
            <v>45868</v>
          </cell>
          <cell r="G2420">
            <v>16</v>
          </cell>
          <cell r="H2420" t="str">
            <v>5-5.5</v>
          </cell>
          <cell r="Q2420">
            <v>141.49999999999997</v>
          </cell>
        </row>
        <row r="2421">
          <cell r="D2421">
            <v>45868</v>
          </cell>
          <cell r="G2421">
            <v>16</v>
          </cell>
          <cell r="H2421">
            <v>5</v>
          </cell>
          <cell r="Q2421">
            <v>204.3</v>
          </cell>
        </row>
        <row r="2422">
          <cell r="D2422">
            <v>45868</v>
          </cell>
          <cell r="G2422">
            <v>16</v>
          </cell>
          <cell r="H2422" t="str">
            <v>8.5-9</v>
          </cell>
          <cell r="Q2422">
            <v>103.62</v>
          </cell>
        </row>
        <row r="2423">
          <cell r="D2423">
            <v>45868</v>
          </cell>
          <cell r="G2423">
            <v>16</v>
          </cell>
          <cell r="H2423" t="str">
            <v>7-7.5/14-15</v>
          </cell>
          <cell r="Q2423">
            <v>193.1</v>
          </cell>
        </row>
        <row r="2424">
          <cell r="D2424">
            <v>45868</v>
          </cell>
          <cell r="G2424">
            <v>12</v>
          </cell>
          <cell r="H2424">
            <v>5</v>
          </cell>
          <cell r="Q2424">
            <v>574.61</v>
          </cell>
        </row>
        <row r="2425">
          <cell r="D2425">
            <v>45868</v>
          </cell>
          <cell r="G2425">
            <v>12</v>
          </cell>
          <cell r="H2425">
            <v>5</v>
          </cell>
          <cell r="Q2425">
            <v>555.5100000000001</v>
          </cell>
        </row>
        <row r="2426">
          <cell r="D2426">
            <v>45869</v>
          </cell>
          <cell r="G2426">
            <v>3</v>
          </cell>
          <cell r="H2426" t="str">
            <v>5.5-6</v>
          </cell>
          <cell r="Q2426">
            <v>313.88</v>
          </cell>
        </row>
        <row r="2427">
          <cell r="D2427">
            <v>45869</v>
          </cell>
          <cell r="G2427">
            <v>3</v>
          </cell>
          <cell r="H2427" t="str">
            <v>5.5-6</v>
          </cell>
          <cell r="Q2427">
            <v>159.34</v>
          </cell>
        </row>
        <row r="2428">
          <cell r="D2428">
            <v>45869</v>
          </cell>
          <cell r="G2428">
            <v>2</v>
          </cell>
          <cell r="H2428" t="str">
            <v>5.5-6</v>
          </cell>
          <cell r="Q2428">
            <v>103.87</v>
          </cell>
        </row>
        <row r="2429">
          <cell r="D2429">
            <v>45869</v>
          </cell>
          <cell r="G2429">
            <v>2</v>
          </cell>
          <cell r="H2429" t="str">
            <v>5.5-6</v>
          </cell>
          <cell r="Q2429">
            <v>104.03</v>
          </cell>
        </row>
        <row r="2430">
          <cell r="D2430">
            <v>45869</v>
          </cell>
          <cell r="G2430">
            <v>8</v>
          </cell>
          <cell r="H2430">
            <v>5</v>
          </cell>
          <cell r="Q2430">
            <v>306.15999999999997</v>
          </cell>
        </row>
        <row r="2431">
          <cell r="D2431">
            <v>45869</v>
          </cell>
          <cell r="G2431">
            <v>8</v>
          </cell>
          <cell r="H2431">
            <v>5</v>
          </cell>
          <cell r="Q2431">
            <v>67.530000000000015</v>
          </cell>
        </row>
        <row r="2432">
          <cell r="D2432">
            <v>45869</v>
          </cell>
          <cell r="G2432">
            <v>8</v>
          </cell>
          <cell r="H2432">
            <v>5</v>
          </cell>
          <cell r="Q2432">
            <v>394.94</v>
          </cell>
        </row>
        <row r="2433">
          <cell r="D2433">
            <v>45869</v>
          </cell>
          <cell r="G2433">
            <v>16</v>
          </cell>
          <cell r="H2433" t="str">
            <v>5-5.5</v>
          </cell>
          <cell r="Q2433">
            <v>521.92999999999995</v>
          </cell>
        </row>
        <row r="2434">
          <cell r="D2434">
            <v>45869</v>
          </cell>
          <cell r="G2434">
            <v>22</v>
          </cell>
          <cell r="H2434" t="str">
            <v>5-5.5</v>
          </cell>
          <cell r="Q2434">
            <v>248.49</v>
          </cell>
        </row>
        <row r="2435">
          <cell r="D2435">
            <v>45869</v>
          </cell>
          <cell r="G2435">
            <v>10</v>
          </cell>
          <cell r="H2435">
            <v>5</v>
          </cell>
          <cell r="Q2435">
            <v>162.49</v>
          </cell>
        </row>
        <row r="2436">
          <cell r="D2436">
            <v>45869</v>
          </cell>
          <cell r="G2436">
            <v>24</v>
          </cell>
          <cell r="H2436">
            <v>5</v>
          </cell>
          <cell r="Q2436">
            <v>519.02</v>
          </cell>
        </row>
        <row r="2437">
          <cell r="D2437">
            <v>45869</v>
          </cell>
          <cell r="G2437">
            <v>24</v>
          </cell>
          <cell r="H2437" t="str">
            <v>5-5.5</v>
          </cell>
          <cell r="Q2437">
            <v>89.59</v>
          </cell>
        </row>
        <row r="2438">
          <cell r="D2438">
            <v>45869</v>
          </cell>
          <cell r="G2438">
            <v>12</v>
          </cell>
          <cell r="H2438">
            <v>5</v>
          </cell>
          <cell r="Q2438">
            <v>575.99999999999989</v>
          </cell>
        </row>
        <row r="2439">
          <cell r="D2439">
            <v>45869</v>
          </cell>
          <cell r="G2439">
            <v>12</v>
          </cell>
          <cell r="H2439">
            <v>5</v>
          </cell>
          <cell r="Q2439">
            <v>97.56</v>
          </cell>
        </row>
        <row r="2440">
          <cell r="D2440">
            <v>45869</v>
          </cell>
          <cell r="G2440">
            <v>22</v>
          </cell>
          <cell r="H2440" t="str">
            <v>5-5.5</v>
          </cell>
          <cell r="Q2440">
            <v>113.05000000000001</v>
          </cell>
        </row>
        <row r="2441">
          <cell r="D2441">
            <v>45869</v>
          </cell>
          <cell r="G2441">
            <v>10</v>
          </cell>
          <cell r="H2441">
            <v>5</v>
          </cell>
          <cell r="Q2441">
            <v>88.710000000000008</v>
          </cell>
        </row>
        <row r="2442">
          <cell r="D2442">
            <v>45869</v>
          </cell>
          <cell r="G2442" t="str">
            <v>-</v>
          </cell>
          <cell r="H2442" t="str">
            <v>-</v>
          </cell>
          <cell r="Q2442">
            <v>236.37</v>
          </cell>
        </row>
        <row r="2443">
          <cell r="D2443">
            <v>45869</v>
          </cell>
          <cell r="G2443">
            <v>12</v>
          </cell>
          <cell r="H2443" t="str">
            <v>5.5-6</v>
          </cell>
          <cell r="Q2443">
            <v>29.12</v>
          </cell>
        </row>
        <row r="2444">
          <cell r="D2444">
            <v>45870</v>
          </cell>
          <cell r="G2444">
            <v>3</v>
          </cell>
          <cell r="H2444" t="str">
            <v>5.5-6</v>
          </cell>
          <cell r="Q2444">
            <v>146.92999999999998</v>
          </cell>
        </row>
        <row r="2445">
          <cell r="D2445">
            <v>45870</v>
          </cell>
          <cell r="G2445">
            <v>3</v>
          </cell>
          <cell r="H2445" t="str">
            <v>5.5-6</v>
          </cell>
          <cell r="Q2445">
            <v>152.49</v>
          </cell>
        </row>
        <row r="2446">
          <cell r="D2446">
            <v>45870</v>
          </cell>
          <cell r="G2446">
            <v>2</v>
          </cell>
          <cell r="H2446" t="str">
            <v>5.5-6</v>
          </cell>
          <cell r="Q2446">
            <v>29.509999999999998</v>
          </cell>
        </row>
        <row r="2447">
          <cell r="D2447">
            <v>45870</v>
          </cell>
          <cell r="G2447">
            <v>2.5</v>
          </cell>
          <cell r="H2447" t="str">
            <v>5.5-6</v>
          </cell>
          <cell r="Q2447">
            <v>89.289999999999992</v>
          </cell>
        </row>
        <row r="2448">
          <cell r="D2448">
            <v>45870</v>
          </cell>
          <cell r="G2448">
            <v>2.5</v>
          </cell>
          <cell r="H2448" t="str">
            <v>5.5-6</v>
          </cell>
          <cell r="Q2448">
            <v>107.60999999999999</v>
          </cell>
        </row>
        <row r="2449">
          <cell r="D2449">
            <v>45870</v>
          </cell>
          <cell r="G2449">
            <v>5</v>
          </cell>
          <cell r="H2449">
            <v>5</v>
          </cell>
          <cell r="Q2449">
            <v>24.169999999999998</v>
          </cell>
        </row>
        <row r="2450">
          <cell r="D2450">
            <v>45870</v>
          </cell>
          <cell r="G2450" t="str">
            <v>8</v>
          </cell>
          <cell r="H2450">
            <v>5</v>
          </cell>
          <cell r="Q2450">
            <v>340.33000000000004</v>
          </cell>
        </row>
        <row r="2451">
          <cell r="D2451">
            <v>45870</v>
          </cell>
          <cell r="G2451">
            <v>8</v>
          </cell>
          <cell r="H2451">
            <v>5</v>
          </cell>
          <cell r="Q2451">
            <v>89.84</v>
          </cell>
        </row>
        <row r="2452">
          <cell r="D2452">
            <v>45870</v>
          </cell>
          <cell r="G2452">
            <v>9</v>
          </cell>
          <cell r="H2452">
            <v>10</v>
          </cell>
          <cell r="Q2452">
            <v>290.22999999999996</v>
          </cell>
        </row>
        <row r="2453">
          <cell r="D2453">
            <v>45870</v>
          </cell>
          <cell r="G2453">
            <v>24</v>
          </cell>
          <cell r="H2453" t="str">
            <v>5-5.5</v>
          </cell>
          <cell r="Q2453">
            <v>538.86</v>
          </cell>
        </row>
        <row r="2454">
          <cell r="D2454">
            <v>45870</v>
          </cell>
          <cell r="G2454">
            <v>18</v>
          </cell>
          <cell r="H2454" t="str">
            <v>5-5.5</v>
          </cell>
          <cell r="Q2454">
            <v>195.09</v>
          </cell>
        </row>
        <row r="2455">
          <cell r="D2455">
            <v>45870</v>
          </cell>
          <cell r="G2455">
            <v>18</v>
          </cell>
          <cell r="H2455" t="str">
            <v>5-5.5</v>
          </cell>
          <cell r="Q2455">
            <v>531.20999999999992</v>
          </cell>
        </row>
        <row r="2456">
          <cell r="D2456">
            <v>45870</v>
          </cell>
          <cell r="G2456">
            <v>28</v>
          </cell>
          <cell r="H2456" t="str">
            <v>5-5.5</v>
          </cell>
          <cell r="Q2456">
            <v>191.60999999999996</v>
          </cell>
        </row>
        <row r="2457">
          <cell r="D2457">
            <v>45870</v>
          </cell>
          <cell r="G2457">
            <v>4</v>
          </cell>
          <cell r="H2457">
            <v>15</v>
          </cell>
          <cell r="Q2457">
            <v>219.81999999999996</v>
          </cell>
        </row>
        <row r="2458">
          <cell r="D2458">
            <v>45870</v>
          </cell>
          <cell r="G2458">
            <v>10</v>
          </cell>
          <cell r="H2458">
            <v>5</v>
          </cell>
          <cell r="Q2458">
            <v>389.97</v>
          </cell>
        </row>
        <row r="2459">
          <cell r="D2459">
            <v>45870</v>
          </cell>
          <cell r="G2459">
            <v>10</v>
          </cell>
          <cell r="H2459">
            <v>5</v>
          </cell>
          <cell r="Q2459">
            <v>596.07000000000005</v>
          </cell>
        </row>
        <row r="2460">
          <cell r="D2460">
            <v>45871</v>
          </cell>
          <cell r="G2460">
            <v>3</v>
          </cell>
          <cell r="H2460" t="str">
            <v>5.5-6</v>
          </cell>
          <cell r="Q2460">
            <v>141.49</v>
          </cell>
        </row>
        <row r="2461">
          <cell r="D2461">
            <v>45871</v>
          </cell>
          <cell r="G2461">
            <v>3</v>
          </cell>
          <cell r="H2461" t="str">
            <v>5.5-6</v>
          </cell>
          <cell r="Q2461">
            <v>115.30000000000001</v>
          </cell>
        </row>
        <row r="2462">
          <cell r="D2462">
            <v>45871</v>
          </cell>
          <cell r="G2462">
            <v>5</v>
          </cell>
          <cell r="H2462" t="str">
            <v>5.5-6</v>
          </cell>
          <cell r="Q2462">
            <v>67.34</v>
          </cell>
        </row>
        <row r="2463">
          <cell r="D2463">
            <v>45871</v>
          </cell>
          <cell r="G2463">
            <v>5</v>
          </cell>
          <cell r="H2463" t="str">
            <v>5.5-6</v>
          </cell>
          <cell r="Q2463">
            <v>142.30000000000001</v>
          </cell>
        </row>
        <row r="2464">
          <cell r="D2464">
            <v>45871</v>
          </cell>
          <cell r="G2464">
            <v>9</v>
          </cell>
          <cell r="H2464">
            <v>10</v>
          </cell>
          <cell r="Q2464">
            <v>115.98</v>
          </cell>
        </row>
        <row r="2465">
          <cell r="D2465">
            <v>45871</v>
          </cell>
          <cell r="G2465">
            <v>9</v>
          </cell>
          <cell r="H2465">
            <v>5</v>
          </cell>
          <cell r="Q2465">
            <v>195.00999999999996</v>
          </cell>
        </row>
        <row r="2466">
          <cell r="D2466">
            <v>45871</v>
          </cell>
          <cell r="G2466">
            <v>9</v>
          </cell>
          <cell r="H2466">
            <v>5</v>
          </cell>
          <cell r="Q2466">
            <v>43.21</v>
          </cell>
        </row>
        <row r="2467">
          <cell r="D2467">
            <v>45871</v>
          </cell>
          <cell r="G2467">
            <v>28</v>
          </cell>
          <cell r="H2467" t="str">
            <v>5-5.5</v>
          </cell>
          <cell r="Q2467">
            <v>769.53000000000009</v>
          </cell>
        </row>
        <row r="2468">
          <cell r="D2468">
            <v>45871</v>
          </cell>
          <cell r="G2468">
            <v>28</v>
          </cell>
          <cell r="H2468" t="str">
            <v>5-5.5</v>
          </cell>
          <cell r="Q2468">
            <v>135.6</v>
          </cell>
        </row>
        <row r="2469">
          <cell r="D2469">
            <v>45871</v>
          </cell>
          <cell r="G2469">
            <v>20</v>
          </cell>
          <cell r="H2469" t="str">
            <v>6-6.5</v>
          </cell>
          <cell r="Q2469">
            <v>524.99</v>
          </cell>
        </row>
        <row r="2470">
          <cell r="D2470">
            <v>45871</v>
          </cell>
          <cell r="G2470">
            <v>10</v>
          </cell>
          <cell r="H2470">
            <v>5</v>
          </cell>
          <cell r="Q2470">
            <v>448.78</v>
          </cell>
        </row>
        <row r="2471">
          <cell r="D2471">
            <v>45871</v>
          </cell>
          <cell r="G2471">
            <v>10</v>
          </cell>
          <cell r="H2471" t="str">
            <v>4-4.5</v>
          </cell>
          <cell r="Q2471">
            <v>65.23</v>
          </cell>
        </row>
        <row r="2472">
          <cell r="D2472">
            <v>45871</v>
          </cell>
          <cell r="G2472">
            <v>15</v>
          </cell>
          <cell r="H2472">
            <v>5</v>
          </cell>
          <cell r="Q2472">
            <v>384.6</v>
          </cell>
        </row>
        <row r="2473">
          <cell r="D2473">
            <v>45871</v>
          </cell>
          <cell r="G2473">
            <v>10</v>
          </cell>
          <cell r="H2473" t="str">
            <v>4-4.5</v>
          </cell>
          <cell r="Q2473">
            <v>56.97</v>
          </cell>
        </row>
        <row r="2474">
          <cell r="D2474">
            <v>45873</v>
          </cell>
          <cell r="G2474">
            <v>3</v>
          </cell>
          <cell r="H2474" t="str">
            <v>5.5-6</v>
          </cell>
          <cell r="Q2474">
            <v>108.61</v>
          </cell>
        </row>
        <row r="2475">
          <cell r="D2475">
            <v>45873</v>
          </cell>
          <cell r="G2475">
            <v>3</v>
          </cell>
          <cell r="H2475" t="str">
            <v>5.5-6</v>
          </cell>
          <cell r="Q2475">
            <v>33.43</v>
          </cell>
        </row>
        <row r="2476">
          <cell r="D2476">
            <v>45873</v>
          </cell>
          <cell r="G2476">
            <v>4</v>
          </cell>
          <cell r="H2476" t="str">
            <v>5.5-6</v>
          </cell>
          <cell r="Q2476">
            <v>57.559999999999995</v>
          </cell>
        </row>
        <row r="2477">
          <cell r="D2477">
            <v>45873</v>
          </cell>
          <cell r="G2477">
            <v>4</v>
          </cell>
          <cell r="H2477" t="str">
            <v>5.5-6</v>
          </cell>
          <cell r="Q2477">
            <v>67.930000000000007</v>
          </cell>
        </row>
        <row r="2478">
          <cell r="D2478">
            <v>45873</v>
          </cell>
          <cell r="G2478">
            <v>5</v>
          </cell>
          <cell r="H2478" t="str">
            <v>5.5-6</v>
          </cell>
          <cell r="Q2478">
            <v>128.85</v>
          </cell>
        </row>
        <row r="2479">
          <cell r="D2479">
            <v>45873</v>
          </cell>
          <cell r="G2479">
            <v>5</v>
          </cell>
          <cell r="H2479" t="str">
            <v>5.5-6</v>
          </cell>
          <cell r="Q2479">
            <v>189.08999999999997</v>
          </cell>
        </row>
        <row r="2480">
          <cell r="D2480">
            <v>45873</v>
          </cell>
          <cell r="G2480">
            <v>9</v>
          </cell>
          <cell r="H2480">
            <v>5</v>
          </cell>
          <cell r="Q2480">
            <v>118.15</v>
          </cell>
        </row>
        <row r="2481">
          <cell r="D2481">
            <v>45873</v>
          </cell>
          <cell r="G2481">
            <v>9</v>
          </cell>
          <cell r="H2481">
            <v>5</v>
          </cell>
          <cell r="Q2481">
            <v>275.95</v>
          </cell>
        </row>
        <row r="2482">
          <cell r="D2482">
            <v>45873</v>
          </cell>
          <cell r="G2482">
            <v>14</v>
          </cell>
          <cell r="H2482" t="str">
            <v>5-5.5</v>
          </cell>
          <cell r="Q2482">
            <v>425.54</v>
          </cell>
        </row>
        <row r="2483">
          <cell r="D2483">
            <v>45873</v>
          </cell>
          <cell r="G2483">
            <v>14</v>
          </cell>
          <cell r="H2483" t="str">
            <v>5-5.5</v>
          </cell>
          <cell r="Q2483">
            <v>159.07000000000002</v>
          </cell>
        </row>
        <row r="2484">
          <cell r="D2484">
            <v>45873</v>
          </cell>
          <cell r="G2484">
            <v>12</v>
          </cell>
          <cell r="H2484">
            <v>5</v>
          </cell>
          <cell r="Q2484">
            <v>435.42</v>
          </cell>
        </row>
        <row r="2485">
          <cell r="D2485">
            <v>45874</v>
          </cell>
          <cell r="G2485">
            <v>4</v>
          </cell>
          <cell r="H2485" t="str">
            <v>5.5-6</v>
          </cell>
          <cell r="Q2485">
            <v>84.64</v>
          </cell>
        </row>
        <row r="2486">
          <cell r="D2486">
            <v>45874</v>
          </cell>
          <cell r="G2486">
            <v>3</v>
          </cell>
          <cell r="H2486" t="str">
            <v>5.5-6</v>
          </cell>
          <cell r="Q2486">
            <v>53.62</v>
          </cell>
        </row>
        <row r="2487">
          <cell r="D2487">
            <v>45874</v>
          </cell>
          <cell r="G2487">
            <v>3</v>
          </cell>
          <cell r="H2487" t="str">
            <v>5.5-6</v>
          </cell>
          <cell r="Q2487">
            <v>139.96</v>
          </cell>
        </row>
        <row r="2488">
          <cell r="D2488">
            <v>45874</v>
          </cell>
          <cell r="G2488">
            <v>5</v>
          </cell>
          <cell r="H2488">
            <v>5</v>
          </cell>
          <cell r="Q2488">
            <v>199.99999999999997</v>
          </cell>
        </row>
        <row r="2489">
          <cell r="D2489">
            <v>45874</v>
          </cell>
          <cell r="G2489">
            <v>5</v>
          </cell>
          <cell r="H2489" t="str">
            <v>5.5-6</v>
          </cell>
          <cell r="Q2489">
            <v>189.99</v>
          </cell>
        </row>
        <row r="2490">
          <cell r="D2490">
            <v>45874</v>
          </cell>
          <cell r="G2490" t="str">
            <v>-</v>
          </cell>
          <cell r="H2490" t="str">
            <v>-</v>
          </cell>
          <cell r="Q2490">
            <v>275.95</v>
          </cell>
        </row>
        <row r="2491">
          <cell r="D2491">
            <v>45874</v>
          </cell>
          <cell r="G2491">
            <v>7</v>
          </cell>
          <cell r="H2491">
            <v>5</v>
          </cell>
          <cell r="Q2491">
            <v>50.56</v>
          </cell>
        </row>
        <row r="2492">
          <cell r="D2492">
            <v>45874</v>
          </cell>
          <cell r="G2492">
            <v>7</v>
          </cell>
          <cell r="H2492">
            <v>5</v>
          </cell>
          <cell r="Q2492">
            <v>334.76000000000005</v>
          </cell>
        </row>
        <row r="2493">
          <cell r="D2493">
            <v>45874</v>
          </cell>
          <cell r="G2493">
            <v>17</v>
          </cell>
          <cell r="H2493" t="str">
            <v>7-7.5/14-15</v>
          </cell>
          <cell r="Q2493">
            <v>190.94</v>
          </cell>
        </row>
        <row r="2494">
          <cell r="D2494">
            <v>45874</v>
          </cell>
          <cell r="G2494">
            <v>18</v>
          </cell>
          <cell r="H2494" t="str">
            <v>5-5.5</v>
          </cell>
          <cell r="Q2494">
            <v>103.82</v>
          </cell>
        </row>
        <row r="2495">
          <cell r="D2495">
            <v>45874</v>
          </cell>
          <cell r="G2495">
            <v>12</v>
          </cell>
          <cell r="H2495">
            <v>5</v>
          </cell>
          <cell r="Q2495">
            <v>594.26</v>
          </cell>
        </row>
        <row r="2496">
          <cell r="D2496">
            <v>45874</v>
          </cell>
          <cell r="G2496">
            <v>12</v>
          </cell>
          <cell r="H2496">
            <v>5</v>
          </cell>
          <cell r="Q2496">
            <v>197.61999999999998</v>
          </cell>
        </row>
        <row r="2497">
          <cell r="D2497">
            <v>45874</v>
          </cell>
          <cell r="G2497">
            <v>10</v>
          </cell>
          <cell r="H2497">
            <v>5</v>
          </cell>
          <cell r="Q2497">
            <v>349.77000000000004</v>
          </cell>
        </row>
        <row r="2498">
          <cell r="D2498">
            <v>45875</v>
          </cell>
          <cell r="G2498">
            <v>3</v>
          </cell>
          <cell r="H2498">
            <v>5</v>
          </cell>
          <cell r="Q2498">
            <v>126.30000000000001</v>
          </cell>
        </row>
        <row r="2499">
          <cell r="D2499">
            <v>45875</v>
          </cell>
          <cell r="G2499">
            <v>3</v>
          </cell>
          <cell r="H2499">
            <v>5</v>
          </cell>
          <cell r="Q2499">
            <v>135.37999999999997</v>
          </cell>
        </row>
        <row r="2500">
          <cell r="D2500">
            <v>45875</v>
          </cell>
          <cell r="G2500">
            <v>5</v>
          </cell>
          <cell r="H2500" t="str">
            <v>5.5-6</v>
          </cell>
          <cell r="Q2500">
            <v>87.81</v>
          </cell>
        </row>
        <row r="2501">
          <cell r="D2501">
            <v>45875</v>
          </cell>
          <cell r="G2501">
            <v>4</v>
          </cell>
          <cell r="H2501" t="str">
            <v>5.5-6</v>
          </cell>
          <cell r="Q2501">
            <v>45.07</v>
          </cell>
        </row>
        <row r="2502">
          <cell r="D2502">
            <v>45875</v>
          </cell>
          <cell r="G2502">
            <v>2.5</v>
          </cell>
          <cell r="H2502" t="str">
            <v>5.5-6</v>
          </cell>
          <cell r="Q2502">
            <v>13.290000000000001</v>
          </cell>
        </row>
        <row r="2503">
          <cell r="D2503">
            <v>45875</v>
          </cell>
          <cell r="G2503">
            <v>2.5</v>
          </cell>
          <cell r="H2503" t="str">
            <v>5.5-6</v>
          </cell>
          <cell r="Q2503">
            <v>97.87</v>
          </cell>
        </row>
        <row r="2504">
          <cell r="D2504">
            <v>45875</v>
          </cell>
          <cell r="G2504">
            <v>7</v>
          </cell>
          <cell r="H2504">
            <v>5</v>
          </cell>
          <cell r="Q2504">
            <v>153.80000000000001</v>
          </cell>
        </row>
        <row r="2505">
          <cell r="D2505">
            <v>45875</v>
          </cell>
          <cell r="G2505">
            <v>6</v>
          </cell>
          <cell r="H2505">
            <v>5</v>
          </cell>
          <cell r="Q2505">
            <v>89.929999999999993</v>
          </cell>
        </row>
        <row r="2506">
          <cell r="D2506">
            <v>45875</v>
          </cell>
          <cell r="G2506">
            <v>6</v>
          </cell>
          <cell r="H2506">
            <v>5</v>
          </cell>
          <cell r="Q2506">
            <v>282.27000000000004</v>
          </cell>
        </row>
        <row r="2507">
          <cell r="D2507">
            <v>45875</v>
          </cell>
          <cell r="G2507" t="str">
            <v>8+2.5+2.5</v>
          </cell>
          <cell r="H2507" t="str">
            <v>7-7.5/14-15</v>
          </cell>
          <cell r="Q2507">
            <v>102.37</v>
          </cell>
        </row>
        <row r="2508">
          <cell r="D2508">
            <v>45875</v>
          </cell>
          <cell r="G2508">
            <v>18</v>
          </cell>
          <cell r="H2508">
            <v>5</v>
          </cell>
          <cell r="Q2508">
            <v>615.92999999999995</v>
          </cell>
        </row>
        <row r="2509">
          <cell r="D2509">
            <v>45875</v>
          </cell>
          <cell r="G2509">
            <v>18</v>
          </cell>
          <cell r="H2509">
            <v>5</v>
          </cell>
          <cell r="Q2509">
            <v>478.43999999999994</v>
          </cell>
        </row>
        <row r="2510">
          <cell r="D2510">
            <v>45875</v>
          </cell>
          <cell r="G2510">
            <v>18</v>
          </cell>
          <cell r="H2510" t="str">
            <v>7</v>
          </cell>
          <cell r="Q2510">
            <v>259.86</v>
          </cell>
        </row>
        <row r="2511">
          <cell r="D2511">
            <v>45875</v>
          </cell>
          <cell r="G2511">
            <v>10</v>
          </cell>
          <cell r="H2511">
            <v>5</v>
          </cell>
          <cell r="Q2511">
            <v>479.38999999999993</v>
          </cell>
        </row>
        <row r="2512">
          <cell r="D2512">
            <v>45875</v>
          </cell>
          <cell r="G2512">
            <v>10</v>
          </cell>
          <cell r="H2512">
            <v>5</v>
          </cell>
          <cell r="Q2512">
            <v>231.91</v>
          </cell>
        </row>
        <row r="2513">
          <cell r="D2513">
            <v>45875</v>
          </cell>
          <cell r="G2513">
            <v>6</v>
          </cell>
          <cell r="H2513">
            <v>14</v>
          </cell>
          <cell r="Q2513">
            <v>277.39999999999998</v>
          </cell>
        </row>
        <row r="2514">
          <cell r="D2514">
            <v>45876</v>
          </cell>
          <cell r="G2514">
            <v>3</v>
          </cell>
          <cell r="H2514" t="str">
            <v>5.5-6</v>
          </cell>
          <cell r="Q2514">
            <v>119.66000000000003</v>
          </cell>
        </row>
        <row r="2515">
          <cell r="D2515">
            <v>45876</v>
          </cell>
          <cell r="G2515">
            <v>3</v>
          </cell>
          <cell r="H2515" t="str">
            <v>5.5-6</v>
          </cell>
          <cell r="Q2515">
            <v>126.84000000000002</v>
          </cell>
        </row>
        <row r="2516">
          <cell r="D2516">
            <v>45876</v>
          </cell>
          <cell r="G2516">
            <v>2.5</v>
          </cell>
          <cell r="H2516" t="str">
            <v>5.5-6</v>
          </cell>
          <cell r="Q2516">
            <v>84.59</v>
          </cell>
        </row>
        <row r="2517">
          <cell r="D2517">
            <v>45876</v>
          </cell>
          <cell r="G2517">
            <v>2.5</v>
          </cell>
          <cell r="H2517" t="str">
            <v>5.5-6</v>
          </cell>
          <cell r="Q2517">
            <v>90.86</v>
          </cell>
        </row>
        <row r="2518">
          <cell r="D2518">
            <v>45876</v>
          </cell>
          <cell r="G2518">
            <v>6</v>
          </cell>
          <cell r="H2518">
            <v>5</v>
          </cell>
          <cell r="Q2518">
            <v>255.89</v>
          </cell>
        </row>
        <row r="2519">
          <cell r="D2519">
            <v>45876</v>
          </cell>
          <cell r="G2519">
            <v>6</v>
          </cell>
          <cell r="H2519" t="str">
            <v>7.5-8</v>
          </cell>
          <cell r="Q2519">
            <v>106.27</v>
          </cell>
        </row>
        <row r="2520">
          <cell r="D2520">
            <v>45876</v>
          </cell>
          <cell r="G2520">
            <v>7</v>
          </cell>
          <cell r="H2520">
            <v>5</v>
          </cell>
          <cell r="Q2520">
            <v>144.49</v>
          </cell>
        </row>
        <row r="2521">
          <cell r="D2521">
            <v>45876</v>
          </cell>
          <cell r="G2521">
            <v>18</v>
          </cell>
          <cell r="H2521" t="str">
            <v>7</v>
          </cell>
          <cell r="Q2521">
            <v>150.19999999999999</v>
          </cell>
        </row>
        <row r="2522">
          <cell r="D2522">
            <v>45876</v>
          </cell>
          <cell r="G2522">
            <v>22</v>
          </cell>
          <cell r="H2522" t="str">
            <v>8</v>
          </cell>
          <cell r="Q2522">
            <v>252.56999999999996</v>
          </cell>
        </row>
        <row r="2523">
          <cell r="D2523">
            <v>45876</v>
          </cell>
          <cell r="G2523">
            <v>18</v>
          </cell>
          <cell r="H2523">
            <v>10</v>
          </cell>
          <cell r="Q2523">
            <v>134.89000000000001</v>
          </cell>
        </row>
        <row r="2524">
          <cell r="D2524">
            <v>45876</v>
          </cell>
          <cell r="G2524" t="str">
            <v>-</v>
          </cell>
          <cell r="H2524" t="str">
            <v>-</v>
          </cell>
          <cell r="Q2524">
            <v>104.7</v>
          </cell>
        </row>
        <row r="2525">
          <cell r="D2525">
            <v>45876</v>
          </cell>
          <cell r="G2525">
            <v>19</v>
          </cell>
          <cell r="H2525" t="str">
            <v>7</v>
          </cell>
          <cell r="Q2525">
            <v>49.27</v>
          </cell>
        </row>
        <row r="2526">
          <cell r="D2526">
            <v>45876</v>
          </cell>
          <cell r="G2526">
            <v>19</v>
          </cell>
          <cell r="H2526" t="str">
            <v>7</v>
          </cell>
          <cell r="Q2526">
            <v>275.62</v>
          </cell>
        </row>
        <row r="2527">
          <cell r="D2527">
            <v>45876</v>
          </cell>
          <cell r="G2527">
            <v>22</v>
          </cell>
          <cell r="H2527">
            <v>8</v>
          </cell>
          <cell r="Q2527">
            <v>264.12</v>
          </cell>
        </row>
        <row r="2528">
          <cell r="D2528">
            <v>45876</v>
          </cell>
          <cell r="G2528">
            <v>22</v>
          </cell>
          <cell r="H2528">
            <v>10</v>
          </cell>
          <cell r="Q2528">
            <v>192.4</v>
          </cell>
        </row>
        <row r="2529">
          <cell r="D2529">
            <v>45876</v>
          </cell>
          <cell r="G2529">
            <v>6</v>
          </cell>
          <cell r="H2529">
            <v>14</v>
          </cell>
          <cell r="Q2529">
            <v>555.55999999999995</v>
          </cell>
        </row>
        <row r="2530">
          <cell r="D2530">
            <v>45876</v>
          </cell>
          <cell r="G2530">
            <v>6</v>
          </cell>
          <cell r="H2530">
            <v>14</v>
          </cell>
          <cell r="Q2530">
            <v>216.64999999999998</v>
          </cell>
        </row>
        <row r="2531">
          <cell r="D2531">
            <v>45876</v>
          </cell>
          <cell r="G2531" t="str">
            <v>-</v>
          </cell>
          <cell r="H2531" t="str">
            <v>-</v>
          </cell>
          <cell r="Q2531">
            <v>130.34</v>
          </cell>
        </row>
        <row r="2532">
          <cell r="D2532">
            <v>45876</v>
          </cell>
          <cell r="G2532">
            <v>14</v>
          </cell>
          <cell r="H2532" t="str">
            <v>4-4.5/8-9</v>
          </cell>
          <cell r="Q2532">
            <v>110.74000000000001</v>
          </cell>
        </row>
        <row r="2533">
          <cell r="D2533">
            <v>45876</v>
          </cell>
          <cell r="G2533">
            <v>12</v>
          </cell>
          <cell r="H2533">
            <v>5</v>
          </cell>
          <cell r="Q2533">
            <v>157.68</v>
          </cell>
        </row>
        <row r="2534">
          <cell r="D2534">
            <v>45877</v>
          </cell>
          <cell r="G2534">
            <v>3</v>
          </cell>
          <cell r="H2534" t="str">
            <v>5.5-6</v>
          </cell>
          <cell r="Q2534">
            <v>127.21000000000001</v>
          </cell>
        </row>
        <row r="2535">
          <cell r="D2535">
            <v>45877</v>
          </cell>
          <cell r="G2535">
            <v>3</v>
          </cell>
          <cell r="H2535" t="str">
            <v>5.5-6</v>
          </cell>
          <cell r="Q2535">
            <v>122.95</v>
          </cell>
        </row>
        <row r="2536">
          <cell r="D2536">
            <v>45877</v>
          </cell>
          <cell r="G2536">
            <v>2.5</v>
          </cell>
          <cell r="H2536" t="str">
            <v>5.5-6</v>
          </cell>
          <cell r="Q2536">
            <v>101.85000000000001</v>
          </cell>
        </row>
        <row r="2537">
          <cell r="D2537">
            <v>45877</v>
          </cell>
          <cell r="G2537">
            <v>2.5</v>
          </cell>
          <cell r="H2537" t="str">
            <v>5.5-6</v>
          </cell>
          <cell r="Q2537">
            <v>95.73</v>
          </cell>
        </row>
        <row r="2538">
          <cell r="D2538">
            <v>45877</v>
          </cell>
          <cell r="G2538">
            <v>7</v>
          </cell>
          <cell r="H2538">
            <v>5</v>
          </cell>
          <cell r="Q2538">
            <v>247.41</v>
          </cell>
        </row>
        <row r="2539">
          <cell r="D2539">
            <v>45877</v>
          </cell>
          <cell r="G2539">
            <v>7</v>
          </cell>
          <cell r="H2539">
            <v>5</v>
          </cell>
          <cell r="Q2539">
            <v>227.05999999999997</v>
          </cell>
        </row>
        <row r="2540">
          <cell r="D2540">
            <v>45877</v>
          </cell>
          <cell r="G2540">
            <v>22</v>
          </cell>
          <cell r="H2540">
            <v>10</v>
          </cell>
          <cell r="Q2540">
            <v>59.31</v>
          </cell>
        </row>
        <row r="2541">
          <cell r="D2541">
            <v>45877</v>
          </cell>
          <cell r="G2541">
            <v>16</v>
          </cell>
          <cell r="H2541" t="str">
            <v>5.5-6</v>
          </cell>
          <cell r="Q2541">
            <v>573.42999999999995</v>
          </cell>
        </row>
        <row r="2542">
          <cell r="D2542">
            <v>45877</v>
          </cell>
          <cell r="G2542">
            <v>16</v>
          </cell>
          <cell r="H2542" t="str">
            <v>5.5-6</v>
          </cell>
          <cell r="Q2542">
            <v>647.55999999999995</v>
          </cell>
        </row>
        <row r="2543">
          <cell r="D2543">
            <v>45877</v>
          </cell>
          <cell r="G2543">
            <v>12</v>
          </cell>
          <cell r="H2543">
            <v>10</v>
          </cell>
          <cell r="Q2543">
            <v>54.2</v>
          </cell>
        </row>
        <row r="2544">
          <cell r="D2544">
            <v>45877</v>
          </cell>
          <cell r="G2544">
            <v>14</v>
          </cell>
          <cell r="H2544" t="str">
            <v>4-4.5/8-9</v>
          </cell>
          <cell r="Q2544">
            <v>188.76</v>
          </cell>
        </row>
        <row r="2545">
          <cell r="D2545">
            <v>45877</v>
          </cell>
          <cell r="G2545">
            <v>14</v>
          </cell>
          <cell r="H2545">
            <v>10</v>
          </cell>
          <cell r="Q2545">
            <v>245.96</v>
          </cell>
        </row>
        <row r="2546">
          <cell r="D2546">
            <v>45877</v>
          </cell>
          <cell r="G2546">
            <v>14</v>
          </cell>
          <cell r="H2546">
            <v>5</v>
          </cell>
          <cell r="Q2546">
            <v>85.57</v>
          </cell>
        </row>
        <row r="2547">
          <cell r="D2547">
            <v>45877</v>
          </cell>
          <cell r="G2547">
            <v>14</v>
          </cell>
          <cell r="H2547">
            <v>5</v>
          </cell>
          <cell r="Q2547">
            <v>451.17</v>
          </cell>
        </row>
        <row r="2548">
          <cell r="D2548">
            <v>45877</v>
          </cell>
          <cell r="G2548">
            <v>10</v>
          </cell>
          <cell r="H2548">
            <v>5</v>
          </cell>
          <cell r="Q2548">
            <v>47.71</v>
          </cell>
        </row>
        <row r="2549">
          <cell r="D2549">
            <v>45878</v>
          </cell>
          <cell r="G2549">
            <v>3</v>
          </cell>
          <cell r="H2549" t="str">
            <v>5.5-6</v>
          </cell>
          <cell r="Q2549">
            <v>133.72999999999999</v>
          </cell>
        </row>
        <row r="2550">
          <cell r="D2550">
            <v>45878</v>
          </cell>
          <cell r="G2550">
            <v>3</v>
          </cell>
          <cell r="H2550" t="str">
            <v>5.5-6</v>
          </cell>
          <cell r="Q2550">
            <v>124.07999999999998</v>
          </cell>
        </row>
        <row r="2551">
          <cell r="D2551">
            <v>45878</v>
          </cell>
          <cell r="G2551">
            <v>2.5</v>
          </cell>
          <cell r="H2551" t="str">
            <v>5.5-6</v>
          </cell>
          <cell r="Q2551">
            <v>98.029999999999987</v>
          </cell>
        </row>
        <row r="2552">
          <cell r="D2552">
            <v>45878</v>
          </cell>
          <cell r="G2552">
            <v>2.5</v>
          </cell>
          <cell r="H2552" t="str">
            <v>5.5-6</v>
          </cell>
          <cell r="Q2552">
            <v>97.20999999999998</v>
          </cell>
        </row>
        <row r="2553">
          <cell r="D2553">
            <v>45878</v>
          </cell>
          <cell r="G2553">
            <v>7</v>
          </cell>
          <cell r="H2553">
            <v>5</v>
          </cell>
          <cell r="Q2553">
            <v>256.53999999999996</v>
          </cell>
        </row>
        <row r="2554">
          <cell r="D2554">
            <v>45878</v>
          </cell>
          <cell r="G2554">
            <v>7</v>
          </cell>
          <cell r="H2554">
            <v>5</v>
          </cell>
          <cell r="Q2554">
            <v>260.78000000000003</v>
          </cell>
        </row>
        <row r="2555">
          <cell r="D2555">
            <v>45878</v>
          </cell>
          <cell r="G2555">
            <v>16</v>
          </cell>
          <cell r="H2555" t="str">
            <v>5.5-6</v>
          </cell>
          <cell r="Q2555">
            <v>746.33999999999992</v>
          </cell>
        </row>
        <row r="2556">
          <cell r="D2556">
            <v>45878</v>
          </cell>
          <cell r="G2556">
            <v>16</v>
          </cell>
          <cell r="H2556" t="str">
            <v>5.5-6</v>
          </cell>
          <cell r="Q2556">
            <v>195.78000000000003</v>
          </cell>
        </row>
        <row r="2557">
          <cell r="D2557">
            <v>45878</v>
          </cell>
          <cell r="G2557">
            <v>16</v>
          </cell>
          <cell r="H2557">
            <v>5</v>
          </cell>
          <cell r="Q2557">
            <v>617.21</v>
          </cell>
        </row>
        <row r="2558">
          <cell r="D2558">
            <v>45878</v>
          </cell>
          <cell r="G2558">
            <v>10</v>
          </cell>
          <cell r="H2558">
            <v>5</v>
          </cell>
          <cell r="Q2558">
            <v>402.35</v>
          </cell>
        </row>
        <row r="2559">
          <cell r="D2559">
            <v>45878</v>
          </cell>
          <cell r="G2559">
            <v>10</v>
          </cell>
          <cell r="H2559">
            <v>5</v>
          </cell>
          <cell r="Q2559">
            <v>399.10999999999996</v>
          </cell>
        </row>
        <row r="2560">
          <cell r="D2560">
            <v>45879</v>
          </cell>
          <cell r="G2560">
            <v>3.5</v>
          </cell>
          <cell r="H2560" t="str">
            <v>5.5-6</v>
          </cell>
          <cell r="Q2560">
            <v>122.03</v>
          </cell>
        </row>
        <row r="2561">
          <cell r="D2561">
            <v>45879</v>
          </cell>
          <cell r="G2561">
            <v>3.5</v>
          </cell>
          <cell r="H2561" t="str">
            <v>5.5-6</v>
          </cell>
          <cell r="Q2561">
            <v>130.19</v>
          </cell>
        </row>
        <row r="2562">
          <cell r="D2562">
            <v>45879</v>
          </cell>
          <cell r="G2562">
            <v>2.5</v>
          </cell>
          <cell r="H2562" t="str">
            <v>5.5-6</v>
          </cell>
          <cell r="Q2562">
            <v>90.61999999999999</v>
          </cell>
        </row>
        <row r="2563">
          <cell r="D2563">
            <v>45879</v>
          </cell>
          <cell r="G2563">
            <v>2.5</v>
          </cell>
          <cell r="H2563" t="str">
            <v>5.5-6</v>
          </cell>
          <cell r="Q2563">
            <v>113.64999999999999</v>
          </cell>
        </row>
        <row r="2564">
          <cell r="D2564">
            <v>45879</v>
          </cell>
          <cell r="G2564">
            <v>7</v>
          </cell>
          <cell r="H2564">
            <v>5</v>
          </cell>
          <cell r="Q2564">
            <v>339.97999999999996</v>
          </cell>
        </row>
        <row r="2565">
          <cell r="D2565">
            <v>45879</v>
          </cell>
          <cell r="G2565">
            <v>7</v>
          </cell>
          <cell r="H2565">
            <v>5</v>
          </cell>
          <cell r="Q2565">
            <v>317.52</v>
          </cell>
        </row>
        <row r="2566">
          <cell r="D2566">
            <v>45879</v>
          </cell>
          <cell r="G2566">
            <v>16</v>
          </cell>
          <cell r="H2566">
            <v>5</v>
          </cell>
          <cell r="Q2566">
            <v>105.97</v>
          </cell>
        </row>
        <row r="2567">
          <cell r="D2567">
            <v>45879</v>
          </cell>
          <cell r="G2567">
            <v>16</v>
          </cell>
          <cell r="H2567" t="str">
            <v>4.5-5</v>
          </cell>
          <cell r="Q2567">
            <v>617.92999999999995</v>
          </cell>
        </row>
        <row r="2568">
          <cell r="D2568">
            <v>45879</v>
          </cell>
          <cell r="G2568">
            <v>16</v>
          </cell>
          <cell r="H2568" t="str">
            <v>4.5-5</v>
          </cell>
          <cell r="Q2568">
            <v>599.62</v>
          </cell>
        </row>
        <row r="2569">
          <cell r="D2569">
            <v>45879</v>
          </cell>
          <cell r="G2569">
            <v>16</v>
          </cell>
          <cell r="H2569">
            <v>5</v>
          </cell>
          <cell r="Q2569">
            <v>88.76</v>
          </cell>
        </row>
        <row r="2570">
          <cell r="D2570">
            <v>45879</v>
          </cell>
          <cell r="G2570">
            <v>10</v>
          </cell>
          <cell r="H2570">
            <v>5</v>
          </cell>
          <cell r="Q2570">
            <v>259.33999999999997</v>
          </cell>
        </row>
        <row r="2571">
          <cell r="D2571">
            <v>45879</v>
          </cell>
          <cell r="G2571">
            <v>12</v>
          </cell>
          <cell r="H2571">
            <v>5</v>
          </cell>
          <cell r="Q2571">
            <v>258.08999999999997</v>
          </cell>
        </row>
        <row r="2572">
          <cell r="D2572">
            <v>45879</v>
          </cell>
          <cell r="G2572">
            <v>12</v>
          </cell>
          <cell r="H2572">
            <v>5</v>
          </cell>
          <cell r="Q2572">
            <v>500.85999999999996</v>
          </cell>
        </row>
        <row r="2573">
          <cell r="D2573">
            <v>45880</v>
          </cell>
          <cell r="G2573">
            <v>3.5</v>
          </cell>
          <cell r="H2573">
            <v>4.5</v>
          </cell>
          <cell r="Q2573">
            <v>27.86</v>
          </cell>
        </row>
        <row r="2574">
          <cell r="D2574">
            <v>45880</v>
          </cell>
          <cell r="G2574">
            <v>4.5</v>
          </cell>
          <cell r="H2574">
            <v>4.5</v>
          </cell>
          <cell r="Q2574">
            <v>54.400000000000006</v>
          </cell>
        </row>
        <row r="2575">
          <cell r="D2575">
            <v>45880</v>
          </cell>
          <cell r="G2575" t="str">
            <v>-</v>
          </cell>
          <cell r="H2575" t="str">
            <v>-</v>
          </cell>
          <cell r="Q2575">
            <v>122.2</v>
          </cell>
        </row>
        <row r="2576">
          <cell r="D2576">
            <v>45880</v>
          </cell>
          <cell r="G2576">
            <v>2.5</v>
          </cell>
          <cell r="H2576" t="str">
            <v>5.5-6</v>
          </cell>
          <cell r="Q2576">
            <v>90.21</v>
          </cell>
        </row>
        <row r="2577">
          <cell r="D2577">
            <v>45880</v>
          </cell>
          <cell r="G2577">
            <v>2.5</v>
          </cell>
          <cell r="H2577">
            <v>5</v>
          </cell>
          <cell r="Q2577">
            <v>81.399999999999991</v>
          </cell>
        </row>
        <row r="2578">
          <cell r="D2578">
            <v>45880</v>
          </cell>
          <cell r="G2578">
            <v>7</v>
          </cell>
          <cell r="H2578">
            <v>5</v>
          </cell>
          <cell r="Q2578">
            <v>273.77999999999997</v>
          </cell>
        </row>
        <row r="2579">
          <cell r="D2579">
            <v>45880</v>
          </cell>
          <cell r="G2579">
            <v>7</v>
          </cell>
          <cell r="H2579">
            <v>5</v>
          </cell>
          <cell r="Q2579">
            <v>179.08</v>
          </cell>
        </row>
        <row r="2580">
          <cell r="D2580">
            <v>45880</v>
          </cell>
          <cell r="G2580">
            <v>6</v>
          </cell>
          <cell r="H2580">
            <v>5</v>
          </cell>
          <cell r="Q2580">
            <v>56.32</v>
          </cell>
        </row>
        <row r="2581">
          <cell r="D2581">
            <v>45880</v>
          </cell>
          <cell r="G2581">
            <v>16</v>
          </cell>
          <cell r="H2581">
            <v>10</v>
          </cell>
          <cell r="Q2581">
            <v>97.28</v>
          </cell>
        </row>
        <row r="2582">
          <cell r="D2582">
            <v>45880</v>
          </cell>
          <cell r="G2582">
            <v>20</v>
          </cell>
          <cell r="H2582">
            <v>10</v>
          </cell>
          <cell r="Q2582">
            <v>261.34999999999997</v>
          </cell>
        </row>
        <row r="2583">
          <cell r="D2583">
            <v>45880</v>
          </cell>
          <cell r="G2583">
            <v>20</v>
          </cell>
          <cell r="H2583" t="str">
            <v>6-6.5</v>
          </cell>
          <cell r="Q2583">
            <v>410.09</v>
          </cell>
        </row>
        <row r="2584">
          <cell r="D2584">
            <v>45880</v>
          </cell>
          <cell r="G2584">
            <v>20</v>
          </cell>
          <cell r="H2584" t="str">
            <v>6-6.5</v>
          </cell>
          <cell r="Q2584">
            <v>599.00999999999988</v>
          </cell>
        </row>
        <row r="2585">
          <cell r="D2585">
            <v>45880</v>
          </cell>
          <cell r="G2585">
            <v>12</v>
          </cell>
          <cell r="H2585">
            <v>5</v>
          </cell>
          <cell r="Q2585">
            <v>543.01</v>
          </cell>
        </row>
        <row r="2586">
          <cell r="D2586">
            <v>45880</v>
          </cell>
          <cell r="G2586">
            <v>9</v>
          </cell>
          <cell r="H2586">
            <v>10</v>
          </cell>
          <cell r="Q2586">
            <v>122.91999999999999</v>
          </cell>
        </row>
        <row r="2587">
          <cell r="D2587">
            <v>45880</v>
          </cell>
          <cell r="G2587">
            <v>9</v>
          </cell>
          <cell r="H2587">
            <v>5</v>
          </cell>
          <cell r="Q2587">
            <v>154.97</v>
          </cell>
        </row>
        <row r="2588">
          <cell r="D2588">
            <v>45880</v>
          </cell>
          <cell r="G2588">
            <v>9</v>
          </cell>
          <cell r="H2588">
            <v>5</v>
          </cell>
          <cell r="Q2588">
            <v>76.22</v>
          </cell>
        </row>
        <row r="2589">
          <cell r="D2589">
            <v>45881</v>
          </cell>
          <cell r="G2589">
            <v>4.5</v>
          </cell>
          <cell r="H2589" t="str">
            <v>5.5-6</v>
          </cell>
          <cell r="Q2589">
            <v>85.029999999999987</v>
          </cell>
        </row>
        <row r="2590">
          <cell r="D2590">
            <v>45881</v>
          </cell>
          <cell r="G2590">
            <v>1.5</v>
          </cell>
          <cell r="H2590" t="str">
            <v>5.5-6</v>
          </cell>
          <cell r="Q2590">
            <v>27.65</v>
          </cell>
        </row>
        <row r="2591">
          <cell r="D2591">
            <v>45881</v>
          </cell>
          <cell r="G2591">
            <v>5</v>
          </cell>
          <cell r="H2591" t="str">
            <v>5.5-6</v>
          </cell>
          <cell r="Q2591">
            <v>112.36999999999998</v>
          </cell>
        </row>
        <row r="2592">
          <cell r="D2592">
            <v>45881</v>
          </cell>
          <cell r="G2592">
            <v>6</v>
          </cell>
          <cell r="H2592">
            <v>5</v>
          </cell>
          <cell r="Q2592">
            <v>276.43999999999994</v>
          </cell>
        </row>
        <row r="2593">
          <cell r="D2593">
            <v>45881</v>
          </cell>
          <cell r="G2593">
            <v>6</v>
          </cell>
          <cell r="H2593">
            <v>5</v>
          </cell>
          <cell r="Q2593">
            <v>239.57000000000002</v>
          </cell>
        </row>
        <row r="2594">
          <cell r="D2594">
            <v>45881</v>
          </cell>
          <cell r="G2594">
            <v>20</v>
          </cell>
          <cell r="H2594" t="str">
            <v>6-6.5</v>
          </cell>
          <cell r="Q2594">
            <v>499.26</v>
          </cell>
        </row>
        <row r="2595">
          <cell r="D2595">
            <v>45881</v>
          </cell>
          <cell r="G2595">
            <v>24</v>
          </cell>
          <cell r="H2595" t="str">
            <v>5-5.5</v>
          </cell>
          <cell r="Q2595">
            <v>240.72000000000003</v>
          </cell>
        </row>
        <row r="2596">
          <cell r="D2596">
            <v>45881</v>
          </cell>
          <cell r="G2596">
            <v>24</v>
          </cell>
          <cell r="H2596" t="str">
            <v>5-5.5</v>
          </cell>
          <cell r="Q2596">
            <v>678.70999999999992</v>
          </cell>
        </row>
        <row r="2597">
          <cell r="D2597">
            <v>45881</v>
          </cell>
          <cell r="G2597">
            <v>9</v>
          </cell>
          <cell r="H2597">
            <v>5</v>
          </cell>
          <cell r="Q2597">
            <v>378.27999999999992</v>
          </cell>
        </row>
        <row r="2598">
          <cell r="D2598">
            <v>45881</v>
          </cell>
          <cell r="G2598">
            <v>9</v>
          </cell>
          <cell r="H2598">
            <v>5</v>
          </cell>
          <cell r="Q2598">
            <v>405.03000000000003</v>
          </cell>
        </row>
        <row r="2599">
          <cell r="D2599">
            <v>45882</v>
          </cell>
          <cell r="G2599">
            <v>1.5</v>
          </cell>
          <cell r="H2599" t="str">
            <v>5.5-6</v>
          </cell>
          <cell r="Q2599">
            <v>96.65</v>
          </cell>
        </row>
        <row r="2600">
          <cell r="D2600">
            <v>45882</v>
          </cell>
          <cell r="G2600">
            <v>1.5</v>
          </cell>
          <cell r="H2600" t="str">
            <v>5.5-6</v>
          </cell>
          <cell r="Q2600">
            <v>26.98</v>
          </cell>
        </row>
        <row r="2601">
          <cell r="D2601">
            <v>45882</v>
          </cell>
          <cell r="G2601">
            <v>2.5</v>
          </cell>
          <cell r="H2601" t="str">
            <v>5.5-6</v>
          </cell>
          <cell r="Q2601">
            <v>83.53</v>
          </cell>
        </row>
        <row r="2602">
          <cell r="D2602">
            <v>45882</v>
          </cell>
          <cell r="G2602">
            <v>5</v>
          </cell>
          <cell r="H2602" t="str">
            <v>5.5-6</v>
          </cell>
          <cell r="Q2602">
            <v>113.10999999999999</v>
          </cell>
        </row>
        <row r="2603">
          <cell r="D2603">
            <v>45882</v>
          </cell>
          <cell r="G2603">
            <v>5</v>
          </cell>
          <cell r="H2603" t="str">
            <v>5.5-6</v>
          </cell>
          <cell r="Q2603">
            <v>29.130000000000003</v>
          </cell>
        </row>
        <row r="2604">
          <cell r="D2604">
            <v>45882</v>
          </cell>
          <cell r="G2604">
            <v>4</v>
          </cell>
          <cell r="H2604" t="str">
            <v>5.5-6</v>
          </cell>
          <cell r="Q2604">
            <v>118.73</v>
          </cell>
        </row>
        <row r="2605">
          <cell r="D2605">
            <v>45882</v>
          </cell>
          <cell r="G2605">
            <v>6</v>
          </cell>
          <cell r="H2605">
            <v>5</v>
          </cell>
          <cell r="Q2605">
            <v>247.89</v>
          </cell>
        </row>
        <row r="2606">
          <cell r="D2606">
            <v>45882</v>
          </cell>
          <cell r="G2606">
            <v>6</v>
          </cell>
          <cell r="H2606">
            <v>5</v>
          </cell>
          <cell r="Q2606">
            <v>244.76000000000002</v>
          </cell>
        </row>
        <row r="2607">
          <cell r="D2607">
            <v>45882</v>
          </cell>
          <cell r="G2607">
            <v>24</v>
          </cell>
          <cell r="H2607" t="str">
            <v>5-5.5</v>
          </cell>
          <cell r="Q2607">
            <v>229.58</v>
          </cell>
        </row>
        <row r="2608">
          <cell r="D2608">
            <v>45882</v>
          </cell>
          <cell r="G2608">
            <v>26</v>
          </cell>
          <cell r="H2608">
            <v>5</v>
          </cell>
          <cell r="Q2608">
            <v>104.46000000000001</v>
          </cell>
        </row>
        <row r="2609">
          <cell r="D2609">
            <v>45882</v>
          </cell>
          <cell r="G2609">
            <v>18</v>
          </cell>
          <cell r="H2609">
            <v>5</v>
          </cell>
          <cell r="Q2609">
            <v>254.04000000000002</v>
          </cell>
        </row>
        <row r="2610">
          <cell r="D2610">
            <v>45882</v>
          </cell>
          <cell r="G2610">
            <v>24</v>
          </cell>
          <cell r="H2610">
            <v>5</v>
          </cell>
          <cell r="Q2610">
            <v>137.77000000000001</v>
          </cell>
        </row>
        <row r="2611">
          <cell r="D2611">
            <v>45882</v>
          </cell>
          <cell r="G2611">
            <v>18</v>
          </cell>
          <cell r="H2611">
            <v>5</v>
          </cell>
          <cell r="Q2611">
            <v>666.00000000000011</v>
          </cell>
        </row>
        <row r="2612">
          <cell r="D2612">
            <v>45882</v>
          </cell>
          <cell r="G2612">
            <v>9</v>
          </cell>
          <cell r="H2612">
            <v>5</v>
          </cell>
          <cell r="Q2612">
            <v>146.5</v>
          </cell>
        </row>
        <row r="2613">
          <cell r="D2613">
            <v>45882</v>
          </cell>
          <cell r="G2613">
            <v>12</v>
          </cell>
          <cell r="H2613">
            <v>5</v>
          </cell>
          <cell r="Q2613">
            <v>363.88</v>
          </cell>
        </row>
        <row r="2614">
          <cell r="D2614">
            <v>45882</v>
          </cell>
          <cell r="G2614">
            <v>12</v>
          </cell>
          <cell r="H2614">
            <v>5</v>
          </cell>
          <cell r="Q2614">
            <v>481.54999999999995</v>
          </cell>
        </row>
        <row r="2615">
          <cell r="D2615">
            <v>45883</v>
          </cell>
          <cell r="G2615">
            <v>2.5</v>
          </cell>
          <cell r="H2615" t="str">
            <v>5.5-6</v>
          </cell>
          <cell r="Q2615">
            <v>125.59</v>
          </cell>
        </row>
        <row r="2616">
          <cell r="D2616">
            <v>45883</v>
          </cell>
          <cell r="G2616">
            <v>2.5</v>
          </cell>
          <cell r="H2616" t="str">
            <v>5.5-6</v>
          </cell>
          <cell r="Q2616">
            <v>128.87</v>
          </cell>
        </row>
        <row r="2617">
          <cell r="D2617">
            <v>45883</v>
          </cell>
          <cell r="G2617">
            <v>4</v>
          </cell>
          <cell r="H2617" t="str">
            <v>5.5-6</v>
          </cell>
          <cell r="Q2617">
            <v>150.78999999999996</v>
          </cell>
        </row>
        <row r="2618">
          <cell r="D2618">
            <v>45883</v>
          </cell>
          <cell r="G2618">
            <v>4</v>
          </cell>
          <cell r="H2618" t="str">
            <v>5.5-6</v>
          </cell>
          <cell r="Q2618">
            <v>145.04000000000002</v>
          </cell>
        </row>
        <row r="2619">
          <cell r="D2619">
            <v>45883</v>
          </cell>
          <cell r="G2619">
            <v>8</v>
          </cell>
          <cell r="H2619">
            <v>5</v>
          </cell>
          <cell r="Q2619">
            <v>198.5</v>
          </cell>
        </row>
        <row r="2620">
          <cell r="D2620">
            <v>45883</v>
          </cell>
          <cell r="G2620">
            <v>7</v>
          </cell>
          <cell r="H2620">
            <v>5</v>
          </cell>
          <cell r="Q2620">
            <v>44.07</v>
          </cell>
        </row>
        <row r="2621">
          <cell r="D2621">
            <v>45883</v>
          </cell>
          <cell r="G2621">
            <v>8</v>
          </cell>
          <cell r="H2621">
            <v>5</v>
          </cell>
          <cell r="Q2621">
            <v>220.14</v>
          </cell>
        </row>
        <row r="2622">
          <cell r="D2622">
            <v>45883</v>
          </cell>
          <cell r="G2622">
            <v>18</v>
          </cell>
          <cell r="H2622" t="str">
            <v>5-5.5</v>
          </cell>
          <cell r="Q2622">
            <v>607.88</v>
          </cell>
        </row>
        <row r="2623">
          <cell r="D2623">
            <v>45883</v>
          </cell>
          <cell r="G2623">
            <v>18</v>
          </cell>
          <cell r="H2623">
            <v>5</v>
          </cell>
          <cell r="Q2623">
            <v>106.83</v>
          </cell>
        </row>
        <row r="2624">
          <cell r="D2624">
            <v>45883</v>
          </cell>
          <cell r="G2624">
            <v>18</v>
          </cell>
          <cell r="H2624">
            <v>5</v>
          </cell>
          <cell r="Q2624">
            <v>102.00999999999999</v>
          </cell>
        </row>
        <row r="2625">
          <cell r="D2625">
            <v>45883</v>
          </cell>
          <cell r="G2625">
            <v>17</v>
          </cell>
          <cell r="H2625">
            <v>5</v>
          </cell>
          <cell r="Q2625">
            <v>618.38999999999987</v>
          </cell>
        </row>
        <row r="2626">
          <cell r="D2626">
            <v>45883</v>
          </cell>
          <cell r="G2626">
            <v>12</v>
          </cell>
          <cell r="H2626">
            <v>5</v>
          </cell>
          <cell r="Q2626">
            <v>432.35</v>
          </cell>
        </row>
        <row r="2627">
          <cell r="D2627">
            <v>45883</v>
          </cell>
          <cell r="G2627">
            <v>10</v>
          </cell>
          <cell r="H2627">
            <v>5</v>
          </cell>
          <cell r="Q2627">
            <v>377.21000000000004</v>
          </cell>
        </row>
        <row r="2628">
          <cell r="D2628">
            <v>45883</v>
          </cell>
          <cell r="G2628">
            <v>12</v>
          </cell>
          <cell r="H2628">
            <v>5</v>
          </cell>
          <cell r="Q2628">
            <v>32.21</v>
          </cell>
        </row>
        <row r="2629">
          <cell r="D2629">
            <v>45884</v>
          </cell>
          <cell r="G2629">
            <v>2.5</v>
          </cell>
          <cell r="H2629" t="str">
            <v>5.5-6</v>
          </cell>
          <cell r="Q2629">
            <v>99.06</v>
          </cell>
        </row>
        <row r="2630">
          <cell r="D2630">
            <v>45884</v>
          </cell>
          <cell r="G2630">
            <v>3.5</v>
          </cell>
          <cell r="H2630" t="str">
            <v>5.5-6</v>
          </cell>
          <cell r="Q2630">
            <v>27.790000000000003</v>
          </cell>
        </row>
        <row r="2631">
          <cell r="D2631">
            <v>45884</v>
          </cell>
          <cell r="G2631">
            <v>3.5</v>
          </cell>
          <cell r="H2631" t="str">
            <v>5.5-6</v>
          </cell>
          <cell r="Q2631">
            <v>139.89000000000001</v>
          </cell>
        </row>
        <row r="2632">
          <cell r="D2632">
            <v>45884</v>
          </cell>
          <cell r="G2632">
            <v>4</v>
          </cell>
          <cell r="H2632" t="str">
            <v>5.5-6</v>
          </cell>
          <cell r="Q2632">
            <v>144.97999999999999</v>
          </cell>
        </row>
        <row r="2633">
          <cell r="D2633">
            <v>45884</v>
          </cell>
          <cell r="G2633">
            <v>4</v>
          </cell>
          <cell r="H2633" t="str">
            <v>5.5-6</v>
          </cell>
          <cell r="Q2633">
            <v>134.81</v>
          </cell>
        </row>
        <row r="2634">
          <cell r="D2634">
            <v>45884</v>
          </cell>
          <cell r="G2634">
            <v>8</v>
          </cell>
          <cell r="H2634">
            <v>5</v>
          </cell>
          <cell r="Q2634">
            <v>241.50000000000003</v>
          </cell>
        </row>
        <row r="2635">
          <cell r="D2635">
            <v>45884</v>
          </cell>
          <cell r="G2635">
            <v>8</v>
          </cell>
          <cell r="H2635">
            <v>5</v>
          </cell>
          <cell r="Q2635">
            <v>235.98</v>
          </cell>
        </row>
        <row r="2636">
          <cell r="D2636">
            <v>45884</v>
          </cell>
          <cell r="G2636">
            <v>17</v>
          </cell>
          <cell r="H2636">
            <v>5</v>
          </cell>
          <cell r="Q2636">
            <v>692.96</v>
          </cell>
        </row>
        <row r="2637">
          <cell r="D2637">
            <v>45884</v>
          </cell>
          <cell r="G2637">
            <v>17</v>
          </cell>
          <cell r="H2637">
            <v>5</v>
          </cell>
          <cell r="Q2637">
            <v>686.07999999999993</v>
          </cell>
        </row>
        <row r="2638">
          <cell r="D2638">
            <v>45884</v>
          </cell>
          <cell r="G2638">
            <v>10</v>
          </cell>
          <cell r="H2638">
            <v>5</v>
          </cell>
          <cell r="Q2638">
            <v>422.96000000000009</v>
          </cell>
        </row>
        <row r="2639">
          <cell r="D2639">
            <v>45884</v>
          </cell>
          <cell r="G2639">
            <v>10</v>
          </cell>
          <cell r="H2639">
            <v>5</v>
          </cell>
          <cell r="Q2639">
            <v>406.63999999999993</v>
          </cell>
        </row>
        <row r="2640">
          <cell r="D2640">
            <v>45885</v>
          </cell>
          <cell r="G2640">
            <v>3.5</v>
          </cell>
          <cell r="H2640" t="str">
            <v>5.5-6</v>
          </cell>
          <cell r="Q2640">
            <v>15.879999999999999</v>
          </cell>
        </row>
        <row r="2641">
          <cell r="D2641">
            <v>45885</v>
          </cell>
          <cell r="G2641">
            <v>2.5</v>
          </cell>
          <cell r="H2641" t="str">
            <v>5.5-6</v>
          </cell>
          <cell r="Q2641">
            <v>49.110000000000007</v>
          </cell>
        </row>
        <row r="2642">
          <cell r="D2642">
            <v>45885</v>
          </cell>
          <cell r="G2642">
            <v>3.5</v>
          </cell>
          <cell r="H2642" t="str">
            <v>5.5-6</v>
          </cell>
          <cell r="Q2642">
            <v>58.42</v>
          </cell>
        </row>
        <row r="2643">
          <cell r="D2643">
            <v>45885</v>
          </cell>
          <cell r="G2643">
            <v>3.5</v>
          </cell>
          <cell r="H2643" t="str">
            <v>5.5-6</v>
          </cell>
          <cell r="Q2643">
            <v>147.15</v>
          </cell>
        </row>
        <row r="2644">
          <cell r="D2644">
            <v>45885</v>
          </cell>
          <cell r="G2644">
            <v>4</v>
          </cell>
          <cell r="H2644" t="str">
            <v>5.5-6</v>
          </cell>
          <cell r="Q2644">
            <v>145.38000000000002</v>
          </cell>
        </row>
        <row r="2645">
          <cell r="D2645">
            <v>45885</v>
          </cell>
          <cell r="G2645">
            <v>4</v>
          </cell>
          <cell r="H2645" t="str">
            <v>5.5-6</v>
          </cell>
          <cell r="Q2645">
            <v>148.99</v>
          </cell>
        </row>
        <row r="2646">
          <cell r="D2646">
            <v>45885</v>
          </cell>
          <cell r="G2646">
            <v>8</v>
          </cell>
          <cell r="H2646">
            <v>5</v>
          </cell>
          <cell r="Q2646">
            <v>234.69000000000003</v>
          </cell>
        </row>
        <row r="2647">
          <cell r="D2647">
            <v>45885</v>
          </cell>
          <cell r="G2647">
            <v>8</v>
          </cell>
          <cell r="H2647">
            <v>5</v>
          </cell>
          <cell r="Q2647">
            <v>248.69</v>
          </cell>
        </row>
        <row r="2648">
          <cell r="D2648">
            <v>45885</v>
          </cell>
          <cell r="G2648">
            <v>17</v>
          </cell>
          <cell r="H2648" t="str">
            <v>5.5-6</v>
          </cell>
          <cell r="Q2648">
            <v>713.59</v>
          </cell>
        </row>
        <row r="2649">
          <cell r="D2649">
            <v>45885</v>
          </cell>
          <cell r="G2649">
            <v>15</v>
          </cell>
          <cell r="H2649">
            <v>8</v>
          </cell>
          <cell r="Q2649">
            <v>37.299999999999997</v>
          </cell>
        </row>
        <row r="2650">
          <cell r="D2650">
            <v>45885</v>
          </cell>
          <cell r="G2650">
            <v>17</v>
          </cell>
          <cell r="H2650" t="str">
            <v>5.5-6</v>
          </cell>
          <cell r="Q2650">
            <v>110.49</v>
          </cell>
        </row>
        <row r="2651">
          <cell r="D2651">
            <v>45885</v>
          </cell>
          <cell r="G2651">
            <v>15</v>
          </cell>
          <cell r="H2651">
            <v>10</v>
          </cell>
          <cell r="Q2651">
            <v>134.72</v>
          </cell>
        </row>
        <row r="2652">
          <cell r="D2652">
            <v>45885</v>
          </cell>
          <cell r="G2652">
            <v>15</v>
          </cell>
          <cell r="H2652">
            <v>8</v>
          </cell>
          <cell r="Q2652">
            <v>110.8</v>
          </cell>
        </row>
        <row r="2653">
          <cell r="D2653">
            <v>45885</v>
          </cell>
          <cell r="G2653">
            <v>12</v>
          </cell>
          <cell r="H2653">
            <v>5</v>
          </cell>
          <cell r="Q2653">
            <v>370.04</v>
          </cell>
        </row>
        <row r="2654">
          <cell r="D2654">
            <v>45885</v>
          </cell>
          <cell r="G2654">
            <v>18</v>
          </cell>
          <cell r="H2654">
            <v>4.5</v>
          </cell>
          <cell r="Q2654">
            <v>313.70999999999998</v>
          </cell>
        </row>
        <row r="2655">
          <cell r="D2655">
            <v>45885</v>
          </cell>
          <cell r="G2655">
            <v>10</v>
          </cell>
          <cell r="H2655">
            <v>5</v>
          </cell>
          <cell r="Q2655">
            <v>103.51</v>
          </cell>
        </row>
        <row r="2656">
          <cell r="D2656">
            <v>45885</v>
          </cell>
          <cell r="G2656">
            <v>10</v>
          </cell>
          <cell r="H2656">
            <v>5</v>
          </cell>
          <cell r="Q2656">
            <v>473.76</v>
          </cell>
        </row>
        <row r="2657">
          <cell r="D2657">
            <v>45886</v>
          </cell>
          <cell r="G2657">
            <v>3.5</v>
          </cell>
          <cell r="H2657" t="str">
            <v>5.5-6</v>
          </cell>
          <cell r="Q2657">
            <v>129.97</v>
          </cell>
        </row>
        <row r="2658">
          <cell r="D2658">
            <v>45886</v>
          </cell>
          <cell r="G2658">
            <v>3.5</v>
          </cell>
          <cell r="H2658" t="str">
            <v>5.5-6</v>
          </cell>
          <cell r="Q2658">
            <v>132.20999999999998</v>
          </cell>
        </row>
        <row r="2659">
          <cell r="D2659">
            <v>45886</v>
          </cell>
          <cell r="G2659">
            <v>4</v>
          </cell>
          <cell r="H2659" t="str">
            <v>5.5-6</v>
          </cell>
          <cell r="Q2659">
            <v>138.82999999999998</v>
          </cell>
        </row>
        <row r="2660">
          <cell r="D2660">
            <v>45886</v>
          </cell>
          <cell r="G2660">
            <v>4</v>
          </cell>
          <cell r="H2660" t="str">
            <v>5.5-6</v>
          </cell>
          <cell r="Q2660">
            <v>23.509999999999998</v>
          </cell>
        </row>
        <row r="2661">
          <cell r="D2661">
            <v>45886</v>
          </cell>
          <cell r="G2661">
            <v>3</v>
          </cell>
          <cell r="H2661" t="str">
            <v>5.5-6</v>
          </cell>
          <cell r="Q2661">
            <v>104.37999999999998</v>
          </cell>
        </row>
        <row r="2662">
          <cell r="D2662">
            <v>45886</v>
          </cell>
          <cell r="G2662">
            <v>8</v>
          </cell>
          <cell r="H2662">
            <v>5</v>
          </cell>
          <cell r="Q2662">
            <v>296.63000000000005</v>
          </cell>
        </row>
        <row r="2663">
          <cell r="D2663">
            <v>45886</v>
          </cell>
          <cell r="G2663">
            <v>8</v>
          </cell>
          <cell r="H2663">
            <v>5</v>
          </cell>
          <cell r="Q2663">
            <v>360.3</v>
          </cell>
        </row>
        <row r="2664">
          <cell r="D2664">
            <v>45886</v>
          </cell>
          <cell r="G2664">
            <v>12</v>
          </cell>
          <cell r="H2664">
            <v>5</v>
          </cell>
          <cell r="Q2664">
            <v>197.3</v>
          </cell>
        </row>
        <row r="2665">
          <cell r="D2665">
            <v>45886</v>
          </cell>
          <cell r="G2665">
            <v>18</v>
          </cell>
          <cell r="H2665">
            <v>4.5</v>
          </cell>
          <cell r="Q2665">
            <v>318.69000000000005</v>
          </cell>
        </row>
        <row r="2666">
          <cell r="D2666">
            <v>45886</v>
          </cell>
          <cell r="G2666">
            <v>18</v>
          </cell>
          <cell r="H2666">
            <v>4.5</v>
          </cell>
          <cell r="Q2666">
            <v>256.04000000000002</v>
          </cell>
        </row>
        <row r="2667">
          <cell r="D2667">
            <v>45886</v>
          </cell>
          <cell r="G2667">
            <v>18</v>
          </cell>
          <cell r="H2667">
            <v>5</v>
          </cell>
          <cell r="Q2667">
            <v>513.81999999999994</v>
          </cell>
        </row>
        <row r="2668">
          <cell r="D2668">
            <v>45886</v>
          </cell>
          <cell r="G2668">
            <v>10</v>
          </cell>
          <cell r="H2668">
            <v>5</v>
          </cell>
          <cell r="Q2668">
            <v>11.64</v>
          </cell>
        </row>
        <row r="2669">
          <cell r="D2669">
            <v>45886</v>
          </cell>
          <cell r="G2669">
            <v>10</v>
          </cell>
          <cell r="H2669">
            <v>8</v>
          </cell>
          <cell r="Q2669">
            <v>51.370000000000005</v>
          </cell>
        </row>
        <row r="2670">
          <cell r="D2670">
            <v>45886</v>
          </cell>
          <cell r="G2670">
            <v>10</v>
          </cell>
          <cell r="H2670">
            <v>8</v>
          </cell>
          <cell r="Q2670">
            <v>55.17</v>
          </cell>
        </row>
        <row r="2671">
          <cell r="D2671">
            <v>45886</v>
          </cell>
          <cell r="G2671" t="str">
            <v>-</v>
          </cell>
          <cell r="H2671" t="str">
            <v>-</v>
          </cell>
          <cell r="Q2671">
            <v>105.41</v>
          </cell>
        </row>
        <row r="2672">
          <cell r="D2672">
            <v>45886</v>
          </cell>
          <cell r="G2672">
            <v>11</v>
          </cell>
          <cell r="H2672">
            <v>5</v>
          </cell>
          <cell r="Q2672">
            <v>683.27</v>
          </cell>
        </row>
        <row r="2673">
          <cell r="D2673">
            <v>45887</v>
          </cell>
          <cell r="G2673">
            <v>3.5</v>
          </cell>
          <cell r="H2673" t="str">
            <v>5.5-6</v>
          </cell>
          <cell r="Q2673">
            <v>45.230000000000004</v>
          </cell>
        </row>
        <row r="2674">
          <cell r="D2674">
            <v>45887</v>
          </cell>
          <cell r="G2674">
            <v>2.5</v>
          </cell>
          <cell r="H2674" t="str">
            <v>5.5-6</v>
          </cell>
          <cell r="Q2674">
            <v>17.020000000000003</v>
          </cell>
        </row>
        <row r="2675">
          <cell r="D2675">
            <v>45887</v>
          </cell>
          <cell r="G2675">
            <v>2</v>
          </cell>
          <cell r="H2675" t="str">
            <v>5.5-6</v>
          </cell>
          <cell r="Q2675">
            <v>51.349999999999994</v>
          </cell>
        </row>
        <row r="2676">
          <cell r="D2676">
            <v>45887</v>
          </cell>
          <cell r="G2676">
            <v>2</v>
          </cell>
          <cell r="H2676" t="str">
            <v>5.5-6</v>
          </cell>
          <cell r="Q2676">
            <v>114.24999999999999</v>
          </cell>
        </row>
        <row r="2677">
          <cell r="D2677">
            <v>45887</v>
          </cell>
          <cell r="G2677">
            <v>3</v>
          </cell>
          <cell r="H2677" t="str">
            <v>5.5-6</v>
          </cell>
          <cell r="Q2677">
            <v>117.93</v>
          </cell>
        </row>
        <row r="2678">
          <cell r="D2678">
            <v>45887</v>
          </cell>
          <cell r="G2678">
            <v>3</v>
          </cell>
          <cell r="H2678" t="str">
            <v>5.5-6</v>
          </cell>
          <cell r="Q2678">
            <v>129.70999999999998</v>
          </cell>
        </row>
        <row r="2679">
          <cell r="D2679">
            <v>45887</v>
          </cell>
          <cell r="G2679">
            <v>8</v>
          </cell>
          <cell r="H2679">
            <v>4.5</v>
          </cell>
          <cell r="Q2679">
            <v>75.88</v>
          </cell>
        </row>
        <row r="2680">
          <cell r="D2680">
            <v>45887</v>
          </cell>
          <cell r="G2680">
            <v>6</v>
          </cell>
          <cell r="H2680">
            <v>6</v>
          </cell>
          <cell r="Q2680">
            <v>53.480000000000004</v>
          </cell>
        </row>
        <row r="2681">
          <cell r="D2681">
            <v>45887</v>
          </cell>
          <cell r="G2681">
            <v>6</v>
          </cell>
          <cell r="H2681">
            <v>10</v>
          </cell>
          <cell r="Q2681">
            <v>105.55</v>
          </cell>
        </row>
        <row r="2682">
          <cell r="D2682">
            <v>45887</v>
          </cell>
          <cell r="G2682">
            <v>6</v>
          </cell>
          <cell r="H2682">
            <v>5</v>
          </cell>
          <cell r="Q2682">
            <v>113.49999999999999</v>
          </cell>
        </row>
        <row r="2683">
          <cell r="D2683">
            <v>45887</v>
          </cell>
          <cell r="G2683">
            <v>18</v>
          </cell>
          <cell r="H2683">
            <v>5</v>
          </cell>
          <cell r="Q2683">
            <v>104.53999999999999</v>
          </cell>
        </row>
        <row r="2684">
          <cell r="D2684">
            <v>45887</v>
          </cell>
          <cell r="G2684">
            <v>18</v>
          </cell>
          <cell r="H2684" t="str">
            <v>6-6.5</v>
          </cell>
          <cell r="Q2684">
            <v>585.88</v>
          </cell>
        </row>
        <row r="2685">
          <cell r="D2685">
            <v>45887</v>
          </cell>
          <cell r="G2685">
            <v>16</v>
          </cell>
          <cell r="H2685">
            <v>5</v>
          </cell>
          <cell r="Q2685">
            <v>95.98</v>
          </cell>
        </row>
        <row r="2686">
          <cell r="D2686">
            <v>45887</v>
          </cell>
          <cell r="G2686">
            <v>16</v>
          </cell>
          <cell r="H2686" t="str">
            <v>5-5.5</v>
          </cell>
          <cell r="Q2686">
            <v>552.88</v>
          </cell>
        </row>
        <row r="2687">
          <cell r="D2687">
            <v>45887</v>
          </cell>
          <cell r="G2687">
            <v>11</v>
          </cell>
          <cell r="H2687">
            <v>5</v>
          </cell>
          <cell r="Q2687">
            <v>398.54</v>
          </cell>
        </row>
        <row r="2688">
          <cell r="D2688">
            <v>45887</v>
          </cell>
          <cell r="G2688">
            <v>11</v>
          </cell>
          <cell r="H2688">
            <v>4.5</v>
          </cell>
          <cell r="Q2688">
            <v>54.309999999999995</v>
          </cell>
        </row>
        <row r="2689">
          <cell r="D2689">
            <v>45887</v>
          </cell>
          <cell r="G2689">
            <v>13</v>
          </cell>
          <cell r="H2689">
            <v>5</v>
          </cell>
          <cell r="Q2689">
            <v>501.25000000000006</v>
          </cell>
        </row>
        <row r="2690">
          <cell r="D2690">
            <v>45887</v>
          </cell>
          <cell r="G2690">
            <v>11</v>
          </cell>
          <cell r="H2690">
            <v>4.5</v>
          </cell>
          <cell r="Q2690">
            <v>58.91</v>
          </cell>
        </row>
        <row r="2691">
          <cell r="D2691">
            <v>45888</v>
          </cell>
          <cell r="G2691">
            <v>2</v>
          </cell>
          <cell r="H2691" t="str">
            <v>5.5-6</v>
          </cell>
          <cell r="Q2691">
            <v>111.41</v>
          </cell>
        </row>
        <row r="2692">
          <cell r="D2692">
            <v>45888</v>
          </cell>
          <cell r="G2692">
            <v>2</v>
          </cell>
          <cell r="H2692" t="str">
            <v>5.5-6</v>
          </cell>
          <cell r="Q2692">
            <v>116.44999999999997</v>
          </cell>
        </row>
        <row r="2693">
          <cell r="D2693">
            <v>45888</v>
          </cell>
          <cell r="G2693">
            <v>3</v>
          </cell>
          <cell r="H2693" t="str">
            <v>5.5-6</v>
          </cell>
          <cell r="Q2693">
            <v>126.56</v>
          </cell>
        </row>
        <row r="2694">
          <cell r="D2694">
            <v>45888</v>
          </cell>
          <cell r="G2694">
            <v>3</v>
          </cell>
          <cell r="H2694" t="str">
            <v>5.5-6</v>
          </cell>
          <cell r="Q2694">
            <v>127.49</v>
          </cell>
        </row>
        <row r="2695">
          <cell r="D2695">
            <v>45888</v>
          </cell>
          <cell r="G2695">
            <v>6</v>
          </cell>
          <cell r="H2695">
            <v>5</v>
          </cell>
          <cell r="Q2695">
            <v>259.17</v>
          </cell>
        </row>
        <row r="2696">
          <cell r="D2696">
            <v>45888</v>
          </cell>
          <cell r="G2696">
            <v>7</v>
          </cell>
          <cell r="H2696">
            <v>5</v>
          </cell>
          <cell r="Q2696">
            <v>157.82</v>
          </cell>
        </row>
        <row r="2697">
          <cell r="D2697">
            <v>45888</v>
          </cell>
          <cell r="G2697" t="str">
            <v>-</v>
          </cell>
          <cell r="H2697" t="str">
            <v>-</v>
          </cell>
          <cell r="Q2697">
            <v>81.55</v>
          </cell>
        </row>
        <row r="2698">
          <cell r="D2698">
            <v>45888</v>
          </cell>
          <cell r="G2698">
            <v>16</v>
          </cell>
          <cell r="H2698" t="str">
            <v>5-5.5</v>
          </cell>
          <cell r="Q2698">
            <v>681.56</v>
          </cell>
        </row>
        <row r="2699">
          <cell r="D2699">
            <v>45888</v>
          </cell>
          <cell r="G2699">
            <v>16</v>
          </cell>
          <cell r="H2699" t="str">
            <v>5-5.5</v>
          </cell>
          <cell r="Q2699">
            <v>381.78999999999996</v>
          </cell>
        </row>
        <row r="2700">
          <cell r="D2700">
            <v>45888</v>
          </cell>
          <cell r="G2700" t="str">
            <v>-</v>
          </cell>
          <cell r="H2700" t="str">
            <v>-</v>
          </cell>
          <cell r="Q2700">
            <v>204.55999999999997</v>
          </cell>
        </row>
        <row r="2701">
          <cell r="D2701">
            <v>45888</v>
          </cell>
          <cell r="G2701">
            <v>16</v>
          </cell>
          <cell r="H2701">
            <v>5</v>
          </cell>
          <cell r="Q2701">
            <v>101.62</v>
          </cell>
        </row>
        <row r="2702">
          <cell r="D2702">
            <v>45888</v>
          </cell>
          <cell r="G2702">
            <v>13</v>
          </cell>
          <cell r="H2702">
            <v>5</v>
          </cell>
          <cell r="Q2702">
            <v>214.59</v>
          </cell>
        </row>
        <row r="2703">
          <cell r="D2703">
            <v>45888</v>
          </cell>
          <cell r="G2703">
            <v>12</v>
          </cell>
          <cell r="H2703">
            <v>6.5</v>
          </cell>
          <cell r="Q2703">
            <v>319.51</v>
          </cell>
        </row>
        <row r="2704">
          <cell r="D2704">
            <v>45888</v>
          </cell>
          <cell r="G2704">
            <v>12</v>
          </cell>
          <cell r="H2704">
            <v>6.5</v>
          </cell>
          <cell r="Q2704">
            <v>556.33000000000004</v>
          </cell>
        </row>
        <row r="2705">
          <cell r="D2705">
            <v>45889</v>
          </cell>
          <cell r="G2705">
            <v>2</v>
          </cell>
          <cell r="H2705" t="str">
            <v>5.5-6</v>
          </cell>
          <cell r="Q2705">
            <v>111.99000000000001</v>
          </cell>
        </row>
        <row r="2706">
          <cell r="D2706">
            <v>45889</v>
          </cell>
          <cell r="G2706">
            <v>2.5</v>
          </cell>
          <cell r="H2706" t="str">
            <v>5.5-6</v>
          </cell>
          <cell r="Q2706">
            <v>22.58</v>
          </cell>
        </row>
        <row r="2707">
          <cell r="D2707">
            <v>45889</v>
          </cell>
          <cell r="G2707">
            <v>2.5</v>
          </cell>
          <cell r="H2707" t="str">
            <v>5.5-6</v>
          </cell>
          <cell r="Q2707">
            <v>121.14</v>
          </cell>
        </row>
        <row r="2708">
          <cell r="D2708">
            <v>45889</v>
          </cell>
          <cell r="G2708">
            <v>3</v>
          </cell>
          <cell r="H2708" t="str">
            <v>5.5-6</v>
          </cell>
          <cell r="Q2708">
            <v>127.94000000000001</v>
          </cell>
        </row>
        <row r="2709">
          <cell r="D2709">
            <v>45889</v>
          </cell>
          <cell r="G2709">
            <v>3</v>
          </cell>
          <cell r="H2709" t="str">
            <v>5.5-6</v>
          </cell>
          <cell r="Q2709">
            <v>52.589999999999996</v>
          </cell>
        </row>
        <row r="2710">
          <cell r="D2710">
            <v>45889</v>
          </cell>
          <cell r="G2710">
            <v>4</v>
          </cell>
          <cell r="H2710" t="str">
            <v>5.5-6</v>
          </cell>
          <cell r="Q2710">
            <v>90.77</v>
          </cell>
        </row>
        <row r="2711">
          <cell r="D2711">
            <v>45889</v>
          </cell>
          <cell r="G2711">
            <v>18</v>
          </cell>
          <cell r="H2711">
            <v>4.5</v>
          </cell>
          <cell r="Q2711">
            <v>97.089999999999989</v>
          </cell>
        </row>
        <row r="2712">
          <cell r="D2712">
            <v>45889</v>
          </cell>
          <cell r="G2712">
            <v>18</v>
          </cell>
          <cell r="H2712">
            <v>4.5</v>
          </cell>
          <cell r="Q2712">
            <v>91.99</v>
          </cell>
        </row>
        <row r="2713">
          <cell r="D2713">
            <v>45889</v>
          </cell>
          <cell r="G2713">
            <v>8</v>
          </cell>
          <cell r="H2713">
            <v>4.5</v>
          </cell>
          <cell r="Q2713">
            <v>76.52</v>
          </cell>
        </row>
        <row r="2714">
          <cell r="D2714">
            <v>45889</v>
          </cell>
          <cell r="G2714">
            <v>9</v>
          </cell>
          <cell r="H2714">
            <v>5.5</v>
          </cell>
          <cell r="Q2714">
            <v>37.480000000000004</v>
          </cell>
        </row>
        <row r="2715">
          <cell r="D2715">
            <v>45889</v>
          </cell>
          <cell r="G2715">
            <v>16</v>
          </cell>
          <cell r="H2715">
            <v>5</v>
          </cell>
          <cell r="Q2715">
            <v>459.67999999999995</v>
          </cell>
        </row>
        <row r="2716">
          <cell r="D2716">
            <v>45889</v>
          </cell>
          <cell r="G2716">
            <v>22</v>
          </cell>
          <cell r="H2716" t="str">
            <v>6-6.5</v>
          </cell>
          <cell r="Q2716">
            <v>109.6</v>
          </cell>
        </row>
        <row r="2717">
          <cell r="D2717">
            <v>45889</v>
          </cell>
          <cell r="G2717">
            <v>28</v>
          </cell>
          <cell r="H2717" t="str">
            <v>5-5.5</v>
          </cell>
          <cell r="Q2717">
            <v>102.1</v>
          </cell>
        </row>
        <row r="2718">
          <cell r="D2718">
            <v>45889</v>
          </cell>
          <cell r="G2718">
            <v>28</v>
          </cell>
          <cell r="H2718" t="str">
            <v>5-5.5</v>
          </cell>
          <cell r="Q2718">
            <v>670.78</v>
          </cell>
        </row>
        <row r="2719">
          <cell r="D2719">
            <v>45889</v>
          </cell>
          <cell r="G2719">
            <v>13</v>
          </cell>
          <cell r="H2719">
            <v>6.5</v>
          </cell>
          <cell r="Q2719">
            <v>148.63000000000002</v>
          </cell>
        </row>
        <row r="2720">
          <cell r="D2720">
            <v>45889</v>
          </cell>
          <cell r="G2720">
            <v>12</v>
          </cell>
          <cell r="H2720">
            <v>6.5</v>
          </cell>
          <cell r="Q2720">
            <v>324.32</v>
          </cell>
        </row>
        <row r="2721">
          <cell r="D2721">
            <v>45889</v>
          </cell>
          <cell r="G2721">
            <v>8</v>
          </cell>
          <cell r="H2721">
            <v>4.5</v>
          </cell>
          <cell r="Q2721">
            <v>61.52</v>
          </cell>
        </row>
        <row r="2722">
          <cell r="D2722">
            <v>45889</v>
          </cell>
          <cell r="G2722">
            <v>8</v>
          </cell>
          <cell r="H2722">
            <v>4.5</v>
          </cell>
          <cell r="Q2722">
            <v>101.24</v>
          </cell>
        </row>
        <row r="2723">
          <cell r="D2723">
            <v>45889</v>
          </cell>
          <cell r="G2723">
            <v>12</v>
          </cell>
          <cell r="H2723">
            <v>5</v>
          </cell>
          <cell r="Q2723">
            <v>326.8</v>
          </cell>
        </row>
        <row r="2724">
          <cell r="D2724">
            <v>45889</v>
          </cell>
          <cell r="G2724">
            <v>12</v>
          </cell>
          <cell r="H2724">
            <v>5</v>
          </cell>
          <cell r="Q2724">
            <v>58.8</v>
          </cell>
        </row>
        <row r="2725">
          <cell r="D2725">
            <v>45890</v>
          </cell>
          <cell r="G2725">
            <v>2.5</v>
          </cell>
          <cell r="H2725" t="str">
            <v>5.5-6</v>
          </cell>
          <cell r="Q2725">
            <v>119.94000000000001</v>
          </cell>
        </row>
        <row r="2726">
          <cell r="D2726">
            <v>45890</v>
          </cell>
          <cell r="G2726">
            <v>2.5</v>
          </cell>
          <cell r="H2726" t="str">
            <v>5.5-6</v>
          </cell>
          <cell r="Q2726">
            <v>117.26</v>
          </cell>
        </row>
        <row r="2727">
          <cell r="D2727">
            <v>45890</v>
          </cell>
          <cell r="G2727">
            <v>4</v>
          </cell>
          <cell r="H2727">
            <v>5</v>
          </cell>
          <cell r="Q2727">
            <v>151.92000000000002</v>
          </cell>
        </row>
        <row r="2728">
          <cell r="D2728">
            <v>45890</v>
          </cell>
          <cell r="G2728">
            <v>4</v>
          </cell>
          <cell r="H2728">
            <v>5</v>
          </cell>
          <cell r="Q2728">
            <v>18.82</v>
          </cell>
        </row>
        <row r="2729">
          <cell r="D2729">
            <v>45890</v>
          </cell>
          <cell r="G2729">
            <v>2</v>
          </cell>
          <cell r="H2729">
            <v>5</v>
          </cell>
          <cell r="Q2729">
            <v>81.67</v>
          </cell>
        </row>
        <row r="2730">
          <cell r="D2730">
            <v>45890</v>
          </cell>
          <cell r="G2730">
            <v>9</v>
          </cell>
          <cell r="H2730">
            <v>5</v>
          </cell>
          <cell r="Q2730">
            <v>354.09999999999997</v>
          </cell>
        </row>
        <row r="2731">
          <cell r="D2731">
            <v>45890</v>
          </cell>
          <cell r="G2731">
            <v>9</v>
          </cell>
          <cell r="H2731">
            <v>5</v>
          </cell>
          <cell r="Q2731">
            <v>323.65000000000003</v>
          </cell>
        </row>
        <row r="2732">
          <cell r="D2732">
            <v>45890</v>
          </cell>
          <cell r="G2732">
            <v>9</v>
          </cell>
          <cell r="H2732">
            <v>5</v>
          </cell>
          <cell r="Q2732">
            <v>51.59</v>
          </cell>
        </row>
        <row r="2733">
          <cell r="D2733">
            <v>45890</v>
          </cell>
          <cell r="G2733">
            <v>28</v>
          </cell>
          <cell r="H2733" t="str">
            <v>5-5.5</v>
          </cell>
          <cell r="Q2733">
            <v>568.2700000000001</v>
          </cell>
        </row>
        <row r="2734">
          <cell r="D2734">
            <v>45890</v>
          </cell>
          <cell r="G2734">
            <v>28</v>
          </cell>
          <cell r="H2734" t="str">
            <v>5-5.5</v>
          </cell>
          <cell r="Q2734">
            <v>270.19</v>
          </cell>
        </row>
        <row r="2735">
          <cell r="D2735">
            <v>45890</v>
          </cell>
          <cell r="G2735">
            <v>14</v>
          </cell>
          <cell r="H2735" t="str">
            <v>11.5-12</v>
          </cell>
          <cell r="Q2735">
            <v>137.19</v>
          </cell>
        </row>
        <row r="2736">
          <cell r="D2736">
            <v>45890</v>
          </cell>
          <cell r="G2736">
            <v>12</v>
          </cell>
          <cell r="H2736">
            <v>5</v>
          </cell>
          <cell r="Q2736">
            <v>267.83</v>
          </cell>
        </row>
        <row r="2737">
          <cell r="D2737">
            <v>45890</v>
          </cell>
          <cell r="G2737">
            <v>12</v>
          </cell>
          <cell r="H2737">
            <v>5</v>
          </cell>
          <cell r="Q2737">
            <v>244.65</v>
          </cell>
        </row>
        <row r="2738">
          <cell r="D2738">
            <v>45890</v>
          </cell>
          <cell r="G2738">
            <v>12</v>
          </cell>
          <cell r="H2738">
            <v>6.5</v>
          </cell>
          <cell r="Q2738">
            <v>29.46</v>
          </cell>
        </row>
        <row r="2739">
          <cell r="D2739">
            <v>45890</v>
          </cell>
          <cell r="G2739">
            <v>12</v>
          </cell>
          <cell r="H2739">
            <v>5</v>
          </cell>
          <cell r="Q2739">
            <v>375.11000000000007</v>
          </cell>
        </row>
        <row r="2740">
          <cell r="D2740">
            <v>45890</v>
          </cell>
          <cell r="G2740">
            <v>12</v>
          </cell>
          <cell r="H2740">
            <v>8</v>
          </cell>
          <cell r="Q2740">
            <v>59.12</v>
          </cell>
        </row>
        <row r="2741">
          <cell r="D2741">
            <v>45890</v>
          </cell>
          <cell r="G2741">
            <v>6</v>
          </cell>
          <cell r="H2741">
            <v>15</v>
          </cell>
          <cell r="Q2741">
            <v>101.85</v>
          </cell>
        </row>
        <row r="2742">
          <cell r="D2742">
            <v>45891</v>
          </cell>
          <cell r="G2742">
            <v>2.5</v>
          </cell>
          <cell r="H2742" t="str">
            <v>5.5-6</v>
          </cell>
          <cell r="Q2742">
            <v>114.02</v>
          </cell>
        </row>
        <row r="2743">
          <cell r="D2743">
            <v>45891</v>
          </cell>
          <cell r="G2743">
            <v>2.5</v>
          </cell>
          <cell r="H2743" t="str">
            <v>5.5-6</v>
          </cell>
          <cell r="Q2743">
            <v>114.09</v>
          </cell>
        </row>
        <row r="2744">
          <cell r="D2744">
            <v>45891</v>
          </cell>
          <cell r="G2744">
            <v>2</v>
          </cell>
          <cell r="H2744" t="str">
            <v>5.5-6</v>
          </cell>
          <cell r="Q2744">
            <v>92.8</v>
          </cell>
        </row>
        <row r="2745">
          <cell r="D2745">
            <v>45891</v>
          </cell>
          <cell r="G2745">
            <v>2</v>
          </cell>
          <cell r="H2745" t="str">
            <v>5.5-6</v>
          </cell>
          <cell r="Q2745">
            <v>94.009999999999977</v>
          </cell>
        </row>
        <row r="2746">
          <cell r="D2746">
            <v>45891</v>
          </cell>
          <cell r="G2746">
            <v>7</v>
          </cell>
          <cell r="H2746">
            <v>4.5</v>
          </cell>
          <cell r="Q2746">
            <v>130.82000000000002</v>
          </cell>
        </row>
        <row r="2747">
          <cell r="D2747">
            <v>45891</v>
          </cell>
          <cell r="G2747">
            <v>7</v>
          </cell>
          <cell r="H2747">
            <v>5</v>
          </cell>
          <cell r="Q2747">
            <v>24.79</v>
          </cell>
        </row>
        <row r="2748">
          <cell r="D2748">
            <v>45891</v>
          </cell>
          <cell r="G2748">
            <v>9</v>
          </cell>
          <cell r="H2748">
            <v>5</v>
          </cell>
          <cell r="Q2748">
            <v>35.410000000000004</v>
          </cell>
        </row>
        <row r="2749">
          <cell r="D2749">
            <v>45891</v>
          </cell>
          <cell r="G2749">
            <v>7</v>
          </cell>
          <cell r="H2749">
            <v>10</v>
          </cell>
          <cell r="Q2749">
            <v>53.57</v>
          </cell>
        </row>
        <row r="2750">
          <cell r="D2750">
            <v>45891</v>
          </cell>
          <cell r="G2750">
            <v>15</v>
          </cell>
          <cell r="H2750">
            <v>5.5</v>
          </cell>
          <cell r="Q2750">
            <v>23.71</v>
          </cell>
        </row>
        <row r="2751">
          <cell r="D2751">
            <v>45891</v>
          </cell>
          <cell r="G2751">
            <v>7</v>
          </cell>
          <cell r="H2751">
            <v>5</v>
          </cell>
          <cell r="Q2751">
            <v>68.400000000000006</v>
          </cell>
        </row>
        <row r="2752">
          <cell r="D2752">
            <v>45891</v>
          </cell>
          <cell r="G2752">
            <v>7</v>
          </cell>
          <cell r="H2752">
            <v>15</v>
          </cell>
          <cell r="Q2752">
            <v>229.65000000000003</v>
          </cell>
        </row>
        <row r="2753">
          <cell r="D2753">
            <v>45891</v>
          </cell>
          <cell r="G2753">
            <v>14</v>
          </cell>
          <cell r="H2753" t="str">
            <v>11.5-12</v>
          </cell>
          <cell r="Q2753">
            <v>667.88000000000011</v>
          </cell>
        </row>
        <row r="2754">
          <cell r="D2754">
            <v>45891</v>
          </cell>
          <cell r="G2754">
            <v>15</v>
          </cell>
          <cell r="H2754">
            <v>6.5</v>
          </cell>
          <cell r="Q2754">
            <v>405.8</v>
          </cell>
        </row>
        <row r="2755">
          <cell r="D2755">
            <v>45891</v>
          </cell>
          <cell r="G2755">
            <v>15</v>
          </cell>
          <cell r="H2755">
            <v>7</v>
          </cell>
          <cell r="Q2755">
            <v>279.81000000000006</v>
          </cell>
        </row>
        <row r="2756">
          <cell r="D2756">
            <v>45891</v>
          </cell>
          <cell r="G2756">
            <v>6</v>
          </cell>
          <cell r="H2756">
            <v>15</v>
          </cell>
          <cell r="Q2756">
            <v>570.48</v>
          </cell>
        </row>
        <row r="2757">
          <cell r="D2757">
            <v>45891</v>
          </cell>
          <cell r="G2757">
            <v>6</v>
          </cell>
          <cell r="H2757">
            <v>15</v>
          </cell>
          <cell r="Q2757">
            <v>236.49</v>
          </cell>
        </row>
        <row r="2758">
          <cell r="D2758">
            <v>45891</v>
          </cell>
          <cell r="G2758">
            <v>14</v>
          </cell>
          <cell r="H2758">
            <v>5</v>
          </cell>
          <cell r="Q2758">
            <v>281.48</v>
          </cell>
        </row>
        <row r="2759">
          <cell r="D2759">
            <v>45892</v>
          </cell>
          <cell r="G2759">
            <v>2</v>
          </cell>
          <cell r="H2759" t="str">
            <v>5.5-6</v>
          </cell>
          <cell r="Q2759">
            <v>27.77</v>
          </cell>
        </row>
        <row r="2760">
          <cell r="D2760">
            <v>45892</v>
          </cell>
          <cell r="G2760">
            <v>5</v>
          </cell>
          <cell r="H2760" t="str">
            <v>5.5-6</v>
          </cell>
          <cell r="Q2760">
            <v>99.61999999999999</v>
          </cell>
        </row>
        <row r="2761">
          <cell r="D2761">
            <v>45892</v>
          </cell>
          <cell r="G2761">
            <v>5.5</v>
          </cell>
          <cell r="H2761">
            <v>10</v>
          </cell>
          <cell r="Q2761">
            <v>120.29999999999998</v>
          </cell>
        </row>
        <row r="2762">
          <cell r="D2762">
            <v>45892</v>
          </cell>
          <cell r="G2762">
            <v>5</v>
          </cell>
          <cell r="H2762">
            <v>4.5</v>
          </cell>
          <cell r="Q2762">
            <v>16.77</v>
          </cell>
        </row>
        <row r="2763">
          <cell r="D2763">
            <v>45892</v>
          </cell>
          <cell r="G2763">
            <v>2.5</v>
          </cell>
          <cell r="H2763" t="str">
            <v>5.5-6</v>
          </cell>
          <cell r="Q2763">
            <v>81.040000000000006</v>
          </cell>
        </row>
        <row r="2764">
          <cell r="D2764">
            <v>45892</v>
          </cell>
          <cell r="G2764">
            <v>4</v>
          </cell>
          <cell r="H2764" t="str">
            <v>5.5-6</v>
          </cell>
          <cell r="Q2764">
            <v>127.55999999999999</v>
          </cell>
        </row>
        <row r="2765">
          <cell r="D2765">
            <v>45892</v>
          </cell>
          <cell r="G2765">
            <v>7</v>
          </cell>
          <cell r="H2765">
            <v>15</v>
          </cell>
          <cell r="Q2765">
            <v>303.81999999999994</v>
          </cell>
        </row>
        <row r="2766">
          <cell r="D2766">
            <v>45892</v>
          </cell>
          <cell r="G2766">
            <v>7</v>
          </cell>
          <cell r="H2766">
            <v>15</v>
          </cell>
          <cell r="Q2766">
            <v>149.35</v>
          </cell>
        </row>
        <row r="2767">
          <cell r="D2767">
            <v>45892</v>
          </cell>
          <cell r="G2767">
            <v>8</v>
          </cell>
          <cell r="H2767">
            <v>4.5</v>
          </cell>
          <cell r="Q2767">
            <v>105.66</v>
          </cell>
        </row>
        <row r="2768">
          <cell r="D2768">
            <v>45892</v>
          </cell>
          <cell r="G2768">
            <v>15</v>
          </cell>
          <cell r="H2768">
            <v>5.5</v>
          </cell>
          <cell r="Q2768">
            <v>674.09000000000015</v>
          </cell>
        </row>
        <row r="2769">
          <cell r="D2769">
            <v>45892</v>
          </cell>
          <cell r="G2769">
            <v>15</v>
          </cell>
          <cell r="H2769">
            <v>5.5</v>
          </cell>
          <cell r="Q2769">
            <v>95.13</v>
          </cell>
        </row>
        <row r="2770">
          <cell r="D2770">
            <v>45892</v>
          </cell>
          <cell r="G2770">
            <v>15</v>
          </cell>
          <cell r="H2770">
            <v>7</v>
          </cell>
          <cell r="Q2770">
            <v>207.77999999999997</v>
          </cell>
        </row>
        <row r="2771">
          <cell r="D2771">
            <v>45892</v>
          </cell>
          <cell r="G2771">
            <v>18</v>
          </cell>
          <cell r="H2771">
            <v>5</v>
          </cell>
          <cell r="Q2771">
            <v>206.81</v>
          </cell>
        </row>
        <row r="2772">
          <cell r="D2772">
            <v>45892</v>
          </cell>
          <cell r="G2772">
            <v>18</v>
          </cell>
          <cell r="H2772" t="str">
            <v>7.5-8</v>
          </cell>
          <cell r="Q2772">
            <v>159.82</v>
          </cell>
        </row>
        <row r="2773">
          <cell r="D2773">
            <v>45892</v>
          </cell>
          <cell r="G2773">
            <v>14</v>
          </cell>
          <cell r="H2773" t="str">
            <v>5-5.5</v>
          </cell>
          <cell r="Q2773">
            <v>539.71</v>
          </cell>
        </row>
        <row r="2774">
          <cell r="D2774">
            <v>45892</v>
          </cell>
          <cell r="G2774">
            <v>14</v>
          </cell>
          <cell r="H2774">
            <v>5</v>
          </cell>
          <cell r="Q2774">
            <v>531.4899999999999</v>
          </cell>
        </row>
        <row r="2775">
          <cell r="D2775">
            <v>45893</v>
          </cell>
          <cell r="G2775">
            <v>4</v>
          </cell>
          <cell r="H2775" t="str">
            <v>5.5-6</v>
          </cell>
          <cell r="Q2775">
            <v>132.38000000000002</v>
          </cell>
        </row>
        <row r="2776">
          <cell r="D2776">
            <v>45893</v>
          </cell>
          <cell r="G2776">
            <v>4</v>
          </cell>
          <cell r="H2776" t="str">
            <v>5.5-6</v>
          </cell>
          <cell r="Q2776">
            <v>119.7</v>
          </cell>
        </row>
        <row r="2777">
          <cell r="D2777">
            <v>45893</v>
          </cell>
          <cell r="G2777">
            <v>5</v>
          </cell>
          <cell r="H2777" t="str">
            <v>5.5-6</v>
          </cell>
          <cell r="Q2777">
            <v>160.28999999999996</v>
          </cell>
        </row>
        <row r="2778">
          <cell r="D2778">
            <v>45893</v>
          </cell>
          <cell r="G2778">
            <v>5</v>
          </cell>
          <cell r="H2778" t="str">
            <v>5.5-6</v>
          </cell>
          <cell r="Q2778">
            <v>176.14999999999998</v>
          </cell>
        </row>
        <row r="2779">
          <cell r="D2779">
            <v>45893</v>
          </cell>
          <cell r="G2779">
            <v>7</v>
          </cell>
          <cell r="H2779">
            <v>5</v>
          </cell>
          <cell r="Q2779">
            <v>299.51000000000005</v>
          </cell>
        </row>
        <row r="2780">
          <cell r="D2780">
            <v>45893</v>
          </cell>
          <cell r="G2780">
            <v>8</v>
          </cell>
          <cell r="H2780">
            <v>4.5</v>
          </cell>
          <cell r="Q2780">
            <v>66.19</v>
          </cell>
        </row>
        <row r="2781">
          <cell r="D2781">
            <v>45893</v>
          </cell>
          <cell r="G2781" t="str">
            <v>-</v>
          </cell>
          <cell r="H2781" t="str">
            <v>-</v>
          </cell>
          <cell r="Q2781">
            <v>216.89</v>
          </cell>
        </row>
        <row r="2782">
          <cell r="D2782">
            <v>45893</v>
          </cell>
          <cell r="G2782">
            <v>18</v>
          </cell>
          <cell r="H2782">
            <v>5</v>
          </cell>
          <cell r="Q2782">
            <v>500.38</v>
          </cell>
        </row>
        <row r="2783">
          <cell r="D2783">
            <v>45893</v>
          </cell>
          <cell r="G2783">
            <v>18</v>
          </cell>
          <cell r="H2783">
            <v>4.5</v>
          </cell>
          <cell r="Q2783">
            <v>108.03</v>
          </cell>
        </row>
        <row r="2784">
          <cell r="D2784">
            <v>45893</v>
          </cell>
          <cell r="G2784">
            <v>24</v>
          </cell>
          <cell r="H2784" t="str">
            <v>5-5.5</v>
          </cell>
          <cell r="Q2784">
            <v>35.57</v>
          </cell>
        </row>
        <row r="2785">
          <cell r="D2785">
            <v>45893</v>
          </cell>
          <cell r="G2785">
            <v>24</v>
          </cell>
          <cell r="H2785" t="str">
            <v>5-5.5</v>
          </cell>
          <cell r="Q2785">
            <v>435.15000000000003</v>
          </cell>
        </row>
        <row r="2786">
          <cell r="D2786">
            <v>45893</v>
          </cell>
          <cell r="G2786">
            <v>20</v>
          </cell>
          <cell r="H2786">
            <v>4.5</v>
          </cell>
          <cell r="Q2786">
            <v>99.7</v>
          </cell>
        </row>
        <row r="2787">
          <cell r="D2787">
            <v>45893</v>
          </cell>
          <cell r="G2787">
            <v>20</v>
          </cell>
          <cell r="H2787" t="str">
            <v>5-5.5</v>
          </cell>
          <cell r="Q2787">
            <v>81.78</v>
          </cell>
        </row>
        <row r="2788">
          <cell r="D2788">
            <v>45893</v>
          </cell>
          <cell r="G2788">
            <v>14</v>
          </cell>
          <cell r="H2788">
            <v>5</v>
          </cell>
          <cell r="Q2788">
            <v>515.66</v>
          </cell>
        </row>
        <row r="2789">
          <cell r="D2789">
            <v>45893</v>
          </cell>
          <cell r="G2789">
            <v>14</v>
          </cell>
          <cell r="H2789">
            <v>5</v>
          </cell>
          <cell r="Q2789">
            <v>493.90999999999997</v>
          </cell>
        </row>
        <row r="2790">
          <cell r="D2790">
            <v>45894</v>
          </cell>
          <cell r="G2790">
            <v>3</v>
          </cell>
          <cell r="H2790" t="str">
            <v>5.5-6</v>
          </cell>
          <cell r="Q2790">
            <v>43.96</v>
          </cell>
        </row>
        <row r="2791">
          <cell r="D2791">
            <v>45894</v>
          </cell>
          <cell r="G2791">
            <v>4</v>
          </cell>
          <cell r="H2791" t="str">
            <v>5.5-6</v>
          </cell>
          <cell r="Q2791">
            <v>105.87</v>
          </cell>
        </row>
        <row r="2792">
          <cell r="D2792">
            <v>45894</v>
          </cell>
          <cell r="G2792">
            <v>3</v>
          </cell>
          <cell r="H2792" t="str">
            <v>5.5-6</v>
          </cell>
          <cell r="Q2792">
            <v>167.39</v>
          </cell>
        </row>
        <row r="2793">
          <cell r="D2793">
            <v>45894</v>
          </cell>
          <cell r="G2793">
            <v>5</v>
          </cell>
          <cell r="H2793" t="str">
            <v>5.5-6</v>
          </cell>
          <cell r="Q2793">
            <v>114.07000000000001</v>
          </cell>
        </row>
        <row r="2794">
          <cell r="D2794">
            <v>45894</v>
          </cell>
          <cell r="G2794">
            <v>4</v>
          </cell>
          <cell r="H2794" t="str">
            <v>5.5-6</v>
          </cell>
          <cell r="Q2794">
            <v>46.55</v>
          </cell>
        </row>
        <row r="2795">
          <cell r="D2795">
            <v>45894</v>
          </cell>
          <cell r="G2795">
            <v>4</v>
          </cell>
          <cell r="H2795" t="str">
            <v>5.5-6</v>
          </cell>
          <cell r="Q2795">
            <v>144.20999999999998</v>
          </cell>
        </row>
        <row r="2796">
          <cell r="D2796">
            <v>45894</v>
          </cell>
          <cell r="Q2796">
            <v>240.2</v>
          </cell>
        </row>
        <row r="2797">
          <cell r="D2797">
            <v>45894</v>
          </cell>
          <cell r="Q2797">
            <v>158.21</v>
          </cell>
        </row>
        <row r="2798">
          <cell r="D2798">
            <v>45894</v>
          </cell>
          <cell r="Q2798">
            <v>114.55000000000001</v>
          </cell>
        </row>
        <row r="2799">
          <cell r="D2799">
            <v>45894</v>
          </cell>
          <cell r="G2799">
            <v>20</v>
          </cell>
          <cell r="H2799" t="str">
            <v>5-5.5</v>
          </cell>
          <cell r="Q2799">
            <v>586.49</v>
          </cell>
        </row>
        <row r="2800">
          <cell r="D2800">
            <v>45894</v>
          </cell>
          <cell r="G2800">
            <v>0</v>
          </cell>
          <cell r="H2800" t="str">
            <v>-</v>
          </cell>
          <cell r="Q2800">
            <v>84.44</v>
          </cell>
        </row>
        <row r="2801">
          <cell r="D2801">
            <v>45894</v>
          </cell>
          <cell r="G2801">
            <v>0</v>
          </cell>
          <cell r="H2801" t="str">
            <v>-</v>
          </cell>
          <cell r="Q2801">
            <v>657.58</v>
          </cell>
        </row>
        <row r="2802">
          <cell r="D2802">
            <v>45894</v>
          </cell>
          <cell r="G2802">
            <v>14</v>
          </cell>
          <cell r="H2802">
            <v>5</v>
          </cell>
          <cell r="Q2802">
            <v>279.39000000000004</v>
          </cell>
        </row>
        <row r="2803">
          <cell r="D2803">
            <v>45894</v>
          </cell>
          <cell r="G2803">
            <v>14</v>
          </cell>
          <cell r="H2803">
            <v>6</v>
          </cell>
          <cell r="Q2803">
            <v>251.08999999999997</v>
          </cell>
        </row>
        <row r="2804">
          <cell r="D2804">
            <v>45894</v>
          </cell>
          <cell r="G2804">
            <v>14</v>
          </cell>
          <cell r="H2804">
            <v>4.5</v>
          </cell>
          <cell r="Q2804">
            <v>109.16999999999999</v>
          </cell>
        </row>
        <row r="2805">
          <cell r="D2805">
            <v>45894</v>
          </cell>
          <cell r="G2805">
            <v>14</v>
          </cell>
          <cell r="H2805">
            <v>6</v>
          </cell>
          <cell r="Q2805">
            <v>244.82000000000002</v>
          </cell>
        </row>
        <row r="2806">
          <cell r="D2806">
            <v>45894</v>
          </cell>
          <cell r="G2806">
            <v>11</v>
          </cell>
          <cell r="H2806">
            <v>6.5</v>
          </cell>
          <cell r="Q2806">
            <v>144.4</v>
          </cell>
        </row>
        <row r="2807">
          <cell r="D2807">
            <v>45894</v>
          </cell>
          <cell r="G2807">
            <v>14</v>
          </cell>
          <cell r="H2807">
            <v>5</v>
          </cell>
          <cell r="Q2807">
            <v>24.919999999999998</v>
          </cell>
        </row>
        <row r="2808">
          <cell r="D2808">
            <v>45895</v>
          </cell>
          <cell r="G2808">
            <v>3</v>
          </cell>
          <cell r="H2808" t="str">
            <v>5.5-6</v>
          </cell>
          <cell r="Q2808">
            <v>164.89</v>
          </cell>
        </row>
        <row r="2809">
          <cell r="D2809">
            <v>45895</v>
          </cell>
          <cell r="G2809">
            <v>3</v>
          </cell>
          <cell r="H2809" t="str">
            <v>5.5-6</v>
          </cell>
          <cell r="Q2809">
            <v>138.81</v>
          </cell>
        </row>
        <row r="2810">
          <cell r="D2810">
            <v>45895</v>
          </cell>
          <cell r="G2810">
            <v>4</v>
          </cell>
          <cell r="H2810" t="str">
            <v>5.5-6</v>
          </cell>
          <cell r="Q2810">
            <v>144.58000000000001</v>
          </cell>
        </row>
        <row r="2811">
          <cell r="D2811">
            <v>45895</v>
          </cell>
          <cell r="G2811">
            <v>4</v>
          </cell>
          <cell r="H2811" t="str">
            <v>5.5-6</v>
          </cell>
          <cell r="Q2811">
            <v>143.54999999999998</v>
          </cell>
        </row>
        <row r="2812">
          <cell r="D2812">
            <v>45895</v>
          </cell>
          <cell r="G2812" t="str">
            <v>-</v>
          </cell>
          <cell r="H2812" t="str">
            <v>-</v>
          </cell>
          <cell r="Q2812">
            <v>324.05</v>
          </cell>
        </row>
        <row r="2813">
          <cell r="D2813">
            <v>45895</v>
          </cell>
          <cell r="G2813">
            <v>16</v>
          </cell>
          <cell r="H2813" t="str">
            <v>5-5.5</v>
          </cell>
          <cell r="Q2813">
            <v>341.11</v>
          </cell>
        </row>
        <row r="2814">
          <cell r="D2814">
            <v>45895</v>
          </cell>
          <cell r="G2814">
            <v>17</v>
          </cell>
          <cell r="H2814" t="str">
            <v>5.5-6</v>
          </cell>
          <cell r="Q2814">
            <v>137.10999999999999</v>
          </cell>
        </row>
        <row r="2815">
          <cell r="D2815">
            <v>45895</v>
          </cell>
          <cell r="G2815">
            <v>17</v>
          </cell>
          <cell r="H2815" t="str">
            <v>5.5-6</v>
          </cell>
          <cell r="Q2815">
            <v>733.55</v>
          </cell>
        </row>
        <row r="2816">
          <cell r="D2816">
            <v>45895</v>
          </cell>
          <cell r="Q2816">
            <v>251.02</v>
          </cell>
        </row>
        <row r="2817">
          <cell r="D2817">
            <v>45895</v>
          </cell>
          <cell r="Q2817">
            <v>212.76999999999998</v>
          </cell>
        </row>
        <row r="2818">
          <cell r="D2818">
            <v>45895</v>
          </cell>
          <cell r="G2818">
            <v>7</v>
          </cell>
          <cell r="H2818">
            <v>5</v>
          </cell>
          <cell r="Q2818">
            <v>22.7</v>
          </cell>
        </row>
        <row r="2819">
          <cell r="D2819">
            <v>45895</v>
          </cell>
          <cell r="G2819">
            <v>11</v>
          </cell>
          <cell r="H2819">
            <v>6.5</v>
          </cell>
          <cell r="Q2819">
            <v>499.92</v>
          </cell>
        </row>
        <row r="2820">
          <cell r="D2820">
            <v>45895</v>
          </cell>
          <cell r="G2820">
            <v>11</v>
          </cell>
          <cell r="H2820">
            <v>6.5</v>
          </cell>
          <cell r="Q2820">
            <v>273.74</v>
          </cell>
        </row>
        <row r="2821">
          <cell r="D2821">
            <v>45895</v>
          </cell>
          <cell r="G2821">
            <v>11</v>
          </cell>
          <cell r="H2821" t="str">
            <v>6.5-7</v>
          </cell>
          <cell r="Q2821">
            <v>122.37999999999998</v>
          </cell>
        </row>
        <row r="2822">
          <cell r="D2822">
            <v>45895</v>
          </cell>
          <cell r="G2822">
            <v>11</v>
          </cell>
          <cell r="H2822" t="str">
            <v>6-6.5</v>
          </cell>
          <cell r="Q2822">
            <v>135.63</v>
          </cell>
        </row>
        <row r="2823">
          <cell r="D2823">
            <v>45896</v>
          </cell>
          <cell r="G2823">
            <v>3</v>
          </cell>
          <cell r="H2823" t="str">
            <v>5.5-6</v>
          </cell>
          <cell r="Q2823">
            <v>133.26000000000002</v>
          </cell>
        </row>
        <row r="2824">
          <cell r="D2824">
            <v>45896</v>
          </cell>
          <cell r="G2824">
            <v>3</v>
          </cell>
          <cell r="H2824" t="str">
            <v>5.5-6</v>
          </cell>
          <cell r="Q2824">
            <v>140.16</v>
          </cell>
        </row>
        <row r="2825">
          <cell r="D2825">
            <v>45896</v>
          </cell>
          <cell r="G2825">
            <v>4</v>
          </cell>
          <cell r="H2825" t="str">
            <v>5.5-6</v>
          </cell>
          <cell r="Q2825">
            <v>62.529999999999994</v>
          </cell>
        </row>
        <row r="2826">
          <cell r="D2826">
            <v>45896</v>
          </cell>
          <cell r="G2826">
            <v>4</v>
          </cell>
          <cell r="H2826" t="str">
            <v>5.5-6</v>
          </cell>
          <cell r="Q2826">
            <v>147.88</v>
          </cell>
        </row>
        <row r="2827">
          <cell r="D2827">
            <v>45896</v>
          </cell>
          <cell r="G2827">
            <v>10</v>
          </cell>
          <cell r="H2827">
            <v>5</v>
          </cell>
          <cell r="Q2827">
            <v>222.84000000000003</v>
          </cell>
        </row>
        <row r="2828">
          <cell r="D2828">
            <v>45896</v>
          </cell>
          <cell r="G2828">
            <v>10</v>
          </cell>
          <cell r="H2828">
            <v>5</v>
          </cell>
          <cell r="Q2828">
            <v>199.97</v>
          </cell>
        </row>
        <row r="2829">
          <cell r="D2829">
            <v>45896</v>
          </cell>
          <cell r="G2829">
            <v>17</v>
          </cell>
          <cell r="H2829" t="str">
            <v>5.5-6</v>
          </cell>
          <cell r="Q2829">
            <v>839.91</v>
          </cell>
        </row>
        <row r="2830">
          <cell r="D2830">
            <v>45896</v>
          </cell>
          <cell r="G2830">
            <v>17</v>
          </cell>
          <cell r="H2830" t="str">
            <v>5.5-6</v>
          </cell>
          <cell r="Q2830">
            <v>781.42</v>
          </cell>
        </row>
        <row r="2831">
          <cell r="D2831">
            <v>45896</v>
          </cell>
          <cell r="G2831">
            <v>11</v>
          </cell>
          <cell r="H2831" t="str">
            <v>6-6.5</v>
          </cell>
          <cell r="Q2831">
            <v>84.419999999999987</v>
          </cell>
        </row>
        <row r="2832">
          <cell r="D2832">
            <v>45896</v>
          </cell>
          <cell r="G2832">
            <v>12</v>
          </cell>
          <cell r="H2832">
            <v>5</v>
          </cell>
          <cell r="Q2832">
            <v>449.26</v>
          </cell>
        </row>
        <row r="2833">
          <cell r="D2833">
            <v>45896</v>
          </cell>
          <cell r="G2833">
            <v>12</v>
          </cell>
          <cell r="H2833">
            <v>5</v>
          </cell>
          <cell r="Q2833">
            <v>552.99</v>
          </cell>
        </row>
        <row r="2834">
          <cell r="D2834">
            <v>45897</v>
          </cell>
          <cell r="G2834">
            <v>3</v>
          </cell>
          <cell r="H2834" t="str">
            <v>5.5-6</v>
          </cell>
          <cell r="Q2834">
            <v>110.83000000000001</v>
          </cell>
        </row>
        <row r="2835">
          <cell r="D2835">
            <v>45897</v>
          </cell>
          <cell r="G2835">
            <v>5</v>
          </cell>
          <cell r="H2835" t="str">
            <v>5.5-6</v>
          </cell>
          <cell r="Q2835">
            <v>17.3</v>
          </cell>
        </row>
        <row r="2836">
          <cell r="D2836">
            <v>45897</v>
          </cell>
          <cell r="G2836">
            <v>5</v>
          </cell>
          <cell r="H2836" t="str">
            <v>5.5-6</v>
          </cell>
          <cell r="Q2836">
            <v>174.12</v>
          </cell>
        </row>
        <row r="2837">
          <cell r="D2837">
            <v>45897</v>
          </cell>
          <cell r="G2837">
            <v>4</v>
          </cell>
          <cell r="H2837" t="str">
            <v>5.5-6</v>
          </cell>
          <cell r="Q2837">
            <v>151.60999999999999</v>
          </cell>
        </row>
        <row r="2838">
          <cell r="D2838">
            <v>45897</v>
          </cell>
          <cell r="G2838">
            <v>4</v>
          </cell>
          <cell r="H2838" t="str">
            <v>5.5-6</v>
          </cell>
          <cell r="Q2838">
            <v>131.68</v>
          </cell>
        </row>
        <row r="2839">
          <cell r="D2839">
            <v>45897</v>
          </cell>
          <cell r="G2839">
            <v>10</v>
          </cell>
          <cell r="H2839">
            <v>5</v>
          </cell>
          <cell r="Q2839">
            <v>262</v>
          </cell>
        </row>
        <row r="2840">
          <cell r="D2840">
            <v>45897</v>
          </cell>
          <cell r="G2840">
            <v>10</v>
          </cell>
          <cell r="H2840">
            <v>5</v>
          </cell>
          <cell r="Q2840">
            <v>179.18999999999997</v>
          </cell>
        </row>
        <row r="2841">
          <cell r="D2841">
            <v>45897</v>
          </cell>
          <cell r="G2841">
            <v>17</v>
          </cell>
          <cell r="H2841" t="str">
            <v>5.5-6</v>
          </cell>
          <cell r="Q2841">
            <v>198.95000000000002</v>
          </cell>
        </row>
        <row r="2842">
          <cell r="D2842">
            <v>45897</v>
          </cell>
          <cell r="G2842">
            <v>18</v>
          </cell>
          <cell r="H2842">
            <v>6</v>
          </cell>
          <cell r="Q2842">
            <v>400.67000000000007</v>
          </cell>
        </row>
        <row r="2843">
          <cell r="D2843">
            <v>45897</v>
          </cell>
          <cell r="G2843">
            <v>18</v>
          </cell>
          <cell r="H2843" t="str">
            <v>7-7.5/14-15</v>
          </cell>
          <cell r="Q2843">
            <v>105.78999999999999</v>
          </cell>
        </row>
        <row r="2844">
          <cell r="D2844">
            <v>45897</v>
          </cell>
          <cell r="G2844" t="str">
            <v>18" شیٹ</v>
          </cell>
          <cell r="H2844" t="str">
            <v>4-4.5/8-9</v>
          </cell>
          <cell r="Q2844">
            <v>76.039999999999992</v>
          </cell>
        </row>
        <row r="2845">
          <cell r="D2845">
            <v>45897</v>
          </cell>
          <cell r="G2845" t="str">
            <v>18" شیٹ</v>
          </cell>
          <cell r="H2845" t="str">
            <v>4-4.5/8-9</v>
          </cell>
          <cell r="Q2845">
            <v>69.319999999999993</v>
          </cell>
        </row>
        <row r="2846">
          <cell r="D2846">
            <v>45897</v>
          </cell>
          <cell r="G2846">
            <v>22</v>
          </cell>
          <cell r="H2846">
            <v>6</v>
          </cell>
          <cell r="Q2846">
            <v>255.89999999999998</v>
          </cell>
        </row>
        <row r="2847">
          <cell r="D2847">
            <v>45897</v>
          </cell>
          <cell r="G2847">
            <v>18</v>
          </cell>
          <cell r="H2847" t="str">
            <v>5-5.5</v>
          </cell>
          <cell r="Q2847">
            <v>130.57</v>
          </cell>
        </row>
        <row r="2848">
          <cell r="D2848">
            <v>45897</v>
          </cell>
          <cell r="G2848" t="str">
            <v>18" شیٹ</v>
          </cell>
          <cell r="H2848" t="str">
            <v>4-4.5/8-9</v>
          </cell>
          <cell r="Q2848">
            <v>140.32000000000002</v>
          </cell>
        </row>
        <row r="2849">
          <cell r="D2849">
            <v>45897</v>
          </cell>
          <cell r="G2849">
            <v>12</v>
          </cell>
          <cell r="H2849">
            <v>5</v>
          </cell>
          <cell r="Q2849">
            <v>507.28000000000009</v>
          </cell>
        </row>
        <row r="2850">
          <cell r="D2850">
            <v>45897</v>
          </cell>
          <cell r="G2850">
            <v>12</v>
          </cell>
          <cell r="H2850" t="str">
            <v>6.5-7</v>
          </cell>
          <cell r="Q2850">
            <v>61.33</v>
          </cell>
        </row>
        <row r="2851">
          <cell r="D2851">
            <v>45897</v>
          </cell>
          <cell r="G2851">
            <v>12</v>
          </cell>
          <cell r="H2851">
            <v>5</v>
          </cell>
          <cell r="Q2851">
            <v>485.54000000000008</v>
          </cell>
        </row>
        <row r="2852">
          <cell r="D2852">
            <v>45898</v>
          </cell>
          <cell r="G2852">
            <v>5</v>
          </cell>
          <cell r="H2852" t="str">
            <v>5.5-6</v>
          </cell>
          <cell r="Q2852">
            <v>164.32</v>
          </cell>
        </row>
        <row r="2853">
          <cell r="D2853">
            <v>45898</v>
          </cell>
          <cell r="G2853">
            <v>5</v>
          </cell>
          <cell r="H2853" t="str">
            <v>5.5-6</v>
          </cell>
          <cell r="Q2853">
            <v>145.47999999999999</v>
          </cell>
        </row>
        <row r="2854">
          <cell r="D2854">
            <v>45898</v>
          </cell>
          <cell r="G2854">
            <v>4</v>
          </cell>
          <cell r="H2854" t="str">
            <v>5.5-6</v>
          </cell>
          <cell r="Q2854">
            <v>149.29000000000002</v>
          </cell>
        </row>
        <row r="2855">
          <cell r="D2855">
            <v>45898</v>
          </cell>
          <cell r="G2855">
            <v>4</v>
          </cell>
          <cell r="H2855" t="str">
            <v>5.5-6</v>
          </cell>
          <cell r="Q2855">
            <v>136.44999999999999</v>
          </cell>
        </row>
        <row r="2856">
          <cell r="D2856">
            <v>45898</v>
          </cell>
          <cell r="G2856">
            <v>7</v>
          </cell>
          <cell r="H2856">
            <v>5</v>
          </cell>
          <cell r="Q2856">
            <v>138.49</v>
          </cell>
        </row>
        <row r="2857">
          <cell r="D2857">
            <v>45898</v>
          </cell>
          <cell r="G2857">
            <v>8</v>
          </cell>
          <cell r="H2857">
            <v>4.5</v>
          </cell>
          <cell r="Q2857">
            <v>83.98</v>
          </cell>
        </row>
        <row r="2858">
          <cell r="D2858">
            <v>45898</v>
          </cell>
          <cell r="G2858">
            <v>8</v>
          </cell>
          <cell r="H2858">
            <v>4.5</v>
          </cell>
          <cell r="Q2858">
            <v>258.86</v>
          </cell>
        </row>
        <row r="2859">
          <cell r="D2859">
            <v>45898</v>
          </cell>
          <cell r="G2859" t="str">
            <v>22" شیٹ</v>
          </cell>
          <cell r="H2859" t="str">
            <v>4-4.5/8-9</v>
          </cell>
          <cell r="Q2859">
            <v>224.78</v>
          </cell>
        </row>
        <row r="2860">
          <cell r="D2860">
            <v>45898</v>
          </cell>
          <cell r="G2860">
            <v>18</v>
          </cell>
          <cell r="H2860" t="str">
            <v>5-5.5</v>
          </cell>
          <cell r="Q2860">
            <v>459.72999999999996</v>
          </cell>
        </row>
        <row r="2861">
          <cell r="D2861">
            <v>45898</v>
          </cell>
          <cell r="G2861" t="str">
            <v>22" شیٹ</v>
          </cell>
          <cell r="H2861" t="str">
            <v>4-4.5/8-9</v>
          </cell>
          <cell r="Q2861">
            <v>129.85</v>
          </cell>
        </row>
        <row r="2862">
          <cell r="D2862">
            <v>45898</v>
          </cell>
          <cell r="G2862">
            <v>18</v>
          </cell>
          <cell r="H2862" t="str">
            <v>5-5.5</v>
          </cell>
          <cell r="Q2862">
            <v>686.51</v>
          </cell>
        </row>
        <row r="2863">
          <cell r="D2863">
            <v>45898</v>
          </cell>
          <cell r="G2863">
            <v>12</v>
          </cell>
          <cell r="H2863">
            <v>5</v>
          </cell>
          <cell r="Q2863">
            <v>156.31</v>
          </cell>
        </row>
        <row r="2864">
          <cell r="D2864">
            <v>45898</v>
          </cell>
          <cell r="G2864">
            <v>11</v>
          </cell>
          <cell r="H2864" t="str">
            <v>5-5.5</v>
          </cell>
          <cell r="Q2864">
            <v>367.85999999999996</v>
          </cell>
        </row>
        <row r="2865">
          <cell r="D2865">
            <v>45898</v>
          </cell>
          <cell r="G2865">
            <v>11</v>
          </cell>
          <cell r="H2865" t="str">
            <v>5-5.5</v>
          </cell>
          <cell r="Q2865">
            <v>454.98</v>
          </cell>
        </row>
        <row r="2866">
          <cell r="D2866">
            <v>45899</v>
          </cell>
          <cell r="G2866">
            <v>5</v>
          </cell>
          <cell r="H2866" t="str">
            <v>5.5-6</v>
          </cell>
          <cell r="Q2866">
            <v>170.66000000000003</v>
          </cell>
        </row>
        <row r="2867">
          <cell r="D2867">
            <v>45899</v>
          </cell>
          <cell r="G2867">
            <v>5</v>
          </cell>
          <cell r="H2867" t="str">
            <v>5.5-6</v>
          </cell>
          <cell r="Q2867">
            <v>15.579999999999998</v>
          </cell>
        </row>
        <row r="2868">
          <cell r="D2868">
            <v>45899</v>
          </cell>
          <cell r="G2868">
            <v>2.5</v>
          </cell>
          <cell r="H2868" t="str">
            <v>5.5-6</v>
          </cell>
          <cell r="Q2868">
            <v>104.97999999999999</v>
          </cell>
        </row>
        <row r="2869">
          <cell r="D2869">
            <v>45899</v>
          </cell>
          <cell r="G2869" t="str">
            <v>-</v>
          </cell>
          <cell r="H2869" t="str">
            <v>-</v>
          </cell>
          <cell r="Q2869">
            <v>155.64999999999998</v>
          </cell>
        </row>
        <row r="2870">
          <cell r="D2870">
            <v>45899</v>
          </cell>
          <cell r="G2870" t="str">
            <v>-</v>
          </cell>
          <cell r="H2870" t="str">
            <v>-</v>
          </cell>
          <cell r="Q2870">
            <v>153.43</v>
          </cell>
        </row>
        <row r="2871">
          <cell r="D2871">
            <v>45899</v>
          </cell>
          <cell r="G2871">
            <v>8</v>
          </cell>
          <cell r="H2871">
            <v>4.5</v>
          </cell>
          <cell r="Q2871">
            <v>72.319999999999993</v>
          </cell>
        </row>
        <row r="2872">
          <cell r="D2872">
            <v>45899</v>
          </cell>
          <cell r="G2872">
            <v>8</v>
          </cell>
          <cell r="H2872">
            <v>5</v>
          </cell>
          <cell r="Q2872">
            <v>250.28</v>
          </cell>
        </row>
        <row r="2873">
          <cell r="D2873">
            <v>45899</v>
          </cell>
          <cell r="G2873">
            <v>8</v>
          </cell>
          <cell r="H2873">
            <v>5</v>
          </cell>
          <cell r="Q2873">
            <v>213.66999999999996</v>
          </cell>
        </row>
        <row r="2874">
          <cell r="D2874">
            <v>45899</v>
          </cell>
          <cell r="G2874">
            <v>8</v>
          </cell>
          <cell r="H2874">
            <v>4.5</v>
          </cell>
          <cell r="Q2874">
            <v>104.2</v>
          </cell>
        </row>
        <row r="2875">
          <cell r="D2875">
            <v>45899</v>
          </cell>
          <cell r="G2875">
            <v>18</v>
          </cell>
          <cell r="H2875" t="str">
            <v>5-5.5</v>
          </cell>
          <cell r="Q2875">
            <v>115.38000000000001</v>
          </cell>
        </row>
        <row r="2876">
          <cell r="D2876">
            <v>45899</v>
          </cell>
          <cell r="G2876">
            <v>16</v>
          </cell>
          <cell r="H2876">
            <v>10</v>
          </cell>
          <cell r="Q2876">
            <v>257.7</v>
          </cell>
        </row>
        <row r="2877">
          <cell r="D2877">
            <v>45899</v>
          </cell>
          <cell r="G2877">
            <v>16</v>
          </cell>
          <cell r="H2877" t="str">
            <v>5.5-6</v>
          </cell>
          <cell r="Q2877">
            <v>286.79999999999995</v>
          </cell>
        </row>
        <row r="2878">
          <cell r="D2878">
            <v>45899</v>
          </cell>
          <cell r="G2878">
            <v>17</v>
          </cell>
          <cell r="H2878" t="str">
            <v>7-7.5/14-15</v>
          </cell>
          <cell r="Q2878">
            <v>57.04</v>
          </cell>
        </row>
        <row r="2879">
          <cell r="D2879">
            <v>45899</v>
          </cell>
          <cell r="G2879">
            <v>16</v>
          </cell>
          <cell r="H2879" t="str">
            <v>7-7.5/14-15</v>
          </cell>
          <cell r="Q2879">
            <v>61.410000000000011</v>
          </cell>
        </row>
        <row r="2880">
          <cell r="D2880">
            <v>45899</v>
          </cell>
          <cell r="G2880">
            <v>2.5</v>
          </cell>
          <cell r="H2880">
            <v>5</v>
          </cell>
          <cell r="Q2880">
            <v>282.98</v>
          </cell>
        </row>
        <row r="2881">
          <cell r="D2881">
            <v>45899</v>
          </cell>
          <cell r="G2881">
            <v>16</v>
          </cell>
          <cell r="H2881">
            <v>6</v>
          </cell>
          <cell r="Q2881">
            <v>271.69999999999993</v>
          </cell>
        </row>
        <row r="2882">
          <cell r="D2882">
            <v>45899</v>
          </cell>
          <cell r="G2882">
            <v>16</v>
          </cell>
          <cell r="H2882" t="str">
            <v>5.5-6</v>
          </cell>
          <cell r="Q2882">
            <v>233.43</v>
          </cell>
        </row>
        <row r="2883">
          <cell r="D2883">
            <v>45899</v>
          </cell>
          <cell r="G2883">
            <v>11</v>
          </cell>
          <cell r="H2883" t="str">
            <v>5-5.5</v>
          </cell>
          <cell r="Q2883">
            <v>195.98999999999998</v>
          </cell>
        </row>
        <row r="2884">
          <cell r="D2884">
            <v>45899</v>
          </cell>
          <cell r="G2884">
            <v>14</v>
          </cell>
          <cell r="H2884">
            <v>10</v>
          </cell>
          <cell r="Q2884">
            <v>255.66000000000003</v>
          </cell>
        </row>
        <row r="2885">
          <cell r="D2885">
            <v>45899</v>
          </cell>
          <cell r="G2885">
            <v>12</v>
          </cell>
          <cell r="H2885">
            <v>5</v>
          </cell>
          <cell r="Q2885">
            <v>47.57</v>
          </cell>
        </row>
        <row r="2886">
          <cell r="D2886">
            <v>45899</v>
          </cell>
          <cell r="G2886">
            <v>12</v>
          </cell>
          <cell r="H2886">
            <v>5</v>
          </cell>
          <cell r="Q2886">
            <v>518.74</v>
          </cell>
        </row>
        <row r="2887">
          <cell r="D2887">
            <v>45900</v>
          </cell>
          <cell r="G2887">
            <v>2.5</v>
          </cell>
          <cell r="H2887" t="str">
            <v>5.5-6</v>
          </cell>
          <cell r="Q2887">
            <v>86.35</v>
          </cell>
        </row>
        <row r="2888">
          <cell r="D2888">
            <v>45900</v>
          </cell>
          <cell r="G2888">
            <v>2.5</v>
          </cell>
          <cell r="H2888" t="str">
            <v>5.5-6</v>
          </cell>
          <cell r="Q2888">
            <v>108.82</v>
          </cell>
        </row>
        <row r="2889">
          <cell r="D2889">
            <v>45900</v>
          </cell>
          <cell r="G2889">
            <v>4</v>
          </cell>
          <cell r="H2889" t="str">
            <v>5.5-6</v>
          </cell>
          <cell r="Q2889">
            <v>129.97</v>
          </cell>
        </row>
        <row r="2890">
          <cell r="D2890">
            <v>45900</v>
          </cell>
          <cell r="G2890">
            <v>4</v>
          </cell>
          <cell r="H2890" t="str">
            <v>5.5-6</v>
          </cell>
          <cell r="Q2890">
            <v>78.72</v>
          </cell>
        </row>
        <row r="2891">
          <cell r="D2891">
            <v>45900</v>
          </cell>
          <cell r="G2891">
            <v>3</v>
          </cell>
          <cell r="H2891" t="str">
            <v>5.5-6</v>
          </cell>
          <cell r="Q2891">
            <v>77.56</v>
          </cell>
        </row>
        <row r="2892">
          <cell r="D2892">
            <v>45900</v>
          </cell>
          <cell r="G2892">
            <v>8</v>
          </cell>
          <cell r="H2892">
            <v>4.5</v>
          </cell>
          <cell r="Q2892">
            <v>103.11</v>
          </cell>
        </row>
        <row r="2893">
          <cell r="D2893">
            <v>45900</v>
          </cell>
          <cell r="G2893">
            <v>8</v>
          </cell>
          <cell r="H2893">
            <v>5</v>
          </cell>
          <cell r="Q2893">
            <v>93.17</v>
          </cell>
        </row>
        <row r="2894">
          <cell r="D2894">
            <v>45900</v>
          </cell>
          <cell r="G2894">
            <v>9</v>
          </cell>
          <cell r="H2894" t="str">
            <v>5-5.5</v>
          </cell>
          <cell r="Q2894">
            <v>53.93</v>
          </cell>
        </row>
        <row r="2895">
          <cell r="D2895">
            <v>45900</v>
          </cell>
          <cell r="G2895">
            <v>9</v>
          </cell>
          <cell r="H2895" t="str">
            <v>5-5.5</v>
          </cell>
          <cell r="Q2895">
            <v>324.76</v>
          </cell>
        </row>
        <row r="2896">
          <cell r="D2896">
            <v>45900</v>
          </cell>
          <cell r="G2896">
            <v>16</v>
          </cell>
          <cell r="H2896">
            <v>6</v>
          </cell>
          <cell r="Q2896">
            <v>777.13999999999987</v>
          </cell>
        </row>
        <row r="2897">
          <cell r="D2897">
            <v>45900</v>
          </cell>
          <cell r="G2897">
            <v>16</v>
          </cell>
          <cell r="H2897">
            <v>6</v>
          </cell>
          <cell r="Q2897">
            <v>264.05000000000007</v>
          </cell>
        </row>
        <row r="2898">
          <cell r="D2898">
            <v>45900</v>
          </cell>
          <cell r="G2898">
            <v>16</v>
          </cell>
          <cell r="H2898" t="str">
            <v>5-5.5</v>
          </cell>
          <cell r="Q2898">
            <v>343.1</v>
          </cell>
        </row>
        <row r="2899">
          <cell r="D2899">
            <v>45900</v>
          </cell>
          <cell r="G2899" t="str">
            <v>16.75" شیٹ</v>
          </cell>
          <cell r="H2899" t="str">
            <v>7-7.5/14-15</v>
          </cell>
          <cell r="Q2899">
            <v>104.59</v>
          </cell>
        </row>
        <row r="2900">
          <cell r="D2900">
            <v>45900</v>
          </cell>
          <cell r="G2900">
            <v>12</v>
          </cell>
          <cell r="H2900">
            <v>5</v>
          </cell>
          <cell r="Q2900">
            <v>520.08999999999992</v>
          </cell>
        </row>
        <row r="2901">
          <cell r="D2901">
            <v>45900</v>
          </cell>
          <cell r="G2901">
            <v>10</v>
          </cell>
          <cell r="H2901">
            <v>5</v>
          </cell>
          <cell r="Q2901">
            <v>518.27</v>
          </cell>
        </row>
        <row r="2902">
          <cell r="D2902">
            <v>45901</v>
          </cell>
          <cell r="G2902">
            <v>2.5</v>
          </cell>
          <cell r="H2902" t="str">
            <v>5.5-6</v>
          </cell>
          <cell r="Q2902">
            <v>72.260000000000005</v>
          </cell>
        </row>
        <row r="2903">
          <cell r="D2903">
            <v>45901</v>
          </cell>
          <cell r="G2903">
            <v>2.5</v>
          </cell>
          <cell r="H2903" t="str">
            <v>5.5-6</v>
          </cell>
          <cell r="Q2903">
            <v>98.95</v>
          </cell>
        </row>
        <row r="2904">
          <cell r="D2904">
            <v>45901</v>
          </cell>
          <cell r="G2904">
            <v>3.5</v>
          </cell>
          <cell r="H2904" t="str">
            <v>5.5-6</v>
          </cell>
          <cell r="Q2904">
            <v>152.71</v>
          </cell>
        </row>
        <row r="2905">
          <cell r="D2905">
            <v>45901</v>
          </cell>
          <cell r="G2905">
            <v>3.5</v>
          </cell>
          <cell r="H2905" t="str">
            <v>5.5-6</v>
          </cell>
          <cell r="Q2905">
            <v>134.13000000000002</v>
          </cell>
        </row>
        <row r="2906">
          <cell r="D2906">
            <v>45901</v>
          </cell>
          <cell r="G2906">
            <v>9</v>
          </cell>
          <cell r="H2906" t="str">
            <v>5-5.5</v>
          </cell>
          <cell r="Q2906">
            <v>304.74</v>
          </cell>
        </row>
        <row r="2907">
          <cell r="D2907">
            <v>45901</v>
          </cell>
          <cell r="G2907">
            <v>9</v>
          </cell>
          <cell r="H2907" t="str">
            <v>5-5.5</v>
          </cell>
          <cell r="Q2907">
            <v>307.35000000000002</v>
          </cell>
        </row>
        <row r="2908">
          <cell r="D2908">
            <v>45901</v>
          </cell>
          <cell r="G2908">
            <v>16</v>
          </cell>
          <cell r="H2908" t="str">
            <v>5-5.5</v>
          </cell>
          <cell r="Q2908">
            <v>704.56</v>
          </cell>
        </row>
        <row r="2909">
          <cell r="D2909">
            <v>45901</v>
          </cell>
          <cell r="G2909">
            <v>16</v>
          </cell>
          <cell r="H2909" t="str">
            <v>5-5.5</v>
          </cell>
          <cell r="Q2909">
            <v>145.81</v>
          </cell>
        </row>
        <row r="2910">
          <cell r="D2910">
            <v>45901</v>
          </cell>
          <cell r="G2910">
            <v>20</v>
          </cell>
          <cell r="H2910">
            <v>6</v>
          </cell>
          <cell r="Q2910">
            <v>488.54</v>
          </cell>
        </row>
        <row r="2911">
          <cell r="D2911">
            <v>45901</v>
          </cell>
          <cell r="G2911">
            <v>10</v>
          </cell>
          <cell r="H2911">
            <v>5</v>
          </cell>
          <cell r="Q2911">
            <v>249.82</v>
          </cell>
        </row>
        <row r="2912">
          <cell r="D2912">
            <v>45901</v>
          </cell>
          <cell r="G2912">
            <v>10</v>
          </cell>
          <cell r="H2912">
            <v>8</v>
          </cell>
          <cell r="Q2912">
            <v>114.22999999999999</v>
          </cell>
        </row>
        <row r="2913">
          <cell r="D2913">
            <v>45901</v>
          </cell>
          <cell r="G2913">
            <v>10</v>
          </cell>
          <cell r="H2913">
            <v>5</v>
          </cell>
          <cell r="Q2913">
            <v>477.28999999999996</v>
          </cell>
        </row>
        <row r="2914">
          <cell r="D2914">
            <v>45902</v>
          </cell>
          <cell r="G2914">
            <v>2.5</v>
          </cell>
          <cell r="H2914" t="str">
            <v>5.5-6</v>
          </cell>
          <cell r="Q2914">
            <v>97.929999999999993</v>
          </cell>
        </row>
        <row r="2915">
          <cell r="D2915">
            <v>45902</v>
          </cell>
          <cell r="G2915">
            <v>4.5</v>
          </cell>
          <cell r="H2915">
            <v>5</v>
          </cell>
          <cell r="Q2915">
            <v>136.5</v>
          </cell>
        </row>
        <row r="2916">
          <cell r="D2916">
            <v>45902</v>
          </cell>
          <cell r="G2916">
            <v>3.5</v>
          </cell>
          <cell r="H2916" t="str">
            <v>5.5-6</v>
          </cell>
          <cell r="Q2916">
            <v>156.29000000000002</v>
          </cell>
        </row>
        <row r="2917">
          <cell r="D2917">
            <v>45902</v>
          </cell>
          <cell r="G2917">
            <v>3.5</v>
          </cell>
          <cell r="H2917" t="str">
            <v>5</v>
          </cell>
          <cell r="Q2917">
            <v>146.01</v>
          </cell>
        </row>
        <row r="2918">
          <cell r="D2918">
            <v>45902</v>
          </cell>
          <cell r="G2918">
            <v>9</v>
          </cell>
          <cell r="H2918" t="str">
            <v>5-5.5</v>
          </cell>
          <cell r="Q2918">
            <v>275.33000000000004</v>
          </cell>
        </row>
        <row r="2919">
          <cell r="D2919">
            <v>45902</v>
          </cell>
          <cell r="G2919">
            <v>9</v>
          </cell>
          <cell r="H2919" t="str">
            <v>5-5.5</v>
          </cell>
          <cell r="Q2919">
            <v>286.17</v>
          </cell>
        </row>
        <row r="2920">
          <cell r="D2920">
            <v>45902</v>
          </cell>
          <cell r="G2920">
            <v>20</v>
          </cell>
          <cell r="H2920">
            <v>6</v>
          </cell>
          <cell r="Q2920">
            <v>521.88</v>
          </cell>
        </row>
        <row r="2921">
          <cell r="D2921">
            <v>45902</v>
          </cell>
          <cell r="G2921">
            <v>20</v>
          </cell>
          <cell r="H2921">
            <v>5</v>
          </cell>
          <cell r="Q2921">
            <v>54.86</v>
          </cell>
        </row>
        <row r="2922">
          <cell r="D2922">
            <v>45902</v>
          </cell>
          <cell r="G2922">
            <v>21</v>
          </cell>
          <cell r="H2922" t="str">
            <v>24</v>
          </cell>
          <cell r="Q2922">
            <v>161.22999999999999</v>
          </cell>
        </row>
        <row r="2923">
          <cell r="D2923">
            <v>45902</v>
          </cell>
          <cell r="G2923">
            <v>21</v>
          </cell>
          <cell r="H2923" t="str">
            <v>24</v>
          </cell>
          <cell r="Q2923">
            <v>354.57000000000005</v>
          </cell>
        </row>
        <row r="2924">
          <cell r="D2924">
            <v>45902</v>
          </cell>
          <cell r="G2924">
            <v>20</v>
          </cell>
          <cell r="H2924">
            <v>5</v>
          </cell>
          <cell r="Q2924">
            <v>285.46999999999997</v>
          </cell>
        </row>
        <row r="2925">
          <cell r="D2925">
            <v>45902</v>
          </cell>
          <cell r="G2925">
            <v>10</v>
          </cell>
          <cell r="H2925">
            <v>5</v>
          </cell>
          <cell r="Q2925">
            <v>477.72</v>
          </cell>
        </row>
        <row r="2926">
          <cell r="D2926">
            <v>45902</v>
          </cell>
          <cell r="G2926">
            <v>10</v>
          </cell>
          <cell r="H2926">
            <v>5</v>
          </cell>
          <cell r="Q2926">
            <v>433.25000000000011</v>
          </cell>
        </row>
        <row r="2927">
          <cell r="D2927">
            <v>45902</v>
          </cell>
          <cell r="G2927">
            <v>17</v>
          </cell>
          <cell r="H2927" t="str">
            <v>5.5-6</v>
          </cell>
          <cell r="Q2927">
            <v>315.81</v>
          </cell>
        </row>
        <row r="2928">
          <cell r="D2928">
            <v>45903</v>
          </cell>
          <cell r="G2928">
            <v>2.5</v>
          </cell>
          <cell r="H2928" t="str">
            <v>5.5-6</v>
          </cell>
          <cell r="Q2928">
            <v>47.34</v>
          </cell>
        </row>
        <row r="2929">
          <cell r="D2929">
            <v>45903</v>
          </cell>
          <cell r="G2929">
            <v>2</v>
          </cell>
          <cell r="H2929" t="str">
            <v>5.5-6</v>
          </cell>
          <cell r="Q2929">
            <v>51.129999999999995</v>
          </cell>
        </row>
        <row r="2930">
          <cell r="D2930">
            <v>45903</v>
          </cell>
          <cell r="G2930">
            <v>9</v>
          </cell>
          <cell r="H2930" t="str">
            <v>5-5.5</v>
          </cell>
          <cell r="Q2930">
            <v>140.14000000000001</v>
          </cell>
        </row>
        <row r="2931">
          <cell r="D2931">
            <v>45903</v>
          </cell>
          <cell r="G2931">
            <v>7</v>
          </cell>
          <cell r="H2931">
            <v>5</v>
          </cell>
          <cell r="Q2931">
            <v>159.31000000000003</v>
          </cell>
        </row>
        <row r="2932">
          <cell r="D2932">
            <v>45903</v>
          </cell>
          <cell r="G2932">
            <v>7</v>
          </cell>
          <cell r="H2932">
            <v>5</v>
          </cell>
          <cell r="Q2932">
            <v>246.04</v>
          </cell>
        </row>
        <row r="2933">
          <cell r="D2933">
            <v>45903</v>
          </cell>
          <cell r="G2933">
            <v>20</v>
          </cell>
          <cell r="H2933">
            <v>10</v>
          </cell>
          <cell r="Q2933">
            <v>298.32</v>
          </cell>
        </row>
        <row r="2934">
          <cell r="D2934">
            <v>45903</v>
          </cell>
          <cell r="G2934">
            <v>19</v>
          </cell>
          <cell r="H2934">
            <v>7</v>
          </cell>
          <cell r="Q2934">
            <v>389.46999999999997</v>
          </cell>
        </row>
        <row r="2935">
          <cell r="D2935">
            <v>45903</v>
          </cell>
          <cell r="G2935">
            <v>23</v>
          </cell>
          <cell r="H2935">
            <v>7</v>
          </cell>
          <cell r="Q2935">
            <v>54</v>
          </cell>
        </row>
        <row r="2936">
          <cell r="D2936">
            <v>45903</v>
          </cell>
          <cell r="G2936">
            <v>23</v>
          </cell>
          <cell r="H2936">
            <v>7</v>
          </cell>
          <cell r="Q2936">
            <v>443.89</v>
          </cell>
        </row>
        <row r="2937">
          <cell r="D2937">
            <v>45903</v>
          </cell>
          <cell r="G2937">
            <v>28</v>
          </cell>
          <cell r="H2937" t="str">
            <v>5-5.5</v>
          </cell>
          <cell r="Q2937">
            <v>274.59000000000003</v>
          </cell>
        </row>
        <row r="2938">
          <cell r="D2938">
            <v>45903</v>
          </cell>
          <cell r="G2938">
            <v>17</v>
          </cell>
          <cell r="H2938" t="str">
            <v>5.5-6</v>
          </cell>
          <cell r="Q2938">
            <v>48.83</v>
          </cell>
        </row>
        <row r="2939">
          <cell r="D2939">
            <v>45903</v>
          </cell>
          <cell r="G2939">
            <v>10</v>
          </cell>
          <cell r="H2939">
            <v>5</v>
          </cell>
          <cell r="Q2939">
            <v>91.23</v>
          </cell>
        </row>
        <row r="2940">
          <cell r="D2940">
            <v>45903</v>
          </cell>
          <cell r="G2940">
            <v>13</v>
          </cell>
          <cell r="H2940">
            <v>7</v>
          </cell>
          <cell r="Q2940">
            <v>310.29999999999995</v>
          </cell>
        </row>
        <row r="2941">
          <cell r="D2941">
            <v>45903</v>
          </cell>
          <cell r="G2941">
            <v>13</v>
          </cell>
          <cell r="H2941" t="str">
            <v>8</v>
          </cell>
          <cell r="Q2941">
            <v>95.88</v>
          </cell>
        </row>
        <row r="2942">
          <cell r="D2942">
            <v>45903</v>
          </cell>
          <cell r="G2942">
            <v>13</v>
          </cell>
          <cell r="H2942" t="str">
            <v>5</v>
          </cell>
          <cell r="Q2942">
            <v>161.94999999999999</v>
          </cell>
        </row>
        <row r="2943">
          <cell r="D2943">
            <v>45903</v>
          </cell>
          <cell r="G2943">
            <v>13</v>
          </cell>
          <cell r="H2943" t="str">
            <v>5</v>
          </cell>
          <cell r="Q2943">
            <v>610.61000000000013</v>
          </cell>
        </row>
        <row r="2944">
          <cell r="D2944">
            <v>45904</v>
          </cell>
          <cell r="G2944">
            <v>3.5</v>
          </cell>
          <cell r="H2944" t="str">
            <v>5</v>
          </cell>
          <cell r="Q2944">
            <v>80.110000000000014</v>
          </cell>
        </row>
        <row r="2945">
          <cell r="D2945">
            <v>45904</v>
          </cell>
          <cell r="G2945">
            <v>3.5</v>
          </cell>
          <cell r="H2945" t="str">
            <v>5</v>
          </cell>
          <cell r="Q2945">
            <v>100.13000000000001</v>
          </cell>
        </row>
        <row r="2946">
          <cell r="D2946">
            <v>45904</v>
          </cell>
          <cell r="G2946">
            <v>2</v>
          </cell>
          <cell r="H2946" t="str">
            <v>5.5-6</v>
          </cell>
          <cell r="Q2946">
            <v>50.7</v>
          </cell>
        </row>
        <row r="2947">
          <cell r="D2947">
            <v>45904</v>
          </cell>
          <cell r="G2947">
            <v>2</v>
          </cell>
          <cell r="H2947" t="str">
            <v>5.5-6</v>
          </cell>
          <cell r="Q2947">
            <v>23.99</v>
          </cell>
        </row>
        <row r="2948">
          <cell r="D2948">
            <v>45904</v>
          </cell>
          <cell r="G2948">
            <v>2</v>
          </cell>
          <cell r="H2948">
            <v>5</v>
          </cell>
          <cell r="Q2948">
            <v>80.37</v>
          </cell>
        </row>
        <row r="2949">
          <cell r="D2949">
            <v>45904</v>
          </cell>
          <cell r="G2949">
            <v>7</v>
          </cell>
          <cell r="H2949">
            <v>5</v>
          </cell>
          <cell r="Q2949">
            <v>242.61</v>
          </cell>
        </row>
        <row r="2950">
          <cell r="D2950">
            <v>45904</v>
          </cell>
          <cell r="G2950">
            <v>7</v>
          </cell>
          <cell r="H2950">
            <v>4</v>
          </cell>
          <cell r="Q2950">
            <v>131.47</v>
          </cell>
        </row>
        <row r="2951">
          <cell r="D2951">
            <v>45904</v>
          </cell>
          <cell r="G2951">
            <v>28</v>
          </cell>
          <cell r="H2951" t="str">
            <v>5-5.5</v>
          </cell>
          <cell r="Q2951">
            <v>711.56999999999994</v>
          </cell>
        </row>
        <row r="2952">
          <cell r="D2952">
            <v>45904</v>
          </cell>
          <cell r="G2952">
            <v>28</v>
          </cell>
          <cell r="H2952" t="str">
            <v>5-5.5</v>
          </cell>
          <cell r="Q2952">
            <v>281.96999999999997</v>
          </cell>
        </row>
        <row r="2953">
          <cell r="D2953">
            <v>45904</v>
          </cell>
          <cell r="G2953">
            <v>18</v>
          </cell>
          <cell r="H2953">
            <v>6</v>
          </cell>
          <cell r="Q2953">
            <v>268.15999999999997</v>
          </cell>
        </row>
        <row r="2954">
          <cell r="D2954">
            <v>45904</v>
          </cell>
          <cell r="G2954">
            <v>18</v>
          </cell>
          <cell r="H2954" t="str">
            <v>7</v>
          </cell>
          <cell r="Q2954">
            <v>142.94</v>
          </cell>
        </row>
        <row r="2955">
          <cell r="D2955">
            <v>45904</v>
          </cell>
          <cell r="G2955">
            <v>13</v>
          </cell>
          <cell r="H2955">
            <v>5</v>
          </cell>
          <cell r="Q2955">
            <v>267.27999999999997</v>
          </cell>
        </row>
        <row r="2956">
          <cell r="D2956">
            <v>45904</v>
          </cell>
          <cell r="G2956">
            <v>14</v>
          </cell>
          <cell r="H2956">
            <v>10</v>
          </cell>
          <cell r="Q2956">
            <v>263.99</v>
          </cell>
        </row>
        <row r="2957">
          <cell r="D2957">
            <v>45904</v>
          </cell>
          <cell r="G2957">
            <v>14</v>
          </cell>
          <cell r="H2957">
            <v>5</v>
          </cell>
          <cell r="Q2957">
            <v>85.8</v>
          </cell>
        </row>
        <row r="2958">
          <cell r="D2958">
            <v>45904</v>
          </cell>
          <cell r="G2958">
            <v>14</v>
          </cell>
          <cell r="H2958">
            <v>10</v>
          </cell>
          <cell r="Q2958">
            <v>374.50000000000006</v>
          </cell>
        </row>
        <row r="2959">
          <cell r="D2959">
            <v>45904</v>
          </cell>
          <cell r="G2959">
            <v>14</v>
          </cell>
          <cell r="H2959">
            <v>4.5</v>
          </cell>
          <cell r="Q2959">
            <v>212.36</v>
          </cell>
        </row>
        <row r="2960">
          <cell r="D2960">
            <v>45905</v>
          </cell>
          <cell r="G2960">
            <v>8</v>
          </cell>
          <cell r="H2960">
            <v>5</v>
          </cell>
          <cell r="Q2960">
            <v>112.65</v>
          </cell>
        </row>
        <row r="2961">
          <cell r="D2961">
            <v>45905</v>
          </cell>
          <cell r="G2961">
            <v>8</v>
          </cell>
          <cell r="H2961">
            <v>5</v>
          </cell>
          <cell r="Q2961">
            <v>296.87000000000006</v>
          </cell>
        </row>
        <row r="2962">
          <cell r="D2962">
            <v>45905</v>
          </cell>
          <cell r="G2962">
            <v>18</v>
          </cell>
          <cell r="H2962" t="str">
            <v>7</v>
          </cell>
          <cell r="Q2962">
            <v>121.97999999999999</v>
          </cell>
        </row>
        <row r="2963">
          <cell r="D2963">
            <v>45905</v>
          </cell>
          <cell r="G2963">
            <v>18</v>
          </cell>
          <cell r="H2963">
            <v>4.5</v>
          </cell>
          <cell r="Q2963">
            <v>85.35</v>
          </cell>
        </row>
        <row r="2964">
          <cell r="D2964">
            <v>45905</v>
          </cell>
          <cell r="G2964">
            <v>16</v>
          </cell>
          <cell r="H2964">
            <v>5</v>
          </cell>
          <cell r="Q2964">
            <v>507.12000000000006</v>
          </cell>
        </row>
        <row r="2965">
          <cell r="D2965">
            <v>45905</v>
          </cell>
          <cell r="G2965">
            <v>16</v>
          </cell>
          <cell r="H2965">
            <v>5</v>
          </cell>
          <cell r="Q2965">
            <v>99.35</v>
          </cell>
        </row>
        <row r="2966">
          <cell r="D2966">
            <v>45905</v>
          </cell>
          <cell r="G2966">
            <v>16</v>
          </cell>
          <cell r="H2966" t="str">
            <v>8</v>
          </cell>
          <cell r="Q2966">
            <v>265.83</v>
          </cell>
        </row>
        <row r="2967">
          <cell r="D2967">
            <v>45905</v>
          </cell>
          <cell r="G2967">
            <v>16</v>
          </cell>
          <cell r="H2967">
            <v>15</v>
          </cell>
          <cell r="Q2967">
            <v>259.92999999999995</v>
          </cell>
        </row>
        <row r="2968">
          <cell r="D2968">
            <v>45905</v>
          </cell>
          <cell r="G2968">
            <v>17</v>
          </cell>
          <cell r="H2968" t="str">
            <v>5.5-6</v>
          </cell>
          <cell r="Q2968">
            <v>97.949999999999989</v>
          </cell>
        </row>
        <row r="2969">
          <cell r="D2969">
            <v>45905</v>
          </cell>
          <cell r="G2969">
            <v>14</v>
          </cell>
          <cell r="H2969">
            <v>5</v>
          </cell>
          <cell r="Q2969">
            <v>586.71</v>
          </cell>
        </row>
        <row r="2970">
          <cell r="D2970">
            <v>45905</v>
          </cell>
          <cell r="G2970">
            <v>14</v>
          </cell>
          <cell r="H2970">
            <v>5</v>
          </cell>
          <cell r="Q2970">
            <v>148.72999999999999</v>
          </cell>
        </row>
        <row r="2971">
          <cell r="D2971">
            <v>45905</v>
          </cell>
          <cell r="G2971">
            <v>12</v>
          </cell>
          <cell r="H2971">
            <v>5</v>
          </cell>
          <cell r="Q2971">
            <v>356.21999999999997</v>
          </cell>
        </row>
        <row r="2972">
          <cell r="D2972">
            <v>45905</v>
          </cell>
          <cell r="G2972">
            <v>2</v>
          </cell>
          <cell r="H2972">
            <v>5</v>
          </cell>
          <cell r="Q2972">
            <v>102.39</v>
          </cell>
        </row>
        <row r="2973">
          <cell r="D2973">
            <v>45905</v>
          </cell>
          <cell r="G2973">
            <v>2</v>
          </cell>
          <cell r="H2973">
            <v>5</v>
          </cell>
          <cell r="Q2973">
            <v>108.42</v>
          </cell>
        </row>
        <row r="2974">
          <cell r="D2974">
            <v>45905</v>
          </cell>
          <cell r="G2974">
            <v>2.5</v>
          </cell>
          <cell r="H2974" t="str">
            <v>5.5-6</v>
          </cell>
          <cell r="Q2974">
            <v>95.2</v>
          </cell>
        </row>
        <row r="2975">
          <cell r="D2975">
            <v>45905</v>
          </cell>
          <cell r="G2975">
            <v>2.5</v>
          </cell>
          <cell r="H2975" t="str">
            <v>5.5-6</v>
          </cell>
          <cell r="Q2975">
            <v>94.039999999999992</v>
          </cell>
        </row>
        <row r="2976">
          <cell r="D2976">
            <v>45906</v>
          </cell>
          <cell r="G2976">
            <v>2.5</v>
          </cell>
          <cell r="H2976" t="str">
            <v>5.5-6</v>
          </cell>
          <cell r="Q2976">
            <v>85.45</v>
          </cell>
        </row>
        <row r="2977">
          <cell r="D2977">
            <v>45906</v>
          </cell>
          <cell r="G2977">
            <v>2.5</v>
          </cell>
          <cell r="H2977" t="str">
            <v>5.5-6</v>
          </cell>
          <cell r="Q2977">
            <v>97.11999999999999</v>
          </cell>
        </row>
        <row r="2978">
          <cell r="D2978">
            <v>45906</v>
          </cell>
          <cell r="G2978">
            <v>2</v>
          </cell>
          <cell r="H2978">
            <v>5</v>
          </cell>
          <cell r="Q2978">
            <v>61.269999999999996</v>
          </cell>
        </row>
        <row r="2979">
          <cell r="D2979">
            <v>45906</v>
          </cell>
          <cell r="G2979">
            <v>2.5</v>
          </cell>
          <cell r="H2979" t="str">
            <v>5.5-6</v>
          </cell>
          <cell r="Q2979">
            <v>27.4</v>
          </cell>
        </row>
        <row r="2980">
          <cell r="D2980">
            <v>45906</v>
          </cell>
          <cell r="G2980">
            <v>2</v>
          </cell>
          <cell r="H2980">
            <v>5</v>
          </cell>
          <cell r="Q2980">
            <v>83.76</v>
          </cell>
        </row>
        <row r="2981">
          <cell r="D2981">
            <v>45906</v>
          </cell>
          <cell r="G2981">
            <v>2.5</v>
          </cell>
          <cell r="H2981" t="str">
            <v>5.5-6</v>
          </cell>
          <cell r="Q2981">
            <v>19.82</v>
          </cell>
        </row>
        <row r="2982">
          <cell r="D2982">
            <v>45906</v>
          </cell>
          <cell r="G2982">
            <v>8</v>
          </cell>
          <cell r="H2982">
            <v>5</v>
          </cell>
          <cell r="Q2982">
            <v>274.74</v>
          </cell>
        </row>
        <row r="2983">
          <cell r="D2983">
            <v>45906</v>
          </cell>
          <cell r="G2983">
            <v>8</v>
          </cell>
          <cell r="H2983">
            <v>5</v>
          </cell>
          <cell r="Q2983">
            <v>311.86</v>
          </cell>
        </row>
        <row r="2984">
          <cell r="D2984">
            <v>45906</v>
          </cell>
          <cell r="Q2984">
            <v>740.75</v>
          </cell>
        </row>
        <row r="2985">
          <cell r="D2985">
            <v>45906</v>
          </cell>
          <cell r="Q2985">
            <v>717.04000000000008</v>
          </cell>
        </row>
        <row r="2986">
          <cell r="D2986">
            <v>45906</v>
          </cell>
          <cell r="G2986">
            <v>12</v>
          </cell>
          <cell r="H2986">
            <v>5</v>
          </cell>
          <cell r="Q2986">
            <v>274.38</v>
          </cell>
        </row>
        <row r="2987">
          <cell r="D2987">
            <v>45906</v>
          </cell>
          <cell r="G2987">
            <v>12</v>
          </cell>
          <cell r="H2987" t="str">
            <v>6.5-7</v>
          </cell>
          <cell r="Q2987">
            <v>239.51000000000002</v>
          </cell>
        </row>
        <row r="2988">
          <cell r="D2988">
            <v>45906</v>
          </cell>
          <cell r="G2988">
            <v>12</v>
          </cell>
          <cell r="H2988">
            <v>4.5</v>
          </cell>
          <cell r="Q2988">
            <v>314.7</v>
          </cell>
        </row>
        <row r="2989">
          <cell r="D2989">
            <v>45906</v>
          </cell>
          <cell r="G2989">
            <v>11</v>
          </cell>
          <cell r="H2989" t="str">
            <v>6.5-7</v>
          </cell>
          <cell r="Q2989">
            <v>107.37</v>
          </cell>
        </row>
        <row r="2990">
          <cell r="D2990">
            <v>45906</v>
          </cell>
          <cell r="G2990">
            <v>11</v>
          </cell>
          <cell r="H2990" t="str">
            <v>5-5.5</v>
          </cell>
          <cell r="Q2990">
            <v>42.940000000000005</v>
          </cell>
        </row>
        <row r="2991">
          <cell r="D2991">
            <v>45907</v>
          </cell>
          <cell r="G2991">
            <v>2.5</v>
          </cell>
          <cell r="H2991" t="str">
            <v>5.5-6</v>
          </cell>
          <cell r="Q2991">
            <v>83.939999999999984</v>
          </cell>
        </row>
        <row r="2992">
          <cell r="D2992">
            <v>45907</v>
          </cell>
          <cell r="G2992">
            <v>2.5</v>
          </cell>
          <cell r="H2992" t="str">
            <v>5.5-6</v>
          </cell>
          <cell r="Q2992">
            <v>72.06</v>
          </cell>
        </row>
        <row r="2993">
          <cell r="D2993">
            <v>45907</v>
          </cell>
          <cell r="G2993">
            <v>2.5</v>
          </cell>
          <cell r="H2993" t="str">
            <v>5.5-6</v>
          </cell>
          <cell r="Q2993">
            <v>11.600000000000001</v>
          </cell>
        </row>
        <row r="2994">
          <cell r="D2994">
            <v>45907</v>
          </cell>
          <cell r="G2994">
            <v>2</v>
          </cell>
          <cell r="H2994">
            <v>5</v>
          </cell>
          <cell r="Q2994">
            <v>107.99</v>
          </cell>
        </row>
        <row r="2995">
          <cell r="D2995">
            <v>45907</v>
          </cell>
          <cell r="G2995">
            <v>2</v>
          </cell>
          <cell r="H2995">
            <v>5</v>
          </cell>
          <cell r="Q2995">
            <v>103.07</v>
          </cell>
        </row>
        <row r="2996">
          <cell r="D2996">
            <v>45907</v>
          </cell>
          <cell r="G2996">
            <v>8</v>
          </cell>
          <cell r="H2996">
            <v>5</v>
          </cell>
          <cell r="Q2996">
            <v>237.66</v>
          </cell>
        </row>
        <row r="2997">
          <cell r="D2997">
            <v>45907</v>
          </cell>
          <cell r="G2997">
            <v>7</v>
          </cell>
          <cell r="H2997">
            <v>5</v>
          </cell>
          <cell r="Q2997">
            <v>29.189999999999998</v>
          </cell>
        </row>
        <row r="2998">
          <cell r="D2998">
            <v>45907</v>
          </cell>
          <cell r="G2998">
            <v>7</v>
          </cell>
          <cell r="H2998">
            <v>5</v>
          </cell>
          <cell r="Q2998">
            <v>234.34000000000003</v>
          </cell>
        </row>
        <row r="2999">
          <cell r="D2999">
            <v>45907</v>
          </cell>
          <cell r="G2999">
            <v>17</v>
          </cell>
          <cell r="H2999" t="str">
            <v>5.5-6</v>
          </cell>
          <cell r="Q2999">
            <v>777.20999999999992</v>
          </cell>
        </row>
        <row r="3000">
          <cell r="D3000">
            <v>45907</v>
          </cell>
          <cell r="G3000">
            <v>17</v>
          </cell>
          <cell r="H3000" t="str">
            <v>5.5-6</v>
          </cell>
          <cell r="Q3000">
            <v>764.86</v>
          </cell>
        </row>
        <row r="3001">
          <cell r="D3001">
            <v>45907</v>
          </cell>
          <cell r="G3001">
            <v>11</v>
          </cell>
          <cell r="H3001" t="str">
            <v>5-5.5</v>
          </cell>
          <cell r="Q3001">
            <v>491.99</v>
          </cell>
        </row>
        <row r="3002">
          <cell r="D3002">
            <v>45907</v>
          </cell>
          <cell r="G3002">
            <v>10</v>
          </cell>
          <cell r="H3002">
            <v>5</v>
          </cell>
          <cell r="Q3002">
            <v>179.43999999999997</v>
          </cell>
        </row>
        <row r="3003">
          <cell r="D3003">
            <v>45907</v>
          </cell>
          <cell r="G3003">
            <v>10</v>
          </cell>
          <cell r="H3003">
            <v>15</v>
          </cell>
          <cell r="Q3003">
            <v>210.22</v>
          </cell>
        </row>
        <row r="3004">
          <cell r="D3004">
            <v>45907</v>
          </cell>
          <cell r="G3004">
            <v>11</v>
          </cell>
          <cell r="H3004" t="str">
            <v>5-5.5</v>
          </cell>
          <cell r="Q3004">
            <v>59.589999999999996</v>
          </cell>
        </row>
        <row r="3005">
          <cell r="D3005">
            <v>45908</v>
          </cell>
          <cell r="G3005">
            <v>2.5</v>
          </cell>
          <cell r="H3005" t="str">
            <v>5.5-6</v>
          </cell>
          <cell r="Q3005">
            <v>102.31</v>
          </cell>
        </row>
        <row r="3006">
          <cell r="D3006">
            <v>45908</v>
          </cell>
          <cell r="G3006">
            <v>2.5</v>
          </cell>
          <cell r="H3006" t="str">
            <v>5.5-6</v>
          </cell>
          <cell r="Q3006">
            <v>86.750000000000014</v>
          </cell>
        </row>
        <row r="3007">
          <cell r="D3007">
            <v>45908</v>
          </cell>
          <cell r="G3007">
            <v>2</v>
          </cell>
          <cell r="H3007" t="str">
            <v>5.5-6</v>
          </cell>
          <cell r="Q3007">
            <v>90.51</v>
          </cell>
        </row>
        <row r="3008">
          <cell r="D3008">
            <v>45908</v>
          </cell>
          <cell r="G3008">
            <v>4</v>
          </cell>
          <cell r="H3008">
            <v>4.5</v>
          </cell>
          <cell r="Q3008">
            <v>14.92</v>
          </cell>
        </row>
        <row r="3009">
          <cell r="D3009">
            <v>45908</v>
          </cell>
          <cell r="G3009">
            <v>4</v>
          </cell>
          <cell r="H3009">
            <v>4.5</v>
          </cell>
          <cell r="Q3009">
            <v>92.3</v>
          </cell>
        </row>
        <row r="3010">
          <cell r="D3010">
            <v>45908</v>
          </cell>
          <cell r="G3010">
            <v>7</v>
          </cell>
          <cell r="H3010">
            <v>5</v>
          </cell>
          <cell r="Q3010">
            <v>160.61000000000001</v>
          </cell>
        </row>
        <row r="3011">
          <cell r="D3011">
            <v>45908</v>
          </cell>
          <cell r="G3011">
            <v>7</v>
          </cell>
          <cell r="H3011">
            <v>5.5</v>
          </cell>
          <cell r="Q3011">
            <v>102.64</v>
          </cell>
        </row>
        <row r="3012">
          <cell r="D3012">
            <v>45908</v>
          </cell>
          <cell r="G3012">
            <v>7</v>
          </cell>
          <cell r="H3012">
            <v>5</v>
          </cell>
          <cell r="Q3012">
            <v>275.96999999999997</v>
          </cell>
        </row>
        <row r="3013">
          <cell r="D3013">
            <v>45908</v>
          </cell>
          <cell r="G3013">
            <v>17</v>
          </cell>
          <cell r="H3013" t="str">
            <v>5.5-6</v>
          </cell>
          <cell r="Q3013">
            <v>633.01</v>
          </cell>
        </row>
        <row r="3014">
          <cell r="D3014">
            <v>45908</v>
          </cell>
          <cell r="G3014">
            <v>17</v>
          </cell>
          <cell r="H3014" t="str">
            <v>8.5-9</v>
          </cell>
          <cell r="Q3014">
            <v>108.22999999999999</v>
          </cell>
        </row>
        <row r="3015">
          <cell r="D3015">
            <v>45908</v>
          </cell>
          <cell r="G3015">
            <v>17</v>
          </cell>
          <cell r="H3015" t="str">
            <v>5.5-6</v>
          </cell>
          <cell r="Q3015">
            <v>609.03</v>
          </cell>
        </row>
        <row r="3016">
          <cell r="D3016">
            <v>45908</v>
          </cell>
          <cell r="G3016">
            <v>10</v>
          </cell>
          <cell r="H3016">
            <v>15</v>
          </cell>
          <cell r="Q3016">
            <v>97.05</v>
          </cell>
        </row>
        <row r="3017">
          <cell r="D3017">
            <v>45908</v>
          </cell>
          <cell r="G3017">
            <v>10</v>
          </cell>
          <cell r="H3017">
            <v>5</v>
          </cell>
          <cell r="Q3017">
            <v>341.19</v>
          </cell>
        </row>
        <row r="3018">
          <cell r="D3018">
            <v>45908</v>
          </cell>
          <cell r="G3018">
            <v>14</v>
          </cell>
          <cell r="H3018">
            <v>5</v>
          </cell>
          <cell r="Q3018">
            <v>523.51999999999987</v>
          </cell>
        </row>
        <row r="3019">
          <cell r="D3019">
            <v>45909</v>
          </cell>
          <cell r="G3019">
            <v>4</v>
          </cell>
          <cell r="H3019">
            <v>4.5</v>
          </cell>
          <cell r="Q3019">
            <v>28.49</v>
          </cell>
        </row>
        <row r="3020">
          <cell r="D3020">
            <v>45909</v>
          </cell>
          <cell r="G3020">
            <v>4</v>
          </cell>
          <cell r="H3020" t="str">
            <v>5-5.5</v>
          </cell>
          <cell r="Q3020">
            <v>108.11000000000001</v>
          </cell>
        </row>
        <row r="3021">
          <cell r="D3021">
            <v>45909</v>
          </cell>
          <cell r="G3021">
            <v>4</v>
          </cell>
          <cell r="H3021" t="str">
            <v>5-5.5</v>
          </cell>
          <cell r="Q3021">
            <v>131.25</v>
          </cell>
        </row>
        <row r="3022">
          <cell r="D3022">
            <v>45909</v>
          </cell>
          <cell r="G3022">
            <v>2.5</v>
          </cell>
          <cell r="H3022" t="str">
            <v>5.5-6</v>
          </cell>
          <cell r="Q3022">
            <v>105.33000000000003</v>
          </cell>
        </row>
        <row r="3023">
          <cell r="D3023">
            <v>45909</v>
          </cell>
          <cell r="G3023">
            <v>2.5</v>
          </cell>
          <cell r="H3023" t="str">
            <v>5.5-6</v>
          </cell>
          <cell r="Q3023">
            <v>88.93</v>
          </cell>
        </row>
        <row r="3024">
          <cell r="D3024">
            <v>45909</v>
          </cell>
          <cell r="G3024">
            <v>8</v>
          </cell>
          <cell r="H3024" t="str">
            <v>7.5-8</v>
          </cell>
          <cell r="Q3024">
            <v>123.27000000000001</v>
          </cell>
        </row>
        <row r="3025">
          <cell r="D3025">
            <v>45909</v>
          </cell>
          <cell r="G3025">
            <v>6</v>
          </cell>
          <cell r="H3025" t="str">
            <v>7.5-8</v>
          </cell>
          <cell r="Q3025">
            <v>96.56</v>
          </cell>
        </row>
        <row r="3026">
          <cell r="D3026">
            <v>45909</v>
          </cell>
          <cell r="G3026">
            <v>6</v>
          </cell>
          <cell r="H3026" t="str">
            <v>7.5-8</v>
          </cell>
          <cell r="Q3026">
            <v>23.139999999999997</v>
          </cell>
        </row>
        <row r="3027">
          <cell r="D3027">
            <v>45909</v>
          </cell>
          <cell r="G3027">
            <v>6</v>
          </cell>
          <cell r="H3027">
            <v>4.5</v>
          </cell>
          <cell r="Q3027">
            <v>180.27</v>
          </cell>
        </row>
        <row r="3028">
          <cell r="D3028">
            <v>45909</v>
          </cell>
          <cell r="G3028">
            <v>17</v>
          </cell>
          <cell r="H3028" t="str">
            <v>5.5-6</v>
          </cell>
          <cell r="Q3028">
            <v>724.02</v>
          </cell>
        </row>
        <row r="3029">
          <cell r="D3029">
            <v>45909</v>
          </cell>
          <cell r="G3029">
            <v>17</v>
          </cell>
          <cell r="H3029" t="str">
            <v>5.5-6</v>
          </cell>
          <cell r="Q3029">
            <v>690.75</v>
          </cell>
        </row>
        <row r="3030">
          <cell r="D3030">
            <v>45909</v>
          </cell>
          <cell r="G3030">
            <v>14</v>
          </cell>
          <cell r="H3030">
            <v>5</v>
          </cell>
          <cell r="Q3030">
            <v>602.01</v>
          </cell>
        </row>
        <row r="3031">
          <cell r="D3031">
            <v>45909</v>
          </cell>
          <cell r="G3031">
            <v>14</v>
          </cell>
          <cell r="H3031">
            <v>5</v>
          </cell>
          <cell r="Q3031">
            <v>553.00999999999988</v>
          </cell>
        </row>
        <row r="3032">
          <cell r="D3032">
            <v>45910</v>
          </cell>
          <cell r="G3032">
            <v>2.5</v>
          </cell>
          <cell r="H3032" t="str">
            <v>5.5-6</v>
          </cell>
          <cell r="Q3032">
            <v>100.99000000000001</v>
          </cell>
        </row>
        <row r="3033">
          <cell r="D3033">
            <v>45910</v>
          </cell>
          <cell r="G3033">
            <v>3.5</v>
          </cell>
          <cell r="H3033" t="str">
            <v>5.5-6</v>
          </cell>
          <cell r="Q3033">
            <v>76.099999999999994</v>
          </cell>
        </row>
        <row r="3034">
          <cell r="D3034">
            <v>45910</v>
          </cell>
          <cell r="G3034">
            <v>2.5</v>
          </cell>
          <cell r="H3034" t="str">
            <v>5.5-6</v>
          </cell>
          <cell r="Q3034">
            <v>32.910000000000004</v>
          </cell>
        </row>
        <row r="3035">
          <cell r="D3035">
            <v>45910</v>
          </cell>
          <cell r="G3035">
            <v>4</v>
          </cell>
          <cell r="H3035" t="str">
            <v>5-5.5</v>
          </cell>
          <cell r="Q3035">
            <v>140.04999999999998</v>
          </cell>
        </row>
        <row r="3036">
          <cell r="D3036">
            <v>45910</v>
          </cell>
          <cell r="G3036">
            <v>4</v>
          </cell>
          <cell r="H3036" t="str">
            <v>5-5.5</v>
          </cell>
          <cell r="Q3036">
            <v>157.86000000000001</v>
          </cell>
        </row>
        <row r="3037">
          <cell r="D3037">
            <v>45910</v>
          </cell>
          <cell r="G3037">
            <v>6</v>
          </cell>
          <cell r="H3037">
            <v>4.5</v>
          </cell>
          <cell r="Q3037">
            <v>227.19</v>
          </cell>
        </row>
        <row r="3038">
          <cell r="D3038">
            <v>45910</v>
          </cell>
          <cell r="G3038">
            <v>6</v>
          </cell>
          <cell r="H3038">
            <v>4.5</v>
          </cell>
          <cell r="Q3038">
            <v>124.49000000000001</v>
          </cell>
        </row>
        <row r="3039">
          <cell r="D3039">
            <v>45910</v>
          </cell>
          <cell r="G3039">
            <v>9</v>
          </cell>
          <cell r="H3039" t="str">
            <v>5-5.5</v>
          </cell>
          <cell r="Q3039">
            <v>172.57</v>
          </cell>
        </row>
        <row r="3040">
          <cell r="D3040">
            <v>45910</v>
          </cell>
          <cell r="G3040">
            <v>17</v>
          </cell>
          <cell r="H3040" t="str">
            <v>5.5-6</v>
          </cell>
          <cell r="Q3040">
            <v>543.89</v>
          </cell>
        </row>
        <row r="3041">
          <cell r="D3041">
            <v>45910</v>
          </cell>
          <cell r="G3041">
            <v>19</v>
          </cell>
          <cell r="H3041" t="str">
            <v>6-6.5</v>
          </cell>
          <cell r="Q3041">
            <v>108.97</v>
          </cell>
        </row>
        <row r="3042">
          <cell r="D3042">
            <v>45910</v>
          </cell>
          <cell r="G3042">
            <v>23</v>
          </cell>
          <cell r="H3042">
            <v>5</v>
          </cell>
          <cell r="Q3042">
            <v>59.61</v>
          </cell>
        </row>
        <row r="3043">
          <cell r="D3043">
            <v>45910</v>
          </cell>
          <cell r="G3043">
            <v>23</v>
          </cell>
          <cell r="H3043">
            <v>5</v>
          </cell>
          <cell r="Q3043">
            <v>144.03</v>
          </cell>
        </row>
        <row r="3044">
          <cell r="D3044">
            <v>45910</v>
          </cell>
          <cell r="G3044">
            <v>26</v>
          </cell>
          <cell r="H3044" t="str">
            <v>10</v>
          </cell>
          <cell r="Q3044">
            <v>146.67999999999998</v>
          </cell>
        </row>
        <row r="3045">
          <cell r="D3045">
            <v>45910</v>
          </cell>
          <cell r="G3045">
            <v>16</v>
          </cell>
          <cell r="H3045" t="str">
            <v>5-5.5</v>
          </cell>
          <cell r="Q3045">
            <v>215.20999999999998</v>
          </cell>
        </row>
        <row r="3046">
          <cell r="D3046">
            <v>45910</v>
          </cell>
          <cell r="G3046">
            <v>26</v>
          </cell>
          <cell r="H3046">
            <v>5</v>
          </cell>
          <cell r="Q3046">
            <v>194.5</v>
          </cell>
        </row>
        <row r="3047">
          <cell r="D3047">
            <v>45910</v>
          </cell>
          <cell r="G3047">
            <v>14</v>
          </cell>
          <cell r="H3047">
            <v>5</v>
          </cell>
          <cell r="Q3047">
            <v>380.81</v>
          </cell>
        </row>
        <row r="3048">
          <cell r="D3048">
            <v>45910</v>
          </cell>
          <cell r="G3048">
            <v>11</v>
          </cell>
          <cell r="H3048" t="str">
            <v>5-5.5</v>
          </cell>
          <cell r="Q3048">
            <v>170.73999999999998</v>
          </cell>
        </row>
        <row r="3049">
          <cell r="D3049">
            <v>45910</v>
          </cell>
          <cell r="G3049">
            <v>14</v>
          </cell>
          <cell r="H3049">
            <v>5</v>
          </cell>
          <cell r="Q3049">
            <v>540.08999999999992</v>
          </cell>
        </row>
        <row r="3050">
          <cell r="D3050">
            <v>45911</v>
          </cell>
          <cell r="G3050">
            <v>3.5</v>
          </cell>
          <cell r="H3050" t="str">
            <v>5.5-6</v>
          </cell>
          <cell r="Q3050">
            <v>117.63999999999999</v>
          </cell>
        </row>
        <row r="3051">
          <cell r="D3051">
            <v>45911</v>
          </cell>
          <cell r="G3051">
            <v>3.5</v>
          </cell>
          <cell r="H3051" t="str">
            <v>5.5-6</v>
          </cell>
          <cell r="Q3051">
            <v>25.699999999999996</v>
          </cell>
        </row>
        <row r="3052">
          <cell r="D3052">
            <v>45911</v>
          </cell>
          <cell r="G3052">
            <v>4</v>
          </cell>
          <cell r="H3052" t="str">
            <v>5-5.5</v>
          </cell>
          <cell r="Q3052">
            <v>113.06000000000002</v>
          </cell>
        </row>
        <row r="3053">
          <cell r="D3053">
            <v>45911</v>
          </cell>
          <cell r="G3053">
            <v>4</v>
          </cell>
          <cell r="H3053" t="str">
            <v>5-5.5</v>
          </cell>
          <cell r="Q3053">
            <v>148.12</v>
          </cell>
        </row>
        <row r="3054">
          <cell r="D3054">
            <v>45911</v>
          </cell>
          <cell r="G3054">
            <v>9</v>
          </cell>
          <cell r="H3054" t="str">
            <v>5-5.5</v>
          </cell>
          <cell r="Q3054">
            <v>344.24</v>
          </cell>
        </row>
        <row r="3055">
          <cell r="D3055">
            <v>45911</v>
          </cell>
          <cell r="G3055">
            <v>9</v>
          </cell>
          <cell r="H3055" t="str">
            <v>5-5.5</v>
          </cell>
          <cell r="Q3055">
            <v>318.85000000000002</v>
          </cell>
        </row>
        <row r="3056">
          <cell r="D3056">
            <v>45911</v>
          </cell>
          <cell r="G3056">
            <v>16</v>
          </cell>
          <cell r="H3056" t="str">
            <v>5-5.5</v>
          </cell>
          <cell r="Q3056">
            <v>624.29999999999984</v>
          </cell>
        </row>
        <row r="3057">
          <cell r="D3057">
            <v>45911</v>
          </cell>
          <cell r="G3057">
            <v>16</v>
          </cell>
          <cell r="H3057" t="str">
            <v>6-6.5</v>
          </cell>
          <cell r="Q3057">
            <v>95.61999999999999</v>
          </cell>
        </row>
        <row r="3058">
          <cell r="D3058">
            <v>45911</v>
          </cell>
          <cell r="G3058">
            <v>16</v>
          </cell>
          <cell r="H3058" t="str">
            <v>5-5.5</v>
          </cell>
          <cell r="Q3058">
            <v>147.16999999999999</v>
          </cell>
        </row>
        <row r="3059">
          <cell r="D3059">
            <v>45911</v>
          </cell>
          <cell r="G3059">
            <v>26</v>
          </cell>
          <cell r="H3059">
            <v>5</v>
          </cell>
          <cell r="Q3059">
            <v>117.64999999999998</v>
          </cell>
        </row>
        <row r="3060">
          <cell r="D3060">
            <v>45911</v>
          </cell>
          <cell r="G3060">
            <v>26</v>
          </cell>
          <cell r="H3060">
            <v>10</v>
          </cell>
          <cell r="Q3060">
            <v>102.46000000000001</v>
          </cell>
        </row>
        <row r="3061">
          <cell r="D3061">
            <v>45911</v>
          </cell>
          <cell r="G3061">
            <v>26</v>
          </cell>
          <cell r="H3061">
            <v>10</v>
          </cell>
          <cell r="Q3061">
            <v>91.110000000000014</v>
          </cell>
        </row>
        <row r="3062">
          <cell r="D3062">
            <v>45911</v>
          </cell>
          <cell r="G3062">
            <v>18</v>
          </cell>
          <cell r="H3062" t="str">
            <v>5-5.5</v>
          </cell>
          <cell r="Q3062">
            <v>186.8</v>
          </cell>
        </row>
        <row r="3063">
          <cell r="D3063">
            <v>45911</v>
          </cell>
          <cell r="G3063">
            <v>11</v>
          </cell>
          <cell r="H3063" t="str">
            <v>5-5.5</v>
          </cell>
          <cell r="Q3063">
            <v>375.15000000000003</v>
          </cell>
        </row>
        <row r="3064">
          <cell r="D3064">
            <v>45911</v>
          </cell>
          <cell r="G3064">
            <v>12</v>
          </cell>
          <cell r="H3064">
            <v>5</v>
          </cell>
          <cell r="Q3064">
            <v>145.56</v>
          </cell>
        </row>
        <row r="3065">
          <cell r="D3065">
            <v>45911</v>
          </cell>
          <cell r="G3065">
            <v>12</v>
          </cell>
          <cell r="H3065">
            <v>5</v>
          </cell>
          <cell r="Q3065">
            <v>551.25999999999988</v>
          </cell>
        </row>
        <row r="3066">
          <cell r="D3066">
            <v>45912</v>
          </cell>
          <cell r="G3066">
            <v>3.5</v>
          </cell>
          <cell r="H3066" t="str">
            <v>5.5-6</v>
          </cell>
          <cell r="Q3066">
            <v>17.759999999999998</v>
          </cell>
        </row>
        <row r="3067">
          <cell r="D3067">
            <v>45912</v>
          </cell>
          <cell r="G3067">
            <v>3.5</v>
          </cell>
          <cell r="H3067" t="str">
            <v>5.5-6</v>
          </cell>
          <cell r="Q3067">
            <v>139.61000000000001</v>
          </cell>
        </row>
        <row r="3068">
          <cell r="D3068">
            <v>45912</v>
          </cell>
          <cell r="G3068">
            <v>4</v>
          </cell>
          <cell r="H3068" t="str">
            <v>5-5.5</v>
          </cell>
          <cell r="Q3068">
            <v>169.04</v>
          </cell>
        </row>
        <row r="3069">
          <cell r="D3069">
            <v>45912</v>
          </cell>
          <cell r="G3069">
            <v>4</v>
          </cell>
          <cell r="H3069" t="str">
            <v>5-5.5</v>
          </cell>
          <cell r="Q3069">
            <v>163.59</v>
          </cell>
        </row>
        <row r="3070">
          <cell r="D3070">
            <v>45912</v>
          </cell>
          <cell r="G3070">
            <v>9</v>
          </cell>
          <cell r="H3070" t="str">
            <v>5-5.5</v>
          </cell>
          <cell r="Q3070">
            <v>353.15999999999997</v>
          </cell>
        </row>
        <row r="3071">
          <cell r="D3071">
            <v>45912</v>
          </cell>
          <cell r="G3071">
            <v>9</v>
          </cell>
          <cell r="H3071" t="str">
            <v>5-5.5</v>
          </cell>
          <cell r="Q3071">
            <v>338.03</v>
          </cell>
        </row>
        <row r="3072">
          <cell r="D3072">
            <v>45912</v>
          </cell>
          <cell r="G3072">
            <v>18</v>
          </cell>
          <cell r="H3072" t="str">
            <v>5-5.5</v>
          </cell>
          <cell r="Q3072">
            <v>695.46</v>
          </cell>
        </row>
        <row r="3073">
          <cell r="D3073">
            <v>45912</v>
          </cell>
          <cell r="G3073">
            <v>18</v>
          </cell>
          <cell r="H3073" t="str">
            <v>5-5.5</v>
          </cell>
          <cell r="Q3073">
            <v>257.90999999999997</v>
          </cell>
        </row>
        <row r="3074">
          <cell r="D3074">
            <v>45912</v>
          </cell>
          <cell r="G3074">
            <v>20</v>
          </cell>
          <cell r="H3074">
            <v>8</v>
          </cell>
          <cell r="Q3074">
            <v>371.68</v>
          </cell>
        </row>
        <row r="3075">
          <cell r="D3075">
            <v>45912</v>
          </cell>
          <cell r="G3075">
            <v>22</v>
          </cell>
          <cell r="H3075">
            <v>8</v>
          </cell>
          <cell r="Q3075">
            <v>69.580000000000013</v>
          </cell>
        </row>
        <row r="3076">
          <cell r="D3076">
            <v>45912</v>
          </cell>
          <cell r="G3076">
            <v>12</v>
          </cell>
          <cell r="H3076">
            <v>5</v>
          </cell>
          <cell r="Q3076">
            <v>329.2</v>
          </cell>
        </row>
        <row r="3077">
          <cell r="D3077">
            <v>45912</v>
          </cell>
          <cell r="G3077">
            <v>12</v>
          </cell>
          <cell r="H3077">
            <v>4</v>
          </cell>
          <cell r="Q3077">
            <v>55.680000000000007</v>
          </cell>
        </row>
        <row r="3078">
          <cell r="D3078">
            <v>45912</v>
          </cell>
          <cell r="G3078">
            <v>15</v>
          </cell>
          <cell r="H3078">
            <v>7</v>
          </cell>
          <cell r="Q3078">
            <v>99.3</v>
          </cell>
        </row>
        <row r="3079">
          <cell r="D3079">
            <v>45912</v>
          </cell>
          <cell r="G3079">
            <v>12</v>
          </cell>
          <cell r="H3079">
            <v>10</v>
          </cell>
          <cell r="Q3079">
            <v>63.030000000000008</v>
          </cell>
        </row>
        <row r="3080">
          <cell r="D3080">
            <v>45912</v>
          </cell>
          <cell r="G3080">
            <v>15</v>
          </cell>
          <cell r="H3080">
            <v>7</v>
          </cell>
          <cell r="Q3080">
            <v>100.80000000000001</v>
          </cell>
        </row>
        <row r="3081">
          <cell r="D3081">
            <v>45912</v>
          </cell>
          <cell r="G3081">
            <v>15</v>
          </cell>
          <cell r="H3081">
            <v>7</v>
          </cell>
          <cell r="Q3081">
            <v>194.7</v>
          </cell>
        </row>
        <row r="3082">
          <cell r="D3082">
            <v>45913</v>
          </cell>
          <cell r="G3082">
            <v>3.5</v>
          </cell>
          <cell r="H3082" t="str">
            <v>5.5-6</v>
          </cell>
          <cell r="Q3082">
            <v>89.660000000000011</v>
          </cell>
        </row>
        <row r="3083">
          <cell r="D3083">
            <v>45913</v>
          </cell>
          <cell r="G3083">
            <v>2.5</v>
          </cell>
          <cell r="H3083" t="str">
            <v>5.5-6</v>
          </cell>
          <cell r="Q3083">
            <v>23.29</v>
          </cell>
        </row>
        <row r="3084">
          <cell r="D3084">
            <v>45913</v>
          </cell>
          <cell r="G3084">
            <v>2.5</v>
          </cell>
          <cell r="H3084" t="str">
            <v>5.5-6</v>
          </cell>
          <cell r="Q3084">
            <v>92.199999999999989</v>
          </cell>
        </row>
        <row r="3085">
          <cell r="D3085">
            <v>45913</v>
          </cell>
          <cell r="G3085">
            <v>4</v>
          </cell>
          <cell r="H3085" t="str">
            <v>5-5.5</v>
          </cell>
          <cell r="Q3085">
            <v>153.30999999999997</v>
          </cell>
        </row>
        <row r="3086">
          <cell r="D3086">
            <v>45913</v>
          </cell>
          <cell r="G3086">
            <v>5</v>
          </cell>
          <cell r="H3086" t="str">
            <v>5.5-6</v>
          </cell>
          <cell r="Q3086">
            <v>46.03</v>
          </cell>
        </row>
        <row r="3087">
          <cell r="D3087">
            <v>45913</v>
          </cell>
          <cell r="G3087">
            <v>3</v>
          </cell>
          <cell r="H3087" t="str">
            <v>5.5-6</v>
          </cell>
          <cell r="Q3087">
            <v>80.91</v>
          </cell>
        </row>
        <row r="3088">
          <cell r="D3088">
            <v>45913</v>
          </cell>
          <cell r="G3088">
            <v>22</v>
          </cell>
          <cell r="H3088">
            <v>8</v>
          </cell>
          <cell r="Q3088">
            <v>360.59999999999997</v>
          </cell>
        </row>
        <row r="3089">
          <cell r="D3089">
            <v>45913</v>
          </cell>
          <cell r="G3089">
            <v>17</v>
          </cell>
          <cell r="H3089" t="str">
            <v>5.5-6</v>
          </cell>
          <cell r="Q3089">
            <v>325.63</v>
          </cell>
        </row>
        <row r="3090">
          <cell r="D3090">
            <v>45913</v>
          </cell>
          <cell r="G3090">
            <v>17</v>
          </cell>
          <cell r="H3090" t="str">
            <v>5.5-6</v>
          </cell>
          <cell r="Q3090">
            <v>732.62</v>
          </cell>
        </row>
        <row r="3091">
          <cell r="D3091">
            <v>45913</v>
          </cell>
          <cell r="G3091">
            <v>9</v>
          </cell>
          <cell r="H3091" t="str">
            <v>5-5.5</v>
          </cell>
          <cell r="Q3091">
            <v>112</v>
          </cell>
        </row>
        <row r="3092">
          <cell r="D3092">
            <v>45913</v>
          </cell>
          <cell r="G3092">
            <v>9</v>
          </cell>
          <cell r="H3092">
            <v>5.5</v>
          </cell>
          <cell r="Q3092">
            <v>50.760000000000005</v>
          </cell>
        </row>
        <row r="3093">
          <cell r="D3093">
            <v>45913</v>
          </cell>
          <cell r="G3093">
            <v>8</v>
          </cell>
          <cell r="H3093">
            <v>10</v>
          </cell>
          <cell r="Q3093">
            <v>55.42</v>
          </cell>
        </row>
        <row r="3094">
          <cell r="D3094">
            <v>45913</v>
          </cell>
          <cell r="G3094">
            <v>8</v>
          </cell>
          <cell r="H3094">
            <v>5</v>
          </cell>
          <cell r="Q3094">
            <v>54.17</v>
          </cell>
        </row>
        <row r="3095">
          <cell r="D3095">
            <v>45913</v>
          </cell>
          <cell r="G3095">
            <v>8</v>
          </cell>
          <cell r="H3095">
            <v>5</v>
          </cell>
          <cell r="Q3095">
            <v>333.94</v>
          </cell>
        </row>
        <row r="3096">
          <cell r="D3096">
            <v>45913</v>
          </cell>
          <cell r="G3096">
            <v>10</v>
          </cell>
          <cell r="H3096">
            <v>5</v>
          </cell>
          <cell r="Q3096">
            <v>441.93000000000006</v>
          </cell>
        </row>
        <row r="3097">
          <cell r="D3097">
            <v>45913</v>
          </cell>
          <cell r="G3097">
            <v>10</v>
          </cell>
          <cell r="H3097">
            <v>5</v>
          </cell>
          <cell r="Q3097">
            <v>482.91999999999996</v>
          </cell>
        </row>
        <row r="3098">
          <cell r="D3098">
            <v>45912</v>
          </cell>
          <cell r="G3098">
            <v>10</v>
          </cell>
          <cell r="H3098">
            <v>5</v>
          </cell>
          <cell r="Q3098">
            <v>233.85999999999999</v>
          </cell>
        </row>
        <row r="3099">
          <cell r="D3099">
            <v>45914</v>
          </cell>
          <cell r="G3099">
            <v>2.5</v>
          </cell>
          <cell r="H3099" t="str">
            <v>5.5-6</v>
          </cell>
          <cell r="Q3099">
            <v>97.78</v>
          </cell>
        </row>
        <row r="3100">
          <cell r="D3100">
            <v>45914</v>
          </cell>
          <cell r="G3100">
            <v>2.5</v>
          </cell>
          <cell r="H3100" t="str">
            <v>5.5-6</v>
          </cell>
          <cell r="Q3100">
            <v>87.679999999999993</v>
          </cell>
        </row>
        <row r="3101">
          <cell r="D3101">
            <v>45914</v>
          </cell>
          <cell r="G3101">
            <v>2.5</v>
          </cell>
          <cell r="H3101" t="str">
            <v>5.5-6</v>
          </cell>
          <cell r="Q3101">
            <v>32.76</v>
          </cell>
        </row>
        <row r="3102">
          <cell r="D3102">
            <v>45914</v>
          </cell>
          <cell r="G3102">
            <v>5</v>
          </cell>
          <cell r="H3102" t="str">
            <v>5.5-6</v>
          </cell>
          <cell r="Q3102">
            <v>103.3</v>
          </cell>
        </row>
        <row r="3103">
          <cell r="D3103">
            <v>45914</v>
          </cell>
          <cell r="G3103">
            <v>5</v>
          </cell>
          <cell r="H3103" t="str">
            <v>5.5-6</v>
          </cell>
          <cell r="Q3103">
            <v>190.74</v>
          </cell>
        </row>
        <row r="3104">
          <cell r="D3104">
            <v>45914</v>
          </cell>
          <cell r="G3104">
            <v>8</v>
          </cell>
          <cell r="H3104">
            <v>5</v>
          </cell>
          <cell r="Q3104">
            <v>341.03000000000009</v>
          </cell>
        </row>
        <row r="3105">
          <cell r="D3105">
            <v>45914</v>
          </cell>
          <cell r="G3105">
            <v>8</v>
          </cell>
          <cell r="H3105">
            <v>5</v>
          </cell>
          <cell r="Q3105">
            <v>308.87000000000006</v>
          </cell>
        </row>
        <row r="3106">
          <cell r="D3106">
            <v>45914</v>
          </cell>
          <cell r="G3106">
            <v>17</v>
          </cell>
          <cell r="H3106" t="str">
            <v>5.5-6</v>
          </cell>
          <cell r="Q3106">
            <v>787.65999999999985</v>
          </cell>
        </row>
        <row r="3107">
          <cell r="D3107">
            <v>45914</v>
          </cell>
          <cell r="G3107">
            <v>17</v>
          </cell>
          <cell r="H3107" t="str">
            <v>5.5-6</v>
          </cell>
          <cell r="Q3107">
            <v>769.15</v>
          </cell>
        </row>
        <row r="3108">
          <cell r="D3108">
            <v>45914</v>
          </cell>
          <cell r="G3108">
            <v>10</v>
          </cell>
          <cell r="H3108">
            <v>5</v>
          </cell>
          <cell r="Q3108">
            <v>199.12000000000003</v>
          </cell>
        </row>
        <row r="3109">
          <cell r="D3109">
            <v>45914</v>
          </cell>
          <cell r="G3109">
            <v>15</v>
          </cell>
          <cell r="H3109">
            <v>6.5</v>
          </cell>
          <cell r="Q3109">
            <v>360.18</v>
          </cell>
        </row>
        <row r="3110">
          <cell r="D3110">
            <v>45914</v>
          </cell>
          <cell r="G3110">
            <v>15</v>
          </cell>
          <cell r="H3110">
            <v>6.5</v>
          </cell>
          <cell r="Q3110">
            <v>578.05000000000007</v>
          </cell>
        </row>
        <row r="3111">
          <cell r="D3111">
            <v>45915</v>
          </cell>
          <cell r="G3111">
            <v>2.5</v>
          </cell>
          <cell r="H3111" t="str">
            <v>5.5-6</v>
          </cell>
          <cell r="Q3111">
            <v>89.76</v>
          </cell>
        </row>
        <row r="3112">
          <cell r="D3112">
            <v>45915</v>
          </cell>
          <cell r="G3112">
            <v>2.5</v>
          </cell>
          <cell r="H3112" t="str">
            <v>5.5-6</v>
          </cell>
          <cell r="Q3112">
            <v>90.65</v>
          </cell>
        </row>
        <row r="3113">
          <cell r="D3113">
            <v>45915</v>
          </cell>
          <cell r="G3113">
            <v>5</v>
          </cell>
          <cell r="H3113" t="str">
            <v>5.5-6</v>
          </cell>
          <cell r="Q3113">
            <v>164.62999999999997</v>
          </cell>
        </row>
        <row r="3114">
          <cell r="D3114">
            <v>45915</v>
          </cell>
          <cell r="G3114">
            <v>5</v>
          </cell>
          <cell r="H3114" t="str">
            <v>5.5-6</v>
          </cell>
          <cell r="Q3114">
            <v>118.73</v>
          </cell>
        </row>
        <row r="3115">
          <cell r="D3115">
            <v>45915</v>
          </cell>
          <cell r="G3115">
            <v>5.5</v>
          </cell>
          <cell r="H3115">
            <v>10</v>
          </cell>
          <cell r="Q3115">
            <v>65.91</v>
          </cell>
        </row>
        <row r="3116">
          <cell r="D3116">
            <v>45915</v>
          </cell>
          <cell r="G3116">
            <v>8</v>
          </cell>
          <cell r="H3116">
            <v>5</v>
          </cell>
          <cell r="Q3116">
            <v>315.81000000000006</v>
          </cell>
        </row>
        <row r="3117">
          <cell r="D3117">
            <v>45915</v>
          </cell>
          <cell r="G3117">
            <v>8</v>
          </cell>
          <cell r="H3117">
            <v>5</v>
          </cell>
          <cell r="Q3117">
            <v>164.14000000000001</v>
          </cell>
        </row>
        <row r="3118">
          <cell r="D3118">
            <v>45915</v>
          </cell>
          <cell r="G3118">
            <v>8</v>
          </cell>
          <cell r="H3118">
            <v>10</v>
          </cell>
          <cell r="Q3118">
            <v>107.72</v>
          </cell>
        </row>
        <row r="3119">
          <cell r="D3119">
            <v>45915</v>
          </cell>
          <cell r="G3119">
            <v>7</v>
          </cell>
          <cell r="H3119">
            <v>5</v>
          </cell>
          <cell r="Q3119">
            <v>32.15</v>
          </cell>
        </row>
        <row r="3120">
          <cell r="D3120">
            <v>45915</v>
          </cell>
          <cell r="G3120">
            <v>17</v>
          </cell>
          <cell r="H3120" t="str">
            <v>5.5-6</v>
          </cell>
          <cell r="Q3120">
            <v>258.68</v>
          </cell>
        </row>
        <row r="3121">
          <cell r="D3121">
            <v>45915</v>
          </cell>
          <cell r="G3121">
            <v>19</v>
          </cell>
          <cell r="H3121">
            <v>7</v>
          </cell>
          <cell r="Q3121">
            <v>191.73000000000002</v>
          </cell>
        </row>
        <row r="3122">
          <cell r="D3122">
            <v>45915</v>
          </cell>
          <cell r="G3122">
            <v>19</v>
          </cell>
          <cell r="H3122" t="str">
            <v>6-6.5</v>
          </cell>
          <cell r="Q3122">
            <v>93.3</v>
          </cell>
        </row>
        <row r="3123">
          <cell r="D3123">
            <v>45915</v>
          </cell>
          <cell r="G3123">
            <v>17</v>
          </cell>
          <cell r="H3123" t="str">
            <v>8.5-9</v>
          </cell>
          <cell r="Q3123">
            <v>103.99000000000001</v>
          </cell>
        </row>
        <row r="3124">
          <cell r="D3124">
            <v>45915</v>
          </cell>
          <cell r="G3124">
            <v>17</v>
          </cell>
          <cell r="H3124" t="str">
            <v>8.5-9</v>
          </cell>
          <cell r="Q3124">
            <v>826.98000000000013</v>
          </cell>
        </row>
        <row r="3125">
          <cell r="D3125">
            <v>45915</v>
          </cell>
          <cell r="G3125">
            <v>15</v>
          </cell>
          <cell r="H3125">
            <v>6.5</v>
          </cell>
          <cell r="Q3125">
            <v>37.65</v>
          </cell>
        </row>
        <row r="3126">
          <cell r="D3126">
            <v>45915</v>
          </cell>
          <cell r="G3126">
            <v>11</v>
          </cell>
          <cell r="H3126" t="str">
            <v>5-5.5</v>
          </cell>
          <cell r="Q3126">
            <v>468.34999999999997</v>
          </cell>
        </row>
        <row r="3127">
          <cell r="D3127">
            <v>45915</v>
          </cell>
          <cell r="G3127">
            <v>11</v>
          </cell>
          <cell r="H3127" t="str">
            <v>5-5.5</v>
          </cell>
          <cell r="Q3127">
            <v>446.89</v>
          </cell>
        </row>
        <row r="3128">
          <cell r="D3128">
            <v>45916</v>
          </cell>
          <cell r="G3128">
            <v>2.5</v>
          </cell>
          <cell r="H3128" t="str">
            <v>5.5-6</v>
          </cell>
          <cell r="Q3128">
            <v>82.759999999999991</v>
          </cell>
        </row>
        <row r="3129">
          <cell r="D3129">
            <v>45916</v>
          </cell>
          <cell r="G3129">
            <v>2.5</v>
          </cell>
          <cell r="H3129" t="str">
            <v>5.5-6</v>
          </cell>
          <cell r="Q3129">
            <v>92.88000000000001</v>
          </cell>
        </row>
        <row r="3130">
          <cell r="D3130">
            <v>45916</v>
          </cell>
          <cell r="G3130">
            <v>3</v>
          </cell>
          <cell r="H3130" t="str">
            <v>5.5-6</v>
          </cell>
          <cell r="Q3130">
            <v>122.28999999999999</v>
          </cell>
        </row>
        <row r="3131">
          <cell r="D3131">
            <v>45916</v>
          </cell>
          <cell r="G3131">
            <v>3</v>
          </cell>
          <cell r="H3131" t="str">
            <v>5.5-6</v>
          </cell>
          <cell r="Q3131">
            <v>141.65</v>
          </cell>
        </row>
        <row r="3132">
          <cell r="D3132">
            <v>45916</v>
          </cell>
          <cell r="G3132">
            <v>7</v>
          </cell>
          <cell r="H3132">
            <v>5</v>
          </cell>
          <cell r="Q3132">
            <v>267.42999999999995</v>
          </cell>
        </row>
        <row r="3133">
          <cell r="D3133">
            <v>45916</v>
          </cell>
          <cell r="G3133">
            <v>7</v>
          </cell>
          <cell r="H3133">
            <v>5</v>
          </cell>
          <cell r="Q3133">
            <v>286.43</v>
          </cell>
        </row>
        <row r="3134">
          <cell r="D3134">
            <v>45916</v>
          </cell>
          <cell r="G3134">
            <v>17</v>
          </cell>
          <cell r="H3134" t="str">
            <v>8.5-9</v>
          </cell>
          <cell r="Q3134">
            <v>849.18999999999994</v>
          </cell>
        </row>
        <row r="3135">
          <cell r="D3135">
            <v>45916</v>
          </cell>
          <cell r="G3135">
            <v>17</v>
          </cell>
          <cell r="H3135" t="str">
            <v>8.5-9</v>
          </cell>
          <cell r="Q3135">
            <v>264.65999999999997</v>
          </cell>
        </row>
        <row r="3136">
          <cell r="D3136">
            <v>45916</v>
          </cell>
          <cell r="G3136">
            <v>26</v>
          </cell>
          <cell r="H3136">
            <v>14</v>
          </cell>
          <cell r="Q3136">
            <v>251.84</v>
          </cell>
        </row>
        <row r="3137">
          <cell r="D3137">
            <v>45916</v>
          </cell>
          <cell r="G3137">
            <v>24</v>
          </cell>
          <cell r="H3137" t="str">
            <v>5-5.5</v>
          </cell>
          <cell r="Q3137">
            <v>256.55</v>
          </cell>
        </row>
        <row r="3138">
          <cell r="D3138">
            <v>45916</v>
          </cell>
          <cell r="G3138">
            <v>11</v>
          </cell>
          <cell r="H3138" t="str">
            <v>5-5.5</v>
          </cell>
          <cell r="Q3138">
            <v>362.25999999999993</v>
          </cell>
        </row>
        <row r="3139">
          <cell r="D3139">
            <v>45916</v>
          </cell>
          <cell r="G3139">
            <v>14</v>
          </cell>
          <cell r="H3139">
            <v>5</v>
          </cell>
          <cell r="Q3139">
            <v>173.05999999999997</v>
          </cell>
        </row>
        <row r="3140">
          <cell r="D3140">
            <v>45916</v>
          </cell>
          <cell r="G3140">
            <v>14</v>
          </cell>
          <cell r="H3140">
            <v>5</v>
          </cell>
          <cell r="Q3140">
            <v>550.11</v>
          </cell>
        </row>
        <row r="3141">
          <cell r="D3141">
            <v>45917</v>
          </cell>
          <cell r="G3141">
            <v>2.5</v>
          </cell>
          <cell r="H3141" t="str">
            <v>5.5-6</v>
          </cell>
          <cell r="Q3141">
            <v>61.300000000000004</v>
          </cell>
        </row>
        <row r="3142">
          <cell r="D3142">
            <v>45917</v>
          </cell>
          <cell r="G3142">
            <v>3.5</v>
          </cell>
          <cell r="H3142" t="str">
            <v>5.5-6</v>
          </cell>
          <cell r="Q3142">
            <v>52.069999999999993</v>
          </cell>
        </row>
        <row r="3143">
          <cell r="D3143">
            <v>45917</v>
          </cell>
          <cell r="G3143">
            <v>3.5</v>
          </cell>
          <cell r="H3143">
            <v>4.5</v>
          </cell>
          <cell r="Q3143">
            <v>103.52000000000001</v>
          </cell>
        </row>
        <row r="3144">
          <cell r="D3144">
            <v>45917</v>
          </cell>
          <cell r="G3144">
            <v>3</v>
          </cell>
          <cell r="H3144" t="str">
            <v>5.5-6</v>
          </cell>
          <cell r="Q3144">
            <v>62.059999999999995</v>
          </cell>
        </row>
        <row r="3145">
          <cell r="D3145">
            <v>45917</v>
          </cell>
          <cell r="G3145">
            <v>4.5</v>
          </cell>
          <cell r="H3145">
            <v>4.5</v>
          </cell>
          <cell r="Q3145">
            <v>39.69</v>
          </cell>
        </row>
        <row r="3146">
          <cell r="D3146">
            <v>45917</v>
          </cell>
          <cell r="G3146">
            <v>4.5</v>
          </cell>
          <cell r="H3146">
            <v>4.5</v>
          </cell>
          <cell r="Q3146">
            <v>121.31</v>
          </cell>
        </row>
        <row r="3147">
          <cell r="D3147">
            <v>45917</v>
          </cell>
          <cell r="G3147">
            <v>7</v>
          </cell>
          <cell r="H3147">
            <v>5</v>
          </cell>
          <cell r="Q3147">
            <v>93.380000000000024</v>
          </cell>
        </row>
        <row r="3148">
          <cell r="D3148">
            <v>45917</v>
          </cell>
          <cell r="G3148">
            <v>7</v>
          </cell>
          <cell r="H3148">
            <v>4.5</v>
          </cell>
          <cell r="Q3148">
            <v>213.26000000000002</v>
          </cell>
        </row>
        <row r="3149">
          <cell r="D3149">
            <v>45917</v>
          </cell>
          <cell r="G3149">
            <v>7</v>
          </cell>
          <cell r="H3149">
            <v>4.5</v>
          </cell>
          <cell r="Q3149">
            <v>45.01</v>
          </cell>
        </row>
        <row r="3150">
          <cell r="D3150">
            <v>45917</v>
          </cell>
          <cell r="G3150">
            <v>9</v>
          </cell>
          <cell r="H3150">
            <v>4.5</v>
          </cell>
          <cell r="Q3150">
            <v>232.39999999999998</v>
          </cell>
        </row>
        <row r="3151">
          <cell r="D3151">
            <v>45917</v>
          </cell>
          <cell r="G3151">
            <v>24</v>
          </cell>
          <cell r="H3151" t="str">
            <v>5-5.5</v>
          </cell>
          <cell r="Q3151">
            <v>572.53</v>
          </cell>
        </row>
        <row r="3152">
          <cell r="D3152">
            <v>45917</v>
          </cell>
          <cell r="G3152">
            <v>24</v>
          </cell>
          <cell r="H3152" t="str">
            <v>5-5.5</v>
          </cell>
          <cell r="Q3152">
            <v>550.95000000000005</v>
          </cell>
        </row>
        <row r="3153">
          <cell r="D3153">
            <v>45917</v>
          </cell>
          <cell r="G3153">
            <v>14</v>
          </cell>
          <cell r="H3153">
            <v>5</v>
          </cell>
          <cell r="Q3153">
            <v>182.69000000000003</v>
          </cell>
        </row>
        <row r="3154">
          <cell r="D3154">
            <v>45917</v>
          </cell>
          <cell r="G3154">
            <v>14</v>
          </cell>
          <cell r="H3154">
            <v>4.5</v>
          </cell>
          <cell r="Q3154">
            <v>371.93</v>
          </cell>
        </row>
        <row r="3155">
          <cell r="D3155">
            <v>45917</v>
          </cell>
          <cell r="G3155">
            <v>14</v>
          </cell>
          <cell r="H3155">
            <v>4.5</v>
          </cell>
          <cell r="Q3155">
            <v>356.28999999999996</v>
          </cell>
        </row>
        <row r="3156">
          <cell r="D3156">
            <v>45917</v>
          </cell>
          <cell r="G3156">
            <v>14</v>
          </cell>
          <cell r="H3156">
            <v>7</v>
          </cell>
          <cell r="Q3156">
            <v>112.37</v>
          </cell>
        </row>
        <row r="3157">
          <cell r="D3157">
            <v>45917</v>
          </cell>
          <cell r="G3157">
            <v>12</v>
          </cell>
          <cell r="H3157">
            <v>4.5</v>
          </cell>
          <cell r="Q3157">
            <v>45.33</v>
          </cell>
        </row>
        <row r="3158">
          <cell r="D3158">
            <v>45918</v>
          </cell>
          <cell r="G3158">
            <v>3.5</v>
          </cell>
          <cell r="H3158">
            <v>4.5</v>
          </cell>
          <cell r="Q3158">
            <v>90.26</v>
          </cell>
        </row>
        <row r="3159">
          <cell r="D3159">
            <v>45918</v>
          </cell>
          <cell r="G3159">
            <v>3.5</v>
          </cell>
          <cell r="H3159">
            <v>4.5</v>
          </cell>
          <cell r="Q3159">
            <v>101.16</v>
          </cell>
        </row>
        <row r="3160">
          <cell r="D3160">
            <v>45918</v>
          </cell>
          <cell r="G3160">
            <v>4.5</v>
          </cell>
          <cell r="H3160">
            <v>4.5</v>
          </cell>
          <cell r="Q3160">
            <v>101.25999999999999</v>
          </cell>
        </row>
        <row r="3161">
          <cell r="D3161">
            <v>45918</v>
          </cell>
          <cell r="G3161">
            <v>4.5</v>
          </cell>
          <cell r="H3161">
            <v>4.5</v>
          </cell>
          <cell r="Q3161">
            <v>103.26000000000002</v>
          </cell>
        </row>
        <row r="3162">
          <cell r="D3162">
            <v>45918</v>
          </cell>
          <cell r="G3162">
            <v>9</v>
          </cell>
          <cell r="H3162">
            <v>4.5</v>
          </cell>
          <cell r="Q3162">
            <v>276.22000000000003</v>
          </cell>
        </row>
        <row r="3163">
          <cell r="D3163">
            <v>45918</v>
          </cell>
          <cell r="G3163">
            <v>9</v>
          </cell>
          <cell r="H3163">
            <v>4.5</v>
          </cell>
          <cell r="Q3163">
            <v>272.82</v>
          </cell>
        </row>
        <row r="3164">
          <cell r="D3164">
            <v>45918</v>
          </cell>
          <cell r="G3164">
            <v>17</v>
          </cell>
          <cell r="H3164" t="str">
            <v>5.5-6</v>
          </cell>
          <cell r="Q3164">
            <v>738.04000000000008</v>
          </cell>
        </row>
        <row r="3165">
          <cell r="D3165">
            <v>45918</v>
          </cell>
          <cell r="G3165">
            <v>17</v>
          </cell>
          <cell r="H3165" t="str">
            <v>5.5-6</v>
          </cell>
          <cell r="Q3165">
            <v>714.83999999999992</v>
          </cell>
        </row>
        <row r="3166">
          <cell r="D3166">
            <v>45918</v>
          </cell>
          <cell r="G3166">
            <v>12</v>
          </cell>
          <cell r="H3166">
            <v>4.5</v>
          </cell>
          <cell r="Q3166">
            <v>478.7</v>
          </cell>
        </row>
        <row r="3167">
          <cell r="D3167">
            <v>45918</v>
          </cell>
          <cell r="G3167">
            <v>12</v>
          </cell>
          <cell r="H3167">
            <v>4.5</v>
          </cell>
          <cell r="Q3167">
            <v>106.82</v>
          </cell>
        </row>
        <row r="3168">
          <cell r="D3168">
            <v>45918</v>
          </cell>
          <cell r="G3168" t="str">
            <v>12</v>
          </cell>
          <cell r="H3168">
            <v>6.5</v>
          </cell>
          <cell r="Q3168">
            <v>215.14000000000001</v>
          </cell>
        </row>
        <row r="3169">
          <cell r="D3169">
            <v>45918</v>
          </cell>
          <cell r="G3169" t="str">
            <v>13</v>
          </cell>
          <cell r="H3169">
            <v>6.5</v>
          </cell>
          <cell r="Q3169">
            <v>123.67999999999998</v>
          </cell>
        </row>
        <row r="3170">
          <cell r="D3170">
            <v>45919</v>
          </cell>
          <cell r="G3170">
            <v>3.5</v>
          </cell>
          <cell r="H3170" t="str">
            <v>5.5-6</v>
          </cell>
          <cell r="Q3170">
            <v>26.459999999999997</v>
          </cell>
        </row>
        <row r="3171">
          <cell r="D3171">
            <v>45919</v>
          </cell>
          <cell r="G3171">
            <v>4</v>
          </cell>
          <cell r="H3171">
            <v>4.5</v>
          </cell>
          <cell r="Q3171">
            <v>54.87</v>
          </cell>
        </row>
        <row r="3172">
          <cell r="D3172">
            <v>45919</v>
          </cell>
          <cell r="G3172">
            <v>4</v>
          </cell>
          <cell r="H3172">
            <v>4.5</v>
          </cell>
          <cell r="Q3172">
            <v>114.05000000000001</v>
          </cell>
        </row>
        <row r="3173">
          <cell r="D3173">
            <v>45919</v>
          </cell>
          <cell r="G3173">
            <v>4</v>
          </cell>
          <cell r="H3173">
            <v>4.5</v>
          </cell>
          <cell r="Q3173">
            <v>97.970000000000013</v>
          </cell>
        </row>
        <row r="3174">
          <cell r="D3174">
            <v>45919</v>
          </cell>
          <cell r="G3174">
            <v>4</v>
          </cell>
          <cell r="H3174">
            <v>4.5</v>
          </cell>
          <cell r="Q3174">
            <v>18.05</v>
          </cell>
        </row>
        <row r="3175">
          <cell r="D3175">
            <v>45919</v>
          </cell>
          <cell r="G3175">
            <v>5</v>
          </cell>
          <cell r="H3175">
            <v>4.5</v>
          </cell>
          <cell r="Q3175">
            <v>113.41</v>
          </cell>
        </row>
        <row r="3176">
          <cell r="D3176">
            <v>45919</v>
          </cell>
          <cell r="G3176">
            <v>9</v>
          </cell>
          <cell r="H3176">
            <v>4.5</v>
          </cell>
          <cell r="Q3176">
            <v>135.52000000000001</v>
          </cell>
        </row>
        <row r="3177">
          <cell r="D3177">
            <v>45919</v>
          </cell>
          <cell r="G3177">
            <v>6</v>
          </cell>
          <cell r="H3177" t="str">
            <v>5-5.5</v>
          </cell>
          <cell r="Q3177">
            <v>106.00999999999999</v>
          </cell>
        </row>
        <row r="3178">
          <cell r="D3178">
            <v>45919</v>
          </cell>
          <cell r="G3178">
            <v>6</v>
          </cell>
          <cell r="H3178">
            <v>5</v>
          </cell>
          <cell r="Q3178">
            <v>183.81</v>
          </cell>
        </row>
        <row r="3179">
          <cell r="D3179">
            <v>45919</v>
          </cell>
          <cell r="G3179">
            <v>17</v>
          </cell>
          <cell r="H3179" t="str">
            <v>5.5-6</v>
          </cell>
          <cell r="Q3179">
            <v>396.12</v>
          </cell>
        </row>
        <row r="3180">
          <cell r="D3180">
            <v>45919</v>
          </cell>
          <cell r="G3180" t="str">
            <v>13</v>
          </cell>
          <cell r="H3180">
            <v>6.5</v>
          </cell>
          <cell r="Q3180">
            <v>517.63</v>
          </cell>
        </row>
        <row r="3181">
          <cell r="D3181">
            <v>45919</v>
          </cell>
          <cell r="G3181" t="str">
            <v>13</v>
          </cell>
          <cell r="H3181">
            <v>6.5</v>
          </cell>
          <cell r="Q3181">
            <v>294.39999999999998</v>
          </cell>
        </row>
        <row r="3182">
          <cell r="D3182">
            <v>45919</v>
          </cell>
          <cell r="G3182">
            <v>13</v>
          </cell>
          <cell r="H3182">
            <v>7</v>
          </cell>
          <cell r="Q3182">
            <v>175.14</v>
          </cell>
        </row>
        <row r="3183">
          <cell r="D3183">
            <v>45920</v>
          </cell>
          <cell r="G3183">
            <v>4</v>
          </cell>
          <cell r="H3183">
            <v>4.5</v>
          </cell>
          <cell r="Q3183">
            <v>100.85000000000001</v>
          </cell>
        </row>
        <row r="3184">
          <cell r="D3184">
            <v>45920</v>
          </cell>
          <cell r="G3184">
            <v>4</v>
          </cell>
          <cell r="H3184">
            <v>4.5</v>
          </cell>
          <cell r="Q3184">
            <v>12.5</v>
          </cell>
        </row>
        <row r="3185">
          <cell r="D3185">
            <v>45920</v>
          </cell>
          <cell r="G3185">
            <v>4</v>
          </cell>
          <cell r="H3185">
            <v>4.5</v>
          </cell>
          <cell r="Q3185">
            <v>77.650000000000006</v>
          </cell>
        </row>
        <row r="3186">
          <cell r="D3186">
            <v>45920</v>
          </cell>
          <cell r="G3186">
            <v>5</v>
          </cell>
          <cell r="H3186">
            <v>4.5</v>
          </cell>
          <cell r="Q3186">
            <v>126.50999999999999</v>
          </cell>
        </row>
        <row r="3187">
          <cell r="D3187">
            <v>45920</v>
          </cell>
          <cell r="G3187">
            <v>5</v>
          </cell>
          <cell r="H3187">
            <v>4.5</v>
          </cell>
          <cell r="Q3187">
            <v>109.08</v>
          </cell>
        </row>
        <row r="3188">
          <cell r="D3188">
            <v>45920</v>
          </cell>
          <cell r="G3188">
            <v>6</v>
          </cell>
          <cell r="H3188">
            <v>5</v>
          </cell>
          <cell r="Q3188">
            <v>224.37</v>
          </cell>
        </row>
        <row r="3189">
          <cell r="D3189">
            <v>45920</v>
          </cell>
          <cell r="G3189">
            <v>6</v>
          </cell>
          <cell r="H3189">
            <v>5</v>
          </cell>
          <cell r="Q3189">
            <v>155.16000000000003</v>
          </cell>
        </row>
        <row r="3190">
          <cell r="D3190">
            <v>45920</v>
          </cell>
          <cell r="G3190">
            <v>18</v>
          </cell>
          <cell r="H3190" t="str">
            <v>5-5.5</v>
          </cell>
          <cell r="Q3190">
            <v>239.32</v>
          </cell>
        </row>
        <row r="3191">
          <cell r="D3191">
            <v>45920</v>
          </cell>
          <cell r="G3191">
            <v>18</v>
          </cell>
          <cell r="H3191" t="str">
            <v>5-5.5</v>
          </cell>
          <cell r="Q3191">
            <v>509.35000000000008</v>
          </cell>
        </row>
        <row r="3192">
          <cell r="D3192">
            <v>45920</v>
          </cell>
          <cell r="G3192">
            <v>13</v>
          </cell>
          <cell r="H3192">
            <v>7</v>
          </cell>
          <cell r="Q3192">
            <v>90.63</v>
          </cell>
        </row>
        <row r="3193">
          <cell r="D3193">
            <v>45920</v>
          </cell>
          <cell r="G3193" t="str">
            <v>15</v>
          </cell>
          <cell r="H3193">
            <v>6.5</v>
          </cell>
          <cell r="Q3193">
            <v>359.32</v>
          </cell>
        </row>
        <row r="3194">
          <cell r="D3194">
            <v>45920</v>
          </cell>
          <cell r="G3194" t="str">
            <v>15</v>
          </cell>
          <cell r="H3194">
            <v>6.5</v>
          </cell>
          <cell r="Q3194">
            <v>126.60999999999999</v>
          </cell>
        </row>
        <row r="3195">
          <cell r="D3195">
            <v>45920</v>
          </cell>
          <cell r="G3195">
            <v>10</v>
          </cell>
          <cell r="H3195">
            <v>4.5</v>
          </cell>
          <cell r="Q3195">
            <v>140.75</v>
          </cell>
        </row>
        <row r="3196">
          <cell r="D3196">
            <v>45921</v>
          </cell>
          <cell r="Q3196">
            <v>0</v>
          </cell>
        </row>
        <row r="3197">
          <cell r="D3197">
            <v>45922</v>
          </cell>
          <cell r="G3197">
            <v>5</v>
          </cell>
          <cell r="H3197">
            <v>4.5</v>
          </cell>
          <cell r="Q3197">
            <v>90.13000000000001</v>
          </cell>
        </row>
        <row r="3198">
          <cell r="D3198">
            <v>45922</v>
          </cell>
          <cell r="G3198">
            <v>6</v>
          </cell>
          <cell r="H3198">
            <v>5</v>
          </cell>
          <cell r="Q3198">
            <v>183.76000000000002</v>
          </cell>
        </row>
        <row r="3199">
          <cell r="D3199">
            <v>45922</v>
          </cell>
          <cell r="G3199">
            <v>6</v>
          </cell>
          <cell r="H3199">
            <v>5</v>
          </cell>
          <cell r="Q3199">
            <v>332.67</v>
          </cell>
        </row>
        <row r="3200">
          <cell r="D3200">
            <v>45922</v>
          </cell>
          <cell r="G3200">
            <v>18</v>
          </cell>
          <cell r="H3200" t="str">
            <v>5-5.5</v>
          </cell>
          <cell r="Q3200">
            <v>432.94</v>
          </cell>
        </row>
        <row r="3201">
          <cell r="D3201">
            <v>45922</v>
          </cell>
          <cell r="G3201">
            <v>18</v>
          </cell>
          <cell r="H3201" t="str">
            <v>5-5.5</v>
          </cell>
          <cell r="Q3201">
            <v>699.62</v>
          </cell>
        </row>
        <row r="3202">
          <cell r="D3202">
            <v>45922</v>
          </cell>
          <cell r="G3202">
            <v>10</v>
          </cell>
          <cell r="H3202">
            <v>4.5</v>
          </cell>
          <cell r="Q3202">
            <v>71.570000000000007</v>
          </cell>
        </row>
        <row r="3203">
          <cell r="D3203">
            <v>45922</v>
          </cell>
          <cell r="G3203" t="str">
            <v>10</v>
          </cell>
          <cell r="H3203">
            <v>14</v>
          </cell>
          <cell r="Q3203">
            <v>197.42000000000002</v>
          </cell>
        </row>
        <row r="3204">
          <cell r="D3204">
            <v>45922</v>
          </cell>
          <cell r="G3204">
            <v>10</v>
          </cell>
          <cell r="H3204">
            <v>7</v>
          </cell>
          <cell r="Q3204">
            <v>99.350000000000009</v>
          </cell>
        </row>
        <row r="3205">
          <cell r="D3205">
            <v>45922</v>
          </cell>
          <cell r="G3205">
            <v>10</v>
          </cell>
          <cell r="H3205" t="str">
            <v>5-5.5</v>
          </cell>
          <cell r="Q3205">
            <v>434.68999999999994</v>
          </cell>
        </row>
        <row r="3206">
          <cell r="D3206">
            <v>45922</v>
          </cell>
          <cell r="G3206">
            <v>16</v>
          </cell>
          <cell r="H3206" t="str">
            <v>5.5-6</v>
          </cell>
          <cell r="Q3206">
            <v>80.579999999999984</v>
          </cell>
        </row>
        <row r="3207">
          <cell r="D3207">
            <v>45922</v>
          </cell>
          <cell r="G3207">
            <v>17</v>
          </cell>
          <cell r="H3207" t="str">
            <v>5.5-6</v>
          </cell>
          <cell r="Q3207">
            <v>232.64000000000001</v>
          </cell>
        </row>
        <row r="3208">
          <cell r="D3208">
            <v>45922</v>
          </cell>
          <cell r="G3208">
            <v>17</v>
          </cell>
          <cell r="H3208" t="str">
            <v>5.5-6</v>
          </cell>
          <cell r="Q3208">
            <v>275.96999999999997</v>
          </cell>
        </row>
        <row r="3209">
          <cell r="D3209">
            <v>45923</v>
          </cell>
          <cell r="G3209">
            <v>5</v>
          </cell>
          <cell r="H3209">
            <v>4.5</v>
          </cell>
          <cell r="Q3209">
            <v>121.50999999999999</v>
          </cell>
        </row>
        <row r="3210">
          <cell r="D3210">
            <v>45923</v>
          </cell>
          <cell r="G3210">
            <v>5</v>
          </cell>
          <cell r="H3210">
            <v>4.5</v>
          </cell>
          <cell r="Q3210">
            <v>120.35</v>
          </cell>
        </row>
        <row r="3211">
          <cell r="D3211">
            <v>45923</v>
          </cell>
          <cell r="G3211">
            <v>6</v>
          </cell>
          <cell r="H3211">
            <v>5</v>
          </cell>
          <cell r="Q3211">
            <v>186.26999999999998</v>
          </cell>
        </row>
        <row r="3212">
          <cell r="D3212">
            <v>45923</v>
          </cell>
          <cell r="G3212">
            <v>6</v>
          </cell>
          <cell r="H3212">
            <v>6</v>
          </cell>
          <cell r="Q3212">
            <v>205.14000000000001</v>
          </cell>
        </row>
        <row r="3213">
          <cell r="D3213">
            <v>45923</v>
          </cell>
          <cell r="G3213">
            <v>6</v>
          </cell>
          <cell r="H3213" t="str">
            <v>7.5-8</v>
          </cell>
          <cell r="Q3213">
            <v>42.8</v>
          </cell>
        </row>
        <row r="3214">
          <cell r="D3214">
            <v>45923</v>
          </cell>
          <cell r="G3214">
            <v>18</v>
          </cell>
          <cell r="H3214" t="str">
            <v>5-5.5</v>
          </cell>
          <cell r="Q3214">
            <v>328.83</v>
          </cell>
        </row>
        <row r="3215">
          <cell r="D3215">
            <v>45923</v>
          </cell>
          <cell r="G3215">
            <v>20</v>
          </cell>
          <cell r="H3215" t="str">
            <v>5-5.5</v>
          </cell>
          <cell r="Q3215">
            <v>337.7</v>
          </cell>
        </row>
        <row r="3216">
          <cell r="D3216">
            <v>45923</v>
          </cell>
          <cell r="G3216">
            <v>20</v>
          </cell>
          <cell r="H3216" t="str">
            <v>5-5.5</v>
          </cell>
          <cell r="Q3216">
            <v>721.9100000000002</v>
          </cell>
        </row>
        <row r="3217">
          <cell r="D3217">
            <v>45923</v>
          </cell>
          <cell r="G3217">
            <v>16</v>
          </cell>
          <cell r="H3217" t="str">
            <v>5.5-6</v>
          </cell>
          <cell r="Q3217">
            <v>426.89999999999992</v>
          </cell>
        </row>
        <row r="3218">
          <cell r="D3218">
            <v>45923</v>
          </cell>
          <cell r="G3218">
            <v>16</v>
          </cell>
          <cell r="H3218" t="str">
            <v>5-6</v>
          </cell>
          <cell r="Q3218">
            <v>128.13000000000002</v>
          </cell>
        </row>
        <row r="3219">
          <cell r="D3219">
            <v>45923</v>
          </cell>
          <cell r="G3219">
            <v>16</v>
          </cell>
          <cell r="H3219" t="str">
            <v>5-6</v>
          </cell>
          <cell r="Q3219">
            <v>38.299999999999997</v>
          </cell>
        </row>
        <row r="3220">
          <cell r="D3220">
            <v>45923</v>
          </cell>
          <cell r="G3220">
            <v>16</v>
          </cell>
          <cell r="H3220">
            <v>4.5</v>
          </cell>
          <cell r="Q3220">
            <v>56.319999999999993</v>
          </cell>
        </row>
        <row r="3221">
          <cell r="D3221">
            <v>45923</v>
          </cell>
          <cell r="G3221">
            <v>17</v>
          </cell>
          <cell r="H3221" t="str">
            <v>8.5-9</v>
          </cell>
          <cell r="Q3221">
            <v>460.23000000000008</v>
          </cell>
        </row>
        <row r="3222">
          <cell r="D3222">
            <v>45924</v>
          </cell>
          <cell r="G3222">
            <v>2</v>
          </cell>
          <cell r="H3222">
            <v>12</v>
          </cell>
          <cell r="Q3222">
            <v>103.99</v>
          </cell>
        </row>
        <row r="3223">
          <cell r="D3223">
            <v>45924</v>
          </cell>
          <cell r="G3223">
            <v>5</v>
          </cell>
          <cell r="H3223">
            <v>4.5</v>
          </cell>
          <cell r="Q3223">
            <v>60.449999999999996</v>
          </cell>
        </row>
        <row r="3224">
          <cell r="D3224">
            <v>45924</v>
          </cell>
          <cell r="G3224" t="str">
            <v>05</v>
          </cell>
          <cell r="H3224">
            <v>14</v>
          </cell>
          <cell r="Q3224">
            <v>75.91</v>
          </cell>
        </row>
        <row r="3225">
          <cell r="D3225">
            <v>45924</v>
          </cell>
          <cell r="G3225" t="str">
            <v>05</v>
          </cell>
          <cell r="H3225">
            <v>14</v>
          </cell>
          <cell r="Q3225">
            <v>53.290000000000006</v>
          </cell>
        </row>
        <row r="3226">
          <cell r="D3226">
            <v>45924</v>
          </cell>
          <cell r="G3226">
            <v>6</v>
          </cell>
          <cell r="H3226" t="str">
            <v>7.5-8</v>
          </cell>
          <cell r="Q3226">
            <v>163.13</v>
          </cell>
        </row>
        <row r="3227">
          <cell r="D3227">
            <v>45924</v>
          </cell>
          <cell r="G3227">
            <v>9</v>
          </cell>
          <cell r="H3227">
            <v>7</v>
          </cell>
          <cell r="Q3227">
            <v>73.929999999999993</v>
          </cell>
        </row>
        <row r="3228">
          <cell r="D3228">
            <v>45924</v>
          </cell>
          <cell r="G3228">
            <v>9</v>
          </cell>
          <cell r="H3228">
            <v>7</v>
          </cell>
          <cell r="Q3228">
            <v>269.70999999999998</v>
          </cell>
        </row>
        <row r="3229">
          <cell r="D3229">
            <v>45924</v>
          </cell>
          <cell r="G3229">
            <v>20</v>
          </cell>
          <cell r="H3229">
            <v>5</v>
          </cell>
          <cell r="Q3229">
            <v>116.31</v>
          </cell>
        </row>
        <row r="3230">
          <cell r="D3230">
            <v>45924</v>
          </cell>
          <cell r="G3230">
            <v>16</v>
          </cell>
          <cell r="H3230" t="str">
            <v>4.5-5</v>
          </cell>
          <cell r="Q3230">
            <v>439.98999999999995</v>
          </cell>
        </row>
        <row r="3231">
          <cell r="D3231">
            <v>45924</v>
          </cell>
          <cell r="G3231">
            <v>16</v>
          </cell>
          <cell r="H3231">
            <v>4.5</v>
          </cell>
          <cell r="Q3231">
            <v>55.64</v>
          </cell>
        </row>
        <row r="3232">
          <cell r="D3232">
            <v>45924</v>
          </cell>
          <cell r="G3232">
            <v>16</v>
          </cell>
          <cell r="H3232" t="str">
            <v>5-5.5</v>
          </cell>
          <cell r="Q3232">
            <v>619.80999999999983</v>
          </cell>
        </row>
        <row r="3233">
          <cell r="D3233">
            <v>45924</v>
          </cell>
          <cell r="G3233">
            <v>17</v>
          </cell>
          <cell r="H3233" t="str">
            <v>8.5-9</v>
          </cell>
          <cell r="Q3233">
            <v>598.38</v>
          </cell>
        </row>
        <row r="3234">
          <cell r="D3234">
            <v>45924</v>
          </cell>
          <cell r="G3234">
            <v>17</v>
          </cell>
          <cell r="H3234" t="str">
            <v>8.5-9</v>
          </cell>
          <cell r="Q3234">
            <v>525.77</v>
          </cell>
        </row>
        <row r="3235">
          <cell r="D3235">
            <v>45924</v>
          </cell>
          <cell r="G3235">
            <v>17</v>
          </cell>
          <cell r="H3235" t="str">
            <v>5.5-6</v>
          </cell>
          <cell r="Q3235">
            <v>258.82</v>
          </cell>
        </row>
        <row r="3236">
          <cell r="D3236">
            <v>45924</v>
          </cell>
          <cell r="G3236">
            <v>17</v>
          </cell>
          <cell r="H3236" t="str">
            <v>5.5-6</v>
          </cell>
          <cell r="Q3236">
            <v>620.01</v>
          </cell>
        </row>
        <row r="3237">
          <cell r="D3237">
            <v>45925</v>
          </cell>
          <cell r="G3237">
            <v>2</v>
          </cell>
          <cell r="H3237">
            <v>12</v>
          </cell>
          <cell r="Q3237">
            <v>118.91</v>
          </cell>
        </row>
        <row r="3238">
          <cell r="D3238">
            <v>45925</v>
          </cell>
          <cell r="G3238">
            <v>2</v>
          </cell>
          <cell r="H3238">
            <v>12</v>
          </cell>
          <cell r="Q3238">
            <v>123.96999999999997</v>
          </cell>
        </row>
        <row r="3239">
          <cell r="D3239">
            <v>45925</v>
          </cell>
          <cell r="G3239" t="str">
            <v>05</v>
          </cell>
          <cell r="H3239">
            <v>14</v>
          </cell>
          <cell r="Q3239">
            <v>70.460000000000008</v>
          </cell>
        </row>
        <row r="3240">
          <cell r="D3240">
            <v>45925</v>
          </cell>
          <cell r="G3240">
            <v>4</v>
          </cell>
          <cell r="H3240" t="str">
            <v>5-5.5</v>
          </cell>
          <cell r="Q3240">
            <v>44.14</v>
          </cell>
        </row>
        <row r="3241">
          <cell r="D3241">
            <v>45925</v>
          </cell>
          <cell r="G3241">
            <v>4</v>
          </cell>
          <cell r="H3241" t="str">
            <v>5-5.5</v>
          </cell>
          <cell r="Q3241">
            <v>138.39999999999998</v>
          </cell>
        </row>
        <row r="3242">
          <cell r="D3242">
            <v>45925</v>
          </cell>
          <cell r="G3242">
            <v>8</v>
          </cell>
          <cell r="H3242">
            <v>4.5</v>
          </cell>
          <cell r="Q3242">
            <v>265.65999999999997</v>
          </cell>
        </row>
        <row r="3243">
          <cell r="D3243">
            <v>45925</v>
          </cell>
          <cell r="G3243">
            <v>8</v>
          </cell>
          <cell r="H3243">
            <v>4.5</v>
          </cell>
          <cell r="Q3243">
            <v>327.32000000000005</v>
          </cell>
        </row>
        <row r="3244">
          <cell r="D3244">
            <v>45925</v>
          </cell>
          <cell r="G3244">
            <v>16</v>
          </cell>
          <cell r="H3244" t="str">
            <v>5-5.5</v>
          </cell>
          <cell r="Q3244">
            <v>521.65000000000009</v>
          </cell>
        </row>
        <row r="3245">
          <cell r="D3245">
            <v>45925</v>
          </cell>
          <cell r="G3245">
            <v>16</v>
          </cell>
          <cell r="H3245">
            <v>4.5</v>
          </cell>
          <cell r="Q3245">
            <v>51.949999999999996</v>
          </cell>
        </row>
        <row r="3246">
          <cell r="D3246">
            <v>45925</v>
          </cell>
          <cell r="G3246">
            <v>16</v>
          </cell>
          <cell r="H3246">
            <v>4.5</v>
          </cell>
          <cell r="Q3246">
            <v>238.01</v>
          </cell>
        </row>
        <row r="3247">
          <cell r="D3247">
            <v>45925</v>
          </cell>
          <cell r="G3247">
            <v>15</v>
          </cell>
          <cell r="H3247">
            <v>7</v>
          </cell>
          <cell r="Q3247">
            <v>207.18</v>
          </cell>
        </row>
        <row r="3248">
          <cell r="D3248">
            <v>45925</v>
          </cell>
          <cell r="G3248">
            <v>19</v>
          </cell>
          <cell r="H3248">
            <v>7</v>
          </cell>
          <cell r="Q3248">
            <v>158.92000000000002</v>
          </cell>
        </row>
        <row r="3249">
          <cell r="D3249">
            <v>45925</v>
          </cell>
          <cell r="G3249">
            <v>17</v>
          </cell>
          <cell r="H3249" t="str">
            <v>8.5-9</v>
          </cell>
          <cell r="Q3249">
            <v>560.78</v>
          </cell>
        </row>
        <row r="3250">
          <cell r="D3250">
            <v>45925</v>
          </cell>
          <cell r="G3250">
            <v>17</v>
          </cell>
          <cell r="H3250" t="str">
            <v>8.5-9</v>
          </cell>
          <cell r="Q3250">
            <v>608.78</v>
          </cell>
        </row>
        <row r="3251">
          <cell r="D3251">
            <v>45925</v>
          </cell>
          <cell r="G3251">
            <v>17</v>
          </cell>
          <cell r="H3251" t="str">
            <v>5.5-6</v>
          </cell>
          <cell r="Q3251">
            <v>588.19000000000005</v>
          </cell>
        </row>
        <row r="3252">
          <cell r="D3252">
            <v>45925</v>
          </cell>
          <cell r="G3252">
            <v>17</v>
          </cell>
          <cell r="H3252" t="str">
            <v>5.5-6</v>
          </cell>
          <cell r="Q3252">
            <v>413.15</v>
          </cell>
        </row>
        <row r="3253">
          <cell r="D3253">
            <v>45926</v>
          </cell>
          <cell r="G3253">
            <v>2</v>
          </cell>
          <cell r="H3253">
            <v>12</v>
          </cell>
          <cell r="Q3253">
            <v>120.78</v>
          </cell>
        </row>
        <row r="3254">
          <cell r="D3254">
            <v>45926</v>
          </cell>
          <cell r="G3254">
            <v>2</v>
          </cell>
          <cell r="H3254">
            <v>12</v>
          </cell>
          <cell r="Q3254">
            <v>61.599999999999994</v>
          </cell>
        </row>
        <row r="3255">
          <cell r="D3255">
            <v>45926</v>
          </cell>
          <cell r="G3255">
            <v>2.5</v>
          </cell>
          <cell r="H3255" t="str">
            <v>5.5-6</v>
          </cell>
          <cell r="Q3255">
            <v>35.700000000000003</v>
          </cell>
        </row>
        <row r="3256">
          <cell r="D3256">
            <v>45926</v>
          </cell>
          <cell r="G3256">
            <v>4</v>
          </cell>
          <cell r="H3256" t="str">
            <v>5-5.5</v>
          </cell>
          <cell r="Q3256">
            <v>139.38999999999999</v>
          </cell>
        </row>
        <row r="3257">
          <cell r="D3257">
            <v>45926</v>
          </cell>
          <cell r="G3257">
            <v>4</v>
          </cell>
          <cell r="H3257" t="str">
            <v>5-5.5</v>
          </cell>
          <cell r="Q3257">
            <v>137.29999999999998</v>
          </cell>
        </row>
        <row r="3258">
          <cell r="D3258">
            <v>45926</v>
          </cell>
          <cell r="G3258">
            <v>10</v>
          </cell>
          <cell r="H3258">
            <v>4.5</v>
          </cell>
          <cell r="Q3258">
            <v>128</v>
          </cell>
        </row>
        <row r="3259">
          <cell r="D3259">
            <v>45926</v>
          </cell>
          <cell r="G3259">
            <v>8</v>
          </cell>
          <cell r="H3259">
            <v>5</v>
          </cell>
          <cell r="Q3259">
            <v>192.56</v>
          </cell>
        </row>
        <row r="3260">
          <cell r="D3260">
            <v>45926</v>
          </cell>
          <cell r="G3260">
            <v>8</v>
          </cell>
          <cell r="H3260">
            <v>5</v>
          </cell>
          <cell r="Q3260">
            <v>295.26000000000005</v>
          </cell>
        </row>
        <row r="3261">
          <cell r="D3261">
            <v>45926</v>
          </cell>
          <cell r="G3261">
            <v>19</v>
          </cell>
          <cell r="H3261">
            <v>7</v>
          </cell>
          <cell r="Q3261">
            <v>69.849999999999994</v>
          </cell>
        </row>
        <row r="3262">
          <cell r="D3262">
            <v>45926</v>
          </cell>
          <cell r="G3262">
            <v>24</v>
          </cell>
          <cell r="H3262">
            <v>5</v>
          </cell>
          <cell r="Q3262">
            <v>487.26000000000005</v>
          </cell>
        </row>
        <row r="3263">
          <cell r="D3263">
            <v>45926</v>
          </cell>
          <cell r="G3263">
            <v>26</v>
          </cell>
          <cell r="H3263" t="str">
            <v>10</v>
          </cell>
          <cell r="Q3263">
            <v>126.13999999999999</v>
          </cell>
        </row>
        <row r="3264">
          <cell r="D3264">
            <v>45926</v>
          </cell>
          <cell r="G3264">
            <v>24</v>
          </cell>
          <cell r="H3264">
            <v>5</v>
          </cell>
          <cell r="Q3264">
            <v>108.97</v>
          </cell>
        </row>
        <row r="3265">
          <cell r="D3265">
            <v>45926</v>
          </cell>
          <cell r="G3265">
            <v>24</v>
          </cell>
          <cell r="H3265" t="str">
            <v>5-5.5</v>
          </cell>
          <cell r="Q3265">
            <v>561.41999999999985</v>
          </cell>
        </row>
        <row r="3266">
          <cell r="D3266">
            <v>45926</v>
          </cell>
          <cell r="G3266">
            <v>17</v>
          </cell>
          <cell r="H3266" t="str">
            <v>8.5-9</v>
          </cell>
          <cell r="Q3266">
            <v>166.44</v>
          </cell>
        </row>
        <row r="3267">
          <cell r="D3267">
            <v>45926</v>
          </cell>
          <cell r="G3267">
            <v>10</v>
          </cell>
          <cell r="H3267">
            <v>4.5</v>
          </cell>
          <cell r="Q3267">
            <v>260.81000000000006</v>
          </cell>
        </row>
        <row r="3268">
          <cell r="D3268">
            <v>45926</v>
          </cell>
          <cell r="G3268">
            <v>10</v>
          </cell>
          <cell r="H3268">
            <v>4.5</v>
          </cell>
          <cell r="Q3268">
            <v>424.65000000000003</v>
          </cell>
        </row>
        <row r="3269">
          <cell r="D3269">
            <v>45926</v>
          </cell>
          <cell r="G3269">
            <v>10</v>
          </cell>
          <cell r="H3269">
            <v>8</v>
          </cell>
          <cell r="Q3269">
            <v>28.79</v>
          </cell>
        </row>
        <row r="3270">
          <cell r="D3270">
            <v>45926</v>
          </cell>
          <cell r="G3270">
            <v>17</v>
          </cell>
          <cell r="H3270" t="str">
            <v>5.5-6</v>
          </cell>
          <cell r="Q3270">
            <v>605.29999999999995</v>
          </cell>
        </row>
        <row r="3271">
          <cell r="D3271">
            <v>45926</v>
          </cell>
          <cell r="G3271">
            <v>17</v>
          </cell>
          <cell r="H3271" t="str">
            <v>5.5-6</v>
          </cell>
          <cell r="Q3271">
            <v>603.69999999999993</v>
          </cell>
        </row>
        <row r="3272">
          <cell r="D3272">
            <v>45927</v>
          </cell>
          <cell r="G3272">
            <v>2.5</v>
          </cell>
          <cell r="H3272" t="str">
            <v>5.5-6</v>
          </cell>
          <cell r="Q3272">
            <v>104.77</v>
          </cell>
        </row>
        <row r="3273">
          <cell r="D3273">
            <v>45927</v>
          </cell>
          <cell r="G3273">
            <v>2.5</v>
          </cell>
          <cell r="H3273" t="str">
            <v>5.5-6</v>
          </cell>
          <cell r="Q3273">
            <v>119.7</v>
          </cell>
        </row>
        <row r="3274">
          <cell r="D3274">
            <v>45927</v>
          </cell>
          <cell r="G3274">
            <v>4</v>
          </cell>
          <cell r="H3274" t="str">
            <v>5-5.5</v>
          </cell>
          <cell r="Q3274">
            <v>48.83</v>
          </cell>
        </row>
        <row r="3275">
          <cell r="D3275">
            <v>45927</v>
          </cell>
          <cell r="G3275">
            <v>4</v>
          </cell>
          <cell r="H3275" t="str">
            <v>5-5.5</v>
          </cell>
          <cell r="Q3275">
            <v>154.59</v>
          </cell>
        </row>
        <row r="3276">
          <cell r="D3276">
            <v>45927</v>
          </cell>
          <cell r="G3276">
            <v>8</v>
          </cell>
          <cell r="H3276">
            <v>5</v>
          </cell>
          <cell r="Q3276">
            <v>279.79000000000002</v>
          </cell>
        </row>
        <row r="3277">
          <cell r="D3277">
            <v>45927</v>
          </cell>
          <cell r="G3277">
            <v>8</v>
          </cell>
          <cell r="H3277">
            <v>5</v>
          </cell>
          <cell r="Q3277">
            <v>314.85000000000002</v>
          </cell>
        </row>
        <row r="3278">
          <cell r="D3278">
            <v>45927</v>
          </cell>
          <cell r="G3278">
            <v>7</v>
          </cell>
          <cell r="H3278">
            <v>5</v>
          </cell>
          <cell r="Q3278">
            <v>28</v>
          </cell>
        </row>
        <row r="3279">
          <cell r="D3279">
            <v>45927</v>
          </cell>
          <cell r="G3279">
            <v>24</v>
          </cell>
          <cell r="H3279" t="str">
            <v>5-5.5</v>
          </cell>
          <cell r="Q3279">
            <v>732.8</v>
          </cell>
        </row>
        <row r="3280">
          <cell r="D3280">
            <v>45927</v>
          </cell>
          <cell r="G3280">
            <v>24</v>
          </cell>
          <cell r="H3280" t="str">
            <v>5-5.5</v>
          </cell>
          <cell r="Q3280">
            <v>580.80999999999995</v>
          </cell>
        </row>
        <row r="3281">
          <cell r="D3281">
            <v>45927</v>
          </cell>
          <cell r="G3281">
            <v>28</v>
          </cell>
          <cell r="H3281">
            <v>5</v>
          </cell>
          <cell r="Q3281">
            <v>43.1</v>
          </cell>
        </row>
        <row r="3282">
          <cell r="D3282">
            <v>45927</v>
          </cell>
          <cell r="G3282">
            <v>10</v>
          </cell>
          <cell r="H3282">
            <v>8</v>
          </cell>
          <cell r="Q3282">
            <v>82.84</v>
          </cell>
        </row>
        <row r="3283">
          <cell r="D3283">
            <v>45927</v>
          </cell>
          <cell r="G3283" t="str">
            <v>11</v>
          </cell>
          <cell r="H3283">
            <v>6.5</v>
          </cell>
          <cell r="Q3283">
            <v>419.06000000000006</v>
          </cell>
        </row>
        <row r="3284">
          <cell r="D3284">
            <v>45927</v>
          </cell>
          <cell r="G3284" t="str">
            <v>11</v>
          </cell>
          <cell r="H3284">
            <v>6.5</v>
          </cell>
          <cell r="Q3284">
            <v>44.699999999999996</v>
          </cell>
        </row>
        <row r="3285">
          <cell r="D3285">
            <v>45927</v>
          </cell>
          <cell r="G3285">
            <v>11</v>
          </cell>
          <cell r="H3285">
            <v>7</v>
          </cell>
          <cell r="Q3285">
            <v>77.94</v>
          </cell>
        </row>
        <row r="3286">
          <cell r="D3286">
            <v>45927</v>
          </cell>
          <cell r="G3286">
            <v>11</v>
          </cell>
          <cell r="H3286">
            <v>4.5</v>
          </cell>
          <cell r="Q3286">
            <v>155.26999999999998</v>
          </cell>
        </row>
        <row r="3287">
          <cell r="D3287">
            <v>45927</v>
          </cell>
          <cell r="G3287">
            <v>11</v>
          </cell>
          <cell r="H3287" t="str">
            <v>5-5.5</v>
          </cell>
          <cell r="Q3287">
            <v>279.81</v>
          </cell>
        </row>
        <row r="3288">
          <cell r="D3288">
            <v>45927</v>
          </cell>
          <cell r="G3288">
            <v>17</v>
          </cell>
          <cell r="H3288" t="str">
            <v>5.5-6</v>
          </cell>
          <cell r="Q3288">
            <v>558.56999999999994</v>
          </cell>
        </row>
        <row r="3289">
          <cell r="D3289">
            <v>45927</v>
          </cell>
          <cell r="G3289">
            <v>17</v>
          </cell>
          <cell r="H3289" t="str">
            <v>5.5-6</v>
          </cell>
          <cell r="Q3289">
            <v>632.23</v>
          </cell>
        </row>
        <row r="3290">
          <cell r="D3290">
            <v>45928</v>
          </cell>
          <cell r="G3290">
            <v>2.5</v>
          </cell>
          <cell r="H3290" t="str">
            <v>5.5-6</v>
          </cell>
          <cell r="Q3290">
            <v>88.09999999999998</v>
          </cell>
        </row>
        <row r="3291">
          <cell r="D3291">
            <v>45928</v>
          </cell>
          <cell r="G3291">
            <v>2.5</v>
          </cell>
          <cell r="H3291" t="str">
            <v>5.5-6</v>
          </cell>
          <cell r="Q3291">
            <v>77.609999999999985</v>
          </cell>
        </row>
        <row r="3292">
          <cell r="D3292">
            <v>45928</v>
          </cell>
          <cell r="G3292">
            <v>4</v>
          </cell>
          <cell r="H3292" t="str">
            <v>5-5.5</v>
          </cell>
          <cell r="Q3292">
            <v>156.5</v>
          </cell>
        </row>
        <row r="3293">
          <cell r="D3293">
            <v>45928</v>
          </cell>
          <cell r="G3293">
            <v>4</v>
          </cell>
          <cell r="H3293" t="str">
            <v>5-5.5</v>
          </cell>
          <cell r="Q3293">
            <v>137.04999999999998</v>
          </cell>
        </row>
        <row r="3294">
          <cell r="D3294">
            <v>45928</v>
          </cell>
          <cell r="G3294">
            <v>7</v>
          </cell>
          <cell r="H3294">
            <v>5</v>
          </cell>
          <cell r="Q3294">
            <v>280.03999999999996</v>
          </cell>
        </row>
        <row r="3295">
          <cell r="D3295">
            <v>45928</v>
          </cell>
          <cell r="G3295">
            <v>7</v>
          </cell>
          <cell r="H3295">
            <v>5</v>
          </cell>
          <cell r="Q3295">
            <v>226.73</v>
          </cell>
        </row>
        <row r="3296">
          <cell r="D3296">
            <v>45928</v>
          </cell>
          <cell r="G3296">
            <v>28</v>
          </cell>
          <cell r="H3296">
            <v>5</v>
          </cell>
          <cell r="Q3296">
            <v>640.66</v>
          </cell>
        </row>
        <row r="3297">
          <cell r="D3297">
            <v>45928</v>
          </cell>
          <cell r="G3297">
            <v>28</v>
          </cell>
          <cell r="H3297">
            <v>5</v>
          </cell>
          <cell r="Q3297">
            <v>128.11000000000001</v>
          </cell>
        </row>
        <row r="3298">
          <cell r="D3298">
            <v>45928</v>
          </cell>
          <cell r="G3298">
            <v>28</v>
          </cell>
          <cell r="H3298" t="str">
            <v>5-5.5</v>
          </cell>
          <cell r="Q3298">
            <v>530.76</v>
          </cell>
        </row>
        <row r="3299">
          <cell r="D3299">
            <v>45928</v>
          </cell>
          <cell r="G3299">
            <v>11</v>
          </cell>
          <cell r="H3299" t="str">
            <v>5-5.5</v>
          </cell>
          <cell r="Q3299">
            <v>286.13000000000005</v>
          </cell>
        </row>
        <row r="3300">
          <cell r="D3300">
            <v>45928</v>
          </cell>
          <cell r="G3300">
            <v>10.5</v>
          </cell>
          <cell r="H3300" t="str">
            <v>2.5-5</v>
          </cell>
          <cell r="Q3300">
            <v>235.32999999999998</v>
          </cell>
        </row>
        <row r="3301">
          <cell r="D3301">
            <v>45928</v>
          </cell>
          <cell r="G3301">
            <v>10.5</v>
          </cell>
          <cell r="H3301" t="str">
            <v>2.5-5</v>
          </cell>
          <cell r="Q3301">
            <v>450.06000000000006</v>
          </cell>
        </row>
        <row r="3302">
          <cell r="D3302">
            <v>45928</v>
          </cell>
          <cell r="G3302">
            <v>17</v>
          </cell>
          <cell r="H3302" t="str">
            <v>5.5-6</v>
          </cell>
          <cell r="Q3302">
            <v>581.32999999999993</v>
          </cell>
        </row>
        <row r="3303">
          <cell r="D3303">
            <v>45928</v>
          </cell>
          <cell r="G3303">
            <v>17</v>
          </cell>
          <cell r="H3303" t="str">
            <v>5.5-6</v>
          </cell>
          <cell r="Q3303">
            <v>521.05999999999995</v>
          </cell>
        </row>
        <row r="3304">
          <cell r="D3304">
            <v>45929</v>
          </cell>
          <cell r="G3304">
            <v>2.5</v>
          </cell>
          <cell r="H3304" t="str">
            <v>5.5-6</v>
          </cell>
          <cell r="Q3304">
            <v>113.60000000000001</v>
          </cell>
        </row>
        <row r="3305">
          <cell r="D3305">
            <v>45929</v>
          </cell>
          <cell r="G3305">
            <v>2.5</v>
          </cell>
          <cell r="H3305" t="str">
            <v>5.5-6</v>
          </cell>
          <cell r="Q3305">
            <v>106.33</v>
          </cell>
        </row>
        <row r="3306">
          <cell r="D3306">
            <v>45929</v>
          </cell>
          <cell r="G3306">
            <v>4</v>
          </cell>
          <cell r="H3306">
            <v>5</v>
          </cell>
          <cell r="Q3306">
            <v>106.92000000000002</v>
          </cell>
        </row>
        <row r="3307">
          <cell r="D3307">
            <v>45929</v>
          </cell>
          <cell r="G3307">
            <v>4</v>
          </cell>
          <cell r="H3307">
            <v>5</v>
          </cell>
          <cell r="Q3307">
            <v>14.08</v>
          </cell>
        </row>
        <row r="3308">
          <cell r="D3308">
            <v>45929</v>
          </cell>
          <cell r="G3308">
            <v>4</v>
          </cell>
          <cell r="H3308">
            <v>5</v>
          </cell>
          <cell r="Q3308">
            <v>128.46</v>
          </cell>
        </row>
        <row r="3309">
          <cell r="D3309">
            <v>45929</v>
          </cell>
          <cell r="G3309">
            <v>7</v>
          </cell>
          <cell r="H3309">
            <v>5</v>
          </cell>
          <cell r="Q3309">
            <v>254.44000000000003</v>
          </cell>
        </row>
        <row r="3310">
          <cell r="D3310">
            <v>45929</v>
          </cell>
          <cell r="G3310">
            <v>7</v>
          </cell>
          <cell r="H3310">
            <v>5</v>
          </cell>
          <cell r="Q3310">
            <v>93.03</v>
          </cell>
        </row>
        <row r="3311">
          <cell r="D3311">
            <v>45929</v>
          </cell>
          <cell r="G3311">
            <v>6</v>
          </cell>
          <cell r="H3311">
            <v>5</v>
          </cell>
          <cell r="Q3311">
            <v>129.49</v>
          </cell>
        </row>
        <row r="3312">
          <cell r="D3312">
            <v>45929</v>
          </cell>
          <cell r="G3312">
            <v>28</v>
          </cell>
          <cell r="H3312" t="str">
            <v>5-5.5</v>
          </cell>
          <cell r="Q3312">
            <v>394.76</v>
          </cell>
        </row>
        <row r="3313">
          <cell r="D3313">
            <v>45929</v>
          </cell>
          <cell r="G3313">
            <v>10.5</v>
          </cell>
          <cell r="H3313" t="str">
            <v>2.5-5</v>
          </cell>
          <cell r="Q3313">
            <v>142.69999999999999</v>
          </cell>
        </row>
        <row r="3314">
          <cell r="D3314">
            <v>45929</v>
          </cell>
          <cell r="G3314">
            <v>10.5</v>
          </cell>
          <cell r="H3314" t="str">
            <v>2.5-5</v>
          </cell>
          <cell r="Q3314">
            <v>325.33999999999997</v>
          </cell>
        </row>
        <row r="3315">
          <cell r="D3315">
            <v>45929</v>
          </cell>
          <cell r="G3315">
            <v>10.5</v>
          </cell>
          <cell r="H3315" t="str">
            <v>2.5-5</v>
          </cell>
          <cell r="Q3315">
            <v>94.85</v>
          </cell>
        </row>
        <row r="3316">
          <cell r="D3316">
            <v>45929</v>
          </cell>
          <cell r="G3316">
            <v>10</v>
          </cell>
          <cell r="H3316" t="str">
            <v>5-5.5</v>
          </cell>
          <cell r="Q3316">
            <v>219.30999999999997</v>
          </cell>
        </row>
        <row r="3317">
          <cell r="D3317">
            <v>45929</v>
          </cell>
          <cell r="G3317">
            <v>12</v>
          </cell>
          <cell r="H3317">
            <v>5</v>
          </cell>
          <cell r="Q3317">
            <v>117.78</v>
          </cell>
        </row>
        <row r="3318">
          <cell r="D3318">
            <v>45929</v>
          </cell>
          <cell r="G3318">
            <v>10</v>
          </cell>
          <cell r="H3318" t="str">
            <v>5-5.5</v>
          </cell>
          <cell r="Q3318">
            <v>440.76</v>
          </cell>
        </row>
        <row r="3319">
          <cell r="D3319">
            <v>45929</v>
          </cell>
          <cell r="G3319">
            <v>17</v>
          </cell>
          <cell r="H3319" t="str">
            <v>5.5-6</v>
          </cell>
          <cell r="Q3319">
            <v>153.56</v>
          </cell>
        </row>
        <row r="3320">
          <cell r="D3320">
            <v>45929</v>
          </cell>
          <cell r="G3320">
            <v>16</v>
          </cell>
          <cell r="H3320">
            <v>5</v>
          </cell>
          <cell r="Q3320">
            <v>81.309999999999988</v>
          </cell>
        </row>
        <row r="3321">
          <cell r="D3321">
            <v>45929</v>
          </cell>
          <cell r="G3321">
            <v>17</v>
          </cell>
          <cell r="H3321" t="str">
            <v>7-7.5/14-15</v>
          </cell>
          <cell r="Q3321">
            <v>152.68999999999997</v>
          </cell>
        </row>
        <row r="3322">
          <cell r="D3322">
            <v>45929</v>
          </cell>
          <cell r="G3322">
            <v>17</v>
          </cell>
          <cell r="H3322" t="str">
            <v>7-7.5/14-15</v>
          </cell>
          <cell r="Q3322">
            <v>43.019999999999996</v>
          </cell>
        </row>
        <row r="3323">
          <cell r="D3323">
            <v>45929</v>
          </cell>
          <cell r="G3323">
            <v>16</v>
          </cell>
          <cell r="H3323" t="str">
            <v>7-7.5/14-15</v>
          </cell>
          <cell r="Q3323">
            <v>124.13999999999999</v>
          </cell>
        </row>
        <row r="3324">
          <cell r="D3324">
            <v>45929</v>
          </cell>
          <cell r="G3324">
            <v>16</v>
          </cell>
          <cell r="H3324">
            <v>5</v>
          </cell>
          <cell r="Q3324">
            <v>551.65000000000009</v>
          </cell>
        </row>
        <row r="3325">
          <cell r="D3325">
            <v>45930</v>
          </cell>
          <cell r="G3325">
            <v>2.5</v>
          </cell>
          <cell r="H3325" t="str">
            <v>5.5-6</v>
          </cell>
          <cell r="Q3325">
            <v>108.2</v>
          </cell>
        </row>
        <row r="3326">
          <cell r="D3326">
            <v>45930</v>
          </cell>
          <cell r="G3326">
            <v>2.5</v>
          </cell>
          <cell r="H3326" t="str">
            <v>5.5-6</v>
          </cell>
          <cell r="Q3326">
            <v>93.739999999999981</v>
          </cell>
        </row>
        <row r="3327">
          <cell r="D3327">
            <v>45930</v>
          </cell>
          <cell r="G3327">
            <v>4</v>
          </cell>
          <cell r="H3327">
            <v>5</v>
          </cell>
          <cell r="Q3327">
            <v>83.160000000000011</v>
          </cell>
        </row>
        <row r="3328">
          <cell r="D3328">
            <v>45930</v>
          </cell>
          <cell r="G3328">
            <v>4</v>
          </cell>
          <cell r="H3328" t="str">
            <v>5-5.5</v>
          </cell>
          <cell r="Q3328">
            <v>64.2</v>
          </cell>
        </row>
        <row r="3329">
          <cell r="D3329">
            <v>45930</v>
          </cell>
          <cell r="G3329">
            <v>4</v>
          </cell>
          <cell r="H3329" t="str">
            <v>5-5.5</v>
          </cell>
          <cell r="Q3329">
            <v>0</v>
          </cell>
        </row>
        <row r="3330">
          <cell r="D3330">
            <v>45930</v>
          </cell>
          <cell r="G3330">
            <v>6</v>
          </cell>
          <cell r="H3330">
            <v>5</v>
          </cell>
          <cell r="Q3330">
            <v>217.31</v>
          </cell>
        </row>
        <row r="3331">
          <cell r="D3331">
            <v>45930</v>
          </cell>
          <cell r="G3331">
            <v>6</v>
          </cell>
          <cell r="H3331">
            <v>5</v>
          </cell>
          <cell r="Q3331">
            <v>220.78</v>
          </cell>
        </row>
        <row r="3332">
          <cell r="D3332">
            <v>45930</v>
          </cell>
          <cell r="G3332">
            <v>10.5</v>
          </cell>
          <cell r="H3332" t="str">
            <v>2.5-5</v>
          </cell>
          <cell r="Q3332">
            <v>359.14</v>
          </cell>
        </row>
        <row r="3333">
          <cell r="D3333">
            <v>45930</v>
          </cell>
          <cell r="G3333">
            <v>10.5</v>
          </cell>
          <cell r="H3333" t="str">
            <v>2.5-5</v>
          </cell>
          <cell r="Q3333">
            <v>78.62</v>
          </cell>
        </row>
        <row r="3334">
          <cell r="D3334">
            <v>45930</v>
          </cell>
          <cell r="G3334">
            <v>12.5</v>
          </cell>
          <cell r="H3334" t="str">
            <v>2.5-5</v>
          </cell>
          <cell r="Q3334">
            <v>206.6</v>
          </cell>
        </row>
        <row r="3335">
          <cell r="D3335">
            <v>45930</v>
          </cell>
          <cell r="G3335">
            <v>20</v>
          </cell>
          <cell r="H3335" t="str">
            <v>5-5.5</v>
          </cell>
          <cell r="Q3335">
            <v>99.080000000000013</v>
          </cell>
        </row>
        <row r="3336">
          <cell r="D3336">
            <v>45930</v>
          </cell>
          <cell r="G3336">
            <v>10</v>
          </cell>
          <cell r="H3336" t="str">
            <v>5-5.5</v>
          </cell>
          <cell r="Q3336">
            <v>485.55999999999995</v>
          </cell>
        </row>
        <row r="3337">
          <cell r="D3337">
            <v>45930</v>
          </cell>
          <cell r="G3337">
            <v>14</v>
          </cell>
          <cell r="H3337">
            <v>7</v>
          </cell>
          <cell r="Q3337">
            <v>99.600000000000009</v>
          </cell>
        </row>
        <row r="3338">
          <cell r="D3338">
            <v>45930</v>
          </cell>
          <cell r="G3338">
            <v>14</v>
          </cell>
          <cell r="H3338" t="str">
            <v>4-4.5/8-9</v>
          </cell>
          <cell r="Q3338">
            <v>276.29000000000002</v>
          </cell>
        </row>
        <row r="3339">
          <cell r="D3339">
            <v>45930</v>
          </cell>
          <cell r="G3339">
            <v>14</v>
          </cell>
          <cell r="H3339">
            <v>5</v>
          </cell>
          <cell r="Q3339">
            <v>140.32000000000002</v>
          </cell>
        </row>
        <row r="3340">
          <cell r="D3340">
            <v>45930</v>
          </cell>
          <cell r="G3340">
            <v>8</v>
          </cell>
          <cell r="H3340">
            <v>14</v>
          </cell>
          <cell r="Q3340">
            <v>256.31</v>
          </cell>
        </row>
        <row r="3341">
          <cell r="D3341">
            <v>45931</v>
          </cell>
          <cell r="G3341">
            <v>2.5</v>
          </cell>
          <cell r="H3341" t="str">
            <v>5.5-6</v>
          </cell>
          <cell r="Q3341">
            <v>99.39</v>
          </cell>
        </row>
        <row r="3342">
          <cell r="D3342">
            <v>45931</v>
          </cell>
          <cell r="G3342">
            <v>2.5</v>
          </cell>
          <cell r="H3342" t="str">
            <v>5.5-6</v>
          </cell>
          <cell r="Q3342">
            <v>93.48</v>
          </cell>
        </row>
        <row r="3343">
          <cell r="D3343">
            <v>45931</v>
          </cell>
          <cell r="G3343">
            <v>4</v>
          </cell>
          <cell r="H3343" t="str">
            <v>5-5.5</v>
          </cell>
          <cell r="Q3343">
            <v>123.74</v>
          </cell>
        </row>
        <row r="3344">
          <cell r="D3344">
            <v>45931</v>
          </cell>
          <cell r="G3344">
            <v>4</v>
          </cell>
          <cell r="H3344" t="str">
            <v>5-5.5</v>
          </cell>
          <cell r="Q3344">
            <v>121.84</v>
          </cell>
        </row>
        <row r="3345">
          <cell r="D3345">
            <v>45931</v>
          </cell>
          <cell r="G3345">
            <v>6</v>
          </cell>
          <cell r="H3345">
            <v>5</v>
          </cell>
          <cell r="Q3345">
            <v>197.86</v>
          </cell>
        </row>
        <row r="3346">
          <cell r="D3346">
            <v>45931</v>
          </cell>
          <cell r="G3346">
            <v>6</v>
          </cell>
          <cell r="H3346">
            <v>5</v>
          </cell>
          <cell r="Q3346">
            <v>224.27999999999997</v>
          </cell>
        </row>
        <row r="3347">
          <cell r="D3347">
            <v>45931</v>
          </cell>
          <cell r="G3347">
            <v>20</v>
          </cell>
          <cell r="H3347" t="str">
            <v>5-5.5</v>
          </cell>
          <cell r="Q3347">
            <v>647.76</v>
          </cell>
        </row>
        <row r="3348">
          <cell r="D3348">
            <v>45931</v>
          </cell>
          <cell r="G3348">
            <v>20</v>
          </cell>
          <cell r="H3348" t="str">
            <v>5-5.5</v>
          </cell>
          <cell r="Q3348">
            <v>204.66</v>
          </cell>
        </row>
        <row r="3349">
          <cell r="D3349">
            <v>45931</v>
          </cell>
          <cell r="G3349">
            <v>20</v>
          </cell>
          <cell r="H3349" t="str">
            <v>5-5.5</v>
          </cell>
          <cell r="Q3349">
            <v>149.43</v>
          </cell>
        </row>
        <row r="3350">
          <cell r="D3350">
            <v>45931</v>
          </cell>
          <cell r="G3350">
            <v>20</v>
          </cell>
          <cell r="H3350" t="str">
            <v>8</v>
          </cell>
          <cell r="Q3350">
            <v>148.72999999999999</v>
          </cell>
        </row>
        <row r="3351">
          <cell r="D3351">
            <v>45931</v>
          </cell>
          <cell r="G3351">
            <v>20</v>
          </cell>
          <cell r="H3351" t="str">
            <v>8</v>
          </cell>
          <cell r="Q3351">
            <v>155</v>
          </cell>
        </row>
        <row r="3352">
          <cell r="D3352">
            <v>45931</v>
          </cell>
          <cell r="G3352">
            <v>14</v>
          </cell>
          <cell r="H3352">
            <v>5</v>
          </cell>
          <cell r="Q3352">
            <v>552.98000000000013</v>
          </cell>
        </row>
        <row r="3353">
          <cell r="D3353">
            <v>45931</v>
          </cell>
          <cell r="G3353">
            <v>14</v>
          </cell>
          <cell r="H3353">
            <v>5</v>
          </cell>
          <cell r="Q3353">
            <v>346.13</v>
          </cell>
        </row>
        <row r="3354">
          <cell r="D3354">
            <v>45931</v>
          </cell>
          <cell r="G3354">
            <v>12</v>
          </cell>
          <cell r="H3354">
            <v>14</v>
          </cell>
          <cell r="Q3354">
            <v>166.06</v>
          </cell>
        </row>
        <row r="3355">
          <cell r="D3355">
            <v>45932</v>
          </cell>
          <cell r="G3355">
            <v>2.5</v>
          </cell>
          <cell r="H3355" t="str">
            <v>5.5-6</v>
          </cell>
          <cell r="Q3355">
            <v>43.19</v>
          </cell>
        </row>
        <row r="3356">
          <cell r="D3356">
            <v>45932</v>
          </cell>
          <cell r="G3356">
            <v>2.5</v>
          </cell>
          <cell r="H3356" t="str">
            <v>5.5-6</v>
          </cell>
          <cell r="Q3356">
            <v>50.47999999999999</v>
          </cell>
        </row>
        <row r="3357">
          <cell r="D3357">
            <v>45932</v>
          </cell>
          <cell r="G3357">
            <v>2</v>
          </cell>
          <cell r="H3357" t="str">
            <v>5.5-6</v>
          </cell>
          <cell r="Q3357">
            <v>103.16000000000001</v>
          </cell>
        </row>
        <row r="3358">
          <cell r="D3358">
            <v>45932</v>
          </cell>
          <cell r="G3358">
            <v>4</v>
          </cell>
          <cell r="H3358" t="str">
            <v>5-5.5</v>
          </cell>
          <cell r="Q3358">
            <v>127.33999999999999</v>
          </cell>
        </row>
        <row r="3359">
          <cell r="D3359">
            <v>45932</v>
          </cell>
          <cell r="G3359">
            <v>4</v>
          </cell>
          <cell r="H3359" t="str">
            <v>5-5.5</v>
          </cell>
          <cell r="Q3359">
            <v>129.24</v>
          </cell>
        </row>
        <row r="3360">
          <cell r="D3360">
            <v>45932</v>
          </cell>
          <cell r="G3360">
            <v>6</v>
          </cell>
          <cell r="H3360">
            <v>5</v>
          </cell>
          <cell r="Q3360">
            <v>59.050000000000004</v>
          </cell>
        </row>
        <row r="3361">
          <cell r="D3361">
            <v>45932</v>
          </cell>
          <cell r="G3361">
            <v>7</v>
          </cell>
          <cell r="H3361">
            <v>5</v>
          </cell>
          <cell r="Q3361">
            <v>182.45</v>
          </cell>
        </row>
        <row r="3362">
          <cell r="D3362">
            <v>45932</v>
          </cell>
          <cell r="G3362">
            <v>7</v>
          </cell>
          <cell r="H3362">
            <v>5</v>
          </cell>
          <cell r="Q3362">
            <v>267.25</v>
          </cell>
        </row>
        <row r="3363">
          <cell r="D3363">
            <v>45932</v>
          </cell>
          <cell r="G3363">
            <v>16</v>
          </cell>
          <cell r="H3363" t="str">
            <v>6-6.5</v>
          </cell>
          <cell r="Q3363">
            <v>112.63000000000001</v>
          </cell>
        </row>
        <row r="3364">
          <cell r="D3364">
            <v>45932</v>
          </cell>
          <cell r="G3364">
            <v>18</v>
          </cell>
          <cell r="H3364">
            <v>5</v>
          </cell>
          <cell r="Q3364">
            <v>533.99</v>
          </cell>
        </row>
        <row r="3365">
          <cell r="D3365">
            <v>45932</v>
          </cell>
          <cell r="G3365">
            <v>18</v>
          </cell>
          <cell r="H3365">
            <v>5</v>
          </cell>
          <cell r="Q3365">
            <v>80.86999999999999</v>
          </cell>
        </row>
        <row r="3366">
          <cell r="D3366">
            <v>45932</v>
          </cell>
          <cell r="G3366">
            <v>18</v>
          </cell>
          <cell r="H3366" t="str">
            <v>7-7.5</v>
          </cell>
          <cell r="Q3366">
            <v>109.93</v>
          </cell>
        </row>
        <row r="3367">
          <cell r="D3367">
            <v>45932</v>
          </cell>
          <cell r="G3367">
            <v>22</v>
          </cell>
          <cell r="H3367" t="str">
            <v>5-5.5</v>
          </cell>
          <cell r="Q3367">
            <v>126.92999999999998</v>
          </cell>
        </row>
        <row r="3368">
          <cell r="D3368">
            <v>45932</v>
          </cell>
          <cell r="G3368">
            <v>18</v>
          </cell>
          <cell r="H3368">
            <v>6</v>
          </cell>
          <cell r="Q3368">
            <v>251.71000000000004</v>
          </cell>
        </row>
        <row r="3369">
          <cell r="D3369">
            <v>45932</v>
          </cell>
          <cell r="G3369">
            <v>22</v>
          </cell>
          <cell r="H3369" t="str">
            <v>6-6.5</v>
          </cell>
          <cell r="Q3369">
            <v>111.13</v>
          </cell>
        </row>
        <row r="3370">
          <cell r="D3370">
            <v>45932</v>
          </cell>
          <cell r="G3370">
            <v>12</v>
          </cell>
          <cell r="H3370">
            <v>14</v>
          </cell>
          <cell r="Q3370">
            <v>241.72999999999996</v>
          </cell>
        </row>
        <row r="3371">
          <cell r="D3371">
            <v>45932</v>
          </cell>
          <cell r="G3371">
            <v>13</v>
          </cell>
          <cell r="H3371">
            <v>5</v>
          </cell>
          <cell r="Q3371">
            <v>268.86999999999995</v>
          </cell>
        </row>
        <row r="3372">
          <cell r="D3372">
            <v>45932</v>
          </cell>
          <cell r="G3372">
            <v>13</v>
          </cell>
          <cell r="H3372">
            <v>5</v>
          </cell>
          <cell r="Q3372">
            <v>317.18</v>
          </cell>
        </row>
        <row r="3373">
          <cell r="D3373">
            <v>45932</v>
          </cell>
          <cell r="G3373">
            <v>13</v>
          </cell>
          <cell r="H3373">
            <v>7</v>
          </cell>
          <cell r="Q3373">
            <v>56.19</v>
          </cell>
        </row>
        <row r="3374">
          <cell r="D3374">
            <v>45932</v>
          </cell>
          <cell r="G3374">
            <v>12</v>
          </cell>
          <cell r="H3374">
            <v>5</v>
          </cell>
          <cell r="Q3374">
            <v>152.44</v>
          </cell>
        </row>
        <row r="3375">
          <cell r="D3375">
            <v>45933</v>
          </cell>
          <cell r="G3375">
            <v>2</v>
          </cell>
          <cell r="H3375" t="str">
            <v>5.5-6</v>
          </cell>
          <cell r="Q3375">
            <v>62.179999999999993</v>
          </cell>
        </row>
        <row r="3376">
          <cell r="D3376">
            <v>45933</v>
          </cell>
          <cell r="G3376">
            <v>2.5</v>
          </cell>
          <cell r="H3376" t="str">
            <v>5.5-6</v>
          </cell>
          <cell r="Q3376">
            <v>33</v>
          </cell>
        </row>
        <row r="3377">
          <cell r="D3377">
            <v>45933</v>
          </cell>
          <cell r="G3377">
            <v>2.5</v>
          </cell>
          <cell r="H3377" t="str">
            <v>5.5-6</v>
          </cell>
          <cell r="Q3377">
            <v>93.52</v>
          </cell>
        </row>
        <row r="3378">
          <cell r="D3378">
            <v>45933</v>
          </cell>
          <cell r="G3378">
            <v>4</v>
          </cell>
          <cell r="H3378" t="str">
            <v>5-5.5</v>
          </cell>
          <cell r="Q3378">
            <v>140.87</v>
          </cell>
        </row>
        <row r="3379">
          <cell r="D3379">
            <v>45933</v>
          </cell>
          <cell r="G3379">
            <v>4</v>
          </cell>
          <cell r="H3379" t="str">
            <v>5-5.5</v>
          </cell>
          <cell r="Q3379">
            <v>115.33999999999999</v>
          </cell>
        </row>
        <row r="3380">
          <cell r="D3380">
            <v>45933</v>
          </cell>
          <cell r="G3380">
            <v>7</v>
          </cell>
          <cell r="H3380">
            <v>5</v>
          </cell>
          <cell r="Q3380">
            <v>247.52</v>
          </cell>
        </row>
        <row r="3381">
          <cell r="D3381">
            <v>45933</v>
          </cell>
          <cell r="G3381">
            <v>7</v>
          </cell>
          <cell r="H3381">
            <v>5</v>
          </cell>
          <cell r="Q3381">
            <v>221.9</v>
          </cell>
        </row>
        <row r="3382">
          <cell r="D3382">
            <v>45933</v>
          </cell>
          <cell r="G3382">
            <v>22</v>
          </cell>
          <cell r="H3382" t="str">
            <v>5-5.5</v>
          </cell>
          <cell r="Q3382">
            <v>100.67999999999999</v>
          </cell>
        </row>
        <row r="3383">
          <cell r="D3383">
            <v>45933</v>
          </cell>
          <cell r="G3383">
            <v>16</v>
          </cell>
          <cell r="H3383">
            <v>6</v>
          </cell>
          <cell r="Q3383">
            <v>530.08999999999992</v>
          </cell>
        </row>
        <row r="3384">
          <cell r="D3384">
            <v>45933</v>
          </cell>
          <cell r="G3384">
            <v>16</v>
          </cell>
          <cell r="H3384">
            <v>6</v>
          </cell>
          <cell r="Q3384">
            <v>248.01</v>
          </cell>
        </row>
        <row r="3385">
          <cell r="D3385">
            <v>45933</v>
          </cell>
          <cell r="G3385">
            <v>16</v>
          </cell>
          <cell r="H3385" t="str">
            <v>5-5.5</v>
          </cell>
          <cell r="Q3385">
            <v>407.66999999999996</v>
          </cell>
        </row>
        <row r="3386">
          <cell r="D3386">
            <v>45933</v>
          </cell>
          <cell r="G3386">
            <v>12</v>
          </cell>
          <cell r="H3386">
            <v>5</v>
          </cell>
          <cell r="Q3386">
            <v>559.80000000000007</v>
          </cell>
        </row>
        <row r="3387">
          <cell r="D3387">
            <v>45933</v>
          </cell>
          <cell r="G3387">
            <v>12</v>
          </cell>
          <cell r="H3387">
            <v>5</v>
          </cell>
          <cell r="Q3387">
            <v>210.43</v>
          </cell>
        </row>
        <row r="3388">
          <cell r="D3388">
            <v>45933</v>
          </cell>
          <cell r="G3388">
            <v>12</v>
          </cell>
          <cell r="H3388" t="str">
            <v>4-4.5</v>
          </cell>
          <cell r="Q3388">
            <v>300.22000000000003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" refreshedDate="45913.703222222219" createdVersion="7" refreshedVersion="7" minRefreshableVersion="3" recordCount="144898" xr:uid="{F6726981-4186-49E8-A068-B9A185B8F44E}">
  <cacheSource type="worksheet">
    <worksheetSource ref="A1:A1048576" sheet="LD F.G ROLL"/>
  </cacheSource>
  <cacheFields count="1">
    <cacheField name="SO#" numFmtId="0">
      <sharedItems containsBlank="1" count="94">
        <s v="19/12"/>
        <s v="18/7"/>
        <s v="19/7"/>
        <s v="8/15-16"/>
        <s v="7/20"/>
        <s v="5/9"/>
        <s v="30/12-13"/>
        <s v="23-23.5/70 GRAM"/>
        <s v="/"/>
        <s v="20&quot; شیٹ/7-7.5/14-15"/>
        <s v="20 شیٹ/7-7.5/14-15"/>
        <s v="13/8-8.5"/>
        <s v="16/14"/>
        <s v="20 شیٹ/6-6.5/12-13"/>
        <s v="432 MM/17-18"/>
        <s v="428 MM/17-18"/>
        <s v="15/12"/>
        <s v="16/13.5-14"/>
        <s v="18.5/15-16"/>
        <s v="14.5/12.5-13"/>
        <s v="14/13-14"/>
        <s v="13/12.5-13"/>
        <s v="17/7-7.5"/>
        <s v="19/7.7.5"/>
        <s v="14.25/13-14/26-28"/>
        <s v="30/"/>
        <s v="19.5/14-15"/>
        <s v="11/18"/>
        <s v="7/7.5-8"/>
        <s v="18/12-13"/>
        <s v="6.5/7.5-8"/>
        <s v="15/24-25"/>
        <s v="16/12-13"/>
        <s v="16/8"/>
        <s v="17/8"/>
        <s v="27.5/4/8"/>
        <s v="23-23.5/70 G+-1"/>
        <s v="27/4/8"/>
        <s v="36/10-10.5"/>
        <s v="36/4/8"/>
        <s v="37/4/8"/>
        <s v="16/10-10.5"/>
        <s v="16/8-8.5"/>
        <s v="22/12.5-13"/>
        <s v="21/14-14.5"/>
        <s v="11/8-8.5"/>
        <s v="15/8-8.5"/>
        <s v="15/10-10.5"/>
        <s v="22/8.5-9"/>
        <s v="26.5/7"/>
        <s v="26/8.5-9"/>
        <s v="24/7"/>
        <s v="9/8.5-9"/>
        <s v="8/12-12.5"/>
        <s v="18/10-10.5"/>
        <s v="23/8-8.5"/>
        <s v="28/12"/>
        <s v="15/10.5-11"/>
        <s v="22/7.5-8"/>
        <s v="16/14-14.5"/>
        <s v="16/12.5-13"/>
        <s v="12/8.5-9"/>
        <s v="10/5"/>
        <s v="5.5/8-8.5"/>
        <s v="8/8.5-9"/>
        <s v="8/7"/>
        <s v="8/5"/>
        <s v="12/8-8.5"/>
        <s v="12/10-10.5"/>
        <s v="15/7.7.5"/>
        <s v="17/12"/>
        <s v="20/6-6.5"/>
        <s v="24/5.5-6"/>
        <s v="22/6-6.5"/>
        <s v="20+5.5+5.5/7.5-8/15-16"/>
        <s v="5/5.5-6"/>
        <s v="10/8-8.5"/>
        <s v="14/5.5-6"/>
        <s v="14/7.5-8"/>
        <s v="4/10"/>
        <s v="15/6-6.5"/>
        <s v="7/10-10.5"/>
        <s v="29&quot; شیٹ/7.5-8/15-16"/>
        <s v="14+4+4/6-6.5/12-13"/>
        <s v="22/12"/>
        <s v="18/13-13.5"/>
        <s v="28-28.5/95±1"/>
        <s v="8.5-9/26"/>
        <s v="7-7.5/6"/>
        <m/>
        <s v="432 MM/-" u="1"/>
        <s v="MIX/WASTE" u="1"/>
        <s v="428 MM/-" u="1"/>
        <s v="5/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" refreshedDate="45930.604013194446" createdVersion="7" refreshedVersion="7" minRefreshableVersion="3" recordCount="1115" xr:uid="{73179001-AD36-4777-AD65-FB3089FBA694}">
  <cacheSource type="worksheet">
    <worksheetSource ref="A1:A1048576" sheet="PP F.G ROLL"/>
  </cacheSource>
  <cacheFields count="1">
    <cacheField name="SO#" numFmtId="0">
      <sharedItems containsBlank="1" containsMixedTypes="1" containsNumber="1" minValue="2.5" maxValue="16" count="152">
        <s v="14/5"/>
        <s v="13/5"/>
        <s v="12/5"/>
        <s v="11/5"/>
        <s v="8/5"/>
        <s v="7/5"/>
        <s v="6/5"/>
        <s v="14/6.5"/>
        <s v="15/6"/>
        <s v="18/4"/>
        <s v="7/4"/>
        <s v="8/4"/>
        <s v="9/4"/>
        <s v="2/5"/>
        <s v="24/5"/>
        <s v="20/5"/>
        <s v="19/5"/>
        <s v="17/5"/>
        <s v="22/6"/>
        <s v="18/5"/>
        <s v="16/5"/>
        <s v="15/5"/>
        <s v="2/6.5"/>
        <s v="19/4"/>
        <s v="24/4"/>
        <s v="11/7"/>
        <s v="6/4"/>
        <s v="13/7"/>
        <s v="12/6.5"/>
        <s v="17/7"/>
        <s v="15/4"/>
        <s v="16/8"/>
        <s v="15/7"/>
        <s v="8/6.5"/>
        <s v="18/7"/>
        <s v="8/10"/>
        <s v="9/10"/>
        <s v="16/7"/>
        <s v="20/12"/>
        <s v="22/15"/>
        <s v="18/10"/>
        <s v="7/15"/>
        <s v="10/5"/>
        <s v="9/5"/>
        <s v="1.5/5.5-6"/>
        <s v="2.5/5"/>
        <s v="4/5"/>
        <s v="3/5"/>
        <s v="14/4"/>
        <s v="16/4"/>
        <s v="12/4"/>
        <s v="26/5"/>
        <s v="27/5"/>
        <s v="28/5"/>
        <s v="28/4"/>
        <s v="27/6"/>
        <s v="16/6"/>
        <s v="14/10-11"/>
        <s v="21/6.5"/>
        <s v="23/5"/>
        <s v="8/8"/>
        <s v="5/4.5"/>
        <s v="5/5"/>
        <s v="3.5/5"/>
        <s v="4.5/4.5-5"/>
        <s v="16/15"/>
        <s v="3.5/5.5-6"/>
        <s v="20/6"/>
        <s v="10/8"/>
        <s v="4.5/5"/>
        <s v="3.5/4.5"/>
        <s v="21/24"/>
        <s v="17/5.5-6"/>
        <s v="20/10"/>
        <s v="19/7"/>
        <s v="23/7"/>
        <s v="28/5-5.5"/>
        <s v="26/8.5-9"/>
        <s v="2/5.5-6"/>
        <s v="18/6"/>
        <s v="14/10"/>
        <s v="14/4.5"/>
        <s v="18/4.5"/>
        <s v="10/15"/>
        <s v="12/6.5-7"/>
        <s v="12/4.5"/>
        <s v="11/6.5-7"/>
        <s v="4/4.5"/>
        <s v="17/8.5-9"/>
        <s v="8/7.5-8"/>
        <s v="6/7.5-8"/>
        <s v="6/4.5"/>
        <s v="19/6-6.5"/>
        <s v="26/10"/>
        <s v="16/6-6.5"/>
        <s v="18/5-5.5"/>
        <s v="4/5-5.5"/>
        <s v="9/5-5.5"/>
        <s v="20/8"/>
        <s v="22/8"/>
        <s v="12/10"/>
        <s v="2.5/5.5-6"/>
        <s v="5/5.5-6"/>
        <s v="3/5.5-6"/>
        <s v="9/5.5"/>
        <s v="15/6.5"/>
        <s v="14/5-5.5"/>
        <s v="5.5/10"/>
        <s v="11/5-5.5"/>
        <s v="26/14"/>
        <s v="24/5-5.5"/>
        <s v="4.5/4.5"/>
        <s v="7/4.5"/>
        <s v="9/4.5"/>
        <s v="14/7"/>
        <s v="13/6.5"/>
        <s v="6/5-5.5"/>
        <s v="10/4.5"/>
        <s v="/"/>
        <s v="10/14"/>
        <s v="10/7"/>
        <s v="10/5-5.5"/>
        <s v="16/5.5-6"/>
        <s v="6/6"/>
        <s v="20/5-5.5"/>
        <s v="16/5-6"/>
        <s v="16/4.5"/>
        <s v="2/12"/>
        <s v="05/14"/>
        <s v="9/7"/>
        <s v="16/4.5-5"/>
        <s v="16/5-5.5"/>
        <s v="8/4.5"/>
        <s v="11/6.5"/>
        <s v="11/4.5"/>
        <s v="10.5/2.5-5"/>
        <s v="17/7-7.5/14-15"/>
        <s v="16/7-7.5/14-15"/>
        <s v="07/5"/>
        <s v="08/5"/>
        <s v="05/5"/>
        <s v="06/5"/>
        <s v="12/4-4.5"/>
        <m/>
        <n v="16" u="1"/>
        <n v="2.5" u="1"/>
        <n v="3" u="1"/>
        <n v="8" u="1"/>
        <n v="9" u="1"/>
        <n v="10" u="1"/>
        <n v="4" u="1"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898">
  <r>
    <x v="0"/>
  </r>
  <r>
    <x v="1"/>
  </r>
  <r>
    <x v="1"/>
  </r>
  <r>
    <x v="2"/>
  </r>
  <r>
    <x v="3"/>
  </r>
  <r>
    <x v="4"/>
  </r>
  <r>
    <x v="4"/>
  </r>
  <r>
    <x v="5"/>
  </r>
  <r>
    <x v="6"/>
  </r>
  <r>
    <x v="7"/>
  </r>
  <r>
    <x v="7"/>
  </r>
  <r>
    <x v="8"/>
  </r>
  <r>
    <x v="9"/>
  </r>
  <r>
    <x v="10"/>
  </r>
  <r>
    <x v="2"/>
  </r>
  <r>
    <x v="11"/>
  </r>
  <r>
    <x v="11"/>
  </r>
  <r>
    <x v="11"/>
  </r>
  <r>
    <x v="12"/>
  </r>
  <r>
    <x v="5"/>
  </r>
  <r>
    <x v="7"/>
  </r>
  <r>
    <x v="7"/>
  </r>
  <r>
    <x v="10"/>
  </r>
  <r>
    <x v="13"/>
  </r>
  <r>
    <x v="14"/>
  </r>
  <r>
    <x v="15"/>
  </r>
  <r>
    <x v="7"/>
  </r>
  <r>
    <x v="16"/>
  </r>
  <r>
    <x v="16"/>
  </r>
  <r>
    <x v="16"/>
  </r>
  <r>
    <x v="0"/>
  </r>
  <r>
    <x v="0"/>
  </r>
  <r>
    <x v="17"/>
  </r>
  <r>
    <x v="18"/>
  </r>
  <r>
    <x v="18"/>
  </r>
  <r>
    <x v="19"/>
  </r>
  <r>
    <x v="20"/>
  </r>
  <r>
    <x v="21"/>
  </r>
  <r>
    <x v="22"/>
  </r>
  <r>
    <x v="22"/>
  </r>
  <r>
    <x v="6"/>
  </r>
  <r>
    <x v="23"/>
  </r>
  <r>
    <x v="24"/>
  </r>
  <r>
    <x v="24"/>
  </r>
  <r>
    <x v="25"/>
  </r>
  <r>
    <x v="26"/>
  </r>
  <r>
    <x v="27"/>
  </r>
  <r>
    <x v="28"/>
  </r>
  <r>
    <x v="29"/>
  </r>
  <r>
    <x v="30"/>
  </r>
  <r>
    <x v="16"/>
  </r>
  <r>
    <x v="31"/>
  </r>
  <r>
    <x v="29"/>
  </r>
  <r>
    <x v="29"/>
  </r>
  <r>
    <x v="29"/>
  </r>
  <r>
    <x v="32"/>
  </r>
  <r>
    <x v="17"/>
  </r>
  <r>
    <x v="33"/>
  </r>
  <r>
    <x v="33"/>
  </r>
  <r>
    <x v="22"/>
  </r>
  <r>
    <x v="0"/>
  </r>
  <r>
    <x v="34"/>
  </r>
  <r>
    <x v="35"/>
  </r>
  <r>
    <x v="36"/>
  </r>
  <r>
    <x v="37"/>
  </r>
  <r>
    <x v="38"/>
  </r>
  <r>
    <x v="38"/>
  </r>
  <r>
    <x v="39"/>
  </r>
  <r>
    <x v="40"/>
  </r>
  <r>
    <x v="0"/>
  </r>
  <r>
    <x v="22"/>
  </r>
  <r>
    <x v="16"/>
  </r>
  <r>
    <x v="26"/>
  </r>
  <r>
    <x v="0"/>
  </r>
  <r>
    <x v="23"/>
  </r>
  <r>
    <x v="16"/>
  </r>
  <r>
    <x v="18"/>
  </r>
  <r>
    <x v="19"/>
  </r>
  <r>
    <x v="21"/>
  </r>
  <r>
    <x v="20"/>
  </r>
  <r>
    <x v="18"/>
  </r>
  <r>
    <x v="5"/>
  </r>
  <r>
    <x v="1"/>
  </r>
  <r>
    <x v="4"/>
  </r>
  <r>
    <x v="4"/>
  </r>
  <r>
    <x v="3"/>
  </r>
  <r>
    <x v="10"/>
  </r>
  <r>
    <x v="9"/>
  </r>
  <r>
    <x v="41"/>
  </r>
  <r>
    <x v="42"/>
  </r>
  <r>
    <x v="41"/>
  </r>
  <r>
    <x v="41"/>
  </r>
  <r>
    <x v="41"/>
  </r>
  <r>
    <x v="41"/>
  </r>
  <r>
    <x v="7"/>
  </r>
  <r>
    <x v="43"/>
  </r>
  <r>
    <x v="44"/>
  </r>
  <r>
    <x v="43"/>
  </r>
  <r>
    <x v="45"/>
  </r>
  <r>
    <x v="45"/>
  </r>
  <r>
    <x v="42"/>
  </r>
  <r>
    <x v="46"/>
  </r>
  <r>
    <x v="41"/>
  </r>
  <r>
    <x v="41"/>
  </r>
  <r>
    <x v="41"/>
  </r>
  <r>
    <x v="41"/>
  </r>
  <r>
    <x v="41"/>
  </r>
  <r>
    <x v="47"/>
  </r>
  <r>
    <x v="43"/>
  </r>
  <r>
    <x v="48"/>
  </r>
  <r>
    <x v="49"/>
  </r>
  <r>
    <x v="50"/>
  </r>
  <r>
    <x v="50"/>
  </r>
  <r>
    <x v="51"/>
  </r>
  <r>
    <x v="7"/>
  </r>
  <r>
    <x v="8"/>
  </r>
  <r>
    <x v="7"/>
  </r>
  <r>
    <x v="14"/>
  </r>
  <r>
    <x v="15"/>
  </r>
  <r>
    <x v="13"/>
  </r>
  <r>
    <x v="2"/>
  </r>
  <r>
    <x v="43"/>
  </r>
  <r>
    <x v="44"/>
  </r>
  <r>
    <x v="41"/>
  </r>
  <r>
    <x v="43"/>
  </r>
  <r>
    <x v="41"/>
  </r>
  <r>
    <x v="41"/>
  </r>
  <r>
    <x v="41"/>
  </r>
  <r>
    <x v="45"/>
  </r>
  <r>
    <x v="52"/>
  </r>
  <r>
    <x v="52"/>
  </r>
  <r>
    <x v="53"/>
  </r>
  <r>
    <x v="53"/>
  </r>
  <r>
    <x v="53"/>
  </r>
  <r>
    <x v="53"/>
  </r>
  <r>
    <x v="47"/>
  </r>
  <r>
    <x v="47"/>
  </r>
  <r>
    <x v="47"/>
  </r>
  <r>
    <x v="54"/>
  </r>
  <r>
    <x v="54"/>
  </r>
  <r>
    <x v="51"/>
  </r>
  <r>
    <x v="55"/>
  </r>
  <r>
    <x v="56"/>
  </r>
  <r>
    <x v="56"/>
  </r>
  <r>
    <x v="0"/>
  </r>
  <r>
    <x v="57"/>
  </r>
  <r>
    <x v="7"/>
  </r>
  <r>
    <x v="58"/>
  </r>
  <r>
    <x v="58"/>
  </r>
  <r>
    <x v="58"/>
  </r>
  <r>
    <x v="59"/>
  </r>
  <r>
    <x v="60"/>
  </r>
  <r>
    <x v="52"/>
  </r>
  <r>
    <x v="61"/>
  </r>
  <r>
    <x v="61"/>
  </r>
  <r>
    <x v="62"/>
  </r>
  <r>
    <x v="63"/>
  </r>
  <r>
    <x v="53"/>
  </r>
  <r>
    <x v="64"/>
  </r>
  <r>
    <x v="65"/>
  </r>
  <r>
    <x v="66"/>
  </r>
  <r>
    <x v="67"/>
  </r>
  <r>
    <x v="68"/>
  </r>
  <r>
    <x v="68"/>
  </r>
  <r>
    <x v="45"/>
  </r>
  <r>
    <x v="57"/>
  </r>
  <r>
    <x v="69"/>
  </r>
  <r>
    <x v="70"/>
  </r>
  <r>
    <x v="60"/>
  </r>
  <r>
    <x v="71"/>
  </r>
  <r>
    <x v="51"/>
  </r>
  <r>
    <x v="72"/>
  </r>
  <r>
    <x v="73"/>
  </r>
  <r>
    <x v="74"/>
  </r>
  <r>
    <x v="53"/>
  </r>
  <r>
    <x v="55"/>
  </r>
  <r>
    <x v="53"/>
  </r>
  <r>
    <x v="53"/>
  </r>
  <r>
    <x v="0"/>
  </r>
  <r>
    <x v="53"/>
  </r>
  <r>
    <x v="59"/>
  </r>
  <r>
    <x v="60"/>
  </r>
  <r>
    <x v="56"/>
  </r>
  <r>
    <x v="56"/>
  </r>
  <r>
    <x v="45"/>
  </r>
  <r>
    <x v="47"/>
  </r>
  <r>
    <x v="47"/>
  </r>
  <r>
    <x v="54"/>
  </r>
  <r>
    <x v="54"/>
  </r>
  <r>
    <x v="67"/>
  </r>
  <r>
    <x v="71"/>
  </r>
  <r>
    <x v="51"/>
  </r>
  <r>
    <x v="12"/>
  </r>
  <r>
    <x v="11"/>
  </r>
  <r>
    <x v="46"/>
  </r>
  <r>
    <x v="49"/>
  </r>
  <r>
    <x v="21"/>
  </r>
  <r>
    <x v="64"/>
  </r>
  <r>
    <x v="53"/>
  </r>
  <r>
    <x v="63"/>
  </r>
  <r>
    <x v="75"/>
  </r>
  <r>
    <x v="76"/>
  </r>
  <r>
    <x v="8"/>
  </r>
  <r>
    <x v="66"/>
  </r>
  <r>
    <x v="77"/>
  </r>
  <r>
    <x v="78"/>
  </r>
  <r>
    <x v="79"/>
  </r>
  <r>
    <x v="80"/>
  </r>
  <r>
    <x v="81"/>
  </r>
  <r>
    <x v="82"/>
  </r>
  <r>
    <x v="83"/>
  </r>
  <r>
    <x v="84"/>
  </r>
  <r>
    <x v="70"/>
  </r>
  <r>
    <x v="0"/>
  </r>
  <r>
    <x v="0"/>
  </r>
  <r>
    <x v="85"/>
  </r>
  <r>
    <x v="74"/>
  </r>
  <r>
    <x v="86"/>
  </r>
  <r>
    <x v="86"/>
  </r>
  <r>
    <x v="87"/>
  </r>
  <r>
    <x v="88"/>
  </r>
  <r>
    <x v="52"/>
  </r>
  <r>
    <x v="62"/>
  </r>
  <r>
    <x v="65"/>
  </r>
  <r>
    <x v="69"/>
  </r>
  <r>
    <x v="74"/>
  </r>
  <r>
    <x v="72"/>
  </r>
  <r>
    <x v="45"/>
  </r>
  <r>
    <x v="73"/>
  </r>
  <r>
    <x v="61"/>
  </r>
  <r>
    <x v="57"/>
  </r>
  <r>
    <x v="68"/>
  </r>
  <r>
    <x v="77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  <r>
    <x v="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5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27"/>
  </r>
  <r>
    <x v="28"/>
  </r>
  <r>
    <x v="29"/>
  </r>
  <r>
    <x v="30"/>
  </r>
  <r>
    <x v="31"/>
  </r>
  <r>
    <x v="32"/>
  </r>
  <r>
    <x v="33"/>
  </r>
  <r>
    <x v="34"/>
  </r>
  <r>
    <x v="11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43"/>
  </r>
  <r>
    <x v="61"/>
  </r>
  <r>
    <x v="45"/>
  </r>
  <r>
    <x v="62"/>
  </r>
  <r>
    <x v="63"/>
  </r>
  <r>
    <x v="64"/>
  </r>
  <r>
    <x v="47"/>
  </r>
  <r>
    <x v="46"/>
  </r>
  <r>
    <x v="13"/>
  </r>
  <r>
    <x v="47"/>
  </r>
  <r>
    <x v="65"/>
  </r>
  <r>
    <x v="45"/>
  </r>
  <r>
    <x v="45"/>
  </r>
  <r>
    <x v="66"/>
  </r>
  <r>
    <x v="66"/>
  </r>
  <r>
    <x v="43"/>
  </r>
  <r>
    <x v="43"/>
  </r>
  <r>
    <x v="20"/>
  </r>
  <r>
    <x v="20"/>
  </r>
  <r>
    <x v="67"/>
  </r>
  <r>
    <x v="42"/>
  </r>
  <r>
    <x v="68"/>
  </r>
  <r>
    <x v="42"/>
  </r>
  <r>
    <x v="18"/>
  </r>
  <r>
    <x v="56"/>
  </r>
  <r>
    <x v="3"/>
  </r>
  <r>
    <x v="56"/>
  </r>
  <r>
    <x v="34"/>
  </r>
  <r>
    <x v="5"/>
  </r>
  <r>
    <x v="5"/>
  </r>
  <r>
    <x v="46"/>
  </r>
  <r>
    <x v="46"/>
  </r>
  <r>
    <x v="46"/>
  </r>
  <r>
    <x v="13"/>
  </r>
  <r>
    <x v="45"/>
  </r>
  <r>
    <x v="20"/>
  </r>
  <r>
    <x v="15"/>
  </r>
  <r>
    <x v="25"/>
  </r>
  <r>
    <x v="27"/>
  </r>
  <r>
    <x v="15"/>
  </r>
  <r>
    <x v="45"/>
  </r>
  <r>
    <x v="69"/>
  </r>
  <r>
    <x v="66"/>
  </r>
  <r>
    <x v="70"/>
  </r>
  <r>
    <x v="43"/>
  </r>
  <r>
    <x v="43"/>
  </r>
  <r>
    <x v="67"/>
  </r>
  <r>
    <x v="15"/>
  </r>
  <r>
    <x v="71"/>
  </r>
  <r>
    <x v="71"/>
  </r>
  <r>
    <x v="15"/>
  </r>
  <r>
    <x v="42"/>
  </r>
  <r>
    <x v="42"/>
  </r>
  <r>
    <x v="72"/>
  </r>
  <r>
    <x v="45"/>
  </r>
  <r>
    <x v="13"/>
  </r>
  <r>
    <x v="43"/>
  </r>
  <r>
    <x v="5"/>
  </r>
  <r>
    <x v="5"/>
  </r>
  <r>
    <x v="73"/>
  </r>
  <r>
    <x v="74"/>
  </r>
  <r>
    <x v="75"/>
  </r>
  <r>
    <x v="75"/>
  </r>
  <r>
    <x v="76"/>
  </r>
  <r>
    <x v="72"/>
  </r>
  <r>
    <x v="42"/>
  </r>
  <r>
    <x v="1"/>
  </r>
  <r>
    <x v="27"/>
  </r>
  <r>
    <x v="1"/>
  </r>
  <r>
    <x v="1"/>
  </r>
  <r>
    <x v="56"/>
  </r>
  <r>
    <x v="67"/>
  </r>
  <r>
    <x v="68"/>
  </r>
  <r>
    <x v="68"/>
  </r>
  <r>
    <x v="1"/>
  </r>
  <r>
    <x v="1"/>
  </r>
  <r>
    <x v="1"/>
  </r>
  <r>
    <x v="0"/>
  </r>
  <r>
    <x v="11"/>
  </r>
  <r>
    <x v="4"/>
  </r>
  <r>
    <x v="45"/>
  </r>
  <r>
    <x v="13"/>
  </r>
  <r>
    <x v="46"/>
  </r>
  <r>
    <x v="46"/>
  </r>
  <r>
    <x v="46"/>
  </r>
  <r>
    <x v="0"/>
  </r>
  <r>
    <x v="42"/>
  </r>
  <r>
    <x v="43"/>
  </r>
  <r>
    <x v="11"/>
  </r>
  <r>
    <x v="4"/>
  </r>
  <r>
    <x v="11"/>
  </r>
  <r>
    <x v="4"/>
  </r>
  <r>
    <x v="46"/>
  </r>
  <r>
    <x v="46"/>
  </r>
  <r>
    <x v="19"/>
  </r>
  <r>
    <x v="9"/>
  </r>
  <r>
    <x v="67"/>
  </r>
  <r>
    <x v="0"/>
  </r>
  <r>
    <x v="69"/>
  </r>
  <r>
    <x v="46"/>
  </r>
  <r>
    <x v="45"/>
  </r>
  <r>
    <x v="45"/>
  </r>
  <r>
    <x v="42"/>
  </r>
  <r>
    <x v="42"/>
  </r>
  <r>
    <x v="27"/>
  </r>
  <r>
    <x v="77"/>
  </r>
  <r>
    <x v="15"/>
  </r>
  <r>
    <x v="15"/>
  </r>
  <r>
    <x v="1"/>
  </r>
  <r>
    <x v="15"/>
  </r>
  <r>
    <x v="3"/>
  </r>
  <r>
    <x v="1"/>
  </r>
  <r>
    <x v="3"/>
  </r>
  <r>
    <x v="3"/>
  </r>
  <r>
    <x v="3"/>
  </r>
  <r>
    <x v="3"/>
  </r>
  <r>
    <x v="77"/>
  </r>
  <r>
    <x v="70"/>
  </r>
  <r>
    <x v="70"/>
  </r>
  <r>
    <x v="78"/>
  </r>
  <r>
    <x v="78"/>
  </r>
  <r>
    <x v="13"/>
  </r>
  <r>
    <x v="5"/>
  </r>
  <r>
    <x v="10"/>
  </r>
  <r>
    <x v="76"/>
  </r>
  <r>
    <x v="76"/>
  </r>
  <r>
    <x v="79"/>
  </r>
  <r>
    <x v="34"/>
  </r>
  <r>
    <x v="1"/>
  </r>
  <r>
    <x v="80"/>
  </r>
  <r>
    <x v="0"/>
  </r>
  <r>
    <x v="80"/>
  </r>
  <r>
    <x v="81"/>
  </r>
  <r>
    <x v="4"/>
  </r>
  <r>
    <x v="4"/>
  </r>
  <r>
    <x v="34"/>
  </r>
  <r>
    <x v="82"/>
  </r>
  <r>
    <x v="20"/>
  </r>
  <r>
    <x v="20"/>
  </r>
  <r>
    <x v="31"/>
  </r>
  <r>
    <x v="83"/>
  </r>
  <r>
    <x v="72"/>
  </r>
  <r>
    <x v="0"/>
  </r>
  <r>
    <x v="0"/>
  </r>
  <r>
    <x v="2"/>
  </r>
  <r>
    <x v="13"/>
  </r>
  <r>
    <x v="13"/>
  </r>
  <r>
    <x v="45"/>
  </r>
  <r>
    <x v="45"/>
  </r>
  <r>
    <x v="43"/>
  </r>
  <r>
    <x v="43"/>
  </r>
  <r>
    <x v="43"/>
  </r>
  <r>
    <x v="67"/>
  </r>
  <r>
    <x v="42"/>
  </r>
  <r>
    <x v="45"/>
  </r>
  <r>
    <x v="46"/>
  </r>
  <r>
    <x v="46"/>
  </r>
  <r>
    <x v="67"/>
  </r>
  <r>
    <x v="46"/>
  </r>
  <r>
    <x v="46"/>
  </r>
  <r>
    <x v="14"/>
  </r>
  <r>
    <x v="43"/>
  </r>
  <r>
    <x v="10"/>
  </r>
  <r>
    <x v="5"/>
  </r>
  <r>
    <x v="5"/>
  </r>
  <r>
    <x v="14"/>
  </r>
  <r>
    <x v="12"/>
  </r>
  <r>
    <x v="43"/>
  </r>
  <r>
    <x v="42"/>
  </r>
  <r>
    <x v="43"/>
  </r>
  <r>
    <x v="70"/>
  </r>
  <r>
    <x v="46"/>
  </r>
  <r>
    <x v="46"/>
  </r>
  <r>
    <x v="4"/>
  </r>
  <r>
    <x v="2"/>
  </r>
  <r>
    <x v="3"/>
  </r>
  <r>
    <x v="72"/>
  </r>
  <r>
    <x v="3"/>
  </r>
  <r>
    <x v="27"/>
  </r>
  <r>
    <x v="27"/>
  </r>
  <r>
    <x v="72"/>
  </r>
  <r>
    <x v="14"/>
  </r>
  <r>
    <x v="84"/>
  </r>
  <r>
    <x v="15"/>
  </r>
  <r>
    <x v="14"/>
  </r>
  <r>
    <x v="15"/>
  </r>
  <r>
    <x v="45"/>
  </r>
  <r>
    <x v="45"/>
  </r>
  <r>
    <x v="13"/>
  </r>
  <r>
    <x v="45"/>
  </r>
  <r>
    <x v="13"/>
  </r>
  <r>
    <x v="45"/>
  </r>
  <r>
    <x v="4"/>
  </r>
  <r>
    <x v="4"/>
  </r>
  <r>
    <x v="72"/>
  </r>
  <r>
    <x v="72"/>
  </r>
  <r>
    <x v="2"/>
  </r>
  <r>
    <x v="84"/>
  </r>
  <r>
    <x v="85"/>
  </r>
  <r>
    <x v="86"/>
  </r>
  <r>
    <x v="3"/>
  </r>
  <r>
    <x v="0"/>
  </r>
  <r>
    <x v="81"/>
  </r>
  <r>
    <x v="81"/>
  </r>
  <r>
    <x v="63"/>
  </r>
  <r>
    <x v="46"/>
  </r>
  <r>
    <x v="65"/>
  </r>
  <r>
    <x v="15"/>
  </r>
  <r>
    <x v="72"/>
  </r>
  <r>
    <x v="86"/>
  </r>
  <r>
    <x v="72"/>
  </r>
  <r>
    <x v="72"/>
  </r>
  <r>
    <x v="45"/>
  </r>
  <r>
    <x v="45"/>
  </r>
  <r>
    <x v="45"/>
  </r>
  <r>
    <x v="13"/>
  </r>
  <r>
    <x v="13"/>
  </r>
  <r>
    <x v="4"/>
  </r>
  <r>
    <x v="5"/>
  </r>
  <r>
    <x v="5"/>
  </r>
  <r>
    <x v="72"/>
  </r>
  <r>
    <x v="72"/>
  </r>
  <r>
    <x v="3"/>
  </r>
  <r>
    <x v="42"/>
  </r>
  <r>
    <x v="83"/>
  </r>
  <r>
    <x v="3"/>
  </r>
  <r>
    <x v="0"/>
  </r>
  <r>
    <x v="0"/>
  </r>
  <r>
    <x v="85"/>
  </r>
  <r>
    <x v="72"/>
  </r>
  <r>
    <x v="72"/>
  </r>
  <r>
    <x v="72"/>
  </r>
  <r>
    <x v="76"/>
  </r>
  <r>
    <x v="80"/>
  </r>
  <r>
    <x v="34"/>
  </r>
  <r>
    <x v="45"/>
  </r>
  <r>
    <x v="45"/>
  </r>
  <r>
    <x v="78"/>
  </r>
  <r>
    <x v="87"/>
  </r>
  <r>
    <x v="87"/>
  </r>
  <r>
    <x v="5"/>
  </r>
  <r>
    <x v="5"/>
  </r>
  <r>
    <x v="5"/>
  </r>
  <r>
    <x v="72"/>
  </r>
  <r>
    <x v="88"/>
  </r>
  <r>
    <x v="72"/>
  </r>
  <r>
    <x v="83"/>
  </r>
  <r>
    <x v="42"/>
  </r>
  <r>
    <x v="0"/>
  </r>
  <r>
    <x v="43"/>
  </r>
  <r>
    <x v="5"/>
  </r>
  <r>
    <x v="3"/>
  </r>
  <r>
    <x v="85"/>
  </r>
  <r>
    <x v="85"/>
  </r>
  <r>
    <x v="2"/>
  </r>
  <r>
    <x v="4"/>
  </r>
  <r>
    <x v="47"/>
  </r>
  <r>
    <x v="72"/>
  </r>
  <r>
    <x v="86"/>
  </r>
  <r>
    <x v="83"/>
  </r>
  <r>
    <x v="13"/>
  </r>
  <r>
    <x v="13"/>
  </r>
  <r>
    <x v="45"/>
  </r>
  <r>
    <x v="87"/>
  </r>
  <r>
    <x v="46"/>
  </r>
  <r>
    <x v="46"/>
  </r>
  <r>
    <x v="45"/>
  </r>
  <r>
    <x v="45"/>
  </r>
  <r>
    <x v="89"/>
  </r>
  <r>
    <x v="90"/>
  </r>
  <r>
    <x v="90"/>
  </r>
  <r>
    <x v="91"/>
  </r>
  <r>
    <x v="72"/>
  </r>
  <r>
    <x v="72"/>
  </r>
  <r>
    <x v="0"/>
  </r>
  <r>
    <x v="0"/>
  </r>
  <r>
    <x v="2"/>
  </r>
  <r>
    <x v="5"/>
  </r>
  <r>
    <x v="0"/>
  </r>
  <r>
    <x v="47"/>
  </r>
  <r>
    <x v="83"/>
  </r>
  <r>
    <x v="83"/>
  </r>
  <r>
    <x v="88"/>
  </r>
  <r>
    <x v="72"/>
  </r>
  <r>
    <x v="45"/>
  </r>
  <r>
    <x v="66"/>
  </r>
  <r>
    <x v="45"/>
  </r>
  <r>
    <x v="46"/>
  </r>
  <r>
    <x v="46"/>
  </r>
  <r>
    <x v="91"/>
  </r>
  <r>
    <x v="91"/>
  </r>
  <r>
    <x v="43"/>
  </r>
  <r>
    <x v="72"/>
  </r>
  <r>
    <x v="92"/>
  </r>
  <r>
    <x v="59"/>
  </r>
  <r>
    <x v="59"/>
  </r>
  <r>
    <x v="93"/>
  </r>
  <r>
    <x v="20"/>
  </r>
  <r>
    <x v="51"/>
  </r>
  <r>
    <x v="0"/>
  </r>
  <r>
    <x v="3"/>
  </r>
  <r>
    <x v="0"/>
  </r>
  <r>
    <x v="66"/>
  </r>
  <r>
    <x v="66"/>
  </r>
  <r>
    <x v="46"/>
  </r>
  <r>
    <x v="46"/>
  </r>
  <r>
    <x v="43"/>
  </r>
  <r>
    <x v="43"/>
  </r>
  <r>
    <x v="20"/>
  </r>
  <r>
    <x v="94"/>
  </r>
  <r>
    <x v="20"/>
  </r>
  <r>
    <x v="51"/>
  </r>
  <r>
    <x v="93"/>
  </r>
  <r>
    <x v="93"/>
  </r>
  <r>
    <x v="95"/>
  </r>
  <r>
    <x v="3"/>
  </r>
  <r>
    <x v="2"/>
  </r>
  <r>
    <x v="2"/>
  </r>
  <r>
    <x v="43"/>
  </r>
  <r>
    <x v="43"/>
  </r>
  <r>
    <x v="43"/>
  </r>
  <r>
    <x v="43"/>
  </r>
  <r>
    <x v="43"/>
  </r>
  <r>
    <x v="0"/>
  </r>
  <r>
    <x v="2"/>
  </r>
  <r>
    <x v="20"/>
  </r>
  <r>
    <x v="20"/>
  </r>
  <r>
    <x v="20"/>
  </r>
  <r>
    <x v="42"/>
  </r>
  <r>
    <x v="42"/>
  </r>
  <r>
    <x v="47"/>
  </r>
  <r>
    <x v="46"/>
  </r>
  <r>
    <x v="43"/>
  </r>
  <r>
    <x v="3"/>
  </r>
  <r>
    <x v="3"/>
  </r>
  <r>
    <x v="0"/>
  </r>
  <r>
    <x v="19"/>
  </r>
  <r>
    <x v="4"/>
  </r>
  <r>
    <x v="42"/>
  </r>
  <r>
    <x v="42"/>
  </r>
  <r>
    <x v="46"/>
  </r>
  <r>
    <x v="46"/>
  </r>
  <r>
    <x v="72"/>
  </r>
  <r>
    <x v="19"/>
  </r>
  <r>
    <x v="72"/>
  </r>
  <r>
    <x v="62"/>
  </r>
  <r>
    <x v="72"/>
  </r>
  <r>
    <x v="72"/>
  </r>
  <r>
    <x v="4"/>
  </r>
  <r>
    <x v="72"/>
  </r>
  <r>
    <x v="93"/>
  </r>
  <r>
    <x v="93"/>
  </r>
  <r>
    <x v="53"/>
  </r>
  <r>
    <x v="53"/>
  </r>
  <r>
    <x v="53"/>
  </r>
  <r>
    <x v="72"/>
  </r>
  <r>
    <x v="45"/>
  </r>
  <r>
    <x v="90"/>
  </r>
  <r>
    <x v="89"/>
  </r>
  <r>
    <x v="75"/>
  </r>
  <r>
    <x v="5"/>
  </r>
  <r>
    <x v="94"/>
  </r>
  <r>
    <x v="93"/>
  </r>
  <r>
    <x v="92"/>
  </r>
  <r>
    <x v="45"/>
  </r>
  <r>
    <x v="20"/>
  </r>
  <r>
    <x v="66"/>
  </r>
  <r>
    <x v="66"/>
  </r>
  <r>
    <x v="96"/>
  </r>
  <r>
    <x v="96"/>
  </r>
  <r>
    <x v="97"/>
  </r>
  <r>
    <x v="97"/>
  </r>
  <r>
    <x v="95"/>
  </r>
  <r>
    <x v="95"/>
  </r>
  <r>
    <x v="98"/>
  </r>
  <r>
    <x v="99"/>
  </r>
  <r>
    <x v="2"/>
  </r>
  <r>
    <x v="50"/>
  </r>
  <r>
    <x v="32"/>
  </r>
  <r>
    <x v="100"/>
  </r>
  <r>
    <x v="32"/>
  </r>
  <r>
    <x v="32"/>
  </r>
  <r>
    <x v="42"/>
  </r>
  <r>
    <x v="3"/>
  </r>
  <r>
    <x v="3"/>
  </r>
  <r>
    <x v="0"/>
  </r>
  <r>
    <x v="4"/>
  </r>
  <r>
    <x v="4"/>
  </r>
  <r>
    <x v="50"/>
  </r>
  <r>
    <x v="2"/>
  </r>
  <r>
    <x v="42"/>
  </r>
  <r>
    <x v="42"/>
  </r>
  <r>
    <x v="42"/>
  </r>
  <r>
    <x v="46"/>
  </r>
  <r>
    <x v="78"/>
  </r>
  <r>
    <x v="72"/>
  </r>
  <r>
    <x v="72"/>
  </r>
  <r>
    <x v="72"/>
  </r>
  <r>
    <x v="72"/>
  </r>
  <r>
    <x v="72"/>
  </r>
  <r>
    <x v="66"/>
  </r>
  <r>
    <x v="101"/>
  </r>
  <r>
    <x v="101"/>
  </r>
  <r>
    <x v="96"/>
  </r>
  <r>
    <x v="102"/>
  </r>
  <r>
    <x v="103"/>
  </r>
  <r>
    <x v="99"/>
  </r>
  <r>
    <x v="72"/>
  </r>
  <r>
    <x v="72"/>
  </r>
  <r>
    <x v="97"/>
  </r>
  <r>
    <x v="104"/>
  </r>
  <r>
    <x v="35"/>
  </r>
  <r>
    <x v="4"/>
  </r>
  <r>
    <x v="4"/>
  </r>
  <r>
    <x v="42"/>
  </r>
  <r>
    <x v="42"/>
  </r>
  <r>
    <x v="42"/>
  </r>
  <r>
    <x v="101"/>
  </r>
  <r>
    <x v="101"/>
  </r>
  <r>
    <x v="101"/>
  </r>
  <r>
    <x v="102"/>
  </r>
  <r>
    <x v="102"/>
  </r>
  <r>
    <x v="4"/>
  </r>
  <r>
    <x v="4"/>
  </r>
  <r>
    <x v="72"/>
  </r>
  <r>
    <x v="72"/>
  </r>
  <r>
    <x v="42"/>
  </r>
  <r>
    <x v="105"/>
  </r>
  <r>
    <x v="105"/>
  </r>
  <r>
    <x v="106"/>
  </r>
  <r>
    <x v="59"/>
  </r>
  <r>
    <x v="98"/>
  </r>
  <r>
    <x v="2"/>
  </r>
  <r>
    <x v="4"/>
  </r>
  <r>
    <x v="3"/>
  </r>
  <r>
    <x v="0"/>
  </r>
  <r>
    <x v="46"/>
  </r>
  <r>
    <x v="78"/>
  </r>
  <r>
    <x v="98"/>
  </r>
  <r>
    <x v="99"/>
  </r>
  <r>
    <x v="3"/>
  </r>
  <r>
    <x v="2"/>
  </r>
  <r>
    <x v="46"/>
  </r>
  <r>
    <x v="46"/>
  </r>
  <r>
    <x v="62"/>
  </r>
  <r>
    <x v="72"/>
  </r>
  <r>
    <x v="72"/>
  </r>
  <r>
    <x v="32"/>
  </r>
  <r>
    <x v="72"/>
  </r>
  <r>
    <x v="32"/>
  </r>
  <r>
    <x v="32"/>
  </r>
  <r>
    <x v="72"/>
  </r>
  <r>
    <x v="29"/>
  </r>
  <r>
    <x v="72"/>
  </r>
  <r>
    <x v="72"/>
  </r>
  <r>
    <x v="95"/>
  </r>
  <r>
    <x v="101"/>
  </r>
  <r>
    <x v="101"/>
  </r>
  <r>
    <x v="102"/>
  </r>
  <r>
    <x v="102"/>
  </r>
  <r>
    <x v="107"/>
  </r>
  <r>
    <x v="4"/>
  </r>
  <r>
    <x v="4"/>
  </r>
  <r>
    <x v="35"/>
  </r>
  <r>
    <x v="5"/>
  </r>
  <r>
    <x v="72"/>
  </r>
  <r>
    <x v="74"/>
  </r>
  <r>
    <x v="92"/>
  </r>
  <r>
    <x v="88"/>
  </r>
  <r>
    <x v="88"/>
  </r>
  <r>
    <x v="105"/>
  </r>
  <r>
    <x v="108"/>
  </r>
  <r>
    <x v="108"/>
  </r>
  <r>
    <x v="101"/>
  </r>
  <r>
    <x v="101"/>
  </r>
  <r>
    <x v="103"/>
  </r>
  <r>
    <x v="103"/>
  </r>
  <r>
    <x v="5"/>
  </r>
  <r>
    <x v="5"/>
  </r>
  <r>
    <x v="88"/>
  </r>
  <r>
    <x v="88"/>
  </r>
  <r>
    <x v="109"/>
  </r>
  <r>
    <x v="110"/>
  </r>
  <r>
    <x v="108"/>
  </r>
  <r>
    <x v="0"/>
  </r>
  <r>
    <x v="0"/>
  </r>
  <r>
    <x v="101"/>
  </r>
  <r>
    <x v="66"/>
  </r>
  <r>
    <x v="66"/>
  </r>
  <r>
    <x v="103"/>
  </r>
  <r>
    <x v="111"/>
  </r>
  <r>
    <x v="111"/>
  </r>
  <r>
    <x v="5"/>
  </r>
  <r>
    <x v="112"/>
  </r>
  <r>
    <x v="112"/>
  </r>
  <r>
    <x v="113"/>
  </r>
  <r>
    <x v="110"/>
  </r>
  <r>
    <x v="110"/>
  </r>
  <r>
    <x v="0"/>
  </r>
  <r>
    <x v="81"/>
  </r>
  <r>
    <x v="81"/>
  </r>
  <r>
    <x v="114"/>
  </r>
  <r>
    <x v="85"/>
  </r>
  <r>
    <x v="70"/>
  </r>
  <r>
    <x v="70"/>
  </r>
  <r>
    <x v="111"/>
  </r>
  <r>
    <x v="111"/>
  </r>
  <r>
    <x v="113"/>
  </r>
  <r>
    <x v="113"/>
  </r>
  <r>
    <x v="72"/>
  </r>
  <r>
    <x v="72"/>
  </r>
  <r>
    <x v="85"/>
  </r>
  <r>
    <x v="85"/>
  </r>
  <r>
    <x v="28"/>
  </r>
  <r>
    <x v="115"/>
  </r>
  <r>
    <x v="43"/>
  </r>
  <r>
    <x v="100"/>
  </r>
  <r>
    <x v="35"/>
  </r>
  <r>
    <x v="4"/>
  </r>
  <r>
    <x v="2"/>
  </r>
  <r>
    <x v="62"/>
  </r>
  <r>
    <x v="43"/>
  </r>
  <r>
    <x v="6"/>
  </r>
  <r>
    <x v="4"/>
  </r>
  <r>
    <x v="4"/>
  </r>
  <r>
    <x v="46"/>
  </r>
  <r>
    <x v="43"/>
  </r>
  <r>
    <x v="43"/>
  </r>
  <r>
    <x v="42"/>
  </r>
  <r>
    <x v="6"/>
  </r>
  <r>
    <x v="6"/>
  </r>
  <r>
    <x v="6"/>
  </r>
  <r>
    <x v="4"/>
  </r>
  <r>
    <x v="0"/>
  </r>
  <r>
    <x v="46"/>
  </r>
  <r>
    <x v="46"/>
  </r>
  <r>
    <x v="46"/>
  </r>
  <r>
    <x v="45"/>
  </r>
  <r>
    <x v="42"/>
  </r>
  <r>
    <x v="42"/>
  </r>
  <r>
    <x v="42"/>
  </r>
  <r>
    <x v="0"/>
  </r>
  <r>
    <x v="20"/>
  </r>
  <r>
    <x v="1"/>
  </r>
  <r>
    <x v="45"/>
  </r>
  <r>
    <x v="101"/>
  </r>
  <r>
    <x v="13"/>
  </r>
  <r>
    <x v="72"/>
  </r>
  <r>
    <x v="72"/>
  </r>
  <r>
    <x v="72"/>
  </r>
  <r>
    <x v="74"/>
  </r>
  <r>
    <x v="88"/>
  </r>
  <r>
    <x v="72"/>
  </r>
  <r>
    <x v="88"/>
  </r>
  <r>
    <x v="88"/>
  </r>
  <r>
    <x v="88"/>
  </r>
  <r>
    <x v="88"/>
  </r>
  <r>
    <x v="88"/>
  </r>
  <r>
    <x v="88"/>
  </r>
  <r>
    <x v="88"/>
  </r>
  <r>
    <x v="109"/>
  </r>
  <r>
    <x v="88"/>
  </r>
  <r>
    <x v="72"/>
  </r>
  <r>
    <x v="88"/>
  </r>
  <r>
    <x v="20"/>
  </r>
  <r>
    <x v="72"/>
  </r>
  <r>
    <x v="20"/>
  </r>
  <r>
    <x v="19"/>
  </r>
  <r>
    <x v="19"/>
  </r>
  <r>
    <x v="105"/>
  </r>
  <r>
    <x v="104"/>
  </r>
  <r>
    <x v="13"/>
  </r>
  <r>
    <x v="45"/>
  </r>
  <r>
    <x v="92"/>
  </r>
  <r>
    <x v="110"/>
  </r>
  <r>
    <x v="66"/>
  </r>
  <r>
    <x v="87"/>
  </r>
  <r>
    <x v="87"/>
  </r>
  <r>
    <x v="87"/>
  </r>
  <r>
    <x v="87"/>
  </r>
  <r>
    <x v="61"/>
  </r>
  <r>
    <x v="113"/>
  </r>
  <r>
    <x v="116"/>
  </r>
  <r>
    <x v="6"/>
  </r>
  <r>
    <x v="72"/>
  </r>
  <r>
    <x v="115"/>
  </r>
  <r>
    <x v="115"/>
  </r>
  <r>
    <x v="27"/>
  </r>
  <r>
    <x v="87"/>
  </r>
  <r>
    <x v="87"/>
  </r>
  <r>
    <x v="87"/>
  </r>
  <r>
    <x v="61"/>
  </r>
  <r>
    <x v="61"/>
  </r>
  <r>
    <x v="6"/>
  </r>
  <r>
    <x v="6"/>
  </r>
  <r>
    <x v="95"/>
  </r>
  <r>
    <x v="95"/>
  </r>
  <r>
    <x v="27"/>
  </r>
  <r>
    <x v="105"/>
  </r>
  <r>
    <x v="105"/>
  </r>
  <r>
    <x v="117"/>
  </r>
  <r>
    <x v="118"/>
  </r>
  <r>
    <x v="61"/>
  </r>
  <r>
    <x v="6"/>
  </r>
  <r>
    <x v="6"/>
  </r>
  <r>
    <x v="95"/>
  </r>
  <r>
    <x v="95"/>
  </r>
  <r>
    <x v="117"/>
  </r>
  <r>
    <x v="119"/>
  </r>
  <r>
    <x v="120"/>
  </r>
  <r>
    <x v="121"/>
  </r>
  <r>
    <x v="122"/>
  </r>
  <r>
    <x v="72"/>
  </r>
  <r>
    <x v="72"/>
  </r>
  <r>
    <x v="61"/>
  </r>
  <r>
    <x v="61"/>
  </r>
  <r>
    <x v="6"/>
  </r>
  <r>
    <x v="123"/>
  </r>
  <r>
    <x v="90"/>
  </r>
  <r>
    <x v="95"/>
  </r>
  <r>
    <x v="124"/>
  </r>
  <r>
    <x v="124"/>
  </r>
  <r>
    <x v="122"/>
  </r>
  <r>
    <x v="125"/>
  </r>
  <r>
    <x v="125"/>
  </r>
  <r>
    <x v="126"/>
  </r>
  <r>
    <x v="88"/>
  </r>
  <r>
    <x v="127"/>
  </r>
  <r>
    <x v="61"/>
  </r>
  <r>
    <x v="128"/>
  </r>
  <r>
    <x v="128"/>
  </r>
  <r>
    <x v="90"/>
  </r>
  <r>
    <x v="129"/>
  </r>
  <r>
    <x v="129"/>
  </r>
  <r>
    <x v="15"/>
  </r>
  <r>
    <x v="130"/>
  </r>
  <r>
    <x v="126"/>
  </r>
  <r>
    <x v="131"/>
  </r>
  <r>
    <x v="88"/>
  </r>
  <r>
    <x v="88"/>
  </r>
  <r>
    <x v="72"/>
  </r>
  <r>
    <x v="72"/>
  </r>
  <r>
    <x v="127"/>
  </r>
  <r>
    <x v="127"/>
  </r>
  <r>
    <x v="128"/>
  </r>
  <r>
    <x v="96"/>
  </r>
  <r>
    <x v="96"/>
  </r>
  <r>
    <x v="132"/>
  </r>
  <r>
    <x v="132"/>
  </r>
  <r>
    <x v="131"/>
  </r>
  <r>
    <x v="126"/>
  </r>
  <r>
    <x v="126"/>
  </r>
  <r>
    <x v="32"/>
  </r>
  <r>
    <x v="74"/>
  </r>
  <r>
    <x v="88"/>
  </r>
  <r>
    <x v="88"/>
  </r>
  <r>
    <x v="72"/>
  </r>
  <r>
    <x v="72"/>
  </r>
  <r>
    <x v="127"/>
  </r>
  <r>
    <x v="127"/>
  </r>
  <r>
    <x v="101"/>
  </r>
  <r>
    <x v="96"/>
  </r>
  <r>
    <x v="96"/>
  </r>
  <r>
    <x v="117"/>
  </r>
  <r>
    <x v="4"/>
  </r>
  <r>
    <x v="4"/>
  </r>
  <r>
    <x v="74"/>
  </r>
  <r>
    <x v="14"/>
  </r>
  <r>
    <x v="93"/>
  </r>
  <r>
    <x v="14"/>
  </r>
  <r>
    <x v="110"/>
  </r>
  <r>
    <x v="88"/>
  </r>
  <r>
    <x v="117"/>
  </r>
  <r>
    <x v="117"/>
  </r>
  <r>
    <x v="68"/>
  </r>
  <r>
    <x v="72"/>
  </r>
  <r>
    <x v="72"/>
  </r>
  <r>
    <x v="101"/>
  </r>
  <r>
    <x v="101"/>
  </r>
  <r>
    <x v="96"/>
  </r>
  <r>
    <x v="96"/>
  </r>
  <r>
    <x v="4"/>
  </r>
  <r>
    <x v="4"/>
  </r>
  <r>
    <x v="5"/>
  </r>
  <r>
    <x v="110"/>
  </r>
  <r>
    <x v="110"/>
  </r>
  <r>
    <x v="53"/>
  </r>
  <r>
    <x v="68"/>
  </r>
  <r>
    <x v="133"/>
  </r>
  <r>
    <x v="133"/>
  </r>
  <r>
    <x v="25"/>
  </r>
  <r>
    <x v="134"/>
  </r>
  <r>
    <x v="108"/>
  </r>
  <r>
    <x v="72"/>
  </r>
  <r>
    <x v="72"/>
  </r>
  <r>
    <x v="101"/>
  </r>
  <r>
    <x v="101"/>
  </r>
  <r>
    <x v="96"/>
  </r>
  <r>
    <x v="96"/>
  </r>
  <r>
    <x v="5"/>
  </r>
  <r>
    <x v="5"/>
  </r>
  <r>
    <x v="53"/>
  </r>
  <r>
    <x v="53"/>
  </r>
  <r>
    <x v="76"/>
  </r>
  <r>
    <x v="108"/>
  </r>
  <r>
    <x v="135"/>
  </r>
  <r>
    <x v="135"/>
  </r>
  <r>
    <x v="72"/>
  </r>
  <r>
    <x v="72"/>
  </r>
  <r>
    <x v="101"/>
  </r>
  <r>
    <x v="101"/>
  </r>
  <r>
    <x v="46"/>
  </r>
  <r>
    <x v="46"/>
  </r>
  <r>
    <x v="46"/>
  </r>
  <r>
    <x v="5"/>
  </r>
  <r>
    <x v="5"/>
  </r>
  <r>
    <x v="6"/>
  </r>
  <r>
    <x v="76"/>
  </r>
  <r>
    <x v="135"/>
  </r>
  <r>
    <x v="135"/>
  </r>
  <r>
    <x v="135"/>
  </r>
  <r>
    <x v="121"/>
  </r>
  <r>
    <x v="2"/>
  </r>
  <r>
    <x v="121"/>
  </r>
  <r>
    <x v="72"/>
  </r>
  <r>
    <x v="20"/>
  </r>
  <r>
    <x v="136"/>
  </r>
  <r>
    <x v="136"/>
  </r>
  <r>
    <x v="137"/>
  </r>
  <r>
    <x v="20"/>
  </r>
  <r>
    <x v="6"/>
  </r>
  <r>
    <x v="6"/>
  </r>
  <r>
    <x v="4"/>
  </r>
  <r>
    <x v="4"/>
  </r>
  <r>
    <x v="42"/>
  </r>
  <r>
    <x v="3"/>
  </r>
  <r>
    <x v="13"/>
  </r>
  <r>
    <x v="78"/>
  </r>
  <r>
    <x v="63"/>
  </r>
  <r>
    <x v="6"/>
  </r>
  <r>
    <x v="6"/>
  </r>
  <r>
    <x v="35"/>
  </r>
  <r>
    <x v="42"/>
  </r>
  <r>
    <x v="42"/>
  </r>
  <r>
    <x v="5"/>
  </r>
  <r>
    <x v="3"/>
  </r>
  <r>
    <x v="3"/>
  </r>
  <r>
    <x v="4"/>
  </r>
  <r>
    <x v="63"/>
  </r>
  <r>
    <x v="107"/>
  </r>
  <r>
    <x v="2"/>
  </r>
  <r>
    <x v="1"/>
  </r>
  <r>
    <x v="2"/>
  </r>
  <r>
    <x v="91"/>
  </r>
  <r>
    <x v="91"/>
  </r>
  <r>
    <x v="2"/>
  </r>
  <r>
    <x v="5"/>
  </r>
  <r>
    <x v="138"/>
  </r>
  <r>
    <x v="42"/>
  </r>
  <r>
    <x v="42"/>
  </r>
  <r>
    <x v="43"/>
  </r>
  <r>
    <x v="4"/>
  </r>
  <r>
    <x v="4"/>
  </r>
  <r>
    <x v="70"/>
  </r>
  <r>
    <x v="87"/>
  </r>
  <r>
    <x v="85"/>
  </r>
  <r>
    <x v="117"/>
  </r>
  <r>
    <x v="111"/>
  </r>
  <r>
    <x v="87"/>
  </r>
  <r>
    <x v="91"/>
  </r>
  <r>
    <x v="6"/>
  </r>
  <r>
    <x v="4"/>
  </r>
  <r>
    <x v="139"/>
  </r>
  <r>
    <x v="139"/>
  </r>
  <r>
    <x v="138"/>
  </r>
  <r>
    <x v="138"/>
  </r>
  <r>
    <x v="42"/>
  </r>
  <r>
    <x v="43"/>
  </r>
  <r>
    <x v="47"/>
  </r>
  <r>
    <x v="111"/>
  </r>
  <r>
    <x v="47"/>
  </r>
  <r>
    <x v="6"/>
  </r>
  <r>
    <x v="113"/>
  </r>
  <r>
    <x v="43"/>
  </r>
  <r>
    <x v="42"/>
  </r>
  <r>
    <x v="42"/>
  </r>
  <r>
    <x v="139"/>
  </r>
  <r>
    <x v="5"/>
  </r>
  <r>
    <x v="140"/>
  </r>
  <r>
    <x v="45"/>
  </r>
  <r>
    <x v="45"/>
  </r>
  <r>
    <x v="19"/>
  </r>
  <r>
    <x v="20"/>
  </r>
  <r>
    <x v="6"/>
  </r>
  <r>
    <x v="6"/>
  </r>
  <r>
    <x v="4"/>
  </r>
  <r>
    <x v="132"/>
  </r>
  <r>
    <x v="43"/>
  </r>
  <r>
    <x v="129"/>
  </r>
  <r>
    <x v="5"/>
  </r>
  <r>
    <x v="5"/>
  </r>
  <r>
    <x v="45"/>
  </r>
  <r>
    <x v="128"/>
  </r>
  <r>
    <x v="62"/>
  </r>
  <r>
    <x v="6"/>
  </r>
  <r>
    <x v="19"/>
  </r>
  <r>
    <x v="19"/>
  </r>
  <r>
    <x v="19"/>
  </r>
  <r>
    <x v="2"/>
  </r>
  <r>
    <x v="2"/>
  </r>
  <r>
    <x v="43"/>
  </r>
  <r>
    <x v="82"/>
  </r>
  <r>
    <x v="5"/>
  </r>
  <r>
    <x v="5"/>
  </r>
  <r>
    <x v="128"/>
  </r>
  <r>
    <x v="46"/>
  </r>
  <r>
    <x v="45"/>
  </r>
  <r>
    <x v="141"/>
  </r>
  <r>
    <x v="6"/>
  </r>
  <r>
    <x v="2"/>
  </r>
  <r>
    <x v="2"/>
  </r>
  <r>
    <x v="14"/>
  </r>
  <r>
    <x v="19"/>
  </r>
  <r>
    <x v="43"/>
  </r>
  <r>
    <x v="45"/>
  </r>
  <r>
    <x v="46"/>
  </r>
  <r>
    <x v="69"/>
  </r>
  <r>
    <x v="119"/>
  </r>
  <r>
    <x v="120"/>
  </r>
  <r>
    <x v="68"/>
  </r>
  <r>
    <x v="1"/>
  </r>
  <r>
    <x v="14"/>
  </r>
  <r>
    <x v="14"/>
  </r>
  <r>
    <x v="43"/>
  </r>
  <r>
    <x v="43"/>
  </r>
  <r>
    <x v="3"/>
  </r>
  <r>
    <x v="19"/>
  </r>
  <r>
    <x v="4"/>
  </r>
  <r>
    <x v="3"/>
  </r>
  <r>
    <x v="134"/>
  </r>
  <r>
    <x v="134"/>
  </r>
  <r>
    <x v="1"/>
  </r>
  <r>
    <x v="141"/>
  </r>
  <r>
    <x v="42"/>
  </r>
  <r>
    <x v="14"/>
  </r>
  <r>
    <x v="0"/>
  </r>
  <r>
    <x v="4"/>
  </r>
  <r>
    <x v="3"/>
  </r>
  <r>
    <x v="46"/>
  </r>
  <r>
    <x v="127"/>
  </r>
  <r>
    <x v="72"/>
  </r>
  <r>
    <x v="19"/>
  </r>
  <r>
    <x v="19"/>
  </r>
  <r>
    <x v="72"/>
  </r>
  <r>
    <x v="0"/>
  </r>
  <r>
    <x v="19"/>
  </r>
  <r>
    <x v="2"/>
  </r>
  <r>
    <x v="72"/>
  </r>
  <r>
    <x v="72"/>
  </r>
  <r>
    <x v="72"/>
  </r>
  <r>
    <x v="72"/>
  </r>
  <r>
    <x v="72"/>
  </r>
  <r>
    <x v="0"/>
  </r>
  <r>
    <x v="118"/>
  </r>
  <r>
    <x v="0"/>
  </r>
  <r>
    <x v="27"/>
  </r>
  <r>
    <x v="27"/>
  </r>
  <r>
    <x v="122"/>
  </r>
  <r>
    <x v="27"/>
  </r>
  <r>
    <x v="88"/>
  </r>
  <r>
    <x v="122"/>
  </r>
  <r>
    <x v="142"/>
  </r>
  <r>
    <x v="88"/>
  </r>
  <r>
    <x v="142"/>
  </r>
  <r>
    <x v="17"/>
  </r>
  <r>
    <x v="88"/>
  </r>
  <r>
    <x v="88"/>
  </r>
  <r>
    <x v="88"/>
  </r>
  <r>
    <x v="88"/>
  </r>
  <r>
    <x v="88"/>
  </r>
  <r>
    <x v="72"/>
  </r>
  <r>
    <x v="88"/>
  </r>
  <r>
    <x v="88"/>
  </r>
  <r>
    <x v="72"/>
  </r>
  <r>
    <x v="88"/>
  </r>
  <r>
    <x v="88"/>
  </r>
  <r>
    <x v="88"/>
  </r>
  <r>
    <x v="88"/>
  </r>
  <r>
    <x v="32"/>
  </r>
  <r>
    <x v="74"/>
  </r>
  <r>
    <x v="72"/>
  </r>
  <r>
    <x v="72"/>
  </r>
  <r>
    <x v="72"/>
  </r>
  <r>
    <x v="72"/>
  </r>
  <r>
    <x v="72"/>
  </r>
  <r>
    <x v="72"/>
  </r>
  <r>
    <x v="53"/>
  </r>
  <r>
    <x v="72"/>
  </r>
  <r>
    <x v="72"/>
  </r>
  <r>
    <x v="53"/>
  </r>
  <r>
    <x v="4"/>
  </r>
  <r>
    <x v="0"/>
  </r>
  <r>
    <x v="72"/>
  </r>
  <r>
    <x v="28"/>
  </r>
  <r>
    <x v="114"/>
  </r>
  <r>
    <x v="115"/>
  </r>
  <r>
    <x v="115"/>
  </r>
  <r>
    <x v="115"/>
  </r>
  <r>
    <x v="105"/>
  </r>
  <r>
    <x v="95"/>
  </r>
  <r>
    <x v="124"/>
  </r>
  <r>
    <x v="92"/>
  </r>
  <r>
    <x v="110"/>
  </r>
  <r>
    <x v="130"/>
  </r>
  <r>
    <x v="124"/>
  </r>
  <r>
    <x v="131"/>
  </r>
  <r>
    <x v="90"/>
  </r>
  <r>
    <x v="72"/>
  </r>
  <r>
    <x v="45"/>
  </r>
  <r>
    <x v="46"/>
  </r>
  <r>
    <x v="72"/>
  </r>
  <r>
    <x v="72"/>
  </r>
  <r>
    <x v="93"/>
  </r>
  <r>
    <x v="131"/>
  </r>
  <r>
    <x v="110"/>
  </r>
  <r>
    <x v="76"/>
  </r>
  <r>
    <x v="110"/>
  </r>
  <r>
    <x v="131"/>
  </r>
  <r>
    <x v="3"/>
  </r>
  <r>
    <x v="78"/>
  </r>
  <r>
    <x v="14"/>
  </r>
  <r>
    <x v="19"/>
  </r>
  <r>
    <x v="42"/>
  </r>
  <r>
    <x v="46"/>
  </r>
  <r>
    <x v="45"/>
  </r>
  <r>
    <x v="69"/>
  </r>
  <r>
    <x v="82"/>
  </r>
  <r>
    <x v="63"/>
  </r>
  <r>
    <x v="92"/>
  </r>
  <r>
    <x v="62"/>
  </r>
  <r>
    <x v="98"/>
  </r>
  <r>
    <x v="106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  <r>
    <x v="1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D67B4-1219-4293-8136-B4359106C580}" name="PivotTable2" cacheId="1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A146" firstHeaderRow="1" firstDataRow="1" firstDataCol="1"/>
  <pivotFields count="1">
    <pivotField axis="axisRow" showAll="0">
      <items count="153">
        <item x="143"/>
        <item m="1" x="145"/>
        <item m="1" x="150"/>
        <item m="1" x="146"/>
        <item m="1" x="147"/>
        <item m="1" x="148"/>
        <item m="1" x="144"/>
        <item m="1" x="151"/>
        <item m="1" x="1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78"/>
        <item x="14"/>
        <item x="15"/>
        <item x="16"/>
        <item x="17"/>
        <item x="19"/>
        <item x="20"/>
        <item x="21"/>
        <item x="22"/>
        <item x="23"/>
        <item x="24"/>
        <item x="26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4"/>
        <item x="66"/>
        <item x="67"/>
        <item x="68"/>
        <item x="18"/>
        <item x="46"/>
        <item x="45"/>
        <item x="25"/>
        <item x="27"/>
        <item x="69"/>
        <item x="70"/>
        <item x="71"/>
        <item x="72"/>
        <item x="73"/>
        <item x="74"/>
        <item x="75"/>
        <item x="76"/>
        <item x="13"/>
        <item x="82"/>
        <item x="77"/>
        <item x="79"/>
        <item x="80"/>
        <item x="81"/>
        <item x="83"/>
        <item x="84"/>
        <item x="85"/>
        <item x="86"/>
        <item x="108"/>
        <item x="63"/>
        <item x="65"/>
        <item x="87"/>
        <item x="88"/>
        <item x="47"/>
        <item x="89"/>
        <item x="90"/>
        <item x="91"/>
        <item x="92"/>
        <item x="93"/>
        <item x="94"/>
        <item x="95"/>
        <item x="62"/>
        <item x="96"/>
        <item x="97"/>
        <item x="98"/>
        <item x="99"/>
        <item x="100"/>
        <item x="106"/>
        <item x="101"/>
        <item x="102"/>
        <item x="103"/>
        <item x="104"/>
        <item x="105"/>
        <item x="107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</pivotFields>
  <rowFields count="1">
    <field x="0"/>
  </rowFields>
  <rowItems count="145">
    <i>
      <x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 t="grand">
      <x/>
    </i>
  </rowItems>
  <colItems count="1">
    <i/>
  </colItems>
  <formats count="1">
    <format dxfId="4">
      <pivotArea field="0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93E91-5B69-4FFC-98C1-D91F13748368}" name="PivotTable1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:A92" firstHeaderRow="1" firstDataRow="1" firstDataCol="1"/>
  <pivotFields count="1">
    <pivotField axis="axisRow" showAll="0">
      <items count="95">
        <item x="8"/>
        <item x="89"/>
        <item m="1" x="93"/>
        <item x="0"/>
        <item x="1"/>
        <item x="2"/>
        <item x="3"/>
        <item x="4"/>
        <item x="5"/>
        <item x="6"/>
        <item x="7"/>
        <item m="1" x="91"/>
        <item x="9"/>
        <item x="10"/>
        <item x="11"/>
        <item x="12"/>
        <item x="13"/>
        <item x="14"/>
        <item x="15"/>
        <item x="22"/>
        <item x="16"/>
        <item x="26"/>
        <item x="23"/>
        <item x="18"/>
        <item x="19"/>
        <item x="21"/>
        <item x="20"/>
        <item x="17"/>
        <item x="24"/>
        <item x="25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m="1" x="90"/>
        <item m="1" x="92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</pivotFields>
  <rowFields count="1">
    <field x="0"/>
  </rowFields>
  <rowItems count="91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A429-3C3D-49FA-8031-FF1CC660E102}">
  <dimension ref="A1:V1115"/>
  <sheetViews>
    <sheetView workbookViewId="0">
      <pane ySplit="1" topLeftCell="A976" activePane="bottomLeft" state="frozen"/>
      <selection pane="bottomLeft" activeCell="A1016" sqref="A1005:A1016"/>
    </sheetView>
  </sheetViews>
  <sheetFormatPr defaultRowHeight="12.75" x14ac:dyDescent="0.2"/>
  <cols>
    <col min="1" max="1" width="9.28515625" style="47" bestFit="1" customWidth="1"/>
    <col min="2" max="2" width="23.42578125" style="35" bestFit="1" customWidth="1"/>
    <col min="3" max="3" width="14.5703125" style="35" bestFit="1" customWidth="1"/>
    <col min="4" max="4" width="16.140625" style="35" bestFit="1" customWidth="1"/>
    <col min="5" max="5" width="13.5703125" style="35" bestFit="1" customWidth="1"/>
    <col min="6" max="6" width="11.28515625" style="35" bestFit="1" customWidth="1"/>
    <col min="7" max="7" width="9.28515625" style="40" bestFit="1" customWidth="1"/>
    <col min="8" max="8" width="15.28515625" style="40" bestFit="1" customWidth="1"/>
    <col min="9" max="9" width="9.85546875" style="40" bestFit="1" customWidth="1"/>
    <col min="10" max="10" width="11.140625" style="58" bestFit="1" customWidth="1"/>
    <col min="11" max="11" width="12.42578125" style="40" bestFit="1" customWidth="1"/>
    <col min="12" max="12" width="14.28515625" style="40" bestFit="1" customWidth="1"/>
    <col min="13" max="13" width="11.140625" style="40" bestFit="1" customWidth="1"/>
    <col min="14" max="14" width="19.28515625" style="40" bestFit="1" customWidth="1"/>
    <col min="15" max="15" width="21" style="40" bestFit="1" customWidth="1"/>
    <col min="16" max="16" width="9.28515625" style="40" bestFit="1" customWidth="1"/>
    <col min="17" max="17" width="11.7109375" style="40" bestFit="1" customWidth="1"/>
    <col min="18" max="18" width="12.85546875" style="58" bestFit="1" customWidth="1"/>
    <col min="19" max="19" width="9.42578125" style="40" bestFit="1" customWidth="1"/>
    <col min="20" max="20" width="8" style="40" bestFit="1" customWidth="1"/>
    <col min="21" max="21" width="4.42578125" bestFit="1" customWidth="1"/>
    <col min="22" max="22" width="6" bestFit="1" customWidth="1"/>
  </cols>
  <sheetData>
    <row r="1" spans="1:20" ht="21.75" thickBot="1" x14ac:dyDescent="0.5">
      <c r="A1" s="30" t="s">
        <v>0</v>
      </c>
      <c r="B1" s="25" t="s">
        <v>2</v>
      </c>
      <c r="C1" s="25" t="s">
        <v>3</v>
      </c>
      <c r="D1" s="25" t="s">
        <v>46</v>
      </c>
      <c r="E1" s="25" t="s">
        <v>56</v>
      </c>
      <c r="F1" s="25" t="s">
        <v>4</v>
      </c>
      <c r="G1" s="26" t="s">
        <v>47</v>
      </c>
      <c r="H1" s="27" t="s">
        <v>48</v>
      </c>
      <c r="I1" s="28" t="s">
        <v>49</v>
      </c>
      <c r="J1" s="28" t="s">
        <v>45</v>
      </c>
      <c r="K1" s="25" t="s">
        <v>50</v>
      </c>
      <c r="L1" s="29" t="s">
        <v>9</v>
      </c>
      <c r="M1" s="29" t="s">
        <v>10</v>
      </c>
      <c r="N1" s="29" t="s">
        <v>11</v>
      </c>
      <c r="O1" s="27" t="s">
        <v>51</v>
      </c>
      <c r="P1" s="27" t="s">
        <v>1</v>
      </c>
      <c r="Q1" s="25" t="s">
        <v>52</v>
      </c>
      <c r="R1" s="28" t="s">
        <v>53</v>
      </c>
      <c r="S1" s="25" t="s">
        <v>57</v>
      </c>
      <c r="T1" s="26" t="s">
        <v>54</v>
      </c>
    </row>
    <row r="2" spans="1:20" x14ac:dyDescent="0.2">
      <c r="A2" s="41" t="str">
        <f>CONCATENATE(E2,"/",F2)</f>
        <v>14/5</v>
      </c>
      <c r="B2" s="18" t="s">
        <v>6</v>
      </c>
      <c r="C2" s="18" t="s">
        <v>76</v>
      </c>
      <c r="D2" s="18" t="s">
        <v>76</v>
      </c>
      <c r="E2" s="18" t="s">
        <v>12</v>
      </c>
      <c r="F2" s="18">
        <v>5</v>
      </c>
      <c r="G2" s="1"/>
      <c r="H2" s="42" t="s">
        <v>55</v>
      </c>
      <c r="I2" s="1"/>
      <c r="J2" s="43">
        <v>45870</v>
      </c>
      <c r="K2" s="1">
        <v>42</v>
      </c>
      <c r="L2" s="1">
        <f>38+44+45+65+25+29+61+57+51+38+41+50+58+60+32+54+52+50+44+50+36+50+26+52+57</f>
        <v>1165</v>
      </c>
      <c r="M2" s="1">
        <f>1.4*25</f>
        <v>35</v>
      </c>
      <c r="N2" s="1">
        <f t="shared" ref="N2:N33" si="0">+L2-M2</f>
        <v>1130</v>
      </c>
      <c r="O2" s="1"/>
      <c r="P2" s="1"/>
      <c r="Q2" s="1"/>
      <c r="R2" s="43"/>
      <c r="S2" s="1"/>
      <c r="T2" s="1"/>
    </row>
    <row r="3" spans="1:20" x14ac:dyDescent="0.2">
      <c r="A3" s="41" t="str">
        <f t="shared" ref="A3:A66" si="1">CONCATENATE(E3,"/",F3)</f>
        <v>13/5</v>
      </c>
      <c r="B3" s="18" t="s">
        <v>6</v>
      </c>
      <c r="C3" s="18" t="s">
        <v>76</v>
      </c>
      <c r="D3" s="18" t="s">
        <v>76</v>
      </c>
      <c r="E3" s="19" t="s">
        <v>13</v>
      </c>
      <c r="F3" s="19">
        <v>5</v>
      </c>
      <c r="G3" s="2"/>
      <c r="H3" s="44" t="s">
        <v>55</v>
      </c>
      <c r="I3" s="2"/>
      <c r="J3" s="43">
        <v>45870</v>
      </c>
      <c r="K3" s="2">
        <v>21</v>
      </c>
      <c r="L3" s="2">
        <f>45+40+54+37+36+49+32+44+38+43+25+47+51+51+65+34+28+38+50+15+13</f>
        <v>835</v>
      </c>
      <c r="M3" s="2">
        <f>1.3*21</f>
        <v>27.3</v>
      </c>
      <c r="N3" s="2">
        <f t="shared" si="0"/>
        <v>807.7</v>
      </c>
      <c r="O3" s="2"/>
      <c r="P3" s="2"/>
      <c r="Q3" s="2"/>
      <c r="R3" s="38"/>
      <c r="S3" s="2"/>
      <c r="T3" s="2"/>
    </row>
    <row r="4" spans="1:20" x14ac:dyDescent="0.2">
      <c r="A4" s="41" t="str">
        <f t="shared" si="1"/>
        <v>12/5</v>
      </c>
      <c r="B4" s="18" t="s">
        <v>6</v>
      </c>
      <c r="C4" s="18" t="s">
        <v>76</v>
      </c>
      <c r="D4" s="18" t="s">
        <v>76</v>
      </c>
      <c r="E4" s="19" t="s">
        <v>14</v>
      </c>
      <c r="F4" s="19">
        <v>5</v>
      </c>
      <c r="G4" s="2"/>
      <c r="H4" s="44" t="s">
        <v>55</v>
      </c>
      <c r="I4" s="2"/>
      <c r="J4" s="43">
        <v>45870</v>
      </c>
      <c r="K4" s="2">
        <v>32</v>
      </c>
      <c r="L4" s="2">
        <f>41+51+55+44+43+41+43+38+41+48+48+43+44+41+18+43+44+45+44+23+16+54+45+49+43+41+35+53+46+53+50+42</f>
        <v>1365</v>
      </c>
      <c r="M4" s="2">
        <f>1.2*32</f>
        <v>38.4</v>
      </c>
      <c r="N4" s="2">
        <f t="shared" si="0"/>
        <v>1326.6</v>
      </c>
      <c r="O4" s="2"/>
      <c r="P4" s="2"/>
      <c r="Q4" s="2"/>
      <c r="R4" s="38"/>
      <c r="S4" s="2"/>
      <c r="T4" s="2"/>
    </row>
    <row r="5" spans="1:20" x14ac:dyDescent="0.2">
      <c r="A5" s="41" t="str">
        <f t="shared" si="1"/>
        <v>11/5</v>
      </c>
      <c r="B5" s="18" t="s">
        <v>6</v>
      </c>
      <c r="C5" s="18" t="s">
        <v>76</v>
      </c>
      <c r="D5" s="18" t="s">
        <v>76</v>
      </c>
      <c r="E5" s="19" t="s">
        <v>15</v>
      </c>
      <c r="F5" s="19">
        <v>5</v>
      </c>
      <c r="G5" s="2"/>
      <c r="H5" s="44" t="s">
        <v>55</v>
      </c>
      <c r="I5" s="2"/>
      <c r="J5" s="43">
        <v>45870</v>
      </c>
      <c r="K5" s="2">
        <v>30</v>
      </c>
      <c r="L5" s="2">
        <f>60+43+50+46+22+17+44+39+50+44+47+42+42+43+43+47+46+53+48+47+44+46+51+55+37+32</f>
        <v>1138</v>
      </c>
      <c r="M5" s="2">
        <f>1.1*26</f>
        <v>28.6</v>
      </c>
      <c r="N5" s="2">
        <f t="shared" si="0"/>
        <v>1109.4000000000001</v>
      </c>
      <c r="O5" s="2"/>
      <c r="P5" s="2"/>
      <c r="Q5" s="2"/>
      <c r="R5" s="38"/>
      <c r="S5" s="2"/>
      <c r="T5" s="2"/>
    </row>
    <row r="6" spans="1:20" x14ac:dyDescent="0.2">
      <c r="A6" s="41" t="str">
        <f t="shared" si="1"/>
        <v>8/5</v>
      </c>
      <c r="B6" s="18" t="s">
        <v>6</v>
      </c>
      <c r="C6" s="18" t="s">
        <v>76</v>
      </c>
      <c r="D6" s="18" t="s">
        <v>76</v>
      </c>
      <c r="E6" s="19" t="s">
        <v>18</v>
      </c>
      <c r="F6" s="19">
        <v>5</v>
      </c>
      <c r="G6" s="2"/>
      <c r="H6" s="44" t="s">
        <v>55</v>
      </c>
      <c r="I6" s="2"/>
      <c r="J6" s="43">
        <v>45870</v>
      </c>
      <c r="K6" s="2">
        <v>38</v>
      </c>
      <c r="L6" s="2">
        <f>16+34+27+30+41+40+38+45+34+34+31+34+27+27+34+21+39+30+21+28+34+44+39+42+34+27+38+35+35+36+21+25+23+31+31+39+30+40</f>
        <v>1235</v>
      </c>
      <c r="M6" s="2">
        <f>0.8*38</f>
        <v>30.400000000000002</v>
      </c>
      <c r="N6" s="2">
        <f t="shared" si="0"/>
        <v>1204.5999999999999</v>
      </c>
      <c r="O6" s="2"/>
      <c r="P6" s="2"/>
      <c r="Q6" s="2"/>
      <c r="R6" s="38"/>
      <c r="S6" s="2"/>
      <c r="T6" s="2"/>
    </row>
    <row r="7" spans="1:20" x14ac:dyDescent="0.2">
      <c r="A7" s="41" t="str">
        <f t="shared" si="1"/>
        <v>7/5</v>
      </c>
      <c r="B7" s="18" t="s">
        <v>6</v>
      </c>
      <c r="C7" s="18" t="s">
        <v>76</v>
      </c>
      <c r="D7" s="18" t="s">
        <v>76</v>
      </c>
      <c r="E7" s="19" t="s">
        <v>19</v>
      </c>
      <c r="F7" s="19">
        <v>5</v>
      </c>
      <c r="G7" s="2"/>
      <c r="H7" s="44" t="s">
        <v>55</v>
      </c>
      <c r="I7" s="2"/>
      <c r="J7" s="43">
        <v>45870</v>
      </c>
      <c r="K7" s="2">
        <v>14</v>
      </c>
      <c r="L7" s="2">
        <v>350</v>
      </c>
      <c r="M7" s="2">
        <f>0.7*11</f>
        <v>7.6999999999999993</v>
      </c>
      <c r="N7" s="2">
        <v>350</v>
      </c>
      <c r="O7" s="2"/>
      <c r="P7" s="2"/>
      <c r="Q7" s="2"/>
      <c r="R7" s="38"/>
      <c r="S7" s="2"/>
      <c r="T7" s="2"/>
    </row>
    <row r="8" spans="1:20" x14ac:dyDescent="0.2">
      <c r="A8" s="41" t="str">
        <f t="shared" si="1"/>
        <v>6/5</v>
      </c>
      <c r="B8" s="18" t="s">
        <v>6</v>
      </c>
      <c r="C8" s="18" t="s">
        <v>76</v>
      </c>
      <c r="D8" s="18" t="s">
        <v>76</v>
      </c>
      <c r="E8" s="19" t="s">
        <v>20</v>
      </c>
      <c r="F8" s="19">
        <v>5</v>
      </c>
      <c r="G8" s="2"/>
      <c r="H8" s="44" t="s">
        <v>55</v>
      </c>
      <c r="I8" s="2"/>
      <c r="J8" s="43">
        <v>45870</v>
      </c>
      <c r="K8" s="2">
        <v>33</v>
      </c>
      <c r="L8" s="2">
        <f>36+33+33+34+25+22+28+28+14+11+32+29+28+30+31+33+31+33+32+33+32+35+34+36+34+34+30+35+36+36+35+38+38</f>
        <v>1029</v>
      </c>
      <c r="M8" s="2">
        <f>0.6*33</f>
        <v>19.8</v>
      </c>
      <c r="N8" s="2">
        <f t="shared" si="0"/>
        <v>1009.2</v>
      </c>
      <c r="O8" s="2"/>
      <c r="P8" s="2"/>
      <c r="Q8" s="2"/>
      <c r="R8" s="38"/>
      <c r="S8" s="2"/>
      <c r="T8" s="2"/>
    </row>
    <row r="9" spans="1:20" x14ac:dyDescent="0.2">
      <c r="A9" s="41" t="str">
        <f t="shared" si="1"/>
        <v>14/6.5</v>
      </c>
      <c r="B9" s="18" t="s">
        <v>6</v>
      </c>
      <c r="C9" s="18" t="s">
        <v>76</v>
      </c>
      <c r="D9" s="18" t="s">
        <v>76</v>
      </c>
      <c r="E9" s="19" t="s">
        <v>12</v>
      </c>
      <c r="F9" s="19">
        <v>6.5</v>
      </c>
      <c r="G9" s="2"/>
      <c r="H9" s="44" t="s">
        <v>55</v>
      </c>
      <c r="I9" s="2"/>
      <c r="J9" s="43">
        <v>45870</v>
      </c>
      <c r="K9" s="2">
        <v>12</v>
      </c>
      <c r="L9" s="2">
        <f>49+36+45+44+41+41+43+48+35+35+35+43</f>
        <v>495</v>
      </c>
      <c r="M9" s="2">
        <f>1.4*12</f>
        <v>16.799999999999997</v>
      </c>
      <c r="N9" s="2">
        <f t="shared" si="0"/>
        <v>478.2</v>
      </c>
      <c r="O9" s="2"/>
      <c r="P9" s="2"/>
      <c r="Q9" s="2"/>
      <c r="R9" s="38"/>
      <c r="S9" s="2"/>
      <c r="T9" s="2"/>
    </row>
    <row r="10" spans="1:20" x14ac:dyDescent="0.2">
      <c r="A10" s="41" t="str">
        <f t="shared" si="1"/>
        <v>15/6</v>
      </c>
      <c r="B10" s="18" t="s">
        <v>6</v>
      </c>
      <c r="C10" s="18" t="s">
        <v>76</v>
      </c>
      <c r="D10" s="18" t="s">
        <v>76</v>
      </c>
      <c r="E10" s="19" t="s">
        <v>21</v>
      </c>
      <c r="F10" s="19">
        <v>6</v>
      </c>
      <c r="G10" s="2"/>
      <c r="H10" s="44" t="s">
        <v>55</v>
      </c>
      <c r="I10" s="2"/>
      <c r="J10" s="43">
        <v>45870</v>
      </c>
      <c r="K10" s="2">
        <v>7</v>
      </c>
      <c r="L10" s="2">
        <f>24+32+36+32+31+34+34</f>
        <v>223</v>
      </c>
      <c r="M10" s="2">
        <f>1.5*7</f>
        <v>10.5</v>
      </c>
      <c r="N10" s="2">
        <f t="shared" si="0"/>
        <v>212.5</v>
      </c>
      <c r="O10" s="2"/>
      <c r="P10" s="2"/>
      <c r="Q10" s="2"/>
      <c r="R10" s="38"/>
      <c r="S10" s="2"/>
      <c r="T10" s="2"/>
    </row>
    <row r="11" spans="1:20" x14ac:dyDescent="0.2">
      <c r="A11" s="41" t="str">
        <f t="shared" si="1"/>
        <v>18/4</v>
      </c>
      <c r="B11" s="18" t="s">
        <v>6</v>
      </c>
      <c r="C11" s="18" t="s">
        <v>76</v>
      </c>
      <c r="D11" s="18" t="s">
        <v>76</v>
      </c>
      <c r="E11" s="19" t="s">
        <v>22</v>
      </c>
      <c r="F11" s="19">
        <v>4</v>
      </c>
      <c r="G11" s="2"/>
      <c r="H11" s="44" t="s">
        <v>55</v>
      </c>
      <c r="I11" s="2"/>
      <c r="J11" s="43">
        <v>45870</v>
      </c>
      <c r="K11" s="2">
        <v>15</v>
      </c>
      <c r="L11" s="2">
        <f>46+48+40+33+50+42+43+53+52+52+55+30+53+47+53</f>
        <v>697</v>
      </c>
      <c r="M11" s="2">
        <f>1.8*15</f>
        <v>27</v>
      </c>
      <c r="N11" s="2">
        <f t="shared" si="0"/>
        <v>670</v>
      </c>
      <c r="O11" s="2"/>
      <c r="P11" s="2"/>
      <c r="Q11" s="2"/>
      <c r="R11" s="38"/>
      <c r="S11" s="2"/>
      <c r="T11" s="2"/>
    </row>
    <row r="12" spans="1:20" x14ac:dyDescent="0.2">
      <c r="A12" s="41" t="str">
        <f t="shared" si="1"/>
        <v>7/4</v>
      </c>
      <c r="B12" s="18" t="s">
        <v>6</v>
      </c>
      <c r="C12" s="18" t="s">
        <v>76</v>
      </c>
      <c r="D12" s="18" t="s">
        <v>76</v>
      </c>
      <c r="E12" s="19" t="s">
        <v>19</v>
      </c>
      <c r="F12" s="19">
        <v>4</v>
      </c>
      <c r="G12" s="2"/>
      <c r="H12" s="44" t="s">
        <v>55</v>
      </c>
      <c r="I12" s="2"/>
      <c r="J12" s="43">
        <v>45870</v>
      </c>
      <c r="K12" s="2">
        <v>4</v>
      </c>
      <c r="L12" s="2">
        <f>14+23+24+20</f>
        <v>81</v>
      </c>
      <c r="M12" s="2">
        <f>0.7*4</f>
        <v>2.8</v>
      </c>
      <c r="N12" s="2">
        <f t="shared" si="0"/>
        <v>78.2</v>
      </c>
      <c r="O12" s="2"/>
      <c r="P12" s="2"/>
      <c r="Q12" s="2"/>
      <c r="R12" s="38"/>
      <c r="S12" s="2"/>
      <c r="T12" s="2"/>
    </row>
    <row r="13" spans="1:20" x14ac:dyDescent="0.2">
      <c r="A13" s="41" t="str">
        <f t="shared" si="1"/>
        <v>8/4</v>
      </c>
      <c r="B13" s="18" t="s">
        <v>6</v>
      </c>
      <c r="C13" s="18" t="s">
        <v>76</v>
      </c>
      <c r="D13" s="18" t="s">
        <v>76</v>
      </c>
      <c r="E13" s="19" t="s">
        <v>18</v>
      </c>
      <c r="F13" s="19">
        <v>4</v>
      </c>
      <c r="G13" s="2"/>
      <c r="H13" s="44" t="s">
        <v>55</v>
      </c>
      <c r="I13" s="2"/>
      <c r="J13" s="43">
        <v>45870</v>
      </c>
      <c r="K13" s="2">
        <v>8</v>
      </c>
      <c r="L13" s="2">
        <f>35+37+34+34+33+31+32+20</f>
        <v>256</v>
      </c>
      <c r="M13" s="2">
        <f>0.8*8</f>
        <v>6.4</v>
      </c>
      <c r="N13" s="2">
        <f t="shared" si="0"/>
        <v>249.6</v>
      </c>
      <c r="O13" s="2"/>
      <c r="P13" s="2"/>
      <c r="Q13" s="2"/>
      <c r="R13" s="38"/>
      <c r="S13" s="2"/>
      <c r="T13" s="2"/>
    </row>
    <row r="14" spans="1:20" x14ac:dyDescent="0.2">
      <c r="A14" s="41" t="str">
        <f t="shared" si="1"/>
        <v>9/4</v>
      </c>
      <c r="B14" s="18" t="s">
        <v>6</v>
      </c>
      <c r="C14" s="18" t="s">
        <v>76</v>
      </c>
      <c r="D14" s="18" t="s">
        <v>76</v>
      </c>
      <c r="E14" s="19" t="s">
        <v>17</v>
      </c>
      <c r="F14" s="19">
        <v>4</v>
      </c>
      <c r="G14" s="2"/>
      <c r="H14" s="44" t="s">
        <v>55</v>
      </c>
      <c r="I14" s="2"/>
      <c r="J14" s="43">
        <v>45870</v>
      </c>
      <c r="K14" s="2">
        <v>3</v>
      </c>
      <c r="L14" s="2">
        <f>42+31+31</f>
        <v>104</v>
      </c>
      <c r="M14" s="2">
        <f>0.9*3</f>
        <v>2.7</v>
      </c>
      <c r="N14" s="2">
        <f t="shared" si="0"/>
        <v>101.3</v>
      </c>
      <c r="O14" s="2"/>
      <c r="P14" s="2"/>
      <c r="Q14" s="2"/>
      <c r="R14" s="38"/>
      <c r="S14" s="2"/>
      <c r="T14" s="2"/>
    </row>
    <row r="15" spans="1:20" x14ac:dyDescent="0.2">
      <c r="A15" s="41" t="str">
        <f t="shared" si="1"/>
        <v>2/5</v>
      </c>
      <c r="B15" s="18" t="s">
        <v>6</v>
      </c>
      <c r="C15" s="18" t="s">
        <v>76</v>
      </c>
      <c r="D15" s="18" t="s">
        <v>76</v>
      </c>
      <c r="E15" s="19" t="s">
        <v>23</v>
      </c>
      <c r="F15" s="19">
        <v>5</v>
      </c>
      <c r="G15" s="2"/>
      <c r="H15" s="44" t="s">
        <v>55</v>
      </c>
      <c r="I15" s="2"/>
      <c r="J15" s="43">
        <v>45870</v>
      </c>
      <c r="K15" s="2">
        <v>15</v>
      </c>
      <c r="L15" s="2">
        <f>20+20+21+21+21+22+23+20+21+20+18+18+19+20+20</f>
        <v>304</v>
      </c>
      <c r="M15" s="2">
        <f>0.2*15</f>
        <v>3</v>
      </c>
      <c r="N15" s="2">
        <f t="shared" si="0"/>
        <v>301</v>
      </c>
      <c r="O15" s="2"/>
      <c r="P15" s="2"/>
      <c r="Q15" s="2"/>
      <c r="R15" s="38"/>
      <c r="S15" s="2"/>
      <c r="T15" s="2"/>
    </row>
    <row r="16" spans="1:20" x14ac:dyDescent="0.2">
      <c r="A16" s="41" t="str">
        <f t="shared" si="1"/>
        <v>24/5</v>
      </c>
      <c r="B16" s="18" t="s">
        <v>6</v>
      </c>
      <c r="C16" s="18" t="s">
        <v>76</v>
      </c>
      <c r="D16" s="18" t="s">
        <v>76</v>
      </c>
      <c r="E16" s="19" t="s">
        <v>32</v>
      </c>
      <c r="F16" s="19">
        <v>5</v>
      </c>
      <c r="G16" s="2"/>
      <c r="H16" s="44" t="s">
        <v>55</v>
      </c>
      <c r="I16" s="2"/>
      <c r="J16" s="43">
        <v>45870</v>
      </c>
      <c r="K16" s="2">
        <f>20+2+8+9</f>
        <v>39</v>
      </c>
      <c r="L16" s="2">
        <v>1717.8</v>
      </c>
      <c r="M16" s="2">
        <f>2.4*17</f>
        <v>40.799999999999997</v>
      </c>
      <c r="N16" s="2">
        <v>1717.8</v>
      </c>
      <c r="O16" s="2"/>
      <c r="P16" s="2"/>
      <c r="Q16" s="2"/>
      <c r="R16" s="38"/>
      <c r="S16" s="2"/>
      <c r="T16" s="2"/>
    </row>
    <row r="17" spans="1:20" x14ac:dyDescent="0.2">
      <c r="A17" s="41" t="str">
        <f t="shared" si="1"/>
        <v>20/5</v>
      </c>
      <c r="B17" s="18" t="s">
        <v>6</v>
      </c>
      <c r="C17" s="18" t="s">
        <v>76</v>
      </c>
      <c r="D17" s="18" t="s">
        <v>76</v>
      </c>
      <c r="E17" s="19" t="s">
        <v>33</v>
      </c>
      <c r="F17" s="19">
        <v>5</v>
      </c>
      <c r="G17" s="2"/>
      <c r="H17" s="44" t="s">
        <v>55</v>
      </c>
      <c r="I17" s="2"/>
      <c r="J17" s="43">
        <v>45870</v>
      </c>
      <c r="K17" s="2">
        <v>30</v>
      </c>
      <c r="L17" s="2">
        <f>35+41+42+66+58+62+51+70+66+44+53+49+64+54+47+58+49+64+54+47+58+49+54+44+49+60+62+51+48+65+52</f>
        <v>1666</v>
      </c>
      <c r="M17" s="2">
        <f>2*30</f>
        <v>60</v>
      </c>
      <c r="N17" s="2">
        <f t="shared" si="0"/>
        <v>1606</v>
      </c>
      <c r="O17" s="2"/>
      <c r="P17" s="2"/>
      <c r="Q17" s="2"/>
      <c r="R17" s="38"/>
      <c r="S17" s="2"/>
      <c r="T17" s="2"/>
    </row>
    <row r="18" spans="1:20" x14ac:dyDescent="0.2">
      <c r="A18" s="41" t="str">
        <f t="shared" si="1"/>
        <v>19/5</v>
      </c>
      <c r="B18" s="18" t="s">
        <v>6</v>
      </c>
      <c r="C18" s="18" t="s">
        <v>76</v>
      </c>
      <c r="D18" s="18" t="s">
        <v>76</v>
      </c>
      <c r="E18" s="19" t="s">
        <v>34</v>
      </c>
      <c r="F18" s="19">
        <v>5</v>
      </c>
      <c r="G18" s="2"/>
      <c r="H18" s="44" t="s">
        <v>55</v>
      </c>
      <c r="I18" s="2"/>
      <c r="J18" s="43">
        <v>45870</v>
      </c>
      <c r="K18" s="2">
        <v>10</v>
      </c>
      <c r="L18" s="2">
        <f>69+57+32+52+64+57+60+60+50+65</f>
        <v>566</v>
      </c>
      <c r="M18" s="2">
        <f>1.9*10</f>
        <v>19</v>
      </c>
      <c r="N18" s="2">
        <f t="shared" si="0"/>
        <v>547</v>
      </c>
      <c r="O18" s="2"/>
      <c r="P18" s="2"/>
      <c r="Q18" s="2"/>
      <c r="R18" s="38"/>
      <c r="S18" s="2"/>
      <c r="T18" s="2"/>
    </row>
    <row r="19" spans="1:20" x14ac:dyDescent="0.2">
      <c r="A19" s="41" t="str">
        <f t="shared" si="1"/>
        <v>17/5</v>
      </c>
      <c r="B19" s="18" t="s">
        <v>6</v>
      </c>
      <c r="C19" s="18" t="s">
        <v>76</v>
      </c>
      <c r="D19" s="18" t="s">
        <v>76</v>
      </c>
      <c r="E19" s="19" t="s">
        <v>35</v>
      </c>
      <c r="F19" s="19">
        <v>5</v>
      </c>
      <c r="G19" s="2"/>
      <c r="H19" s="44" t="s">
        <v>55</v>
      </c>
      <c r="I19" s="2"/>
      <c r="J19" s="43">
        <v>45870</v>
      </c>
      <c r="K19" s="2">
        <v>4</v>
      </c>
      <c r="L19" s="2">
        <f>25+27+34+56</f>
        <v>142</v>
      </c>
      <c r="M19" s="2">
        <f>1.7*4</f>
        <v>6.8</v>
      </c>
      <c r="N19" s="2">
        <f t="shared" si="0"/>
        <v>135.19999999999999</v>
      </c>
      <c r="O19" s="2"/>
      <c r="P19" s="2"/>
      <c r="Q19" s="2"/>
      <c r="R19" s="38"/>
      <c r="S19" s="2"/>
      <c r="T19" s="2"/>
    </row>
    <row r="20" spans="1:20" x14ac:dyDescent="0.2">
      <c r="A20" s="41" t="str">
        <f t="shared" si="1"/>
        <v>22/6</v>
      </c>
      <c r="B20" s="18" t="s">
        <v>6</v>
      </c>
      <c r="C20" s="18" t="s">
        <v>76</v>
      </c>
      <c r="D20" s="18" t="s">
        <v>76</v>
      </c>
      <c r="E20" s="19" t="s">
        <v>36</v>
      </c>
      <c r="F20" s="19">
        <v>6</v>
      </c>
      <c r="G20" s="2"/>
      <c r="H20" s="44" t="s">
        <v>55</v>
      </c>
      <c r="I20" s="2"/>
      <c r="J20" s="43">
        <v>45870</v>
      </c>
      <c r="K20" s="2">
        <v>10</v>
      </c>
      <c r="L20" s="2">
        <v>251.3</v>
      </c>
      <c r="M20" s="2">
        <f>2.2*4</f>
        <v>8.8000000000000007</v>
      </c>
      <c r="N20" s="2">
        <v>266.89999999999998</v>
      </c>
      <c r="O20" s="2"/>
      <c r="P20" s="2"/>
      <c r="Q20" s="2"/>
      <c r="R20" s="38"/>
      <c r="S20" s="2"/>
      <c r="T20" s="2"/>
    </row>
    <row r="21" spans="1:20" x14ac:dyDescent="0.2">
      <c r="A21" s="41" t="str">
        <f t="shared" si="1"/>
        <v>18/5</v>
      </c>
      <c r="B21" s="18" t="s">
        <v>6</v>
      </c>
      <c r="C21" s="18" t="s">
        <v>76</v>
      </c>
      <c r="D21" s="18" t="s">
        <v>76</v>
      </c>
      <c r="E21" s="19" t="s">
        <v>22</v>
      </c>
      <c r="F21" s="19">
        <v>5</v>
      </c>
      <c r="G21" s="2"/>
      <c r="H21" s="44" t="s">
        <v>55</v>
      </c>
      <c r="I21" s="2"/>
      <c r="J21" s="43">
        <v>45870</v>
      </c>
      <c r="K21" s="2">
        <v>7</v>
      </c>
      <c r="L21" s="2">
        <f>31+30+40+46+46+56+49</f>
        <v>298</v>
      </c>
      <c r="M21" s="2">
        <f>1.8*7</f>
        <v>12.6</v>
      </c>
      <c r="N21" s="2">
        <f t="shared" si="0"/>
        <v>285.39999999999998</v>
      </c>
      <c r="O21" s="2"/>
      <c r="P21" s="2"/>
      <c r="Q21" s="2"/>
      <c r="R21" s="38"/>
      <c r="S21" s="2"/>
      <c r="T21" s="2"/>
    </row>
    <row r="22" spans="1:20" x14ac:dyDescent="0.2">
      <c r="A22" s="41" t="str">
        <f t="shared" si="1"/>
        <v>16/5</v>
      </c>
      <c r="B22" s="18" t="s">
        <v>6</v>
      </c>
      <c r="C22" s="18" t="s">
        <v>76</v>
      </c>
      <c r="D22" s="18" t="s">
        <v>76</v>
      </c>
      <c r="E22" s="19" t="s">
        <v>28</v>
      </c>
      <c r="F22" s="19">
        <v>5</v>
      </c>
      <c r="G22" s="2"/>
      <c r="H22" s="44" t="s">
        <v>55</v>
      </c>
      <c r="I22" s="2"/>
      <c r="J22" s="43">
        <v>45870</v>
      </c>
      <c r="K22" s="2">
        <v>7</v>
      </c>
      <c r="L22" s="2">
        <f>12+20+18+34+33+25+38</f>
        <v>180</v>
      </c>
      <c r="M22" s="2">
        <f>1.6*7</f>
        <v>11.200000000000001</v>
      </c>
      <c r="N22" s="2">
        <f t="shared" si="0"/>
        <v>168.8</v>
      </c>
      <c r="O22" s="2"/>
      <c r="P22" s="2"/>
      <c r="Q22" s="2"/>
      <c r="R22" s="38"/>
      <c r="S22" s="2"/>
      <c r="T22" s="2"/>
    </row>
    <row r="23" spans="1:20" x14ac:dyDescent="0.2">
      <c r="A23" s="41" t="str">
        <f t="shared" si="1"/>
        <v>15/5</v>
      </c>
      <c r="B23" s="18" t="s">
        <v>6</v>
      </c>
      <c r="C23" s="18" t="s">
        <v>76</v>
      </c>
      <c r="D23" s="18" t="s">
        <v>76</v>
      </c>
      <c r="E23" s="19" t="s">
        <v>21</v>
      </c>
      <c r="F23" s="19">
        <v>5</v>
      </c>
      <c r="G23" s="2"/>
      <c r="H23" s="44" t="s">
        <v>55</v>
      </c>
      <c r="I23" s="2"/>
      <c r="J23" s="43">
        <v>45870</v>
      </c>
      <c r="K23" s="2">
        <v>26</v>
      </c>
      <c r="L23" s="2">
        <f>18+38+34+54+56+42+29+33+29+25+27+54+51+48+44+52+53+31+21+26+37+24+42+51+38+39</f>
        <v>996</v>
      </c>
      <c r="M23" s="2">
        <f>1.5*26</f>
        <v>39</v>
      </c>
      <c r="N23" s="2">
        <f t="shared" si="0"/>
        <v>957</v>
      </c>
      <c r="O23" s="2"/>
      <c r="P23" s="2"/>
      <c r="Q23" s="2"/>
      <c r="R23" s="38"/>
      <c r="S23" s="2"/>
      <c r="T23" s="2"/>
    </row>
    <row r="24" spans="1:20" x14ac:dyDescent="0.2">
      <c r="A24" s="41" t="str">
        <f t="shared" si="1"/>
        <v>2/6.5</v>
      </c>
      <c r="B24" s="18" t="s">
        <v>6</v>
      </c>
      <c r="C24" s="18" t="s">
        <v>76</v>
      </c>
      <c r="D24" s="18" t="s">
        <v>76</v>
      </c>
      <c r="E24" s="19" t="s">
        <v>23</v>
      </c>
      <c r="F24" s="19">
        <v>6.5</v>
      </c>
      <c r="G24" s="2"/>
      <c r="H24" s="44" t="s">
        <v>55</v>
      </c>
      <c r="I24" s="2"/>
      <c r="J24" s="43">
        <v>45870</v>
      </c>
      <c r="K24" s="2">
        <v>4</v>
      </c>
      <c r="L24" s="2">
        <f>37+52+50+47</f>
        <v>186</v>
      </c>
      <c r="M24" s="2">
        <f>0.2*4</f>
        <v>0.8</v>
      </c>
      <c r="N24" s="2">
        <f t="shared" si="0"/>
        <v>185.2</v>
      </c>
      <c r="O24" s="2"/>
      <c r="P24" s="2"/>
      <c r="Q24" s="2"/>
      <c r="R24" s="38"/>
      <c r="S24" s="2"/>
      <c r="T24" s="2"/>
    </row>
    <row r="25" spans="1:20" x14ac:dyDescent="0.2">
      <c r="A25" s="41" t="str">
        <f t="shared" si="1"/>
        <v>19/4</v>
      </c>
      <c r="B25" s="18" t="s">
        <v>6</v>
      </c>
      <c r="C25" s="18" t="s">
        <v>76</v>
      </c>
      <c r="D25" s="18" t="s">
        <v>76</v>
      </c>
      <c r="E25" s="19" t="s">
        <v>34</v>
      </c>
      <c r="F25" s="19">
        <v>4</v>
      </c>
      <c r="G25" s="2"/>
      <c r="H25" s="44" t="s">
        <v>55</v>
      </c>
      <c r="I25" s="2"/>
      <c r="J25" s="43">
        <v>45870</v>
      </c>
      <c r="K25" s="2">
        <v>1</v>
      </c>
      <c r="L25" s="2">
        <v>22</v>
      </c>
      <c r="M25" s="2">
        <v>1.9</v>
      </c>
      <c r="N25" s="2">
        <f t="shared" si="0"/>
        <v>20.100000000000001</v>
      </c>
      <c r="O25" s="2"/>
      <c r="P25" s="2"/>
      <c r="Q25" s="2"/>
      <c r="R25" s="38"/>
      <c r="S25" s="2"/>
      <c r="T25" s="2"/>
    </row>
    <row r="26" spans="1:20" x14ac:dyDescent="0.2">
      <c r="A26" s="41" t="str">
        <f t="shared" si="1"/>
        <v>24/4</v>
      </c>
      <c r="B26" s="18" t="s">
        <v>6</v>
      </c>
      <c r="C26" s="18" t="s">
        <v>76</v>
      </c>
      <c r="D26" s="18" t="s">
        <v>76</v>
      </c>
      <c r="E26" s="19" t="s">
        <v>32</v>
      </c>
      <c r="F26" s="19">
        <v>4</v>
      </c>
      <c r="G26" s="2"/>
      <c r="H26" s="44" t="s">
        <v>55</v>
      </c>
      <c r="I26" s="2"/>
      <c r="J26" s="43">
        <v>45870</v>
      </c>
      <c r="K26" s="2">
        <v>1</v>
      </c>
      <c r="L26" s="2">
        <v>42</v>
      </c>
      <c r="M26" s="2">
        <v>2.4</v>
      </c>
      <c r="N26" s="2">
        <f t="shared" si="0"/>
        <v>39.6</v>
      </c>
      <c r="O26" s="2"/>
      <c r="P26" s="2"/>
      <c r="Q26" s="2"/>
      <c r="R26" s="38"/>
      <c r="S26" s="2"/>
      <c r="T26" s="2"/>
    </row>
    <row r="27" spans="1:20" x14ac:dyDescent="0.2">
      <c r="A27" s="41" t="str">
        <f t="shared" si="1"/>
        <v>11/7</v>
      </c>
      <c r="B27" s="18" t="s">
        <v>6</v>
      </c>
      <c r="C27" s="18" t="s">
        <v>76</v>
      </c>
      <c r="D27" s="18" t="s">
        <v>76</v>
      </c>
      <c r="E27" s="19" t="s">
        <v>15</v>
      </c>
      <c r="F27" s="19">
        <v>7</v>
      </c>
      <c r="G27" s="2"/>
      <c r="H27" s="44" t="s">
        <v>55</v>
      </c>
      <c r="I27" s="2"/>
      <c r="J27" s="43">
        <v>45870</v>
      </c>
      <c r="K27" s="2">
        <v>4</v>
      </c>
      <c r="L27" s="2">
        <f>41+45+15+28</f>
        <v>129</v>
      </c>
      <c r="M27" s="2">
        <f>1.1*4</f>
        <v>4.4000000000000004</v>
      </c>
      <c r="N27" s="2">
        <f t="shared" si="0"/>
        <v>124.6</v>
      </c>
      <c r="O27" s="2"/>
      <c r="P27" s="2"/>
      <c r="Q27" s="2"/>
      <c r="R27" s="38"/>
      <c r="S27" s="2"/>
      <c r="T27" s="2"/>
    </row>
    <row r="28" spans="1:20" x14ac:dyDescent="0.2">
      <c r="A28" s="41" t="str">
        <f t="shared" si="1"/>
        <v>6/4</v>
      </c>
      <c r="B28" s="18" t="s">
        <v>6</v>
      </c>
      <c r="C28" s="18" t="s">
        <v>76</v>
      </c>
      <c r="D28" s="18" t="s">
        <v>76</v>
      </c>
      <c r="E28" s="19" t="s">
        <v>20</v>
      </c>
      <c r="F28" s="19">
        <v>4</v>
      </c>
      <c r="G28" s="2"/>
      <c r="H28" s="44" t="s">
        <v>55</v>
      </c>
      <c r="I28" s="2"/>
      <c r="J28" s="43">
        <v>45870</v>
      </c>
      <c r="K28" s="2">
        <v>6</v>
      </c>
      <c r="L28" s="2">
        <f>29+29+35+30+38+34</f>
        <v>195</v>
      </c>
      <c r="M28" s="2">
        <f>0.6*6</f>
        <v>3.5999999999999996</v>
      </c>
      <c r="N28" s="2">
        <f t="shared" si="0"/>
        <v>191.4</v>
      </c>
      <c r="O28" s="2"/>
      <c r="P28" s="2"/>
      <c r="Q28" s="2"/>
      <c r="R28" s="38"/>
      <c r="S28" s="2"/>
      <c r="T28" s="2"/>
    </row>
    <row r="29" spans="1:20" x14ac:dyDescent="0.2">
      <c r="A29" s="41" t="str">
        <f t="shared" si="1"/>
        <v>13/7</v>
      </c>
      <c r="B29" s="18" t="s">
        <v>6</v>
      </c>
      <c r="C29" s="18" t="s">
        <v>76</v>
      </c>
      <c r="D29" s="18" t="s">
        <v>76</v>
      </c>
      <c r="E29" s="19" t="s">
        <v>13</v>
      </c>
      <c r="F29" s="19">
        <v>7</v>
      </c>
      <c r="G29" s="2"/>
      <c r="H29" s="44" t="s">
        <v>55</v>
      </c>
      <c r="I29" s="2"/>
      <c r="J29" s="43">
        <v>45870</v>
      </c>
      <c r="K29" s="2">
        <v>2</v>
      </c>
      <c r="L29" s="2">
        <f>26+45</f>
        <v>71</v>
      </c>
      <c r="M29" s="2">
        <f>1.3*2</f>
        <v>2.6</v>
      </c>
      <c r="N29" s="2">
        <f t="shared" si="0"/>
        <v>68.400000000000006</v>
      </c>
      <c r="O29" s="2"/>
      <c r="P29" s="2"/>
      <c r="Q29" s="2"/>
      <c r="R29" s="38"/>
      <c r="S29" s="2"/>
      <c r="T29" s="2"/>
    </row>
    <row r="30" spans="1:20" x14ac:dyDescent="0.2">
      <c r="A30" s="41" t="str">
        <f t="shared" si="1"/>
        <v>12/6.5</v>
      </c>
      <c r="B30" s="18" t="s">
        <v>6</v>
      </c>
      <c r="C30" s="18" t="s">
        <v>76</v>
      </c>
      <c r="D30" s="18" t="s">
        <v>76</v>
      </c>
      <c r="E30" s="19" t="s">
        <v>14</v>
      </c>
      <c r="F30" s="19">
        <v>6.5</v>
      </c>
      <c r="G30" s="2"/>
      <c r="H30" s="44" t="s">
        <v>55</v>
      </c>
      <c r="I30" s="2"/>
      <c r="J30" s="43">
        <v>45870</v>
      </c>
      <c r="K30" s="2">
        <v>7</v>
      </c>
      <c r="L30" s="2">
        <f>20+26+26+51+17+16+33</f>
        <v>189</v>
      </c>
      <c r="M30" s="2">
        <f>1.2*7</f>
        <v>8.4</v>
      </c>
      <c r="N30" s="2">
        <f t="shared" si="0"/>
        <v>180.6</v>
      </c>
      <c r="O30" s="2"/>
      <c r="P30" s="2"/>
      <c r="Q30" s="2"/>
      <c r="R30" s="38"/>
      <c r="S30" s="2"/>
      <c r="T30" s="2"/>
    </row>
    <row r="31" spans="1:20" x14ac:dyDescent="0.2">
      <c r="A31" s="41" t="str">
        <f t="shared" si="1"/>
        <v>17/7</v>
      </c>
      <c r="B31" s="18" t="s">
        <v>6</v>
      </c>
      <c r="C31" s="18" t="s">
        <v>76</v>
      </c>
      <c r="D31" s="18" t="s">
        <v>76</v>
      </c>
      <c r="E31" s="19" t="s">
        <v>35</v>
      </c>
      <c r="F31" s="19">
        <v>7</v>
      </c>
      <c r="G31" s="2"/>
      <c r="H31" s="44" t="s">
        <v>55</v>
      </c>
      <c r="I31" s="2"/>
      <c r="J31" s="43">
        <v>45870</v>
      </c>
      <c r="K31" s="2">
        <v>7</v>
      </c>
      <c r="L31" s="2">
        <f>20+23+65+60+57+62+58</f>
        <v>345</v>
      </c>
      <c r="M31" s="2">
        <f>1.7*7</f>
        <v>11.9</v>
      </c>
      <c r="N31" s="2">
        <f t="shared" si="0"/>
        <v>333.1</v>
      </c>
      <c r="O31" s="2"/>
      <c r="P31" s="2"/>
      <c r="Q31" s="2"/>
      <c r="R31" s="38"/>
      <c r="S31" s="2"/>
      <c r="T31" s="2"/>
    </row>
    <row r="32" spans="1:20" x14ac:dyDescent="0.2">
      <c r="A32" s="41" t="str">
        <f t="shared" si="1"/>
        <v>15/4</v>
      </c>
      <c r="B32" s="18" t="s">
        <v>6</v>
      </c>
      <c r="C32" s="18" t="s">
        <v>76</v>
      </c>
      <c r="D32" s="18" t="s">
        <v>76</v>
      </c>
      <c r="E32" s="19" t="s">
        <v>21</v>
      </c>
      <c r="F32" s="19">
        <v>4</v>
      </c>
      <c r="G32" s="2"/>
      <c r="H32" s="44" t="s">
        <v>55</v>
      </c>
      <c r="I32" s="2"/>
      <c r="J32" s="43">
        <v>45870</v>
      </c>
      <c r="K32" s="2">
        <v>7</v>
      </c>
      <c r="L32" s="2">
        <f>34+51+53+54+47+66+51+50+39+55</f>
        <v>500</v>
      </c>
      <c r="M32" s="2">
        <f>1.5*7</f>
        <v>10.5</v>
      </c>
      <c r="N32" s="2">
        <f t="shared" si="0"/>
        <v>489.5</v>
      </c>
      <c r="O32" s="2"/>
      <c r="P32" s="2"/>
      <c r="Q32" s="2"/>
      <c r="R32" s="38"/>
      <c r="S32" s="2"/>
      <c r="T32" s="2"/>
    </row>
    <row r="33" spans="1:20" x14ac:dyDescent="0.2">
      <c r="A33" s="41" t="str">
        <f t="shared" si="1"/>
        <v>16/8</v>
      </c>
      <c r="B33" s="18" t="s">
        <v>6</v>
      </c>
      <c r="C33" s="18" t="s">
        <v>76</v>
      </c>
      <c r="D33" s="18" t="s">
        <v>76</v>
      </c>
      <c r="E33" s="19" t="s">
        <v>28</v>
      </c>
      <c r="F33" s="19">
        <v>8</v>
      </c>
      <c r="G33" s="2"/>
      <c r="H33" s="44" t="s">
        <v>55</v>
      </c>
      <c r="I33" s="2"/>
      <c r="J33" s="43">
        <v>45870</v>
      </c>
      <c r="K33" s="2">
        <v>10</v>
      </c>
      <c r="L33" s="2">
        <f>28+30</f>
        <v>58</v>
      </c>
      <c r="M33" s="2">
        <f>1.6*10</f>
        <v>16</v>
      </c>
      <c r="N33" s="2">
        <f t="shared" si="0"/>
        <v>42</v>
      </c>
      <c r="O33" s="2"/>
      <c r="P33" s="2"/>
      <c r="Q33" s="2"/>
      <c r="R33" s="38"/>
      <c r="S33" s="2"/>
      <c r="T33" s="2"/>
    </row>
    <row r="34" spans="1:20" x14ac:dyDescent="0.2">
      <c r="A34" s="41" t="str">
        <f t="shared" si="1"/>
        <v>15/7</v>
      </c>
      <c r="B34" s="18" t="s">
        <v>6</v>
      </c>
      <c r="C34" s="18" t="s">
        <v>76</v>
      </c>
      <c r="D34" s="18" t="s">
        <v>76</v>
      </c>
      <c r="E34" s="19" t="s">
        <v>21</v>
      </c>
      <c r="F34" s="19">
        <v>7</v>
      </c>
      <c r="G34" s="2"/>
      <c r="H34" s="44" t="s">
        <v>55</v>
      </c>
      <c r="I34" s="2"/>
      <c r="J34" s="43">
        <v>45870</v>
      </c>
      <c r="K34" s="2">
        <v>2</v>
      </c>
      <c r="L34" s="2">
        <f>17+18</f>
        <v>35</v>
      </c>
      <c r="M34" s="2">
        <f>1.5*2</f>
        <v>3</v>
      </c>
      <c r="N34" s="2">
        <f t="shared" ref="N34:N65" si="2">+L34-M34</f>
        <v>32</v>
      </c>
      <c r="O34" s="2"/>
      <c r="P34" s="2"/>
      <c r="Q34" s="2"/>
      <c r="R34" s="38"/>
      <c r="S34" s="2"/>
      <c r="T34" s="2"/>
    </row>
    <row r="35" spans="1:20" x14ac:dyDescent="0.2">
      <c r="A35" s="41" t="str">
        <f t="shared" si="1"/>
        <v>8/6.5</v>
      </c>
      <c r="B35" s="18" t="s">
        <v>6</v>
      </c>
      <c r="C35" s="18" t="s">
        <v>76</v>
      </c>
      <c r="D35" s="18" t="s">
        <v>76</v>
      </c>
      <c r="E35" s="19" t="s">
        <v>18</v>
      </c>
      <c r="F35" s="19">
        <v>6.5</v>
      </c>
      <c r="G35" s="2"/>
      <c r="H35" s="44" t="s">
        <v>55</v>
      </c>
      <c r="I35" s="2"/>
      <c r="J35" s="43">
        <v>45870</v>
      </c>
      <c r="K35" s="2">
        <v>2</v>
      </c>
      <c r="L35" s="2">
        <f>27+46+40+40+40+40+40</f>
        <v>273</v>
      </c>
      <c r="M35" s="2">
        <f>0.8*2</f>
        <v>1.6</v>
      </c>
      <c r="N35" s="2">
        <f t="shared" si="2"/>
        <v>271.39999999999998</v>
      </c>
      <c r="O35" s="2"/>
      <c r="P35" s="2"/>
      <c r="Q35" s="2"/>
      <c r="R35" s="38"/>
      <c r="S35" s="2"/>
      <c r="T35" s="2"/>
    </row>
    <row r="36" spans="1:20" ht="15.75" x14ac:dyDescent="0.2">
      <c r="A36" s="41" t="str">
        <f t="shared" si="1"/>
        <v>18/7</v>
      </c>
      <c r="B36" s="18" t="s">
        <v>6</v>
      </c>
      <c r="C36" s="18" t="s">
        <v>76</v>
      </c>
      <c r="D36" s="18" t="s">
        <v>76</v>
      </c>
      <c r="E36" s="19" t="s">
        <v>22</v>
      </c>
      <c r="F36" s="19">
        <v>7</v>
      </c>
      <c r="G36" s="2"/>
      <c r="H36" s="44" t="s">
        <v>55</v>
      </c>
      <c r="I36" s="2"/>
      <c r="J36" s="43">
        <v>45870</v>
      </c>
      <c r="K36" s="2">
        <v>7</v>
      </c>
      <c r="L36" s="2">
        <v>51</v>
      </c>
      <c r="M36" s="2">
        <f>1.8*7</f>
        <v>12.6</v>
      </c>
      <c r="N36" s="34">
        <f>25+19.6</f>
        <v>44.6</v>
      </c>
      <c r="O36" s="2"/>
      <c r="P36" s="2"/>
      <c r="Q36" s="2"/>
      <c r="R36" s="38"/>
      <c r="S36" s="2"/>
      <c r="T36" s="2"/>
    </row>
    <row r="37" spans="1:20" x14ac:dyDescent="0.2">
      <c r="A37" s="41" t="str">
        <f t="shared" si="1"/>
        <v>8/4</v>
      </c>
      <c r="B37" s="18" t="s">
        <v>6</v>
      </c>
      <c r="C37" s="18" t="s">
        <v>76</v>
      </c>
      <c r="D37" s="18" t="s">
        <v>76</v>
      </c>
      <c r="E37" s="19" t="s">
        <v>18</v>
      </c>
      <c r="F37" s="19">
        <v>4</v>
      </c>
      <c r="G37" s="2"/>
      <c r="H37" s="44" t="s">
        <v>55</v>
      </c>
      <c r="I37" s="2"/>
      <c r="J37" s="43">
        <v>45870</v>
      </c>
      <c r="K37" s="2">
        <v>1</v>
      </c>
      <c r="L37" s="2">
        <v>24</v>
      </c>
      <c r="M37" s="2">
        <v>0.8</v>
      </c>
      <c r="N37" s="2">
        <f t="shared" si="2"/>
        <v>23.2</v>
      </c>
      <c r="O37" s="2"/>
      <c r="P37" s="2"/>
      <c r="Q37" s="2"/>
      <c r="R37" s="38"/>
      <c r="S37" s="2"/>
      <c r="T37" s="2"/>
    </row>
    <row r="38" spans="1:20" x14ac:dyDescent="0.2">
      <c r="A38" s="41" t="str">
        <f t="shared" si="1"/>
        <v>8/10</v>
      </c>
      <c r="B38" s="18" t="s">
        <v>6</v>
      </c>
      <c r="C38" s="18" t="s">
        <v>76</v>
      </c>
      <c r="D38" s="18" t="s">
        <v>76</v>
      </c>
      <c r="E38" s="19" t="s">
        <v>18</v>
      </c>
      <c r="F38" s="19">
        <v>10</v>
      </c>
      <c r="G38" s="2"/>
      <c r="H38" s="44" t="s">
        <v>55</v>
      </c>
      <c r="I38" s="2"/>
      <c r="J38" s="43">
        <v>45870</v>
      </c>
      <c r="K38" s="2">
        <v>1</v>
      </c>
      <c r="L38" s="2">
        <v>27</v>
      </c>
      <c r="M38" s="2">
        <v>0.8</v>
      </c>
      <c r="N38" s="2">
        <f t="shared" si="2"/>
        <v>26.2</v>
      </c>
      <c r="O38" s="2"/>
      <c r="P38" s="2"/>
      <c r="Q38" s="2"/>
      <c r="R38" s="38"/>
      <c r="S38" s="2"/>
      <c r="T38" s="2"/>
    </row>
    <row r="39" spans="1:20" x14ac:dyDescent="0.2">
      <c r="A39" s="41" t="str">
        <f t="shared" si="1"/>
        <v>9/10</v>
      </c>
      <c r="B39" s="18" t="s">
        <v>6</v>
      </c>
      <c r="C39" s="18" t="s">
        <v>76</v>
      </c>
      <c r="D39" s="18" t="s">
        <v>76</v>
      </c>
      <c r="E39" s="19" t="s">
        <v>17</v>
      </c>
      <c r="F39" s="19">
        <v>10</v>
      </c>
      <c r="G39" s="2"/>
      <c r="H39" s="44" t="s">
        <v>55</v>
      </c>
      <c r="I39" s="2"/>
      <c r="J39" s="43">
        <v>45870</v>
      </c>
      <c r="K39" s="2">
        <v>1</v>
      </c>
      <c r="L39" s="2">
        <v>31</v>
      </c>
      <c r="M39" s="2">
        <v>0.9</v>
      </c>
      <c r="N39" s="2">
        <f t="shared" si="2"/>
        <v>30.1</v>
      </c>
      <c r="O39" s="2"/>
      <c r="P39" s="2"/>
      <c r="Q39" s="2"/>
      <c r="R39" s="38"/>
      <c r="S39" s="2"/>
      <c r="T39" s="2"/>
    </row>
    <row r="40" spans="1:20" x14ac:dyDescent="0.2">
      <c r="A40" s="41" t="str">
        <f t="shared" si="1"/>
        <v>16/7</v>
      </c>
      <c r="B40" s="18" t="s">
        <v>6</v>
      </c>
      <c r="C40" s="18" t="s">
        <v>76</v>
      </c>
      <c r="D40" s="18" t="s">
        <v>76</v>
      </c>
      <c r="E40" s="19" t="s">
        <v>28</v>
      </c>
      <c r="F40" s="19">
        <v>7</v>
      </c>
      <c r="G40" s="2"/>
      <c r="H40" s="44" t="s">
        <v>55</v>
      </c>
      <c r="I40" s="2"/>
      <c r="J40" s="43">
        <v>45870</v>
      </c>
      <c r="K40" s="2">
        <v>2</v>
      </c>
      <c r="L40" s="2">
        <f>47+80+54</f>
        <v>181</v>
      </c>
      <c r="M40" s="2">
        <f>1.6*7</f>
        <v>11.200000000000001</v>
      </c>
      <c r="N40" s="2">
        <f t="shared" si="2"/>
        <v>169.8</v>
      </c>
      <c r="O40" s="2"/>
      <c r="P40" s="2"/>
      <c r="Q40" s="2"/>
      <c r="R40" s="38"/>
      <c r="S40" s="2"/>
      <c r="T40" s="2"/>
    </row>
    <row r="41" spans="1:20" x14ac:dyDescent="0.2">
      <c r="A41" s="41" t="str">
        <f t="shared" si="1"/>
        <v>20/12</v>
      </c>
      <c r="B41" s="18" t="s">
        <v>6</v>
      </c>
      <c r="C41" s="18" t="s">
        <v>76</v>
      </c>
      <c r="D41" s="18" t="s">
        <v>76</v>
      </c>
      <c r="E41" s="19" t="s">
        <v>33</v>
      </c>
      <c r="F41" s="19">
        <v>12</v>
      </c>
      <c r="G41" s="2"/>
      <c r="H41" s="44" t="s">
        <v>55</v>
      </c>
      <c r="I41" s="2"/>
      <c r="J41" s="43">
        <v>45870</v>
      </c>
      <c r="K41" s="2">
        <v>1</v>
      </c>
      <c r="L41" s="2">
        <v>35</v>
      </c>
      <c r="M41" s="2">
        <v>2</v>
      </c>
      <c r="N41" s="2">
        <f t="shared" si="2"/>
        <v>33</v>
      </c>
      <c r="O41" s="2"/>
      <c r="P41" s="2"/>
      <c r="Q41" s="2"/>
      <c r="R41" s="38"/>
      <c r="S41" s="2"/>
      <c r="T41" s="2"/>
    </row>
    <row r="42" spans="1:20" x14ac:dyDescent="0.2">
      <c r="A42" s="41" t="str">
        <f t="shared" si="1"/>
        <v>22/15</v>
      </c>
      <c r="B42" s="18" t="s">
        <v>6</v>
      </c>
      <c r="C42" s="18" t="s">
        <v>76</v>
      </c>
      <c r="D42" s="18" t="s">
        <v>76</v>
      </c>
      <c r="E42" s="19" t="s">
        <v>36</v>
      </c>
      <c r="F42" s="19">
        <v>15</v>
      </c>
      <c r="G42" s="2"/>
      <c r="H42" s="44" t="s">
        <v>55</v>
      </c>
      <c r="I42" s="2"/>
      <c r="J42" s="43">
        <v>45870</v>
      </c>
      <c r="K42" s="2">
        <v>1</v>
      </c>
      <c r="L42" s="2">
        <v>46</v>
      </c>
      <c r="M42" s="2">
        <v>2.2000000000000002</v>
      </c>
      <c r="N42" s="2">
        <f t="shared" si="2"/>
        <v>43.8</v>
      </c>
      <c r="O42" s="2"/>
      <c r="P42" s="2"/>
      <c r="Q42" s="2"/>
      <c r="R42" s="38"/>
      <c r="S42" s="2"/>
      <c r="T42" s="2"/>
    </row>
    <row r="43" spans="1:20" x14ac:dyDescent="0.2">
      <c r="A43" s="41" t="str">
        <f t="shared" si="1"/>
        <v>18/10</v>
      </c>
      <c r="B43" s="18" t="s">
        <v>6</v>
      </c>
      <c r="C43" s="18" t="s">
        <v>76</v>
      </c>
      <c r="D43" s="18" t="s">
        <v>76</v>
      </c>
      <c r="E43" s="19" t="s">
        <v>22</v>
      </c>
      <c r="F43" s="19">
        <v>10</v>
      </c>
      <c r="G43" s="2"/>
      <c r="H43" s="44" t="s">
        <v>55</v>
      </c>
      <c r="I43" s="2"/>
      <c r="J43" s="43">
        <v>45870</v>
      </c>
      <c r="K43" s="2">
        <v>2</v>
      </c>
      <c r="L43" s="2">
        <f>56+59</f>
        <v>115</v>
      </c>
      <c r="M43" s="2">
        <f>1.8*2</f>
        <v>3.6</v>
      </c>
      <c r="N43" s="2">
        <f t="shared" si="2"/>
        <v>111.4</v>
      </c>
      <c r="O43" s="2"/>
      <c r="P43" s="2"/>
      <c r="Q43" s="2"/>
      <c r="R43" s="38"/>
      <c r="S43" s="2"/>
      <c r="T43" s="2"/>
    </row>
    <row r="44" spans="1:20" x14ac:dyDescent="0.2">
      <c r="A44" s="41" t="str">
        <f t="shared" si="1"/>
        <v>7/15</v>
      </c>
      <c r="B44" s="18" t="s">
        <v>6</v>
      </c>
      <c r="C44" s="18" t="s">
        <v>76</v>
      </c>
      <c r="D44" s="18" t="s">
        <v>76</v>
      </c>
      <c r="E44" s="19" t="s">
        <v>19</v>
      </c>
      <c r="F44" s="19">
        <v>15</v>
      </c>
      <c r="G44" s="2"/>
      <c r="H44" s="44" t="s">
        <v>55</v>
      </c>
      <c r="I44" s="2"/>
      <c r="J44" s="43">
        <v>45870</v>
      </c>
      <c r="K44" s="2">
        <v>1</v>
      </c>
      <c r="L44" s="2">
        <v>20</v>
      </c>
      <c r="M44" s="2">
        <v>0.7</v>
      </c>
      <c r="N44" s="2">
        <f t="shared" si="2"/>
        <v>19.3</v>
      </c>
      <c r="O44" s="2"/>
      <c r="P44" s="2"/>
      <c r="Q44" s="2"/>
      <c r="R44" s="38"/>
      <c r="S44" s="2"/>
      <c r="T44" s="2"/>
    </row>
    <row r="45" spans="1:20" x14ac:dyDescent="0.2">
      <c r="A45" s="41" t="str">
        <f t="shared" si="1"/>
        <v>10/5</v>
      </c>
      <c r="B45" s="18" t="s">
        <v>6</v>
      </c>
      <c r="C45" s="18" t="s">
        <v>76</v>
      </c>
      <c r="D45" s="18" t="s">
        <v>76</v>
      </c>
      <c r="E45" s="19" t="s">
        <v>16</v>
      </c>
      <c r="F45" s="19">
        <v>5</v>
      </c>
      <c r="G45" s="2"/>
      <c r="H45" s="44" t="s">
        <v>55</v>
      </c>
      <c r="I45" s="2"/>
      <c r="J45" s="43">
        <v>45870</v>
      </c>
      <c r="K45" s="2">
        <v>6</v>
      </c>
      <c r="L45" s="2">
        <f>11+12+35+43+51+28</f>
        <v>180</v>
      </c>
      <c r="M45" s="2">
        <f>1*6</f>
        <v>6</v>
      </c>
      <c r="N45" s="2">
        <f t="shared" si="2"/>
        <v>174</v>
      </c>
      <c r="O45" s="2"/>
      <c r="P45" s="2"/>
      <c r="Q45" s="2"/>
      <c r="R45" s="38"/>
      <c r="S45" s="2"/>
      <c r="T45" s="2"/>
    </row>
    <row r="46" spans="1:20" x14ac:dyDescent="0.2">
      <c r="A46" s="41" t="str">
        <f t="shared" si="1"/>
        <v>9/5</v>
      </c>
      <c r="B46" s="18" t="s">
        <v>6</v>
      </c>
      <c r="C46" s="18" t="s">
        <v>76</v>
      </c>
      <c r="D46" s="18" t="s">
        <v>76</v>
      </c>
      <c r="E46" s="19" t="s">
        <v>17</v>
      </c>
      <c r="F46" s="19">
        <v>5</v>
      </c>
      <c r="G46" s="2"/>
      <c r="H46" s="44" t="s">
        <v>55</v>
      </c>
      <c r="I46" s="2"/>
      <c r="J46" s="43">
        <v>45870</v>
      </c>
      <c r="K46" s="2">
        <v>6</v>
      </c>
      <c r="L46" s="2">
        <f>35+34+47+48+52+36</f>
        <v>252</v>
      </c>
      <c r="M46" s="2">
        <f>0.9*6</f>
        <v>5.4</v>
      </c>
      <c r="N46" s="2">
        <f t="shared" si="2"/>
        <v>246.6</v>
      </c>
      <c r="O46" s="2"/>
      <c r="P46" s="2"/>
      <c r="Q46" s="2"/>
      <c r="R46" s="38"/>
      <c r="S46" s="2"/>
      <c r="T46" s="2"/>
    </row>
    <row r="47" spans="1:20" x14ac:dyDescent="0.2">
      <c r="A47" s="41" t="str">
        <f t="shared" si="1"/>
        <v>1.5/5.5-6</v>
      </c>
      <c r="B47" s="18" t="s">
        <v>6</v>
      </c>
      <c r="C47" s="18" t="s">
        <v>76</v>
      </c>
      <c r="D47" s="18" t="s">
        <v>76</v>
      </c>
      <c r="E47" s="19" t="s">
        <v>24</v>
      </c>
      <c r="F47" s="19" t="s">
        <v>5</v>
      </c>
      <c r="G47" s="2"/>
      <c r="H47" s="44" t="s">
        <v>55</v>
      </c>
      <c r="I47" s="2"/>
      <c r="J47" s="43">
        <v>45870</v>
      </c>
      <c r="K47" s="2">
        <v>7</v>
      </c>
      <c r="L47" s="2">
        <f>20+20+21+21+19+19+18</f>
        <v>138</v>
      </c>
      <c r="M47" s="2">
        <f>0.15*7</f>
        <v>1.05</v>
      </c>
      <c r="N47" s="2">
        <f t="shared" si="2"/>
        <v>136.94999999999999</v>
      </c>
      <c r="O47" s="2"/>
      <c r="P47" s="2"/>
      <c r="Q47" s="2"/>
      <c r="R47" s="38"/>
      <c r="S47" s="2"/>
      <c r="T47" s="2"/>
    </row>
    <row r="48" spans="1:20" x14ac:dyDescent="0.2">
      <c r="A48" s="41" t="str">
        <f t="shared" si="1"/>
        <v>2.5/5</v>
      </c>
      <c r="B48" s="18" t="s">
        <v>6</v>
      </c>
      <c r="C48" s="18" t="s">
        <v>76</v>
      </c>
      <c r="D48" s="18" t="s">
        <v>76</v>
      </c>
      <c r="E48" s="19" t="s">
        <v>25</v>
      </c>
      <c r="F48" s="19">
        <v>5</v>
      </c>
      <c r="G48" s="2"/>
      <c r="H48" s="44" t="s">
        <v>55</v>
      </c>
      <c r="I48" s="2"/>
      <c r="J48" s="43">
        <v>45870</v>
      </c>
      <c r="K48" s="2">
        <v>5</v>
      </c>
      <c r="L48" s="2">
        <f>24+22+20+23+23</f>
        <v>112</v>
      </c>
      <c r="M48" s="2">
        <f>0.25*5</f>
        <v>1.25</v>
      </c>
      <c r="N48" s="2">
        <f t="shared" si="2"/>
        <v>110.75</v>
      </c>
      <c r="O48" s="2"/>
      <c r="P48" s="2"/>
      <c r="Q48" s="2"/>
      <c r="R48" s="38"/>
      <c r="S48" s="2"/>
      <c r="T48" s="2"/>
    </row>
    <row r="49" spans="1:20" x14ac:dyDescent="0.2">
      <c r="A49" s="41" t="str">
        <f t="shared" si="1"/>
        <v>4/5</v>
      </c>
      <c r="B49" s="18" t="s">
        <v>6</v>
      </c>
      <c r="C49" s="18" t="s">
        <v>76</v>
      </c>
      <c r="D49" s="18" t="s">
        <v>76</v>
      </c>
      <c r="E49" s="19" t="s">
        <v>26</v>
      </c>
      <c r="F49" s="19">
        <v>5</v>
      </c>
      <c r="G49" s="2"/>
      <c r="H49" s="44" t="s">
        <v>55</v>
      </c>
      <c r="I49" s="2"/>
      <c r="J49" s="43">
        <v>45870</v>
      </c>
      <c r="K49" s="2">
        <f>69+8</f>
        <v>77</v>
      </c>
      <c r="L49" s="2">
        <f>909.2+630+160</f>
        <v>1699.2</v>
      </c>
      <c r="M49" s="2">
        <f>0.4*5</f>
        <v>2</v>
      </c>
      <c r="N49" s="2">
        <v>1699.2</v>
      </c>
      <c r="O49" s="2"/>
      <c r="P49" s="2"/>
      <c r="Q49" s="2"/>
      <c r="R49" s="38"/>
      <c r="S49" s="2"/>
      <c r="T49" s="2"/>
    </row>
    <row r="50" spans="1:20" x14ac:dyDescent="0.2">
      <c r="A50" s="41" t="str">
        <f t="shared" si="1"/>
        <v>3/5</v>
      </c>
      <c r="B50" s="18" t="s">
        <v>6</v>
      </c>
      <c r="C50" s="18" t="s">
        <v>76</v>
      </c>
      <c r="D50" s="18" t="s">
        <v>76</v>
      </c>
      <c r="E50" s="19" t="s">
        <v>27</v>
      </c>
      <c r="F50" s="19">
        <v>5</v>
      </c>
      <c r="G50" s="2"/>
      <c r="H50" s="44" t="s">
        <v>55</v>
      </c>
      <c r="I50" s="2"/>
      <c r="J50" s="43">
        <v>45870</v>
      </c>
      <c r="K50" s="2">
        <v>25</v>
      </c>
      <c r="L50" s="2">
        <f>22+20+30+23+21+23+22+23+23+21+24+18+23+24+23+24+23+17+17+26+21+25+27+19+25</f>
        <v>564</v>
      </c>
      <c r="M50" s="2">
        <f>0.3*25</f>
        <v>7.5</v>
      </c>
      <c r="N50" s="2">
        <f t="shared" si="2"/>
        <v>556.5</v>
      </c>
      <c r="O50" s="2"/>
      <c r="P50" s="2"/>
      <c r="Q50" s="2"/>
      <c r="R50" s="38"/>
      <c r="S50" s="2"/>
      <c r="T50" s="2"/>
    </row>
    <row r="51" spans="1:20" x14ac:dyDescent="0.2">
      <c r="A51" s="41" t="str">
        <f t="shared" si="1"/>
        <v>14/4</v>
      </c>
      <c r="B51" s="18" t="s">
        <v>6</v>
      </c>
      <c r="C51" s="18" t="s">
        <v>76</v>
      </c>
      <c r="D51" s="18" t="s">
        <v>76</v>
      </c>
      <c r="E51" s="19" t="s">
        <v>12</v>
      </c>
      <c r="F51" s="19">
        <v>4</v>
      </c>
      <c r="G51" s="2"/>
      <c r="H51" s="44" t="s">
        <v>55</v>
      </c>
      <c r="I51" s="2"/>
      <c r="J51" s="43">
        <v>45870</v>
      </c>
      <c r="K51" s="2">
        <v>17</v>
      </c>
      <c r="L51" s="2">
        <f>47+14+12+18</f>
        <v>91</v>
      </c>
      <c r="M51" s="2">
        <f>1.4*K51</f>
        <v>23.799999999999997</v>
      </c>
      <c r="N51" s="2">
        <f t="shared" si="2"/>
        <v>67.2</v>
      </c>
      <c r="O51" s="2"/>
      <c r="P51" s="2"/>
      <c r="Q51" s="2"/>
      <c r="R51" s="38"/>
      <c r="S51" s="2"/>
      <c r="T51" s="2"/>
    </row>
    <row r="52" spans="1:20" x14ac:dyDescent="0.2">
      <c r="A52" s="41" t="str">
        <f t="shared" si="1"/>
        <v>16/4</v>
      </c>
      <c r="B52" s="18" t="s">
        <v>6</v>
      </c>
      <c r="C52" s="18" t="s">
        <v>76</v>
      </c>
      <c r="D52" s="18" t="s">
        <v>76</v>
      </c>
      <c r="E52" s="19" t="s">
        <v>28</v>
      </c>
      <c r="F52" s="19">
        <v>4</v>
      </c>
      <c r="G52" s="2"/>
      <c r="H52" s="44" t="s">
        <v>55</v>
      </c>
      <c r="I52" s="2"/>
      <c r="J52" s="43">
        <v>45870</v>
      </c>
      <c r="K52" s="2">
        <v>4</v>
      </c>
      <c r="L52" s="2">
        <v>35</v>
      </c>
      <c r="M52" s="2">
        <f>1.2*K52</f>
        <v>4.8</v>
      </c>
      <c r="N52" s="2">
        <f t="shared" si="2"/>
        <v>30.2</v>
      </c>
      <c r="O52" s="2"/>
      <c r="P52" s="2"/>
      <c r="Q52" s="2"/>
      <c r="R52" s="38"/>
      <c r="S52" s="2"/>
      <c r="T52" s="2"/>
    </row>
    <row r="53" spans="1:20" x14ac:dyDescent="0.2">
      <c r="A53" s="41" t="str">
        <f t="shared" si="1"/>
        <v>12/4</v>
      </c>
      <c r="B53" s="18" t="s">
        <v>6</v>
      </c>
      <c r="C53" s="18" t="s">
        <v>76</v>
      </c>
      <c r="D53" s="18" t="s">
        <v>76</v>
      </c>
      <c r="E53" s="19" t="s">
        <v>14</v>
      </c>
      <c r="F53" s="19">
        <v>4</v>
      </c>
      <c r="G53" s="2"/>
      <c r="H53" s="44" t="s">
        <v>55</v>
      </c>
      <c r="I53" s="2"/>
      <c r="J53" s="43">
        <v>45870</v>
      </c>
      <c r="K53" s="2">
        <v>1</v>
      </c>
      <c r="L53" s="2">
        <f>25+22</f>
        <v>47</v>
      </c>
      <c r="M53" s="2">
        <v>1.2</v>
      </c>
      <c r="N53" s="2">
        <f t="shared" si="2"/>
        <v>45.8</v>
      </c>
      <c r="O53" s="2"/>
      <c r="P53" s="2"/>
      <c r="Q53" s="2"/>
      <c r="R53" s="38"/>
      <c r="S53" s="2"/>
      <c r="T53" s="2"/>
    </row>
    <row r="54" spans="1:20" x14ac:dyDescent="0.2">
      <c r="A54" s="41" t="str">
        <f t="shared" si="1"/>
        <v>26/5</v>
      </c>
      <c r="B54" s="18" t="s">
        <v>6</v>
      </c>
      <c r="C54" s="18" t="s">
        <v>76</v>
      </c>
      <c r="D54" s="18" t="s">
        <v>76</v>
      </c>
      <c r="E54" s="19" t="s">
        <v>29</v>
      </c>
      <c r="F54" s="19">
        <v>5</v>
      </c>
      <c r="G54" s="2"/>
      <c r="H54" s="44" t="s">
        <v>55</v>
      </c>
      <c r="I54" s="2"/>
      <c r="J54" s="43">
        <v>45870</v>
      </c>
      <c r="K54" s="2">
        <v>2</v>
      </c>
      <c r="L54" s="2">
        <f>31+67+71+67</f>
        <v>236</v>
      </c>
      <c r="M54" s="2">
        <f>0.2*2</f>
        <v>0.4</v>
      </c>
      <c r="N54" s="2">
        <f t="shared" si="2"/>
        <v>235.6</v>
      </c>
      <c r="O54" s="2"/>
      <c r="P54" s="2"/>
      <c r="Q54" s="2"/>
      <c r="R54" s="38"/>
      <c r="S54" s="2"/>
      <c r="T54" s="2"/>
    </row>
    <row r="55" spans="1:20" x14ac:dyDescent="0.2">
      <c r="A55" s="41" t="str">
        <f t="shared" si="1"/>
        <v>27/5</v>
      </c>
      <c r="B55" s="18" t="s">
        <v>6</v>
      </c>
      <c r="C55" s="18" t="s">
        <v>76</v>
      </c>
      <c r="D55" s="18" t="s">
        <v>76</v>
      </c>
      <c r="E55" s="19" t="s">
        <v>30</v>
      </c>
      <c r="F55" s="19">
        <v>5</v>
      </c>
      <c r="G55" s="2"/>
      <c r="H55" s="44" t="s">
        <v>55</v>
      </c>
      <c r="I55" s="2"/>
      <c r="J55" s="43">
        <v>45870</v>
      </c>
      <c r="K55" s="2">
        <v>4</v>
      </c>
      <c r="L55" s="2">
        <v>55</v>
      </c>
      <c r="M55" s="2">
        <f>2.7*4</f>
        <v>10.8</v>
      </c>
      <c r="N55" s="2">
        <f t="shared" si="2"/>
        <v>44.2</v>
      </c>
      <c r="O55" s="2"/>
      <c r="P55" s="2"/>
      <c r="Q55" s="2"/>
      <c r="R55" s="38"/>
      <c r="S55" s="2"/>
      <c r="T55" s="2"/>
    </row>
    <row r="56" spans="1:20" x14ac:dyDescent="0.2">
      <c r="A56" s="41" t="str">
        <f t="shared" si="1"/>
        <v>28/5</v>
      </c>
      <c r="B56" s="18" t="s">
        <v>6</v>
      </c>
      <c r="C56" s="18" t="s">
        <v>76</v>
      </c>
      <c r="D56" s="18" t="s">
        <v>76</v>
      </c>
      <c r="E56" s="19" t="s">
        <v>31</v>
      </c>
      <c r="F56" s="19">
        <v>5</v>
      </c>
      <c r="G56" s="2"/>
      <c r="H56" s="44" t="s">
        <v>55</v>
      </c>
      <c r="I56" s="2"/>
      <c r="J56" s="43">
        <v>45870</v>
      </c>
      <c r="K56" s="2">
        <v>6</v>
      </c>
      <c r="L56" s="2">
        <f>58+58+61+55+55+41</f>
        <v>328</v>
      </c>
      <c r="M56" s="2">
        <f>2.8*6</f>
        <v>16.799999999999997</v>
      </c>
      <c r="N56" s="2">
        <f t="shared" si="2"/>
        <v>311.2</v>
      </c>
      <c r="O56" s="2"/>
      <c r="P56" s="2"/>
      <c r="Q56" s="2"/>
      <c r="R56" s="38"/>
      <c r="S56" s="2"/>
      <c r="T56" s="2"/>
    </row>
    <row r="57" spans="1:20" x14ac:dyDescent="0.2">
      <c r="A57" s="41" t="str">
        <f t="shared" si="1"/>
        <v>28/4</v>
      </c>
      <c r="B57" s="18" t="s">
        <v>6</v>
      </c>
      <c r="C57" s="18" t="s">
        <v>76</v>
      </c>
      <c r="D57" s="18" t="s">
        <v>76</v>
      </c>
      <c r="E57" s="19" t="s">
        <v>31</v>
      </c>
      <c r="F57" s="19">
        <v>4</v>
      </c>
      <c r="G57" s="2"/>
      <c r="H57" s="44" t="s">
        <v>55</v>
      </c>
      <c r="I57" s="2"/>
      <c r="J57" s="43">
        <v>45870</v>
      </c>
      <c r="K57" s="2">
        <v>1</v>
      </c>
      <c r="L57" s="2">
        <v>61</v>
      </c>
      <c r="M57" s="2">
        <v>2.8</v>
      </c>
      <c r="N57" s="2">
        <f t="shared" si="2"/>
        <v>58.2</v>
      </c>
      <c r="O57" s="2"/>
      <c r="P57" s="2"/>
      <c r="Q57" s="2"/>
      <c r="R57" s="38"/>
      <c r="S57" s="2"/>
      <c r="T57" s="2"/>
    </row>
    <row r="58" spans="1:20" x14ac:dyDescent="0.2">
      <c r="A58" s="41" t="str">
        <f t="shared" si="1"/>
        <v>27/6</v>
      </c>
      <c r="B58" s="18" t="s">
        <v>6</v>
      </c>
      <c r="C58" s="18" t="s">
        <v>76</v>
      </c>
      <c r="D58" s="18" t="s">
        <v>76</v>
      </c>
      <c r="E58" s="19" t="s">
        <v>30</v>
      </c>
      <c r="F58" s="19">
        <v>6</v>
      </c>
      <c r="G58" s="2"/>
      <c r="H58" s="44" t="s">
        <v>55</v>
      </c>
      <c r="I58" s="2"/>
      <c r="J58" s="43">
        <v>45870</v>
      </c>
      <c r="K58" s="2">
        <v>2</v>
      </c>
      <c r="L58" s="2">
        <f>58+58</f>
        <v>116</v>
      </c>
      <c r="M58" s="2">
        <f>2.7*2</f>
        <v>5.4</v>
      </c>
      <c r="N58" s="2">
        <f t="shared" si="2"/>
        <v>110.6</v>
      </c>
      <c r="O58" s="2"/>
      <c r="P58" s="2"/>
      <c r="Q58" s="2"/>
      <c r="R58" s="38"/>
      <c r="S58" s="2"/>
      <c r="T58" s="2"/>
    </row>
    <row r="59" spans="1:20" x14ac:dyDescent="0.2">
      <c r="A59" s="41" t="str">
        <f t="shared" si="1"/>
        <v>16/6</v>
      </c>
      <c r="B59" s="18" t="s">
        <v>6</v>
      </c>
      <c r="C59" s="18" t="s">
        <v>76</v>
      </c>
      <c r="D59" s="18" t="s">
        <v>76</v>
      </c>
      <c r="E59" s="19" t="s">
        <v>28</v>
      </c>
      <c r="F59" s="19">
        <v>6</v>
      </c>
      <c r="G59" s="2"/>
      <c r="H59" s="44" t="s">
        <v>55</v>
      </c>
      <c r="I59" s="2"/>
      <c r="J59" s="43">
        <v>45870</v>
      </c>
      <c r="K59" s="2">
        <v>53</v>
      </c>
      <c r="L59" s="2">
        <f>47+42+43+52+35+33+35+61+41+45+47+33+41+54+36+47+51+46+49+50+54+50+52+48+51+52+46+48+50+49</f>
        <v>1388</v>
      </c>
      <c r="M59" s="2">
        <f>1.6*30</f>
        <v>48</v>
      </c>
      <c r="N59" s="2">
        <f t="shared" si="2"/>
        <v>1340</v>
      </c>
      <c r="O59" s="2"/>
      <c r="P59" s="2"/>
      <c r="Q59" s="2"/>
      <c r="R59" s="38"/>
      <c r="S59" s="2"/>
      <c r="T59" s="2"/>
    </row>
    <row r="60" spans="1:20" x14ac:dyDescent="0.2">
      <c r="A60" s="41" t="str">
        <f t="shared" si="1"/>
        <v>14/10-11</v>
      </c>
      <c r="B60" s="18" t="s">
        <v>6</v>
      </c>
      <c r="C60" s="18" t="s">
        <v>76</v>
      </c>
      <c r="D60" s="18" t="s">
        <v>76</v>
      </c>
      <c r="E60" s="20" t="s">
        <v>12</v>
      </c>
      <c r="F60" s="21" t="s">
        <v>37</v>
      </c>
      <c r="G60" s="2"/>
      <c r="H60" s="44" t="s">
        <v>55</v>
      </c>
      <c r="I60" s="2"/>
      <c r="J60" s="43">
        <v>45870</v>
      </c>
      <c r="K60" s="4">
        <v>1</v>
      </c>
      <c r="L60" s="4">
        <v>50</v>
      </c>
      <c r="M60" s="2">
        <v>1.4</v>
      </c>
      <c r="N60" s="3">
        <f t="shared" si="2"/>
        <v>48.6</v>
      </c>
      <c r="O60" s="2"/>
      <c r="P60" s="2"/>
      <c r="Q60" s="2"/>
      <c r="R60" s="38"/>
      <c r="S60" s="2"/>
      <c r="T60" s="2"/>
    </row>
    <row r="61" spans="1:20" x14ac:dyDescent="0.2">
      <c r="A61" s="41" t="str">
        <f t="shared" si="1"/>
        <v>21/6.5</v>
      </c>
      <c r="B61" s="18" t="s">
        <v>6</v>
      </c>
      <c r="C61" s="18" t="s">
        <v>76</v>
      </c>
      <c r="D61" s="18" t="s">
        <v>76</v>
      </c>
      <c r="E61" s="19" t="s">
        <v>38</v>
      </c>
      <c r="F61" s="19">
        <v>6.5</v>
      </c>
      <c r="G61" s="2"/>
      <c r="H61" s="44" t="s">
        <v>55</v>
      </c>
      <c r="I61" s="2"/>
      <c r="J61" s="43">
        <v>45870</v>
      </c>
      <c r="K61" s="2">
        <v>2</v>
      </c>
      <c r="L61" s="2">
        <f>58+55</f>
        <v>113</v>
      </c>
      <c r="M61" s="2">
        <f>2.1*2</f>
        <v>4.2</v>
      </c>
      <c r="N61" s="2">
        <f t="shared" si="2"/>
        <v>108.8</v>
      </c>
      <c r="O61" s="2"/>
      <c r="P61" s="2"/>
      <c r="Q61" s="2"/>
      <c r="R61" s="38"/>
      <c r="S61" s="2"/>
      <c r="T61" s="2"/>
    </row>
    <row r="62" spans="1:20" x14ac:dyDescent="0.2">
      <c r="A62" s="41" t="str">
        <f t="shared" si="1"/>
        <v>23/5</v>
      </c>
      <c r="B62" s="18" t="s">
        <v>6</v>
      </c>
      <c r="C62" s="18" t="s">
        <v>76</v>
      </c>
      <c r="D62" s="18" t="s">
        <v>76</v>
      </c>
      <c r="E62" s="19" t="s">
        <v>39</v>
      </c>
      <c r="F62" s="19">
        <v>5</v>
      </c>
      <c r="G62" s="2"/>
      <c r="H62" s="44" t="s">
        <v>55</v>
      </c>
      <c r="I62" s="2"/>
      <c r="J62" s="43">
        <v>45870</v>
      </c>
      <c r="K62" s="2">
        <v>2</v>
      </c>
      <c r="L62" s="2">
        <f>44+27</f>
        <v>71</v>
      </c>
      <c r="M62" s="2">
        <f>2.3*2</f>
        <v>4.5999999999999996</v>
      </c>
      <c r="N62" s="2">
        <f t="shared" si="2"/>
        <v>66.400000000000006</v>
      </c>
      <c r="O62" s="2"/>
      <c r="P62" s="2"/>
      <c r="Q62" s="2"/>
      <c r="R62" s="38"/>
      <c r="S62" s="2"/>
      <c r="T62" s="2"/>
    </row>
    <row r="63" spans="1:20" x14ac:dyDescent="0.2">
      <c r="A63" s="41" t="str">
        <f t="shared" si="1"/>
        <v>8/8</v>
      </c>
      <c r="B63" s="18" t="s">
        <v>6</v>
      </c>
      <c r="C63" s="18" t="s">
        <v>76</v>
      </c>
      <c r="D63" s="18" t="s">
        <v>76</v>
      </c>
      <c r="E63" s="19" t="s">
        <v>18</v>
      </c>
      <c r="F63" s="19">
        <v>8</v>
      </c>
      <c r="G63" s="2"/>
      <c r="H63" s="44" t="s">
        <v>55</v>
      </c>
      <c r="I63" s="2"/>
      <c r="J63" s="43">
        <v>45870</v>
      </c>
      <c r="K63" s="2">
        <v>1</v>
      </c>
      <c r="L63" s="2">
        <v>34</v>
      </c>
      <c r="M63" s="2">
        <v>0.8</v>
      </c>
      <c r="N63" s="2">
        <f t="shared" si="2"/>
        <v>33.200000000000003</v>
      </c>
      <c r="O63" s="2"/>
      <c r="P63" s="2"/>
      <c r="Q63" s="2"/>
      <c r="R63" s="38"/>
      <c r="S63" s="2"/>
      <c r="T63" s="2"/>
    </row>
    <row r="64" spans="1:20" x14ac:dyDescent="0.2">
      <c r="A64" s="41" t="str">
        <f t="shared" si="1"/>
        <v>9/5</v>
      </c>
      <c r="B64" s="18" t="s">
        <v>6</v>
      </c>
      <c r="C64" s="18" t="s">
        <v>76</v>
      </c>
      <c r="D64" s="18" t="s">
        <v>76</v>
      </c>
      <c r="E64" s="19" t="s">
        <v>17</v>
      </c>
      <c r="F64" s="19">
        <v>5</v>
      </c>
      <c r="G64" s="2"/>
      <c r="H64" s="44" t="s">
        <v>55</v>
      </c>
      <c r="I64" s="2"/>
      <c r="J64" s="43">
        <v>45870</v>
      </c>
      <c r="K64" s="2">
        <v>120</v>
      </c>
      <c r="L64" s="2">
        <f>10+13+17+15+15+16+17+18+16+16+16+17+16+20+20+12+10+13+15+14+14+18+18+18+14+16+17+16+16+19+10+17+16+14+14+14+15+15+16+15+15+15+15+15+14+18+15+6+15+14+14+15+14+14+13+12+16+15+16+19+17+9+17+15+15+15+15+13+13+14+14+14+15+15+15+16+18+7+16+13+14+13+11+12+11+15+15+15+15+16+16+16+15+15+16+15+14+12+12+13+14+16+15+15+16+17+14+14+15+15+14+12+14+17+16+12+24+12+16+14+14</f>
        <v>1791</v>
      </c>
      <c r="M64" s="2">
        <f>0.9*120</f>
        <v>108</v>
      </c>
      <c r="N64" s="2">
        <f t="shared" si="2"/>
        <v>1683</v>
      </c>
      <c r="O64" s="2"/>
      <c r="P64" s="2"/>
      <c r="Q64" s="2"/>
      <c r="R64" s="38"/>
      <c r="S64" s="2"/>
      <c r="T64" s="2"/>
    </row>
    <row r="65" spans="1:20" x14ac:dyDescent="0.2">
      <c r="A65" s="41" t="str">
        <f t="shared" si="1"/>
        <v>5/4.5</v>
      </c>
      <c r="B65" s="18" t="s">
        <v>6</v>
      </c>
      <c r="C65" s="18" t="s">
        <v>76</v>
      </c>
      <c r="D65" s="18" t="s">
        <v>76</v>
      </c>
      <c r="E65" s="19" t="s">
        <v>40</v>
      </c>
      <c r="F65" s="19">
        <v>4.5</v>
      </c>
      <c r="G65" s="2"/>
      <c r="H65" s="44" t="s">
        <v>55</v>
      </c>
      <c r="I65" s="2"/>
      <c r="J65" s="43">
        <v>45870</v>
      </c>
      <c r="K65" s="2">
        <v>1</v>
      </c>
      <c r="L65" s="2">
        <v>14</v>
      </c>
      <c r="M65" s="2">
        <v>0.5</v>
      </c>
      <c r="N65" s="2">
        <f t="shared" si="2"/>
        <v>13.5</v>
      </c>
      <c r="O65" s="2"/>
      <c r="P65" s="2"/>
      <c r="Q65" s="2"/>
      <c r="R65" s="38"/>
      <c r="S65" s="2"/>
      <c r="T65" s="2"/>
    </row>
    <row r="66" spans="1:20" x14ac:dyDescent="0.2">
      <c r="A66" s="41" t="str">
        <f t="shared" si="1"/>
        <v>2.5/5</v>
      </c>
      <c r="B66" s="18" t="s">
        <v>6</v>
      </c>
      <c r="C66" s="18" t="s">
        <v>76</v>
      </c>
      <c r="D66" s="18" t="s">
        <v>76</v>
      </c>
      <c r="E66" s="19" t="s">
        <v>25</v>
      </c>
      <c r="F66" s="19">
        <v>5</v>
      </c>
      <c r="G66" s="2"/>
      <c r="H66" s="44" t="s">
        <v>55</v>
      </c>
      <c r="I66" s="2"/>
      <c r="J66" s="43">
        <v>45870</v>
      </c>
      <c r="K66" s="2">
        <v>35</v>
      </c>
      <c r="L66" s="2">
        <f>12+13+12+10+10+8+9+10+10+11+9+8+11+9+15+18+18+5+10+9+9+9+8+9+10+10+11+9+12+12+11+10+10+10+11</f>
        <v>368</v>
      </c>
      <c r="M66" s="2">
        <f>2.5*35</f>
        <v>87.5</v>
      </c>
      <c r="N66" s="2">
        <f t="shared" ref="N66:N73" si="3">+L66-M66</f>
        <v>280.5</v>
      </c>
      <c r="O66" s="2"/>
      <c r="P66" s="2"/>
      <c r="Q66" s="2"/>
      <c r="R66" s="38"/>
      <c r="S66" s="2"/>
      <c r="T66" s="2"/>
    </row>
    <row r="67" spans="1:20" x14ac:dyDescent="0.2">
      <c r="A67" s="41" t="str">
        <f t="shared" ref="A67:A131" si="4">CONCATENATE(E67,"/",F67)</f>
        <v>5/5</v>
      </c>
      <c r="B67" s="18" t="s">
        <v>6</v>
      </c>
      <c r="C67" s="18" t="s">
        <v>76</v>
      </c>
      <c r="D67" s="18" t="s">
        <v>76</v>
      </c>
      <c r="E67" s="19" t="s">
        <v>40</v>
      </c>
      <c r="F67" s="19">
        <v>5</v>
      </c>
      <c r="G67" s="2"/>
      <c r="H67" s="44" t="s">
        <v>55</v>
      </c>
      <c r="I67" s="2"/>
      <c r="J67" s="43">
        <v>45870</v>
      </c>
      <c r="K67" s="2">
        <v>23</v>
      </c>
      <c r="L67" s="2">
        <f>9+13+18+13+14+15+16+17+19+21+20+21+10+8+10+10+13+12+13+15+15+13+18</f>
        <v>333</v>
      </c>
      <c r="M67" s="2">
        <f>0.5*23</f>
        <v>11.5</v>
      </c>
      <c r="N67" s="2">
        <f t="shared" si="3"/>
        <v>321.5</v>
      </c>
      <c r="O67" s="2"/>
      <c r="P67" s="2"/>
      <c r="Q67" s="2"/>
      <c r="R67" s="38"/>
      <c r="S67" s="2"/>
      <c r="T67" s="2"/>
    </row>
    <row r="68" spans="1:20" x14ac:dyDescent="0.2">
      <c r="A68" s="41" t="str">
        <f t="shared" si="4"/>
        <v>3.5/5</v>
      </c>
      <c r="B68" s="18" t="s">
        <v>6</v>
      </c>
      <c r="C68" s="18" t="s">
        <v>76</v>
      </c>
      <c r="D68" s="18" t="s">
        <v>76</v>
      </c>
      <c r="E68" s="19" t="s">
        <v>42</v>
      </c>
      <c r="F68" s="19" t="s">
        <v>40</v>
      </c>
      <c r="G68" s="2"/>
      <c r="H68" s="44" t="s">
        <v>55</v>
      </c>
      <c r="I68" s="2"/>
      <c r="J68" s="43">
        <v>45870</v>
      </c>
      <c r="K68" s="2">
        <v>11</v>
      </c>
      <c r="L68" s="2">
        <v>220</v>
      </c>
      <c r="M68" s="2">
        <f>3.5*2</f>
        <v>7</v>
      </c>
      <c r="N68" s="2">
        <v>220</v>
      </c>
      <c r="O68" s="2"/>
      <c r="P68" s="2"/>
      <c r="Q68" s="2"/>
      <c r="R68" s="38"/>
      <c r="S68" s="2"/>
      <c r="T68" s="2"/>
    </row>
    <row r="69" spans="1:20" x14ac:dyDescent="0.2">
      <c r="A69" s="41" t="str">
        <f t="shared" si="4"/>
        <v>4.5/4.5-5</v>
      </c>
      <c r="B69" s="18" t="s">
        <v>6</v>
      </c>
      <c r="C69" s="18" t="s">
        <v>76</v>
      </c>
      <c r="D69" s="18" t="s">
        <v>76</v>
      </c>
      <c r="E69" s="19" t="s">
        <v>43</v>
      </c>
      <c r="F69" s="19" t="s">
        <v>44</v>
      </c>
      <c r="G69" s="2"/>
      <c r="H69" s="44" t="s">
        <v>55</v>
      </c>
      <c r="I69" s="2"/>
      <c r="J69" s="43">
        <v>45870</v>
      </c>
      <c r="K69" s="2">
        <v>6</v>
      </c>
      <c r="L69" s="2">
        <f>11+11+13+15+19+18</f>
        <v>87</v>
      </c>
      <c r="M69" s="2">
        <f>4.5*6</f>
        <v>27</v>
      </c>
      <c r="N69" s="2">
        <f t="shared" si="3"/>
        <v>60</v>
      </c>
      <c r="O69" s="2"/>
      <c r="P69" s="2"/>
      <c r="Q69" s="2"/>
      <c r="R69" s="38"/>
      <c r="S69" s="2"/>
      <c r="T69" s="2"/>
    </row>
    <row r="70" spans="1:20" x14ac:dyDescent="0.2">
      <c r="A70" s="41" t="str">
        <f t="shared" si="4"/>
        <v>3/5</v>
      </c>
      <c r="B70" s="18" t="s">
        <v>6</v>
      </c>
      <c r="C70" s="18" t="s">
        <v>76</v>
      </c>
      <c r="D70" s="18" t="s">
        <v>76</v>
      </c>
      <c r="E70" s="19" t="s">
        <v>27</v>
      </c>
      <c r="F70" s="19">
        <v>5</v>
      </c>
      <c r="G70" s="2"/>
      <c r="H70" s="44" t="s">
        <v>55</v>
      </c>
      <c r="I70" s="2"/>
      <c r="J70" s="43">
        <v>45870</v>
      </c>
      <c r="K70" s="2">
        <v>75</v>
      </c>
      <c r="L70" s="2">
        <f>11+18+14+13+16+15+15+14+14+14+12+16+15+16+14+11+11+10+12+12+11+10+10+15+14+12+14+15+15+16+15+14+15+15+15+14+14+14+16+16+15+14+16+12+11+15+15+15+15+17+15+13+17+16+15+15+15+14+16+13+11+15+14+13+16+16+16+16+15+15+15+16+16+15+15</f>
        <v>1071</v>
      </c>
      <c r="M70" s="2">
        <f>0.3*75</f>
        <v>22.5</v>
      </c>
      <c r="N70" s="2">
        <f t="shared" si="3"/>
        <v>1048.5</v>
      </c>
      <c r="O70" s="2"/>
      <c r="P70" s="2"/>
      <c r="Q70" s="2"/>
      <c r="R70" s="38"/>
      <c r="S70" s="2"/>
      <c r="T70" s="2"/>
    </row>
    <row r="71" spans="1:20" x14ac:dyDescent="0.2">
      <c r="A71" s="41" t="str">
        <f t="shared" si="4"/>
        <v>4/5</v>
      </c>
      <c r="B71" s="18" t="s">
        <v>6</v>
      </c>
      <c r="C71" s="18" t="s">
        <v>76</v>
      </c>
      <c r="D71" s="18" t="s">
        <v>76</v>
      </c>
      <c r="E71" s="19" t="s">
        <v>26</v>
      </c>
      <c r="F71" s="19">
        <v>5</v>
      </c>
      <c r="G71" s="2"/>
      <c r="H71" s="44" t="s">
        <v>55</v>
      </c>
      <c r="I71" s="2"/>
      <c r="J71" s="43">
        <v>45870</v>
      </c>
      <c r="K71" s="2">
        <v>13</v>
      </c>
      <c r="L71" s="2">
        <v>185.8</v>
      </c>
      <c r="M71" s="2">
        <f>0.4*13</f>
        <v>5.2</v>
      </c>
      <c r="N71" s="2">
        <v>185.8</v>
      </c>
      <c r="O71" s="2"/>
      <c r="P71" s="2"/>
      <c r="Q71" s="2"/>
      <c r="R71" s="38"/>
      <c r="S71" s="2"/>
      <c r="T71" s="2"/>
    </row>
    <row r="72" spans="1:20" x14ac:dyDescent="0.2">
      <c r="A72" s="41" t="str">
        <f t="shared" si="4"/>
        <v>2/5</v>
      </c>
      <c r="B72" s="18" t="s">
        <v>6</v>
      </c>
      <c r="C72" s="18" t="s">
        <v>76</v>
      </c>
      <c r="D72" s="18" t="s">
        <v>76</v>
      </c>
      <c r="E72" s="19" t="s">
        <v>23</v>
      </c>
      <c r="F72" s="19">
        <v>5</v>
      </c>
      <c r="G72" s="2"/>
      <c r="H72" s="44" t="s">
        <v>55</v>
      </c>
      <c r="I72" s="2"/>
      <c r="J72" s="43">
        <v>45870</v>
      </c>
      <c r="K72" s="2">
        <v>40</v>
      </c>
      <c r="L72" s="2">
        <f>6+8+10+9+8+9+8+10+8+9+9+9+8+5+7+6+6+11+11+12+12+11+9+9+9+14+12+6+5+5+6+5+7+7+7+7+8+8+8</f>
        <v>324</v>
      </c>
      <c r="M72" s="2">
        <f>0.2*40</f>
        <v>8</v>
      </c>
      <c r="N72" s="2">
        <f t="shared" si="3"/>
        <v>316</v>
      </c>
      <c r="O72" s="2"/>
      <c r="P72" s="2"/>
      <c r="Q72" s="2"/>
      <c r="R72" s="38"/>
      <c r="S72" s="2"/>
      <c r="T72" s="2"/>
    </row>
    <row r="73" spans="1:20" x14ac:dyDescent="0.2">
      <c r="A73" s="41" t="str">
        <f t="shared" si="4"/>
        <v>3/5</v>
      </c>
      <c r="B73" s="18" t="s">
        <v>6</v>
      </c>
      <c r="C73" s="18" t="s">
        <v>76</v>
      </c>
      <c r="D73" s="18" t="s">
        <v>76</v>
      </c>
      <c r="E73" s="19" t="s">
        <v>27</v>
      </c>
      <c r="F73" s="19">
        <v>5</v>
      </c>
      <c r="G73" s="2"/>
      <c r="H73" s="44" t="s">
        <v>55</v>
      </c>
      <c r="I73" s="2"/>
      <c r="J73" s="43">
        <v>45870</v>
      </c>
      <c r="K73" s="2">
        <v>2</v>
      </c>
      <c r="L73" s="2">
        <f>42+50</f>
        <v>92</v>
      </c>
      <c r="M73" s="2">
        <f>0.3*2</f>
        <v>0.6</v>
      </c>
      <c r="N73" s="2">
        <f t="shared" si="3"/>
        <v>91.4</v>
      </c>
      <c r="O73" s="2"/>
      <c r="P73" s="2"/>
      <c r="Q73" s="2"/>
      <c r="R73" s="38"/>
      <c r="S73" s="2"/>
      <c r="T73" s="2"/>
    </row>
    <row r="74" spans="1:20" x14ac:dyDescent="0.2">
      <c r="A74" s="49" t="str">
        <f t="shared" ref="A74" si="5">CONCATENATE(E74,"/",F74)</f>
        <v>16/15</v>
      </c>
      <c r="B74" s="19" t="s">
        <v>188</v>
      </c>
      <c r="C74" s="19" t="s">
        <v>76</v>
      </c>
      <c r="D74" s="19" t="s">
        <v>76</v>
      </c>
      <c r="E74" s="19">
        <v>16</v>
      </c>
      <c r="F74" s="19">
        <v>15</v>
      </c>
      <c r="G74" s="2"/>
      <c r="H74" s="39" t="s">
        <v>55</v>
      </c>
      <c r="I74" s="2"/>
      <c r="J74" s="38">
        <v>45905</v>
      </c>
      <c r="K74" s="2">
        <v>9</v>
      </c>
      <c r="L74" s="2">
        <v>260</v>
      </c>
      <c r="M74" s="2">
        <v>9.76</v>
      </c>
      <c r="N74" s="2">
        <v>260</v>
      </c>
      <c r="O74" s="2"/>
      <c r="P74" s="2"/>
      <c r="Q74" s="2"/>
      <c r="R74" s="38"/>
      <c r="S74" s="2"/>
      <c r="T74" s="2"/>
    </row>
    <row r="75" spans="1:20" ht="15.75" x14ac:dyDescent="0.2">
      <c r="A75" s="41" t="str">
        <f t="shared" si="4"/>
        <v>2.5/5</v>
      </c>
      <c r="B75" s="19" t="s">
        <v>83</v>
      </c>
      <c r="C75" s="19" t="s">
        <v>76</v>
      </c>
      <c r="D75" s="18" t="s">
        <v>76</v>
      </c>
      <c r="E75" s="19">
        <v>2.5</v>
      </c>
      <c r="F75" s="19">
        <v>5</v>
      </c>
      <c r="G75" s="2"/>
      <c r="H75" s="2" t="s">
        <v>88</v>
      </c>
      <c r="I75" s="2"/>
      <c r="J75" s="43">
        <v>45870</v>
      </c>
      <c r="K75" s="33">
        <v>9</v>
      </c>
      <c r="L75" s="33">
        <f>9.49+10.78+9.1+12.29+11.05+9.7+11.65</f>
        <v>74.06</v>
      </c>
      <c r="M75" s="33">
        <f>0.2*9</f>
        <v>1.8</v>
      </c>
      <c r="N75" s="33">
        <f>+L75-M75</f>
        <v>72.260000000000005</v>
      </c>
      <c r="O75" s="2"/>
      <c r="P75" s="2"/>
      <c r="Q75" s="2"/>
      <c r="R75" s="38"/>
      <c r="S75" s="2"/>
      <c r="T75" s="2"/>
    </row>
    <row r="76" spans="1:20" ht="15.75" x14ac:dyDescent="0.2">
      <c r="A76" s="41" t="str">
        <f t="shared" si="4"/>
        <v>2.5/5</v>
      </c>
      <c r="B76" s="19" t="s">
        <v>83</v>
      </c>
      <c r="C76" s="19" t="s">
        <v>76</v>
      </c>
      <c r="D76" s="18" t="s">
        <v>76</v>
      </c>
      <c r="E76" s="19">
        <v>2.5</v>
      </c>
      <c r="F76" s="19">
        <v>5</v>
      </c>
      <c r="G76" s="2"/>
      <c r="H76" s="2" t="s">
        <v>88</v>
      </c>
      <c r="I76" s="2"/>
      <c r="J76" s="43">
        <v>45870</v>
      </c>
      <c r="K76" s="33">
        <v>9</v>
      </c>
      <c r="L76" s="33">
        <f>12.56+12.24+13.37+12+13.66+12.46+12.56+11.9</f>
        <v>100.75</v>
      </c>
      <c r="M76" s="33">
        <f>0.2*9</f>
        <v>1.8</v>
      </c>
      <c r="N76" s="33">
        <f t="shared" ref="N76:N86" si="6">+L76-M76</f>
        <v>98.95</v>
      </c>
      <c r="O76" s="2"/>
      <c r="P76" s="2"/>
      <c r="Q76" s="2"/>
      <c r="R76" s="38"/>
      <c r="S76" s="2"/>
      <c r="T76" s="2"/>
    </row>
    <row r="77" spans="1:20" ht="15.75" x14ac:dyDescent="0.2">
      <c r="A77" s="41" t="str">
        <f t="shared" si="4"/>
        <v>3.5/5.5-6</v>
      </c>
      <c r="B77" s="19" t="s">
        <v>83</v>
      </c>
      <c r="C77" s="19" t="s">
        <v>76</v>
      </c>
      <c r="D77" s="18" t="s">
        <v>76</v>
      </c>
      <c r="E77" s="19">
        <v>3.5</v>
      </c>
      <c r="F77" s="19" t="s">
        <v>5</v>
      </c>
      <c r="G77" s="2"/>
      <c r="H77" s="2" t="s">
        <v>88</v>
      </c>
      <c r="I77" s="2"/>
      <c r="J77" s="43">
        <v>45870</v>
      </c>
      <c r="K77" s="33">
        <v>12</v>
      </c>
      <c r="L77" s="33">
        <f>14.45+15.57+13+8.65+16.02+14.05+14.1+13.89+16.36+14.95+8.9+6.37</f>
        <v>156.31</v>
      </c>
      <c r="M77" s="33">
        <f>0.3*K77</f>
        <v>3.5999999999999996</v>
      </c>
      <c r="N77" s="33">
        <f t="shared" si="6"/>
        <v>152.71</v>
      </c>
      <c r="O77" s="2"/>
      <c r="P77" s="2"/>
      <c r="Q77" s="2"/>
      <c r="R77" s="38"/>
      <c r="S77" s="2"/>
      <c r="T77" s="2"/>
    </row>
    <row r="78" spans="1:20" ht="15.75" x14ac:dyDescent="0.2">
      <c r="A78" s="41" t="str">
        <f t="shared" si="4"/>
        <v>3.5/5.5-6</v>
      </c>
      <c r="B78" s="19" t="s">
        <v>83</v>
      </c>
      <c r="C78" s="19" t="s">
        <v>76</v>
      </c>
      <c r="D78" s="18" t="s">
        <v>76</v>
      </c>
      <c r="E78" s="19">
        <v>3.5</v>
      </c>
      <c r="F78" s="19" t="s">
        <v>5</v>
      </c>
      <c r="G78" s="2"/>
      <c r="H78" s="2" t="s">
        <v>88</v>
      </c>
      <c r="I78" s="2"/>
      <c r="J78" s="43">
        <v>45870</v>
      </c>
      <c r="K78" s="33">
        <v>9</v>
      </c>
      <c r="L78" s="33">
        <f>16.07+14.81+14.85+15.9+15.88+16.57+15.13+14.54+13.08</f>
        <v>136.83000000000001</v>
      </c>
      <c r="M78" s="33">
        <f>0.3*K78</f>
        <v>2.6999999999999997</v>
      </c>
      <c r="N78" s="33">
        <f t="shared" si="6"/>
        <v>134.13000000000002</v>
      </c>
      <c r="O78" s="2"/>
      <c r="P78" s="2"/>
      <c r="Q78" s="2"/>
      <c r="R78" s="38"/>
      <c r="S78" s="2"/>
      <c r="T78" s="2"/>
    </row>
    <row r="79" spans="1:20" ht="15.75" x14ac:dyDescent="0.2">
      <c r="A79" s="41" t="str">
        <f t="shared" si="4"/>
        <v>9/5</v>
      </c>
      <c r="B79" s="19" t="s">
        <v>84</v>
      </c>
      <c r="C79" s="19" t="s">
        <v>76</v>
      </c>
      <c r="D79" s="18" t="s">
        <v>76</v>
      </c>
      <c r="E79" s="19">
        <v>9</v>
      </c>
      <c r="F79" s="19">
        <v>5</v>
      </c>
      <c r="G79" s="2"/>
      <c r="H79" s="2" t="s">
        <v>88</v>
      </c>
      <c r="I79" s="2"/>
      <c r="J79" s="43">
        <v>45870</v>
      </c>
      <c r="K79" s="33">
        <v>10</v>
      </c>
      <c r="L79" s="33">
        <f>24+37.22+32.39+18.32+35.16+38.44+39.42+24.94+31.58+33.17</f>
        <v>314.64</v>
      </c>
      <c r="M79" s="33">
        <f>0.9*11</f>
        <v>9.9</v>
      </c>
      <c r="N79" s="33">
        <f t="shared" si="6"/>
        <v>304.74</v>
      </c>
      <c r="O79" s="2"/>
      <c r="P79" s="2"/>
      <c r="Q79" s="2"/>
      <c r="R79" s="38"/>
      <c r="S79" s="2"/>
      <c r="T79" s="2"/>
    </row>
    <row r="80" spans="1:20" ht="15.75" x14ac:dyDescent="0.2">
      <c r="A80" s="41" t="str">
        <f t="shared" si="4"/>
        <v>9/5</v>
      </c>
      <c r="B80" s="19" t="s">
        <v>84</v>
      </c>
      <c r="C80" s="19" t="s">
        <v>76</v>
      </c>
      <c r="D80" s="18" t="s">
        <v>76</v>
      </c>
      <c r="E80" s="19">
        <v>9</v>
      </c>
      <c r="F80" s="19">
        <v>5</v>
      </c>
      <c r="G80" s="2"/>
      <c r="H80" s="2" t="s">
        <v>88</v>
      </c>
      <c r="I80" s="2"/>
      <c r="J80" s="43">
        <v>45870</v>
      </c>
      <c r="K80" s="33">
        <v>8</v>
      </c>
      <c r="L80" s="33">
        <f>43.94+45.57+45+35.9+23.12+26.71+45.55+48.76</f>
        <v>314.55</v>
      </c>
      <c r="M80" s="33">
        <f>0.9*8</f>
        <v>7.2</v>
      </c>
      <c r="N80" s="33">
        <f t="shared" si="6"/>
        <v>307.35000000000002</v>
      </c>
      <c r="O80" s="2"/>
      <c r="P80" s="2"/>
      <c r="Q80" s="2"/>
      <c r="R80" s="38"/>
      <c r="S80" s="2"/>
      <c r="T80" s="2"/>
    </row>
    <row r="81" spans="1:21" ht="15.75" x14ac:dyDescent="0.2">
      <c r="A81" s="41" t="str">
        <f t="shared" si="4"/>
        <v>16/5</v>
      </c>
      <c r="B81" s="19" t="s">
        <v>85</v>
      </c>
      <c r="C81" s="19" t="s">
        <v>76</v>
      </c>
      <c r="D81" s="18" t="s">
        <v>76</v>
      </c>
      <c r="E81" s="19">
        <v>16</v>
      </c>
      <c r="F81" s="19">
        <v>5</v>
      </c>
      <c r="G81" s="2"/>
      <c r="H81" s="2" t="s">
        <v>88</v>
      </c>
      <c r="I81" s="2"/>
      <c r="J81" s="43">
        <v>45870</v>
      </c>
      <c r="K81" s="33">
        <f>15+2</f>
        <v>17</v>
      </c>
      <c r="L81" s="33">
        <f>51.29+31.86+51.27+50.65+49.63+44+36.53+41.7+42.47+40.31+33.55+42.79+38.57+49.27+48.78+45.33+40.56</f>
        <v>738.56</v>
      </c>
      <c r="M81" s="33">
        <f>2*17</f>
        <v>34</v>
      </c>
      <c r="N81" s="33">
        <f t="shared" si="6"/>
        <v>704.56</v>
      </c>
      <c r="O81" s="2"/>
      <c r="P81" s="2"/>
      <c r="Q81" s="2"/>
      <c r="R81" s="38"/>
      <c r="S81" s="2"/>
      <c r="T81" s="2"/>
    </row>
    <row r="82" spans="1:21" ht="15.75" x14ac:dyDescent="0.2">
      <c r="A82" s="41" t="str">
        <f t="shared" si="4"/>
        <v>16/5</v>
      </c>
      <c r="B82" s="19" t="s">
        <v>85</v>
      </c>
      <c r="C82" s="19" t="s">
        <v>76</v>
      </c>
      <c r="D82" s="18" t="s">
        <v>76</v>
      </c>
      <c r="E82" s="19">
        <v>16</v>
      </c>
      <c r="F82" s="19">
        <v>5</v>
      </c>
      <c r="G82" s="2"/>
      <c r="H82" s="2" t="s">
        <v>88</v>
      </c>
      <c r="I82" s="2"/>
      <c r="J82" s="43">
        <v>45870</v>
      </c>
      <c r="K82" s="33">
        <v>3</v>
      </c>
      <c r="L82" s="33">
        <f>40.85+55.02+55.74</f>
        <v>151.61000000000001</v>
      </c>
      <c r="M82" s="33">
        <f>2+1.9+1.9</f>
        <v>5.8</v>
      </c>
      <c r="N82" s="33">
        <f t="shared" si="6"/>
        <v>145.81</v>
      </c>
      <c r="O82" s="2"/>
      <c r="P82" s="2"/>
      <c r="Q82" s="2"/>
      <c r="R82" s="38"/>
      <c r="S82" s="2"/>
      <c r="T82" s="2"/>
    </row>
    <row r="83" spans="1:21" ht="15.75" x14ac:dyDescent="0.2">
      <c r="A83" s="41" t="str">
        <f t="shared" si="4"/>
        <v>20/6</v>
      </c>
      <c r="B83" s="19" t="s">
        <v>86</v>
      </c>
      <c r="C83" s="19" t="s">
        <v>76</v>
      </c>
      <c r="D83" s="18" t="s">
        <v>76</v>
      </c>
      <c r="E83" s="19">
        <v>20</v>
      </c>
      <c r="F83" s="19">
        <v>6</v>
      </c>
      <c r="G83" s="2"/>
      <c r="H83" s="2" t="s">
        <v>88</v>
      </c>
      <c r="I83" s="2"/>
      <c r="J83" s="43">
        <v>45870</v>
      </c>
      <c r="K83" s="33">
        <f>9+21</f>
        <v>30</v>
      </c>
      <c r="L83" s="33">
        <v>510.7</v>
      </c>
      <c r="M83" s="33">
        <f>2.5+2.45+2+2.55+2.51+2.5+2.52+2.53+2</f>
        <v>21.560000000000002</v>
      </c>
      <c r="N83" s="33">
        <v>510.7</v>
      </c>
      <c r="O83" s="2"/>
      <c r="P83" s="2"/>
      <c r="Q83" s="2"/>
      <c r="R83" s="38"/>
      <c r="S83" s="2"/>
      <c r="T83" s="2"/>
    </row>
    <row r="84" spans="1:21" ht="15.75" x14ac:dyDescent="0.2">
      <c r="A84" s="41" t="str">
        <f t="shared" si="4"/>
        <v>10/5</v>
      </c>
      <c r="B84" s="19" t="s">
        <v>84</v>
      </c>
      <c r="C84" s="19" t="s">
        <v>76</v>
      </c>
      <c r="D84" s="18" t="s">
        <v>76</v>
      </c>
      <c r="E84" s="19">
        <v>10</v>
      </c>
      <c r="F84" s="19">
        <v>5</v>
      </c>
      <c r="G84" s="2"/>
      <c r="H84" s="2" t="s">
        <v>88</v>
      </c>
      <c r="I84" s="2"/>
      <c r="J84" s="43">
        <v>45870</v>
      </c>
      <c r="K84" s="33">
        <v>7</v>
      </c>
      <c r="L84" s="33">
        <f>37.01+37.39+21.89+44.08+41.71+36.92+37.82</f>
        <v>256.82</v>
      </c>
      <c r="M84" s="33">
        <v>7</v>
      </c>
      <c r="N84" s="33">
        <f t="shared" si="6"/>
        <v>249.82</v>
      </c>
      <c r="O84" s="2"/>
      <c r="P84" s="2"/>
      <c r="Q84" s="2"/>
      <c r="R84" s="38"/>
      <c r="S84" s="2"/>
      <c r="T84" s="2"/>
    </row>
    <row r="85" spans="1:21" ht="15.75" x14ac:dyDescent="0.2">
      <c r="A85" s="41" t="str">
        <f t="shared" si="4"/>
        <v>10/8</v>
      </c>
      <c r="B85" s="19" t="s">
        <v>87</v>
      </c>
      <c r="C85" s="19" t="s">
        <v>76</v>
      </c>
      <c r="D85" s="18" t="s">
        <v>76</v>
      </c>
      <c r="E85" s="19">
        <v>10</v>
      </c>
      <c r="F85" s="19">
        <v>8</v>
      </c>
      <c r="G85" s="2"/>
      <c r="H85" s="2" t="s">
        <v>88</v>
      </c>
      <c r="I85" s="2"/>
      <c r="J85" s="43">
        <v>45870</v>
      </c>
      <c r="K85" s="33">
        <v>4</v>
      </c>
      <c r="L85" s="33">
        <f>24.46+31.08+31.37+31.32</f>
        <v>118.22999999999999</v>
      </c>
      <c r="M85" s="33">
        <v>4</v>
      </c>
      <c r="N85" s="33">
        <f t="shared" si="6"/>
        <v>114.22999999999999</v>
      </c>
      <c r="O85" s="2"/>
      <c r="P85" s="2"/>
      <c r="Q85" s="2"/>
      <c r="R85" s="38"/>
      <c r="S85" s="2"/>
      <c r="T85" s="2"/>
    </row>
    <row r="86" spans="1:21" ht="15.75" x14ac:dyDescent="0.2">
      <c r="A86" s="41" t="str">
        <f t="shared" si="4"/>
        <v>10/5</v>
      </c>
      <c r="B86" s="19" t="s">
        <v>84</v>
      </c>
      <c r="C86" s="19" t="s">
        <v>76</v>
      </c>
      <c r="D86" s="18" t="s">
        <v>76</v>
      </c>
      <c r="E86" s="19">
        <v>10</v>
      </c>
      <c r="F86" s="19">
        <v>5</v>
      </c>
      <c r="G86" s="2"/>
      <c r="H86" s="2" t="s">
        <v>88</v>
      </c>
      <c r="I86" s="2"/>
      <c r="J86" s="43">
        <v>45870</v>
      </c>
      <c r="K86" s="33">
        <v>11</v>
      </c>
      <c r="L86" s="33">
        <f>35.78+54.3+47.99+49.07+32.96+56.71+41.97+49.72+43.8+43.83+32.16</f>
        <v>488.28999999999996</v>
      </c>
      <c r="M86" s="33">
        <v>11</v>
      </c>
      <c r="N86" s="33">
        <f t="shared" si="6"/>
        <v>477.28999999999996</v>
      </c>
      <c r="O86" s="2"/>
      <c r="P86" s="2"/>
      <c r="Q86" s="2"/>
      <c r="R86" s="38"/>
      <c r="S86" s="2"/>
      <c r="T86" s="2"/>
    </row>
    <row r="87" spans="1:21" ht="15.75" x14ac:dyDescent="0.2">
      <c r="A87" s="41" t="str">
        <f t="shared" si="4"/>
        <v>22/6</v>
      </c>
      <c r="B87" s="19" t="s">
        <v>86</v>
      </c>
      <c r="C87" s="19" t="s">
        <v>76</v>
      </c>
      <c r="D87" s="18" t="s">
        <v>76</v>
      </c>
      <c r="E87" s="19">
        <v>22</v>
      </c>
      <c r="F87" s="19">
        <v>6</v>
      </c>
      <c r="G87" s="2"/>
      <c r="H87" s="2"/>
      <c r="I87" s="2"/>
      <c r="J87" s="38"/>
      <c r="K87" s="2"/>
      <c r="L87" s="2"/>
      <c r="M87" s="2"/>
      <c r="N87" s="2"/>
      <c r="O87" s="2" t="s">
        <v>91</v>
      </c>
      <c r="P87" s="2"/>
      <c r="Q87" s="2"/>
      <c r="R87" s="38">
        <v>45870</v>
      </c>
      <c r="S87" s="34">
        <v>10</v>
      </c>
      <c r="T87" s="34">
        <f>25*9+26.3</f>
        <v>251.3</v>
      </c>
      <c r="U87" s="34"/>
    </row>
    <row r="88" spans="1:21" ht="15.75" x14ac:dyDescent="0.2">
      <c r="A88" s="41" t="str">
        <f t="shared" si="4"/>
        <v>16/6</v>
      </c>
      <c r="B88" s="19" t="s">
        <v>89</v>
      </c>
      <c r="C88" s="19" t="s">
        <v>76</v>
      </c>
      <c r="D88" s="18" t="s">
        <v>76</v>
      </c>
      <c r="E88" s="19">
        <v>16</v>
      </c>
      <c r="F88" s="19">
        <v>6</v>
      </c>
      <c r="G88" s="2"/>
      <c r="H88" s="2"/>
      <c r="I88" s="2"/>
      <c r="J88" s="38"/>
      <c r="K88" s="2"/>
      <c r="L88" s="2"/>
      <c r="M88" s="2"/>
      <c r="N88" s="2"/>
      <c r="O88" s="2" t="s">
        <v>91</v>
      </c>
      <c r="P88" s="2"/>
      <c r="Q88" s="2"/>
      <c r="R88" s="38">
        <v>45870</v>
      </c>
      <c r="S88" s="34">
        <v>9</v>
      </c>
      <c r="T88" s="34">
        <f t="shared" ref="T88:T93" si="7">25*S88</f>
        <v>225</v>
      </c>
      <c r="U88" s="34"/>
    </row>
    <row r="89" spans="1:21" ht="15.75" x14ac:dyDescent="0.2">
      <c r="A89" s="41" t="str">
        <f t="shared" si="4"/>
        <v>11/5</v>
      </c>
      <c r="B89" s="19" t="s">
        <v>83</v>
      </c>
      <c r="C89" s="19" t="s">
        <v>76</v>
      </c>
      <c r="D89" s="18" t="s">
        <v>76</v>
      </c>
      <c r="E89" s="19" t="s">
        <v>15</v>
      </c>
      <c r="F89" s="19">
        <v>5</v>
      </c>
      <c r="G89" s="2"/>
      <c r="H89" s="2"/>
      <c r="I89" s="2"/>
      <c r="J89" s="38"/>
      <c r="K89" s="2"/>
      <c r="L89" s="2"/>
      <c r="M89" s="2"/>
      <c r="N89" s="2"/>
      <c r="O89" s="2" t="s">
        <v>91</v>
      </c>
      <c r="P89" s="2"/>
      <c r="Q89" s="2"/>
      <c r="R89" s="38">
        <v>45870</v>
      </c>
      <c r="S89" s="34">
        <v>1</v>
      </c>
      <c r="T89" s="34">
        <f t="shared" si="7"/>
        <v>25</v>
      </c>
      <c r="U89" s="34"/>
    </row>
    <row r="90" spans="1:21" ht="15.75" x14ac:dyDescent="0.2">
      <c r="A90" s="41" t="str">
        <f t="shared" si="4"/>
        <v>16/6</v>
      </c>
      <c r="B90" s="19" t="s">
        <v>86</v>
      </c>
      <c r="C90" s="19" t="s">
        <v>76</v>
      </c>
      <c r="D90" s="18" t="s">
        <v>76</v>
      </c>
      <c r="E90" s="19">
        <v>16</v>
      </c>
      <c r="F90" s="19">
        <v>6</v>
      </c>
      <c r="G90" s="2"/>
      <c r="H90" s="2"/>
      <c r="I90" s="2"/>
      <c r="J90" s="38"/>
      <c r="K90" s="2"/>
      <c r="L90" s="2"/>
      <c r="M90" s="2"/>
      <c r="N90" s="2"/>
      <c r="O90" s="2" t="s">
        <v>91</v>
      </c>
      <c r="P90" s="2"/>
      <c r="Q90" s="2"/>
      <c r="R90" s="38">
        <v>45870</v>
      </c>
      <c r="S90" s="34">
        <v>38</v>
      </c>
      <c r="T90" s="34">
        <f t="shared" si="7"/>
        <v>950</v>
      </c>
      <c r="U90" s="34"/>
    </row>
    <row r="91" spans="1:21" ht="15.75" x14ac:dyDescent="0.2">
      <c r="A91" s="41" t="str">
        <f t="shared" si="4"/>
        <v>18/7</v>
      </c>
      <c r="B91" s="19" t="s">
        <v>86</v>
      </c>
      <c r="C91" s="19" t="s">
        <v>76</v>
      </c>
      <c r="D91" s="18" t="s">
        <v>76</v>
      </c>
      <c r="E91" s="19">
        <v>18</v>
      </c>
      <c r="F91" s="19">
        <v>7</v>
      </c>
      <c r="G91" s="2"/>
      <c r="H91" s="2"/>
      <c r="I91" s="2"/>
      <c r="J91" s="38"/>
      <c r="K91" s="2"/>
      <c r="L91" s="2"/>
      <c r="M91" s="2"/>
      <c r="N91" s="2"/>
      <c r="O91" s="2" t="s">
        <v>91</v>
      </c>
      <c r="P91" s="2"/>
      <c r="Q91" s="2"/>
      <c r="R91" s="38">
        <v>45870</v>
      </c>
      <c r="S91" s="34">
        <v>2</v>
      </c>
      <c r="T91" s="34">
        <f>25+19.6</f>
        <v>44.6</v>
      </c>
      <c r="U91" s="34"/>
    </row>
    <row r="92" spans="1:21" ht="15.75" x14ac:dyDescent="0.2">
      <c r="A92" s="41" t="str">
        <f t="shared" si="4"/>
        <v>7/5</v>
      </c>
      <c r="B92" s="19" t="s">
        <v>84</v>
      </c>
      <c r="C92" s="19" t="s">
        <v>76</v>
      </c>
      <c r="D92" s="18" t="s">
        <v>76</v>
      </c>
      <c r="E92" s="19" t="s">
        <v>19</v>
      </c>
      <c r="F92" s="19">
        <v>5</v>
      </c>
      <c r="G92" s="2"/>
      <c r="H92" s="2"/>
      <c r="I92" s="2"/>
      <c r="J92" s="38"/>
      <c r="K92" s="2"/>
      <c r="L92" s="2"/>
      <c r="M92" s="2"/>
      <c r="N92" s="2"/>
      <c r="O92" s="2" t="s">
        <v>91</v>
      </c>
      <c r="P92" s="2"/>
      <c r="Q92" s="2"/>
      <c r="R92" s="38">
        <v>45870</v>
      </c>
      <c r="S92" s="34">
        <v>10</v>
      </c>
      <c r="T92" s="34">
        <f t="shared" si="7"/>
        <v>250</v>
      </c>
    </row>
    <row r="93" spans="1:21" ht="15.75" x14ac:dyDescent="0.2">
      <c r="A93" s="41" t="str">
        <f t="shared" si="4"/>
        <v>7/5</v>
      </c>
      <c r="B93" s="19" t="s">
        <v>84</v>
      </c>
      <c r="C93" s="19" t="s">
        <v>76</v>
      </c>
      <c r="D93" s="18" t="s">
        <v>76</v>
      </c>
      <c r="E93" s="19" t="s">
        <v>19</v>
      </c>
      <c r="F93" s="19">
        <v>5</v>
      </c>
      <c r="G93" s="2"/>
      <c r="H93" s="2"/>
      <c r="I93" s="2"/>
      <c r="J93" s="38"/>
      <c r="K93" s="2"/>
      <c r="L93" s="2"/>
      <c r="M93" s="2"/>
      <c r="N93" s="2"/>
      <c r="O93" s="2" t="s">
        <v>91</v>
      </c>
      <c r="P93" s="2"/>
      <c r="Q93" s="2"/>
      <c r="R93" s="38">
        <v>45870</v>
      </c>
      <c r="S93" s="34">
        <v>4</v>
      </c>
      <c r="T93" s="34">
        <f t="shared" si="7"/>
        <v>100</v>
      </c>
    </row>
    <row r="94" spans="1:21" ht="15.75" x14ac:dyDescent="0.2">
      <c r="A94" s="41" t="str">
        <f t="shared" si="4"/>
        <v>4/5</v>
      </c>
      <c r="B94" s="19" t="s">
        <v>90</v>
      </c>
      <c r="C94" s="19" t="s">
        <v>76</v>
      </c>
      <c r="D94" s="18" t="s">
        <v>76</v>
      </c>
      <c r="E94" s="19">
        <v>4</v>
      </c>
      <c r="F94" s="19">
        <v>5</v>
      </c>
      <c r="G94" s="2"/>
      <c r="H94" s="2"/>
      <c r="I94" s="2"/>
      <c r="J94" s="38"/>
      <c r="K94" s="2"/>
      <c r="L94" s="2"/>
      <c r="M94" s="2"/>
      <c r="N94" s="2"/>
      <c r="O94" s="2" t="s">
        <v>91</v>
      </c>
      <c r="P94" s="2"/>
      <c r="Q94" s="2"/>
      <c r="R94" s="38">
        <v>45870</v>
      </c>
      <c r="S94" s="34">
        <v>1</v>
      </c>
      <c r="T94" s="34">
        <v>35</v>
      </c>
    </row>
    <row r="95" spans="1:21" ht="15.75" x14ac:dyDescent="0.2">
      <c r="A95" s="41" t="str">
        <f t="shared" si="4"/>
        <v>4/5</v>
      </c>
      <c r="B95" s="19" t="s">
        <v>84</v>
      </c>
      <c r="C95" s="19" t="s">
        <v>76</v>
      </c>
      <c r="D95" s="18" t="s">
        <v>76</v>
      </c>
      <c r="E95" s="19" t="s">
        <v>26</v>
      </c>
      <c r="F95" s="19">
        <v>5</v>
      </c>
      <c r="G95" s="2"/>
      <c r="H95" s="2"/>
      <c r="I95" s="2"/>
      <c r="J95" s="38"/>
      <c r="K95" s="2"/>
      <c r="L95" s="2"/>
      <c r="M95" s="2"/>
      <c r="N95" s="2"/>
      <c r="O95" s="2" t="s">
        <v>91</v>
      </c>
      <c r="P95" s="2"/>
      <c r="Q95" s="2"/>
      <c r="R95" s="38">
        <v>45870</v>
      </c>
      <c r="S95" s="34">
        <v>10</v>
      </c>
      <c r="T95" s="34">
        <f>20*S95</f>
        <v>200</v>
      </c>
    </row>
    <row r="96" spans="1:21" ht="15.75" x14ac:dyDescent="0.2">
      <c r="A96" s="41" t="str">
        <f t="shared" si="4"/>
        <v>4/5</v>
      </c>
      <c r="B96" s="19" t="s">
        <v>83</v>
      </c>
      <c r="C96" s="19" t="s">
        <v>76</v>
      </c>
      <c r="D96" s="18" t="s">
        <v>76</v>
      </c>
      <c r="E96" s="19" t="s">
        <v>26</v>
      </c>
      <c r="F96" s="19">
        <v>5</v>
      </c>
      <c r="G96" s="2"/>
      <c r="H96" s="2"/>
      <c r="I96" s="2"/>
      <c r="J96" s="38"/>
      <c r="K96" s="2"/>
      <c r="L96" s="2"/>
      <c r="M96" s="2"/>
      <c r="N96" s="2"/>
      <c r="O96" s="2" t="s">
        <v>91</v>
      </c>
      <c r="P96" s="2"/>
      <c r="Q96" s="2"/>
      <c r="R96" s="38">
        <v>45870</v>
      </c>
      <c r="S96" s="34">
        <v>5</v>
      </c>
      <c r="T96" s="34">
        <f t="shared" ref="T96:T98" si="8">20*S96</f>
        <v>100</v>
      </c>
    </row>
    <row r="97" spans="1:22" ht="15.75" x14ac:dyDescent="0.2">
      <c r="A97" s="41" t="str">
        <f t="shared" si="4"/>
        <v>2/5</v>
      </c>
      <c r="B97" s="19" t="s">
        <v>84</v>
      </c>
      <c r="C97" s="19" t="s">
        <v>76</v>
      </c>
      <c r="D97" s="18" t="s">
        <v>76</v>
      </c>
      <c r="E97" s="19">
        <v>2</v>
      </c>
      <c r="F97" s="19">
        <v>5</v>
      </c>
      <c r="G97" s="2"/>
      <c r="H97" s="2"/>
      <c r="I97" s="2"/>
      <c r="J97" s="38"/>
      <c r="K97" s="2"/>
      <c r="L97" s="2"/>
      <c r="M97" s="2"/>
      <c r="N97" s="2"/>
      <c r="O97" s="2" t="s">
        <v>91</v>
      </c>
      <c r="P97" s="2"/>
      <c r="Q97" s="2"/>
      <c r="R97" s="38">
        <v>45870</v>
      </c>
      <c r="S97" s="34">
        <v>6</v>
      </c>
      <c r="T97" s="34">
        <f t="shared" si="8"/>
        <v>120</v>
      </c>
    </row>
    <row r="98" spans="1:22" ht="15.75" x14ac:dyDescent="0.2">
      <c r="A98" s="41" t="str">
        <f t="shared" si="4"/>
        <v>2.5/5</v>
      </c>
      <c r="B98" s="19" t="s">
        <v>83</v>
      </c>
      <c r="C98" s="19" t="s">
        <v>76</v>
      </c>
      <c r="D98" s="18" t="s">
        <v>76</v>
      </c>
      <c r="E98" s="19" t="s">
        <v>25</v>
      </c>
      <c r="F98" s="19">
        <v>5</v>
      </c>
      <c r="G98" s="2"/>
      <c r="H98" s="2"/>
      <c r="I98" s="2"/>
      <c r="J98" s="38"/>
      <c r="K98" s="2"/>
      <c r="L98" s="2"/>
      <c r="M98" s="2"/>
      <c r="N98" s="2"/>
      <c r="O98" s="2" t="s">
        <v>91</v>
      </c>
      <c r="P98" s="2"/>
      <c r="Q98" s="2"/>
      <c r="R98" s="38">
        <v>45870</v>
      </c>
      <c r="S98" s="34">
        <v>2</v>
      </c>
      <c r="T98" s="34">
        <f t="shared" si="8"/>
        <v>40</v>
      </c>
    </row>
    <row r="99" spans="1:22" ht="15.75" x14ac:dyDescent="0.2">
      <c r="A99" s="41" t="str">
        <f t="shared" si="4"/>
        <v>16/5</v>
      </c>
      <c r="B99" s="19" t="s">
        <v>92</v>
      </c>
      <c r="C99" s="19" t="s">
        <v>76</v>
      </c>
      <c r="D99" s="18" t="s">
        <v>76</v>
      </c>
      <c r="E99" s="19">
        <v>16</v>
      </c>
      <c r="F99" s="19">
        <v>5</v>
      </c>
      <c r="G99" s="2"/>
      <c r="H99" s="2"/>
      <c r="I99" s="2"/>
      <c r="J99" s="38"/>
      <c r="K99" s="2"/>
      <c r="L99" s="2"/>
      <c r="M99" s="2"/>
      <c r="N99" s="2"/>
      <c r="O99" s="2" t="s">
        <v>94</v>
      </c>
      <c r="P99" s="2"/>
      <c r="Q99" s="2"/>
      <c r="R99" s="38">
        <v>45870</v>
      </c>
      <c r="S99" s="2">
        <v>3</v>
      </c>
      <c r="T99" s="2">
        <v>68.400000000000006</v>
      </c>
      <c r="U99" s="34">
        <v>0.2</v>
      </c>
      <c r="V99">
        <f>+T99+U99</f>
        <v>68.600000000000009</v>
      </c>
    </row>
    <row r="100" spans="1:22" ht="15.75" x14ac:dyDescent="0.2">
      <c r="A100" s="41" t="str">
        <f t="shared" si="4"/>
        <v>20/5</v>
      </c>
      <c r="B100" s="19" t="s">
        <v>85</v>
      </c>
      <c r="C100" s="19" t="s">
        <v>76</v>
      </c>
      <c r="D100" s="18" t="s">
        <v>76</v>
      </c>
      <c r="E100" s="19">
        <v>20</v>
      </c>
      <c r="F100" s="19">
        <v>5</v>
      </c>
      <c r="G100" s="2"/>
      <c r="H100" s="2"/>
      <c r="I100" s="2"/>
      <c r="J100" s="38"/>
      <c r="K100" s="2"/>
      <c r="L100" s="2"/>
      <c r="M100" s="2"/>
      <c r="N100" s="2"/>
      <c r="O100" s="2" t="s">
        <v>94</v>
      </c>
      <c r="P100" s="2"/>
      <c r="Q100" s="2"/>
      <c r="R100" s="38">
        <v>45870</v>
      </c>
      <c r="S100" s="2">
        <v>7</v>
      </c>
      <c r="T100" s="2">
        <v>175</v>
      </c>
      <c r="U100" s="34"/>
      <c r="V100">
        <f t="shared" ref="V100:V103" si="9">+T100+U100</f>
        <v>175</v>
      </c>
    </row>
    <row r="101" spans="1:22" ht="15.75" x14ac:dyDescent="0.2">
      <c r="A101" s="41" t="str">
        <f t="shared" si="4"/>
        <v>11/7</v>
      </c>
      <c r="B101" s="19" t="s">
        <v>93</v>
      </c>
      <c r="C101" s="19" t="s">
        <v>76</v>
      </c>
      <c r="D101" s="18" t="s">
        <v>76</v>
      </c>
      <c r="E101" s="19">
        <v>11</v>
      </c>
      <c r="F101" s="19">
        <v>7</v>
      </c>
      <c r="G101" s="2"/>
      <c r="H101" s="2"/>
      <c r="I101" s="2"/>
      <c r="J101" s="38"/>
      <c r="K101" s="2"/>
      <c r="L101" s="2"/>
      <c r="M101" s="2"/>
      <c r="N101" s="2"/>
      <c r="O101" s="2" t="s">
        <v>94</v>
      </c>
      <c r="P101" s="2"/>
      <c r="Q101" s="2"/>
      <c r="R101" s="38">
        <v>45870</v>
      </c>
      <c r="S101" s="2">
        <v>4</v>
      </c>
      <c r="T101" s="2">
        <v>92.9</v>
      </c>
      <c r="U101" s="34">
        <v>0.2</v>
      </c>
      <c r="V101">
        <f t="shared" si="9"/>
        <v>93.100000000000009</v>
      </c>
    </row>
    <row r="102" spans="1:22" ht="15.75" x14ac:dyDescent="0.2">
      <c r="A102" s="41" t="str">
        <f t="shared" si="4"/>
        <v>13/7</v>
      </c>
      <c r="B102" s="19" t="s">
        <v>93</v>
      </c>
      <c r="C102" s="19" t="s">
        <v>76</v>
      </c>
      <c r="D102" s="18" t="s">
        <v>76</v>
      </c>
      <c r="E102" s="19">
        <v>13</v>
      </c>
      <c r="F102" s="19">
        <v>7</v>
      </c>
      <c r="G102" s="2"/>
      <c r="H102" s="2"/>
      <c r="I102" s="2"/>
      <c r="J102" s="38"/>
      <c r="K102" s="2"/>
      <c r="L102" s="2"/>
      <c r="M102" s="2"/>
      <c r="N102" s="2"/>
      <c r="O102" s="2" t="s">
        <v>94</v>
      </c>
      <c r="P102" s="2"/>
      <c r="Q102" s="2"/>
      <c r="R102" s="38">
        <v>45870</v>
      </c>
      <c r="S102" s="2">
        <v>2</v>
      </c>
      <c r="T102" s="2">
        <v>50</v>
      </c>
      <c r="U102" s="34">
        <v>0.3</v>
      </c>
      <c r="V102">
        <f t="shared" si="9"/>
        <v>50.3</v>
      </c>
    </row>
    <row r="103" spans="1:22" ht="15.75" x14ac:dyDescent="0.2">
      <c r="A103" s="41" t="str">
        <f t="shared" si="4"/>
        <v>20/5</v>
      </c>
      <c r="B103" s="19" t="s">
        <v>85</v>
      </c>
      <c r="C103" s="19" t="s">
        <v>76</v>
      </c>
      <c r="D103" s="18" t="s">
        <v>76</v>
      </c>
      <c r="E103" s="19">
        <v>20</v>
      </c>
      <c r="F103" s="19">
        <v>5</v>
      </c>
      <c r="G103" s="2"/>
      <c r="H103" s="2"/>
      <c r="I103" s="2"/>
      <c r="J103" s="38"/>
      <c r="K103" s="2"/>
      <c r="L103" s="2"/>
      <c r="M103" s="2"/>
      <c r="N103" s="2"/>
      <c r="O103" s="2" t="s">
        <v>94</v>
      </c>
      <c r="P103" s="2"/>
      <c r="Q103" s="2"/>
      <c r="R103" s="38">
        <v>45870</v>
      </c>
      <c r="S103" s="2">
        <v>10</v>
      </c>
      <c r="T103" s="2">
        <v>240.9</v>
      </c>
      <c r="U103" s="34">
        <v>0.8</v>
      </c>
      <c r="V103">
        <f t="shared" si="9"/>
        <v>241.70000000000002</v>
      </c>
    </row>
    <row r="104" spans="1:22" x14ac:dyDescent="0.2">
      <c r="A104" s="41" t="str">
        <f t="shared" si="4"/>
        <v>2.5/5</v>
      </c>
      <c r="B104" s="19" t="s">
        <v>83</v>
      </c>
      <c r="C104" s="19" t="s">
        <v>76</v>
      </c>
      <c r="D104" s="18" t="s">
        <v>76</v>
      </c>
      <c r="E104" s="19">
        <v>2.5</v>
      </c>
      <c r="F104" s="19">
        <v>5</v>
      </c>
      <c r="G104" s="2"/>
      <c r="H104" s="2" t="s">
        <v>88</v>
      </c>
      <c r="I104" s="2"/>
      <c r="J104" s="38">
        <v>45902</v>
      </c>
      <c r="K104" s="2">
        <v>10</v>
      </c>
      <c r="L104" s="2">
        <v>99.929999999999993</v>
      </c>
      <c r="M104" s="2">
        <v>2</v>
      </c>
      <c r="N104" s="2">
        <v>97.929999999999993</v>
      </c>
      <c r="O104" s="2"/>
      <c r="P104" s="2"/>
      <c r="Q104" s="2"/>
      <c r="R104" s="38"/>
      <c r="S104" s="2"/>
      <c r="T104" s="2"/>
    </row>
    <row r="105" spans="1:22" x14ac:dyDescent="0.2">
      <c r="A105" s="41" t="str">
        <f t="shared" si="4"/>
        <v>4.5/5</v>
      </c>
      <c r="B105" s="19" t="s">
        <v>161</v>
      </c>
      <c r="C105" s="19" t="s">
        <v>76</v>
      </c>
      <c r="D105" s="18" t="s">
        <v>76</v>
      </c>
      <c r="E105" s="19">
        <v>4.5</v>
      </c>
      <c r="F105" s="19">
        <v>5</v>
      </c>
      <c r="G105" s="2"/>
      <c r="H105" s="2" t="s">
        <v>88</v>
      </c>
      <c r="I105" s="2"/>
      <c r="J105" s="38">
        <v>45902</v>
      </c>
      <c r="K105" s="2">
        <v>8</v>
      </c>
      <c r="L105" s="2">
        <v>139.69999999999999</v>
      </c>
      <c r="M105" s="2">
        <v>3.2</v>
      </c>
      <c r="N105" s="2">
        <v>136.5</v>
      </c>
      <c r="O105" s="2"/>
      <c r="P105" s="2"/>
      <c r="Q105" s="2"/>
      <c r="R105" s="38"/>
      <c r="S105" s="2"/>
      <c r="T105" s="2"/>
    </row>
    <row r="106" spans="1:22" x14ac:dyDescent="0.2">
      <c r="A106" s="41" t="str">
        <f t="shared" si="4"/>
        <v>3.5/5.5-6</v>
      </c>
      <c r="B106" s="19" t="s">
        <v>83</v>
      </c>
      <c r="C106" s="19" t="s">
        <v>76</v>
      </c>
      <c r="D106" s="18" t="s">
        <v>76</v>
      </c>
      <c r="E106" s="19">
        <v>3.5</v>
      </c>
      <c r="F106" s="19" t="s">
        <v>5</v>
      </c>
      <c r="G106" s="2"/>
      <c r="H106" s="2" t="s">
        <v>88</v>
      </c>
      <c r="I106" s="2"/>
      <c r="J106" s="38">
        <v>45902</v>
      </c>
      <c r="K106" s="2">
        <v>12</v>
      </c>
      <c r="L106" s="2">
        <v>159.89000000000001</v>
      </c>
      <c r="M106" s="2">
        <v>3.5999999999999996</v>
      </c>
      <c r="N106" s="2">
        <v>156.29000000000002</v>
      </c>
      <c r="O106" s="2"/>
      <c r="P106" s="2"/>
      <c r="Q106" s="2"/>
      <c r="R106" s="38"/>
      <c r="S106" s="2"/>
      <c r="T106" s="2"/>
    </row>
    <row r="107" spans="1:22" x14ac:dyDescent="0.2">
      <c r="A107" s="41" t="str">
        <f t="shared" si="4"/>
        <v>3.5/4.5</v>
      </c>
      <c r="B107" s="19" t="s">
        <v>162</v>
      </c>
      <c r="C107" s="19" t="s">
        <v>76</v>
      </c>
      <c r="D107" s="18" t="s">
        <v>76</v>
      </c>
      <c r="E107" s="19">
        <v>3.5</v>
      </c>
      <c r="F107" s="19">
        <v>4.5</v>
      </c>
      <c r="G107" s="2"/>
      <c r="H107" s="2" t="s">
        <v>88</v>
      </c>
      <c r="I107" s="2"/>
      <c r="J107" s="38">
        <v>45902</v>
      </c>
      <c r="K107" s="2">
        <v>11</v>
      </c>
      <c r="L107" s="2">
        <v>149.31</v>
      </c>
      <c r="M107" s="2">
        <v>3.3</v>
      </c>
      <c r="N107" s="2">
        <v>146.01</v>
      </c>
      <c r="O107" s="2"/>
      <c r="P107" s="2"/>
      <c r="Q107" s="2"/>
      <c r="R107" s="38"/>
      <c r="S107" s="2"/>
      <c r="T107" s="2"/>
    </row>
    <row r="108" spans="1:22" x14ac:dyDescent="0.2">
      <c r="A108" s="41" t="str">
        <f t="shared" si="4"/>
        <v>9/5</v>
      </c>
      <c r="B108" s="19" t="s">
        <v>84</v>
      </c>
      <c r="C108" s="19" t="s">
        <v>76</v>
      </c>
      <c r="D108" s="18" t="s">
        <v>76</v>
      </c>
      <c r="E108" s="19">
        <v>9</v>
      </c>
      <c r="F108" s="19">
        <v>5</v>
      </c>
      <c r="G108" s="2"/>
      <c r="H108" s="2" t="s">
        <v>88</v>
      </c>
      <c r="I108" s="2"/>
      <c r="J108" s="38">
        <v>45902</v>
      </c>
      <c r="K108" s="2">
        <v>8</v>
      </c>
      <c r="L108" s="2">
        <v>282.53000000000003</v>
      </c>
      <c r="M108" s="2">
        <v>7.2</v>
      </c>
      <c r="N108" s="2">
        <v>275.33000000000004</v>
      </c>
      <c r="O108" s="2"/>
      <c r="P108" s="2"/>
      <c r="Q108" s="2"/>
      <c r="R108" s="38"/>
      <c r="S108" s="2"/>
      <c r="T108" s="2"/>
    </row>
    <row r="109" spans="1:22" x14ac:dyDescent="0.2">
      <c r="A109" s="41" t="str">
        <f t="shared" si="4"/>
        <v>9/5</v>
      </c>
      <c r="B109" s="19" t="s">
        <v>84</v>
      </c>
      <c r="C109" s="19" t="s">
        <v>76</v>
      </c>
      <c r="D109" s="18" t="s">
        <v>76</v>
      </c>
      <c r="E109" s="19">
        <v>9</v>
      </c>
      <c r="F109" s="19">
        <v>5</v>
      </c>
      <c r="G109" s="2"/>
      <c r="H109" s="2" t="s">
        <v>88</v>
      </c>
      <c r="I109" s="2"/>
      <c r="J109" s="38">
        <v>45902</v>
      </c>
      <c r="K109" s="2">
        <v>7</v>
      </c>
      <c r="L109" s="2">
        <v>294.67</v>
      </c>
      <c r="M109" s="2">
        <v>8.5</v>
      </c>
      <c r="N109" s="2">
        <v>286.17</v>
      </c>
      <c r="O109" s="2"/>
      <c r="P109" s="2"/>
      <c r="Q109" s="2"/>
      <c r="R109" s="38"/>
      <c r="S109" s="2"/>
      <c r="T109" s="2"/>
    </row>
    <row r="110" spans="1:22" x14ac:dyDescent="0.2">
      <c r="A110" s="41" t="str">
        <f t="shared" si="4"/>
        <v>20/6</v>
      </c>
      <c r="B110" s="19" t="s">
        <v>86</v>
      </c>
      <c r="C110" s="19" t="s">
        <v>76</v>
      </c>
      <c r="D110" s="18" t="s">
        <v>76</v>
      </c>
      <c r="E110" s="19">
        <v>20</v>
      </c>
      <c r="F110" s="19">
        <v>6</v>
      </c>
      <c r="G110" s="2"/>
      <c r="H110" s="2" t="s">
        <v>88</v>
      </c>
      <c r="I110" s="2"/>
      <c r="J110" s="38">
        <v>45902</v>
      </c>
      <c r="K110" s="2">
        <v>12</v>
      </c>
      <c r="L110" s="2">
        <v>557.20000000000005</v>
      </c>
      <c r="M110" s="2">
        <v>20</v>
      </c>
      <c r="N110" s="2">
        <v>557.20000000000005</v>
      </c>
      <c r="O110" s="2"/>
      <c r="P110" s="2"/>
      <c r="Q110" s="2"/>
      <c r="R110" s="38"/>
      <c r="S110" s="2"/>
      <c r="T110" s="2"/>
    </row>
    <row r="111" spans="1:22" x14ac:dyDescent="0.2">
      <c r="A111" s="41" t="str">
        <f t="shared" si="4"/>
        <v>20/5</v>
      </c>
      <c r="B111" s="19" t="s">
        <v>83</v>
      </c>
      <c r="C111" s="19" t="s">
        <v>76</v>
      </c>
      <c r="D111" s="18" t="s">
        <v>76</v>
      </c>
      <c r="E111" s="19">
        <v>20</v>
      </c>
      <c r="F111" s="19">
        <v>5</v>
      </c>
      <c r="G111" s="2"/>
      <c r="H111" s="2" t="s">
        <v>88</v>
      </c>
      <c r="I111" s="2"/>
      <c r="J111" s="38">
        <v>45902</v>
      </c>
      <c r="K111" s="2">
        <v>1</v>
      </c>
      <c r="L111" s="2">
        <v>56.86</v>
      </c>
      <c r="M111" s="2">
        <v>2</v>
      </c>
      <c r="N111" s="2">
        <v>54.86</v>
      </c>
      <c r="O111" s="2"/>
      <c r="P111" s="2"/>
      <c r="Q111" s="2"/>
      <c r="R111" s="38"/>
      <c r="S111" s="2"/>
      <c r="T111" s="2"/>
    </row>
    <row r="112" spans="1:22" x14ac:dyDescent="0.2">
      <c r="A112" s="41" t="str">
        <f t="shared" si="4"/>
        <v>21/24</v>
      </c>
      <c r="B112" s="19" t="s">
        <v>163</v>
      </c>
      <c r="C112" s="19" t="s">
        <v>76</v>
      </c>
      <c r="D112" s="18" t="s">
        <v>76</v>
      </c>
      <c r="E112" s="19">
        <v>21</v>
      </c>
      <c r="F112" s="19" t="s">
        <v>32</v>
      </c>
      <c r="G112" s="2"/>
      <c r="H112" s="2" t="s">
        <v>88</v>
      </c>
      <c r="I112" s="2"/>
      <c r="J112" s="38">
        <v>45902</v>
      </c>
      <c r="K112" s="2">
        <v>5</v>
      </c>
      <c r="L112" s="2">
        <v>174.28</v>
      </c>
      <c r="M112" s="2">
        <v>13.049999999999999</v>
      </c>
      <c r="N112" s="2">
        <v>161.22999999999999</v>
      </c>
      <c r="O112" s="2"/>
      <c r="P112" s="2"/>
      <c r="Q112" s="2"/>
      <c r="R112" s="38"/>
      <c r="S112" s="2"/>
      <c r="T112" s="2"/>
    </row>
    <row r="113" spans="1:20" x14ac:dyDescent="0.2">
      <c r="A113" s="41" t="str">
        <f t="shared" si="4"/>
        <v>21/24</v>
      </c>
      <c r="B113" s="19" t="s">
        <v>163</v>
      </c>
      <c r="C113" s="19" t="s">
        <v>76</v>
      </c>
      <c r="D113" s="18" t="s">
        <v>76</v>
      </c>
      <c r="E113" s="19">
        <v>21</v>
      </c>
      <c r="F113" s="19" t="s">
        <v>32</v>
      </c>
      <c r="G113" s="2"/>
      <c r="H113" s="2" t="s">
        <v>88</v>
      </c>
      <c r="I113" s="2"/>
      <c r="J113" s="38">
        <v>45902</v>
      </c>
      <c r="K113" s="2">
        <v>7</v>
      </c>
      <c r="L113" s="2">
        <v>372.77000000000004</v>
      </c>
      <c r="M113" s="2">
        <v>18.2</v>
      </c>
      <c r="N113" s="2">
        <v>354.57000000000005</v>
      </c>
      <c r="O113" s="2"/>
      <c r="P113" s="2"/>
      <c r="Q113" s="2"/>
      <c r="R113" s="38"/>
      <c r="S113" s="2"/>
      <c r="T113" s="2"/>
    </row>
    <row r="114" spans="1:20" x14ac:dyDescent="0.2">
      <c r="A114" s="41" t="str">
        <f t="shared" si="4"/>
        <v>20/5</v>
      </c>
      <c r="B114" s="19" t="s">
        <v>83</v>
      </c>
      <c r="C114" s="19" t="s">
        <v>76</v>
      </c>
      <c r="D114" s="18" t="s">
        <v>76</v>
      </c>
      <c r="E114" s="19">
        <v>20</v>
      </c>
      <c r="F114" s="19">
        <v>5</v>
      </c>
      <c r="G114" s="2"/>
      <c r="H114" s="2" t="s">
        <v>88</v>
      </c>
      <c r="I114" s="2"/>
      <c r="J114" s="38">
        <v>45902</v>
      </c>
      <c r="K114" s="2">
        <v>6</v>
      </c>
      <c r="L114" s="2">
        <v>297.32</v>
      </c>
      <c r="M114" s="2">
        <v>11.85</v>
      </c>
      <c r="N114" s="2">
        <v>285.46999999999997</v>
      </c>
      <c r="O114" s="2"/>
      <c r="P114" s="2"/>
      <c r="Q114" s="2"/>
      <c r="R114" s="38"/>
      <c r="S114" s="2"/>
      <c r="T114" s="2"/>
    </row>
    <row r="115" spans="1:20" x14ac:dyDescent="0.2">
      <c r="A115" s="41" t="str">
        <f t="shared" si="4"/>
        <v>10/5</v>
      </c>
      <c r="B115" s="19" t="s">
        <v>84</v>
      </c>
      <c r="C115" s="19" t="s">
        <v>76</v>
      </c>
      <c r="D115" s="18" t="s">
        <v>76</v>
      </c>
      <c r="E115" s="19">
        <v>10</v>
      </c>
      <c r="F115" s="19">
        <v>5</v>
      </c>
      <c r="G115" s="2"/>
      <c r="H115" s="2" t="s">
        <v>88</v>
      </c>
      <c r="I115" s="2"/>
      <c r="J115" s="38">
        <v>45902</v>
      </c>
      <c r="K115" s="2">
        <v>11</v>
      </c>
      <c r="L115" s="2">
        <v>488.72</v>
      </c>
      <c r="M115" s="2">
        <v>11</v>
      </c>
      <c r="N115" s="2">
        <v>477.72</v>
      </c>
      <c r="O115" s="2"/>
      <c r="P115" s="2"/>
      <c r="Q115" s="2"/>
      <c r="R115" s="38"/>
      <c r="S115" s="2"/>
      <c r="T115" s="2"/>
    </row>
    <row r="116" spans="1:20" x14ac:dyDescent="0.2">
      <c r="A116" s="41" t="str">
        <f t="shared" si="4"/>
        <v>10/5</v>
      </c>
      <c r="B116" s="19" t="s">
        <v>84</v>
      </c>
      <c r="C116" s="19" t="s">
        <v>76</v>
      </c>
      <c r="D116" s="18" t="s">
        <v>76</v>
      </c>
      <c r="E116" s="19">
        <v>10</v>
      </c>
      <c r="F116" s="19">
        <v>5</v>
      </c>
      <c r="G116" s="2"/>
      <c r="H116" s="2" t="s">
        <v>88</v>
      </c>
      <c r="I116" s="2"/>
      <c r="J116" s="38">
        <v>45902</v>
      </c>
      <c r="K116" s="2">
        <v>10</v>
      </c>
      <c r="L116" s="2">
        <v>445.4500000000001</v>
      </c>
      <c r="M116" s="2">
        <v>12.2</v>
      </c>
      <c r="N116" s="2">
        <v>433.25000000000011</v>
      </c>
      <c r="O116" s="2"/>
      <c r="P116" s="2"/>
      <c r="Q116" s="2"/>
      <c r="R116" s="38"/>
      <c r="S116" s="2"/>
      <c r="T116" s="2"/>
    </row>
    <row r="117" spans="1:20" x14ac:dyDescent="0.2">
      <c r="A117" s="41" t="str">
        <f t="shared" si="4"/>
        <v>17/5.5-6</v>
      </c>
      <c r="B117" s="19" t="s">
        <v>92</v>
      </c>
      <c r="C117" s="19" t="s">
        <v>76</v>
      </c>
      <c r="D117" s="18" t="s">
        <v>76</v>
      </c>
      <c r="E117" s="19">
        <v>17</v>
      </c>
      <c r="F117" s="19" t="s">
        <v>5</v>
      </c>
      <c r="G117" s="2"/>
      <c r="H117" s="2" t="s">
        <v>88</v>
      </c>
      <c r="I117" s="2"/>
      <c r="J117" s="38">
        <v>45902</v>
      </c>
      <c r="K117" s="2">
        <v>6</v>
      </c>
      <c r="L117" s="2">
        <v>328.59</v>
      </c>
      <c r="M117" s="2">
        <v>12.78</v>
      </c>
      <c r="N117" s="2">
        <v>315.81</v>
      </c>
      <c r="O117" s="2"/>
      <c r="P117" s="2"/>
      <c r="Q117" s="2"/>
      <c r="R117" s="38"/>
      <c r="S117" s="2"/>
      <c r="T117" s="2"/>
    </row>
    <row r="118" spans="1:20" x14ac:dyDescent="0.2">
      <c r="A118" s="41" t="str">
        <f t="shared" si="4"/>
        <v>2.5/5</v>
      </c>
      <c r="B118" s="19" t="s">
        <v>83</v>
      </c>
      <c r="C118" s="19" t="s">
        <v>76</v>
      </c>
      <c r="D118" s="18" t="s">
        <v>76</v>
      </c>
      <c r="E118" s="19">
        <v>2.5</v>
      </c>
      <c r="F118" s="19">
        <v>5</v>
      </c>
      <c r="G118" s="2"/>
      <c r="H118" s="2" t="s">
        <v>88</v>
      </c>
      <c r="I118" s="2"/>
      <c r="J118" s="38">
        <v>45903</v>
      </c>
      <c r="K118" s="2">
        <v>4</v>
      </c>
      <c r="L118" s="2">
        <v>48.14</v>
      </c>
      <c r="M118" s="2">
        <v>0.8</v>
      </c>
      <c r="N118" s="2">
        <v>47.34</v>
      </c>
      <c r="O118" s="2"/>
      <c r="P118" s="2"/>
      <c r="Q118" s="2"/>
      <c r="R118" s="38"/>
      <c r="S118" s="2"/>
      <c r="T118" s="2"/>
    </row>
    <row r="119" spans="1:20" x14ac:dyDescent="0.2">
      <c r="A119" s="41" t="str">
        <f t="shared" si="4"/>
        <v>2/5</v>
      </c>
      <c r="B119" s="19" t="s">
        <v>83</v>
      </c>
      <c r="C119" s="19" t="s">
        <v>76</v>
      </c>
      <c r="D119" s="18" t="s">
        <v>76</v>
      </c>
      <c r="E119" s="19">
        <v>2</v>
      </c>
      <c r="F119" s="19">
        <v>5</v>
      </c>
      <c r="G119" s="2"/>
      <c r="H119" s="2" t="s">
        <v>88</v>
      </c>
      <c r="I119" s="2"/>
      <c r="J119" s="38">
        <v>45903</v>
      </c>
      <c r="K119" s="2">
        <v>6</v>
      </c>
      <c r="L119" s="2">
        <v>52.33</v>
      </c>
      <c r="M119" s="2">
        <v>1.2000000000000002</v>
      </c>
      <c r="N119" s="2">
        <v>51.129999999999995</v>
      </c>
      <c r="O119" s="2"/>
      <c r="P119" s="2"/>
      <c r="Q119" s="2"/>
      <c r="R119" s="38"/>
      <c r="S119" s="2"/>
      <c r="T119" s="2"/>
    </row>
    <row r="120" spans="1:20" x14ac:dyDescent="0.2">
      <c r="A120" s="41" t="str">
        <f t="shared" si="4"/>
        <v>9/5</v>
      </c>
      <c r="B120" s="19" t="s">
        <v>84</v>
      </c>
      <c r="C120" s="19" t="s">
        <v>76</v>
      </c>
      <c r="D120" s="18" t="s">
        <v>76</v>
      </c>
      <c r="E120" s="19">
        <v>9</v>
      </c>
      <c r="F120" s="19">
        <v>5</v>
      </c>
      <c r="G120" s="2"/>
      <c r="H120" s="2" t="s">
        <v>88</v>
      </c>
      <c r="I120" s="2"/>
      <c r="J120" s="38">
        <v>45903</v>
      </c>
      <c r="K120" s="2">
        <v>4</v>
      </c>
      <c r="L120" s="2">
        <v>143.74</v>
      </c>
      <c r="M120" s="2">
        <v>3.6</v>
      </c>
      <c r="N120" s="2">
        <v>140.14000000000001</v>
      </c>
      <c r="O120" s="2"/>
      <c r="P120" s="2"/>
      <c r="Q120" s="2"/>
      <c r="R120" s="38"/>
      <c r="S120" s="2"/>
      <c r="T120" s="2"/>
    </row>
    <row r="121" spans="1:20" x14ac:dyDescent="0.2">
      <c r="A121" s="41" t="str">
        <f t="shared" si="4"/>
        <v>7/5</v>
      </c>
      <c r="B121" s="19" t="s">
        <v>84</v>
      </c>
      <c r="C121" s="19" t="s">
        <v>76</v>
      </c>
      <c r="D121" s="18" t="s">
        <v>76</v>
      </c>
      <c r="E121" s="19">
        <v>7</v>
      </c>
      <c r="F121" s="19">
        <v>5</v>
      </c>
      <c r="G121" s="2"/>
      <c r="H121" s="2" t="s">
        <v>88</v>
      </c>
      <c r="I121" s="2"/>
      <c r="J121" s="38">
        <v>45903</v>
      </c>
      <c r="K121" s="2">
        <v>5</v>
      </c>
      <c r="L121" s="2">
        <v>162.91000000000003</v>
      </c>
      <c r="M121" s="2">
        <v>3.5999999999999996</v>
      </c>
      <c r="N121" s="2">
        <v>159.31000000000003</v>
      </c>
      <c r="O121" s="2"/>
      <c r="P121" s="2"/>
      <c r="Q121" s="2"/>
      <c r="R121" s="38"/>
      <c r="S121" s="2"/>
      <c r="T121" s="2"/>
    </row>
    <row r="122" spans="1:20" x14ac:dyDescent="0.2">
      <c r="A122" s="41" t="str">
        <f t="shared" si="4"/>
        <v>7/5</v>
      </c>
      <c r="B122" s="19" t="s">
        <v>84</v>
      </c>
      <c r="C122" s="19" t="s">
        <v>76</v>
      </c>
      <c r="D122" s="18" t="s">
        <v>76</v>
      </c>
      <c r="E122" s="19">
        <v>7</v>
      </c>
      <c r="F122" s="19">
        <v>5</v>
      </c>
      <c r="G122" s="2"/>
      <c r="H122" s="2" t="s">
        <v>88</v>
      </c>
      <c r="I122" s="2"/>
      <c r="J122" s="38">
        <v>45903</v>
      </c>
      <c r="K122" s="2">
        <v>7</v>
      </c>
      <c r="L122" s="2">
        <v>251.73999999999998</v>
      </c>
      <c r="M122" s="2">
        <v>5.7</v>
      </c>
      <c r="N122" s="2">
        <v>246.04</v>
      </c>
      <c r="O122" s="2"/>
      <c r="P122" s="2"/>
      <c r="Q122" s="2"/>
      <c r="R122" s="38"/>
      <c r="S122" s="2"/>
      <c r="T122" s="2"/>
    </row>
    <row r="123" spans="1:20" x14ac:dyDescent="0.2">
      <c r="A123" s="41" t="str">
        <f t="shared" si="4"/>
        <v>20/10</v>
      </c>
      <c r="B123" s="19" t="s">
        <v>164</v>
      </c>
      <c r="C123" s="19" t="s">
        <v>76</v>
      </c>
      <c r="D123" s="18" t="s">
        <v>76</v>
      </c>
      <c r="E123" s="19">
        <v>20</v>
      </c>
      <c r="F123" s="19">
        <v>10</v>
      </c>
      <c r="G123" s="2"/>
      <c r="H123" s="2" t="s">
        <v>88</v>
      </c>
      <c r="I123" s="2"/>
      <c r="J123" s="38">
        <v>45903</v>
      </c>
      <c r="K123" s="2">
        <v>6</v>
      </c>
      <c r="L123" s="2">
        <v>310.92</v>
      </c>
      <c r="M123" s="2">
        <v>12.600000000000001</v>
      </c>
      <c r="N123" s="2">
        <v>298.32</v>
      </c>
      <c r="O123" s="2"/>
      <c r="P123" s="2"/>
      <c r="Q123" s="2"/>
      <c r="R123" s="38"/>
      <c r="S123" s="2"/>
      <c r="T123" s="2"/>
    </row>
    <row r="124" spans="1:20" x14ac:dyDescent="0.2">
      <c r="A124" s="41" t="str">
        <f t="shared" si="4"/>
        <v>19/7</v>
      </c>
      <c r="B124" s="19" t="s">
        <v>165</v>
      </c>
      <c r="C124" s="19" t="s">
        <v>76</v>
      </c>
      <c r="D124" s="18" t="s">
        <v>76</v>
      </c>
      <c r="E124" s="19">
        <v>19</v>
      </c>
      <c r="F124" s="19">
        <v>7</v>
      </c>
      <c r="G124" s="2"/>
      <c r="H124" s="2" t="s">
        <v>88</v>
      </c>
      <c r="I124" s="2"/>
      <c r="J124" s="38">
        <v>45903</v>
      </c>
      <c r="K124" s="2">
        <v>11</v>
      </c>
      <c r="L124" s="2">
        <v>411.46999999999997</v>
      </c>
      <c r="M124" s="2">
        <v>22</v>
      </c>
      <c r="N124" s="2">
        <v>389.46999999999997</v>
      </c>
      <c r="O124" s="2"/>
      <c r="P124" s="2"/>
      <c r="Q124" s="2"/>
      <c r="R124" s="38"/>
      <c r="S124" s="2"/>
      <c r="T124" s="2"/>
    </row>
    <row r="125" spans="1:20" x14ac:dyDescent="0.2">
      <c r="A125" s="41" t="str">
        <f t="shared" si="4"/>
        <v>23/7</v>
      </c>
      <c r="B125" s="19" t="s">
        <v>165</v>
      </c>
      <c r="C125" s="19" t="s">
        <v>76</v>
      </c>
      <c r="D125" s="18" t="s">
        <v>76</v>
      </c>
      <c r="E125" s="19">
        <v>23</v>
      </c>
      <c r="F125" s="19">
        <v>7</v>
      </c>
      <c r="G125" s="2"/>
      <c r="H125" s="2" t="s">
        <v>88</v>
      </c>
      <c r="I125" s="2"/>
      <c r="J125" s="38">
        <v>45903</v>
      </c>
      <c r="K125" s="2">
        <v>1</v>
      </c>
      <c r="L125" s="2">
        <v>56.8</v>
      </c>
      <c r="M125" s="2">
        <v>2.8</v>
      </c>
      <c r="N125" s="2">
        <v>54</v>
      </c>
      <c r="O125" s="2"/>
      <c r="P125" s="2"/>
      <c r="Q125" s="2"/>
      <c r="R125" s="38"/>
      <c r="S125" s="2"/>
      <c r="T125" s="2"/>
    </row>
    <row r="126" spans="1:20" x14ac:dyDescent="0.2">
      <c r="A126" s="41" t="str">
        <f t="shared" si="4"/>
        <v>23/7</v>
      </c>
      <c r="B126" s="19" t="s">
        <v>165</v>
      </c>
      <c r="C126" s="19" t="s">
        <v>76</v>
      </c>
      <c r="D126" s="18" t="s">
        <v>76</v>
      </c>
      <c r="E126" s="19">
        <v>23</v>
      </c>
      <c r="F126" s="19">
        <v>7</v>
      </c>
      <c r="G126" s="2"/>
      <c r="H126" s="2" t="s">
        <v>88</v>
      </c>
      <c r="I126" s="2"/>
      <c r="J126" s="38">
        <v>45903</v>
      </c>
      <c r="K126" s="2">
        <v>11</v>
      </c>
      <c r="L126" s="2">
        <v>467.91999999999996</v>
      </c>
      <c r="M126" s="2">
        <v>24.029999999999998</v>
      </c>
      <c r="N126" s="2">
        <v>443.89</v>
      </c>
      <c r="O126" s="2"/>
      <c r="P126" s="2"/>
      <c r="Q126" s="2"/>
      <c r="R126" s="38"/>
      <c r="S126" s="2"/>
      <c r="T126" s="2"/>
    </row>
    <row r="127" spans="1:20" x14ac:dyDescent="0.2">
      <c r="A127" s="41" t="str">
        <f t="shared" si="4"/>
        <v>28/5-5.5</v>
      </c>
      <c r="B127" s="19" t="s">
        <v>85</v>
      </c>
      <c r="C127" s="19" t="s">
        <v>76</v>
      </c>
      <c r="D127" s="18" t="s">
        <v>76</v>
      </c>
      <c r="E127" s="19">
        <v>28</v>
      </c>
      <c r="F127" s="19" t="s">
        <v>41</v>
      </c>
      <c r="G127" s="2"/>
      <c r="H127" s="2" t="s">
        <v>88</v>
      </c>
      <c r="I127" s="2"/>
      <c r="J127" s="38">
        <v>45903</v>
      </c>
      <c r="K127" s="2">
        <v>5</v>
      </c>
      <c r="L127" s="2">
        <v>286.39000000000004</v>
      </c>
      <c r="M127" s="2">
        <v>11.8</v>
      </c>
      <c r="N127" s="2">
        <v>274.59000000000003</v>
      </c>
      <c r="O127" s="2"/>
      <c r="P127" s="2"/>
      <c r="Q127" s="2"/>
      <c r="R127" s="38"/>
      <c r="S127" s="2"/>
      <c r="T127" s="2"/>
    </row>
    <row r="128" spans="1:20" x14ac:dyDescent="0.2">
      <c r="A128" s="41" t="str">
        <f t="shared" si="4"/>
        <v>17/5.5-6</v>
      </c>
      <c r="B128" s="19" t="s">
        <v>92</v>
      </c>
      <c r="C128" s="19" t="s">
        <v>76</v>
      </c>
      <c r="D128" s="18" t="s">
        <v>76</v>
      </c>
      <c r="E128" s="19">
        <v>17</v>
      </c>
      <c r="F128" s="19" t="s">
        <v>5</v>
      </c>
      <c r="G128" s="2"/>
      <c r="H128" s="2" t="s">
        <v>88</v>
      </c>
      <c r="I128" s="2"/>
      <c r="J128" s="38">
        <v>45903</v>
      </c>
      <c r="K128" s="2">
        <v>1</v>
      </c>
      <c r="L128" s="2">
        <v>50.43</v>
      </c>
      <c r="M128" s="2">
        <v>1.6</v>
      </c>
      <c r="N128" s="2">
        <v>48.83</v>
      </c>
      <c r="O128" s="2"/>
      <c r="P128" s="2"/>
      <c r="Q128" s="2"/>
      <c r="R128" s="38"/>
      <c r="S128" s="2"/>
      <c r="T128" s="2"/>
    </row>
    <row r="129" spans="1:20" x14ac:dyDescent="0.2">
      <c r="A129" s="41" t="str">
        <f t="shared" si="4"/>
        <v>10/5</v>
      </c>
      <c r="B129" s="19" t="s">
        <v>84</v>
      </c>
      <c r="C129" s="19" t="s">
        <v>76</v>
      </c>
      <c r="D129" s="18" t="s">
        <v>76</v>
      </c>
      <c r="E129" s="19">
        <v>10</v>
      </c>
      <c r="F129" s="19">
        <v>5</v>
      </c>
      <c r="G129" s="2"/>
      <c r="H129" s="2" t="s">
        <v>88</v>
      </c>
      <c r="I129" s="2"/>
      <c r="J129" s="38">
        <v>45903</v>
      </c>
      <c r="K129" s="2">
        <v>2</v>
      </c>
      <c r="L129" s="2">
        <v>93.45</v>
      </c>
      <c r="M129" s="2">
        <v>2.2199999999999998</v>
      </c>
      <c r="N129" s="2">
        <v>91.23</v>
      </c>
      <c r="O129" s="2"/>
      <c r="P129" s="2"/>
      <c r="Q129" s="2"/>
      <c r="R129" s="38"/>
      <c r="S129" s="2"/>
      <c r="T129" s="2"/>
    </row>
    <row r="130" spans="1:20" x14ac:dyDescent="0.2">
      <c r="A130" s="41" t="str">
        <f t="shared" si="4"/>
        <v>13/5</v>
      </c>
      <c r="B130" s="19" t="s">
        <v>83</v>
      </c>
      <c r="C130" s="19" t="s">
        <v>76</v>
      </c>
      <c r="D130" s="18" t="s">
        <v>76</v>
      </c>
      <c r="E130" s="19">
        <v>13</v>
      </c>
      <c r="F130" s="19">
        <v>5</v>
      </c>
      <c r="G130" s="2"/>
      <c r="H130" s="2" t="s">
        <v>88</v>
      </c>
      <c r="I130" s="2"/>
      <c r="J130" s="38">
        <v>45903</v>
      </c>
      <c r="K130" s="2">
        <v>7</v>
      </c>
      <c r="L130" s="2">
        <v>319.86999999999995</v>
      </c>
      <c r="M130" s="2">
        <v>9.57</v>
      </c>
      <c r="N130" s="2">
        <v>310.29999999999995</v>
      </c>
      <c r="O130" s="2"/>
      <c r="P130" s="2"/>
      <c r="Q130" s="2"/>
      <c r="R130" s="38"/>
      <c r="S130" s="2"/>
      <c r="T130" s="2"/>
    </row>
    <row r="131" spans="1:20" x14ac:dyDescent="0.2">
      <c r="A131" s="41" t="str">
        <f t="shared" si="4"/>
        <v>13/7</v>
      </c>
      <c r="B131" s="19" t="s">
        <v>166</v>
      </c>
      <c r="C131" s="19" t="s">
        <v>76</v>
      </c>
      <c r="D131" s="18" t="s">
        <v>76</v>
      </c>
      <c r="E131" s="19">
        <v>13</v>
      </c>
      <c r="F131" s="19">
        <v>7</v>
      </c>
      <c r="G131" s="2"/>
      <c r="H131" s="2" t="s">
        <v>88</v>
      </c>
      <c r="I131" s="2"/>
      <c r="J131" s="38">
        <v>45903</v>
      </c>
      <c r="K131" s="2">
        <v>7</v>
      </c>
      <c r="L131" s="2">
        <v>319.87</v>
      </c>
      <c r="M131" s="2">
        <v>4.5</v>
      </c>
      <c r="N131" s="2">
        <v>319.87</v>
      </c>
      <c r="O131" s="2"/>
      <c r="P131" s="2"/>
      <c r="Q131" s="2"/>
      <c r="R131" s="38"/>
      <c r="S131" s="2"/>
      <c r="T131" s="2"/>
    </row>
    <row r="132" spans="1:20" x14ac:dyDescent="0.2">
      <c r="A132" s="41" t="str">
        <f t="shared" ref="A132:A195" si="10">CONCATENATE(E132,"/",F132)</f>
        <v>13/5</v>
      </c>
      <c r="B132" s="19" t="s">
        <v>83</v>
      </c>
      <c r="C132" s="19" t="s">
        <v>76</v>
      </c>
      <c r="D132" s="18" t="s">
        <v>76</v>
      </c>
      <c r="E132" s="19">
        <v>13</v>
      </c>
      <c r="F132" s="19" t="s">
        <v>40</v>
      </c>
      <c r="G132" s="2"/>
      <c r="H132" s="2" t="s">
        <v>88</v>
      </c>
      <c r="I132" s="2"/>
      <c r="J132" s="38">
        <v>45903</v>
      </c>
      <c r="K132" s="2">
        <v>3</v>
      </c>
      <c r="L132" s="2">
        <v>165.85</v>
      </c>
      <c r="M132" s="2">
        <v>3.9000000000000004</v>
      </c>
      <c r="N132" s="2">
        <v>161.94999999999999</v>
      </c>
      <c r="O132" s="2"/>
      <c r="P132" s="2"/>
      <c r="Q132" s="2"/>
      <c r="R132" s="38"/>
      <c r="S132" s="2"/>
      <c r="T132" s="2"/>
    </row>
    <row r="133" spans="1:20" x14ac:dyDescent="0.2">
      <c r="A133" s="45" t="str">
        <f t="shared" si="10"/>
        <v>13/5</v>
      </c>
      <c r="B133" s="37" t="s">
        <v>83</v>
      </c>
      <c r="C133" s="37" t="s">
        <v>76</v>
      </c>
      <c r="D133" s="18" t="s">
        <v>76</v>
      </c>
      <c r="E133" s="37">
        <v>13</v>
      </c>
      <c r="F133" s="37" t="s">
        <v>40</v>
      </c>
      <c r="G133" s="39"/>
      <c r="H133" s="39" t="s">
        <v>88</v>
      </c>
      <c r="I133" s="39"/>
      <c r="J133" s="46">
        <v>45903</v>
      </c>
      <c r="K133" s="39">
        <v>12</v>
      </c>
      <c r="L133" s="39">
        <v>630.31000000000017</v>
      </c>
      <c r="M133" s="39">
        <v>19.7</v>
      </c>
      <c r="N133" s="39">
        <v>610.61000000000013</v>
      </c>
      <c r="O133" s="39"/>
      <c r="P133" s="39"/>
      <c r="Q133" s="39"/>
      <c r="R133" s="46"/>
      <c r="S133" s="39"/>
      <c r="T133" s="39"/>
    </row>
    <row r="134" spans="1:20" s="5" customFormat="1" x14ac:dyDescent="0.2">
      <c r="A134" s="45" t="str">
        <f t="shared" si="10"/>
        <v>16/6</v>
      </c>
      <c r="B134" s="19" t="s">
        <v>86</v>
      </c>
      <c r="C134" s="19" t="s">
        <v>76</v>
      </c>
      <c r="D134" s="18" t="s">
        <v>76</v>
      </c>
      <c r="E134" s="19">
        <v>16</v>
      </c>
      <c r="F134" s="19">
        <v>6</v>
      </c>
      <c r="G134" s="2"/>
      <c r="H134" s="2"/>
      <c r="I134" s="2"/>
      <c r="J134" s="38"/>
      <c r="K134" s="2"/>
      <c r="L134" s="2"/>
      <c r="M134" s="2"/>
      <c r="N134" s="2"/>
      <c r="O134" s="2" t="s">
        <v>91</v>
      </c>
      <c r="P134" s="2"/>
      <c r="Q134" s="2"/>
      <c r="R134" s="38">
        <v>45902</v>
      </c>
      <c r="S134" s="2">
        <v>6</v>
      </c>
      <c r="T134" s="2">
        <v>146.4</v>
      </c>
    </row>
    <row r="135" spans="1:20" s="5" customFormat="1" x14ac:dyDescent="0.2">
      <c r="A135" s="45" t="str">
        <f t="shared" si="10"/>
        <v>20/6</v>
      </c>
      <c r="B135" s="19" t="s">
        <v>86</v>
      </c>
      <c r="C135" s="19" t="s">
        <v>76</v>
      </c>
      <c r="D135" s="18" t="s">
        <v>76</v>
      </c>
      <c r="E135" s="19">
        <v>20</v>
      </c>
      <c r="F135" s="19">
        <v>6</v>
      </c>
      <c r="G135" s="2"/>
      <c r="H135" s="2"/>
      <c r="I135" s="2"/>
      <c r="J135" s="38"/>
      <c r="K135" s="2"/>
      <c r="L135" s="2"/>
      <c r="M135" s="2"/>
      <c r="N135" s="2"/>
      <c r="O135" s="2" t="s">
        <v>91</v>
      </c>
      <c r="P135" s="2"/>
      <c r="Q135" s="2"/>
      <c r="R135" s="38">
        <v>45902</v>
      </c>
      <c r="S135" s="2">
        <v>8</v>
      </c>
      <c r="T135" s="2">
        <v>200</v>
      </c>
    </row>
    <row r="136" spans="1:20" s="5" customFormat="1" x14ac:dyDescent="0.2">
      <c r="A136" s="45" t="str">
        <f t="shared" si="10"/>
        <v>10/8</v>
      </c>
      <c r="B136" s="19" t="s">
        <v>87</v>
      </c>
      <c r="C136" s="19" t="s">
        <v>76</v>
      </c>
      <c r="D136" s="18" t="s">
        <v>76</v>
      </c>
      <c r="E136" s="19">
        <v>10</v>
      </c>
      <c r="F136" s="19">
        <v>8</v>
      </c>
      <c r="G136" s="2"/>
      <c r="H136" s="2"/>
      <c r="I136" s="2"/>
      <c r="J136" s="38"/>
      <c r="K136" s="2"/>
      <c r="L136" s="2"/>
      <c r="M136" s="2"/>
      <c r="N136" s="2"/>
      <c r="O136" s="2" t="s">
        <v>91</v>
      </c>
      <c r="P136" s="2"/>
      <c r="Q136" s="2"/>
      <c r="R136" s="38">
        <v>45902</v>
      </c>
      <c r="S136" s="2">
        <v>2</v>
      </c>
      <c r="T136" s="2">
        <v>50</v>
      </c>
    </row>
    <row r="137" spans="1:20" s="5" customFormat="1" x14ac:dyDescent="0.2">
      <c r="A137" s="45" t="str">
        <f t="shared" si="10"/>
        <v>10/8</v>
      </c>
      <c r="B137" s="19" t="s">
        <v>167</v>
      </c>
      <c r="C137" s="19" t="s">
        <v>76</v>
      </c>
      <c r="D137" s="18" t="s">
        <v>76</v>
      </c>
      <c r="E137" s="19">
        <v>10</v>
      </c>
      <c r="F137" s="19">
        <v>8</v>
      </c>
      <c r="G137" s="2"/>
      <c r="H137" s="2"/>
      <c r="I137" s="2"/>
      <c r="J137" s="38"/>
      <c r="K137" s="2"/>
      <c r="L137" s="2"/>
      <c r="M137" s="2"/>
      <c r="N137" s="2"/>
      <c r="O137" s="2" t="s">
        <v>91</v>
      </c>
      <c r="P137" s="2"/>
      <c r="Q137" s="2"/>
      <c r="R137" s="38">
        <v>45902</v>
      </c>
      <c r="S137" s="2">
        <v>2</v>
      </c>
      <c r="T137" s="2">
        <v>61.1</v>
      </c>
    </row>
    <row r="138" spans="1:20" s="5" customFormat="1" x14ac:dyDescent="0.2">
      <c r="A138" s="45" t="str">
        <f t="shared" si="10"/>
        <v>13/5</v>
      </c>
      <c r="B138" s="19" t="s">
        <v>168</v>
      </c>
      <c r="C138" s="19" t="s">
        <v>76</v>
      </c>
      <c r="D138" s="18" t="s">
        <v>76</v>
      </c>
      <c r="E138" s="19">
        <v>13</v>
      </c>
      <c r="F138" s="19">
        <v>5</v>
      </c>
      <c r="G138" s="2"/>
      <c r="H138" s="2"/>
      <c r="I138" s="2"/>
      <c r="J138" s="38"/>
      <c r="K138" s="2"/>
      <c r="L138" s="2"/>
      <c r="M138" s="2"/>
      <c r="N138" s="2"/>
      <c r="O138" s="2" t="s">
        <v>91</v>
      </c>
      <c r="P138" s="2"/>
      <c r="Q138" s="2"/>
      <c r="R138" s="38">
        <v>45902</v>
      </c>
      <c r="S138" s="2">
        <v>9</v>
      </c>
      <c r="T138" s="2">
        <v>225</v>
      </c>
    </row>
    <row r="139" spans="1:20" s="5" customFormat="1" x14ac:dyDescent="0.2">
      <c r="A139" s="45" t="str">
        <f t="shared" si="10"/>
        <v>13/5</v>
      </c>
      <c r="B139" s="19" t="s">
        <v>168</v>
      </c>
      <c r="C139" s="19" t="s">
        <v>76</v>
      </c>
      <c r="D139" s="18" t="s">
        <v>76</v>
      </c>
      <c r="E139" s="19">
        <v>13</v>
      </c>
      <c r="F139" s="19">
        <v>5</v>
      </c>
      <c r="G139" s="2"/>
      <c r="H139" s="2"/>
      <c r="I139" s="2"/>
      <c r="J139" s="38"/>
      <c r="K139" s="2"/>
      <c r="L139" s="2"/>
      <c r="M139" s="2"/>
      <c r="N139" s="2"/>
      <c r="O139" s="2" t="s">
        <v>91</v>
      </c>
      <c r="P139" s="2"/>
      <c r="Q139" s="2"/>
      <c r="R139" s="38">
        <v>45902</v>
      </c>
      <c r="S139" s="2">
        <v>5</v>
      </c>
      <c r="T139" s="2">
        <v>125</v>
      </c>
    </row>
    <row r="140" spans="1:20" s="5" customFormat="1" x14ac:dyDescent="0.2">
      <c r="A140" s="45" t="str">
        <f t="shared" si="10"/>
        <v>13/5</v>
      </c>
      <c r="B140" s="19" t="s">
        <v>168</v>
      </c>
      <c r="C140" s="19" t="s">
        <v>76</v>
      </c>
      <c r="D140" s="18" t="s">
        <v>76</v>
      </c>
      <c r="E140" s="19">
        <v>13</v>
      </c>
      <c r="F140" s="19">
        <v>5</v>
      </c>
      <c r="G140" s="2"/>
      <c r="H140" s="2"/>
      <c r="I140" s="2"/>
      <c r="J140" s="38"/>
      <c r="K140" s="2"/>
      <c r="L140" s="2"/>
      <c r="M140" s="2"/>
      <c r="N140" s="2"/>
      <c r="O140" s="2" t="s">
        <v>91</v>
      </c>
      <c r="P140" s="2"/>
      <c r="Q140" s="2"/>
      <c r="R140" s="38">
        <v>45902</v>
      </c>
      <c r="S140" s="2">
        <v>2</v>
      </c>
      <c r="T140" s="2">
        <v>50</v>
      </c>
    </row>
    <row r="141" spans="1:20" s="5" customFormat="1" x14ac:dyDescent="0.2">
      <c r="A141" s="45" t="str">
        <f t="shared" si="10"/>
        <v>14/5</v>
      </c>
      <c r="B141" s="19" t="s">
        <v>92</v>
      </c>
      <c r="C141" s="19" t="s">
        <v>76</v>
      </c>
      <c r="D141" s="18" t="s">
        <v>76</v>
      </c>
      <c r="E141" s="19">
        <v>14</v>
      </c>
      <c r="F141" s="18">
        <v>5</v>
      </c>
      <c r="G141" s="2"/>
      <c r="H141" s="2"/>
      <c r="I141" s="2"/>
      <c r="J141" s="38"/>
      <c r="K141" s="2"/>
      <c r="L141" s="2"/>
      <c r="M141" s="2"/>
      <c r="N141" s="2"/>
      <c r="O141" s="2" t="s">
        <v>91</v>
      </c>
      <c r="P141" s="2"/>
      <c r="Q141" s="2"/>
      <c r="R141" s="38">
        <v>45902</v>
      </c>
      <c r="S141" s="2">
        <v>1</v>
      </c>
      <c r="T141" s="2">
        <v>25</v>
      </c>
    </row>
    <row r="142" spans="1:20" s="5" customFormat="1" x14ac:dyDescent="0.2">
      <c r="A142" s="45" t="str">
        <f t="shared" si="10"/>
        <v>8/4</v>
      </c>
      <c r="B142" s="19" t="s">
        <v>169</v>
      </c>
      <c r="C142" s="19" t="s">
        <v>76</v>
      </c>
      <c r="D142" s="18" t="s">
        <v>76</v>
      </c>
      <c r="E142" s="19">
        <v>8</v>
      </c>
      <c r="F142" s="19">
        <v>4</v>
      </c>
      <c r="G142" s="2"/>
      <c r="H142" s="2"/>
      <c r="I142" s="2"/>
      <c r="J142" s="38"/>
      <c r="K142" s="2"/>
      <c r="L142" s="2"/>
      <c r="M142" s="2"/>
      <c r="N142" s="2"/>
      <c r="O142" s="2" t="s">
        <v>91</v>
      </c>
      <c r="P142" s="2"/>
      <c r="Q142" s="2"/>
      <c r="R142" s="38">
        <v>45902</v>
      </c>
      <c r="S142" s="2">
        <v>3</v>
      </c>
      <c r="T142" s="2">
        <v>75</v>
      </c>
    </row>
    <row r="143" spans="1:20" s="5" customFormat="1" x14ac:dyDescent="0.2">
      <c r="A143" s="45" t="str">
        <f t="shared" si="10"/>
        <v>8/5</v>
      </c>
      <c r="B143" s="19" t="s">
        <v>84</v>
      </c>
      <c r="C143" s="19" t="s">
        <v>76</v>
      </c>
      <c r="D143" s="18" t="s">
        <v>76</v>
      </c>
      <c r="E143" s="19" t="s">
        <v>18</v>
      </c>
      <c r="F143" s="19">
        <v>5</v>
      </c>
      <c r="G143" s="2"/>
      <c r="H143" s="2"/>
      <c r="I143" s="2"/>
      <c r="J143" s="38"/>
      <c r="K143" s="2"/>
      <c r="L143" s="2"/>
      <c r="M143" s="2"/>
      <c r="N143" s="2"/>
      <c r="O143" s="2" t="s">
        <v>91</v>
      </c>
      <c r="P143" s="2"/>
      <c r="Q143" s="2"/>
      <c r="R143" s="38">
        <v>45902</v>
      </c>
      <c r="S143" s="2">
        <v>7</v>
      </c>
      <c r="T143" s="2">
        <v>175</v>
      </c>
    </row>
    <row r="144" spans="1:20" s="5" customFormat="1" x14ac:dyDescent="0.2">
      <c r="A144" s="45" t="str">
        <f t="shared" si="10"/>
        <v>2.5/5</v>
      </c>
      <c r="B144" s="19" t="s">
        <v>83</v>
      </c>
      <c r="C144" s="19" t="s">
        <v>76</v>
      </c>
      <c r="D144" s="18" t="s">
        <v>76</v>
      </c>
      <c r="E144" s="19" t="s">
        <v>25</v>
      </c>
      <c r="F144" s="19">
        <v>5</v>
      </c>
      <c r="G144" s="2"/>
      <c r="H144" s="2"/>
      <c r="I144" s="2"/>
      <c r="J144" s="38"/>
      <c r="K144" s="2"/>
      <c r="L144" s="2"/>
      <c r="M144" s="2"/>
      <c r="N144" s="2"/>
      <c r="O144" s="2" t="s">
        <v>91</v>
      </c>
      <c r="P144" s="2"/>
      <c r="Q144" s="2"/>
      <c r="R144" s="38">
        <v>45902</v>
      </c>
      <c r="S144" s="2">
        <v>6</v>
      </c>
      <c r="T144" s="2">
        <v>150</v>
      </c>
    </row>
    <row r="145" spans="1:20" s="5" customFormat="1" x14ac:dyDescent="0.2">
      <c r="A145" s="45" t="str">
        <f t="shared" si="10"/>
        <v>2/5</v>
      </c>
      <c r="B145" s="19" t="s">
        <v>168</v>
      </c>
      <c r="C145" s="19" t="s">
        <v>76</v>
      </c>
      <c r="D145" s="18" t="s">
        <v>76</v>
      </c>
      <c r="E145" s="19">
        <v>2</v>
      </c>
      <c r="F145" s="19">
        <v>5</v>
      </c>
      <c r="G145" s="2"/>
      <c r="H145" s="2"/>
      <c r="I145" s="2"/>
      <c r="J145" s="38"/>
      <c r="K145" s="2"/>
      <c r="L145" s="2"/>
      <c r="M145" s="2"/>
      <c r="N145" s="2"/>
      <c r="O145" s="2" t="s">
        <v>91</v>
      </c>
      <c r="P145" s="2"/>
      <c r="Q145" s="2"/>
      <c r="R145" s="38">
        <v>45902</v>
      </c>
      <c r="S145" s="2">
        <v>7</v>
      </c>
      <c r="T145" s="2">
        <v>140</v>
      </c>
    </row>
    <row r="146" spans="1:20" s="5" customFormat="1" x14ac:dyDescent="0.2">
      <c r="A146" s="45" t="str">
        <f t="shared" si="10"/>
        <v>4/5</v>
      </c>
      <c r="B146" s="19" t="s">
        <v>84</v>
      </c>
      <c r="C146" s="19" t="s">
        <v>76</v>
      </c>
      <c r="D146" s="18" t="s">
        <v>76</v>
      </c>
      <c r="E146" s="19" t="s">
        <v>26</v>
      </c>
      <c r="F146" s="19">
        <v>5</v>
      </c>
      <c r="G146" s="2"/>
      <c r="H146" s="2"/>
      <c r="I146" s="2"/>
      <c r="J146" s="38"/>
      <c r="K146" s="2"/>
      <c r="L146" s="2"/>
      <c r="M146" s="2"/>
      <c r="N146" s="2"/>
      <c r="O146" s="2" t="s">
        <v>91</v>
      </c>
      <c r="P146" s="2"/>
      <c r="Q146" s="2"/>
      <c r="R146" s="38">
        <v>45902</v>
      </c>
      <c r="S146" s="2">
        <v>5</v>
      </c>
      <c r="T146" s="2">
        <v>100</v>
      </c>
    </row>
    <row r="147" spans="1:20" s="5" customFormat="1" x14ac:dyDescent="0.2">
      <c r="A147" s="45" t="str">
        <f t="shared" si="10"/>
        <v>4/5</v>
      </c>
      <c r="B147" s="19" t="s">
        <v>168</v>
      </c>
      <c r="C147" s="19" t="s">
        <v>76</v>
      </c>
      <c r="D147" s="18" t="s">
        <v>76</v>
      </c>
      <c r="E147" s="19">
        <v>4</v>
      </c>
      <c r="F147" s="19">
        <v>5</v>
      </c>
      <c r="G147" s="2"/>
      <c r="H147" s="2"/>
      <c r="I147" s="2"/>
      <c r="J147" s="38"/>
      <c r="K147" s="2"/>
      <c r="L147" s="2"/>
      <c r="M147" s="2"/>
      <c r="N147" s="2"/>
      <c r="O147" s="2" t="s">
        <v>91</v>
      </c>
      <c r="P147" s="2"/>
      <c r="Q147" s="2"/>
      <c r="R147" s="38">
        <v>45902</v>
      </c>
      <c r="S147" s="2">
        <v>10</v>
      </c>
      <c r="T147" s="2">
        <v>200</v>
      </c>
    </row>
    <row r="148" spans="1:20" s="5" customFormat="1" x14ac:dyDescent="0.2">
      <c r="A148" s="45" t="str">
        <f t="shared" si="10"/>
        <v>4/5</v>
      </c>
      <c r="B148" s="19" t="s">
        <v>161</v>
      </c>
      <c r="C148" s="19" t="s">
        <v>76</v>
      </c>
      <c r="D148" s="18" t="s">
        <v>76</v>
      </c>
      <c r="E148" s="19">
        <v>4</v>
      </c>
      <c r="F148" s="19">
        <v>5</v>
      </c>
      <c r="G148" s="2"/>
      <c r="H148" s="2"/>
      <c r="I148" s="2"/>
      <c r="J148" s="38"/>
      <c r="K148" s="2"/>
      <c r="L148" s="2"/>
      <c r="M148" s="2"/>
      <c r="N148" s="2"/>
      <c r="O148" s="2" t="s">
        <v>91</v>
      </c>
      <c r="P148" s="2"/>
      <c r="Q148" s="2"/>
      <c r="R148" s="38">
        <v>45902</v>
      </c>
      <c r="S148" s="2">
        <v>3</v>
      </c>
      <c r="T148" s="2">
        <v>60</v>
      </c>
    </row>
    <row r="149" spans="1:20" s="5" customFormat="1" x14ac:dyDescent="0.2">
      <c r="A149" s="45" t="str">
        <f t="shared" si="10"/>
        <v>14/5</v>
      </c>
      <c r="B149" s="19" t="s">
        <v>92</v>
      </c>
      <c r="C149" s="19" t="s">
        <v>76</v>
      </c>
      <c r="D149" s="18" t="s">
        <v>76</v>
      </c>
      <c r="E149" s="19">
        <v>14</v>
      </c>
      <c r="F149" s="18">
        <v>5</v>
      </c>
      <c r="G149" s="2"/>
      <c r="H149" s="2"/>
      <c r="I149" s="2"/>
      <c r="J149" s="38"/>
      <c r="K149" s="2"/>
      <c r="L149" s="2"/>
      <c r="M149" s="2"/>
      <c r="N149" s="2"/>
      <c r="O149" s="2" t="s">
        <v>91</v>
      </c>
      <c r="P149" s="2"/>
      <c r="Q149" s="2"/>
      <c r="R149" s="38">
        <v>45902</v>
      </c>
      <c r="S149" s="2">
        <v>21</v>
      </c>
      <c r="T149" s="2">
        <v>525</v>
      </c>
    </row>
    <row r="150" spans="1:20" s="5" customFormat="1" x14ac:dyDescent="0.2">
      <c r="A150" s="45" t="str">
        <f t="shared" si="10"/>
        <v>10/5</v>
      </c>
      <c r="B150" s="19" t="s">
        <v>84</v>
      </c>
      <c r="C150" s="19" t="s">
        <v>76</v>
      </c>
      <c r="D150" s="18" t="s">
        <v>76</v>
      </c>
      <c r="E150" s="19" t="s">
        <v>16</v>
      </c>
      <c r="F150" s="19">
        <v>5</v>
      </c>
      <c r="G150" s="2"/>
      <c r="H150" s="2"/>
      <c r="I150" s="2"/>
      <c r="J150" s="38"/>
      <c r="K150" s="2"/>
      <c r="L150" s="2"/>
      <c r="M150" s="2"/>
      <c r="N150" s="2"/>
      <c r="O150" s="2" t="s">
        <v>91</v>
      </c>
      <c r="P150" s="2"/>
      <c r="Q150" s="2"/>
      <c r="R150" s="38">
        <v>45902</v>
      </c>
      <c r="S150" s="2">
        <v>15</v>
      </c>
      <c r="T150" s="2">
        <v>375</v>
      </c>
    </row>
    <row r="151" spans="1:20" s="5" customFormat="1" x14ac:dyDescent="0.2">
      <c r="A151" s="45" t="str">
        <f t="shared" si="10"/>
        <v>9/5</v>
      </c>
      <c r="B151" s="19" t="s">
        <v>84</v>
      </c>
      <c r="C151" s="19" t="s">
        <v>76</v>
      </c>
      <c r="D151" s="18" t="s">
        <v>76</v>
      </c>
      <c r="E151" s="19" t="s">
        <v>17</v>
      </c>
      <c r="F151" s="19">
        <v>5</v>
      </c>
      <c r="G151" s="2"/>
      <c r="H151" s="2"/>
      <c r="I151" s="2"/>
      <c r="J151" s="38"/>
      <c r="K151" s="2"/>
      <c r="L151" s="2"/>
      <c r="M151" s="2"/>
      <c r="N151" s="2"/>
      <c r="O151" s="2" t="s">
        <v>91</v>
      </c>
      <c r="P151" s="2"/>
      <c r="Q151" s="2"/>
      <c r="R151" s="38">
        <v>45902</v>
      </c>
      <c r="S151" s="2">
        <v>1</v>
      </c>
      <c r="T151" s="2">
        <v>25</v>
      </c>
    </row>
    <row r="152" spans="1:20" s="5" customFormat="1" x14ac:dyDescent="0.2">
      <c r="A152" s="45" t="str">
        <f t="shared" si="10"/>
        <v>8/4</v>
      </c>
      <c r="B152" s="19" t="s">
        <v>169</v>
      </c>
      <c r="C152" s="19" t="s">
        <v>76</v>
      </c>
      <c r="D152" s="18" t="s">
        <v>76</v>
      </c>
      <c r="E152" s="19">
        <v>8</v>
      </c>
      <c r="F152" s="19">
        <v>4</v>
      </c>
      <c r="G152" s="2"/>
      <c r="H152" s="2"/>
      <c r="I152" s="2"/>
      <c r="J152" s="38"/>
      <c r="K152" s="2"/>
      <c r="L152" s="2"/>
      <c r="M152" s="2"/>
      <c r="N152" s="2"/>
      <c r="O152" s="2" t="s">
        <v>91</v>
      </c>
      <c r="P152" s="2"/>
      <c r="Q152" s="2"/>
      <c r="R152" s="38">
        <v>45902</v>
      </c>
      <c r="S152" s="2">
        <v>1</v>
      </c>
      <c r="T152" s="2">
        <v>25</v>
      </c>
    </row>
    <row r="153" spans="1:20" s="5" customFormat="1" x14ac:dyDescent="0.2">
      <c r="A153" s="45" t="str">
        <f t="shared" si="10"/>
        <v>8/5</v>
      </c>
      <c r="B153" s="19" t="s">
        <v>84</v>
      </c>
      <c r="C153" s="19" t="s">
        <v>76</v>
      </c>
      <c r="D153" s="18" t="s">
        <v>76</v>
      </c>
      <c r="E153" s="19" t="s">
        <v>18</v>
      </c>
      <c r="F153" s="19">
        <v>5</v>
      </c>
      <c r="G153" s="2"/>
      <c r="H153" s="2"/>
      <c r="I153" s="2"/>
      <c r="J153" s="38"/>
      <c r="K153" s="2"/>
      <c r="L153" s="2"/>
      <c r="M153" s="2"/>
      <c r="N153" s="2"/>
      <c r="O153" s="2" t="s">
        <v>91</v>
      </c>
      <c r="P153" s="2"/>
      <c r="Q153" s="2"/>
      <c r="R153" s="38">
        <v>45902</v>
      </c>
      <c r="S153" s="2">
        <v>8</v>
      </c>
      <c r="T153" s="2">
        <v>200</v>
      </c>
    </row>
    <row r="154" spans="1:20" s="5" customFormat="1" x14ac:dyDescent="0.2">
      <c r="A154" s="45" t="str">
        <f t="shared" si="10"/>
        <v>8/4</v>
      </c>
      <c r="B154" s="19" t="s">
        <v>169</v>
      </c>
      <c r="C154" s="19" t="s">
        <v>76</v>
      </c>
      <c r="D154" s="18" t="s">
        <v>76</v>
      </c>
      <c r="E154" s="19">
        <v>8</v>
      </c>
      <c r="F154" s="19">
        <v>4</v>
      </c>
      <c r="G154" s="2"/>
      <c r="H154" s="2"/>
      <c r="I154" s="2"/>
      <c r="J154" s="38"/>
      <c r="K154" s="2"/>
      <c r="L154" s="2"/>
      <c r="M154" s="2"/>
      <c r="N154" s="2"/>
      <c r="O154" s="2" t="s">
        <v>91</v>
      </c>
      <c r="P154" s="2"/>
      <c r="Q154" s="2"/>
      <c r="R154" s="38">
        <v>45902</v>
      </c>
      <c r="S154" s="2">
        <v>3</v>
      </c>
      <c r="T154" s="2">
        <v>75</v>
      </c>
    </row>
    <row r="155" spans="1:20" s="5" customFormat="1" x14ac:dyDescent="0.2">
      <c r="A155" s="45" t="str">
        <f t="shared" si="10"/>
        <v>8/5</v>
      </c>
      <c r="B155" s="19" t="s">
        <v>84</v>
      </c>
      <c r="C155" s="19" t="s">
        <v>76</v>
      </c>
      <c r="D155" s="18" t="s">
        <v>76</v>
      </c>
      <c r="E155" s="19" t="s">
        <v>18</v>
      </c>
      <c r="F155" s="19">
        <v>5</v>
      </c>
      <c r="G155" s="2"/>
      <c r="H155" s="2"/>
      <c r="I155" s="2"/>
      <c r="J155" s="38"/>
      <c r="K155" s="2"/>
      <c r="L155" s="2"/>
      <c r="M155" s="2"/>
      <c r="N155" s="2"/>
      <c r="O155" s="2" t="s">
        <v>91</v>
      </c>
      <c r="P155" s="2"/>
      <c r="Q155" s="2"/>
      <c r="R155" s="38">
        <v>45902</v>
      </c>
      <c r="S155" s="2">
        <v>3</v>
      </c>
      <c r="T155" s="2">
        <v>75</v>
      </c>
    </row>
    <row r="156" spans="1:20" s="5" customFormat="1" x14ac:dyDescent="0.2">
      <c r="A156" s="45" t="str">
        <f t="shared" si="10"/>
        <v>4/5</v>
      </c>
      <c r="B156" s="19" t="s">
        <v>161</v>
      </c>
      <c r="C156" s="19" t="s">
        <v>76</v>
      </c>
      <c r="D156" s="18" t="s">
        <v>76</v>
      </c>
      <c r="E156" s="19">
        <v>4</v>
      </c>
      <c r="F156" s="19">
        <v>5</v>
      </c>
      <c r="G156" s="2"/>
      <c r="H156" s="2"/>
      <c r="I156" s="2"/>
      <c r="J156" s="38"/>
      <c r="K156" s="2"/>
      <c r="L156" s="2"/>
      <c r="M156" s="2"/>
      <c r="N156" s="2"/>
      <c r="O156" s="2" t="s">
        <v>91</v>
      </c>
      <c r="P156" s="2"/>
      <c r="Q156" s="2"/>
      <c r="R156" s="38">
        <v>45902</v>
      </c>
      <c r="S156" s="2">
        <v>13</v>
      </c>
      <c r="T156" s="2">
        <v>260</v>
      </c>
    </row>
    <row r="157" spans="1:20" s="5" customFormat="1" x14ac:dyDescent="0.2">
      <c r="A157" s="45" t="str">
        <f t="shared" si="10"/>
        <v>4/5</v>
      </c>
      <c r="B157" s="19" t="s">
        <v>83</v>
      </c>
      <c r="C157" s="19" t="s">
        <v>76</v>
      </c>
      <c r="D157" s="18" t="s">
        <v>76</v>
      </c>
      <c r="E157" s="19" t="s">
        <v>26</v>
      </c>
      <c r="F157" s="19">
        <v>5</v>
      </c>
      <c r="G157" s="2"/>
      <c r="H157" s="2"/>
      <c r="I157" s="2"/>
      <c r="J157" s="38"/>
      <c r="K157" s="2"/>
      <c r="L157" s="2"/>
      <c r="M157" s="2"/>
      <c r="N157" s="2"/>
      <c r="O157" s="2" t="s">
        <v>91</v>
      </c>
      <c r="P157" s="2"/>
      <c r="Q157" s="2"/>
      <c r="R157" s="38">
        <v>45902</v>
      </c>
      <c r="S157" s="2">
        <v>5</v>
      </c>
      <c r="T157" s="2">
        <v>100</v>
      </c>
    </row>
    <row r="158" spans="1:20" s="5" customFormat="1" x14ac:dyDescent="0.2">
      <c r="A158" s="45" t="str">
        <f t="shared" si="10"/>
        <v>18/5</v>
      </c>
      <c r="B158" s="19" t="s">
        <v>170</v>
      </c>
      <c r="C158" s="19" t="s">
        <v>76</v>
      </c>
      <c r="D158" s="18" t="s">
        <v>76</v>
      </c>
      <c r="E158" s="19">
        <v>18</v>
      </c>
      <c r="F158" s="19">
        <v>5</v>
      </c>
      <c r="G158" s="2"/>
      <c r="H158" s="2"/>
      <c r="I158" s="2"/>
      <c r="J158" s="38"/>
      <c r="K158" s="2"/>
      <c r="L158" s="2"/>
      <c r="M158" s="2"/>
      <c r="N158" s="2"/>
      <c r="O158" s="2" t="s">
        <v>91</v>
      </c>
      <c r="P158" s="2"/>
      <c r="Q158" s="2"/>
      <c r="R158" s="38">
        <v>45903</v>
      </c>
      <c r="S158" s="2">
        <v>1</v>
      </c>
      <c r="T158" s="2">
        <v>25</v>
      </c>
    </row>
    <row r="159" spans="1:20" s="5" customFormat="1" x14ac:dyDescent="0.2">
      <c r="A159" s="45" t="str">
        <f t="shared" si="10"/>
        <v>18/4</v>
      </c>
      <c r="B159" s="19" t="s">
        <v>162</v>
      </c>
      <c r="C159" s="19" t="s">
        <v>76</v>
      </c>
      <c r="D159" s="18" t="s">
        <v>76</v>
      </c>
      <c r="E159" s="19">
        <v>18</v>
      </c>
      <c r="F159" s="19">
        <v>4</v>
      </c>
      <c r="G159" s="2"/>
      <c r="H159" s="2"/>
      <c r="I159" s="2"/>
      <c r="J159" s="38"/>
      <c r="K159" s="2"/>
      <c r="L159" s="2"/>
      <c r="M159" s="2"/>
      <c r="N159" s="2"/>
      <c r="O159" s="2" t="s">
        <v>91</v>
      </c>
      <c r="P159" s="2"/>
      <c r="Q159" s="2"/>
      <c r="R159" s="38">
        <v>45903</v>
      </c>
      <c r="S159" s="2">
        <v>4</v>
      </c>
      <c r="T159" s="2">
        <v>100</v>
      </c>
    </row>
    <row r="160" spans="1:20" s="5" customFormat="1" x14ac:dyDescent="0.2">
      <c r="A160" s="45" t="str">
        <f t="shared" si="10"/>
        <v>20/6</v>
      </c>
      <c r="B160" s="19" t="s">
        <v>86</v>
      </c>
      <c r="C160" s="19" t="s">
        <v>76</v>
      </c>
      <c r="D160" s="18" t="s">
        <v>76</v>
      </c>
      <c r="E160" s="19">
        <v>20</v>
      </c>
      <c r="F160" s="19">
        <v>6</v>
      </c>
      <c r="G160" s="2"/>
      <c r="H160" s="2"/>
      <c r="I160" s="2"/>
      <c r="J160" s="38"/>
      <c r="K160" s="2"/>
      <c r="L160" s="2"/>
      <c r="M160" s="2"/>
      <c r="N160" s="2"/>
      <c r="O160" s="2" t="s">
        <v>91</v>
      </c>
      <c r="P160" s="2"/>
      <c r="Q160" s="2"/>
      <c r="R160" s="38">
        <v>45903</v>
      </c>
      <c r="S160" s="2">
        <v>13</v>
      </c>
      <c r="T160" s="2">
        <v>325</v>
      </c>
    </row>
    <row r="161" spans="1:20" s="5" customFormat="1" x14ac:dyDescent="0.2">
      <c r="A161" s="45" t="str">
        <f t="shared" si="10"/>
        <v>14/5</v>
      </c>
      <c r="B161" s="19" t="s">
        <v>92</v>
      </c>
      <c r="C161" s="19" t="s">
        <v>76</v>
      </c>
      <c r="D161" s="18" t="s">
        <v>76</v>
      </c>
      <c r="E161" s="19">
        <v>14</v>
      </c>
      <c r="F161" s="18">
        <v>5</v>
      </c>
      <c r="G161" s="2"/>
      <c r="H161" s="2"/>
      <c r="I161" s="2"/>
      <c r="J161" s="38"/>
      <c r="K161" s="2"/>
      <c r="L161" s="2"/>
      <c r="M161" s="2"/>
      <c r="N161" s="2"/>
      <c r="O161" s="2" t="s">
        <v>91</v>
      </c>
      <c r="P161" s="2"/>
      <c r="Q161" s="2"/>
      <c r="R161" s="38">
        <v>45903</v>
      </c>
      <c r="S161" s="2">
        <v>20</v>
      </c>
      <c r="T161" s="2">
        <v>500</v>
      </c>
    </row>
    <row r="162" spans="1:20" s="5" customFormat="1" x14ac:dyDescent="0.2">
      <c r="A162" s="45" t="str">
        <f t="shared" si="10"/>
        <v>4.5/5</v>
      </c>
      <c r="B162" s="19" t="s">
        <v>161</v>
      </c>
      <c r="C162" s="19" t="s">
        <v>76</v>
      </c>
      <c r="D162" s="18" t="s">
        <v>76</v>
      </c>
      <c r="E162" s="19">
        <v>4.5</v>
      </c>
      <c r="F162" s="19">
        <v>5</v>
      </c>
      <c r="G162" s="2"/>
      <c r="H162" s="2"/>
      <c r="I162" s="2"/>
      <c r="J162" s="38"/>
      <c r="K162" s="2"/>
      <c r="L162" s="2"/>
      <c r="M162" s="2"/>
      <c r="N162" s="2"/>
      <c r="O162" s="2" t="s">
        <v>91</v>
      </c>
      <c r="P162" s="2"/>
      <c r="Q162" s="2"/>
      <c r="R162" s="38">
        <v>45903</v>
      </c>
      <c r="S162" s="2">
        <v>6</v>
      </c>
      <c r="T162" s="2">
        <v>120</v>
      </c>
    </row>
    <row r="163" spans="1:20" s="5" customFormat="1" x14ac:dyDescent="0.2">
      <c r="A163" s="45" t="str">
        <f t="shared" si="10"/>
        <v>4/5</v>
      </c>
      <c r="B163" s="19" t="s">
        <v>83</v>
      </c>
      <c r="C163" s="19" t="s">
        <v>76</v>
      </c>
      <c r="D163" s="18" t="s">
        <v>76</v>
      </c>
      <c r="E163" s="19" t="s">
        <v>26</v>
      </c>
      <c r="F163" s="19">
        <v>5</v>
      </c>
      <c r="G163" s="2"/>
      <c r="H163" s="2"/>
      <c r="I163" s="2"/>
      <c r="J163" s="38"/>
      <c r="K163" s="2"/>
      <c r="L163" s="2"/>
      <c r="M163" s="2"/>
      <c r="N163" s="2"/>
      <c r="O163" s="2" t="s">
        <v>91</v>
      </c>
      <c r="P163" s="2"/>
      <c r="Q163" s="2"/>
      <c r="R163" s="38">
        <v>45903</v>
      </c>
      <c r="S163" s="2">
        <v>2</v>
      </c>
      <c r="T163" s="2">
        <v>40</v>
      </c>
    </row>
    <row r="164" spans="1:20" s="5" customFormat="1" x14ac:dyDescent="0.2">
      <c r="A164" s="45" t="str">
        <f t="shared" si="10"/>
        <v>2.5/5</v>
      </c>
      <c r="B164" s="19" t="s">
        <v>168</v>
      </c>
      <c r="C164" s="19" t="s">
        <v>76</v>
      </c>
      <c r="D164" s="18" t="s">
        <v>76</v>
      </c>
      <c r="E164" s="19">
        <v>2.5</v>
      </c>
      <c r="F164" s="19">
        <v>5</v>
      </c>
      <c r="G164" s="2"/>
      <c r="H164" s="2"/>
      <c r="I164" s="2"/>
      <c r="J164" s="38"/>
      <c r="K164" s="2"/>
      <c r="L164" s="2"/>
      <c r="M164" s="2"/>
      <c r="N164" s="2"/>
      <c r="O164" s="2" t="s">
        <v>91</v>
      </c>
      <c r="P164" s="2"/>
      <c r="Q164" s="2"/>
      <c r="R164" s="38">
        <v>45903</v>
      </c>
      <c r="S164" s="2">
        <v>5</v>
      </c>
      <c r="T164" s="2">
        <v>100</v>
      </c>
    </row>
    <row r="165" spans="1:20" s="5" customFormat="1" x14ac:dyDescent="0.2">
      <c r="A165" s="45" t="str">
        <f t="shared" si="10"/>
        <v>2.5/5</v>
      </c>
      <c r="B165" s="19" t="s">
        <v>83</v>
      </c>
      <c r="C165" s="19" t="s">
        <v>76</v>
      </c>
      <c r="D165" s="18" t="s">
        <v>76</v>
      </c>
      <c r="E165" s="19" t="s">
        <v>25</v>
      </c>
      <c r="F165" s="19">
        <v>5</v>
      </c>
      <c r="G165" s="2"/>
      <c r="H165" s="2"/>
      <c r="I165" s="2"/>
      <c r="J165" s="38"/>
      <c r="K165" s="2"/>
      <c r="L165" s="2"/>
      <c r="M165" s="2"/>
      <c r="N165" s="2"/>
      <c r="O165" s="2" t="s">
        <v>91</v>
      </c>
      <c r="P165" s="2"/>
      <c r="Q165" s="2"/>
      <c r="R165" s="38">
        <v>45903</v>
      </c>
      <c r="S165" s="2">
        <v>7</v>
      </c>
      <c r="T165" s="2">
        <v>140</v>
      </c>
    </row>
    <row r="166" spans="1:20" s="5" customFormat="1" x14ac:dyDescent="0.2">
      <c r="A166" s="45" t="str">
        <f t="shared" si="10"/>
        <v>10/5</v>
      </c>
      <c r="B166" s="19" t="s">
        <v>84</v>
      </c>
      <c r="C166" s="19" t="s">
        <v>76</v>
      </c>
      <c r="D166" s="18" t="s">
        <v>76</v>
      </c>
      <c r="E166" s="19" t="s">
        <v>16</v>
      </c>
      <c r="F166" s="19">
        <v>5</v>
      </c>
      <c r="G166" s="2"/>
      <c r="H166" s="2"/>
      <c r="I166" s="2"/>
      <c r="J166" s="38"/>
      <c r="K166" s="2"/>
      <c r="L166" s="2"/>
      <c r="M166" s="2"/>
      <c r="N166" s="2"/>
      <c r="O166" s="2" t="s">
        <v>91</v>
      </c>
      <c r="P166" s="2"/>
      <c r="Q166" s="2"/>
      <c r="R166" s="38">
        <v>45903</v>
      </c>
      <c r="S166" s="2">
        <v>9</v>
      </c>
      <c r="T166" s="2">
        <v>225</v>
      </c>
    </row>
    <row r="167" spans="1:20" s="5" customFormat="1" x14ac:dyDescent="0.2">
      <c r="A167" s="45" t="str">
        <f t="shared" si="10"/>
        <v>10/5</v>
      </c>
      <c r="B167" s="19" t="s">
        <v>84</v>
      </c>
      <c r="C167" s="19" t="s">
        <v>76</v>
      </c>
      <c r="D167" s="18" t="s">
        <v>76</v>
      </c>
      <c r="E167" s="19" t="s">
        <v>16</v>
      </c>
      <c r="F167" s="19">
        <v>5</v>
      </c>
      <c r="G167" s="2"/>
      <c r="H167" s="2"/>
      <c r="I167" s="2"/>
      <c r="J167" s="38"/>
      <c r="K167" s="2"/>
      <c r="L167" s="2"/>
      <c r="M167" s="2"/>
      <c r="N167" s="2"/>
      <c r="O167" s="2" t="s">
        <v>91</v>
      </c>
      <c r="P167" s="2"/>
      <c r="Q167" s="2"/>
      <c r="R167" s="38">
        <v>45903</v>
      </c>
      <c r="S167" s="2">
        <v>7</v>
      </c>
      <c r="T167" s="2">
        <v>175</v>
      </c>
    </row>
    <row r="168" spans="1:20" s="5" customFormat="1" x14ac:dyDescent="0.2">
      <c r="A168" s="45" t="str">
        <f t="shared" si="10"/>
        <v>13/7</v>
      </c>
      <c r="B168" s="19" t="s">
        <v>93</v>
      </c>
      <c r="C168" s="19" t="s">
        <v>76</v>
      </c>
      <c r="D168" s="18" t="s">
        <v>76</v>
      </c>
      <c r="E168" s="19">
        <v>13</v>
      </c>
      <c r="F168" s="19">
        <v>7</v>
      </c>
      <c r="G168" s="2"/>
      <c r="H168" s="2"/>
      <c r="I168" s="2"/>
      <c r="J168" s="38"/>
      <c r="K168" s="2"/>
      <c r="L168" s="2"/>
      <c r="M168" s="2"/>
      <c r="N168" s="2"/>
      <c r="O168" s="2" t="s">
        <v>94</v>
      </c>
      <c r="P168" s="2"/>
      <c r="Q168" s="2"/>
      <c r="R168" s="59">
        <v>45902</v>
      </c>
      <c r="S168" s="2">
        <v>1</v>
      </c>
      <c r="T168" s="2">
        <v>19</v>
      </c>
    </row>
    <row r="169" spans="1:20" s="5" customFormat="1" x14ac:dyDescent="0.2">
      <c r="A169" s="45" t="str">
        <f t="shared" si="10"/>
        <v>26/8.5-9</v>
      </c>
      <c r="B169" s="19" t="s">
        <v>172</v>
      </c>
      <c r="C169" s="19" t="s">
        <v>173</v>
      </c>
      <c r="D169" s="18" t="s">
        <v>76</v>
      </c>
      <c r="E169" s="19">
        <v>26</v>
      </c>
      <c r="F169" s="19" t="s">
        <v>171</v>
      </c>
      <c r="G169" s="2"/>
      <c r="H169" s="2"/>
      <c r="I169" s="2"/>
      <c r="J169" s="38"/>
      <c r="K169" s="2"/>
      <c r="L169" s="2"/>
      <c r="M169" s="2"/>
      <c r="N169" s="2"/>
      <c r="O169" s="2" t="s">
        <v>94</v>
      </c>
      <c r="P169" s="2"/>
      <c r="Q169" s="2"/>
      <c r="R169" s="59">
        <v>45902</v>
      </c>
      <c r="S169" s="2">
        <v>4</v>
      </c>
      <c r="T169" s="2">
        <v>115.5</v>
      </c>
    </row>
    <row r="170" spans="1:20" s="5" customFormat="1" x14ac:dyDescent="0.2">
      <c r="A170" s="45" t="str">
        <f t="shared" si="10"/>
        <v>20/5</v>
      </c>
      <c r="B170" s="19" t="s">
        <v>174</v>
      </c>
      <c r="C170" s="19" t="s">
        <v>76</v>
      </c>
      <c r="D170" s="18" t="s">
        <v>76</v>
      </c>
      <c r="E170" s="19">
        <v>20</v>
      </c>
      <c r="F170" s="19">
        <v>5</v>
      </c>
      <c r="G170" s="2"/>
      <c r="H170" s="2"/>
      <c r="I170" s="2"/>
      <c r="J170" s="38"/>
      <c r="K170" s="2"/>
      <c r="L170" s="2"/>
      <c r="M170" s="2"/>
      <c r="N170" s="2"/>
      <c r="O170" s="2" t="s">
        <v>94</v>
      </c>
      <c r="P170" s="2"/>
      <c r="Q170" s="2"/>
      <c r="R170" s="59">
        <v>45902</v>
      </c>
      <c r="S170" s="2">
        <v>8</v>
      </c>
      <c r="T170" s="2">
        <v>200</v>
      </c>
    </row>
    <row r="171" spans="1:20" s="5" customFormat="1" x14ac:dyDescent="0.2">
      <c r="A171" s="45" t="str">
        <f t="shared" si="10"/>
        <v>20/5</v>
      </c>
      <c r="B171" s="19" t="s">
        <v>174</v>
      </c>
      <c r="C171" s="19" t="s">
        <v>76</v>
      </c>
      <c r="D171" s="18" t="s">
        <v>76</v>
      </c>
      <c r="E171" s="19">
        <v>20</v>
      </c>
      <c r="F171" s="19">
        <v>5</v>
      </c>
      <c r="G171" s="2"/>
      <c r="H171" s="2"/>
      <c r="I171" s="2"/>
      <c r="J171" s="38"/>
      <c r="K171" s="2"/>
      <c r="L171" s="2"/>
      <c r="M171" s="2"/>
      <c r="N171" s="2"/>
      <c r="O171" s="2" t="s">
        <v>94</v>
      </c>
      <c r="P171" s="2"/>
      <c r="Q171" s="2"/>
      <c r="R171" s="59">
        <v>45902</v>
      </c>
      <c r="S171" s="2">
        <v>2</v>
      </c>
      <c r="T171" s="2">
        <v>50</v>
      </c>
    </row>
    <row r="172" spans="1:20" s="5" customFormat="1" x14ac:dyDescent="0.2">
      <c r="A172" s="45" t="str">
        <f t="shared" si="10"/>
        <v>13/5</v>
      </c>
      <c r="B172" s="19" t="s">
        <v>168</v>
      </c>
      <c r="C172" s="19" t="s">
        <v>76</v>
      </c>
      <c r="D172" s="18" t="s">
        <v>76</v>
      </c>
      <c r="E172" s="19">
        <v>13</v>
      </c>
      <c r="F172" s="19">
        <v>5</v>
      </c>
      <c r="G172" s="2"/>
      <c r="H172" s="2"/>
      <c r="I172" s="2"/>
      <c r="J172" s="38"/>
      <c r="K172" s="2"/>
      <c r="L172" s="2"/>
      <c r="M172" s="2"/>
      <c r="N172" s="2"/>
      <c r="O172" s="2" t="s">
        <v>94</v>
      </c>
      <c r="P172" s="2"/>
      <c r="Q172" s="2"/>
      <c r="R172" s="59">
        <v>45902</v>
      </c>
      <c r="S172" s="2">
        <v>9</v>
      </c>
      <c r="T172" s="2">
        <v>225</v>
      </c>
    </row>
    <row r="173" spans="1:20" s="5" customFormat="1" x14ac:dyDescent="0.2">
      <c r="A173" s="45" t="str">
        <f t="shared" si="10"/>
        <v>20/5</v>
      </c>
      <c r="B173" s="19" t="s">
        <v>174</v>
      </c>
      <c r="C173" s="19" t="s">
        <v>76</v>
      </c>
      <c r="D173" s="18" t="s">
        <v>76</v>
      </c>
      <c r="E173" s="19">
        <v>20</v>
      </c>
      <c r="F173" s="19">
        <v>5</v>
      </c>
      <c r="G173" s="2"/>
      <c r="H173" s="2"/>
      <c r="I173" s="2"/>
      <c r="J173" s="38"/>
      <c r="K173" s="2"/>
      <c r="L173" s="2"/>
      <c r="M173" s="2"/>
      <c r="N173" s="2"/>
      <c r="O173" s="2" t="s">
        <v>94</v>
      </c>
      <c r="P173" s="2"/>
      <c r="Q173" s="2"/>
      <c r="R173" s="59">
        <v>45902</v>
      </c>
      <c r="S173" s="2">
        <v>2</v>
      </c>
      <c r="T173" s="2">
        <v>55</v>
      </c>
    </row>
    <row r="174" spans="1:20" s="5" customFormat="1" x14ac:dyDescent="0.2">
      <c r="A174" s="45" t="str">
        <f t="shared" si="10"/>
        <v>11/5</v>
      </c>
      <c r="B174" s="19" t="s">
        <v>168</v>
      </c>
      <c r="C174" s="19" t="s">
        <v>76</v>
      </c>
      <c r="D174" s="18" t="s">
        <v>76</v>
      </c>
      <c r="E174" s="19">
        <v>11</v>
      </c>
      <c r="F174" s="19">
        <v>5</v>
      </c>
      <c r="G174" s="2"/>
      <c r="H174" s="2"/>
      <c r="I174" s="2"/>
      <c r="J174" s="38"/>
      <c r="K174" s="2"/>
      <c r="L174" s="2"/>
      <c r="M174" s="2"/>
      <c r="N174" s="2"/>
      <c r="O174" s="2" t="s">
        <v>94</v>
      </c>
      <c r="P174" s="2"/>
      <c r="Q174" s="2"/>
      <c r="R174" s="59">
        <v>45902</v>
      </c>
      <c r="S174" s="2">
        <v>6</v>
      </c>
      <c r="T174" s="2">
        <v>150</v>
      </c>
    </row>
    <row r="175" spans="1:20" s="5" customFormat="1" x14ac:dyDescent="0.2">
      <c r="A175" s="45" t="str">
        <f t="shared" si="10"/>
        <v>13/5</v>
      </c>
      <c r="B175" s="19" t="s">
        <v>168</v>
      </c>
      <c r="C175" s="19" t="s">
        <v>76</v>
      </c>
      <c r="D175" s="18" t="s">
        <v>76</v>
      </c>
      <c r="E175" s="19">
        <v>13</v>
      </c>
      <c r="F175" s="19">
        <v>5</v>
      </c>
      <c r="G175" s="2"/>
      <c r="H175" s="2"/>
      <c r="I175" s="2"/>
      <c r="J175" s="38"/>
      <c r="K175" s="2"/>
      <c r="L175" s="2"/>
      <c r="M175" s="2"/>
      <c r="N175" s="2"/>
      <c r="O175" s="2" t="s">
        <v>94</v>
      </c>
      <c r="P175" s="2"/>
      <c r="Q175" s="2"/>
      <c r="R175" s="59">
        <v>45903</v>
      </c>
      <c r="S175" s="2">
        <v>11</v>
      </c>
      <c r="T175" s="2">
        <v>275</v>
      </c>
    </row>
    <row r="176" spans="1:20" s="5" customFormat="1" x14ac:dyDescent="0.2">
      <c r="A176" s="45" t="str">
        <f t="shared" si="10"/>
        <v>11/5</v>
      </c>
      <c r="B176" s="19" t="s">
        <v>168</v>
      </c>
      <c r="C176" s="19" t="s">
        <v>76</v>
      </c>
      <c r="D176" s="18" t="s">
        <v>76</v>
      </c>
      <c r="E176" s="19">
        <v>11</v>
      </c>
      <c r="F176" s="19">
        <v>5</v>
      </c>
      <c r="G176" s="2"/>
      <c r="H176" s="2"/>
      <c r="I176" s="2"/>
      <c r="J176" s="38"/>
      <c r="K176" s="2"/>
      <c r="L176" s="2"/>
      <c r="M176" s="2"/>
      <c r="N176" s="2"/>
      <c r="O176" s="2" t="s">
        <v>94</v>
      </c>
      <c r="P176" s="2"/>
      <c r="Q176" s="2"/>
      <c r="R176" s="59">
        <v>45903</v>
      </c>
      <c r="S176" s="2">
        <v>1</v>
      </c>
      <c r="T176" s="2">
        <v>25</v>
      </c>
    </row>
    <row r="177" spans="1:20" s="5" customFormat="1" x14ac:dyDescent="0.2">
      <c r="A177" s="45" t="str">
        <f t="shared" si="10"/>
        <v>11/5</v>
      </c>
      <c r="B177" s="19" t="s">
        <v>168</v>
      </c>
      <c r="C177" s="19" t="s">
        <v>76</v>
      </c>
      <c r="D177" s="18" t="s">
        <v>76</v>
      </c>
      <c r="E177" s="19">
        <v>11</v>
      </c>
      <c r="F177" s="19">
        <v>5</v>
      </c>
      <c r="G177" s="2"/>
      <c r="H177" s="2"/>
      <c r="I177" s="2"/>
      <c r="J177" s="38"/>
      <c r="K177" s="2"/>
      <c r="L177" s="2"/>
      <c r="M177" s="2"/>
      <c r="N177" s="2"/>
      <c r="O177" s="2" t="s">
        <v>94</v>
      </c>
      <c r="P177" s="2"/>
      <c r="Q177" s="2"/>
      <c r="R177" s="59">
        <v>45903</v>
      </c>
      <c r="S177" s="2">
        <v>7</v>
      </c>
      <c r="T177" s="2">
        <v>175</v>
      </c>
    </row>
    <row r="178" spans="1:20" s="5" customFormat="1" x14ac:dyDescent="0.2">
      <c r="A178" s="45" t="str">
        <f t="shared" si="10"/>
        <v>11/5</v>
      </c>
      <c r="B178" s="19" t="s">
        <v>168</v>
      </c>
      <c r="C178" s="19" t="s">
        <v>76</v>
      </c>
      <c r="D178" s="18" t="s">
        <v>76</v>
      </c>
      <c r="E178" s="19">
        <v>11</v>
      </c>
      <c r="F178" s="19">
        <v>5</v>
      </c>
      <c r="G178" s="2"/>
      <c r="H178" s="2"/>
      <c r="I178" s="2"/>
      <c r="J178" s="38"/>
      <c r="K178" s="2"/>
      <c r="L178" s="2"/>
      <c r="M178" s="2"/>
      <c r="N178" s="2"/>
      <c r="O178" s="2" t="s">
        <v>94</v>
      </c>
      <c r="P178" s="2"/>
      <c r="Q178" s="2"/>
      <c r="R178" s="59">
        <v>45903</v>
      </c>
      <c r="S178" s="2">
        <v>8</v>
      </c>
      <c r="T178" s="2">
        <v>200</v>
      </c>
    </row>
    <row r="179" spans="1:20" s="5" customFormat="1" x14ac:dyDescent="0.2">
      <c r="A179" s="45" t="str">
        <f t="shared" si="10"/>
        <v>11/5</v>
      </c>
      <c r="B179" s="19" t="s">
        <v>168</v>
      </c>
      <c r="C179" s="19" t="s">
        <v>76</v>
      </c>
      <c r="D179" s="18" t="s">
        <v>76</v>
      </c>
      <c r="E179" s="19">
        <v>11</v>
      </c>
      <c r="F179" s="19">
        <v>5</v>
      </c>
      <c r="G179" s="2"/>
      <c r="H179" s="2"/>
      <c r="I179" s="2"/>
      <c r="J179" s="38"/>
      <c r="K179" s="2"/>
      <c r="L179" s="2"/>
      <c r="M179" s="2"/>
      <c r="N179" s="2"/>
      <c r="O179" s="2" t="s">
        <v>94</v>
      </c>
      <c r="P179" s="2"/>
      <c r="Q179" s="2"/>
      <c r="R179" s="59">
        <v>45903</v>
      </c>
      <c r="S179" s="2">
        <v>7</v>
      </c>
      <c r="T179" s="2">
        <v>175</v>
      </c>
    </row>
    <row r="180" spans="1:20" s="5" customFormat="1" x14ac:dyDescent="0.2">
      <c r="A180" s="45" t="str">
        <f t="shared" si="10"/>
        <v>26/8.5-9</v>
      </c>
      <c r="B180" s="19" t="s">
        <v>172</v>
      </c>
      <c r="C180" s="19" t="s">
        <v>173</v>
      </c>
      <c r="D180" s="19" t="s">
        <v>173</v>
      </c>
      <c r="E180" s="19">
        <v>26</v>
      </c>
      <c r="F180" s="19" t="s">
        <v>171</v>
      </c>
      <c r="G180" s="2"/>
      <c r="H180" s="2" t="s">
        <v>186</v>
      </c>
      <c r="I180" s="2"/>
      <c r="J180" s="38">
        <v>45901</v>
      </c>
      <c r="K180" s="2">
        <v>5</v>
      </c>
      <c r="L180" s="2">
        <v>213.96</v>
      </c>
      <c r="M180" s="2"/>
      <c r="N180" s="2">
        <v>213.96</v>
      </c>
      <c r="O180" s="2"/>
      <c r="P180" s="2"/>
      <c r="Q180" s="2"/>
      <c r="R180" s="38"/>
      <c r="S180" s="2"/>
      <c r="T180" s="2"/>
    </row>
    <row r="181" spans="1:20" s="5" customFormat="1" x14ac:dyDescent="0.2">
      <c r="A181" s="45" t="str">
        <f t="shared" si="10"/>
        <v>3.5/4.5</v>
      </c>
      <c r="B181" s="19" t="s">
        <v>162</v>
      </c>
      <c r="C181" s="19" t="s">
        <v>76</v>
      </c>
      <c r="D181" s="19" t="s">
        <v>76</v>
      </c>
      <c r="E181" s="19">
        <v>3.5</v>
      </c>
      <c r="F181" s="19">
        <v>4.5</v>
      </c>
      <c r="G181" s="2"/>
      <c r="H181" s="39" t="s">
        <v>88</v>
      </c>
      <c r="I181" s="2"/>
      <c r="J181" s="38">
        <v>45904</v>
      </c>
      <c r="K181" s="2">
        <v>8</v>
      </c>
      <c r="L181" s="2">
        <v>81.710000000000008</v>
      </c>
      <c r="M181" s="2">
        <v>1.6</v>
      </c>
      <c r="N181" s="2">
        <f>+L181-M181</f>
        <v>80.110000000000014</v>
      </c>
      <c r="O181" s="2"/>
      <c r="P181" s="2"/>
      <c r="Q181" s="2"/>
      <c r="R181" s="38"/>
      <c r="S181" s="2"/>
      <c r="T181" s="2"/>
    </row>
    <row r="182" spans="1:20" s="5" customFormat="1" x14ac:dyDescent="0.2">
      <c r="A182" s="45" t="str">
        <f t="shared" si="10"/>
        <v>3.5/4.5</v>
      </c>
      <c r="B182" s="19" t="s">
        <v>162</v>
      </c>
      <c r="C182" s="19" t="s">
        <v>76</v>
      </c>
      <c r="D182" s="19" t="s">
        <v>76</v>
      </c>
      <c r="E182" s="19">
        <v>3.5</v>
      </c>
      <c r="F182" s="19">
        <v>4.5</v>
      </c>
      <c r="G182" s="2"/>
      <c r="H182" s="39" t="s">
        <v>88</v>
      </c>
      <c r="I182" s="2"/>
      <c r="J182" s="38">
        <v>45904</v>
      </c>
      <c r="K182" s="2">
        <v>8</v>
      </c>
      <c r="L182" s="2">
        <v>101.73</v>
      </c>
      <c r="M182" s="2">
        <v>1.6</v>
      </c>
      <c r="N182" s="2">
        <f t="shared" ref="N182:N212" si="11">+L182-M182</f>
        <v>100.13000000000001</v>
      </c>
      <c r="O182" s="2"/>
      <c r="P182" s="2"/>
      <c r="Q182" s="2"/>
      <c r="R182" s="38"/>
      <c r="S182" s="2"/>
      <c r="T182" s="2"/>
    </row>
    <row r="183" spans="1:20" s="5" customFormat="1" x14ac:dyDescent="0.2">
      <c r="A183" s="45" t="str">
        <f t="shared" si="10"/>
        <v>2/5.5-6</v>
      </c>
      <c r="B183" s="19" t="s">
        <v>83</v>
      </c>
      <c r="C183" s="19" t="s">
        <v>76</v>
      </c>
      <c r="D183" s="19" t="s">
        <v>76</v>
      </c>
      <c r="E183" s="19">
        <v>2</v>
      </c>
      <c r="F183" s="19" t="s">
        <v>5</v>
      </c>
      <c r="G183" s="2"/>
      <c r="H183" s="39" t="s">
        <v>88</v>
      </c>
      <c r="I183" s="2"/>
      <c r="J183" s="38">
        <v>45904</v>
      </c>
      <c r="K183" s="2">
        <v>4</v>
      </c>
      <c r="L183" s="2">
        <v>51.5</v>
      </c>
      <c r="M183" s="2">
        <v>0.8</v>
      </c>
      <c r="N183" s="2">
        <f t="shared" si="11"/>
        <v>50.7</v>
      </c>
      <c r="O183" s="2"/>
      <c r="P183" s="2"/>
      <c r="Q183" s="2"/>
      <c r="R183" s="38"/>
      <c r="S183" s="2"/>
      <c r="T183" s="2"/>
    </row>
    <row r="184" spans="1:20" s="5" customFormat="1" x14ac:dyDescent="0.2">
      <c r="A184" s="45" t="str">
        <f t="shared" si="10"/>
        <v>2/5.5-6</v>
      </c>
      <c r="B184" s="19" t="s">
        <v>83</v>
      </c>
      <c r="C184" s="19" t="s">
        <v>76</v>
      </c>
      <c r="D184" s="19" t="s">
        <v>76</v>
      </c>
      <c r="E184" s="19">
        <v>2</v>
      </c>
      <c r="F184" s="19" t="s">
        <v>5</v>
      </c>
      <c r="G184" s="2"/>
      <c r="H184" s="39" t="s">
        <v>88</v>
      </c>
      <c r="I184" s="2"/>
      <c r="J184" s="38">
        <v>45904</v>
      </c>
      <c r="K184" s="2">
        <v>4</v>
      </c>
      <c r="L184" s="2">
        <v>24.79</v>
      </c>
      <c r="M184" s="2">
        <v>0.8</v>
      </c>
      <c r="N184" s="2">
        <f t="shared" si="11"/>
        <v>23.99</v>
      </c>
      <c r="O184" s="2"/>
      <c r="P184" s="2"/>
      <c r="Q184" s="2"/>
      <c r="R184" s="38"/>
      <c r="S184" s="2"/>
      <c r="T184" s="2"/>
    </row>
    <row r="185" spans="1:20" s="5" customFormat="1" x14ac:dyDescent="0.2">
      <c r="A185" s="45" t="str">
        <f t="shared" si="10"/>
        <v>2/5</v>
      </c>
      <c r="B185" s="19" t="s">
        <v>86</v>
      </c>
      <c r="C185" s="19" t="s">
        <v>76</v>
      </c>
      <c r="D185" s="19" t="s">
        <v>76</v>
      </c>
      <c r="E185" s="19">
        <v>2</v>
      </c>
      <c r="F185" s="19">
        <v>5</v>
      </c>
      <c r="G185" s="2"/>
      <c r="H185" s="39" t="s">
        <v>88</v>
      </c>
      <c r="I185" s="2"/>
      <c r="J185" s="38">
        <v>45904</v>
      </c>
      <c r="K185" s="2">
        <v>4</v>
      </c>
      <c r="L185" s="2">
        <v>81.17</v>
      </c>
      <c r="M185" s="2">
        <v>0.8</v>
      </c>
      <c r="N185" s="2">
        <f t="shared" si="11"/>
        <v>80.37</v>
      </c>
      <c r="O185" s="2"/>
      <c r="P185" s="2"/>
      <c r="Q185" s="2"/>
      <c r="R185" s="38"/>
      <c r="S185" s="2"/>
      <c r="T185" s="2"/>
    </row>
    <row r="186" spans="1:20" s="5" customFormat="1" x14ac:dyDescent="0.2">
      <c r="A186" s="45" t="str">
        <f t="shared" si="10"/>
        <v>7/5</v>
      </c>
      <c r="B186" s="19" t="s">
        <v>84</v>
      </c>
      <c r="C186" s="19" t="s">
        <v>76</v>
      </c>
      <c r="D186" s="19" t="s">
        <v>76</v>
      </c>
      <c r="E186" s="19">
        <v>7</v>
      </c>
      <c r="F186" s="19">
        <v>5</v>
      </c>
      <c r="G186" s="2"/>
      <c r="H186" s="39" t="s">
        <v>88</v>
      </c>
      <c r="I186" s="2"/>
      <c r="J186" s="38">
        <v>45904</v>
      </c>
      <c r="K186" s="2">
        <v>8</v>
      </c>
      <c r="L186" s="2">
        <v>248.21</v>
      </c>
      <c r="M186" s="2">
        <v>5.6</v>
      </c>
      <c r="N186" s="2">
        <f t="shared" si="11"/>
        <v>242.61</v>
      </c>
      <c r="O186" s="2"/>
      <c r="P186" s="2"/>
      <c r="Q186" s="2"/>
      <c r="R186" s="38"/>
      <c r="S186" s="2"/>
      <c r="T186" s="2"/>
    </row>
    <row r="187" spans="1:20" s="5" customFormat="1" x14ac:dyDescent="0.2">
      <c r="A187" s="45" t="str">
        <f t="shared" si="10"/>
        <v>7/4</v>
      </c>
      <c r="B187" s="19" t="s">
        <v>187</v>
      </c>
      <c r="C187" s="19" t="s">
        <v>76</v>
      </c>
      <c r="D187" s="19" t="s">
        <v>76</v>
      </c>
      <c r="E187" s="19">
        <v>7</v>
      </c>
      <c r="F187" s="19">
        <v>4</v>
      </c>
      <c r="G187" s="2"/>
      <c r="H187" s="39" t="s">
        <v>88</v>
      </c>
      <c r="I187" s="2"/>
      <c r="J187" s="38">
        <v>45904</v>
      </c>
      <c r="K187" s="2">
        <v>4</v>
      </c>
      <c r="L187" s="2">
        <v>134.66999999999999</v>
      </c>
      <c r="M187" s="2">
        <v>3.2</v>
      </c>
      <c r="N187" s="2">
        <f t="shared" si="11"/>
        <v>131.47</v>
      </c>
      <c r="O187" s="2"/>
      <c r="P187" s="2"/>
      <c r="Q187" s="2"/>
      <c r="R187" s="38"/>
      <c r="S187" s="2"/>
      <c r="T187" s="2"/>
    </row>
    <row r="188" spans="1:20" s="5" customFormat="1" x14ac:dyDescent="0.2">
      <c r="A188" s="45" t="str">
        <f t="shared" si="10"/>
        <v>28/5-5.5</v>
      </c>
      <c r="B188" s="19" t="s">
        <v>85</v>
      </c>
      <c r="C188" s="19" t="s">
        <v>76</v>
      </c>
      <c r="D188" s="19" t="s">
        <v>76</v>
      </c>
      <c r="E188" s="19">
        <v>28</v>
      </c>
      <c r="F188" s="19" t="s">
        <v>41</v>
      </c>
      <c r="G188" s="2"/>
      <c r="H188" s="39" t="s">
        <v>88</v>
      </c>
      <c r="I188" s="2"/>
      <c r="J188" s="38">
        <v>45904</v>
      </c>
      <c r="K188" s="2">
        <v>14</v>
      </c>
      <c r="L188" s="2">
        <v>753.56999999999994</v>
      </c>
      <c r="M188" s="2">
        <v>42</v>
      </c>
      <c r="N188" s="2">
        <f t="shared" si="11"/>
        <v>711.56999999999994</v>
      </c>
      <c r="O188" s="2"/>
      <c r="P188" s="2"/>
      <c r="Q188" s="2"/>
      <c r="R188" s="38"/>
      <c r="S188" s="2"/>
      <c r="T188" s="2"/>
    </row>
    <row r="189" spans="1:20" s="5" customFormat="1" x14ac:dyDescent="0.2">
      <c r="A189" s="45" t="str">
        <f t="shared" si="10"/>
        <v>28/5-5.5</v>
      </c>
      <c r="B189" s="19" t="s">
        <v>85</v>
      </c>
      <c r="C189" s="19" t="s">
        <v>76</v>
      </c>
      <c r="D189" s="19" t="s">
        <v>76</v>
      </c>
      <c r="E189" s="19">
        <v>28</v>
      </c>
      <c r="F189" s="19" t="s">
        <v>41</v>
      </c>
      <c r="G189" s="2"/>
      <c r="H189" s="39" t="s">
        <v>88</v>
      </c>
      <c r="I189" s="2"/>
      <c r="J189" s="38">
        <v>45904</v>
      </c>
      <c r="K189" s="2">
        <v>6</v>
      </c>
      <c r="L189" s="2">
        <v>300.27999999999997</v>
      </c>
      <c r="M189" s="2">
        <v>18.310000000000002</v>
      </c>
      <c r="N189" s="2">
        <f t="shared" si="11"/>
        <v>281.96999999999997</v>
      </c>
      <c r="O189" s="2"/>
      <c r="P189" s="2"/>
      <c r="Q189" s="2"/>
      <c r="R189" s="38"/>
      <c r="S189" s="2"/>
      <c r="T189" s="2"/>
    </row>
    <row r="190" spans="1:20" s="5" customFormat="1" x14ac:dyDescent="0.2">
      <c r="A190" s="45" t="str">
        <f t="shared" si="10"/>
        <v>18/6</v>
      </c>
      <c r="B190" s="19" t="s">
        <v>86</v>
      </c>
      <c r="C190" s="19" t="s">
        <v>76</v>
      </c>
      <c r="D190" s="19" t="s">
        <v>76</v>
      </c>
      <c r="E190" s="19">
        <v>18</v>
      </c>
      <c r="F190" s="19">
        <v>6</v>
      </c>
      <c r="G190" s="2"/>
      <c r="H190" s="39" t="s">
        <v>88</v>
      </c>
      <c r="I190" s="2"/>
      <c r="J190" s="38">
        <v>45904</v>
      </c>
      <c r="K190" s="2">
        <v>6</v>
      </c>
      <c r="L190" s="2">
        <v>281.15999999999997</v>
      </c>
      <c r="M190" s="2">
        <v>13</v>
      </c>
      <c r="N190" s="2">
        <f t="shared" si="11"/>
        <v>268.15999999999997</v>
      </c>
      <c r="O190" s="2"/>
      <c r="P190" s="2"/>
      <c r="Q190" s="2"/>
      <c r="R190" s="38"/>
      <c r="S190" s="2"/>
      <c r="T190" s="2"/>
    </row>
    <row r="191" spans="1:20" s="5" customFormat="1" x14ac:dyDescent="0.2">
      <c r="A191" s="45" t="str">
        <f t="shared" si="10"/>
        <v>18/7</v>
      </c>
      <c r="B191" s="19" t="s">
        <v>163</v>
      </c>
      <c r="C191" s="19" t="s">
        <v>76</v>
      </c>
      <c r="D191" s="19" t="s">
        <v>76</v>
      </c>
      <c r="E191" s="19">
        <v>18</v>
      </c>
      <c r="F191" s="19" t="s">
        <v>19</v>
      </c>
      <c r="G191" s="2"/>
      <c r="H191" s="39" t="s">
        <v>88</v>
      </c>
      <c r="I191" s="2"/>
      <c r="J191" s="38">
        <v>45904</v>
      </c>
      <c r="K191" s="2">
        <v>3</v>
      </c>
      <c r="L191" s="2">
        <v>149.44</v>
      </c>
      <c r="M191" s="2">
        <v>6.5000000000000009</v>
      </c>
      <c r="N191" s="2">
        <f t="shared" si="11"/>
        <v>142.94</v>
      </c>
      <c r="O191" s="2"/>
      <c r="P191" s="2"/>
      <c r="Q191" s="2"/>
      <c r="R191" s="38"/>
      <c r="S191" s="2"/>
      <c r="T191" s="2"/>
    </row>
    <row r="192" spans="1:20" s="5" customFormat="1" x14ac:dyDescent="0.2">
      <c r="A192" s="45" t="str">
        <f t="shared" si="10"/>
        <v>13/5</v>
      </c>
      <c r="B192" s="19" t="s">
        <v>83</v>
      </c>
      <c r="C192" s="19" t="s">
        <v>76</v>
      </c>
      <c r="D192" s="19" t="s">
        <v>76</v>
      </c>
      <c r="E192" s="19">
        <v>13</v>
      </c>
      <c r="F192" s="19">
        <v>5</v>
      </c>
      <c r="G192" s="2"/>
      <c r="H192" s="39" t="s">
        <v>88</v>
      </c>
      <c r="I192" s="2"/>
      <c r="J192" s="38">
        <v>45904</v>
      </c>
      <c r="K192" s="2">
        <v>5</v>
      </c>
      <c r="L192" s="2">
        <v>273.77999999999997</v>
      </c>
      <c r="M192" s="2">
        <v>6.5</v>
      </c>
      <c r="N192" s="2">
        <f t="shared" si="11"/>
        <v>267.27999999999997</v>
      </c>
      <c r="O192" s="2"/>
      <c r="P192" s="2"/>
      <c r="Q192" s="2"/>
      <c r="R192" s="38"/>
      <c r="S192" s="2"/>
      <c r="T192" s="2"/>
    </row>
    <row r="193" spans="1:20" s="5" customFormat="1" x14ac:dyDescent="0.2">
      <c r="A193" s="45" t="str">
        <f t="shared" si="10"/>
        <v>14/10</v>
      </c>
      <c r="B193" s="19" t="s">
        <v>164</v>
      </c>
      <c r="C193" s="19" t="s">
        <v>76</v>
      </c>
      <c r="D193" s="19" t="s">
        <v>76</v>
      </c>
      <c r="E193" s="19">
        <v>14</v>
      </c>
      <c r="F193" s="19">
        <v>10</v>
      </c>
      <c r="G193" s="2"/>
      <c r="H193" s="39" t="s">
        <v>88</v>
      </c>
      <c r="I193" s="2"/>
      <c r="J193" s="38">
        <v>45904</v>
      </c>
      <c r="K193" s="2">
        <v>6</v>
      </c>
      <c r="L193" s="2">
        <v>272.39</v>
      </c>
      <c r="M193" s="2">
        <v>8.3999999999999986</v>
      </c>
      <c r="N193" s="2">
        <f t="shared" si="11"/>
        <v>263.99</v>
      </c>
      <c r="O193" s="2"/>
      <c r="P193" s="2"/>
      <c r="Q193" s="2"/>
      <c r="R193" s="38"/>
      <c r="S193" s="2"/>
      <c r="T193" s="2"/>
    </row>
    <row r="194" spans="1:20" s="5" customFormat="1" x14ac:dyDescent="0.2">
      <c r="A194" s="45" t="str">
        <f t="shared" si="10"/>
        <v>14/5</v>
      </c>
      <c r="B194" s="19" t="s">
        <v>84</v>
      </c>
      <c r="C194" s="19" t="s">
        <v>76</v>
      </c>
      <c r="D194" s="19" t="s">
        <v>76</v>
      </c>
      <c r="E194" s="19">
        <v>14</v>
      </c>
      <c r="F194" s="18">
        <v>5</v>
      </c>
      <c r="G194" s="2"/>
      <c r="H194" s="39" t="s">
        <v>88</v>
      </c>
      <c r="I194" s="2"/>
      <c r="J194" s="38">
        <v>45904</v>
      </c>
      <c r="K194" s="2">
        <v>2</v>
      </c>
      <c r="L194" s="2">
        <v>88.6</v>
      </c>
      <c r="M194" s="2">
        <v>2.8</v>
      </c>
      <c r="N194" s="2">
        <f t="shared" si="11"/>
        <v>85.8</v>
      </c>
      <c r="O194" s="2"/>
      <c r="P194" s="2"/>
      <c r="Q194" s="2"/>
      <c r="R194" s="38"/>
      <c r="S194" s="2"/>
      <c r="T194" s="2"/>
    </row>
    <row r="195" spans="1:20" s="5" customFormat="1" x14ac:dyDescent="0.2">
      <c r="A195" s="45" t="str">
        <f t="shared" si="10"/>
        <v>14/10</v>
      </c>
      <c r="B195" s="19" t="s">
        <v>164</v>
      </c>
      <c r="C195" s="19" t="s">
        <v>76</v>
      </c>
      <c r="D195" s="19" t="s">
        <v>76</v>
      </c>
      <c r="E195" s="19">
        <v>14</v>
      </c>
      <c r="F195" s="19">
        <v>10</v>
      </c>
      <c r="G195" s="2"/>
      <c r="H195" s="39" t="s">
        <v>88</v>
      </c>
      <c r="I195" s="2"/>
      <c r="J195" s="38">
        <v>45904</v>
      </c>
      <c r="K195" s="2">
        <v>8</v>
      </c>
      <c r="L195" s="2">
        <v>388.90000000000003</v>
      </c>
      <c r="M195" s="2">
        <v>14.4</v>
      </c>
      <c r="N195" s="2">
        <f t="shared" si="11"/>
        <v>374.50000000000006</v>
      </c>
      <c r="O195" s="2"/>
      <c r="P195" s="2"/>
      <c r="Q195" s="2"/>
      <c r="R195" s="38"/>
      <c r="S195" s="2"/>
      <c r="T195" s="2"/>
    </row>
    <row r="196" spans="1:20" s="5" customFormat="1" x14ac:dyDescent="0.2">
      <c r="A196" s="45" t="str">
        <f t="shared" ref="A196:A259" si="12">CONCATENATE(E196,"/",F196)</f>
        <v>14/4.5</v>
      </c>
      <c r="B196" s="19" t="s">
        <v>162</v>
      </c>
      <c r="C196" s="19" t="s">
        <v>76</v>
      </c>
      <c r="D196" s="19" t="s">
        <v>76</v>
      </c>
      <c r="E196" s="19">
        <v>14</v>
      </c>
      <c r="F196" s="19">
        <v>4.5</v>
      </c>
      <c r="G196" s="2"/>
      <c r="H196" s="39" t="s">
        <v>88</v>
      </c>
      <c r="I196" s="2"/>
      <c r="J196" s="38">
        <v>45904</v>
      </c>
      <c r="K196" s="2">
        <v>4</v>
      </c>
      <c r="L196" s="2">
        <v>219.56</v>
      </c>
      <c r="M196" s="2">
        <v>7.2</v>
      </c>
      <c r="N196" s="2">
        <f t="shared" si="11"/>
        <v>212.36</v>
      </c>
      <c r="O196" s="2"/>
      <c r="P196" s="2"/>
      <c r="Q196" s="2"/>
      <c r="R196" s="38"/>
      <c r="S196" s="2"/>
      <c r="T196" s="2"/>
    </row>
    <row r="197" spans="1:20" s="5" customFormat="1" x14ac:dyDescent="0.2">
      <c r="A197" s="45" t="str">
        <f t="shared" si="12"/>
        <v>8/5</v>
      </c>
      <c r="B197" s="19" t="s">
        <v>84</v>
      </c>
      <c r="C197" s="19" t="s">
        <v>76</v>
      </c>
      <c r="D197" s="19" t="s">
        <v>76</v>
      </c>
      <c r="E197" s="19">
        <v>8</v>
      </c>
      <c r="F197" s="19">
        <v>5</v>
      </c>
      <c r="G197" s="2"/>
      <c r="H197" s="39" t="s">
        <v>88</v>
      </c>
      <c r="I197" s="2"/>
      <c r="J197" s="38">
        <v>45905</v>
      </c>
      <c r="K197" s="2">
        <v>3</v>
      </c>
      <c r="L197" s="2">
        <v>115.05000000000001</v>
      </c>
      <c r="M197" s="2">
        <v>2.4000000000000004</v>
      </c>
      <c r="N197" s="2">
        <f t="shared" si="11"/>
        <v>112.65</v>
      </c>
      <c r="O197" s="2"/>
      <c r="P197" s="2"/>
      <c r="Q197" s="2"/>
      <c r="R197" s="38"/>
      <c r="S197" s="2"/>
      <c r="T197" s="2"/>
    </row>
    <row r="198" spans="1:20" s="5" customFormat="1" x14ac:dyDescent="0.2">
      <c r="A198" s="45" t="str">
        <f t="shared" si="12"/>
        <v>8/5</v>
      </c>
      <c r="B198" s="19" t="s">
        <v>84</v>
      </c>
      <c r="C198" s="19" t="s">
        <v>76</v>
      </c>
      <c r="D198" s="19" t="s">
        <v>76</v>
      </c>
      <c r="E198" s="19">
        <v>8</v>
      </c>
      <c r="F198" s="19">
        <v>5</v>
      </c>
      <c r="G198" s="2"/>
      <c r="H198" s="39" t="s">
        <v>88</v>
      </c>
      <c r="I198" s="2"/>
      <c r="J198" s="38">
        <v>45905</v>
      </c>
      <c r="K198" s="2">
        <v>8</v>
      </c>
      <c r="L198" s="2">
        <v>304.07000000000005</v>
      </c>
      <c r="M198" s="2">
        <v>7.2</v>
      </c>
      <c r="N198" s="2">
        <f t="shared" si="11"/>
        <v>296.87000000000006</v>
      </c>
      <c r="O198" s="2"/>
      <c r="P198" s="2"/>
      <c r="Q198" s="2"/>
      <c r="R198" s="38"/>
      <c r="S198" s="2"/>
      <c r="T198" s="2"/>
    </row>
    <row r="199" spans="1:20" s="5" customFormat="1" x14ac:dyDescent="0.2">
      <c r="A199" s="45" t="str">
        <f t="shared" si="12"/>
        <v>18/7</v>
      </c>
      <c r="B199" s="19" t="s">
        <v>163</v>
      </c>
      <c r="C199" s="19" t="s">
        <v>76</v>
      </c>
      <c r="D199" s="19" t="s">
        <v>76</v>
      </c>
      <c r="E199" s="19">
        <v>18</v>
      </c>
      <c r="F199" s="19" t="s">
        <v>19</v>
      </c>
      <c r="G199" s="2"/>
      <c r="H199" s="39" t="s">
        <v>88</v>
      </c>
      <c r="I199" s="2"/>
      <c r="J199" s="38">
        <v>45905</v>
      </c>
      <c r="K199" s="2">
        <v>3</v>
      </c>
      <c r="L199" s="2">
        <v>127.38</v>
      </c>
      <c r="M199" s="2">
        <v>5.4</v>
      </c>
      <c r="N199" s="2">
        <f t="shared" si="11"/>
        <v>121.97999999999999</v>
      </c>
      <c r="O199" s="2"/>
      <c r="P199" s="2"/>
      <c r="Q199" s="2"/>
      <c r="R199" s="38"/>
      <c r="S199" s="2"/>
      <c r="T199" s="2"/>
    </row>
    <row r="200" spans="1:20" s="5" customFormat="1" x14ac:dyDescent="0.2">
      <c r="A200" s="45" t="str">
        <f t="shared" si="12"/>
        <v>18/4.5</v>
      </c>
      <c r="B200" s="19" t="s">
        <v>162</v>
      </c>
      <c r="C200" s="19" t="s">
        <v>76</v>
      </c>
      <c r="D200" s="19" t="s">
        <v>76</v>
      </c>
      <c r="E200" s="19">
        <v>18</v>
      </c>
      <c r="F200" s="19">
        <v>4.5</v>
      </c>
      <c r="G200" s="2"/>
      <c r="H200" s="39" t="s">
        <v>88</v>
      </c>
      <c r="I200" s="2"/>
      <c r="J200" s="38">
        <v>45905</v>
      </c>
      <c r="K200" s="2">
        <v>2</v>
      </c>
      <c r="L200" s="2">
        <v>88.949999999999989</v>
      </c>
      <c r="M200" s="2">
        <v>3.6</v>
      </c>
      <c r="N200" s="2">
        <f t="shared" si="11"/>
        <v>85.35</v>
      </c>
      <c r="O200" s="2"/>
      <c r="P200" s="2"/>
      <c r="Q200" s="2"/>
      <c r="R200" s="38"/>
      <c r="S200" s="2"/>
      <c r="T200" s="2"/>
    </row>
    <row r="201" spans="1:20" s="5" customFormat="1" x14ac:dyDescent="0.2">
      <c r="A201" s="45" t="str">
        <f t="shared" si="12"/>
        <v>16/5</v>
      </c>
      <c r="B201" s="19" t="s">
        <v>84</v>
      </c>
      <c r="C201" s="19" t="s">
        <v>76</v>
      </c>
      <c r="D201" s="19" t="s">
        <v>76</v>
      </c>
      <c r="E201" s="19">
        <v>16</v>
      </c>
      <c r="F201" s="19">
        <v>5</v>
      </c>
      <c r="G201" s="2"/>
      <c r="H201" s="39" t="s">
        <v>88</v>
      </c>
      <c r="I201" s="2"/>
      <c r="J201" s="38">
        <v>45905</v>
      </c>
      <c r="K201" s="2">
        <v>11</v>
      </c>
      <c r="L201" s="2">
        <v>525.06000000000006</v>
      </c>
      <c r="M201" s="2">
        <v>17.940000000000001</v>
      </c>
      <c r="N201" s="2">
        <f t="shared" si="11"/>
        <v>507.12000000000006</v>
      </c>
      <c r="O201" s="2"/>
      <c r="P201" s="2"/>
      <c r="Q201" s="2"/>
      <c r="R201" s="38"/>
      <c r="S201" s="2"/>
      <c r="T201" s="2"/>
    </row>
    <row r="202" spans="1:20" s="5" customFormat="1" x14ac:dyDescent="0.2">
      <c r="A202" s="45" t="str">
        <f t="shared" si="12"/>
        <v>16/5</v>
      </c>
      <c r="B202" s="19" t="s">
        <v>84</v>
      </c>
      <c r="C202" s="19" t="s">
        <v>76</v>
      </c>
      <c r="D202" s="19" t="s">
        <v>76</v>
      </c>
      <c r="E202" s="19">
        <v>16</v>
      </c>
      <c r="F202" s="19">
        <v>5</v>
      </c>
      <c r="G202" s="2"/>
      <c r="H202" s="39" t="s">
        <v>88</v>
      </c>
      <c r="I202" s="2"/>
      <c r="J202" s="38">
        <v>45905</v>
      </c>
      <c r="K202" s="2">
        <v>2</v>
      </c>
      <c r="L202" s="2">
        <v>103.35</v>
      </c>
      <c r="M202" s="2">
        <v>4</v>
      </c>
      <c r="N202" s="2">
        <f t="shared" si="11"/>
        <v>99.35</v>
      </c>
      <c r="O202" s="2"/>
      <c r="P202" s="2"/>
      <c r="Q202" s="2"/>
      <c r="R202" s="38"/>
      <c r="S202" s="2"/>
      <c r="T202" s="2"/>
    </row>
    <row r="203" spans="1:20" s="5" customFormat="1" x14ac:dyDescent="0.2">
      <c r="A203" s="45" t="str">
        <f t="shared" si="12"/>
        <v>16/8</v>
      </c>
      <c r="B203" s="19" t="s">
        <v>163</v>
      </c>
      <c r="C203" s="19" t="s">
        <v>76</v>
      </c>
      <c r="D203" s="19" t="s">
        <v>76</v>
      </c>
      <c r="E203" s="19">
        <v>16</v>
      </c>
      <c r="F203" s="19" t="s">
        <v>18</v>
      </c>
      <c r="G203" s="2"/>
      <c r="H203" s="39" t="s">
        <v>88</v>
      </c>
      <c r="I203" s="2"/>
      <c r="J203" s="38">
        <v>45905</v>
      </c>
      <c r="K203" s="2">
        <v>5</v>
      </c>
      <c r="L203" s="2">
        <v>275.58999999999997</v>
      </c>
      <c r="M203" s="2">
        <v>9.76</v>
      </c>
      <c r="N203" s="2">
        <f t="shared" si="11"/>
        <v>265.83</v>
      </c>
      <c r="O203" s="2"/>
      <c r="P203" s="2"/>
      <c r="Q203" s="2"/>
      <c r="R203" s="38"/>
      <c r="S203" s="2"/>
      <c r="T203" s="2"/>
    </row>
    <row r="204" spans="1:20" s="5" customFormat="1" x14ac:dyDescent="0.2">
      <c r="A204" s="45" t="str">
        <f t="shared" si="12"/>
        <v>10/15</v>
      </c>
      <c r="B204" s="19" t="s">
        <v>188</v>
      </c>
      <c r="C204" s="19" t="s">
        <v>76</v>
      </c>
      <c r="D204" s="19" t="s">
        <v>76</v>
      </c>
      <c r="E204" s="19">
        <v>10</v>
      </c>
      <c r="F204" s="19">
        <v>15</v>
      </c>
      <c r="G204" s="2"/>
      <c r="H204" s="39" t="s">
        <v>88</v>
      </c>
      <c r="I204" s="2"/>
      <c r="J204" s="38">
        <v>45905</v>
      </c>
      <c r="K204" s="2">
        <v>5</v>
      </c>
      <c r="L204" s="2">
        <v>269.65999999999997</v>
      </c>
      <c r="M204" s="2">
        <v>9.73</v>
      </c>
      <c r="N204" s="2">
        <f t="shared" si="11"/>
        <v>259.92999999999995</v>
      </c>
      <c r="O204" s="2"/>
      <c r="P204" s="2"/>
      <c r="Q204" s="2"/>
      <c r="R204" s="38"/>
      <c r="S204" s="2"/>
      <c r="T204" s="2"/>
    </row>
    <row r="205" spans="1:20" s="5" customFormat="1" x14ac:dyDescent="0.2">
      <c r="A205" s="45" t="str">
        <f t="shared" si="12"/>
        <v>17/5.5-6</v>
      </c>
      <c r="B205" s="19" t="s">
        <v>92</v>
      </c>
      <c r="C205" s="19" t="s">
        <v>76</v>
      </c>
      <c r="D205" s="19" t="s">
        <v>76</v>
      </c>
      <c r="E205" s="19">
        <v>17</v>
      </c>
      <c r="F205" s="19" t="s">
        <v>5</v>
      </c>
      <c r="G205" s="2"/>
      <c r="H205" s="39" t="s">
        <v>88</v>
      </c>
      <c r="I205" s="2"/>
      <c r="J205" s="38">
        <v>45905</v>
      </c>
      <c r="K205" s="2">
        <v>2</v>
      </c>
      <c r="L205" s="2">
        <v>99.85</v>
      </c>
      <c r="M205" s="2">
        <v>1.9</v>
      </c>
      <c r="N205" s="2">
        <f t="shared" si="11"/>
        <v>97.949999999999989</v>
      </c>
      <c r="O205" s="2"/>
      <c r="P205" s="2"/>
      <c r="Q205" s="2"/>
      <c r="R205" s="38"/>
      <c r="S205" s="2"/>
      <c r="T205" s="2"/>
    </row>
    <row r="206" spans="1:20" s="5" customFormat="1" x14ac:dyDescent="0.2">
      <c r="A206" s="45" t="str">
        <f t="shared" si="12"/>
        <v>14/5</v>
      </c>
      <c r="B206" s="19" t="s">
        <v>84</v>
      </c>
      <c r="C206" s="19" t="s">
        <v>76</v>
      </c>
      <c r="D206" s="19" t="s">
        <v>76</v>
      </c>
      <c r="E206" s="19">
        <v>14</v>
      </c>
      <c r="F206" s="18">
        <v>5</v>
      </c>
      <c r="G206" s="2"/>
      <c r="H206" s="39" t="s">
        <v>88</v>
      </c>
      <c r="I206" s="2"/>
      <c r="J206" s="38">
        <v>45905</v>
      </c>
      <c r="K206" s="2">
        <v>13</v>
      </c>
      <c r="L206" s="2">
        <v>607.51</v>
      </c>
      <c r="M206" s="2">
        <v>20.8</v>
      </c>
      <c r="N206" s="2">
        <f t="shared" si="11"/>
        <v>586.71</v>
      </c>
      <c r="O206" s="2"/>
      <c r="P206" s="2"/>
      <c r="Q206" s="2"/>
      <c r="R206" s="38"/>
      <c r="S206" s="2"/>
      <c r="T206" s="2"/>
    </row>
    <row r="207" spans="1:20" s="5" customFormat="1" x14ac:dyDescent="0.2">
      <c r="A207" s="45" t="str">
        <f t="shared" si="12"/>
        <v>14/5</v>
      </c>
      <c r="B207" s="19" t="s">
        <v>84</v>
      </c>
      <c r="C207" s="19" t="s">
        <v>76</v>
      </c>
      <c r="D207" s="19" t="s">
        <v>76</v>
      </c>
      <c r="E207" s="19">
        <v>14</v>
      </c>
      <c r="F207" s="18">
        <v>5</v>
      </c>
      <c r="G207" s="2"/>
      <c r="H207" s="39" t="s">
        <v>88</v>
      </c>
      <c r="I207" s="2"/>
      <c r="J207" s="38">
        <v>45905</v>
      </c>
      <c r="K207" s="2">
        <v>3</v>
      </c>
      <c r="L207" s="2">
        <v>154.13</v>
      </c>
      <c r="M207" s="2">
        <v>5.4</v>
      </c>
      <c r="N207" s="2">
        <f t="shared" si="11"/>
        <v>148.72999999999999</v>
      </c>
      <c r="O207" s="2"/>
      <c r="P207" s="2"/>
      <c r="Q207" s="2"/>
      <c r="R207" s="38"/>
      <c r="S207" s="2"/>
      <c r="T207" s="2"/>
    </row>
    <row r="208" spans="1:20" s="5" customFormat="1" x14ac:dyDescent="0.2">
      <c r="A208" s="45" t="str">
        <f t="shared" si="12"/>
        <v>12/5</v>
      </c>
      <c r="B208" s="19" t="s">
        <v>84</v>
      </c>
      <c r="C208" s="19" t="s">
        <v>76</v>
      </c>
      <c r="D208" s="19" t="s">
        <v>76</v>
      </c>
      <c r="E208" s="19">
        <v>12</v>
      </c>
      <c r="F208" s="19">
        <v>5</v>
      </c>
      <c r="G208" s="2"/>
      <c r="H208" s="39" t="s">
        <v>88</v>
      </c>
      <c r="I208" s="2"/>
      <c r="J208" s="38">
        <v>45905</v>
      </c>
      <c r="K208" s="2">
        <v>7</v>
      </c>
      <c r="L208" s="2">
        <v>367.21</v>
      </c>
      <c r="M208" s="2">
        <v>10.99</v>
      </c>
      <c r="N208" s="2">
        <f t="shared" si="11"/>
        <v>356.21999999999997</v>
      </c>
      <c r="O208" s="2"/>
      <c r="P208" s="2"/>
      <c r="Q208" s="2"/>
      <c r="R208" s="38"/>
      <c r="S208" s="2"/>
      <c r="T208" s="2"/>
    </row>
    <row r="209" spans="1:21" s="5" customFormat="1" x14ac:dyDescent="0.2">
      <c r="A209" s="45" t="str">
        <f t="shared" si="12"/>
        <v>2/5</v>
      </c>
      <c r="B209" s="19" t="s">
        <v>86</v>
      </c>
      <c r="C209" s="19" t="s">
        <v>76</v>
      </c>
      <c r="D209" s="19" t="s">
        <v>76</v>
      </c>
      <c r="E209" s="19">
        <v>2</v>
      </c>
      <c r="F209" s="19">
        <v>5</v>
      </c>
      <c r="G209" s="2"/>
      <c r="H209" s="39" t="s">
        <v>88</v>
      </c>
      <c r="I209" s="2"/>
      <c r="J209" s="38">
        <v>45905</v>
      </c>
      <c r="K209" s="2">
        <v>7</v>
      </c>
      <c r="L209" s="2">
        <v>103.79</v>
      </c>
      <c r="M209" s="2">
        <v>1.4000000000000001</v>
      </c>
      <c r="N209" s="2">
        <f t="shared" si="11"/>
        <v>102.39</v>
      </c>
      <c r="O209" s="2"/>
      <c r="P209" s="2"/>
      <c r="Q209" s="2"/>
      <c r="R209" s="38"/>
      <c r="S209" s="2"/>
      <c r="T209" s="2"/>
    </row>
    <row r="210" spans="1:21" s="5" customFormat="1" x14ac:dyDescent="0.2">
      <c r="A210" s="45" t="str">
        <f t="shared" si="12"/>
        <v>2/5</v>
      </c>
      <c r="B210" s="19" t="s">
        <v>86</v>
      </c>
      <c r="C210" s="19" t="s">
        <v>76</v>
      </c>
      <c r="D210" s="19" t="s">
        <v>76</v>
      </c>
      <c r="E210" s="19">
        <v>2</v>
      </c>
      <c r="F210" s="19">
        <v>5</v>
      </c>
      <c r="G210" s="2"/>
      <c r="H210" s="39" t="s">
        <v>88</v>
      </c>
      <c r="I210" s="2"/>
      <c r="J210" s="38">
        <v>45905</v>
      </c>
      <c r="K210" s="2">
        <v>7</v>
      </c>
      <c r="L210" s="2">
        <v>109.82000000000001</v>
      </c>
      <c r="M210" s="2">
        <v>1.4000000000000001</v>
      </c>
      <c r="N210" s="2">
        <f t="shared" si="11"/>
        <v>108.42</v>
      </c>
      <c r="O210" s="2"/>
      <c r="P210" s="2"/>
      <c r="Q210" s="2"/>
      <c r="R210" s="38"/>
      <c r="S210" s="2"/>
      <c r="T210" s="2"/>
    </row>
    <row r="211" spans="1:21" s="5" customFormat="1" x14ac:dyDescent="0.2">
      <c r="A211" s="45" t="str">
        <f t="shared" si="12"/>
        <v>2.5/5</v>
      </c>
      <c r="B211" s="19" t="s">
        <v>83</v>
      </c>
      <c r="C211" s="19" t="s">
        <v>76</v>
      </c>
      <c r="D211" s="19" t="s">
        <v>76</v>
      </c>
      <c r="E211" s="19">
        <v>2.5</v>
      </c>
      <c r="F211" s="19">
        <v>5</v>
      </c>
      <c r="G211" s="2"/>
      <c r="H211" s="39" t="s">
        <v>88</v>
      </c>
      <c r="I211" s="2"/>
      <c r="J211" s="38">
        <v>45905</v>
      </c>
      <c r="K211" s="2">
        <v>9</v>
      </c>
      <c r="L211" s="2">
        <v>97</v>
      </c>
      <c r="M211" s="2">
        <v>1.8</v>
      </c>
      <c r="N211" s="2">
        <f t="shared" si="11"/>
        <v>95.2</v>
      </c>
      <c r="O211" s="2"/>
      <c r="P211" s="2"/>
      <c r="Q211" s="2"/>
      <c r="R211" s="38"/>
      <c r="S211" s="2"/>
      <c r="T211" s="2"/>
    </row>
    <row r="212" spans="1:21" s="5" customFormat="1" x14ac:dyDescent="0.2">
      <c r="A212" s="45" t="str">
        <f t="shared" si="12"/>
        <v>2.5/5</v>
      </c>
      <c r="B212" s="19" t="s">
        <v>83</v>
      </c>
      <c r="C212" s="19" t="s">
        <v>76</v>
      </c>
      <c r="D212" s="19" t="s">
        <v>76</v>
      </c>
      <c r="E212" s="19">
        <v>2.5</v>
      </c>
      <c r="F212" s="19">
        <v>5</v>
      </c>
      <c r="G212" s="2"/>
      <c r="H212" s="39" t="s">
        <v>88</v>
      </c>
      <c r="I212" s="2"/>
      <c r="J212" s="38">
        <v>45905</v>
      </c>
      <c r="K212" s="2">
        <v>8</v>
      </c>
      <c r="L212" s="2">
        <v>95.639999999999986</v>
      </c>
      <c r="M212" s="2">
        <v>1.6</v>
      </c>
      <c r="N212" s="2">
        <f t="shared" si="11"/>
        <v>94.039999999999992</v>
      </c>
      <c r="O212" s="2"/>
      <c r="P212" s="2"/>
      <c r="Q212" s="2"/>
      <c r="R212" s="38"/>
      <c r="S212" s="2"/>
      <c r="T212" s="2"/>
    </row>
    <row r="213" spans="1:21" s="5" customFormat="1" x14ac:dyDescent="0.2">
      <c r="A213" s="45" t="str">
        <f t="shared" si="12"/>
        <v>9/5</v>
      </c>
      <c r="B213" s="19" t="s">
        <v>84</v>
      </c>
      <c r="C213" s="19" t="s">
        <v>76</v>
      </c>
      <c r="D213" s="19" t="s">
        <v>76</v>
      </c>
      <c r="E213" s="19" t="s">
        <v>17</v>
      </c>
      <c r="F213" s="19">
        <v>5</v>
      </c>
      <c r="G213" s="2"/>
      <c r="H213" s="2"/>
      <c r="I213" s="2"/>
      <c r="J213" s="38"/>
      <c r="K213" s="2"/>
      <c r="L213" s="2"/>
      <c r="M213" s="2"/>
      <c r="N213" s="2"/>
      <c r="O213" s="2" t="s">
        <v>91</v>
      </c>
      <c r="P213" s="2"/>
      <c r="Q213" s="2"/>
      <c r="R213" s="38">
        <v>45904</v>
      </c>
      <c r="S213" s="2">
        <v>4</v>
      </c>
      <c r="T213" s="2">
        <v>100</v>
      </c>
    </row>
    <row r="214" spans="1:21" s="5" customFormat="1" x14ac:dyDescent="0.2">
      <c r="A214" s="45" t="str">
        <f t="shared" si="12"/>
        <v>9/5</v>
      </c>
      <c r="B214" s="19" t="s">
        <v>84</v>
      </c>
      <c r="C214" s="19" t="s">
        <v>76</v>
      </c>
      <c r="D214" s="19" t="s">
        <v>76</v>
      </c>
      <c r="E214" s="19" t="s">
        <v>17</v>
      </c>
      <c r="F214" s="19">
        <v>5</v>
      </c>
      <c r="G214" s="2"/>
      <c r="H214" s="2"/>
      <c r="I214" s="2"/>
      <c r="J214" s="38"/>
      <c r="K214" s="2"/>
      <c r="L214" s="2"/>
      <c r="M214" s="2"/>
      <c r="N214" s="2"/>
      <c r="O214" s="2" t="s">
        <v>91</v>
      </c>
      <c r="P214" s="2"/>
      <c r="Q214" s="2"/>
      <c r="R214" s="38">
        <v>45904</v>
      </c>
      <c r="S214" s="2">
        <v>5</v>
      </c>
      <c r="T214" s="2">
        <v>125</v>
      </c>
    </row>
    <row r="215" spans="1:21" s="5" customFormat="1" x14ac:dyDescent="0.2">
      <c r="A215" s="45" t="str">
        <f t="shared" si="12"/>
        <v>9/5</v>
      </c>
      <c r="B215" s="37" t="s">
        <v>83</v>
      </c>
      <c r="C215" s="37" t="s">
        <v>76</v>
      </c>
      <c r="D215" s="37" t="s">
        <v>76</v>
      </c>
      <c r="E215" s="37" t="s">
        <v>17</v>
      </c>
      <c r="F215" s="19">
        <v>5</v>
      </c>
      <c r="G215" s="39"/>
      <c r="H215" s="39"/>
      <c r="I215" s="39"/>
      <c r="J215" s="46"/>
      <c r="K215" s="39"/>
      <c r="L215" s="39"/>
      <c r="M215" s="39"/>
      <c r="N215" s="39"/>
      <c r="O215" s="39" t="s">
        <v>91</v>
      </c>
      <c r="P215" s="39"/>
      <c r="Q215" s="39"/>
      <c r="R215" s="46">
        <v>45904</v>
      </c>
      <c r="S215" s="39">
        <v>11</v>
      </c>
      <c r="T215" s="39">
        <v>275</v>
      </c>
    </row>
    <row r="216" spans="1:21" s="5" customFormat="1" x14ac:dyDescent="0.2">
      <c r="A216" s="49" t="str">
        <f t="shared" si="12"/>
        <v>20/6</v>
      </c>
      <c r="B216" s="19" t="s">
        <v>86</v>
      </c>
      <c r="C216" s="19" t="s">
        <v>76</v>
      </c>
      <c r="D216" s="19" t="s">
        <v>76</v>
      </c>
      <c r="E216" s="19">
        <v>20</v>
      </c>
      <c r="F216" s="19">
        <v>6</v>
      </c>
      <c r="G216" s="2"/>
      <c r="H216" s="2"/>
      <c r="I216" s="2"/>
      <c r="J216" s="38"/>
      <c r="K216" s="2"/>
      <c r="L216" s="2"/>
      <c r="M216" s="2"/>
      <c r="N216" s="2"/>
      <c r="O216" s="2" t="s">
        <v>91</v>
      </c>
      <c r="P216" s="2"/>
      <c r="Q216" s="2"/>
      <c r="R216" s="38">
        <v>45904</v>
      </c>
      <c r="S216" s="2">
        <v>13</v>
      </c>
      <c r="T216" s="2">
        <v>325</v>
      </c>
      <c r="U216" s="48"/>
    </row>
    <row r="217" spans="1:21" s="5" customFormat="1" x14ac:dyDescent="0.2">
      <c r="A217" s="49" t="str">
        <f t="shared" si="12"/>
        <v>10/5</v>
      </c>
      <c r="B217" s="19" t="s">
        <v>83</v>
      </c>
      <c r="C217" s="19" t="s">
        <v>76</v>
      </c>
      <c r="D217" s="19" t="s">
        <v>76</v>
      </c>
      <c r="E217" s="19" t="s">
        <v>16</v>
      </c>
      <c r="F217" s="19">
        <v>5</v>
      </c>
      <c r="G217" s="2"/>
      <c r="H217" s="2"/>
      <c r="I217" s="2"/>
      <c r="J217" s="38"/>
      <c r="K217" s="2"/>
      <c r="L217" s="2"/>
      <c r="M217" s="2"/>
      <c r="N217" s="2"/>
      <c r="O217" s="2" t="s">
        <v>91</v>
      </c>
      <c r="P217" s="2"/>
      <c r="Q217" s="2"/>
      <c r="R217" s="38">
        <v>45904</v>
      </c>
      <c r="S217" s="2">
        <v>16</v>
      </c>
      <c r="T217" s="2">
        <v>400</v>
      </c>
      <c r="U217" s="48"/>
    </row>
    <row r="218" spans="1:21" s="5" customFormat="1" x14ac:dyDescent="0.2">
      <c r="A218" s="49" t="str">
        <f t="shared" si="12"/>
        <v>2.5/5</v>
      </c>
      <c r="B218" s="19" t="s">
        <v>168</v>
      </c>
      <c r="C218" s="19" t="s">
        <v>76</v>
      </c>
      <c r="D218" s="19" t="s">
        <v>76</v>
      </c>
      <c r="E218" s="19">
        <v>2.5</v>
      </c>
      <c r="F218" s="19">
        <v>5</v>
      </c>
      <c r="G218" s="2"/>
      <c r="H218" s="2"/>
      <c r="I218" s="2"/>
      <c r="J218" s="38"/>
      <c r="K218" s="2"/>
      <c r="L218" s="2"/>
      <c r="M218" s="2"/>
      <c r="N218" s="2"/>
      <c r="O218" s="2" t="s">
        <v>91</v>
      </c>
      <c r="P218" s="2"/>
      <c r="Q218" s="2"/>
      <c r="R218" s="38">
        <v>45904</v>
      </c>
      <c r="S218" s="2">
        <v>15</v>
      </c>
      <c r="T218" s="2">
        <v>300</v>
      </c>
      <c r="U218" s="48"/>
    </row>
    <row r="219" spans="1:21" x14ac:dyDescent="0.2">
      <c r="A219" s="49" t="str">
        <f t="shared" si="12"/>
        <v>4/5</v>
      </c>
      <c r="B219" s="19" t="s">
        <v>83</v>
      </c>
      <c r="C219" s="19" t="s">
        <v>76</v>
      </c>
      <c r="D219" s="19" t="s">
        <v>76</v>
      </c>
      <c r="E219" s="19" t="s">
        <v>26</v>
      </c>
      <c r="F219" s="19">
        <v>5</v>
      </c>
      <c r="G219" s="2"/>
      <c r="H219" s="2"/>
      <c r="I219" s="2"/>
      <c r="J219" s="38"/>
      <c r="K219" s="2"/>
      <c r="L219" s="2"/>
      <c r="M219" s="2"/>
      <c r="N219" s="2"/>
      <c r="O219" s="2" t="s">
        <v>91</v>
      </c>
      <c r="P219" s="2"/>
      <c r="Q219" s="2"/>
      <c r="R219" s="38">
        <v>45904</v>
      </c>
      <c r="S219" s="2">
        <v>2</v>
      </c>
      <c r="T219" s="2">
        <v>40</v>
      </c>
    </row>
    <row r="220" spans="1:21" x14ac:dyDescent="0.2">
      <c r="A220" s="49" t="str">
        <f t="shared" si="12"/>
        <v>4/5</v>
      </c>
      <c r="B220" s="19" t="s">
        <v>86</v>
      </c>
      <c r="C220" s="19" t="s">
        <v>76</v>
      </c>
      <c r="D220" s="19" t="s">
        <v>76</v>
      </c>
      <c r="E220" s="19">
        <v>4</v>
      </c>
      <c r="F220" s="19">
        <v>5</v>
      </c>
      <c r="G220" s="2"/>
      <c r="H220" s="2"/>
      <c r="I220" s="2"/>
      <c r="J220" s="38"/>
      <c r="K220" s="2"/>
      <c r="L220" s="2"/>
      <c r="M220" s="2"/>
      <c r="N220" s="2"/>
      <c r="O220" s="2" t="s">
        <v>91</v>
      </c>
      <c r="P220" s="2"/>
      <c r="Q220" s="2"/>
      <c r="R220" s="38">
        <v>45904</v>
      </c>
      <c r="S220" s="2">
        <v>2</v>
      </c>
      <c r="T220" s="2">
        <v>40</v>
      </c>
    </row>
    <row r="221" spans="1:21" x14ac:dyDescent="0.2">
      <c r="A221" s="49" t="str">
        <f t="shared" si="12"/>
        <v>20/6</v>
      </c>
      <c r="B221" s="19" t="s">
        <v>86</v>
      </c>
      <c r="C221" s="19" t="s">
        <v>76</v>
      </c>
      <c r="D221" s="19" t="s">
        <v>76</v>
      </c>
      <c r="E221" s="19">
        <v>20</v>
      </c>
      <c r="F221" s="19">
        <v>6</v>
      </c>
      <c r="G221" s="2"/>
      <c r="H221" s="2"/>
      <c r="I221" s="2"/>
      <c r="J221" s="38"/>
      <c r="K221" s="2"/>
      <c r="L221" s="2"/>
      <c r="M221" s="2"/>
      <c r="N221" s="2"/>
      <c r="O221" s="2" t="s">
        <v>91</v>
      </c>
      <c r="P221" s="2"/>
      <c r="Q221" s="2"/>
      <c r="R221" s="38">
        <v>45904</v>
      </c>
      <c r="S221" s="2">
        <v>8</v>
      </c>
      <c r="T221" s="2">
        <v>217.9</v>
      </c>
    </row>
    <row r="222" spans="1:21" x14ac:dyDescent="0.2">
      <c r="A222" s="49" t="str">
        <f t="shared" si="12"/>
        <v>4/5</v>
      </c>
      <c r="B222" s="19" t="s">
        <v>86</v>
      </c>
      <c r="C222" s="19" t="s">
        <v>76</v>
      </c>
      <c r="D222" s="19" t="s">
        <v>76</v>
      </c>
      <c r="E222" s="19">
        <v>4</v>
      </c>
      <c r="F222" s="19">
        <v>5</v>
      </c>
      <c r="G222" s="2"/>
      <c r="H222" s="2"/>
      <c r="I222" s="2"/>
      <c r="J222" s="38"/>
      <c r="K222" s="2"/>
      <c r="L222" s="2"/>
      <c r="M222" s="2"/>
      <c r="N222" s="2"/>
      <c r="O222" s="2" t="s">
        <v>91</v>
      </c>
      <c r="P222" s="2"/>
      <c r="Q222" s="2"/>
      <c r="R222" s="38">
        <v>45904</v>
      </c>
      <c r="S222" s="2">
        <v>5</v>
      </c>
      <c r="T222" s="2">
        <v>100</v>
      </c>
    </row>
    <row r="223" spans="1:21" x14ac:dyDescent="0.2">
      <c r="A223" s="49" t="str">
        <f t="shared" si="12"/>
        <v>4/5</v>
      </c>
      <c r="B223" s="19" t="s">
        <v>86</v>
      </c>
      <c r="C223" s="19" t="s">
        <v>76</v>
      </c>
      <c r="D223" s="19" t="s">
        <v>76</v>
      </c>
      <c r="E223" s="19">
        <v>4</v>
      </c>
      <c r="F223" s="19">
        <v>5</v>
      </c>
      <c r="G223" s="2"/>
      <c r="H223" s="2"/>
      <c r="I223" s="2"/>
      <c r="J223" s="38"/>
      <c r="K223" s="2"/>
      <c r="L223" s="2"/>
      <c r="M223" s="2"/>
      <c r="N223" s="2"/>
      <c r="O223" s="2" t="s">
        <v>91</v>
      </c>
      <c r="P223" s="2"/>
      <c r="Q223" s="2"/>
      <c r="R223" s="38">
        <v>45904</v>
      </c>
      <c r="S223" s="2">
        <v>5</v>
      </c>
      <c r="T223" s="2">
        <v>100</v>
      </c>
    </row>
    <row r="224" spans="1:21" x14ac:dyDescent="0.2">
      <c r="A224" s="49" t="str">
        <f t="shared" si="12"/>
        <v>24/5</v>
      </c>
      <c r="B224" s="19" t="s">
        <v>84</v>
      </c>
      <c r="C224" s="19" t="s">
        <v>76</v>
      </c>
      <c r="D224" s="19" t="s">
        <v>76</v>
      </c>
      <c r="E224" s="19" t="s">
        <v>32</v>
      </c>
      <c r="F224" s="19">
        <v>5</v>
      </c>
      <c r="G224" s="2"/>
      <c r="H224" s="2"/>
      <c r="I224" s="2"/>
      <c r="J224" s="38"/>
      <c r="K224" s="2"/>
      <c r="L224" s="2"/>
      <c r="M224" s="2"/>
      <c r="N224" s="2"/>
      <c r="O224" s="2" t="s">
        <v>91</v>
      </c>
      <c r="P224" s="2"/>
      <c r="Q224" s="2"/>
      <c r="R224" s="38">
        <v>45904</v>
      </c>
      <c r="S224" s="2">
        <v>20</v>
      </c>
      <c r="T224" s="2">
        <v>500</v>
      </c>
    </row>
    <row r="225" spans="1:20" x14ac:dyDescent="0.2">
      <c r="A225" s="49" t="str">
        <f t="shared" si="12"/>
        <v>9/5</v>
      </c>
      <c r="B225" s="19" t="s">
        <v>84</v>
      </c>
      <c r="C225" s="19" t="s">
        <v>76</v>
      </c>
      <c r="D225" s="19" t="s">
        <v>76</v>
      </c>
      <c r="E225" s="19" t="s">
        <v>17</v>
      </c>
      <c r="F225" s="19">
        <v>5</v>
      </c>
      <c r="G225" s="2"/>
      <c r="H225" s="2"/>
      <c r="I225" s="2"/>
      <c r="J225" s="38"/>
      <c r="K225" s="2"/>
      <c r="L225" s="2"/>
      <c r="M225" s="2"/>
      <c r="N225" s="2"/>
      <c r="O225" s="2" t="s">
        <v>91</v>
      </c>
      <c r="P225" s="2"/>
      <c r="Q225" s="2"/>
      <c r="R225" s="38">
        <v>45904</v>
      </c>
      <c r="S225" s="2">
        <v>1</v>
      </c>
      <c r="T225" s="2">
        <v>25</v>
      </c>
    </row>
    <row r="226" spans="1:20" x14ac:dyDescent="0.2">
      <c r="A226" s="49" t="str">
        <f t="shared" si="12"/>
        <v>7/4</v>
      </c>
      <c r="B226" s="19" t="s">
        <v>187</v>
      </c>
      <c r="C226" s="19" t="s">
        <v>76</v>
      </c>
      <c r="D226" s="19" t="s">
        <v>76</v>
      </c>
      <c r="E226" s="19">
        <v>7</v>
      </c>
      <c r="F226" s="19">
        <v>4</v>
      </c>
      <c r="G226" s="2"/>
      <c r="H226" s="2"/>
      <c r="I226" s="2"/>
      <c r="J226" s="38"/>
      <c r="K226" s="2"/>
      <c r="L226" s="2"/>
      <c r="M226" s="2"/>
      <c r="N226" s="2"/>
      <c r="O226" s="2" t="s">
        <v>91</v>
      </c>
      <c r="P226" s="2"/>
      <c r="Q226" s="2"/>
      <c r="R226" s="38">
        <v>45905</v>
      </c>
      <c r="S226" s="2">
        <v>8</v>
      </c>
      <c r="T226" s="2">
        <v>195</v>
      </c>
    </row>
    <row r="227" spans="1:20" x14ac:dyDescent="0.2">
      <c r="A227" s="49" t="str">
        <f t="shared" si="12"/>
        <v>7/5</v>
      </c>
      <c r="B227" s="19" t="s">
        <v>84</v>
      </c>
      <c r="C227" s="19" t="s">
        <v>76</v>
      </c>
      <c r="D227" s="19" t="s">
        <v>76</v>
      </c>
      <c r="E227" s="19" t="s">
        <v>19</v>
      </c>
      <c r="F227" s="19">
        <v>5</v>
      </c>
      <c r="G227" s="2"/>
      <c r="H227" s="2"/>
      <c r="I227" s="2"/>
      <c r="J227" s="38"/>
      <c r="K227" s="2"/>
      <c r="L227" s="2"/>
      <c r="M227" s="2"/>
      <c r="N227" s="2"/>
      <c r="O227" s="2" t="s">
        <v>91</v>
      </c>
      <c r="P227" s="2"/>
      <c r="Q227" s="2"/>
      <c r="R227" s="38">
        <v>45905</v>
      </c>
      <c r="S227" s="2">
        <v>3</v>
      </c>
      <c r="T227" s="2">
        <v>75</v>
      </c>
    </row>
    <row r="228" spans="1:20" x14ac:dyDescent="0.2">
      <c r="A228" s="49" t="str">
        <f t="shared" si="12"/>
        <v>7/5</v>
      </c>
      <c r="B228" s="19" t="s">
        <v>189</v>
      </c>
      <c r="C228" s="19" t="s">
        <v>76</v>
      </c>
      <c r="D228" s="19" t="s">
        <v>76</v>
      </c>
      <c r="E228" s="19">
        <v>7</v>
      </c>
      <c r="F228" s="19">
        <v>5</v>
      </c>
      <c r="G228" s="2"/>
      <c r="H228" s="2"/>
      <c r="I228" s="2"/>
      <c r="J228" s="38"/>
      <c r="K228" s="2"/>
      <c r="L228" s="2"/>
      <c r="M228" s="2"/>
      <c r="N228" s="2"/>
      <c r="O228" s="2" t="s">
        <v>91</v>
      </c>
      <c r="P228" s="2"/>
      <c r="Q228" s="2"/>
      <c r="R228" s="38">
        <v>45905</v>
      </c>
      <c r="S228" s="2">
        <v>4</v>
      </c>
      <c r="T228" s="2">
        <v>100</v>
      </c>
    </row>
    <row r="229" spans="1:20" x14ac:dyDescent="0.2">
      <c r="A229" s="49" t="str">
        <f t="shared" si="12"/>
        <v>24/5</v>
      </c>
      <c r="B229" s="19" t="s">
        <v>84</v>
      </c>
      <c r="C229" s="19" t="s">
        <v>76</v>
      </c>
      <c r="D229" s="19" t="s">
        <v>76</v>
      </c>
      <c r="E229" s="19" t="s">
        <v>32</v>
      </c>
      <c r="F229" s="19">
        <v>5</v>
      </c>
      <c r="G229" s="2"/>
      <c r="H229" s="2"/>
      <c r="I229" s="2"/>
      <c r="J229" s="38"/>
      <c r="K229" s="2"/>
      <c r="L229" s="2"/>
      <c r="M229" s="2"/>
      <c r="N229" s="2"/>
      <c r="O229" s="2" t="s">
        <v>91</v>
      </c>
      <c r="P229" s="2"/>
      <c r="Q229" s="2"/>
      <c r="R229" s="38">
        <v>45905</v>
      </c>
      <c r="S229" s="2">
        <v>2</v>
      </c>
      <c r="T229" s="2">
        <v>800</v>
      </c>
    </row>
    <row r="230" spans="1:20" x14ac:dyDescent="0.2">
      <c r="A230" s="49" t="str">
        <f t="shared" si="12"/>
        <v>9/4</v>
      </c>
      <c r="B230" s="19" t="s">
        <v>190</v>
      </c>
      <c r="C230" s="19" t="s">
        <v>76</v>
      </c>
      <c r="D230" s="19" t="s">
        <v>76</v>
      </c>
      <c r="E230" s="19">
        <v>9</v>
      </c>
      <c r="F230" s="19">
        <v>4</v>
      </c>
      <c r="G230" s="2"/>
      <c r="H230" s="2"/>
      <c r="I230" s="2"/>
      <c r="J230" s="38"/>
      <c r="K230" s="2"/>
      <c r="L230" s="2"/>
      <c r="M230" s="2"/>
      <c r="N230" s="2"/>
      <c r="O230" s="2" t="s">
        <v>91</v>
      </c>
      <c r="P230" s="2"/>
      <c r="Q230" s="2"/>
      <c r="R230" s="38">
        <v>45905</v>
      </c>
      <c r="S230" s="2">
        <v>4</v>
      </c>
      <c r="T230" s="2">
        <v>100</v>
      </c>
    </row>
    <row r="231" spans="1:20" x14ac:dyDescent="0.2">
      <c r="A231" s="49" t="str">
        <f t="shared" si="12"/>
        <v>9/5</v>
      </c>
      <c r="B231" s="19" t="s">
        <v>84</v>
      </c>
      <c r="C231" s="19" t="s">
        <v>76</v>
      </c>
      <c r="D231" s="19" t="s">
        <v>76</v>
      </c>
      <c r="E231" s="19" t="s">
        <v>17</v>
      </c>
      <c r="F231" s="19">
        <v>5</v>
      </c>
      <c r="G231" s="2"/>
      <c r="H231" s="2"/>
      <c r="I231" s="2"/>
      <c r="J231" s="38"/>
      <c r="K231" s="2"/>
      <c r="L231" s="2"/>
      <c r="M231" s="2"/>
      <c r="N231" s="2"/>
      <c r="O231" s="2" t="s">
        <v>91</v>
      </c>
      <c r="P231" s="2"/>
      <c r="Q231" s="2"/>
      <c r="R231" s="38">
        <v>45905</v>
      </c>
      <c r="S231" s="2">
        <v>2</v>
      </c>
      <c r="T231" s="2">
        <v>50</v>
      </c>
    </row>
    <row r="232" spans="1:20" x14ac:dyDescent="0.2">
      <c r="A232" s="49" t="str">
        <f t="shared" si="12"/>
        <v>10/5</v>
      </c>
      <c r="B232" s="19" t="s">
        <v>84</v>
      </c>
      <c r="C232" s="19" t="s">
        <v>76</v>
      </c>
      <c r="D232" s="19" t="s">
        <v>76</v>
      </c>
      <c r="E232" s="19" t="s">
        <v>16</v>
      </c>
      <c r="F232" s="19">
        <v>5</v>
      </c>
      <c r="G232" s="2"/>
      <c r="H232" s="2"/>
      <c r="I232" s="2"/>
      <c r="J232" s="38"/>
      <c r="K232" s="2"/>
      <c r="L232" s="2"/>
      <c r="M232" s="2"/>
      <c r="N232" s="2"/>
      <c r="O232" s="2" t="s">
        <v>91</v>
      </c>
      <c r="P232" s="2"/>
      <c r="Q232" s="2"/>
      <c r="R232" s="38">
        <v>45905</v>
      </c>
      <c r="S232" s="2">
        <v>8</v>
      </c>
      <c r="T232" s="2">
        <v>200</v>
      </c>
    </row>
    <row r="233" spans="1:20" x14ac:dyDescent="0.2">
      <c r="A233" s="49" t="str">
        <f t="shared" si="12"/>
        <v>9/5</v>
      </c>
      <c r="B233" s="19" t="s">
        <v>84</v>
      </c>
      <c r="C233" s="19" t="s">
        <v>76</v>
      </c>
      <c r="D233" s="19" t="s">
        <v>76</v>
      </c>
      <c r="E233" s="19" t="s">
        <v>17</v>
      </c>
      <c r="F233" s="19">
        <v>5</v>
      </c>
      <c r="G233" s="2"/>
      <c r="H233" s="2"/>
      <c r="I233" s="2"/>
      <c r="J233" s="38"/>
      <c r="K233" s="2"/>
      <c r="L233" s="2"/>
      <c r="M233" s="2"/>
      <c r="N233" s="2"/>
      <c r="O233" s="2" t="s">
        <v>91</v>
      </c>
      <c r="P233" s="2"/>
      <c r="Q233" s="2"/>
      <c r="R233" s="38">
        <v>45905</v>
      </c>
      <c r="S233" s="2">
        <v>2</v>
      </c>
      <c r="T233" s="2">
        <v>50</v>
      </c>
    </row>
    <row r="234" spans="1:20" x14ac:dyDescent="0.2">
      <c r="A234" s="49" t="str">
        <f t="shared" si="12"/>
        <v>3.5/4.5</v>
      </c>
      <c r="B234" s="19" t="s">
        <v>191</v>
      </c>
      <c r="C234" s="19" t="s">
        <v>76</v>
      </c>
      <c r="D234" s="19" t="s">
        <v>76</v>
      </c>
      <c r="E234" s="19">
        <v>3.5</v>
      </c>
      <c r="F234" s="19">
        <v>4.5</v>
      </c>
      <c r="G234" s="2"/>
      <c r="H234" s="2"/>
      <c r="I234" s="2"/>
      <c r="J234" s="38"/>
      <c r="K234" s="2"/>
      <c r="L234" s="2"/>
      <c r="M234" s="2"/>
      <c r="N234" s="2"/>
      <c r="O234" s="2" t="s">
        <v>91</v>
      </c>
      <c r="P234" s="2"/>
      <c r="Q234" s="2"/>
      <c r="R234" s="38">
        <v>45905</v>
      </c>
      <c r="S234" s="2">
        <v>6</v>
      </c>
      <c r="T234" s="2">
        <v>150</v>
      </c>
    </row>
    <row r="235" spans="1:20" x14ac:dyDescent="0.2">
      <c r="A235" s="49" t="str">
        <f t="shared" si="12"/>
        <v>4/5</v>
      </c>
      <c r="B235" s="19" t="s">
        <v>86</v>
      </c>
      <c r="C235" s="19" t="s">
        <v>76</v>
      </c>
      <c r="D235" s="19" t="s">
        <v>76</v>
      </c>
      <c r="E235" s="19">
        <v>4</v>
      </c>
      <c r="F235" s="19">
        <v>5</v>
      </c>
      <c r="G235" s="2"/>
      <c r="H235" s="2"/>
      <c r="I235" s="2"/>
      <c r="J235" s="38"/>
      <c r="K235" s="2"/>
      <c r="L235" s="2"/>
      <c r="M235" s="2"/>
      <c r="N235" s="2"/>
      <c r="O235" s="2" t="s">
        <v>91</v>
      </c>
      <c r="P235" s="2"/>
      <c r="Q235" s="2"/>
      <c r="R235" s="38">
        <v>45905</v>
      </c>
      <c r="S235" s="2">
        <v>9</v>
      </c>
      <c r="T235" s="2">
        <v>225</v>
      </c>
    </row>
    <row r="236" spans="1:20" x14ac:dyDescent="0.2">
      <c r="A236" s="49" t="str">
        <f t="shared" si="12"/>
        <v>4/5</v>
      </c>
      <c r="B236" s="19" t="s">
        <v>83</v>
      </c>
      <c r="C236" s="19" t="s">
        <v>76</v>
      </c>
      <c r="D236" s="19" t="s">
        <v>76</v>
      </c>
      <c r="E236" s="19" t="s">
        <v>26</v>
      </c>
      <c r="F236" s="19">
        <v>5</v>
      </c>
      <c r="G236" s="2"/>
      <c r="H236" s="2"/>
      <c r="I236" s="2"/>
      <c r="J236" s="38"/>
      <c r="K236" s="2"/>
      <c r="L236" s="2"/>
      <c r="M236" s="2"/>
      <c r="N236" s="2"/>
      <c r="O236" s="2" t="s">
        <v>91</v>
      </c>
      <c r="P236" s="2"/>
      <c r="Q236" s="2"/>
      <c r="R236" s="38">
        <v>45905</v>
      </c>
      <c r="S236" s="2">
        <v>5</v>
      </c>
      <c r="T236" s="2">
        <v>125</v>
      </c>
    </row>
    <row r="237" spans="1:20" x14ac:dyDescent="0.2">
      <c r="A237" s="49" t="str">
        <f t="shared" si="12"/>
        <v>8/5</v>
      </c>
      <c r="B237" s="19" t="s">
        <v>84</v>
      </c>
      <c r="C237" s="19" t="s">
        <v>76</v>
      </c>
      <c r="D237" s="19" t="s">
        <v>76</v>
      </c>
      <c r="E237" s="19" t="s">
        <v>18</v>
      </c>
      <c r="F237" s="19">
        <v>5</v>
      </c>
      <c r="G237" s="2"/>
      <c r="H237" s="2"/>
      <c r="I237" s="2"/>
      <c r="J237" s="38"/>
      <c r="K237" s="2"/>
      <c r="L237" s="2"/>
      <c r="M237" s="2"/>
      <c r="N237" s="2"/>
      <c r="O237" s="2" t="s">
        <v>91</v>
      </c>
      <c r="P237" s="2"/>
      <c r="Q237" s="2"/>
      <c r="R237" s="38">
        <v>45905</v>
      </c>
      <c r="S237" s="2">
        <v>8</v>
      </c>
      <c r="T237" s="2">
        <v>200</v>
      </c>
    </row>
    <row r="238" spans="1:20" x14ac:dyDescent="0.2">
      <c r="A238" s="49" t="str">
        <f t="shared" si="12"/>
        <v>12/5</v>
      </c>
      <c r="B238" s="19" t="s">
        <v>84</v>
      </c>
      <c r="C238" s="19" t="s">
        <v>76</v>
      </c>
      <c r="D238" s="19" t="s">
        <v>76</v>
      </c>
      <c r="E238" s="19" t="s">
        <v>14</v>
      </c>
      <c r="F238" s="19">
        <v>5</v>
      </c>
      <c r="G238" s="2"/>
      <c r="H238" s="2"/>
      <c r="I238" s="2"/>
      <c r="J238" s="38"/>
      <c r="K238" s="2"/>
      <c r="L238" s="2"/>
      <c r="M238" s="2"/>
      <c r="N238" s="2"/>
      <c r="O238" s="2" t="s">
        <v>91</v>
      </c>
      <c r="P238" s="2"/>
      <c r="Q238" s="2"/>
      <c r="R238" s="38">
        <v>45905</v>
      </c>
      <c r="S238" s="2">
        <v>2</v>
      </c>
      <c r="T238" s="2">
        <v>50</v>
      </c>
    </row>
    <row r="239" spans="1:20" x14ac:dyDescent="0.2">
      <c r="A239" s="49" t="str">
        <f t="shared" si="12"/>
        <v>11/5</v>
      </c>
      <c r="B239" s="19" t="s">
        <v>168</v>
      </c>
      <c r="C239" s="19" t="s">
        <v>76</v>
      </c>
      <c r="D239" s="19" t="s">
        <v>76</v>
      </c>
      <c r="E239" s="19">
        <v>11</v>
      </c>
      <c r="F239" s="19">
        <v>5</v>
      </c>
      <c r="G239" s="2"/>
      <c r="H239" s="2"/>
      <c r="I239" s="2"/>
      <c r="J239" s="38"/>
      <c r="K239" s="2"/>
      <c r="L239" s="2"/>
      <c r="M239" s="2"/>
      <c r="N239" s="2"/>
      <c r="O239" s="2" t="s">
        <v>94</v>
      </c>
      <c r="P239" s="2"/>
      <c r="Q239" s="2"/>
      <c r="R239" s="38">
        <v>45904</v>
      </c>
      <c r="S239" s="2">
        <v>2</v>
      </c>
      <c r="T239" s="2">
        <v>50</v>
      </c>
    </row>
    <row r="240" spans="1:20" x14ac:dyDescent="0.2">
      <c r="A240" s="49" t="str">
        <f t="shared" si="12"/>
        <v>17/5.5-6</v>
      </c>
      <c r="B240" s="19" t="s">
        <v>92</v>
      </c>
      <c r="C240" s="19" t="s">
        <v>76</v>
      </c>
      <c r="D240" s="19" t="s">
        <v>76</v>
      </c>
      <c r="E240" s="19">
        <v>17</v>
      </c>
      <c r="F240" s="19" t="s">
        <v>5</v>
      </c>
      <c r="G240" s="2"/>
      <c r="H240" s="2"/>
      <c r="I240" s="2"/>
      <c r="J240" s="38"/>
      <c r="K240" s="2"/>
      <c r="L240" s="2"/>
      <c r="M240" s="2"/>
      <c r="N240" s="2"/>
      <c r="O240" s="2" t="s">
        <v>94</v>
      </c>
      <c r="P240" s="2"/>
      <c r="Q240" s="2"/>
      <c r="R240" s="38">
        <v>45904</v>
      </c>
      <c r="S240" s="2">
        <v>10</v>
      </c>
      <c r="T240" s="2">
        <v>250</v>
      </c>
    </row>
    <row r="241" spans="1:20" x14ac:dyDescent="0.2">
      <c r="A241" s="49" t="str">
        <f t="shared" si="12"/>
        <v>11/5</v>
      </c>
      <c r="B241" s="19" t="s">
        <v>168</v>
      </c>
      <c r="C241" s="19" t="s">
        <v>76</v>
      </c>
      <c r="D241" s="19" t="s">
        <v>76</v>
      </c>
      <c r="E241" s="19">
        <v>11</v>
      </c>
      <c r="F241" s="19">
        <v>5</v>
      </c>
      <c r="G241" s="2"/>
      <c r="H241" s="2"/>
      <c r="I241" s="2"/>
      <c r="J241" s="38"/>
      <c r="K241" s="2"/>
      <c r="L241" s="2"/>
      <c r="M241" s="2"/>
      <c r="N241" s="2"/>
      <c r="O241" s="2" t="s">
        <v>94</v>
      </c>
      <c r="P241" s="2"/>
      <c r="Q241" s="2"/>
      <c r="R241" s="38">
        <v>45904</v>
      </c>
      <c r="S241" s="2">
        <v>4</v>
      </c>
      <c r="T241" s="2">
        <v>100</v>
      </c>
    </row>
    <row r="242" spans="1:20" x14ac:dyDescent="0.2">
      <c r="A242" s="49" t="str">
        <f t="shared" si="12"/>
        <v>13/7</v>
      </c>
      <c r="B242" s="19" t="s">
        <v>93</v>
      </c>
      <c r="C242" s="19" t="s">
        <v>76</v>
      </c>
      <c r="D242" s="19" t="s">
        <v>76</v>
      </c>
      <c r="E242" s="19">
        <v>13</v>
      </c>
      <c r="F242" s="19">
        <v>7</v>
      </c>
      <c r="G242" s="2"/>
      <c r="H242" s="2"/>
      <c r="I242" s="2"/>
      <c r="J242" s="38"/>
      <c r="K242" s="2"/>
      <c r="L242" s="2"/>
      <c r="M242" s="2"/>
      <c r="N242" s="2"/>
      <c r="O242" s="2" t="s">
        <v>94</v>
      </c>
      <c r="P242" s="2"/>
      <c r="Q242" s="2"/>
      <c r="R242" s="38">
        <v>45904</v>
      </c>
      <c r="S242" s="2">
        <v>2</v>
      </c>
      <c r="T242" s="2">
        <v>50</v>
      </c>
    </row>
    <row r="243" spans="1:20" x14ac:dyDescent="0.2">
      <c r="A243" s="49" t="str">
        <f t="shared" si="12"/>
        <v>13/7</v>
      </c>
      <c r="B243" s="19" t="s">
        <v>93</v>
      </c>
      <c r="C243" s="19" t="s">
        <v>76</v>
      </c>
      <c r="D243" s="19" t="s">
        <v>76</v>
      </c>
      <c r="E243" s="19">
        <v>13</v>
      </c>
      <c r="F243" s="19">
        <v>7</v>
      </c>
      <c r="G243" s="2"/>
      <c r="H243" s="2"/>
      <c r="I243" s="2"/>
      <c r="J243" s="38"/>
      <c r="K243" s="2"/>
      <c r="L243" s="2"/>
      <c r="M243" s="2"/>
      <c r="N243" s="2"/>
      <c r="O243" s="2" t="s">
        <v>94</v>
      </c>
      <c r="P243" s="2"/>
      <c r="Q243" s="2"/>
      <c r="R243" s="38">
        <v>45904</v>
      </c>
      <c r="S243" s="2">
        <v>4</v>
      </c>
      <c r="T243" s="2">
        <v>92</v>
      </c>
    </row>
    <row r="244" spans="1:20" x14ac:dyDescent="0.2">
      <c r="A244" s="49" t="str">
        <f t="shared" si="12"/>
        <v>17/5.5-6</v>
      </c>
      <c r="B244" s="19" t="s">
        <v>92</v>
      </c>
      <c r="C244" s="19" t="s">
        <v>76</v>
      </c>
      <c r="D244" s="19" t="s">
        <v>76</v>
      </c>
      <c r="E244" s="19">
        <v>17</v>
      </c>
      <c r="F244" s="19" t="s">
        <v>5</v>
      </c>
      <c r="G244" s="2"/>
      <c r="H244" s="2"/>
      <c r="I244" s="2"/>
      <c r="J244" s="38"/>
      <c r="K244" s="2"/>
      <c r="L244" s="2"/>
      <c r="M244" s="2"/>
      <c r="N244" s="2"/>
      <c r="O244" s="2" t="s">
        <v>94</v>
      </c>
      <c r="P244" s="2"/>
      <c r="Q244" s="2"/>
      <c r="R244" s="38">
        <v>45904</v>
      </c>
      <c r="S244" s="2">
        <v>5</v>
      </c>
      <c r="T244" s="2">
        <v>125</v>
      </c>
    </row>
    <row r="245" spans="1:20" x14ac:dyDescent="0.2">
      <c r="A245" s="49" t="str">
        <f t="shared" si="12"/>
        <v>24/5</v>
      </c>
      <c r="B245" s="19" t="s">
        <v>85</v>
      </c>
      <c r="C245" s="19" t="s">
        <v>76</v>
      </c>
      <c r="D245" s="19" t="s">
        <v>76</v>
      </c>
      <c r="E245" s="19">
        <v>24</v>
      </c>
      <c r="F245" s="19">
        <v>5</v>
      </c>
      <c r="G245" s="2"/>
      <c r="H245" s="2"/>
      <c r="I245" s="2"/>
      <c r="J245" s="38"/>
      <c r="K245" s="2"/>
      <c r="L245" s="2"/>
      <c r="M245" s="2"/>
      <c r="N245" s="2"/>
      <c r="O245" s="2" t="s">
        <v>94</v>
      </c>
      <c r="P245" s="2"/>
      <c r="Q245" s="2"/>
      <c r="R245" s="38">
        <v>45905</v>
      </c>
      <c r="S245" s="2">
        <v>8</v>
      </c>
      <c r="T245" s="2">
        <v>200</v>
      </c>
    </row>
    <row r="246" spans="1:20" x14ac:dyDescent="0.2">
      <c r="A246" s="49" t="str">
        <f t="shared" si="12"/>
        <v>12/6.5-7</v>
      </c>
      <c r="B246" s="19" t="s">
        <v>193</v>
      </c>
      <c r="C246" s="19" t="s">
        <v>76</v>
      </c>
      <c r="D246" s="19" t="s">
        <v>76</v>
      </c>
      <c r="E246" s="19">
        <v>12</v>
      </c>
      <c r="F246" s="19" t="s">
        <v>192</v>
      </c>
      <c r="G246" s="2"/>
      <c r="H246" s="2"/>
      <c r="I246" s="2"/>
      <c r="J246" s="38"/>
      <c r="K246" s="2"/>
      <c r="L246" s="2"/>
      <c r="M246" s="2"/>
      <c r="N246" s="2"/>
      <c r="O246" s="2" t="s">
        <v>94</v>
      </c>
      <c r="P246" s="2"/>
      <c r="Q246" s="2"/>
      <c r="R246" s="38">
        <v>45905</v>
      </c>
      <c r="S246" s="2">
        <v>2</v>
      </c>
      <c r="T246" s="2">
        <v>50</v>
      </c>
    </row>
    <row r="247" spans="1:20" x14ac:dyDescent="0.2">
      <c r="A247" s="49" t="str">
        <f t="shared" si="12"/>
        <v>20/5</v>
      </c>
      <c r="B247" s="19" t="s">
        <v>85</v>
      </c>
      <c r="C247" s="19" t="s">
        <v>76</v>
      </c>
      <c r="D247" s="19" t="s">
        <v>76</v>
      </c>
      <c r="E247" s="19">
        <v>20</v>
      </c>
      <c r="F247" s="19">
        <v>5</v>
      </c>
      <c r="G247" s="2"/>
      <c r="H247" s="2"/>
      <c r="I247" s="2"/>
      <c r="J247" s="38"/>
      <c r="K247" s="2"/>
      <c r="L247" s="2"/>
      <c r="M247" s="2"/>
      <c r="N247" s="2"/>
      <c r="O247" s="2" t="s">
        <v>94</v>
      </c>
      <c r="P247" s="2"/>
      <c r="Q247" s="2"/>
      <c r="R247" s="38">
        <v>45905</v>
      </c>
      <c r="S247" s="2">
        <v>3</v>
      </c>
      <c r="T247" s="2">
        <v>75</v>
      </c>
    </row>
    <row r="248" spans="1:20" x14ac:dyDescent="0.2">
      <c r="A248" s="49" t="str">
        <f t="shared" si="12"/>
        <v>24/5</v>
      </c>
      <c r="B248" s="19" t="s">
        <v>85</v>
      </c>
      <c r="C248" s="19" t="s">
        <v>76</v>
      </c>
      <c r="D248" s="19" t="s">
        <v>76</v>
      </c>
      <c r="E248" s="19">
        <v>24</v>
      </c>
      <c r="F248" s="19">
        <v>5</v>
      </c>
      <c r="G248" s="2"/>
      <c r="H248" s="2"/>
      <c r="I248" s="2"/>
      <c r="J248" s="38"/>
      <c r="K248" s="2"/>
      <c r="L248" s="2"/>
      <c r="M248" s="2"/>
      <c r="N248" s="2"/>
      <c r="O248" s="2" t="s">
        <v>94</v>
      </c>
      <c r="P248" s="2"/>
      <c r="Q248" s="2"/>
      <c r="R248" s="38">
        <v>45905</v>
      </c>
      <c r="S248" s="2">
        <v>9</v>
      </c>
      <c r="T248" s="2">
        <v>217.8</v>
      </c>
    </row>
    <row r="249" spans="1:20" x14ac:dyDescent="0.2">
      <c r="A249" s="49" t="str">
        <f t="shared" si="12"/>
        <v>20/5</v>
      </c>
      <c r="B249" s="19" t="s">
        <v>85</v>
      </c>
      <c r="C249" s="19" t="s">
        <v>76</v>
      </c>
      <c r="D249" s="19" t="s">
        <v>76</v>
      </c>
      <c r="E249" s="19">
        <v>20</v>
      </c>
      <c r="F249" s="19">
        <v>5</v>
      </c>
      <c r="G249" s="2"/>
      <c r="H249" s="2"/>
      <c r="I249" s="2"/>
      <c r="J249" s="38"/>
      <c r="K249" s="2"/>
      <c r="L249" s="2"/>
      <c r="M249" s="2"/>
      <c r="N249" s="2"/>
      <c r="O249" s="2" t="s">
        <v>94</v>
      </c>
      <c r="P249" s="2"/>
      <c r="Q249" s="2"/>
      <c r="R249" s="38">
        <v>45905</v>
      </c>
      <c r="S249" s="2">
        <v>9</v>
      </c>
      <c r="T249" s="2">
        <v>225</v>
      </c>
    </row>
    <row r="250" spans="1:20" x14ac:dyDescent="0.2">
      <c r="A250" s="49" t="str">
        <f t="shared" si="12"/>
        <v>2.5/5</v>
      </c>
      <c r="B250" s="19" t="s">
        <v>83</v>
      </c>
      <c r="C250" s="19" t="s">
        <v>76</v>
      </c>
      <c r="D250" s="19" t="s">
        <v>76</v>
      </c>
      <c r="E250" s="19">
        <v>2.5</v>
      </c>
      <c r="F250" s="19">
        <v>5</v>
      </c>
      <c r="G250" s="2"/>
      <c r="H250" s="39" t="s">
        <v>88</v>
      </c>
      <c r="I250" s="2" t="s">
        <v>290</v>
      </c>
      <c r="J250" s="38">
        <v>45906</v>
      </c>
      <c r="K250" s="2">
        <v>8</v>
      </c>
      <c r="L250" s="2">
        <v>87.05</v>
      </c>
      <c r="M250" s="2">
        <v>1.6</v>
      </c>
      <c r="N250" s="2">
        <f>+L250-M250</f>
        <v>85.45</v>
      </c>
      <c r="O250" s="2"/>
      <c r="P250" s="2"/>
      <c r="Q250" s="2"/>
      <c r="R250" s="38"/>
      <c r="S250" s="2"/>
      <c r="T250" s="2"/>
    </row>
    <row r="251" spans="1:20" x14ac:dyDescent="0.2">
      <c r="A251" s="49" t="str">
        <f t="shared" si="12"/>
        <v>2.5/5</v>
      </c>
      <c r="B251" s="19" t="s">
        <v>83</v>
      </c>
      <c r="C251" s="19" t="s">
        <v>76</v>
      </c>
      <c r="D251" s="19" t="s">
        <v>76</v>
      </c>
      <c r="E251" s="19">
        <v>2.5</v>
      </c>
      <c r="F251" s="19">
        <v>5</v>
      </c>
      <c r="G251" s="2"/>
      <c r="H251" s="39" t="s">
        <v>88</v>
      </c>
      <c r="I251" s="2" t="s">
        <v>290</v>
      </c>
      <c r="J251" s="38">
        <v>45906</v>
      </c>
      <c r="K251" s="2">
        <v>8</v>
      </c>
      <c r="L251" s="2">
        <v>104.32</v>
      </c>
      <c r="M251" s="2">
        <v>7.2</v>
      </c>
      <c r="N251" s="2">
        <f t="shared" ref="N251:N264" si="13">+L251-M251</f>
        <v>97.11999999999999</v>
      </c>
      <c r="O251" s="2"/>
      <c r="P251" s="2"/>
      <c r="Q251" s="2"/>
      <c r="R251" s="38"/>
      <c r="S251" s="2"/>
      <c r="T251" s="2"/>
    </row>
    <row r="252" spans="1:20" x14ac:dyDescent="0.2">
      <c r="A252" s="49" t="str">
        <f t="shared" si="12"/>
        <v>2/5</v>
      </c>
      <c r="B252" s="19" t="s">
        <v>86</v>
      </c>
      <c r="C252" s="19" t="s">
        <v>76</v>
      </c>
      <c r="D252" s="19" t="s">
        <v>76</v>
      </c>
      <c r="E252" s="19">
        <v>2</v>
      </c>
      <c r="F252" s="19">
        <v>5</v>
      </c>
      <c r="G252" s="2"/>
      <c r="H252" s="39" t="s">
        <v>88</v>
      </c>
      <c r="I252" s="2" t="s">
        <v>291</v>
      </c>
      <c r="J252" s="38">
        <v>45906</v>
      </c>
      <c r="K252" s="2">
        <v>3</v>
      </c>
      <c r="L252" s="2">
        <v>61.87</v>
      </c>
      <c r="M252" s="2">
        <v>0.60000000000000009</v>
      </c>
      <c r="N252" s="2">
        <f t="shared" si="13"/>
        <v>61.269999999999996</v>
      </c>
      <c r="O252" s="2"/>
      <c r="P252" s="2"/>
      <c r="Q252" s="2"/>
      <c r="R252" s="38"/>
      <c r="S252" s="2"/>
      <c r="T252" s="2"/>
    </row>
    <row r="253" spans="1:20" x14ac:dyDescent="0.2">
      <c r="A253" s="49" t="str">
        <f t="shared" si="12"/>
        <v>2.5/5</v>
      </c>
      <c r="B253" s="19" t="s">
        <v>83</v>
      </c>
      <c r="C253" s="19" t="s">
        <v>76</v>
      </c>
      <c r="D253" s="19" t="s">
        <v>76</v>
      </c>
      <c r="E253" s="19">
        <v>2.5</v>
      </c>
      <c r="F253" s="19">
        <v>5</v>
      </c>
      <c r="G253" s="2"/>
      <c r="H253" s="39" t="s">
        <v>88</v>
      </c>
      <c r="I253" s="2" t="s">
        <v>290</v>
      </c>
      <c r="J253" s="38">
        <v>45906</v>
      </c>
      <c r="K253" s="2">
        <v>3</v>
      </c>
      <c r="L253" s="2">
        <v>28</v>
      </c>
      <c r="M253" s="2">
        <v>0.60000000000000009</v>
      </c>
      <c r="N253" s="2">
        <f t="shared" si="13"/>
        <v>27.4</v>
      </c>
      <c r="O253" s="2"/>
      <c r="P253" s="2"/>
      <c r="Q253" s="2"/>
      <c r="R253" s="38"/>
      <c r="S253" s="2"/>
      <c r="T253" s="2"/>
    </row>
    <row r="254" spans="1:20" x14ac:dyDescent="0.2">
      <c r="A254" s="49" t="str">
        <f t="shared" si="12"/>
        <v>2/5</v>
      </c>
      <c r="B254" s="19" t="s">
        <v>86</v>
      </c>
      <c r="C254" s="19" t="s">
        <v>76</v>
      </c>
      <c r="D254" s="19" t="s">
        <v>76</v>
      </c>
      <c r="E254" s="19">
        <v>2</v>
      </c>
      <c r="F254" s="19">
        <v>5</v>
      </c>
      <c r="G254" s="2"/>
      <c r="H254" s="39" t="s">
        <v>88</v>
      </c>
      <c r="I254" s="2" t="s">
        <v>291</v>
      </c>
      <c r="J254" s="38">
        <v>45906</v>
      </c>
      <c r="K254" s="2">
        <v>4</v>
      </c>
      <c r="L254" s="2">
        <v>84.56</v>
      </c>
      <c r="M254" s="2">
        <v>0.8</v>
      </c>
      <c r="N254" s="2">
        <f t="shared" si="13"/>
        <v>83.76</v>
      </c>
      <c r="O254" s="2"/>
      <c r="P254" s="2"/>
      <c r="Q254" s="2"/>
      <c r="R254" s="38"/>
      <c r="S254" s="2"/>
      <c r="T254" s="2"/>
    </row>
    <row r="255" spans="1:20" x14ac:dyDescent="0.2">
      <c r="A255" s="49" t="str">
        <f t="shared" si="12"/>
        <v>2.5/5</v>
      </c>
      <c r="B255" s="19" t="s">
        <v>83</v>
      </c>
      <c r="C255" s="19" t="s">
        <v>76</v>
      </c>
      <c r="D255" s="19" t="s">
        <v>76</v>
      </c>
      <c r="E255" s="19">
        <v>2.5</v>
      </c>
      <c r="F255" s="19">
        <v>5</v>
      </c>
      <c r="G255" s="2"/>
      <c r="H255" s="39" t="s">
        <v>88</v>
      </c>
      <c r="I255" s="2" t="s">
        <v>290</v>
      </c>
      <c r="J255" s="38">
        <v>45906</v>
      </c>
      <c r="K255" s="2">
        <v>2</v>
      </c>
      <c r="L255" s="2">
        <v>20.22</v>
      </c>
      <c r="M255" s="2">
        <v>0.4</v>
      </c>
      <c r="N255" s="2">
        <f t="shared" si="13"/>
        <v>19.82</v>
      </c>
      <c r="O255" s="2"/>
      <c r="P255" s="2"/>
      <c r="Q255" s="2"/>
      <c r="R255" s="38"/>
      <c r="S255" s="2"/>
      <c r="T255" s="2"/>
    </row>
    <row r="256" spans="1:20" x14ac:dyDescent="0.2">
      <c r="A256" s="49" t="str">
        <f t="shared" si="12"/>
        <v>8/5</v>
      </c>
      <c r="B256" s="19" t="s">
        <v>84</v>
      </c>
      <c r="C256" s="19" t="s">
        <v>76</v>
      </c>
      <c r="D256" s="19" t="s">
        <v>76</v>
      </c>
      <c r="E256" s="19">
        <v>8</v>
      </c>
      <c r="F256" s="19">
        <v>5</v>
      </c>
      <c r="G256" s="2"/>
      <c r="H256" s="39" t="s">
        <v>88</v>
      </c>
      <c r="I256" s="2" t="s">
        <v>292</v>
      </c>
      <c r="J256" s="38">
        <v>45906</v>
      </c>
      <c r="K256" s="2">
        <v>8</v>
      </c>
      <c r="L256" s="2">
        <v>281.14</v>
      </c>
      <c r="M256" s="2">
        <v>6.4</v>
      </c>
      <c r="N256" s="2">
        <f t="shared" si="13"/>
        <v>274.74</v>
      </c>
      <c r="O256" s="2"/>
      <c r="P256" s="2"/>
      <c r="Q256" s="2"/>
      <c r="R256" s="38"/>
      <c r="S256" s="2"/>
      <c r="T256" s="2"/>
    </row>
    <row r="257" spans="1:20" x14ac:dyDescent="0.2">
      <c r="A257" s="49" t="str">
        <f t="shared" si="12"/>
        <v>8/5</v>
      </c>
      <c r="B257" s="19" t="s">
        <v>84</v>
      </c>
      <c r="C257" s="19" t="s">
        <v>76</v>
      </c>
      <c r="D257" s="19" t="s">
        <v>76</v>
      </c>
      <c r="E257" s="19">
        <v>8</v>
      </c>
      <c r="F257" s="19">
        <v>5</v>
      </c>
      <c r="G257" s="2"/>
      <c r="H257" s="39" t="s">
        <v>88</v>
      </c>
      <c r="I257" s="2" t="s">
        <v>292</v>
      </c>
      <c r="J257" s="38">
        <v>45906</v>
      </c>
      <c r="K257" s="2">
        <v>8</v>
      </c>
      <c r="L257" s="2">
        <v>319.06</v>
      </c>
      <c r="M257" s="2">
        <v>7.2</v>
      </c>
      <c r="N257" s="2">
        <f t="shared" si="13"/>
        <v>311.86</v>
      </c>
      <c r="O257" s="2"/>
      <c r="P257" s="2"/>
      <c r="Q257" s="2"/>
      <c r="R257" s="38"/>
      <c r="S257" s="2"/>
      <c r="T257" s="2"/>
    </row>
    <row r="258" spans="1:20" x14ac:dyDescent="0.2">
      <c r="A258" s="49" t="str">
        <f t="shared" si="12"/>
        <v>17/5.5-6</v>
      </c>
      <c r="B258" s="19" t="s">
        <v>92</v>
      </c>
      <c r="C258" s="19" t="s">
        <v>76</v>
      </c>
      <c r="D258" s="19" t="s">
        <v>76</v>
      </c>
      <c r="E258" s="19">
        <v>17</v>
      </c>
      <c r="F258" s="19" t="s">
        <v>5</v>
      </c>
      <c r="G258" s="2"/>
      <c r="H258" s="39" t="s">
        <v>88</v>
      </c>
      <c r="I258" s="2" t="s">
        <v>293</v>
      </c>
      <c r="J258" s="38">
        <v>45906</v>
      </c>
      <c r="K258" s="2">
        <v>16</v>
      </c>
      <c r="L258" s="2">
        <v>767.95</v>
      </c>
      <c r="M258" s="2">
        <v>27.2</v>
      </c>
      <c r="N258" s="2">
        <f t="shared" si="13"/>
        <v>740.75</v>
      </c>
      <c r="O258" s="2"/>
      <c r="P258" s="2"/>
      <c r="Q258" s="2"/>
      <c r="R258" s="38"/>
      <c r="S258" s="2"/>
      <c r="T258" s="2"/>
    </row>
    <row r="259" spans="1:20" x14ac:dyDescent="0.2">
      <c r="A259" s="49" t="str">
        <f t="shared" si="12"/>
        <v>17/5.5-6</v>
      </c>
      <c r="B259" s="19" t="s">
        <v>92</v>
      </c>
      <c r="C259" s="19" t="s">
        <v>76</v>
      </c>
      <c r="D259" s="19" t="s">
        <v>76</v>
      </c>
      <c r="E259" s="19">
        <v>17</v>
      </c>
      <c r="F259" s="19" t="s">
        <v>5</v>
      </c>
      <c r="G259" s="2"/>
      <c r="H259" s="39" t="s">
        <v>88</v>
      </c>
      <c r="I259" s="2" t="s">
        <v>293</v>
      </c>
      <c r="J259" s="38">
        <v>45906</v>
      </c>
      <c r="K259" s="2">
        <v>14</v>
      </c>
      <c r="L259" s="2">
        <v>740.84</v>
      </c>
      <c r="M259" s="2">
        <v>23.8</v>
      </c>
      <c r="N259" s="2">
        <f t="shared" si="13"/>
        <v>717.04000000000008</v>
      </c>
      <c r="O259" s="2"/>
      <c r="P259" s="2"/>
      <c r="Q259" s="2"/>
      <c r="R259" s="38"/>
      <c r="S259" s="2"/>
      <c r="T259" s="2"/>
    </row>
    <row r="260" spans="1:20" x14ac:dyDescent="0.2">
      <c r="A260" s="49" t="str">
        <f t="shared" ref="A260:A324" si="14">CONCATENATE(E260,"/",F260)</f>
        <v>12/5</v>
      </c>
      <c r="B260" s="19" t="s">
        <v>84</v>
      </c>
      <c r="C260" s="19" t="s">
        <v>76</v>
      </c>
      <c r="D260" s="19" t="s">
        <v>76</v>
      </c>
      <c r="E260" s="19">
        <v>12</v>
      </c>
      <c r="F260" s="19">
        <v>5</v>
      </c>
      <c r="G260" s="2"/>
      <c r="H260" s="39" t="s">
        <v>88</v>
      </c>
      <c r="I260" s="2" t="s">
        <v>294</v>
      </c>
      <c r="J260" s="38">
        <v>45906</v>
      </c>
      <c r="K260" s="2">
        <v>6</v>
      </c>
      <c r="L260" s="2">
        <v>281.58</v>
      </c>
      <c r="M260" s="2">
        <v>7.1999999999999993</v>
      </c>
      <c r="N260" s="2">
        <f t="shared" si="13"/>
        <v>274.38</v>
      </c>
      <c r="O260" s="2"/>
      <c r="P260" s="2"/>
      <c r="Q260" s="2"/>
      <c r="R260" s="38"/>
      <c r="S260" s="2"/>
      <c r="T260" s="2"/>
    </row>
    <row r="261" spans="1:20" x14ac:dyDescent="0.2">
      <c r="A261" s="49" t="str">
        <f t="shared" si="14"/>
        <v>12/6.5-7</v>
      </c>
      <c r="B261" s="19" t="s">
        <v>193</v>
      </c>
      <c r="C261" s="19" t="s">
        <v>76</v>
      </c>
      <c r="D261" s="19" t="s">
        <v>76</v>
      </c>
      <c r="E261" s="19">
        <v>12</v>
      </c>
      <c r="F261" s="19" t="s">
        <v>192</v>
      </c>
      <c r="G261" s="2"/>
      <c r="H261" s="39" t="s">
        <v>88</v>
      </c>
      <c r="I261" s="2" t="s">
        <v>295</v>
      </c>
      <c r="J261" s="38">
        <v>45906</v>
      </c>
      <c r="K261" s="2">
        <v>8</v>
      </c>
      <c r="L261" s="2">
        <v>249.11</v>
      </c>
      <c r="M261" s="2">
        <v>9.6</v>
      </c>
      <c r="N261" s="2">
        <f t="shared" si="13"/>
        <v>239.51000000000002</v>
      </c>
      <c r="O261" s="2"/>
      <c r="P261" s="2"/>
      <c r="Q261" s="2"/>
      <c r="R261" s="38"/>
      <c r="S261" s="2"/>
      <c r="T261" s="2"/>
    </row>
    <row r="262" spans="1:20" x14ac:dyDescent="0.2">
      <c r="A262" s="49" t="str">
        <f t="shared" si="14"/>
        <v>12/4.5</v>
      </c>
      <c r="B262" s="19" t="s">
        <v>162</v>
      </c>
      <c r="C262" s="19" t="s">
        <v>76</v>
      </c>
      <c r="D262" s="19" t="s">
        <v>76</v>
      </c>
      <c r="E262" s="19">
        <v>12</v>
      </c>
      <c r="F262" s="19">
        <v>4.5</v>
      </c>
      <c r="G262" s="2"/>
      <c r="H262" s="39" t="s">
        <v>88</v>
      </c>
      <c r="I262" s="2" t="s">
        <v>296</v>
      </c>
      <c r="J262" s="38">
        <v>45906</v>
      </c>
      <c r="K262" s="2">
        <v>6</v>
      </c>
      <c r="L262" s="2">
        <v>322.83</v>
      </c>
      <c r="M262" s="2">
        <v>8.129999999999999</v>
      </c>
      <c r="N262" s="2">
        <f t="shared" si="13"/>
        <v>314.7</v>
      </c>
      <c r="O262" s="2"/>
      <c r="P262" s="2"/>
      <c r="Q262" s="2"/>
      <c r="R262" s="38"/>
      <c r="S262" s="2"/>
      <c r="T262" s="2"/>
    </row>
    <row r="263" spans="1:20" x14ac:dyDescent="0.2">
      <c r="A263" s="49" t="str">
        <f t="shared" si="14"/>
        <v>11/6.5-7</v>
      </c>
      <c r="B263" s="19" t="s">
        <v>193</v>
      </c>
      <c r="C263" s="19" t="s">
        <v>76</v>
      </c>
      <c r="D263" s="19" t="s">
        <v>76</v>
      </c>
      <c r="E263" s="19">
        <v>11</v>
      </c>
      <c r="F263" s="19" t="s">
        <v>192</v>
      </c>
      <c r="G263" s="2"/>
      <c r="H263" s="39" t="s">
        <v>88</v>
      </c>
      <c r="I263" s="2" t="s">
        <v>297</v>
      </c>
      <c r="J263" s="38">
        <v>45906</v>
      </c>
      <c r="K263" s="2">
        <v>4</v>
      </c>
      <c r="L263" s="2">
        <v>111.97</v>
      </c>
      <c r="M263" s="2">
        <v>4.5999999999999996</v>
      </c>
      <c r="N263" s="2">
        <f t="shared" si="13"/>
        <v>107.37</v>
      </c>
      <c r="O263" s="2"/>
      <c r="P263" s="2"/>
      <c r="Q263" s="2"/>
      <c r="R263" s="38"/>
      <c r="S263" s="2"/>
      <c r="T263" s="2"/>
    </row>
    <row r="264" spans="1:20" x14ac:dyDescent="0.2">
      <c r="A264" s="49" t="str">
        <f t="shared" si="14"/>
        <v>11/5</v>
      </c>
      <c r="B264" s="19" t="s">
        <v>84</v>
      </c>
      <c r="C264" s="19" t="s">
        <v>76</v>
      </c>
      <c r="D264" s="19" t="s">
        <v>76</v>
      </c>
      <c r="E264" s="19">
        <v>11</v>
      </c>
      <c r="F264" s="19">
        <v>5</v>
      </c>
      <c r="G264" s="2"/>
      <c r="H264" s="39" t="s">
        <v>88</v>
      </c>
      <c r="I264" s="2" t="s">
        <v>298</v>
      </c>
      <c r="J264" s="38">
        <v>45906</v>
      </c>
      <c r="K264" s="2">
        <v>1</v>
      </c>
      <c r="L264" s="2">
        <v>44.09</v>
      </c>
      <c r="M264" s="2">
        <v>1.1499999999999999</v>
      </c>
      <c r="N264" s="2">
        <f t="shared" si="13"/>
        <v>42.940000000000005</v>
      </c>
      <c r="O264" s="2"/>
      <c r="P264" s="2"/>
      <c r="Q264" s="2"/>
      <c r="R264" s="38"/>
      <c r="S264" s="2"/>
      <c r="T264" s="2"/>
    </row>
    <row r="265" spans="1:20" x14ac:dyDescent="0.2">
      <c r="A265" s="49" t="str">
        <f t="shared" si="14"/>
        <v>14/5</v>
      </c>
      <c r="B265" s="19" t="s">
        <v>84</v>
      </c>
      <c r="C265" s="19" t="s">
        <v>76</v>
      </c>
      <c r="D265" s="19" t="s">
        <v>76</v>
      </c>
      <c r="E265" s="19" t="s">
        <v>12</v>
      </c>
      <c r="F265" s="18">
        <v>5</v>
      </c>
      <c r="G265" s="2"/>
      <c r="H265" s="2"/>
      <c r="I265" s="2"/>
      <c r="J265" s="38"/>
      <c r="K265" s="2"/>
      <c r="L265" s="2"/>
      <c r="M265" s="2"/>
      <c r="N265" s="2"/>
      <c r="O265" s="2" t="s">
        <v>289</v>
      </c>
      <c r="P265" s="2" t="s">
        <v>299</v>
      </c>
      <c r="Q265" s="2"/>
      <c r="R265" s="38">
        <v>45906</v>
      </c>
      <c r="S265" s="2">
        <v>12</v>
      </c>
      <c r="T265" s="2">
        <v>300</v>
      </c>
    </row>
    <row r="266" spans="1:20" x14ac:dyDescent="0.2">
      <c r="A266" s="49" t="str">
        <f t="shared" si="14"/>
        <v>14/4.5</v>
      </c>
      <c r="B266" s="19" t="s">
        <v>162</v>
      </c>
      <c r="C266" s="19" t="s">
        <v>76</v>
      </c>
      <c r="D266" s="19" t="s">
        <v>76</v>
      </c>
      <c r="E266" s="19">
        <v>14</v>
      </c>
      <c r="F266" s="19">
        <v>4.5</v>
      </c>
      <c r="G266" s="2"/>
      <c r="H266" s="2"/>
      <c r="I266" s="2"/>
      <c r="J266" s="38"/>
      <c r="K266" s="2"/>
      <c r="L266" s="2"/>
      <c r="M266" s="2"/>
      <c r="N266" s="2"/>
      <c r="O266" s="2" t="s">
        <v>289</v>
      </c>
      <c r="P266" s="2" t="s">
        <v>300</v>
      </c>
      <c r="Q266" s="2"/>
      <c r="R266" s="38">
        <v>45906</v>
      </c>
      <c r="S266" s="2">
        <v>4</v>
      </c>
      <c r="T266" s="2">
        <v>100</v>
      </c>
    </row>
    <row r="267" spans="1:20" x14ac:dyDescent="0.2">
      <c r="A267" s="49" t="str">
        <f t="shared" si="14"/>
        <v>14/4.5</v>
      </c>
      <c r="B267" s="19" t="s">
        <v>162</v>
      </c>
      <c r="C267" s="19" t="s">
        <v>76</v>
      </c>
      <c r="D267" s="19" t="s">
        <v>76</v>
      </c>
      <c r="E267" s="19">
        <v>14</v>
      </c>
      <c r="F267" s="19">
        <v>4.5</v>
      </c>
      <c r="G267" s="2"/>
      <c r="H267" s="2"/>
      <c r="I267" s="2"/>
      <c r="J267" s="38"/>
      <c r="K267" s="2"/>
      <c r="L267" s="2"/>
      <c r="M267" s="2"/>
      <c r="N267" s="2"/>
      <c r="O267" s="2" t="s">
        <v>289</v>
      </c>
      <c r="P267" s="2" t="s">
        <v>301</v>
      </c>
      <c r="Q267" s="2"/>
      <c r="R267" s="38">
        <v>45906</v>
      </c>
      <c r="S267" s="2">
        <v>4</v>
      </c>
      <c r="T267" s="2">
        <v>100</v>
      </c>
    </row>
    <row r="268" spans="1:20" x14ac:dyDescent="0.2">
      <c r="A268" s="49" t="str">
        <f t="shared" si="14"/>
        <v>3.5/5</v>
      </c>
      <c r="B268" s="19" t="s">
        <v>162</v>
      </c>
      <c r="C268" s="19" t="s">
        <v>76</v>
      </c>
      <c r="D268" s="19" t="s">
        <v>76</v>
      </c>
      <c r="E268" s="19">
        <v>3.5</v>
      </c>
      <c r="F268" s="19" t="s">
        <v>40</v>
      </c>
      <c r="G268" s="2"/>
      <c r="H268" s="2"/>
      <c r="I268" s="2"/>
      <c r="J268" s="38"/>
      <c r="K268" s="2"/>
      <c r="L268" s="2"/>
      <c r="M268" s="2"/>
      <c r="N268" s="2"/>
      <c r="O268" s="2" t="s">
        <v>289</v>
      </c>
      <c r="P268" s="2" t="s">
        <v>302</v>
      </c>
      <c r="Q268" s="2"/>
      <c r="R268" s="38">
        <v>45906</v>
      </c>
      <c r="S268" s="2">
        <v>11</v>
      </c>
      <c r="T268" s="2">
        <v>220</v>
      </c>
    </row>
    <row r="269" spans="1:20" x14ac:dyDescent="0.2">
      <c r="A269" s="49" t="str">
        <f t="shared" si="14"/>
        <v>4/5</v>
      </c>
      <c r="B269" s="19" t="s">
        <v>161</v>
      </c>
      <c r="C269" s="19" t="s">
        <v>76</v>
      </c>
      <c r="D269" s="19" t="s">
        <v>76</v>
      </c>
      <c r="E269" s="19">
        <v>4</v>
      </c>
      <c r="F269" s="19">
        <v>5</v>
      </c>
      <c r="G269" s="2"/>
      <c r="H269" s="2"/>
      <c r="I269" s="2"/>
      <c r="J269" s="38"/>
      <c r="K269" s="2"/>
      <c r="L269" s="2"/>
      <c r="M269" s="2"/>
      <c r="N269" s="2"/>
      <c r="O269" s="2" t="s">
        <v>289</v>
      </c>
      <c r="P269" s="2" t="s">
        <v>303</v>
      </c>
      <c r="Q269" s="2"/>
      <c r="R269" s="38">
        <v>45906</v>
      </c>
      <c r="S269" s="2">
        <v>8</v>
      </c>
      <c r="T269" s="2">
        <v>160</v>
      </c>
    </row>
    <row r="270" spans="1:20" x14ac:dyDescent="0.2">
      <c r="A270" s="49" t="str">
        <f t="shared" si="14"/>
        <v>16/15</v>
      </c>
      <c r="B270" s="19" t="s">
        <v>188</v>
      </c>
      <c r="C270" s="19" t="s">
        <v>76</v>
      </c>
      <c r="D270" s="19" t="s">
        <v>76</v>
      </c>
      <c r="E270" s="19">
        <v>16</v>
      </c>
      <c r="F270" s="19">
        <v>15</v>
      </c>
      <c r="G270" s="2"/>
      <c r="H270" s="2"/>
      <c r="I270" s="2"/>
      <c r="J270" s="38"/>
      <c r="K270" s="2"/>
      <c r="L270" s="2"/>
      <c r="M270" s="2"/>
      <c r="N270" s="2"/>
      <c r="O270" s="2" t="s">
        <v>94</v>
      </c>
      <c r="P270" s="2" t="s">
        <v>308</v>
      </c>
      <c r="Q270" s="2"/>
      <c r="R270" s="38">
        <v>45906</v>
      </c>
      <c r="S270" s="2">
        <v>9</v>
      </c>
      <c r="T270" s="2">
        <v>259.8</v>
      </c>
    </row>
    <row r="271" spans="1:20" x14ac:dyDescent="0.2">
      <c r="A271" s="49" t="str">
        <f t="shared" si="14"/>
        <v>20/5</v>
      </c>
      <c r="B271" s="19" t="s">
        <v>85</v>
      </c>
      <c r="C271" s="19" t="s">
        <v>76</v>
      </c>
      <c r="D271" s="19" t="s">
        <v>76</v>
      </c>
      <c r="E271" s="19">
        <v>20</v>
      </c>
      <c r="F271" s="19">
        <v>5</v>
      </c>
      <c r="G271" s="2"/>
      <c r="H271" s="2"/>
      <c r="I271" s="2"/>
      <c r="J271" s="38"/>
      <c r="K271" s="2"/>
      <c r="L271" s="2"/>
      <c r="M271" s="2"/>
      <c r="N271" s="2"/>
      <c r="O271" s="2" t="s">
        <v>94</v>
      </c>
      <c r="P271" s="2" t="s">
        <v>309</v>
      </c>
      <c r="Q271" s="2"/>
      <c r="R271" s="38">
        <v>45906</v>
      </c>
      <c r="S271" s="2">
        <v>5</v>
      </c>
      <c r="T271" s="2">
        <v>110.3</v>
      </c>
    </row>
    <row r="272" spans="1:20" x14ac:dyDescent="0.2">
      <c r="A272" s="49" t="str">
        <f t="shared" si="14"/>
        <v>17/5.5-6</v>
      </c>
      <c r="B272" s="19" t="s">
        <v>92</v>
      </c>
      <c r="C272" s="19" t="s">
        <v>76</v>
      </c>
      <c r="D272" s="19" t="s">
        <v>76</v>
      </c>
      <c r="E272" s="19">
        <v>17</v>
      </c>
      <c r="F272" s="19" t="s">
        <v>5</v>
      </c>
      <c r="G272" s="2"/>
      <c r="H272" s="2"/>
      <c r="I272" s="2"/>
      <c r="J272" s="38"/>
      <c r="K272" s="2"/>
      <c r="L272" s="2"/>
      <c r="M272" s="2"/>
      <c r="N272" s="2"/>
      <c r="O272" s="2" t="s">
        <v>94</v>
      </c>
      <c r="P272" s="2" t="s">
        <v>310</v>
      </c>
      <c r="Q272" s="2"/>
      <c r="R272" s="38">
        <v>45906</v>
      </c>
      <c r="S272" s="2">
        <v>8</v>
      </c>
      <c r="T272" s="2">
        <v>200</v>
      </c>
    </row>
    <row r="273" spans="1:20" x14ac:dyDescent="0.2">
      <c r="A273" s="49" t="str">
        <f t="shared" si="14"/>
        <v>11/6.5-7</v>
      </c>
      <c r="B273" s="19" t="s">
        <v>193</v>
      </c>
      <c r="C273" s="19" t="s">
        <v>76</v>
      </c>
      <c r="D273" s="19" t="s">
        <v>76</v>
      </c>
      <c r="E273" s="19">
        <v>11</v>
      </c>
      <c r="F273" s="19" t="s">
        <v>192</v>
      </c>
      <c r="G273" s="2"/>
      <c r="H273" s="2"/>
      <c r="I273" s="2"/>
      <c r="J273" s="38"/>
      <c r="K273" s="2"/>
      <c r="L273" s="2"/>
      <c r="M273" s="2"/>
      <c r="N273" s="2"/>
      <c r="O273" s="2" t="s">
        <v>94</v>
      </c>
      <c r="P273" s="2" t="s">
        <v>311</v>
      </c>
      <c r="Q273" s="2"/>
      <c r="R273" s="38">
        <v>45906</v>
      </c>
      <c r="S273" s="2">
        <v>2</v>
      </c>
      <c r="T273" s="2">
        <v>50</v>
      </c>
    </row>
    <row r="274" spans="1:20" x14ac:dyDescent="0.2">
      <c r="A274" s="49" t="str">
        <f t="shared" si="14"/>
        <v>17/5.5-6</v>
      </c>
      <c r="B274" s="19" t="s">
        <v>92</v>
      </c>
      <c r="C274" s="19" t="s">
        <v>76</v>
      </c>
      <c r="D274" s="19" t="s">
        <v>76</v>
      </c>
      <c r="E274" s="19">
        <v>17</v>
      </c>
      <c r="F274" s="19" t="s">
        <v>5</v>
      </c>
      <c r="G274" s="2"/>
      <c r="H274" s="2"/>
      <c r="I274" s="2"/>
      <c r="J274" s="38"/>
      <c r="K274" s="2"/>
      <c r="L274" s="2"/>
      <c r="M274" s="2"/>
      <c r="N274" s="2"/>
      <c r="O274" s="2" t="s">
        <v>94</v>
      </c>
      <c r="P274" s="2" t="s">
        <v>310</v>
      </c>
      <c r="Q274" s="2"/>
      <c r="R274" s="38">
        <v>45906</v>
      </c>
      <c r="S274" s="2">
        <v>8</v>
      </c>
      <c r="T274" s="2">
        <v>200</v>
      </c>
    </row>
    <row r="275" spans="1:20" x14ac:dyDescent="0.2">
      <c r="A275" s="49" t="str">
        <f t="shared" si="14"/>
        <v>17/5.5-6</v>
      </c>
      <c r="B275" s="19" t="s">
        <v>92</v>
      </c>
      <c r="C275" s="19" t="s">
        <v>76</v>
      </c>
      <c r="D275" s="19" t="s">
        <v>76</v>
      </c>
      <c r="E275" s="19">
        <v>17</v>
      </c>
      <c r="F275" s="19" t="s">
        <v>5</v>
      </c>
      <c r="G275" s="2"/>
      <c r="H275" s="2"/>
      <c r="I275" s="2"/>
      <c r="J275" s="38"/>
      <c r="K275" s="2"/>
      <c r="L275" s="2"/>
      <c r="M275" s="2"/>
      <c r="N275" s="2"/>
      <c r="O275" s="2" t="s">
        <v>94</v>
      </c>
      <c r="P275" s="2" t="s">
        <v>310</v>
      </c>
      <c r="Q275" s="2"/>
      <c r="R275" s="38">
        <v>45906</v>
      </c>
      <c r="S275" s="2">
        <v>10</v>
      </c>
      <c r="T275" s="2">
        <v>250</v>
      </c>
    </row>
    <row r="276" spans="1:20" x14ac:dyDescent="0.2">
      <c r="A276" s="49" t="str">
        <f t="shared" si="14"/>
        <v>2.5/5</v>
      </c>
      <c r="B276" s="19" t="s">
        <v>83</v>
      </c>
      <c r="C276" s="19" t="s">
        <v>76</v>
      </c>
      <c r="D276" s="19" t="s">
        <v>76</v>
      </c>
      <c r="E276" s="19">
        <v>2.5</v>
      </c>
      <c r="F276" s="19">
        <v>5</v>
      </c>
      <c r="G276" s="2"/>
      <c r="H276" s="2" t="s">
        <v>88</v>
      </c>
      <c r="I276" s="4" t="s">
        <v>290</v>
      </c>
      <c r="J276" s="38">
        <v>45907</v>
      </c>
      <c r="K276" s="2">
        <v>7</v>
      </c>
      <c r="L276" s="2">
        <v>85.339999999999989</v>
      </c>
      <c r="M276" s="2">
        <v>1.4000000000000001</v>
      </c>
      <c r="N276" s="2">
        <f t="shared" ref="N276:N289" si="15">+L276-M276</f>
        <v>83.939999999999984</v>
      </c>
      <c r="O276" s="2"/>
      <c r="P276" s="2"/>
      <c r="Q276" s="2"/>
      <c r="R276" s="38"/>
      <c r="S276" s="2"/>
      <c r="T276" s="2"/>
    </row>
    <row r="277" spans="1:20" x14ac:dyDescent="0.2">
      <c r="A277" s="49" t="str">
        <f t="shared" si="14"/>
        <v>2.5/5</v>
      </c>
      <c r="B277" s="19" t="s">
        <v>163</v>
      </c>
      <c r="C277" s="19" t="s">
        <v>76</v>
      </c>
      <c r="D277" s="19" t="s">
        <v>76</v>
      </c>
      <c r="E277" s="19">
        <v>2.5</v>
      </c>
      <c r="F277" s="19">
        <v>5</v>
      </c>
      <c r="G277" s="2"/>
      <c r="H277" s="2" t="s">
        <v>88</v>
      </c>
      <c r="I277" s="2" t="s">
        <v>489</v>
      </c>
      <c r="J277" s="38">
        <v>45907</v>
      </c>
      <c r="K277" s="2">
        <v>3</v>
      </c>
      <c r="L277" s="2">
        <v>72.66</v>
      </c>
      <c r="M277" s="2">
        <v>0.60000000000000009</v>
      </c>
      <c r="N277" s="2">
        <f t="shared" si="15"/>
        <v>72.06</v>
      </c>
      <c r="O277" s="2"/>
      <c r="P277" s="2"/>
      <c r="Q277" s="2"/>
      <c r="R277" s="38"/>
      <c r="S277" s="2"/>
      <c r="T277" s="2"/>
    </row>
    <row r="278" spans="1:20" x14ac:dyDescent="0.2">
      <c r="A278" s="49" t="str">
        <f t="shared" si="14"/>
        <v>2.5/5</v>
      </c>
      <c r="B278" s="19" t="s">
        <v>163</v>
      </c>
      <c r="C278" s="19" t="s">
        <v>76</v>
      </c>
      <c r="D278" s="19" t="s">
        <v>76</v>
      </c>
      <c r="E278" s="19">
        <v>2.5</v>
      </c>
      <c r="F278" s="19">
        <v>5</v>
      </c>
      <c r="G278" s="2"/>
      <c r="H278" s="2" t="s">
        <v>88</v>
      </c>
      <c r="I278" s="2" t="s">
        <v>489</v>
      </c>
      <c r="J278" s="38">
        <v>45907</v>
      </c>
      <c r="K278" s="2">
        <v>1</v>
      </c>
      <c r="L278" s="2">
        <v>11.8</v>
      </c>
      <c r="M278" s="2">
        <v>0.2</v>
      </c>
      <c r="N278" s="2">
        <f t="shared" si="15"/>
        <v>11.600000000000001</v>
      </c>
      <c r="O278" s="2"/>
      <c r="P278" s="2"/>
      <c r="Q278" s="2"/>
      <c r="R278" s="38"/>
      <c r="S278" s="2"/>
      <c r="T278" s="2"/>
    </row>
    <row r="279" spans="1:20" x14ac:dyDescent="0.2">
      <c r="A279" s="49" t="str">
        <f t="shared" si="14"/>
        <v>2/5</v>
      </c>
      <c r="B279" s="19" t="s">
        <v>86</v>
      </c>
      <c r="C279" s="19" t="s">
        <v>76</v>
      </c>
      <c r="D279" s="19" t="s">
        <v>76</v>
      </c>
      <c r="E279" s="19">
        <v>2</v>
      </c>
      <c r="F279" s="19">
        <v>5</v>
      </c>
      <c r="G279" s="2"/>
      <c r="H279" s="2" t="s">
        <v>88</v>
      </c>
      <c r="I279" s="2" t="s">
        <v>291</v>
      </c>
      <c r="J279" s="38">
        <v>45907</v>
      </c>
      <c r="K279" s="2">
        <v>5</v>
      </c>
      <c r="L279" s="2">
        <v>108.99</v>
      </c>
      <c r="M279" s="2">
        <v>1</v>
      </c>
      <c r="N279" s="2">
        <f t="shared" si="15"/>
        <v>107.99</v>
      </c>
      <c r="O279" s="2"/>
      <c r="P279" s="2"/>
      <c r="Q279" s="2"/>
      <c r="R279" s="38"/>
      <c r="S279" s="2"/>
      <c r="T279" s="2"/>
    </row>
    <row r="280" spans="1:20" x14ac:dyDescent="0.2">
      <c r="A280" s="49" t="str">
        <f t="shared" si="14"/>
        <v>2/5</v>
      </c>
      <c r="B280" s="19" t="s">
        <v>86</v>
      </c>
      <c r="C280" s="19" t="s">
        <v>76</v>
      </c>
      <c r="D280" s="19" t="s">
        <v>76</v>
      </c>
      <c r="E280" s="19">
        <v>2</v>
      </c>
      <c r="F280" s="19">
        <v>5</v>
      </c>
      <c r="G280" s="2"/>
      <c r="H280" s="2" t="s">
        <v>88</v>
      </c>
      <c r="I280" s="2" t="s">
        <v>291</v>
      </c>
      <c r="J280" s="38">
        <v>45907</v>
      </c>
      <c r="K280" s="2">
        <v>6</v>
      </c>
      <c r="L280" s="2">
        <v>104.27</v>
      </c>
      <c r="M280" s="2">
        <v>1.2000000000000002</v>
      </c>
      <c r="N280" s="2">
        <f t="shared" si="15"/>
        <v>103.07</v>
      </c>
      <c r="O280" s="2"/>
      <c r="P280" s="2"/>
      <c r="Q280" s="2"/>
      <c r="R280" s="38"/>
      <c r="S280" s="2"/>
      <c r="T280" s="2"/>
    </row>
    <row r="281" spans="1:20" x14ac:dyDescent="0.2">
      <c r="A281" s="49" t="str">
        <f t="shared" si="14"/>
        <v>8/5</v>
      </c>
      <c r="B281" s="19" t="s">
        <v>84</v>
      </c>
      <c r="C281" s="19" t="s">
        <v>76</v>
      </c>
      <c r="D281" s="19" t="s">
        <v>76</v>
      </c>
      <c r="E281" s="19">
        <v>8</v>
      </c>
      <c r="F281" s="19">
        <v>5</v>
      </c>
      <c r="G281" s="2"/>
      <c r="H281" s="2" t="s">
        <v>88</v>
      </c>
      <c r="I281" s="2" t="s">
        <v>490</v>
      </c>
      <c r="J281" s="38">
        <v>45907</v>
      </c>
      <c r="K281" s="2">
        <v>7</v>
      </c>
      <c r="L281" s="2">
        <v>243.96</v>
      </c>
      <c r="M281" s="2">
        <v>6.3</v>
      </c>
      <c r="N281" s="2">
        <f t="shared" si="15"/>
        <v>237.66</v>
      </c>
      <c r="O281" s="2"/>
      <c r="P281" s="2"/>
      <c r="Q281" s="2"/>
      <c r="R281" s="38"/>
      <c r="S281" s="2"/>
      <c r="T281" s="2"/>
    </row>
    <row r="282" spans="1:20" x14ac:dyDescent="0.2">
      <c r="A282" s="49" t="str">
        <f t="shared" si="14"/>
        <v>7/5</v>
      </c>
      <c r="B282" s="19" t="s">
        <v>84</v>
      </c>
      <c r="C282" s="19" t="s">
        <v>76</v>
      </c>
      <c r="D282" s="19" t="s">
        <v>76</v>
      </c>
      <c r="E282" s="19">
        <v>7</v>
      </c>
      <c r="F282" s="19">
        <v>5</v>
      </c>
      <c r="G282" s="2"/>
      <c r="H282" s="2" t="s">
        <v>88</v>
      </c>
      <c r="I282" s="2" t="s">
        <v>491</v>
      </c>
      <c r="J282" s="38">
        <v>45907</v>
      </c>
      <c r="K282" s="2">
        <v>1</v>
      </c>
      <c r="L282" s="2">
        <v>29.99</v>
      </c>
      <c r="M282" s="2">
        <v>0.8</v>
      </c>
      <c r="N282" s="2">
        <f t="shared" si="15"/>
        <v>29.189999999999998</v>
      </c>
      <c r="O282" s="2"/>
      <c r="P282" s="2"/>
      <c r="Q282" s="2"/>
      <c r="R282" s="38"/>
      <c r="S282" s="2"/>
      <c r="T282" s="2"/>
    </row>
    <row r="283" spans="1:20" x14ac:dyDescent="0.2">
      <c r="A283" s="49" t="str">
        <f t="shared" si="14"/>
        <v>7/5</v>
      </c>
      <c r="B283" s="19" t="s">
        <v>84</v>
      </c>
      <c r="C283" s="19" t="s">
        <v>76</v>
      </c>
      <c r="D283" s="19" t="s">
        <v>76</v>
      </c>
      <c r="E283" s="19">
        <v>7</v>
      </c>
      <c r="F283" s="19">
        <v>5</v>
      </c>
      <c r="G283" s="2"/>
      <c r="H283" s="2" t="s">
        <v>88</v>
      </c>
      <c r="I283" s="2" t="s">
        <v>491</v>
      </c>
      <c r="J283" s="38">
        <v>45907</v>
      </c>
      <c r="K283" s="2">
        <v>8</v>
      </c>
      <c r="L283" s="2">
        <v>240.74000000000004</v>
      </c>
      <c r="M283" s="2">
        <v>6.4</v>
      </c>
      <c r="N283" s="2">
        <f t="shared" si="15"/>
        <v>234.34000000000003</v>
      </c>
      <c r="O283" s="2"/>
      <c r="P283" s="2"/>
      <c r="Q283" s="2"/>
      <c r="R283" s="38"/>
      <c r="S283" s="2"/>
      <c r="T283" s="2"/>
    </row>
    <row r="284" spans="1:20" x14ac:dyDescent="0.2">
      <c r="A284" s="49" t="str">
        <f t="shared" si="14"/>
        <v>17/5.5-6</v>
      </c>
      <c r="B284" s="19" t="s">
        <v>92</v>
      </c>
      <c r="C284" s="19" t="s">
        <v>76</v>
      </c>
      <c r="D284" s="19" t="s">
        <v>76</v>
      </c>
      <c r="E284" s="19">
        <v>17</v>
      </c>
      <c r="F284" s="19" t="s">
        <v>5</v>
      </c>
      <c r="G284" s="2"/>
      <c r="H284" s="2" t="s">
        <v>88</v>
      </c>
      <c r="I284" s="2" t="s">
        <v>492</v>
      </c>
      <c r="J284" s="38">
        <v>45907</v>
      </c>
      <c r="K284" s="2">
        <v>14</v>
      </c>
      <c r="L284" s="2">
        <v>801.00999999999988</v>
      </c>
      <c r="M284" s="2">
        <v>23.8</v>
      </c>
      <c r="N284" s="2">
        <f t="shared" si="15"/>
        <v>777.20999999999992</v>
      </c>
      <c r="O284" s="2"/>
      <c r="P284" s="2"/>
      <c r="Q284" s="2"/>
      <c r="R284" s="38"/>
      <c r="S284" s="2"/>
      <c r="T284" s="2"/>
    </row>
    <row r="285" spans="1:20" x14ac:dyDescent="0.2">
      <c r="A285" s="49" t="str">
        <f t="shared" si="14"/>
        <v>17/5.5-6</v>
      </c>
      <c r="B285" s="19" t="s">
        <v>92</v>
      </c>
      <c r="C285" s="19" t="s">
        <v>76</v>
      </c>
      <c r="D285" s="19" t="s">
        <v>76</v>
      </c>
      <c r="E285" s="19">
        <v>17</v>
      </c>
      <c r="F285" s="19" t="s">
        <v>5</v>
      </c>
      <c r="G285" s="2"/>
      <c r="H285" s="2" t="s">
        <v>88</v>
      </c>
      <c r="I285" s="2" t="s">
        <v>492</v>
      </c>
      <c r="J285" s="38">
        <v>45907</v>
      </c>
      <c r="K285" s="2">
        <v>17</v>
      </c>
      <c r="L285" s="2">
        <v>797.26</v>
      </c>
      <c r="M285" s="2">
        <v>32.4</v>
      </c>
      <c r="N285" s="2">
        <f t="shared" si="15"/>
        <v>764.86</v>
      </c>
      <c r="O285" s="2"/>
      <c r="P285" s="2"/>
      <c r="Q285" s="2"/>
      <c r="R285" s="38"/>
      <c r="S285" s="2"/>
      <c r="T285" s="2"/>
    </row>
    <row r="286" spans="1:20" x14ac:dyDescent="0.2">
      <c r="A286" s="49" t="str">
        <f t="shared" si="14"/>
        <v>11/5</v>
      </c>
      <c r="B286" s="19" t="s">
        <v>84</v>
      </c>
      <c r="C286" s="19" t="s">
        <v>76</v>
      </c>
      <c r="D286" s="19" t="s">
        <v>76</v>
      </c>
      <c r="E286" s="19">
        <v>11</v>
      </c>
      <c r="F286" s="19">
        <v>5</v>
      </c>
      <c r="G286" s="2"/>
      <c r="H286" s="2" t="s">
        <v>88</v>
      </c>
      <c r="I286" s="2" t="s">
        <v>298</v>
      </c>
      <c r="J286" s="38">
        <v>45907</v>
      </c>
      <c r="K286" s="2">
        <v>10</v>
      </c>
      <c r="L286" s="2">
        <v>503.49</v>
      </c>
      <c r="M286" s="2">
        <v>11.5</v>
      </c>
      <c r="N286" s="2">
        <f t="shared" si="15"/>
        <v>491.99</v>
      </c>
      <c r="O286" s="2"/>
      <c r="P286" s="2"/>
      <c r="Q286" s="2"/>
      <c r="R286" s="38"/>
      <c r="S286" s="2"/>
      <c r="T286" s="2"/>
    </row>
    <row r="287" spans="1:20" x14ac:dyDescent="0.2">
      <c r="A287" s="49" t="str">
        <f t="shared" si="14"/>
        <v>10/5</v>
      </c>
      <c r="B287" s="19" t="s">
        <v>84</v>
      </c>
      <c r="C287" s="19" t="s">
        <v>76</v>
      </c>
      <c r="D287" s="19" t="s">
        <v>76</v>
      </c>
      <c r="E287" s="19">
        <v>10</v>
      </c>
      <c r="F287" s="19">
        <v>5</v>
      </c>
      <c r="G287" s="2"/>
      <c r="H287" s="2" t="s">
        <v>88</v>
      </c>
      <c r="I287" s="2" t="s">
        <v>493</v>
      </c>
      <c r="J287" s="38">
        <v>45907</v>
      </c>
      <c r="K287" s="2">
        <v>5</v>
      </c>
      <c r="L287" s="2">
        <v>184.43999999999997</v>
      </c>
      <c r="M287" s="2">
        <v>5</v>
      </c>
      <c r="N287" s="2">
        <f t="shared" si="15"/>
        <v>179.43999999999997</v>
      </c>
      <c r="O287" s="2"/>
      <c r="P287" s="2"/>
      <c r="Q287" s="2"/>
      <c r="R287" s="38"/>
      <c r="S287" s="2"/>
      <c r="T287" s="2"/>
    </row>
    <row r="288" spans="1:20" x14ac:dyDescent="0.2">
      <c r="A288" s="49" t="str">
        <f t="shared" si="14"/>
        <v>10/15</v>
      </c>
      <c r="B288" s="19" t="s">
        <v>188</v>
      </c>
      <c r="C288" s="19" t="s">
        <v>76</v>
      </c>
      <c r="D288" s="19" t="s">
        <v>76</v>
      </c>
      <c r="E288" s="19">
        <v>10</v>
      </c>
      <c r="F288" s="19">
        <v>15</v>
      </c>
      <c r="G288" s="2"/>
      <c r="H288" s="2" t="s">
        <v>88</v>
      </c>
      <c r="I288" s="2" t="s">
        <v>494</v>
      </c>
      <c r="J288" s="38">
        <v>45907</v>
      </c>
      <c r="K288" s="2">
        <v>8</v>
      </c>
      <c r="L288" s="2">
        <v>218.22</v>
      </c>
      <c r="M288" s="2">
        <v>8</v>
      </c>
      <c r="N288" s="2">
        <f t="shared" si="15"/>
        <v>210.22</v>
      </c>
      <c r="O288" s="2"/>
      <c r="P288" s="2"/>
      <c r="Q288" s="2"/>
      <c r="R288" s="38"/>
      <c r="S288" s="2"/>
      <c r="T288" s="2"/>
    </row>
    <row r="289" spans="1:20" x14ac:dyDescent="0.2">
      <c r="A289" s="49" t="str">
        <f t="shared" si="14"/>
        <v>11/5</v>
      </c>
      <c r="B289" s="19" t="s">
        <v>84</v>
      </c>
      <c r="C289" s="19" t="s">
        <v>76</v>
      </c>
      <c r="D289" s="19" t="s">
        <v>76</v>
      </c>
      <c r="E289" s="19">
        <v>11</v>
      </c>
      <c r="F289" s="19">
        <v>5</v>
      </c>
      <c r="G289" s="2"/>
      <c r="H289" s="2" t="s">
        <v>88</v>
      </c>
      <c r="I289" s="2" t="s">
        <v>298</v>
      </c>
      <c r="J289" s="38">
        <v>45907</v>
      </c>
      <c r="K289" s="2">
        <v>2</v>
      </c>
      <c r="L289" s="2">
        <v>61.79</v>
      </c>
      <c r="M289" s="2">
        <v>2.2000000000000002</v>
      </c>
      <c r="N289" s="2">
        <f t="shared" si="15"/>
        <v>59.589999999999996</v>
      </c>
      <c r="O289" s="2"/>
      <c r="P289" s="2"/>
      <c r="Q289" s="2"/>
      <c r="R289" s="38"/>
      <c r="S289" s="2"/>
      <c r="T289" s="2"/>
    </row>
    <row r="290" spans="1:20" x14ac:dyDescent="0.2">
      <c r="A290" s="49" t="str">
        <f t="shared" si="14"/>
        <v>14/5</v>
      </c>
      <c r="B290" s="19" t="s">
        <v>84</v>
      </c>
      <c r="C290" s="19" t="s">
        <v>76</v>
      </c>
      <c r="D290" s="19" t="s">
        <v>76</v>
      </c>
      <c r="E290" s="19" t="s">
        <v>12</v>
      </c>
      <c r="F290" s="18">
        <v>5</v>
      </c>
      <c r="G290" s="2"/>
      <c r="H290" s="2"/>
      <c r="I290" s="2"/>
      <c r="J290" s="38"/>
      <c r="K290" s="2"/>
      <c r="L290" s="2"/>
      <c r="M290" s="2"/>
      <c r="N290" s="2"/>
      <c r="O290" s="2" t="s">
        <v>289</v>
      </c>
      <c r="P290" s="2" t="s">
        <v>299</v>
      </c>
      <c r="Q290" s="2"/>
      <c r="R290" s="38">
        <v>45907</v>
      </c>
      <c r="S290" s="2">
        <v>8</v>
      </c>
      <c r="T290" s="2">
        <v>200</v>
      </c>
    </row>
    <row r="291" spans="1:20" x14ac:dyDescent="0.2">
      <c r="A291" s="49" t="str">
        <f t="shared" si="14"/>
        <v>14/5</v>
      </c>
      <c r="B291" s="19" t="s">
        <v>84</v>
      </c>
      <c r="C291" s="19" t="s">
        <v>76</v>
      </c>
      <c r="D291" s="19" t="s">
        <v>76</v>
      </c>
      <c r="E291" s="19" t="s">
        <v>12</v>
      </c>
      <c r="F291" s="18">
        <v>5</v>
      </c>
      <c r="G291" s="2"/>
      <c r="H291" s="2"/>
      <c r="I291" s="2"/>
      <c r="J291" s="38"/>
      <c r="K291" s="2"/>
      <c r="L291" s="2"/>
      <c r="M291" s="2"/>
      <c r="N291" s="2"/>
      <c r="O291" s="2" t="s">
        <v>289</v>
      </c>
      <c r="P291" s="2" t="s">
        <v>495</v>
      </c>
      <c r="Q291" s="2"/>
      <c r="R291" s="38">
        <v>45907</v>
      </c>
      <c r="S291" s="2">
        <v>9</v>
      </c>
      <c r="T291" s="2">
        <v>225</v>
      </c>
    </row>
    <row r="292" spans="1:20" x14ac:dyDescent="0.2">
      <c r="A292" s="49" t="str">
        <f t="shared" si="14"/>
        <v>12/4.5</v>
      </c>
      <c r="B292" s="19" t="s">
        <v>162</v>
      </c>
      <c r="C292" s="19" t="s">
        <v>76</v>
      </c>
      <c r="D292" s="19" t="s">
        <v>76</v>
      </c>
      <c r="E292" s="19">
        <v>12</v>
      </c>
      <c r="F292" s="19">
        <v>4.5</v>
      </c>
      <c r="G292" s="2"/>
      <c r="H292" s="2"/>
      <c r="I292" s="2"/>
      <c r="J292" s="38"/>
      <c r="K292" s="2"/>
      <c r="L292" s="2"/>
      <c r="M292" s="2"/>
      <c r="N292" s="2"/>
      <c r="O292" s="2" t="s">
        <v>289</v>
      </c>
      <c r="P292" s="2" t="s">
        <v>496</v>
      </c>
      <c r="Q292" s="2"/>
      <c r="R292" s="38">
        <v>45907</v>
      </c>
      <c r="S292" s="2">
        <v>3</v>
      </c>
      <c r="T292" s="2">
        <v>75</v>
      </c>
    </row>
    <row r="293" spans="1:20" x14ac:dyDescent="0.2">
      <c r="A293" s="49" t="str">
        <f t="shared" si="14"/>
        <v>17/5.5-6</v>
      </c>
      <c r="B293" s="19" t="s">
        <v>92</v>
      </c>
      <c r="C293" s="19" t="s">
        <v>76</v>
      </c>
      <c r="D293" s="19" t="s">
        <v>76</v>
      </c>
      <c r="E293" s="19">
        <v>17</v>
      </c>
      <c r="F293" s="19" t="s">
        <v>5</v>
      </c>
      <c r="G293" s="2"/>
      <c r="H293" s="2"/>
      <c r="I293" s="2"/>
      <c r="J293" s="38"/>
      <c r="K293" s="2"/>
      <c r="L293" s="2"/>
      <c r="M293" s="2"/>
      <c r="N293" s="2"/>
      <c r="O293" s="2" t="s">
        <v>94</v>
      </c>
      <c r="P293" s="2" t="s">
        <v>310</v>
      </c>
      <c r="Q293" s="2"/>
      <c r="R293" s="38">
        <v>45907</v>
      </c>
      <c r="S293" s="2">
        <v>12</v>
      </c>
      <c r="T293" s="2">
        <v>300</v>
      </c>
    </row>
    <row r="294" spans="1:20" x14ac:dyDescent="0.2">
      <c r="A294" s="49" t="str">
        <f t="shared" si="14"/>
        <v>17/5.5-6</v>
      </c>
      <c r="B294" s="19" t="s">
        <v>92</v>
      </c>
      <c r="C294" s="19" t="s">
        <v>76</v>
      </c>
      <c r="D294" s="19" t="s">
        <v>76</v>
      </c>
      <c r="E294" s="19">
        <v>17</v>
      </c>
      <c r="F294" s="19" t="s">
        <v>5</v>
      </c>
      <c r="G294" s="2"/>
      <c r="H294" s="2"/>
      <c r="I294" s="2"/>
      <c r="J294" s="38"/>
      <c r="K294" s="2"/>
      <c r="L294" s="2"/>
      <c r="M294" s="2"/>
      <c r="N294" s="2"/>
      <c r="O294" s="2" t="s">
        <v>94</v>
      </c>
      <c r="P294" s="2" t="s">
        <v>310</v>
      </c>
      <c r="Q294" s="2"/>
      <c r="R294" s="38">
        <v>45907</v>
      </c>
      <c r="S294" s="2">
        <v>15</v>
      </c>
      <c r="T294" s="2">
        <v>375</v>
      </c>
    </row>
    <row r="295" spans="1:20" x14ac:dyDescent="0.2">
      <c r="A295" s="49" t="str">
        <f t="shared" si="14"/>
        <v>17/5.5-6</v>
      </c>
      <c r="B295" s="19" t="s">
        <v>92</v>
      </c>
      <c r="C295" s="19" t="s">
        <v>76</v>
      </c>
      <c r="D295" s="19" t="s">
        <v>76</v>
      </c>
      <c r="E295" s="19">
        <v>17</v>
      </c>
      <c r="F295" s="19" t="s">
        <v>5</v>
      </c>
      <c r="G295" s="2"/>
      <c r="H295" s="2"/>
      <c r="I295" s="2"/>
      <c r="J295" s="38"/>
      <c r="K295" s="2"/>
      <c r="L295" s="2"/>
      <c r="M295" s="2"/>
      <c r="N295" s="2"/>
      <c r="O295" s="2" t="s">
        <v>94</v>
      </c>
      <c r="P295" s="2" t="s">
        <v>310</v>
      </c>
      <c r="Q295" s="2"/>
      <c r="R295" s="38">
        <v>45907</v>
      </c>
      <c r="S295" s="2">
        <v>16</v>
      </c>
      <c r="T295" s="2">
        <v>400</v>
      </c>
    </row>
    <row r="296" spans="1:20" x14ac:dyDescent="0.2">
      <c r="A296" s="49" t="str">
        <f t="shared" si="14"/>
        <v>28/5-5.5</v>
      </c>
      <c r="B296" s="19" t="s">
        <v>85</v>
      </c>
      <c r="C296" s="19" t="s">
        <v>76</v>
      </c>
      <c r="D296" s="19" t="s">
        <v>76</v>
      </c>
      <c r="E296" s="19">
        <v>28</v>
      </c>
      <c r="F296" s="19" t="s">
        <v>41</v>
      </c>
      <c r="G296" s="2"/>
      <c r="H296" s="2"/>
      <c r="I296" s="2"/>
      <c r="J296" s="38"/>
      <c r="K296" s="2"/>
      <c r="L296" s="2"/>
      <c r="M296" s="2"/>
      <c r="N296" s="2"/>
      <c r="O296" s="2" t="s">
        <v>186</v>
      </c>
      <c r="P296" s="2" t="s">
        <v>497</v>
      </c>
      <c r="Q296" s="2"/>
      <c r="R296" s="38">
        <v>45905</v>
      </c>
      <c r="S296" s="2">
        <v>22</v>
      </c>
      <c r="T296" s="2">
        <v>1166.8699999999999</v>
      </c>
    </row>
    <row r="297" spans="1:20" x14ac:dyDescent="0.2">
      <c r="A297" s="49" t="str">
        <f t="shared" si="14"/>
        <v>14/10</v>
      </c>
      <c r="B297" s="19" t="s">
        <v>164</v>
      </c>
      <c r="C297" s="19" t="s">
        <v>76</v>
      </c>
      <c r="D297" s="19" t="s">
        <v>76</v>
      </c>
      <c r="E297" s="19">
        <v>14</v>
      </c>
      <c r="F297" s="19">
        <v>10</v>
      </c>
      <c r="G297" s="2"/>
      <c r="H297" s="2"/>
      <c r="I297" s="2"/>
      <c r="J297" s="38"/>
      <c r="K297" s="2"/>
      <c r="L297" s="2"/>
      <c r="M297" s="2"/>
      <c r="N297" s="2"/>
      <c r="O297" s="2" t="s">
        <v>186</v>
      </c>
      <c r="P297" s="2" t="s">
        <v>498</v>
      </c>
      <c r="Q297" s="2"/>
      <c r="R297" s="38">
        <v>45905</v>
      </c>
      <c r="S297" s="2">
        <v>10</v>
      </c>
      <c r="T297" s="2">
        <v>438.72</v>
      </c>
    </row>
    <row r="298" spans="1:20" x14ac:dyDescent="0.2">
      <c r="A298" s="49" t="str">
        <f t="shared" si="14"/>
        <v>18/7</v>
      </c>
      <c r="B298" s="19" t="s">
        <v>163</v>
      </c>
      <c r="C298" s="19" t="s">
        <v>76</v>
      </c>
      <c r="D298" s="19" t="s">
        <v>76</v>
      </c>
      <c r="E298" s="19">
        <v>18</v>
      </c>
      <c r="F298" s="19" t="s">
        <v>19</v>
      </c>
      <c r="G298" s="2"/>
      <c r="H298" s="2"/>
      <c r="I298" s="2"/>
      <c r="J298" s="38"/>
      <c r="K298" s="2"/>
      <c r="L298" s="2"/>
      <c r="M298" s="2"/>
      <c r="N298" s="2"/>
      <c r="O298" s="2" t="s">
        <v>186</v>
      </c>
      <c r="P298" s="2" t="s">
        <v>499</v>
      </c>
      <c r="Q298" s="2"/>
      <c r="R298" s="38">
        <v>45905</v>
      </c>
      <c r="S298" s="2">
        <v>5</v>
      </c>
      <c r="T298" s="2">
        <v>242.43</v>
      </c>
    </row>
    <row r="299" spans="1:20" x14ac:dyDescent="0.2">
      <c r="A299" s="49" t="str">
        <f t="shared" si="14"/>
        <v>2.5/5</v>
      </c>
      <c r="B299" s="19" t="s">
        <v>163</v>
      </c>
      <c r="C299" s="19" t="s">
        <v>76</v>
      </c>
      <c r="D299" s="19" t="s">
        <v>76</v>
      </c>
      <c r="E299" s="19">
        <v>2.5</v>
      </c>
      <c r="F299" s="19">
        <v>5</v>
      </c>
      <c r="G299" s="2"/>
      <c r="H299" s="2" t="s">
        <v>88</v>
      </c>
      <c r="I299" s="2" t="s">
        <v>489</v>
      </c>
      <c r="J299" s="38">
        <v>45908</v>
      </c>
      <c r="K299" s="2">
        <v>6</v>
      </c>
      <c r="L299" s="2">
        <v>103.51</v>
      </c>
      <c r="M299" s="2">
        <v>1.2000000000000002</v>
      </c>
      <c r="N299" s="2">
        <f>+L299-M299</f>
        <v>102.31</v>
      </c>
      <c r="O299" s="2"/>
      <c r="P299" s="2"/>
      <c r="Q299" s="2"/>
      <c r="R299" s="38"/>
      <c r="S299" s="2"/>
      <c r="T299" s="2"/>
    </row>
    <row r="300" spans="1:20" x14ac:dyDescent="0.2">
      <c r="A300" s="49" t="str">
        <f t="shared" si="14"/>
        <v>2.5/5</v>
      </c>
      <c r="B300" s="19" t="s">
        <v>83</v>
      </c>
      <c r="C300" s="19" t="s">
        <v>76</v>
      </c>
      <c r="D300" s="19" t="s">
        <v>76</v>
      </c>
      <c r="E300" s="19">
        <v>2.5</v>
      </c>
      <c r="F300" s="19">
        <v>5</v>
      </c>
      <c r="G300" s="2"/>
      <c r="H300" s="2" t="s">
        <v>88</v>
      </c>
      <c r="I300" s="2" t="s">
        <v>290</v>
      </c>
      <c r="J300" s="38">
        <v>45908</v>
      </c>
      <c r="K300" s="2">
        <v>8</v>
      </c>
      <c r="L300" s="2">
        <v>88.350000000000009</v>
      </c>
      <c r="M300" s="2">
        <v>1.6</v>
      </c>
      <c r="N300" s="2">
        <f t="shared" ref="N300:N312" si="16">+L300-M300</f>
        <v>86.750000000000014</v>
      </c>
      <c r="O300" s="2"/>
      <c r="P300" s="2"/>
      <c r="Q300" s="2"/>
      <c r="R300" s="38"/>
      <c r="S300" s="2"/>
      <c r="T300" s="2"/>
    </row>
    <row r="301" spans="1:20" x14ac:dyDescent="0.2">
      <c r="A301" s="49" t="str">
        <f t="shared" si="14"/>
        <v>2/5.5-6</v>
      </c>
      <c r="B301" s="19" t="s">
        <v>83</v>
      </c>
      <c r="C301" s="19" t="s">
        <v>76</v>
      </c>
      <c r="D301" s="19" t="s">
        <v>76</v>
      </c>
      <c r="E301" s="19">
        <v>2</v>
      </c>
      <c r="F301" s="19" t="s">
        <v>5</v>
      </c>
      <c r="G301" s="2"/>
      <c r="H301" s="2" t="s">
        <v>88</v>
      </c>
      <c r="I301" s="2" t="s">
        <v>507</v>
      </c>
      <c r="J301" s="38">
        <v>45908</v>
      </c>
      <c r="K301" s="2">
        <v>8</v>
      </c>
      <c r="L301" s="2">
        <v>92.11</v>
      </c>
      <c r="M301" s="2">
        <v>1.6</v>
      </c>
      <c r="N301" s="2">
        <f t="shared" si="16"/>
        <v>90.51</v>
      </c>
      <c r="O301" s="2"/>
      <c r="P301" s="2"/>
      <c r="Q301" s="2"/>
      <c r="R301" s="38"/>
      <c r="S301" s="2"/>
      <c r="T301" s="2"/>
    </row>
    <row r="302" spans="1:20" x14ac:dyDescent="0.2">
      <c r="A302" s="49" t="str">
        <f t="shared" si="14"/>
        <v>4/4.5</v>
      </c>
      <c r="B302" s="19" t="s">
        <v>162</v>
      </c>
      <c r="C302" s="19" t="s">
        <v>76</v>
      </c>
      <c r="D302" s="19" t="s">
        <v>76</v>
      </c>
      <c r="E302" s="19">
        <v>4</v>
      </c>
      <c r="F302" s="19">
        <v>4.5</v>
      </c>
      <c r="G302" s="2"/>
      <c r="H302" s="2" t="s">
        <v>88</v>
      </c>
      <c r="I302" s="2" t="s">
        <v>508</v>
      </c>
      <c r="J302" s="38">
        <v>45908</v>
      </c>
      <c r="K302" s="2">
        <v>1</v>
      </c>
      <c r="L302" s="2">
        <v>15.32</v>
      </c>
      <c r="M302" s="2">
        <v>0.4</v>
      </c>
      <c r="N302" s="2">
        <f t="shared" si="16"/>
        <v>14.92</v>
      </c>
      <c r="O302" s="2"/>
      <c r="P302" s="2"/>
      <c r="Q302" s="2"/>
      <c r="R302" s="38"/>
      <c r="S302" s="2"/>
      <c r="T302" s="2"/>
    </row>
    <row r="303" spans="1:20" x14ac:dyDescent="0.2">
      <c r="A303" s="49" t="str">
        <f t="shared" si="14"/>
        <v>4/4.5</v>
      </c>
      <c r="B303" s="19" t="s">
        <v>162</v>
      </c>
      <c r="C303" s="19" t="s">
        <v>76</v>
      </c>
      <c r="D303" s="19" t="s">
        <v>76</v>
      </c>
      <c r="E303" s="19">
        <v>4</v>
      </c>
      <c r="F303" s="19">
        <v>4.5</v>
      </c>
      <c r="G303" s="2"/>
      <c r="H303" s="2" t="s">
        <v>88</v>
      </c>
      <c r="I303" s="2" t="s">
        <v>508</v>
      </c>
      <c r="J303" s="38">
        <v>45908</v>
      </c>
      <c r="K303" s="2">
        <v>10</v>
      </c>
      <c r="L303" s="2">
        <v>96.3</v>
      </c>
      <c r="M303" s="2">
        <v>4</v>
      </c>
      <c r="N303" s="2">
        <f t="shared" si="16"/>
        <v>92.3</v>
      </c>
      <c r="O303" s="2"/>
      <c r="P303" s="2"/>
      <c r="Q303" s="2"/>
      <c r="R303" s="38"/>
      <c r="S303" s="2"/>
      <c r="T303" s="2"/>
    </row>
    <row r="304" spans="1:20" x14ac:dyDescent="0.2">
      <c r="A304" s="49" t="str">
        <f t="shared" si="14"/>
        <v>7/5</v>
      </c>
      <c r="B304" s="19" t="s">
        <v>84</v>
      </c>
      <c r="C304" s="19" t="s">
        <v>76</v>
      </c>
      <c r="D304" s="19" t="s">
        <v>76</v>
      </c>
      <c r="E304" s="19">
        <v>7</v>
      </c>
      <c r="F304" s="19">
        <v>5</v>
      </c>
      <c r="G304" s="2"/>
      <c r="H304" s="2" t="s">
        <v>88</v>
      </c>
      <c r="I304" s="2" t="s">
        <v>491</v>
      </c>
      <c r="J304" s="38">
        <v>45908</v>
      </c>
      <c r="K304" s="2">
        <v>5</v>
      </c>
      <c r="L304" s="2">
        <v>164.61</v>
      </c>
      <c r="M304" s="2">
        <v>4</v>
      </c>
      <c r="N304" s="2">
        <f t="shared" si="16"/>
        <v>160.61000000000001</v>
      </c>
      <c r="O304" s="2"/>
      <c r="P304" s="2"/>
      <c r="Q304" s="2"/>
      <c r="R304" s="38"/>
      <c r="S304" s="2"/>
      <c r="T304" s="2"/>
    </row>
    <row r="305" spans="1:20" x14ac:dyDescent="0.2">
      <c r="A305" s="49" t="str">
        <f t="shared" si="14"/>
        <v>7/5</v>
      </c>
      <c r="B305" s="19" t="s">
        <v>165</v>
      </c>
      <c r="C305" s="19" t="s">
        <v>76</v>
      </c>
      <c r="D305" s="19" t="s">
        <v>76</v>
      </c>
      <c r="E305" s="19">
        <v>7</v>
      </c>
      <c r="F305" s="19">
        <v>5</v>
      </c>
      <c r="G305" s="2"/>
      <c r="H305" s="2" t="s">
        <v>88</v>
      </c>
      <c r="I305" s="2" t="s">
        <v>509</v>
      </c>
      <c r="J305" s="38">
        <v>45908</v>
      </c>
      <c r="K305" s="2">
        <v>4</v>
      </c>
      <c r="L305" s="2">
        <v>105.84</v>
      </c>
      <c r="M305" s="2">
        <v>3.2</v>
      </c>
      <c r="N305" s="2">
        <f t="shared" si="16"/>
        <v>102.64</v>
      </c>
      <c r="O305" s="2"/>
      <c r="P305" s="2"/>
      <c r="Q305" s="2"/>
      <c r="R305" s="38"/>
      <c r="S305" s="2"/>
      <c r="T305" s="2"/>
    </row>
    <row r="306" spans="1:20" x14ac:dyDescent="0.2">
      <c r="A306" s="49" t="str">
        <f t="shared" si="14"/>
        <v>7/5</v>
      </c>
      <c r="B306" s="19" t="s">
        <v>84</v>
      </c>
      <c r="C306" s="19" t="s">
        <v>76</v>
      </c>
      <c r="D306" s="19" t="s">
        <v>76</v>
      </c>
      <c r="E306" s="19">
        <v>7</v>
      </c>
      <c r="F306" s="19">
        <v>5</v>
      </c>
      <c r="G306" s="2"/>
      <c r="H306" s="2" t="s">
        <v>88</v>
      </c>
      <c r="I306" s="2" t="s">
        <v>491</v>
      </c>
      <c r="J306" s="38">
        <v>45908</v>
      </c>
      <c r="K306" s="2">
        <v>10</v>
      </c>
      <c r="L306" s="2">
        <v>282.96999999999997</v>
      </c>
      <c r="M306" s="2">
        <v>7</v>
      </c>
      <c r="N306" s="2">
        <f t="shared" si="16"/>
        <v>275.96999999999997</v>
      </c>
      <c r="O306" s="2"/>
      <c r="P306" s="2"/>
      <c r="Q306" s="2"/>
      <c r="R306" s="38"/>
      <c r="S306" s="2"/>
      <c r="T306" s="2"/>
    </row>
    <row r="307" spans="1:20" x14ac:dyDescent="0.2">
      <c r="A307" s="49" t="str">
        <f t="shared" si="14"/>
        <v>17/5.5-6</v>
      </c>
      <c r="B307" s="19" t="s">
        <v>92</v>
      </c>
      <c r="C307" s="19" t="s">
        <v>76</v>
      </c>
      <c r="D307" s="19" t="s">
        <v>76</v>
      </c>
      <c r="E307" s="19">
        <v>17</v>
      </c>
      <c r="F307" s="19" t="s">
        <v>5</v>
      </c>
      <c r="G307" s="2"/>
      <c r="H307" s="2" t="s">
        <v>88</v>
      </c>
      <c r="I307" s="2" t="s">
        <v>492</v>
      </c>
      <c r="J307" s="38">
        <v>45908</v>
      </c>
      <c r="K307" s="2">
        <v>13</v>
      </c>
      <c r="L307" s="2">
        <v>656.18999999999994</v>
      </c>
      <c r="M307" s="2">
        <v>23.179999999999996</v>
      </c>
      <c r="N307" s="2">
        <f t="shared" si="16"/>
        <v>633.01</v>
      </c>
      <c r="O307" s="2"/>
      <c r="P307" s="2"/>
      <c r="Q307" s="2"/>
      <c r="R307" s="38"/>
      <c r="S307" s="2"/>
      <c r="T307" s="2"/>
    </row>
    <row r="308" spans="1:20" x14ac:dyDescent="0.2">
      <c r="A308" s="49" t="str">
        <f t="shared" si="14"/>
        <v>17/8.5-9</v>
      </c>
      <c r="B308" s="19" t="s">
        <v>506</v>
      </c>
      <c r="C308" s="19" t="s">
        <v>76</v>
      </c>
      <c r="D308" s="19" t="s">
        <v>76</v>
      </c>
      <c r="E308" s="19">
        <v>17</v>
      </c>
      <c r="F308" s="19" t="s">
        <v>171</v>
      </c>
      <c r="G308" s="2"/>
      <c r="H308" s="2" t="s">
        <v>88</v>
      </c>
      <c r="I308" s="2" t="s">
        <v>510</v>
      </c>
      <c r="J308" s="38">
        <v>45908</v>
      </c>
      <c r="K308" s="2">
        <v>2</v>
      </c>
      <c r="L308" s="2">
        <v>112.13</v>
      </c>
      <c r="M308" s="2">
        <v>3.9</v>
      </c>
      <c r="N308" s="2">
        <v>109.2</v>
      </c>
      <c r="O308" s="2"/>
      <c r="P308" s="2"/>
      <c r="Q308" s="2"/>
      <c r="R308" s="38"/>
      <c r="S308" s="2"/>
      <c r="T308" s="2"/>
    </row>
    <row r="309" spans="1:20" x14ac:dyDescent="0.2">
      <c r="A309" s="49" t="str">
        <f t="shared" si="14"/>
        <v>17/5.5-6</v>
      </c>
      <c r="B309" s="19" t="s">
        <v>92</v>
      </c>
      <c r="C309" s="19" t="s">
        <v>76</v>
      </c>
      <c r="D309" s="19" t="s">
        <v>76</v>
      </c>
      <c r="E309" s="19">
        <v>17</v>
      </c>
      <c r="F309" s="19" t="s">
        <v>5</v>
      </c>
      <c r="G309" s="2"/>
      <c r="H309" s="2" t="s">
        <v>88</v>
      </c>
      <c r="I309" s="2" t="s">
        <v>492</v>
      </c>
      <c r="J309" s="38">
        <v>45908</v>
      </c>
      <c r="K309" s="2">
        <v>12</v>
      </c>
      <c r="L309" s="2">
        <v>631.82999999999993</v>
      </c>
      <c r="M309" s="2">
        <v>22.799999999999997</v>
      </c>
      <c r="N309" s="2">
        <f t="shared" si="16"/>
        <v>609.03</v>
      </c>
      <c r="O309" s="2"/>
      <c r="P309" s="2"/>
      <c r="Q309" s="2"/>
      <c r="R309" s="38"/>
      <c r="S309" s="2"/>
      <c r="T309" s="2"/>
    </row>
    <row r="310" spans="1:20" x14ac:dyDescent="0.2">
      <c r="A310" s="49" t="str">
        <f t="shared" si="14"/>
        <v>10/15</v>
      </c>
      <c r="B310" s="19" t="s">
        <v>188</v>
      </c>
      <c r="C310" s="19" t="s">
        <v>76</v>
      </c>
      <c r="D310" s="19" t="s">
        <v>76</v>
      </c>
      <c r="E310" s="19">
        <v>10</v>
      </c>
      <c r="F310" s="19">
        <v>15</v>
      </c>
      <c r="G310" s="2"/>
      <c r="H310" s="2" t="s">
        <v>88</v>
      </c>
      <c r="I310" s="2" t="s">
        <v>494</v>
      </c>
      <c r="J310" s="38">
        <v>45908</v>
      </c>
      <c r="K310" s="2">
        <v>3</v>
      </c>
      <c r="L310" s="2">
        <v>100.35</v>
      </c>
      <c r="M310" s="2">
        <v>3.3000000000000003</v>
      </c>
      <c r="N310" s="2">
        <f t="shared" si="16"/>
        <v>97.05</v>
      </c>
      <c r="O310" s="2"/>
      <c r="P310" s="2"/>
      <c r="Q310" s="2"/>
      <c r="R310" s="38"/>
      <c r="S310" s="2"/>
      <c r="T310" s="2"/>
    </row>
    <row r="311" spans="1:20" x14ac:dyDescent="0.2">
      <c r="A311" s="49" t="str">
        <f t="shared" si="14"/>
        <v>10/5</v>
      </c>
      <c r="B311" s="19" t="s">
        <v>84</v>
      </c>
      <c r="C311" s="19" t="s">
        <v>76</v>
      </c>
      <c r="D311" s="19" t="s">
        <v>76</v>
      </c>
      <c r="E311" s="19">
        <v>10</v>
      </c>
      <c r="F311" s="19">
        <v>5</v>
      </c>
      <c r="G311" s="2"/>
      <c r="H311" s="2" t="s">
        <v>88</v>
      </c>
      <c r="I311" s="2" t="s">
        <v>511</v>
      </c>
      <c r="J311" s="38">
        <v>45908</v>
      </c>
      <c r="K311" s="2">
        <v>8</v>
      </c>
      <c r="L311" s="2">
        <v>349.99</v>
      </c>
      <c r="M311" s="2">
        <v>8.8000000000000007</v>
      </c>
      <c r="N311" s="2">
        <f t="shared" si="16"/>
        <v>341.19</v>
      </c>
      <c r="O311" s="2"/>
      <c r="P311" s="2"/>
      <c r="Q311" s="2"/>
      <c r="R311" s="38"/>
      <c r="S311" s="2"/>
      <c r="T311" s="2"/>
    </row>
    <row r="312" spans="1:20" x14ac:dyDescent="0.2">
      <c r="A312" s="49" t="str">
        <f t="shared" si="14"/>
        <v>14/5</v>
      </c>
      <c r="B312" s="19" t="s">
        <v>84</v>
      </c>
      <c r="C312" s="19" t="s">
        <v>76</v>
      </c>
      <c r="D312" s="19" t="s">
        <v>76</v>
      </c>
      <c r="E312" s="19">
        <v>14</v>
      </c>
      <c r="F312" s="18">
        <v>5</v>
      </c>
      <c r="G312" s="2"/>
      <c r="H312" s="2" t="s">
        <v>88</v>
      </c>
      <c r="I312" s="2" t="s">
        <v>512</v>
      </c>
      <c r="J312" s="38">
        <v>45908</v>
      </c>
      <c r="K312" s="2">
        <v>13</v>
      </c>
      <c r="L312" s="2">
        <v>545.61999999999989</v>
      </c>
      <c r="M312" s="2">
        <v>22.099999999999998</v>
      </c>
      <c r="N312" s="2">
        <f t="shared" si="16"/>
        <v>523.51999999999987</v>
      </c>
      <c r="O312" s="2"/>
      <c r="P312" s="2"/>
      <c r="Q312" s="2"/>
      <c r="R312" s="38"/>
      <c r="S312" s="2"/>
      <c r="T312" s="2"/>
    </row>
    <row r="313" spans="1:20" x14ac:dyDescent="0.2">
      <c r="A313" s="49" t="str">
        <f t="shared" si="14"/>
        <v>9/5</v>
      </c>
      <c r="B313" s="19" t="s">
        <v>83</v>
      </c>
      <c r="C313" s="19" t="s">
        <v>76</v>
      </c>
      <c r="D313" s="19" t="s">
        <v>76</v>
      </c>
      <c r="E313" s="19" t="s">
        <v>17</v>
      </c>
      <c r="F313" s="19">
        <v>5</v>
      </c>
      <c r="G313" s="2"/>
      <c r="H313" s="2"/>
      <c r="I313" s="2"/>
      <c r="J313" s="38"/>
      <c r="K313" s="2"/>
      <c r="L313" s="2"/>
      <c r="M313" s="2"/>
      <c r="N313" s="2"/>
      <c r="O313" s="2" t="s">
        <v>289</v>
      </c>
      <c r="P313" s="2" t="s">
        <v>513</v>
      </c>
      <c r="Q313" s="2"/>
      <c r="R313" s="38">
        <v>45908</v>
      </c>
      <c r="S313" s="2">
        <v>8</v>
      </c>
      <c r="T313" s="2">
        <v>200</v>
      </c>
    </row>
    <row r="314" spans="1:20" x14ac:dyDescent="0.2">
      <c r="A314" s="49" t="str">
        <f t="shared" si="14"/>
        <v>7/5</v>
      </c>
      <c r="B314" s="19" t="s">
        <v>83</v>
      </c>
      <c r="C314" s="19" t="s">
        <v>76</v>
      </c>
      <c r="D314" s="19" t="s">
        <v>76</v>
      </c>
      <c r="E314" s="19" t="s">
        <v>19</v>
      </c>
      <c r="F314" s="19">
        <v>5</v>
      </c>
      <c r="G314" s="2"/>
      <c r="H314" s="2"/>
      <c r="I314" s="2"/>
      <c r="J314" s="38"/>
      <c r="K314" s="2"/>
      <c r="L314" s="2"/>
      <c r="M314" s="2"/>
      <c r="N314" s="2"/>
      <c r="O314" s="2" t="s">
        <v>289</v>
      </c>
      <c r="P314" s="2" t="s">
        <v>514</v>
      </c>
      <c r="Q314" s="2"/>
      <c r="R314" s="38">
        <v>45908</v>
      </c>
      <c r="S314" s="2">
        <v>1</v>
      </c>
      <c r="T314" s="2">
        <v>25</v>
      </c>
    </row>
    <row r="315" spans="1:20" x14ac:dyDescent="0.2">
      <c r="A315" s="49" t="str">
        <f t="shared" si="14"/>
        <v>11/5</v>
      </c>
      <c r="B315" s="19" t="s">
        <v>188</v>
      </c>
      <c r="C315" s="19" t="s">
        <v>76</v>
      </c>
      <c r="D315" s="19" t="s">
        <v>76</v>
      </c>
      <c r="E315" s="19">
        <v>11</v>
      </c>
      <c r="F315" s="19">
        <v>5</v>
      </c>
      <c r="G315" s="2"/>
      <c r="H315" s="2"/>
      <c r="I315" s="2"/>
      <c r="J315" s="38"/>
      <c r="K315" s="2"/>
      <c r="L315" s="2"/>
      <c r="M315" s="2"/>
      <c r="N315" s="2"/>
      <c r="O315" s="2" t="s">
        <v>289</v>
      </c>
      <c r="P315" s="2" t="s">
        <v>515</v>
      </c>
      <c r="Q315" s="2"/>
      <c r="R315" s="38">
        <v>45908</v>
      </c>
      <c r="S315" s="2">
        <v>7</v>
      </c>
      <c r="T315" s="2">
        <v>175</v>
      </c>
    </row>
    <row r="316" spans="1:20" x14ac:dyDescent="0.2">
      <c r="A316" s="49" t="str">
        <f t="shared" si="14"/>
        <v>12/4.5</v>
      </c>
      <c r="B316" s="19" t="s">
        <v>162</v>
      </c>
      <c r="C316" s="19" t="s">
        <v>76</v>
      </c>
      <c r="D316" s="19" t="s">
        <v>76</v>
      </c>
      <c r="E316" s="19">
        <v>12</v>
      </c>
      <c r="F316" s="19">
        <v>4.5</v>
      </c>
      <c r="G316" s="2"/>
      <c r="H316" s="2"/>
      <c r="I316" s="2"/>
      <c r="J316" s="38"/>
      <c r="K316" s="2"/>
      <c r="L316" s="2"/>
      <c r="M316" s="2"/>
      <c r="N316" s="2"/>
      <c r="O316" s="2" t="s">
        <v>289</v>
      </c>
      <c r="P316" s="2" t="s">
        <v>496</v>
      </c>
      <c r="Q316" s="2"/>
      <c r="R316" s="38">
        <v>45908</v>
      </c>
      <c r="S316" s="2">
        <v>5</v>
      </c>
      <c r="T316" s="2">
        <v>125</v>
      </c>
    </row>
    <row r="317" spans="1:20" x14ac:dyDescent="0.2">
      <c r="A317" s="49" t="str">
        <f t="shared" si="14"/>
        <v>12/4.5</v>
      </c>
      <c r="B317" s="19" t="s">
        <v>162</v>
      </c>
      <c r="C317" s="19" t="s">
        <v>76</v>
      </c>
      <c r="D317" s="19" t="s">
        <v>76</v>
      </c>
      <c r="E317" s="19">
        <v>12</v>
      </c>
      <c r="F317" s="19">
        <v>4.5</v>
      </c>
      <c r="G317" s="2"/>
      <c r="H317" s="2"/>
      <c r="I317" s="2"/>
      <c r="J317" s="38"/>
      <c r="K317" s="2"/>
      <c r="L317" s="2"/>
      <c r="M317" s="2"/>
      <c r="N317" s="2"/>
      <c r="O317" s="2" t="s">
        <v>289</v>
      </c>
      <c r="P317" s="2" t="s">
        <v>296</v>
      </c>
      <c r="Q317" s="2"/>
      <c r="R317" s="38">
        <v>45908</v>
      </c>
      <c r="S317" s="2">
        <v>4</v>
      </c>
      <c r="T317" s="2">
        <v>100</v>
      </c>
    </row>
    <row r="318" spans="1:20" x14ac:dyDescent="0.2">
      <c r="A318" s="49" t="str">
        <f t="shared" si="14"/>
        <v>12/5</v>
      </c>
      <c r="B318" s="19" t="s">
        <v>83</v>
      </c>
      <c r="C318" s="19" t="s">
        <v>76</v>
      </c>
      <c r="D318" s="19" t="s">
        <v>76</v>
      </c>
      <c r="E318" s="19" t="s">
        <v>14</v>
      </c>
      <c r="F318" s="19">
        <v>5</v>
      </c>
      <c r="G318" s="2"/>
      <c r="H318" s="2"/>
      <c r="I318" s="2"/>
      <c r="J318" s="38"/>
      <c r="K318" s="2"/>
      <c r="L318" s="2"/>
      <c r="M318" s="2"/>
      <c r="N318" s="2"/>
      <c r="O318" s="2" t="s">
        <v>289</v>
      </c>
      <c r="P318" s="2" t="s">
        <v>516</v>
      </c>
      <c r="Q318" s="2"/>
      <c r="R318" s="38">
        <v>45908</v>
      </c>
      <c r="S318" s="2">
        <v>16</v>
      </c>
      <c r="T318" s="2">
        <v>400</v>
      </c>
    </row>
    <row r="319" spans="1:20" x14ac:dyDescent="0.2">
      <c r="A319" s="49" t="str">
        <f t="shared" si="14"/>
        <v>8/5</v>
      </c>
      <c r="B319" s="19" t="s">
        <v>83</v>
      </c>
      <c r="C319" s="19" t="s">
        <v>76</v>
      </c>
      <c r="D319" s="19" t="s">
        <v>76</v>
      </c>
      <c r="E319" s="19" t="s">
        <v>18</v>
      </c>
      <c r="F319" s="19">
        <v>5</v>
      </c>
      <c r="G319" s="2"/>
      <c r="H319" s="2"/>
      <c r="I319" s="2"/>
      <c r="J319" s="38"/>
      <c r="K319" s="2"/>
      <c r="L319" s="2"/>
      <c r="M319" s="2"/>
      <c r="N319" s="2"/>
      <c r="O319" s="2" t="s">
        <v>289</v>
      </c>
      <c r="P319" s="2" t="s">
        <v>517</v>
      </c>
      <c r="Q319" s="2"/>
      <c r="R319" s="38">
        <v>45908</v>
      </c>
      <c r="S319" s="2">
        <v>6</v>
      </c>
      <c r="T319" s="2">
        <v>150</v>
      </c>
    </row>
    <row r="320" spans="1:20" x14ac:dyDescent="0.2">
      <c r="A320" s="49" t="str">
        <f t="shared" si="14"/>
        <v>3/5</v>
      </c>
      <c r="B320" s="19" t="s">
        <v>83</v>
      </c>
      <c r="C320" s="19" t="s">
        <v>76</v>
      </c>
      <c r="D320" s="19" t="s">
        <v>76</v>
      </c>
      <c r="E320" s="19" t="s">
        <v>27</v>
      </c>
      <c r="F320" s="19">
        <v>5</v>
      </c>
      <c r="G320" s="2"/>
      <c r="H320" s="2"/>
      <c r="I320" s="2"/>
      <c r="J320" s="38"/>
      <c r="K320" s="2"/>
      <c r="L320" s="2"/>
      <c r="M320" s="2"/>
      <c r="N320" s="2"/>
      <c r="O320" s="2" t="s">
        <v>289</v>
      </c>
      <c r="P320" s="2" t="s">
        <v>518</v>
      </c>
      <c r="Q320" s="2"/>
      <c r="R320" s="38">
        <v>45908</v>
      </c>
      <c r="S320" s="2">
        <v>10</v>
      </c>
      <c r="T320" s="2">
        <v>200</v>
      </c>
    </row>
    <row r="321" spans="1:20" x14ac:dyDescent="0.2">
      <c r="A321" s="49" t="str">
        <f t="shared" si="14"/>
        <v>17/5.5-6</v>
      </c>
      <c r="B321" s="19" t="s">
        <v>92</v>
      </c>
      <c r="C321" s="19" t="s">
        <v>76</v>
      </c>
      <c r="D321" s="19" t="s">
        <v>76</v>
      </c>
      <c r="E321" s="19">
        <v>17</v>
      </c>
      <c r="F321" s="19" t="s">
        <v>5</v>
      </c>
      <c r="G321" s="2"/>
      <c r="H321" s="2"/>
      <c r="I321" s="2"/>
      <c r="J321" s="38"/>
      <c r="K321" s="2"/>
      <c r="L321" s="2"/>
      <c r="M321" s="2"/>
      <c r="N321" s="2"/>
      <c r="O321" s="2" t="s">
        <v>94</v>
      </c>
      <c r="P321" s="2" t="s">
        <v>310</v>
      </c>
      <c r="Q321" s="2"/>
      <c r="R321" s="38">
        <v>45908</v>
      </c>
      <c r="S321" s="2">
        <v>18</v>
      </c>
      <c r="T321" s="2">
        <v>450</v>
      </c>
    </row>
    <row r="322" spans="1:20" x14ac:dyDescent="0.2">
      <c r="A322" s="49" t="str">
        <f t="shared" si="14"/>
        <v>11/6.5-7</v>
      </c>
      <c r="B322" s="19" t="s">
        <v>193</v>
      </c>
      <c r="C322" s="19" t="s">
        <v>76</v>
      </c>
      <c r="D322" s="19" t="s">
        <v>76</v>
      </c>
      <c r="E322" s="19">
        <v>11</v>
      </c>
      <c r="F322" s="19" t="s">
        <v>192</v>
      </c>
      <c r="G322" s="2"/>
      <c r="H322" s="2"/>
      <c r="I322" s="2"/>
      <c r="J322" s="38"/>
      <c r="K322" s="2"/>
      <c r="L322" s="2"/>
      <c r="M322" s="2"/>
      <c r="N322" s="2"/>
      <c r="O322" s="2" t="s">
        <v>94</v>
      </c>
      <c r="P322" s="2" t="s">
        <v>297</v>
      </c>
      <c r="Q322" s="2"/>
      <c r="R322" s="38">
        <v>45908</v>
      </c>
      <c r="S322" s="2">
        <v>2</v>
      </c>
      <c r="T322" s="2">
        <v>50</v>
      </c>
    </row>
    <row r="323" spans="1:20" x14ac:dyDescent="0.2">
      <c r="A323" s="49" t="str">
        <f t="shared" si="14"/>
        <v>10/15</v>
      </c>
      <c r="B323" s="19" t="s">
        <v>188</v>
      </c>
      <c r="C323" s="19" t="s">
        <v>76</v>
      </c>
      <c r="D323" s="19" t="s">
        <v>76</v>
      </c>
      <c r="E323" s="19">
        <v>10</v>
      </c>
      <c r="F323" s="19">
        <v>15</v>
      </c>
      <c r="G323" s="2"/>
      <c r="H323" s="2"/>
      <c r="I323" s="2"/>
      <c r="J323" s="38"/>
      <c r="K323" s="2"/>
      <c r="L323" s="2"/>
      <c r="M323" s="2"/>
      <c r="N323" s="2"/>
      <c r="O323" s="2" t="s">
        <v>94</v>
      </c>
      <c r="P323" s="2" t="s">
        <v>494</v>
      </c>
      <c r="Q323" s="2"/>
      <c r="R323" s="38">
        <v>45908</v>
      </c>
      <c r="S323" s="2">
        <v>4</v>
      </c>
      <c r="T323" s="2">
        <v>120</v>
      </c>
    </row>
    <row r="324" spans="1:20" x14ac:dyDescent="0.2">
      <c r="A324" s="49" t="str">
        <f t="shared" si="14"/>
        <v>2/5</v>
      </c>
      <c r="B324" s="19" t="s">
        <v>86</v>
      </c>
      <c r="C324" s="19" t="s">
        <v>76</v>
      </c>
      <c r="D324" s="19" t="s">
        <v>76</v>
      </c>
      <c r="E324" s="19">
        <v>2</v>
      </c>
      <c r="F324" s="19">
        <v>5</v>
      </c>
      <c r="G324" s="2"/>
      <c r="H324" s="2"/>
      <c r="I324" s="2"/>
      <c r="J324" s="38"/>
      <c r="K324" s="2"/>
      <c r="L324" s="2"/>
      <c r="M324" s="2"/>
      <c r="N324" s="2"/>
      <c r="O324" s="2" t="s">
        <v>233</v>
      </c>
      <c r="P324" s="2" t="s">
        <v>291</v>
      </c>
      <c r="Q324" s="2">
        <v>2297</v>
      </c>
      <c r="R324" s="38">
        <v>45908</v>
      </c>
      <c r="S324" s="2">
        <v>20</v>
      </c>
      <c r="T324" s="2">
        <v>405.19</v>
      </c>
    </row>
    <row r="325" spans="1:20" x14ac:dyDescent="0.2">
      <c r="A325" s="49" t="str">
        <f t="shared" ref="A325:A388" si="17">CONCATENATE(E325,"/",F325)</f>
        <v>2/5</v>
      </c>
      <c r="B325" s="19" t="s">
        <v>168</v>
      </c>
      <c r="C325" s="19" t="s">
        <v>76</v>
      </c>
      <c r="D325" s="19" t="s">
        <v>76</v>
      </c>
      <c r="E325" s="19">
        <v>2</v>
      </c>
      <c r="F325" s="19">
        <v>5</v>
      </c>
      <c r="G325" s="2"/>
      <c r="H325" s="2"/>
      <c r="I325" s="2"/>
      <c r="J325" s="38"/>
      <c r="K325" s="2"/>
      <c r="L325" s="2"/>
      <c r="M325" s="2"/>
      <c r="N325" s="2"/>
      <c r="O325" s="2" t="s">
        <v>233</v>
      </c>
      <c r="P325" s="2" t="s">
        <v>519</v>
      </c>
      <c r="Q325" s="2">
        <v>8</v>
      </c>
      <c r="R325" s="38">
        <v>45908</v>
      </c>
      <c r="S325" s="2">
        <v>10</v>
      </c>
      <c r="T325" s="2">
        <v>199.93</v>
      </c>
    </row>
    <row r="326" spans="1:20" x14ac:dyDescent="0.2">
      <c r="A326" s="49" t="str">
        <f t="shared" si="17"/>
        <v>2.5/5</v>
      </c>
      <c r="B326" s="19" t="s">
        <v>168</v>
      </c>
      <c r="C326" s="19" t="s">
        <v>76</v>
      </c>
      <c r="D326" s="19" t="s">
        <v>76</v>
      </c>
      <c r="E326" s="19">
        <v>2.5</v>
      </c>
      <c r="F326" s="19">
        <v>5</v>
      </c>
      <c r="G326" s="2"/>
      <c r="H326" s="2"/>
      <c r="I326" s="2"/>
      <c r="J326" s="38"/>
      <c r="K326" s="2"/>
      <c r="L326" s="2"/>
      <c r="M326" s="2"/>
      <c r="N326" s="2"/>
      <c r="O326" s="2" t="s">
        <v>233</v>
      </c>
      <c r="P326" s="2" t="s">
        <v>520</v>
      </c>
      <c r="Q326" s="2">
        <v>8</v>
      </c>
      <c r="R326" s="38">
        <v>45908</v>
      </c>
      <c r="S326" s="2">
        <v>5</v>
      </c>
      <c r="T326" s="2">
        <v>112.79</v>
      </c>
    </row>
    <row r="327" spans="1:20" x14ac:dyDescent="0.2">
      <c r="A327" s="49" t="str">
        <f t="shared" si="17"/>
        <v>4/4.5</v>
      </c>
      <c r="B327" s="19" t="s">
        <v>162</v>
      </c>
      <c r="C327" s="19" t="s">
        <v>76</v>
      </c>
      <c r="D327" s="19" t="s">
        <v>76</v>
      </c>
      <c r="E327" s="19">
        <v>4</v>
      </c>
      <c r="F327" s="19">
        <v>4.5</v>
      </c>
      <c r="G327" s="2"/>
      <c r="H327" s="2" t="s">
        <v>88</v>
      </c>
      <c r="I327" s="2" t="s">
        <v>508</v>
      </c>
      <c r="J327" s="38">
        <v>45909</v>
      </c>
      <c r="K327" s="2">
        <v>2</v>
      </c>
      <c r="L327" s="2">
        <v>29.29</v>
      </c>
      <c r="M327" s="2">
        <v>0.8</v>
      </c>
      <c r="N327" s="2">
        <f t="shared" ref="N327:N339" si="18">+L327-M327</f>
        <v>28.49</v>
      </c>
      <c r="O327" s="2"/>
      <c r="P327" s="2"/>
      <c r="Q327" s="2"/>
      <c r="R327" s="38"/>
      <c r="S327" s="2"/>
      <c r="T327" s="2"/>
    </row>
    <row r="328" spans="1:20" x14ac:dyDescent="0.2">
      <c r="A328" s="49" t="str">
        <f t="shared" si="17"/>
        <v>4/5</v>
      </c>
      <c r="B328" s="19" t="s">
        <v>84</v>
      </c>
      <c r="C328" s="19" t="s">
        <v>76</v>
      </c>
      <c r="D328" s="19" t="s">
        <v>76</v>
      </c>
      <c r="E328" s="19">
        <v>4</v>
      </c>
      <c r="F328" s="19">
        <v>5</v>
      </c>
      <c r="G328" s="2"/>
      <c r="H328" s="2" t="s">
        <v>88</v>
      </c>
      <c r="I328" s="2" t="s">
        <v>542</v>
      </c>
      <c r="J328" s="38">
        <v>45909</v>
      </c>
      <c r="K328" s="2">
        <v>9</v>
      </c>
      <c r="L328" s="2">
        <v>111.71000000000001</v>
      </c>
      <c r="M328" s="2">
        <v>3.6</v>
      </c>
      <c r="N328" s="2">
        <f t="shared" si="18"/>
        <v>108.11000000000001</v>
      </c>
      <c r="O328" s="2"/>
      <c r="P328" s="2"/>
      <c r="Q328" s="2"/>
      <c r="R328" s="38"/>
      <c r="S328" s="2"/>
      <c r="T328" s="2"/>
    </row>
    <row r="329" spans="1:20" x14ac:dyDescent="0.2">
      <c r="A329" s="49" t="str">
        <f t="shared" si="17"/>
        <v>4/5</v>
      </c>
      <c r="B329" s="19" t="s">
        <v>84</v>
      </c>
      <c r="C329" s="19" t="s">
        <v>76</v>
      </c>
      <c r="D329" s="19" t="s">
        <v>76</v>
      </c>
      <c r="E329" s="19">
        <v>4</v>
      </c>
      <c r="F329" s="19">
        <v>5</v>
      </c>
      <c r="G329" s="2"/>
      <c r="H329" s="2" t="s">
        <v>88</v>
      </c>
      <c r="I329" s="2" t="s">
        <v>542</v>
      </c>
      <c r="J329" s="38">
        <v>45909</v>
      </c>
      <c r="K329" s="2">
        <v>15</v>
      </c>
      <c r="L329" s="2">
        <v>137.25</v>
      </c>
      <c r="M329" s="2">
        <v>6</v>
      </c>
      <c r="N329" s="2">
        <f t="shared" si="18"/>
        <v>131.25</v>
      </c>
      <c r="O329" s="2"/>
      <c r="P329" s="2"/>
      <c r="Q329" s="2"/>
      <c r="R329" s="38"/>
      <c r="S329" s="2"/>
      <c r="T329" s="2"/>
    </row>
    <row r="330" spans="1:20" x14ac:dyDescent="0.2">
      <c r="A330" s="49" t="str">
        <f t="shared" si="17"/>
        <v>2.5/5</v>
      </c>
      <c r="B330" s="19" t="s">
        <v>83</v>
      </c>
      <c r="C330" s="19" t="s">
        <v>76</v>
      </c>
      <c r="D330" s="19" t="s">
        <v>76</v>
      </c>
      <c r="E330" s="19">
        <v>2.5</v>
      </c>
      <c r="F330" s="19">
        <v>5</v>
      </c>
      <c r="G330" s="2"/>
      <c r="H330" s="2" t="s">
        <v>88</v>
      </c>
      <c r="I330" s="2" t="s">
        <v>290</v>
      </c>
      <c r="J330" s="38">
        <v>45909</v>
      </c>
      <c r="K330" s="2">
        <v>9</v>
      </c>
      <c r="L330" s="2">
        <v>107.13000000000002</v>
      </c>
      <c r="M330" s="2">
        <v>1.8</v>
      </c>
      <c r="N330" s="2">
        <f t="shared" si="18"/>
        <v>105.33000000000003</v>
      </c>
      <c r="O330" s="2"/>
      <c r="P330" s="2"/>
      <c r="Q330" s="2"/>
      <c r="R330" s="38"/>
      <c r="S330" s="2"/>
      <c r="T330" s="2"/>
    </row>
    <row r="331" spans="1:20" x14ac:dyDescent="0.2">
      <c r="A331" s="49" t="str">
        <f t="shared" si="17"/>
        <v>2.5/5</v>
      </c>
      <c r="B331" s="19" t="s">
        <v>83</v>
      </c>
      <c r="C331" s="19" t="s">
        <v>76</v>
      </c>
      <c r="D331" s="19" t="s">
        <v>76</v>
      </c>
      <c r="E331" s="19">
        <v>2.5</v>
      </c>
      <c r="F331" s="19">
        <v>5</v>
      </c>
      <c r="G331" s="2"/>
      <c r="H331" s="2" t="s">
        <v>88</v>
      </c>
      <c r="I331" s="2" t="s">
        <v>290</v>
      </c>
      <c r="J331" s="38">
        <v>45909</v>
      </c>
      <c r="K331" s="2">
        <v>9</v>
      </c>
      <c r="L331" s="2">
        <v>90.73</v>
      </c>
      <c r="M331" s="2">
        <v>1.8</v>
      </c>
      <c r="N331" s="2">
        <f t="shared" si="18"/>
        <v>88.93</v>
      </c>
      <c r="O331" s="2"/>
      <c r="P331" s="2"/>
      <c r="Q331" s="2"/>
      <c r="R331" s="38"/>
      <c r="S331" s="2"/>
      <c r="T331" s="2"/>
    </row>
    <row r="332" spans="1:20" x14ac:dyDescent="0.2">
      <c r="A332" s="49" t="str">
        <f t="shared" si="17"/>
        <v>8/7.5-8</v>
      </c>
      <c r="B332" s="19" t="s">
        <v>541</v>
      </c>
      <c r="C332" s="19" t="s">
        <v>76</v>
      </c>
      <c r="D332" s="19" t="s">
        <v>76</v>
      </c>
      <c r="E332" s="19">
        <v>8</v>
      </c>
      <c r="F332" s="19" t="s">
        <v>264</v>
      </c>
      <c r="G332" s="2"/>
      <c r="H332" s="2" t="s">
        <v>88</v>
      </c>
      <c r="I332" s="2" t="s">
        <v>543</v>
      </c>
      <c r="J332" s="38">
        <v>45909</v>
      </c>
      <c r="K332" s="2">
        <v>4</v>
      </c>
      <c r="L332" s="2">
        <v>126.87</v>
      </c>
      <c r="M332" s="2">
        <v>3.6</v>
      </c>
      <c r="N332" s="2">
        <f t="shared" si="18"/>
        <v>123.27000000000001</v>
      </c>
      <c r="O332" s="2"/>
      <c r="P332" s="2"/>
      <c r="Q332" s="2"/>
      <c r="R332" s="38"/>
      <c r="S332" s="2"/>
      <c r="T332" s="2"/>
    </row>
    <row r="333" spans="1:20" x14ac:dyDescent="0.2">
      <c r="A333" s="49" t="str">
        <f t="shared" si="17"/>
        <v>6/7.5-8</v>
      </c>
      <c r="B333" s="19" t="s">
        <v>541</v>
      </c>
      <c r="C333" s="19" t="s">
        <v>76</v>
      </c>
      <c r="D333" s="19" t="s">
        <v>76</v>
      </c>
      <c r="E333" s="19">
        <v>6</v>
      </c>
      <c r="F333" s="19" t="s">
        <v>264</v>
      </c>
      <c r="G333" s="2"/>
      <c r="H333" s="2" t="s">
        <v>88</v>
      </c>
      <c r="I333" s="2" t="s">
        <v>544</v>
      </c>
      <c r="J333" s="38">
        <v>45909</v>
      </c>
      <c r="K333" s="2">
        <v>4</v>
      </c>
      <c r="L333" s="2">
        <v>99.68</v>
      </c>
      <c r="M333" s="2">
        <v>3.12</v>
      </c>
      <c r="N333" s="2">
        <f t="shared" si="18"/>
        <v>96.56</v>
      </c>
      <c r="O333" s="2"/>
      <c r="P333" s="2"/>
      <c r="Q333" s="2"/>
      <c r="R333" s="38"/>
      <c r="S333" s="2"/>
      <c r="T333" s="2"/>
    </row>
    <row r="334" spans="1:20" x14ac:dyDescent="0.2">
      <c r="A334" s="49" t="str">
        <f t="shared" si="17"/>
        <v>6/7.5-8</v>
      </c>
      <c r="B334" s="19" t="s">
        <v>541</v>
      </c>
      <c r="C334" s="19" t="s">
        <v>76</v>
      </c>
      <c r="D334" s="19" t="s">
        <v>76</v>
      </c>
      <c r="E334" s="19">
        <v>6</v>
      </c>
      <c r="F334" s="19" t="s">
        <v>264</v>
      </c>
      <c r="G334" s="2"/>
      <c r="H334" s="2" t="s">
        <v>88</v>
      </c>
      <c r="I334" s="2" t="s">
        <v>544</v>
      </c>
      <c r="J334" s="38">
        <v>45909</v>
      </c>
      <c r="K334" s="2">
        <v>1</v>
      </c>
      <c r="L334" s="2">
        <v>23.74</v>
      </c>
      <c r="M334" s="2">
        <v>0.6</v>
      </c>
      <c r="N334" s="2">
        <f t="shared" si="18"/>
        <v>23.139999999999997</v>
      </c>
      <c r="O334" s="2"/>
      <c r="P334" s="2"/>
      <c r="Q334" s="2"/>
      <c r="R334" s="38"/>
      <c r="S334" s="2"/>
      <c r="T334" s="2"/>
    </row>
    <row r="335" spans="1:20" x14ac:dyDescent="0.2">
      <c r="A335" s="49" t="str">
        <f t="shared" si="17"/>
        <v>6/4.5</v>
      </c>
      <c r="B335" s="19" t="s">
        <v>190</v>
      </c>
      <c r="C335" s="19" t="s">
        <v>76</v>
      </c>
      <c r="D335" s="19" t="s">
        <v>76</v>
      </c>
      <c r="E335" s="19">
        <v>6</v>
      </c>
      <c r="F335" s="19">
        <v>4.5</v>
      </c>
      <c r="G335" s="2"/>
      <c r="H335" s="2" t="s">
        <v>88</v>
      </c>
      <c r="I335" s="2" t="s">
        <v>545</v>
      </c>
      <c r="J335" s="38">
        <v>45909</v>
      </c>
      <c r="K335" s="2">
        <v>7</v>
      </c>
      <c r="L335" s="2">
        <v>184.47</v>
      </c>
      <c r="M335" s="2">
        <v>4.2</v>
      </c>
      <c r="N335" s="2">
        <f t="shared" si="18"/>
        <v>180.27</v>
      </c>
      <c r="O335" s="2"/>
      <c r="P335" s="2"/>
      <c r="Q335" s="2"/>
      <c r="R335" s="38"/>
      <c r="S335" s="2"/>
      <c r="T335" s="2"/>
    </row>
    <row r="336" spans="1:20" x14ac:dyDescent="0.2">
      <c r="A336" s="49" t="str">
        <f t="shared" si="17"/>
        <v>17/5.5-6</v>
      </c>
      <c r="B336" s="19" t="s">
        <v>92</v>
      </c>
      <c r="C336" s="19" t="s">
        <v>76</v>
      </c>
      <c r="D336" s="19" t="s">
        <v>76</v>
      </c>
      <c r="E336" s="19">
        <v>17</v>
      </c>
      <c r="F336" s="19" t="s">
        <v>5</v>
      </c>
      <c r="G336" s="2"/>
      <c r="H336" s="2" t="s">
        <v>88</v>
      </c>
      <c r="I336" s="2" t="s">
        <v>492</v>
      </c>
      <c r="J336" s="38">
        <v>45909</v>
      </c>
      <c r="K336" s="2">
        <v>13</v>
      </c>
      <c r="L336" s="2">
        <v>749.4</v>
      </c>
      <c r="M336" s="2">
        <v>25.38</v>
      </c>
      <c r="N336" s="2">
        <f t="shared" si="18"/>
        <v>724.02</v>
      </c>
      <c r="O336" s="2"/>
      <c r="P336" s="2"/>
      <c r="Q336" s="2"/>
      <c r="R336" s="38"/>
      <c r="S336" s="2"/>
      <c r="T336" s="2"/>
    </row>
    <row r="337" spans="1:20" x14ac:dyDescent="0.2">
      <c r="A337" s="49" t="str">
        <f t="shared" si="17"/>
        <v>17/5.5-6</v>
      </c>
      <c r="B337" s="19" t="s">
        <v>92</v>
      </c>
      <c r="C337" s="19" t="s">
        <v>76</v>
      </c>
      <c r="D337" s="19" t="s">
        <v>76</v>
      </c>
      <c r="E337" s="19">
        <v>17</v>
      </c>
      <c r="F337" s="19" t="s">
        <v>5</v>
      </c>
      <c r="G337" s="2"/>
      <c r="H337" s="2" t="s">
        <v>88</v>
      </c>
      <c r="I337" s="2" t="s">
        <v>492</v>
      </c>
      <c r="J337" s="38">
        <v>45909</v>
      </c>
      <c r="K337" s="2">
        <v>14</v>
      </c>
      <c r="L337" s="2">
        <v>717.35</v>
      </c>
      <c r="M337" s="2">
        <v>26.599999999999998</v>
      </c>
      <c r="N337" s="2">
        <f t="shared" si="18"/>
        <v>690.75</v>
      </c>
      <c r="O337" s="2"/>
      <c r="P337" s="2"/>
      <c r="Q337" s="2"/>
      <c r="R337" s="38"/>
      <c r="S337" s="2"/>
      <c r="T337" s="2"/>
    </row>
    <row r="338" spans="1:20" x14ac:dyDescent="0.2">
      <c r="A338" s="49" t="str">
        <f t="shared" si="17"/>
        <v>14/5</v>
      </c>
      <c r="B338" s="19" t="s">
        <v>84</v>
      </c>
      <c r="C338" s="19" t="s">
        <v>76</v>
      </c>
      <c r="D338" s="19" t="s">
        <v>76</v>
      </c>
      <c r="E338" s="19">
        <v>14</v>
      </c>
      <c r="F338" s="18">
        <v>5</v>
      </c>
      <c r="G338" s="2"/>
      <c r="H338" s="2" t="s">
        <v>88</v>
      </c>
      <c r="I338" s="2" t="s">
        <v>512</v>
      </c>
      <c r="J338" s="38">
        <v>45909</v>
      </c>
      <c r="K338" s="2">
        <v>12</v>
      </c>
      <c r="L338" s="2">
        <v>622.77</v>
      </c>
      <c r="M338" s="2">
        <v>20.759999999999998</v>
      </c>
      <c r="N338" s="2">
        <f t="shared" si="18"/>
        <v>602.01</v>
      </c>
      <c r="O338" s="2"/>
      <c r="P338" s="2"/>
      <c r="Q338" s="2"/>
      <c r="R338" s="38"/>
      <c r="S338" s="2"/>
      <c r="T338" s="2"/>
    </row>
    <row r="339" spans="1:20" x14ac:dyDescent="0.2">
      <c r="A339" s="49" t="str">
        <f t="shared" si="17"/>
        <v>14/5</v>
      </c>
      <c r="B339" s="19" t="s">
        <v>84</v>
      </c>
      <c r="C339" s="19" t="s">
        <v>76</v>
      </c>
      <c r="D339" s="19" t="s">
        <v>76</v>
      </c>
      <c r="E339" s="19">
        <v>14</v>
      </c>
      <c r="F339" s="18">
        <v>5</v>
      </c>
      <c r="G339" s="2"/>
      <c r="H339" s="2" t="s">
        <v>88</v>
      </c>
      <c r="I339" s="2" t="s">
        <v>512</v>
      </c>
      <c r="J339" s="38">
        <v>45909</v>
      </c>
      <c r="K339" s="2">
        <v>14</v>
      </c>
      <c r="L339" s="2">
        <v>572.6099999999999</v>
      </c>
      <c r="M339" s="2">
        <v>19.599999999999998</v>
      </c>
      <c r="N339" s="2">
        <f t="shared" si="18"/>
        <v>553.00999999999988</v>
      </c>
      <c r="O339" s="2"/>
      <c r="P339" s="2"/>
      <c r="Q339" s="2"/>
      <c r="R339" s="38"/>
      <c r="S339" s="2"/>
      <c r="T339" s="2"/>
    </row>
    <row r="340" spans="1:20" x14ac:dyDescent="0.2">
      <c r="A340" s="49" t="str">
        <f t="shared" si="17"/>
        <v>12/5</v>
      </c>
      <c r="B340" s="19" t="s">
        <v>84</v>
      </c>
      <c r="C340" s="19" t="s">
        <v>76</v>
      </c>
      <c r="D340" s="19" t="s">
        <v>76</v>
      </c>
      <c r="E340" s="19" t="s">
        <v>14</v>
      </c>
      <c r="F340" s="19">
        <v>5</v>
      </c>
      <c r="G340" s="2"/>
      <c r="H340" s="2"/>
      <c r="I340" s="2"/>
      <c r="J340" s="38"/>
      <c r="K340" s="2"/>
      <c r="L340" s="2"/>
      <c r="M340" s="2"/>
      <c r="N340" s="2"/>
      <c r="O340" s="2" t="s">
        <v>546</v>
      </c>
      <c r="P340" s="2" t="s">
        <v>547</v>
      </c>
      <c r="Q340" s="2"/>
      <c r="R340" s="38">
        <v>45909</v>
      </c>
      <c r="S340" s="2">
        <v>18</v>
      </c>
      <c r="T340" s="2">
        <v>450</v>
      </c>
    </row>
    <row r="341" spans="1:20" x14ac:dyDescent="0.2">
      <c r="A341" s="49" t="str">
        <f t="shared" si="17"/>
        <v>7/5</v>
      </c>
      <c r="B341" s="19" t="s">
        <v>84</v>
      </c>
      <c r="C341" s="19" t="s">
        <v>76</v>
      </c>
      <c r="D341" s="19" t="s">
        <v>76</v>
      </c>
      <c r="E341" s="19" t="s">
        <v>19</v>
      </c>
      <c r="F341" s="19">
        <v>5</v>
      </c>
      <c r="G341" s="2"/>
      <c r="H341" s="2"/>
      <c r="I341" s="2"/>
      <c r="J341" s="38"/>
      <c r="K341" s="2"/>
      <c r="L341" s="2"/>
      <c r="M341" s="2"/>
      <c r="N341" s="2"/>
      <c r="O341" s="2" t="s">
        <v>546</v>
      </c>
      <c r="P341" s="2" t="s">
        <v>548</v>
      </c>
      <c r="Q341" s="2"/>
      <c r="R341" s="38">
        <v>45909</v>
      </c>
      <c r="S341" s="2">
        <v>6</v>
      </c>
      <c r="T341" s="2">
        <v>150</v>
      </c>
    </row>
    <row r="342" spans="1:20" x14ac:dyDescent="0.2">
      <c r="A342" s="49" t="str">
        <f t="shared" si="17"/>
        <v>14/5</v>
      </c>
      <c r="B342" s="19" t="s">
        <v>92</v>
      </c>
      <c r="C342" s="19" t="s">
        <v>76</v>
      </c>
      <c r="D342" s="19" t="s">
        <v>76</v>
      </c>
      <c r="E342" s="19">
        <v>14</v>
      </c>
      <c r="F342" s="18">
        <v>5</v>
      </c>
      <c r="G342" s="2"/>
      <c r="H342" s="2"/>
      <c r="I342" s="2"/>
      <c r="J342" s="38"/>
      <c r="K342" s="2"/>
      <c r="L342" s="2"/>
      <c r="M342" s="2"/>
      <c r="N342" s="2"/>
      <c r="O342" s="2" t="s">
        <v>546</v>
      </c>
      <c r="P342" s="2" t="s">
        <v>549</v>
      </c>
      <c r="Q342" s="2"/>
      <c r="R342" s="38">
        <v>45909</v>
      </c>
      <c r="S342" s="2">
        <v>14</v>
      </c>
      <c r="T342" s="2">
        <v>350</v>
      </c>
    </row>
    <row r="343" spans="1:20" x14ac:dyDescent="0.2">
      <c r="A343" s="49" t="str">
        <f t="shared" si="17"/>
        <v>3/5</v>
      </c>
      <c r="B343" s="19" t="s">
        <v>83</v>
      </c>
      <c r="C343" s="19" t="s">
        <v>76</v>
      </c>
      <c r="D343" s="19" t="s">
        <v>76</v>
      </c>
      <c r="E343" s="19" t="s">
        <v>27</v>
      </c>
      <c r="F343" s="19">
        <v>5</v>
      </c>
      <c r="G343" s="2"/>
      <c r="H343" s="2"/>
      <c r="I343" s="2"/>
      <c r="J343" s="38"/>
      <c r="K343" s="2"/>
      <c r="L343" s="2"/>
      <c r="M343" s="2"/>
      <c r="N343" s="2"/>
      <c r="O343" s="2" t="s">
        <v>546</v>
      </c>
      <c r="P343" s="2" t="s">
        <v>518</v>
      </c>
      <c r="Q343" s="2"/>
      <c r="R343" s="38">
        <v>45909</v>
      </c>
      <c r="S343" s="2">
        <v>13</v>
      </c>
      <c r="T343" s="2">
        <v>260</v>
      </c>
    </row>
    <row r="344" spans="1:20" x14ac:dyDescent="0.2">
      <c r="A344" s="49" t="str">
        <f t="shared" si="17"/>
        <v>10/15</v>
      </c>
      <c r="B344" s="19" t="s">
        <v>188</v>
      </c>
      <c r="C344" s="19" t="s">
        <v>76</v>
      </c>
      <c r="D344" s="19" t="s">
        <v>76</v>
      </c>
      <c r="E344" s="19">
        <v>10</v>
      </c>
      <c r="F344" s="19">
        <v>15</v>
      </c>
      <c r="G344" s="2"/>
      <c r="H344" s="2"/>
      <c r="I344" s="2"/>
      <c r="J344" s="38"/>
      <c r="K344" s="2"/>
      <c r="L344" s="2"/>
      <c r="M344" s="2"/>
      <c r="N344" s="2"/>
      <c r="O344" s="2" t="s">
        <v>550</v>
      </c>
      <c r="P344" s="2" t="s">
        <v>494</v>
      </c>
      <c r="Q344" s="2"/>
      <c r="R344" s="38">
        <v>45909</v>
      </c>
      <c r="S344" s="2">
        <v>5</v>
      </c>
      <c r="T344" s="2">
        <v>150</v>
      </c>
    </row>
    <row r="345" spans="1:20" x14ac:dyDescent="0.2">
      <c r="A345" s="49" t="str">
        <f t="shared" si="17"/>
        <v>10/15</v>
      </c>
      <c r="B345" s="19" t="s">
        <v>188</v>
      </c>
      <c r="C345" s="19" t="s">
        <v>76</v>
      </c>
      <c r="D345" s="19" t="s">
        <v>76</v>
      </c>
      <c r="E345" s="19">
        <v>10</v>
      </c>
      <c r="F345" s="19">
        <v>15</v>
      </c>
      <c r="G345" s="2"/>
      <c r="H345" s="2"/>
      <c r="I345" s="2"/>
      <c r="J345" s="38"/>
      <c r="K345" s="2"/>
      <c r="L345" s="2"/>
      <c r="M345" s="2"/>
      <c r="N345" s="2"/>
      <c r="O345" s="2" t="s">
        <v>550</v>
      </c>
      <c r="P345" s="2" t="s">
        <v>494</v>
      </c>
      <c r="Q345" s="2"/>
      <c r="R345" s="38">
        <v>45909</v>
      </c>
      <c r="S345" s="2">
        <v>1</v>
      </c>
      <c r="T345" s="2">
        <v>30.3</v>
      </c>
    </row>
    <row r="346" spans="1:20" x14ac:dyDescent="0.2">
      <c r="A346" s="49" t="str">
        <f t="shared" si="17"/>
        <v>17/8.5-9</v>
      </c>
      <c r="B346" s="19" t="s">
        <v>506</v>
      </c>
      <c r="C346" s="19" t="s">
        <v>76</v>
      </c>
      <c r="D346" s="19" t="s">
        <v>76</v>
      </c>
      <c r="E346" s="19">
        <v>17</v>
      </c>
      <c r="F346" s="19" t="s">
        <v>171</v>
      </c>
      <c r="G346" s="2"/>
      <c r="H346" s="2"/>
      <c r="I346" s="2"/>
      <c r="J346" s="38"/>
      <c r="K346" s="2"/>
      <c r="L346" s="2"/>
      <c r="M346" s="2"/>
      <c r="N346" s="2"/>
      <c r="O346" s="2" t="s">
        <v>550</v>
      </c>
      <c r="P346" s="2" t="s">
        <v>510</v>
      </c>
      <c r="Q346" s="2"/>
      <c r="R346" s="38">
        <v>45909</v>
      </c>
      <c r="S346" s="2">
        <v>4</v>
      </c>
      <c r="T346" s="2">
        <v>109.2</v>
      </c>
    </row>
    <row r="347" spans="1:20" x14ac:dyDescent="0.2">
      <c r="A347" s="49" t="str">
        <f t="shared" si="17"/>
        <v>17/5.5-6</v>
      </c>
      <c r="B347" s="19" t="s">
        <v>92</v>
      </c>
      <c r="C347" s="19" t="s">
        <v>76</v>
      </c>
      <c r="D347" s="19" t="s">
        <v>76</v>
      </c>
      <c r="E347" s="19">
        <v>17</v>
      </c>
      <c r="F347" s="19" t="s">
        <v>5</v>
      </c>
      <c r="G347" s="2"/>
      <c r="H347" s="2"/>
      <c r="I347" s="2"/>
      <c r="J347" s="38"/>
      <c r="K347" s="2"/>
      <c r="L347" s="2"/>
      <c r="M347" s="2"/>
      <c r="N347" s="2"/>
      <c r="O347" s="2" t="s">
        <v>550</v>
      </c>
      <c r="P347" s="2" t="s">
        <v>310</v>
      </c>
      <c r="Q347" s="2"/>
      <c r="R347" s="38">
        <v>45909</v>
      </c>
      <c r="S347" s="2">
        <v>4</v>
      </c>
      <c r="T347" s="2">
        <v>100</v>
      </c>
    </row>
    <row r="348" spans="1:20" x14ac:dyDescent="0.2">
      <c r="A348" s="49" t="str">
        <f t="shared" si="17"/>
        <v>2.5/5</v>
      </c>
      <c r="B348" s="19" t="s">
        <v>163</v>
      </c>
      <c r="C348" s="19" t="s">
        <v>76</v>
      </c>
      <c r="D348" s="19" t="s">
        <v>76</v>
      </c>
      <c r="E348" s="19">
        <v>2.5</v>
      </c>
      <c r="F348" s="19">
        <v>5</v>
      </c>
      <c r="G348" s="2"/>
      <c r="H348" s="2" t="s">
        <v>88</v>
      </c>
      <c r="I348" s="2" t="s">
        <v>290</v>
      </c>
      <c r="J348" s="38">
        <v>45910</v>
      </c>
      <c r="K348" s="2">
        <v>9</v>
      </c>
      <c r="L348" s="2">
        <v>102.79</v>
      </c>
      <c r="M348" s="2">
        <v>1.8</v>
      </c>
      <c r="N348" s="2">
        <v>100.99000000000001</v>
      </c>
      <c r="O348" s="2" t="s">
        <v>186</v>
      </c>
      <c r="P348" s="2" t="s">
        <v>551</v>
      </c>
      <c r="Q348" s="2"/>
      <c r="R348" s="38">
        <v>45909</v>
      </c>
      <c r="S348" s="2">
        <v>5</v>
      </c>
      <c r="T348" s="2">
        <v>265.83000000000004</v>
      </c>
    </row>
    <row r="349" spans="1:20" x14ac:dyDescent="0.2">
      <c r="A349" s="49" t="str">
        <f t="shared" si="17"/>
        <v>3.5/5.5-6</v>
      </c>
      <c r="B349" s="19" t="s">
        <v>83</v>
      </c>
      <c r="C349" s="19" t="s">
        <v>76</v>
      </c>
      <c r="D349" s="19" t="s">
        <v>76</v>
      </c>
      <c r="E349" s="19">
        <v>3.5</v>
      </c>
      <c r="F349" s="19" t="s">
        <v>5</v>
      </c>
      <c r="G349" s="2"/>
      <c r="H349" s="2" t="s">
        <v>88</v>
      </c>
      <c r="I349" s="2" t="s">
        <v>584</v>
      </c>
      <c r="J349" s="38">
        <v>45910</v>
      </c>
      <c r="K349" s="2">
        <v>5</v>
      </c>
      <c r="L349" s="2">
        <v>77.599999999999994</v>
      </c>
      <c r="M349" s="2">
        <v>1.5</v>
      </c>
      <c r="N349" s="2">
        <v>76.099999999999994</v>
      </c>
      <c r="O349" s="2"/>
      <c r="P349" s="2"/>
      <c r="Q349" s="2"/>
      <c r="R349" s="38"/>
      <c r="S349" s="2"/>
      <c r="T349" s="2"/>
    </row>
    <row r="350" spans="1:20" x14ac:dyDescent="0.2">
      <c r="A350" s="49" t="str">
        <f t="shared" si="17"/>
        <v>2.5/5</v>
      </c>
      <c r="B350" s="19" t="s">
        <v>84</v>
      </c>
      <c r="C350" s="19" t="s">
        <v>76</v>
      </c>
      <c r="D350" s="19" t="s">
        <v>76</v>
      </c>
      <c r="E350" s="19">
        <v>2.5</v>
      </c>
      <c r="F350" s="19">
        <v>5</v>
      </c>
      <c r="G350" s="2"/>
      <c r="H350" s="2" t="s">
        <v>88</v>
      </c>
      <c r="I350" s="2" t="s">
        <v>290</v>
      </c>
      <c r="J350" s="38">
        <v>45910</v>
      </c>
      <c r="K350" s="2">
        <v>3</v>
      </c>
      <c r="L350" s="2">
        <v>33.510000000000005</v>
      </c>
      <c r="M350" s="2">
        <v>0.60000000000000009</v>
      </c>
      <c r="N350" s="2">
        <v>32.910000000000004</v>
      </c>
      <c r="O350" s="2"/>
      <c r="P350" s="2"/>
      <c r="Q350" s="2"/>
      <c r="R350" s="38"/>
      <c r="S350" s="2"/>
      <c r="T350" s="2"/>
    </row>
    <row r="351" spans="1:20" x14ac:dyDescent="0.2">
      <c r="A351" s="49" t="str">
        <f t="shared" si="17"/>
        <v>4/5</v>
      </c>
      <c r="B351" s="19" t="s">
        <v>83</v>
      </c>
      <c r="C351" s="19" t="s">
        <v>76</v>
      </c>
      <c r="D351" s="19" t="s">
        <v>76</v>
      </c>
      <c r="E351" s="19">
        <v>4</v>
      </c>
      <c r="F351" s="19">
        <v>5</v>
      </c>
      <c r="G351" s="2"/>
      <c r="H351" s="2" t="s">
        <v>88</v>
      </c>
      <c r="I351" s="2" t="s">
        <v>542</v>
      </c>
      <c r="J351" s="38">
        <v>45910</v>
      </c>
      <c r="K351" s="2">
        <v>10</v>
      </c>
      <c r="L351" s="2">
        <v>144.04999999999998</v>
      </c>
      <c r="M351" s="2">
        <v>4</v>
      </c>
      <c r="N351" s="2">
        <v>140.04999999999998</v>
      </c>
      <c r="O351" s="2"/>
      <c r="P351" s="2"/>
      <c r="Q351" s="2"/>
      <c r="R351" s="38"/>
      <c r="S351" s="2"/>
      <c r="T351" s="2"/>
    </row>
    <row r="352" spans="1:20" x14ac:dyDescent="0.2">
      <c r="A352" s="49" t="str">
        <f t="shared" si="17"/>
        <v>4/5</v>
      </c>
      <c r="B352" s="19" t="s">
        <v>84</v>
      </c>
      <c r="C352" s="19" t="s">
        <v>76</v>
      </c>
      <c r="D352" s="19" t="s">
        <v>76</v>
      </c>
      <c r="E352" s="19">
        <v>4</v>
      </c>
      <c r="F352" s="19">
        <v>5</v>
      </c>
      <c r="G352" s="2"/>
      <c r="H352" s="2" t="s">
        <v>88</v>
      </c>
      <c r="I352" s="2" t="s">
        <v>542</v>
      </c>
      <c r="J352" s="38">
        <v>45910</v>
      </c>
      <c r="K352" s="2">
        <v>14</v>
      </c>
      <c r="L352" s="2">
        <v>163.46</v>
      </c>
      <c r="M352" s="2">
        <v>5.6000000000000005</v>
      </c>
      <c r="N352" s="2">
        <v>157.86000000000001</v>
      </c>
      <c r="O352" s="2"/>
      <c r="P352" s="2"/>
      <c r="Q352" s="2"/>
      <c r="R352" s="38"/>
      <c r="S352" s="2"/>
      <c r="T352" s="2"/>
    </row>
    <row r="353" spans="1:20" x14ac:dyDescent="0.2">
      <c r="A353" s="49" t="str">
        <f t="shared" si="17"/>
        <v>6/4.5</v>
      </c>
      <c r="B353" s="19" t="s">
        <v>84</v>
      </c>
      <c r="C353" s="19" t="s">
        <v>76</v>
      </c>
      <c r="D353" s="19" t="s">
        <v>76</v>
      </c>
      <c r="E353" s="19">
        <v>6</v>
      </c>
      <c r="F353" s="19">
        <v>4.5</v>
      </c>
      <c r="G353" s="2"/>
      <c r="H353" s="2" t="s">
        <v>88</v>
      </c>
      <c r="I353" s="2" t="s">
        <v>545</v>
      </c>
      <c r="J353" s="38">
        <v>45910</v>
      </c>
      <c r="K353" s="2">
        <v>9</v>
      </c>
      <c r="L353" s="2">
        <v>233.94</v>
      </c>
      <c r="M353" s="2">
        <v>6.75</v>
      </c>
      <c r="N353" s="2">
        <v>227.19</v>
      </c>
      <c r="O353" s="2"/>
      <c r="P353" s="2"/>
      <c r="Q353" s="2"/>
      <c r="R353" s="38"/>
      <c r="S353" s="2"/>
      <c r="T353" s="2"/>
    </row>
    <row r="354" spans="1:20" x14ac:dyDescent="0.2">
      <c r="A354" s="49" t="str">
        <f t="shared" si="17"/>
        <v>6/4.5</v>
      </c>
      <c r="B354" s="19" t="s">
        <v>190</v>
      </c>
      <c r="C354" s="19" t="s">
        <v>76</v>
      </c>
      <c r="D354" s="19" t="s">
        <v>76</v>
      </c>
      <c r="E354" s="19">
        <v>6</v>
      </c>
      <c r="F354" s="19">
        <v>4.5</v>
      </c>
      <c r="G354" s="2"/>
      <c r="H354" s="2" t="s">
        <v>88</v>
      </c>
      <c r="I354" s="2" t="s">
        <v>545</v>
      </c>
      <c r="J354" s="38">
        <v>45910</v>
      </c>
      <c r="K354" s="2">
        <v>4</v>
      </c>
      <c r="L354" s="2">
        <v>127.49000000000001</v>
      </c>
      <c r="M354" s="2">
        <v>3</v>
      </c>
      <c r="N354" s="2">
        <v>124.49000000000001</v>
      </c>
      <c r="O354" s="2"/>
      <c r="P354" s="2"/>
      <c r="Q354" s="2"/>
      <c r="R354" s="38"/>
      <c r="S354" s="2"/>
      <c r="T354" s="2"/>
    </row>
    <row r="355" spans="1:20" x14ac:dyDescent="0.2">
      <c r="A355" s="49" t="str">
        <f t="shared" si="17"/>
        <v>9/5</v>
      </c>
      <c r="B355" s="19" t="s">
        <v>190</v>
      </c>
      <c r="C355" s="19" t="s">
        <v>76</v>
      </c>
      <c r="D355" s="19" t="s">
        <v>76</v>
      </c>
      <c r="E355" s="19">
        <v>9</v>
      </c>
      <c r="F355" s="19">
        <v>5</v>
      </c>
      <c r="G355" s="2"/>
      <c r="H355" s="2" t="s">
        <v>88</v>
      </c>
      <c r="I355" s="2" t="s">
        <v>585</v>
      </c>
      <c r="J355" s="38">
        <v>45910</v>
      </c>
      <c r="K355" s="2">
        <v>5</v>
      </c>
      <c r="L355" s="2">
        <v>177.07</v>
      </c>
      <c r="M355" s="2">
        <v>4.5</v>
      </c>
      <c r="N355" s="2">
        <v>172.57</v>
      </c>
      <c r="O355" s="2"/>
      <c r="P355" s="2"/>
      <c r="Q355" s="2"/>
      <c r="R355" s="38"/>
      <c r="S355" s="2"/>
      <c r="T355" s="2"/>
    </row>
    <row r="356" spans="1:20" x14ac:dyDescent="0.2">
      <c r="A356" s="49" t="str">
        <f t="shared" si="17"/>
        <v>17/5.5-6</v>
      </c>
      <c r="B356" s="19" t="s">
        <v>84</v>
      </c>
      <c r="C356" s="19" t="s">
        <v>76</v>
      </c>
      <c r="D356" s="19" t="s">
        <v>76</v>
      </c>
      <c r="E356" s="19">
        <v>17</v>
      </c>
      <c r="F356" s="19" t="s">
        <v>5</v>
      </c>
      <c r="G356" s="2"/>
      <c r="H356" s="2" t="s">
        <v>88</v>
      </c>
      <c r="I356" s="2" t="s">
        <v>492</v>
      </c>
      <c r="J356" s="38">
        <v>45910</v>
      </c>
      <c r="K356" s="2">
        <v>11</v>
      </c>
      <c r="L356" s="2">
        <v>564.79</v>
      </c>
      <c r="M356" s="2">
        <v>20.9</v>
      </c>
      <c r="N356" s="2">
        <v>543.89</v>
      </c>
      <c r="O356" s="2"/>
      <c r="P356" s="2"/>
      <c r="Q356" s="2"/>
      <c r="R356" s="38"/>
      <c r="S356" s="2"/>
      <c r="T356" s="2"/>
    </row>
    <row r="357" spans="1:20" x14ac:dyDescent="0.2">
      <c r="A357" s="49" t="str">
        <f t="shared" si="17"/>
        <v>19/6-6.5</v>
      </c>
      <c r="B357" s="19" t="s">
        <v>92</v>
      </c>
      <c r="C357" s="19" t="s">
        <v>76</v>
      </c>
      <c r="D357" s="19" t="s">
        <v>76</v>
      </c>
      <c r="E357" s="19">
        <v>19</v>
      </c>
      <c r="F357" s="19" t="s">
        <v>578</v>
      </c>
      <c r="G357" s="2"/>
      <c r="H357" s="2" t="s">
        <v>88</v>
      </c>
      <c r="I357" s="2" t="s">
        <v>586</v>
      </c>
      <c r="J357" s="38">
        <v>45910</v>
      </c>
      <c r="K357" s="2">
        <v>2</v>
      </c>
      <c r="L357" s="2">
        <v>113.62</v>
      </c>
      <c r="M357" s="2">
        <v>4.6500000000000004</v>
      </c>
      <c r="N357" s="2">
        <v>108.97</v>
      </c>
      <c r="O357" s="2"/>
      <c r="P357" s="2"/>
      <c r="Q357" s="2"/>
      <c r="R357" s="38"/>
      <c r="S357" s="2"/>
      <c r="T357" s="2"/>
    </row>
    <row r="358" spans="1:20" x14ac:dyDescent="0.2">
      <c r="A358" s="49" t="str">
        <f t="shared" si="17"/>
        <v>23/5</v>
      </c>
      <c r="B358" s="19" t="s">
        <v>577</v>
      </c>
      <c r="C358" s="19" t="s">
        <v>76</v>
      </c>
      <c r="D358" s="19" t="s">
        <v>76</v>
      </c>
      <c r="E358" s="19">
        <v>23</v>
      </c>
      <c r="F358" s="19">
        <v>5</v>
      </c>
      <c r="G358" s="2"/>
      <c r="H358" s="2" t="s">
        <v>88</v>
      </c>
      <c r="I358" s="2" t="s">
        <v>587</v>
      </c>
      <c r="J358" s="38">
        <v>45910</v>
      </c>
      <c r="K358" s="2">
        <v>1</v>
      </c>
      <c r="L358" s="2">
        <v>62.11</v>
      </c>
      <c r="M358" s="2">
        <v>2.5</v>
      </c>
      <c r="N358" s="2">
        <v>59.61</v>
      </c>
      <c r="O358" s="2"/>
      <c r="P358" s="2"/>
      <c r="Q358" s="2"/>
      <c r="R358" s="38"/>
      <c r="S358" s="2"/>
      <c r="T358" s="2"/>
    </row>
    <row r="359" spans="1:20" x14ac:dyDescent="0.2">
      <c r="A359" s="49" t="str">
        <f t="shared" si="17"/>
        <v>23/5</v>
      </c>
      <c r="B359" s="19" t="s">
        <v>579</v>
      </c>
      <c r="C359" s="19" t="s">
        <v>76</v>
      </c>
      <c r="D359" s="19" t="s">
        <v>76</v>
      </c>
      <c r="E359" s="19">
        <v>23</v>
      </c>
      <c r="F359" s="19">
        <v>5</v>
      </c>
      <c r="G359" s="2"/>
      <c r="H359" s="2" t="s">
        <v>88</v>
      </c>
      <c r="I359" s="2" t="s">
        <v>587</v>
      </c>
      <c r="J359" s="38">
        <v>45910</v>
      </c>
      <c r="K359" s="2">
        <v>3</v>
      </c>
      <c r="L359" s="2">
        <v>150.93</v>
      </c>
      <c r="M359" s="2">
        <v>6.8999999999999995</v>
      </c>
      <c r="N359" s="2">
        <v>144.03</v>
      </c>
      <c r="O359" s="2"/>
      <c r="P359" s="2"/>
      <c r="Q359" s="2"/>
      <c r="R359" s="38"/>
      <c r="S359" s="2"/>
      <c r="T359" s="2"/>
    </row>
    <row r="360" spans="1:20" x14ac:dyDescent="0.2">
      <c r="A360" s="49" t="str">
        <f t="shared" si="17"/>
        <v>26/10</v>
      </c>
      <c r="B360" s="19" t="s">
        <v>579</v>
      </c>
      <c r="C360" s="19" t="s">
        <v>76</v>
      </c>
      <c r="D360" s="19" t="s">
        <v>76</v>
      </c>
      <c r="E360" s="19">
        <v>26</v>
      </c>
      <c r="F360" s="19" t="s">
        <v>16</v>
      </c>
      <c r="G360" s="2"/>
      <c r="H360" s="2" t="s">
        <v>88</v>
      </c>
      <c r="I360" s="2" t="s">
        <v>588</v>
      </c>
      <c r="J360" s="38">
        <v>45910</v>
      </c>
      <c r="K360" s="2">
        <v>4</v>
      </c>
      <c r="L360" s="2">
        <v>157.07999999999998</v>
      </c>
      <c r="M360" s="2">
        <v>10.4</v>
      </c>
      <c r="N360" s="2">
        <v>146.67999999999998</v>
      </c>
      <c r="O360" s="2"/>
      <c r="P360" s="2"/>
      <c r="Q360" s="2"/>
      <c r="R360" s="38"/>
      <c r="S360" s="2"/>
      <c r="T360" s="2"/>
    </row>
    <row r="361" spans="1:20" x14ac:dyDescent="0.2">
      <c r="A361" s="49" t="str">
        <f t="shared" si="17"/>
        <v>16/5</v>
      </c>
      <c r="B361" s="19" t="s">
        <v>580</v>
      </c>
      <c r="C361" s="19" t="s">
        <v>76</v>
      </c>
      <c r="D361" s="19" t="s">
        <v>76</v>
      </c>
      <c r="E361" s="19">
        <v>16</v>
      </c>
      <c r="F361" s="19">
        <v>5</v>
      </c>
      <c r="G361" s="2"/>
      <c r="H361" s="2" t="s">
        <v>88</v>
      </c>
      <c r="I361" s="2" t="s">
        <v>589</v>
      </c>
      <c r="J361" s="38">
        <v>45910</v>
      </c>
      <c r="K361" s="2">
        <v>5</v>
      </c>
      <c r="L361" s="2">
        <v>223.20999999999998</v>
      </c>
      <c r="M361" s="2">
        <v>8</v>
      </c>
      <c r="N361" s="2">
        <v>215.20999999999998</v>
      </c>
      <c r="O361" s="2"/>
      <c r="P361" s="2"/>
      <c r="Q361" s="2"/>
      <c r="R361" s="38"/>
      <c r="S361" s="2"/>
      <c r="T361" s="2"/>
    </row>
    <row r="362" spans="1:20" x14ac:dyDescent="0.2">
      <c r="A362" s="49" t="str">
        <f t="shared" si="17"/>
        <v>26/5</v>
      </c>
      <c r="B362" s="19" t="s">
        <v>257</v>
      </c>
      <c r="C362" s="19" t="s">
        <v>76</v>
      </c>
      <c r="D362" s="19" t="s">
        <v>76</v>
      </c>
      <c r="E362" s="19">
        <v>26</v>
      </c>
      <c r="F362" s="19">
        <v>5</v>
      </c>
      <c r="G362" s="2"/>
      <c r="H362" s="2" t="s">
        <v>88</v>
      </c>
      <c r="I362" s="2" t="s">
        <v>590</v>
      </c>
      <c r="J362" s="38">
        <v>45910</v>
      </c>
      <c r="K362" s="2">
        <v>4</v>
      </c>
      <c r="L362" s="2">
        <v>204.9</v>
      </c>
      <c r="M362" s="2">
        <v>10.4</v>
      </c>
      <c r="N362" s="2">
        <v>194.5</v>
      </c>
      <c r="O362" s="2"/>
      <c r="P362" s="2"/>
      <c r="Q362" s="2"/>
      <c r="R362" s="38"/>
      <c r="S362" s="2"/>
      <c r="T362" s="2"/>
    </row>
    <row r="363" spans="1:20" x14ac:dyDescent="0.2">
      <c r="A363" s="49" t="str">
        <f t="shared" si="17"/>
        <v>14/5</v>
      </c>
      <c r="B363" s="19" t="s">
        <v>581</v>
      </c>
      <c r="C363" s="19"/>
      <c r="D363" s="19" t="s">
        <v>76</v>
      </c>
      <c r="E363" s="19">
        <v>14</v>
      </c>
      <c r="F363" s="18">
        <v>5</v>
      </c>
      <c r="G363" s="2"/>
      <c r="H363" s="2" t="s">
        <v>88</v>
      </c>
      <c r="I363" s="2" t="s">
        <v>512</v>
      </c>
      <c r="J363" s="38">
        <v>45910</v>
      </c>
      <c r="K363" s="2">
        <v>7</v>
      </c>
      <c r="L363" s="2">
        <v>392.92</v>
      </c>
      <c r="M363" s="2">
        <v>12.11</v>
      </c>
      <c r="N363" s="2">
        <v>380.81</v>
      </c>
      <c r="O363" s="2"/>
      <c r="P363" s="2"/>
      <c r="Q363" s="2"/>
      <c r="R363" s="38"/>
      <c r="S363" s="2"/>
      <c r="T363" s="2"/>
    </row>
    <row r="364" spans="1:20" x14ac:dyDescent="0.2">
      <c r="A364" s="49" t="str">
        <f t="shared" si="17"/>
        <v>11/5</v>
      </c>
      <c r="B364" s="19" t="s">
        <v>84</v>
      </c>
      <c r="C364" s="19" t="s">
        <v>76</v>
      </c>
      <c r="D364" s="19" t="s">
        <v>76</v>
      </c>
      <c r="E364" s="19">
        <v>11</v>
      </c>
      <c r="F364" s="19">
        <v>5</v>
      </c>
      <c r="G364" s="2"/>
      <c r="H364" s="2" t="s">
        <v>88</v>
      </c>
      <c r="I364" s="2" t="s">
        <v>591</v>
      </c>
      <c r="J364" s="38">
        <v>45910</v>
      </c>
      <c r="K364" s="2">
        <v>4</v>
      </c>
      <c r="L364" s="2">
        <v>176.01999999999998</v>
      </c>
      <c r="M364" s="2">
        <v>5.28</v>
      </c>
      <c r="N364" s="2">
        <v>170.73999999999998</v>
      </c>
      <c r="O364" s="2"/>
      <c r="P364" s="2"/>
      <c r="Q364" s="2"/>
      <c r="R364" s="38"/>
      <c r="S364" s="2"/>
      <c r="T364" s="2"/>
    </row>
    <row r="365" spans="1:20" x14ac:dyDescent="0.2">
      <c r="A365" s="49" t="str">
        <f t="shared" si="17"/>
        <v>14/5</v>
      </c>
      <c r="B365" s="19" t="s">
        <v>84</v>
      </c>
      <c r="C365" s="19" t="s">
        <v>76</v>
      </c>
      <c r="D365" s="19" t="s">
        <v>76</v>
      </c>
      <c r="E365" s="19">
        <v>14</v>
      </c>
      <c r="F365" s="18">
        <v>5</v>
      </c>
      <c r="G365" s="2"/>
      <c r="H365" s="2" t="s">
        <v>88</v>
      </c>
      <c r="I365" s="2" t="s">
        <v>512</v>
      </c>
      <c r="J365" s="38">
        <v>45910</v>
      </c>
      <c r="K365" s="2">
        <v>12</v>
      </c>
      <c r="L365" s="2">
        <v>555.68999999999994</v>
      </c>
      <c r="M365" s="2">
        <v>15.600000000000001</v>
      </c>
      <c r="N365" s="2">
        <v>540.08999999999992</v>
      </c>
      <c r="O365" s="2"/>
      <c r="P365" s="2"/>
      <c r="Q365" s="2"/>
      <c r="R365" s="38"/>
      <c r="S365" s="2"/>
      <c r="T365" s="2"/>
    </row>
    <row r="366" spans="1:20" x14ac:dyDescent="0.2">
      <c r="A366" s="49" t="str">
        <f t="shared" si="17"/>
        <v>3.5/5.5-6</v>
      </c>
      <c r="B366" s="19" t="s">
        <v>84</v>
      </c>
      <c r="C366" s="19" t="s">
        <v>76</v>
      </c>
      <c r="D366" s="19" t="s">
        <v>76</v>
      </c>
      <c r="E366" s="19">
        <v>3.5</v>
      </c>
      <c r="F366" s="18" t="s">
        <v>5</v>
      </c>
      <c r="G366" s="2"/>
      <c r="H366" s="2" t="s">
        <v>88</v>
      </c>
      <c r="I366" s="2" t="s">
        <v>584</v>
      </c>
      <c r="J366" s="38">
        <v>45911</v>
      </c>
      <c r="K366" s="2">
        <v>8</v>
      </c>
      <c r="L366" s="2">
        <v>120.03999999999999</v>
      </c>
      <c r="M366" s="2">
        <v>2.4</v>
      </c>
      <c r="N366" s="2">
        <v>117.63999999999999</v>
      </c>
      <c r="O366" s="2"/>
      <c r="P366" s="2"/>
      <c r="Q366" s="2"/>
      <c r="R366" s="38"/>
      <c r="S366" s="2"/>
      <c r="T366" s="2"/>
    </row>
    <row r="367" spans="1:20" x14ac:dyDescent="0.2">
      <c r="A367" s="49" t="str">
        <f t="shared" si="17"/>
        <v>3.5/5.5-6</v>
      </c>
      <c r="B367" s="19" t="s">
        <v>84</v>
      </c>
      <c r="C367" s="19" t="s">
        <v>76</v>
      </c>
      <c r="D367" s="19" t="s">
        <v>76</v>
      </c>
      <c r="E367" s="19">
        <v>3.5</v>
      </c>
      <c r="F367" s="19" t="s">
        <v>5</v>
      </c>
      <c r="G367" s="2"/>
      <c r="H367" s="2" t="s">
        <v>88</v>
      </c>
      <c r="I367" s="2" t="s">
        <v>584</v>
      </c>
      <c r="J367" s="38">
        <v>45911</v>
      </c>
      <c r="K367" s="2">
        <v>2</v>
      </c>
      <c r="L367" s="2">
        <v>26.299999999999997</v>
      </c>
      <c r="M367" s="2">
        <v>0.6</v>
      </c>
      <c r="N367" s="2">
        <v>25.699999999999996</v>
      </c>
      <c r="O367" s="2"/>
      <c r="P367" s="2"/>
      <c r="Q367" s="2"/>
      <c r="R367" s="38"/>
      <c r="S367" s="2"/>
      <c r="T367" s="2"/>
    </row>
    <row r="368" spans="1:20" x14ac:dyDescent="0.2">
      <c r="A368" s="49" t="str">
        <f t="shared" si="17"/>
        <v>4/5</v>
      </c>
      <c r="B368" s="19" t="s">
        <v>84</v>
      </c>
      <c r="C368" s="19" t="s">
        <v>76</v>
      </c>
      <c r="D368" s="19" t="s">
        <v>76</v>
      </c>
      <c r="E368" s="19">
        <v>4</v>
      </c>
      <c r="F368" s="19">
        <v>5</v>
      </c>
      <c r="G368" s="2"/>
      <c r="H368" s="2" t="s">
        <v>88</v>
      </c>
      <c r="I368" s="2" t="s">
        <v>542</v>
      </c>
      <c r="J368" s="38">
        <v>45911</v>
      </c>
      <c r="K368" s="2">
        <v>9</v>
      </c>
      <c r="L368" s="2">
        <v>116.66000000000001</v>
      </c>
      <c r="M368" s="2">
        <v>3.6</v>
      </c>
      <c r="N368" s="2">
        <v>113.06000000000002</v>
      </c>
      <c r="O368" s="2"/>
      <c r="P368" s="2"/>
      <c r="Q368" s="2"/>
      <c r="R368" s="38"/>
      <c r="S368" s="2"/>
      <c r="T368" s="2"/>
    </row>
    <row r="369" spans="1:20" x14ac:dyDescent="0.2">
      <c r="A369" s="49" t="str">
        <f t="shared" si="17"/>
        <v>4/5</v>
      </c>
      <c r="B369" s="19" t="s">
        <v>84</v>
      </c>
      <c r="C369" s="19" t="s">
        <v>76</v>
      </c>
      <c r="D369" s="19" t="s">
        <v>76</v>
      </c>
      <c r="E369" s="19">
        <v>4</v>
      </c>
      <c r="F369" s="19">
        <v>5</v>
      </c>
      <c r="G369" s="2"/>
      <c r="H369" s="2" t="s">
        <v>88</v>
      </c>
      <c r="I369" s="2" t="s">
        <v>542</v>
      </c>
      <c r="J369" s="38">
        <v>45911</v>
      </c>
      <c r="K369" s="2">
        <v>10</v>
      </c>
      <c r="L369" s="2">
        <v>152.12</v>
      </c>
      <c r="M369" s="2">
        <v>4</v>
      </c>
      <c r="N369" s="2">
        <v>148.12</v>
      </c>
      <c r="O369" s="2"/>
      <c r="P369" s="2"/>
      <c r="Q369" s="2"/>
      <c r="R369" s="38"/>
      <c r="S369" s="2"/>
      <c r="T369" s="2"/>
    </row>
    <row r="370" spans="1:20" x14ac:dyDescent="0.2">
      <c r="A370" s="49" t="str">
        <f t="shared" si="17"/>
        <v>9/5</v>
      </c>
      <c r="B370" s="19" t="s">
        <v>84</v>
      </c>
      <c r="C370" s="19" t="s">
        <v>76</v>
      </c>
      <c r="D370" s="19" t="s">
        <v>76</v>
      </c>
      <c r="E370" s="19">
        <v>9</v>
      </c>
      <c r="F370" s="19">
        <v>5</v>
      </c>
      <c r="G370" s="2"/>
      <c r="H370" s="2" t="s">
        <v>88</v>
      </c>
      <c r="I370" s="2" t="s">
        <v>592</v>
      </c>
      <c r="J370" s="38">
        <v>45911</v>
      </c>
      <c r="K370" s="2">
        <v>9</v>
      </c>
      <c r="L370" s="2">
        <v>353.24</v>
      </c>
      <c r="M370" s="2">
        <v>9</v>
      </c>
      <c r="N370" s="2">
        <v>344.24</v>
      </c>
      <c r="O370" s="2"/>
      <c r="P370" s="2"/>
      <c r="Q370" s="2"/>
      <c r="R370" s="38"/>
      <c r="S370" s="2"/>
      <c r="T370" s="2"/>
    </row>
    <row r="371" spans="1:20" x14ac:dyDescent="0.2">
      <c r="A371" s="49" t="str">
        <f t="shared" si="17"/>
        <v>9/5</v>
      </c>
      <c r="B371" s="19" t="s">
        <v>84</v>
      </c>
      <c r="C371" s="19" t="s">
        <v>76</v>
      </c>
      <c r="D371" s="19" t="s">
        <v>76</v>
      </c>
      <c r="E371" s="19">
        <v>9</v>
      </c>
      <c r="F371" s="19">
        <v>5</v>
      </c>
      <c r="G371" s="2"/>
      <c r="H371" s="2" t="s">
        <v>88</v>
      </c>
      <c r="I371" s="2" t="s">
        <v>592</v>
      </c>
      <c r="J371" s="38">
        <v>45911</v>
      </c>
      <c r="K371" s="2">
        <v>10</v>
      </c>
      <c r="L371" s="2">
        <v>327.85</v>
      </c>
      <c r="M371" s="2">
        <v>9</v>
      </c>
      <c r="N371" s="2">
        <v>318.85000000000002</v>
      </c>
      <c r="O371" s="2"/>
      <c r="P371" s="2"/>
      <c r="Q371" s="2"/>
      <c r="R371" s="38"/>
      <c r="S371" s="2"/>
      <c r="T371" s="2"/>
    </row>
    <row r="372" spans="1:20" x14ac:dyDescent="0.2">
      <c r="A372" s="49" t="str">
        <f t="shared" si="17"/>
        <v>16/5</v>
      </c>
      <c r="B372" s="19" t="s">
        <v>84</v>
      </c>
      <c r="C372" s="19" t="s">
        <v>76</v>
      </c>
      <c r="D372" s="19" t="s">
        <v>76</v>
      </c>
      <c r="E372" s="19">
        <v>16</v>
      </c>
      <c r="F372" s="19">
        <v>5</v>
      </c>
      <c r="G372" s="2"/>
      <c r="H372" s="2" t="s">
        <v>88</v>
      </c>
      <c r="I372" s="2" t="s">
        <v>589</v>
      </c>
      <c r="J372" s="38">
        <v>45911</v>
      </c>
      <c r="K372" s="2">
        <v>13</v>
      </c>
      <c r="L372" s="2">
        <v>648.99999999999989</v>
      </c>
      <c r="M372" s="2">
        <v>24.7</v>
      </c>
      <c r="N372" s="2">
        <v>624.29999999999984</v>
      </c>
      <c r="O372" s="2"/>
      <c r="P372" s="2"/>
      <c r="Q372" s="2"/>
      <c r="R372" s="38"/>
      <c r="S372" s="2"/>
      <c r="T372" s="2"/>
    </row>
    <row r="373" spans="1:20" x14ac:dyDescent="0.2">
      <c r="A373" s="49" t="str">
        <f t="shared" si="17"/>
        <v>16/6-6.5</v>
      </c>
      <c r="B373" s="19" t="s">
        <v>257</v>
      </c>
      <c r="C373" s="19" t="s">
        <v>76</v>
      </c>
      <c r="D373" s="19" t="s">
        <v>76</v>
      </c>
      <c r="E373" s="19">
        <v>16</v>
      </c>
      <c r="F373" s="19" t="s">
        <v>578</v>
      </c>
      <c r="G373" s="2"/>
      <c r="H373" s="2" t="s">
        <v>88</v>
      </c>
      <c r="I373" s="2" t="s">
        <v>593</v>
      </c>
      <c r="J373" s="38">
        <v>45911</v>
      </c>
      <c r="K373" s="2">
        <v>2</v>
      </c>
      <c r="L373" s="2">
        <v>99.419999999999987</v>
      </c>
      <c r="M373" s="2">
        <v>3.8</v>
      </c>
      <c r="N373" s="2">
        <v>96.8</v>
      </c>
      <c r="O373" s="2"/>
      <c r="P373" s="2"/>
      <c r="Q373" s="2"/>
      <c r="R373" s="38"/>
      <c r="S373" s="2"/>
      <c r="T373" s="2"/>
    </row>
    <row r="374" spans="1:20" x14ac:dyDescent="0.2">
      <c r="A374" s="49" t="str">
        <f t="shared" si="17"/>
        <v>16/5</v>
      </c>
      <c r="B374" s="19" t="s">
        <v>582</v>
      </c>
      <c r="C374" s="19" t="s">
        <v>76</v>
      </c>
      <c r="D374" s="19" t="s">
        <v>76</v>
      </c>
      <c r="E374" s="19">
        <v>16</v>
      </c>
      <c r="F374" s="19">
        <v>5</v>
      </c>
      <c r="G374" s="2"/>
      <c r="H374" s="2" t="s">
        <v>88</v>
      </c>
      <c r="I374" s="2" t="s">
        <v>589</v>
      </c>
      <c r="J374" s="38">
        <v>45911</v>
      </c>
      <c r="K374" s="2">
        <v>4</v>
      </c>
      <c r="L374" s="2">
        <v>154.76999999999998</v>
      </c>
      <c r="M374" s="2">
        <v>7.6</v>
      </c>
      <c r="N374" s="2">
        <v>147.16999999999999</v>
      </c>
      <c r="O374" s="2"/>
      <c r="P374" s="2"/>
      <c r="Q374" s="2"/>
      <c r="R374" s="38"/>
      <c r="S374" s="2"/>
      <c r="T374" s="2"/>
    </row>
    <row r="375" spans="1:20" x14ac:dyDescent="0.2">
      <c r="A375" s="49" t="str">
        <f t="shared" si="17"/>
        <v>26/5</v>
      </c>
      <c r="B375" s="19" t="s">
        <v>257</v>
      </c>
      <c r="C375" s="19" t="s">
        <v>76</v>
      </c>
      <c r="D375" s="19" t="s">
        <v>76</v>
      </c>
      <c r="E375" s="19">
        <v>26</v>
      </c>
      <c r="F375" s="19">
        <v>5</v>
      </c>
      <c r="G375" s="2"/>
      <c r="H375" s="2" t="s">
        <v>88</v>
      </c>
      <c r="I375" s="2" t="s">
        <v>594</v>
      </c>
      <c r="J375" s="38">
        <v>45911</v>
      </c>
      <c r="K375" s="2">
        <v>4</v>
      </c>
      <c r="L375" s="2">
        <v>129.64999999999998</v>
      </c>
      <c r="M375" s="2">
        <v>12</v>
      </c>
      <c r="N375" s="2">
        <v>117.64999999999998</v>
      </c>
      <c r="O375" s="2"/>
      <c r="P375" s="2"/>
      <c r="Q375" s="2"/>
      <c r="R375" s="38"/>
      <c r="S375" s="2"/>
      <c r="T375" s="2"/>
    </row>
    <row r="376" spans="1:20" x14ac:dyDescent="0.2">
      <c r="A376" s="49" t="str">
        <f t="shared" si="17"/>
        <v>26/10</v>
      </c>
      <c r="B376" s="19" t="s">
        <v>581</v>
      </c>
      <c r="C376" s="19"/>
      <c r="D376" s="19" t="s">
        <v>76</v>
      </c>
      <c r="E376" s="19">
        <v>26</v>
      </c>
      <c r="F376" s="19">
        <v>10</v>
      </c>
      <c r="G376" s="2"/>
      <c r="H376" s="2" t="s">
        <v>88</v>
      </c>
      <c r="I376" s="2" t="s">
        <v>595</v>
      </c>
      <c r="J376" s="38">
        <v>45911</v>
      </c>
      <c r="K376" s="2">
        <v>2</v>
      </c>
      <c r="L376" s="2">
        <v>111.46000000000001</v>
      </c>
      <c r="M376" s="2">
        <v>9</v>
      </c>
      <c r="N376" s="2">
        <v>102.46000000000001</v>
      </c>
      <c r="O376" s="2"/>
      <c r="P376" s="2"/>
      <c r="Q376" s="2"/>
      <c r="R376" s="38"/>
      <c r="S376" s="2"/>
      <c r="T376" s="2"/>
    </row>
    <row r="377" spans="1:20" x14ac:dyDescent="0.2">
      <c r="A377" s="49" t="str">
        <f t="shared" si="17"/>
        <v>26/10</v>
      </c>
      <c r="B377" s="19" t="s">
        <v>583</v>
      </c>
      <c r="C377" s="19" t="s">
        <v>76</v>
      </c>
      <c r="D377" s="19" t="s">
        <v>76</v>
      </c>
      <c r="E377" s="19">
        <v>26</v>
      </c>
      <c r="F377" s="19">
        <v>10</v>
      </c>
      <c r="G377" s="2"/>
      <c r="H377" s="2" t="s">
        <v>88</v>
      </c>
      <c r="I377" s="2" t="s">
        <v>596</v>
      </c>
      <c r="J377" s="38">
        <v>45911</v>
      </c>
      <c r="K377" s="2">
        <v>3</v>
      </c>
      <c r="L377" s="2">
        <v>97.110000000000014</v>
      </c>
      <c r="M377" s="2">
        <v>6</v>
      </c>
      <c r="N377" s="2">
        <v>91.110000000000014</v>
      </c>
      <c r="O377" s="2"/>
      <c r="P377" s="2"/>
      <c r="Q377" s="2"/>
      <c r="R377" s="38"/>
      <c r="S377" s="2"/>
      <c r="T377" s="2"/>
    </row>
    <row r="378" spans="1:20" x14ac:dyDescent="0.2">
      <c r="A378" s="49" t="str">
        <f t="shared" si="17"/>
        <v>18/5-5.5</v>
      </c>
      <c r="B378" s="19" t="s">
        <v>166</v>
      </c>
      <c r="C378" s="19" t="s">
        <v>76</v>
      </c>
      <c r="D378" s="19" t="s">
        <v>76</v>
      </c>
      <c r="E378" s="19">
        <v>18</v>
      </c>
      <c r="F378" s="19" t="s">
        <v>41</v>
      </c>
      <c r="G378" s="2"/>
      <c r="H378" s="2" t="s">
        <v>88</v>
      </c>
      <c r="I378" s="2" t="s">
        <v>597</v>
      </c>
      <c r="J378" s="38">
        <v>45911</v>
      </c>
      <c r="K378" s="2">
        <v>5</v>
      </c>
      <c r="L378" s="2">
        <v>195.8</v>
      </c>
      <c r="M378" s="2">
        <v>9</v>
      </c>
      <c r="N378" s="2">
        <v>186.8</v>
      </c>
      <c r="O378" s="2"/>
      <c r="P378" s="2"/>
      <c r="Q378" s="2"/>
      <c r="R378" s="38"/>
      <c r="S378" s="2"/>
      <c r="T378" s="2"/>
    </row>
    <row r="379" spans="1:20" x14ac:dyDescent="0.2">
      <c r="A379" s="49" t="str">
        <f t="shared" si="17"/>
        <v>11/5</v>
      </c>
      <c r="B379" s="19" t="s">
        <v>257</v>
      </c>
      <c r="C379" s="19" t="s">
        <v>76</v>
      </c>
      <c r="D379" s="19" t="s">
        <v>76</v>
      </c>
      <c r="E379" s="19">
        <v>11</v>
      </c>
      <c r="F379" s="19">
        <v>5</v>
      </c>
      <c r="G379" s="2"/>
      <c r="H379" s="2" t="s">
        <v>88</v>
      </c>
      <c r="I379" s="2" t="s">
        <v>298</v>
      </c>
      <c r="J379" s="38">
        <v>45911</v>
      </c>
      <c r="K379" s="2">
        <v>8</v>
      </c>
      <c r="L379" s="2">
        <v>385.71000000000004</v>
      </c>
      <c r="M379" s="2">
        <v>10.56</v>
      </c>
      <c r="N379" s="2">
        <v>375.15000000000003</v>
      </c>
      <c r="O379" s="2"/>
      <c r="P379" s="2"/>
      <c r="Q379" s="2"/>
      <c r="R379" s="38"/>
      <c r="S379" s="2"/>
      <c r="T379" s="2"/>
    </row>
    <row r="380" spans="1:20" x14ac:dyDescent="0.2">
      <c r="A380" s="49" t="str">
        <f t="shared" si="17"/>
        <v>12/5</v>
      </c>
      <c r="B380" s="19" t="s">
        <v>84</v>
      </c>
      <c r="C380" s="19" t="s">
        <v>76</v>
      </c>
      <c r="D380" s="19" t="s">
        <v>76</v>
      </c>
      <c r="E380" s="19">
        <v>12</v>
      </c>
      <c r="F380" s="19">
        <v>5</v>
      </c>
      <c r="G380" s="2"/>
      <c r="H380" s="2" t="s">
        <v>88</v>
      </c>
      <c r="I380" s="2" t="s">
        <v>598</v>
      </c>
      <c r="J380" s="38">
        <v>45911</v>
      </c>
      <c r="K380" s="2">
        <v>3</v>
      </c>
      <c r="L380" s="2">
        <v>150.81</v>
      </c>
      <c r="M380" s="2">
        <v>5.25</v>
      </c>
      <c r="N380" s="2">
        <v>145.56</v>
      </c>
      <c r="O380" s="2"/>
      <c r="P380" s="2"/>
      <c r="Q380" s="2"/>
      <c r="R380" s="38"/>
      <c r="S380" s="2"/>
      <c r="T380" s="2"/>
    </row>
    <row r="381" spans="1:20" x14ac:dyDescent="0.2">
      <c r="A381" s="49" t="str">
        <f t="shared" si="17"/>
        <v>12/5</v>
      </c>
      <c r="B381" s="19" t="s">
        <v>84</v>
      </c>
      <c r="C381" s="19" t="s">
        <v>76</v>
      </c>
      <c r="D381" s="19" t="s">
        <v>76</v>
      </c>
      <c r="E381" s="19">
        <v>12</v>
      </c>
      <c r="F381" s="19">
        <v>5</v>
      </c>
      <c r="G381" s="2"/>
      <c r="H381" s="2" t="s">
        <v>88</v>
      </c>
      <c r="I381" s="2" t="s">
        <v>598</v>
      </c>
      <c r="J381" s="38">
        <v>45911</v>
      </c>
      <c r="K381" s="2">
        <v>13</v>
      </c>
      <c r="L381" s="2">
        <v>566.8599999999999</v>
      </c>
      <c r="M381" s="2">
        <v>15.6</v>
      </c>
      <c r="N381" s="2">
        <v>551.25999999999988</v>
      </c>
      <c r="O381" s="2"/>
      <c r="P381" s="2"/>
      <c r="Q381" s="2"/>
      <c r="R381" s="38"/>
      <c r="S381" s="2"/>
      <c r="T381" s="2"/>
    </row>
    <row r="382" spans="1:20" x14ac:dyDescent="0.2">
      <c r="A382" s="49" t="str">
        <f t="shared" si="17"/>
        <v>9/5</v>
      </c>
      <c r="B382" s="19" t="s">
        <v>84</v>
      </c>
      <c r="C382" s="19" t="s">
        <v>76</v>
      </c>
      <c r="D382" s="19" t="s">
        <v>76</v>
      </c>
      <c r="E382" s="19" t="s">
        <v>17</v>
      </c>
      <c r="F382" s="19">
        <v>5</v>
      </c>
      <c r="G382" s="2"/>
      <c r="H382" s="2"/>
      <c r="I382" s="2"/>
      <c r="J382" s="38"/>
      <c r="K382" s="2"/>
      <c r="L382" s="2"/>
      <c r="M382" s="2"/>
      <c r="N382" s="2"/>
      <c r="O382" s="2" t="s">
        <v>289</v>
      </c>
      <c r="P382" s="2" t="s">
        <v>606</v>
      </c>
      <c r="Q382" s="2"/>
      <c r="R382" s="38">
        <v>45910</v>
      </c>
      <c r="S382" s="2">
        <v>1</v>
      </c>
      <c r="T382" s="2">
        <v>25</v>
      </c>
    </row>
    <row r="383" spans="1:20" x14ac:dyDescent="0.2">
      <c r="A383" s="49" t="str">
        <f t="shared" si="17"/>
        <v>9/5</v>
      </c>
      <c r="B383" s="19" t="s">
        <v>84</v>
      </c>
      <c r="C383" s="19" t="s">
        <v>76</v>
      </c>
      <c r="D383" s="19" t="s">
        <v>76</v>
      </c>
      <c r="E383" s="19" t="s">
        <v>17</v>
      </c>
      <c r="F383" s="19">
        <v>5</v>
      </c>
      <c r="G383" s="2"/>
      <c r="H383" s="2"/>
      <c r="I383" s="2"/>
      <c r="J383" s="38"/>
      <c r="K383" s="2"/>
      <c r="L383" s="2"/>
      <c r="M383" s="2"/>
      <c r="N383" s="2"/>
      <c r="O383" s="2" t="s">
        <v>289</v>
      </c>
      <c r="P383" s="2" t="s">
        <v>607</v>
      </c>
      <c r="Q383" s="2"/>
      <c r="R383" s="38">
        <v>45910</v>
      </c>
      <c r="S383" s="2">
        <v>2</v>
      </c>
      <c r="T383" s="2">
        <v>50</v>
      </c>
    </row>
    <row r="384" spans="1:20" x14ac:dyDescent="0.2">
      <c r="A384" s="49" t="str">
        <f t="shared" si="17"/>
        <v>9/5</v>
      </c>
      <c r="B384" s="19" t="s">
        <v>84</v>
      </c>
      <c r="C384" s="19" t="s">
        <v>76</v>
      </c>
      <c r="D384" s="19" t="s">
        <v>76</v>
      </c>
      <c r="E384" s="19" t="s">
        <v>17</v>
      </c>
      <c r="F384" s="19">
        <v>5</v>
      </c>
      <c r="G384" s="2"/>
      <c r="H384" s="2"/>
      <c r="I384" s="2"/>
      <c r="J384" s="38"/>
      <c r="K384" s="2"/>
      <c r="L384" s="2"/>
      <c r="M384" s="2"/>
      <c r="N384" s="2"/>
      <c r="O384" s="2" t="s">
        <v>289</v>
      </c>
      <c r="P384" s="2" t="s">
        <v>608</v>
      </c>
      <c r="Q384" s="2"/>
      <c r="R384" s="38">
        <v>45910</v>
      </c>
      <c r="S384" s="2">
        <v>5</v>
      </c>
      <c r="T384" s="2">
        <v>125</v>
      </c>
    </row>
    <row r="385" spans="1:20" x14ac:dyDescent="0.2">
      <c r="A385" s="49" t="str">
        <f t="shared" si="17"/>
        <v>9/5</v>
      </c>
      <c r="B385" s="19" t="s">
        <v>84</v>
      </c>
      <c r="C385" s="19" t="s">
        <v>76</v>
      </c>
      <c r="D385" s="19" t="s">
        <v>76</v>
      </c>
      <c r="E385" s="19">
        <v>9</v>
      </c>
      <c r="F385" s="19">
        <v>5</v>
      </c>
      <c r="G385" s="2"/>
      <c r="H385" s="2"/>
      <c r="I385" s="2"/>
      <c r="J385" s="38"/>
      <c r="K385" s="2"/>
      <c r="L385" s="2"/>
      <c r="M385" s="2"/>
      <c r="N385" s="2"/>
      <c r="O385" s="2" t="s">
        <v>289</v>
      </c>
      <c r="P385" s="2" t="s">
        <v>609</v>
      </c>
      <c r="Q385" s="2"/>
      <c r="R385" s="38">
        <v>45910</v>
      </c>
      <c r="S385" s="2">
        <v>5</v>
      </c>
      <c r="T385" s="2">
        <v>125</v>
      </c>
    </row>
    <row r="386" spans="1:20" x14ac:dyDescent="0.2">
      <c r="A386" s="49" t="str">
        <f t="shared" si="17"/>
        <v>9/5</v>
      </c>
      <c r="B386" s="19" t="s">
        <v>599</v>
      </c>
      <c r="C386" s="19" t="s">
        <v>76</v>
      </c>
      <c r="D386" s="19" t="s">
        <v>76</v>
      </c>
      <c r="E386" s="19">
        <v>9</v>
      </c>
      <c r="F386" s="19">
        <v>5</v>
      </c>
      <c r="G386" s="2"/>
      <c r="H386" s="2"/>
      <c r="I386" s="2"/>
      <c r="J386" s="38"/>
      <c r="K386" s="2"/>
      <c r="L386" s="2"/>
      <c r="M386" s="2"/>
      <c r="N386" s="2"/>
      <c r="O386" s="2" t="s">
        <v>289</v>
      </c>
      <c r="P386" s="2" t="s">
        <v>610</v>
      </c>
      <c r="Q386" s="2"/>
      <c r="R386" s="38">
        <v>45910</v>
      </c>
      <c r="S386" s="2">
        <v>4</v>
      </c>
      <c r="T386" s="2">
        <v>100</v>
      </c>
    </row>
    <row r="387" spans="1:20" x14ac:dyDescent="0.2">
      <c r="A387" s="49" t="str">
        <f t="shared" si="17"/>
        <v>14/5</v>
      </c>
      <c r="B387" s="19" t="s">
        <v>89</v>
      </c>
      <c r="C387" s="19" t="s">
        <v>76</v>
      </c>
      <c r="D387" s="19" t="s">
        <v>76</v>
      </c>
      <c r="E387" s="19">
        <v>14</v>
      </c>
      <c r="F387" s="18">
        <v>5</v>
      </c>
      <c r="G387" s="2"/>
      <c r="H387" s="2"/>
      <c r="I387" s="2"/>
      <c r="J387" s="38"/>
      <c r="K387" s="2"/>
      <c r="L387" s="2"/>
      <c r="M387" s="2"/>
      <c r="N387" s="2"/>
      <c r="O387" s="2" t="s">
        <v>289</v>
      </c>
      <c r="P387" s="2" t="s">
        <v>549</v>
      </c>
      <c r="Q387" s="2"/>
      <c r="R387" s="38">
        <v>45910</v>
      </c>
      <c r="S387" s="2">
        <v>16</v>
      </c>
      <c r="T387" s="2">
        <v>400</v>
      </c>
    </row>
    <row r="388" spans="1:20" x14ac:dyDescent="0.2">
      <c r="A388" s="49" t="str">
        <f t="shared" si="17"/>
        <v>12/5</v>
      </c>
      <c r="B388" s="19" t="s">
        <v>92</v>
      </c>
      <c r="C388" s="19" t="s">
        <v>76</v>
      </c>
      <c r="D388" s="19" t="s">
        <v>76</v>
      </c>
      <c r="E388" s="19" t="s">
        <v>14</v>
      </c>
      <c r="F388" s="19">
        <v>5</v>
      </c>
      <c r="G388" s="2"/>
      <c r="H388" s="2"/>
      <c r="I388" s="2"/>
      <c r="J388" s="38"/>
      <c r="K388" s="2"/>
      <c r="L388" s="2"/>
      <c r="M388" s="2"/>
      <c r="N388" s="2"/>
      <c r="O388" s="2" t="s">
        <v>289</v>
      </c>
      <c r="P388" s="2" t="s">
        <v>547</v>
      </c>
      <c r="Q388" s="2"/>
      <c r="R388" s="38">
        <v>45910</v>
      </c>
      <c r="S388" s="2">
        <v>3</v>
      </c>
      <c r="T388" s="2">
        <v>75</v>
      </c>
    </row>
    <row r="389" spans="1:20" x14ac:dyDescent="0.2">
      <c r="A389" s="49" t="str">
        <f t="shared" ref="A389:A452" si="19">CONCATENATE(E389,"/",F389)</f>
        <v>16/5</v>
      </c>
      <c r="B389" s="19" t="s">
        <v>84</v>
      </c>
      <c r="C389" s="19" t="s">
        <v>76</v>
      </c>
      <c r="D389" s="19" t="s">
        <v>76</v>
      </c>
      <c r="E389" s="19">
        <v>16</v>
      </c>
      <c r="F389" s="19">
        <v>5</v>
      </c>
      <c r="G389" s="2"/>
      <c r="H389" s="2"/>
      <c r="I389" s="2"/>
      <c r="J389" s="38"/>
      <c r="K389" s="2"/>
      <c r="L389" s="2"/>
      <c r="M389" s="2"/>
      <c r="N389" s="2"/>
      <c r="O389" s="2" t="s">
        <v>289</v>
      </c>
      <c r="P389" s="2" t="s">
        <v>611</v>
      </c>
      <c r="Q389" s="2"/>
      <c r="R389" s="38">
        <v>45910</v>
      </c>
      <c r="S389" s="2">
        <v>2</v>
      </c>
      <c r="T389" s="2">
        <v>50</v>
      </c>
    </row>
    <row r="390" spans="1:20" x14ac:dyDescent="0.2">
      <c r="A390" s="49" t="str">
        <f t="shared" si="19"/>
        <v>16/5</v>
      </c>
      <c r="B390" s="19" t="s">
        <v>600</v>
      </c>
      <c r="C390" s="19" t="s">
        <v>76</v>
      </c>
      <c r="D390" s="19" t="s">
        <v>76</v>
      </c>
      <c r="E390" s="19">
        <v>16</v>
      </c>
      <c r="F390" s="19">
        <v>5</v>
      </c>
      <c r="G390" s="2"/>
      <c r="H390" s="2"/>
      <c r="I390" s="2"/>
      <c r="J390" s="38"/>
      <c r="K390" s="2"/>
      <c r="L390" s="2"/>
      <c r="M390" s="2"/>
      <c r="N390" s="2"/>
      <c r="O390" s="2" t="s">
        <v>289</v>
      </c>
      <c r="P390" s="2" t="s">
        <v>612</v>
      </c>
      <c r="Q390" s="2"/>
      <c r="R390" s="38">
        <v>45910</v>
      </c>
      <c r="S390" s="2">
        <v>2</v>
      </c>
      <c r="T390" s="2">
        <v>50</v>
      </c>
    </row>
    <row r="391" spans="1:20" x14ac:dyDescent="0.2">
      <c r="A391" s="49" t="str">
        <f t="shared" si="19"/>
        <v>16/5</v>
      </c>
      <c r="B391" s="19" t="s">
        <v>601</v>
      </c>
      <c r="C391" s="19" t="s">
        <v>76</v>
      </c>
      <c r="D391" s="19" t="s">
        <v>76</v>
      </c>
      <c r="E391" s="19" t="s">
        <v>28</v>
      </c>
      <c r="F391" s="19">
        <v>5</v>
      </c>
      <c r="G391" s="2"/>
      <c r="H391" s="2"/>
      <c r="I391" s="2"/>
      <c r="J391" s="38"/>
      <c r="K391" s="2"/>
      <c r="L391" s="2"/>
      <c r="M391" s="2"/>
      <c r="N391" s="2"/>
      <c r="O391" s="2" t="s">
        <v>289</v>
      </c>
      <c r="P391" s="2" t="s">
        <v>613</v>
      </c>
      <c r="Q391" s="2"/>
      <c r="R391" s="38">
        <v>45910</v>
      </c>
      <c r="S391" s="2">
        <v>7</v>
      </c>
      <c r="T391" s="2">
        <v>175</v>
      </c>
    </row>
    <row r="392" spans="1:20" x14ac:dyDescent="0.2">
      <c r="A392" s="49" t="str">
        <f t="shared" si="19"/>
        <v>10/5</v>
      </c>
      <c r="B392" s="19" t="s">
        <v>84</v>
      </c>
      <c r="C392" s="19" t="s">
        <v>76</v>
      </c>
      <c r="D392" s="19" t="s">
        <v>76</v>
      </c>
      <c r="E392" s="19">
        <v>10</v>
      </c>
      <c r="F392" s="19">
        <v>5</v>
      </c>
      <c r="G392" s="2"/>
      <c r="H392" s="2"/>
      <c r="I392" s="2"/>
      <c r="J392" s="38"/>
      <c r="K392" s="2"/>
      <c r="L392" s="2"/>
      <c r="M392" s="2"/>
      <c r="N392" s="2"/>
      <c r="O392" s="2" t="s">
        <v>289</v>
      </c>
      <c r="P392" s="2" t="s">
        <v>614</v>
      </c>
      <c r="Q392" s="2"/>
      <c r="R392" s="38">
        <v>45910</v>
      </c>
      <c r="S392" s="2">
        <v>8</v>
      </c>
      <c r="T392" s="2">
        <v>200</v>
      </c>
    </row>
    <row r="393" spans="1:20" x14ac:dyDescent="0.2">
      <c r="A393" s="49" t="str">
        <f t="shared" si="19"/>
        <v>10/5</v>
      </c>
      <c r="B393" s="19" t="s">
        <v>602</v>
      </c>
      <c r="C393" s="19" t="s">
        <v>76</v>
      </c>
      <c r="D393" s="19" t="s">
        <v>76</v>
      </c>
      <c r="E393" s="19">
        <v>10</v>
      </c>
      <c r="F393" s="19">
        <v>5</v>
      </c>
      <c r="G393" s="2"/>
      <c r="H393" s="2"/>
      <c r="I393" s="2"/>
      <c r="J393" s="38"/>
      <c r="K393" s="2"/>
      <c r="L393" s="2"/>
      <c r="M393" s="2"/>
      <c r="N393" s="2"/>
      <c r="O393" s="2" t="s">
        <v>289</v>
      </c>
      <c r="P393" s="2" t="s">
        <v>615</v>
      </c>
      <c r="Q393" s="2"/>
      <c r="R393" s="38">
        <v>45910</v>
      </c>
      <c r="S393" s="2">
        <v>10</v>
      </c>
      <c r="T393" s="2">
        <v>250</v>
      </c>
    </row>
    <row r="394" spans="1:20" x14ac:dyDescent="0.2">
      <c r="A394" s="49" t="str">
        <f t="shared" si="19"/>
        <v>3/5</v>
      </c>
      <c r="B394" s="19" t="s">
        <v>603</v>
      </c>
      <c r="C394" s="19" t="s">
        <v>76</v>
      </c>
      <c r="D394" s="19" t="s">
        <v>76</v>
      </c>
      <c r="E394" s="19" t="s">
        <v>27</v>
      </c>
      <c r="F394" s="19">
        <v>5</v>
      </c>
      <c r="G394" s="2"/>
      <c r="H394" s="2"/>
      <c r="I394" s="2"/>
      <c r="J394" s="38"/>
      <c r="K394" s="2"/>
      <c r="L394" s="2"/>
      <c r="M394" s="2"/>
      <c r="N394" s="2"/>
      <c r="O394" s="2" t="s">
        <v>289</v>
      </c>
      <c r="P394" s="2" t="s">
        <v>518</v>
      </c>
      <c r="Q394" s="2"/>
      <c r="R394" s="38">
        <v>45910</v>
      </c>
      <c r="S394" s="2">
        <v>11</v>
      </c>
      <c r="T394" s="2">
        <v>220</v>
      </c>
    </row>
    <row r="395" spans="1:20" x14ac:dyDescent="0.2">
      <c r="A395" s="49" t="str">
        <f t="shared" si="19"/>
        <v>4/5</v>
      </c>
      <c r="B395" s="19" t="s">
        <v>83</v>
      </c>
      <c r="C395" s="19" t="s">
        <v>76</v>
      </c>
      <c r="D395" s="19" t="s">
        <v>76</v>
      </c>
      <c r="E395" s="19" t="s">
        <v>26</v>
      </c>
      <c r="F395" s="19">
        <v>5</v>
      </c>
      <c r="G395" s="2"/>
      <c r="H395" s="2"/>
      <c r="I395" s="2"/>
      <c r="J395" s="38"/>
      <c r="K395" s="2"/>
      <c r="L395" s="2"/>
      <c r="M395" s="2"/>
      <c r="N395" s="2"/>
      <c r="O395" s="2" t="s">
        <v>289</v>
      </c>
      <c r="P395" s="2" t="s">
        <v>616</v>
      </c>
      <c r="Q395" s="2"/>
      <c r="R395" s="38">
        <v>45910</v>
      </c>
      <c r="S395" s="2">
        <v>1</v>
      </c>
      <c r="T395" s="2">
        <v>20</v>
      </c>
    </row>
    <row r="396" spans="1:20" x14ac:dyDescent="0.2">
      <c r="A396" s="49" t="str">
        <f t="shared" si="19"/>
        <v>9/5</v>
      </c>
      <c r="B396" s="19" t="s">
        <v>84</v>
      </c>
      <c r="C396" s="19" t="s">
        <v>76</v>
      </c>
      <c r="D396" s="19" t="s">
        <v>76</v>
      </c>
      <c r="E396" s="19" t="s">
        <v>17</v>
      </c>
      <c r="F396" s="19">
        <v>5</v>
      </c>
      <c r="G396" s="2"/>
      <c r="H396" s="2"/>
      <c r="I396" s="2"/>
      <c r="J396" s="38"/>
      <c r="K396" s="2"/>
      <c r="L396" s="2"/>
      <c r="M396" s="2"/>
      <c r="N396" s="2"/>
      <c r="O396" s="2" t="s">
        <v>289</v>
      </c>
      <c r="P396" s="2" t="s">
        <v>608</v>
      </c>
      <c r="Q396" s="2"/>
      <c r="R396" s="38">
        <v>45911</v>
      </c>
      <c r="S396" s="2">
        <v>5</v>
      </c>
      <c r="T396" s="2">
        <v>125</v>
      </c>
    </row>
    <row r="397" spans="1:20" x14ac:dyDescent="0.2">
      <c r="A397" s="49" t="str">
        <f t="shared" si="19"/>
        <v>11/5</v>
      </c>
      <c r="B397" s="19" t="s">
        <v>84</v>
      </c>
      <c r="C397" s="19" t="s">
        <v>76</v>
      </c>
      <c r="D397" s="19" t="s">
        <v>76</v>
      </c>
      <c r="E397" s="19">
        <v>11</v>
      </c>
      <c r="F397" s="19">
        <v>5</v>
      </c>
      <c r="G397" s="2"/>
      <c r="H397" s="2"/>
      <c r="I397" s="2"/>
      <c r="J397" s="38"/>
      <c r="K397" s="2"/>
      <c r="L397" s="2"/>
      <c r="M397" s="2"/>
      <c r="N397" s="2"/>
      <c r="O397" s="2" t="s">
        <v>289</v>
      </c>
      <c r="P397" s="2" t="s">
        <v>617</v>
      </c>
      <c r="Q397" s="2"/>
      <c r="R397" s="38">
        <v>45911</v>
      </c>
      <c r="S397" s="2">
        <v>9</v>
      </c>
      <c r="T397" s="2">
        <v>225</v>
      </c>
    </row>
    <row r="398" spans="1:20" x14ac:dyDescent="0.2">
      <c r="A398" s="49" t="str">
        <f t="shared" si="19"/>
        <v>11/5</v>
      </c>
      <c r="B398" s="19" t="s">
        <v>604</v>
      </c>
      <c r="C398" s="19" t="s">
        <v>76</v>
      </c>
      <c r="D398" s="19" t="s">
        <v>76</v>
      </c>
      <c r="E398" s="19" t="s">
        <v>15</v>
      </c>
      <c r="F398" s="19">
        <v>5</v>
      </c>
      <c r="G398" s="2"/>
      <c r="H398" s="2"/>
      <c r="I398" s="2"/>
      <c r="J398" s="38"/>
      <c r="K398" s="2"/>
      <c r="L398" s="2"/>
      <c r="M398" s="2"/>
      <c r="N398" s="2"/>
      <c r="O398" s="2" t="s">
        <v>289</v>
      </c>
      <c r="P398" s="2" t="s">
        <v>618</v>
      </c>
      <c r="Q398" s="2"/>
      <c r="R398" s="38">
        <v>45911</v>
      </c>
      <c r="S398" s="2">
        <v>4</v>
      </c>
      <c r="T398" s="2">
        <v>100</v>
      </c>
    </row>
    <row r="399" spans="1:20" x14ac:dyDescent="0.2">
      <c r="A399" s="49" t="str">
        <f t="shared" si="19"/>
        <v>14/5</v>
      </c>
      <c r="B399" s="19" t="s">
        <v>84</v>
      </c>
      <c r="C399" s="19" t="s">
        <v>76</v>
      </c>
      <c r="D399" s="19" t="s">
        <v>76</v>
      </c>
      <c r="E399" s="19">
        <v>14</v>
      </c>
      <c r="F399" s="18">
        <v>5</v>
      </c>
      <c r="G399" s="2"/>
      <c r="H399" s="2"/>
      <c r="I399" s="2"/>
      <c r="J399" s="38"/>
      <c r="K399" s="2"/>
      <c r="L399" s="2"/>
      <c r="M399" s="2"/>
      <c r="N399" s="2"/>
      <c r="O399" s="2" t="s">
        <v>289</v>
      </c>
      <c r="P399" s="2" t="s">
        <v>549</v>
      </c>
      <c r="Q399" s="2"/>
      <c r="R399" s="38">
        <v>45911</v>
      </c>
      <c r="S399" s="2">
        <v>20</v>
      </c>
      <c r="T399" s="2">
        <v>500</v>
      </c>
    </row>
    <row r="400" spans="1:20" x14ac:dyDescent="0.2">
      <c r="A400" s="49" t="str">
        <f t="shared" si="19"/>
        <v>18/5</v>
      </c>
      <c r="B400" s="19" t="s">
        <v>92</v>
      </c>
      <c r="C400" s="19" t="s">
        <v>76</v>
      </c>
      <c r="D400" s="19" t="s">
        <v>76</v>
      </c>
      <c r="E400" s="19">
        <v>18</v>
      </c>
      <c r="F400" s="19">
        <v>5</v>
      </c>
      <c r="G400" s="2"/>
      <c r="H400" s="2"/>
      <c r="I400" s="2"/>
      <c r="J400" s="38"/>
      <c r="K400" s="2"/>
      <c r="L400" s="2"/>
      <c r="M400" s="2"/>
      <c r="N400" s="2"/>
      <c r="O400" s="2" t="s">
        <v>289</v>
      </c>
      <c r="P400" s="2" t="s">
        <v>619</v>
      </c>
      <c r="Q400" s="2"/>
      <c r="R400" s="38">
        <v>45911</v>
      </c>
      <c r="S400" s="2">
        <v>2</v>
      </c>
      <c r="T400" s="2">
        <v>50</v>
      </c>
    </row>
    <row r="401" spans="1:20" x14ac:dyDescent="0.2">
      <c r="A401" s="49" t="str">
        <f t="shared" si="19"/>
        <v>8/5</v>
      </c>
      <c r="B401" s="19" t="s">
        <v>605</v>
      </c>
      <c r="C401" s="19" t="s">
        <v>76</v>
      </c>
      <c r="D401" s="19" t="s">
        <v>76</v>
      </c>
      <c r="E401" s="19">
        <v>8</v>
      </c>
      <c r="F401" s="19">
        <v>5</v>
      </c>
      <c r="G401" s="2"/>
      <c r="H401" s="2"/>
      <c r="I401" s="2"/>
      <c r="J401" s="38"/>
      <c r="K401" s="2"/>
      <c r="L401" s="2"/>
      <c r="M401" s="2"/>
      <c r="N401" s="2"/>
      <c r="O401" s="2" t="s">
        <v>289</v>
      </c>
      <c r="P401" s="2" t="s">
        <v>620</v>
      </c>
      <c r="Q401" s="2"/>
      <c r="R401" s="38">
        <v>45911</v>
      </c>
      <c r="S401" s="2">
        <v>8</v>
      </c>
      <c r="T401" s="2">
        <v>200</v>
      </c>
    </row>
    <row r="402" spans="1:20" x14ac:dyDescent="0.2">
      <c r="A402" s="49" t="str">
        <f t="shared" si="19"/>
        <v>10/5</v>
      </c>
      <c r="B402" s="19" t="s">
        <v>602</v>
      </c>
      <c r="C402" s="19" t="s">
        <v>76</v>
      </c>
      <c r="D402" s="19" t="s">
        <v>76</v>
      </c>
      <c r="E402" s="19">
        <v>10</v>
      </c>
      <c r="F402" s="19">
        <v>5</v>
      </c>
      <c r="G402" s="2"/>
      <c r="H402" s="2"/>
      <c r="I402" s="2"/>
      <c r="J402" s="38"/>
      <c r="K402" s="2"/>
      <c r="L402" s="2"/>
      <c r="M402" s="2"/>
      <c r="N402" s="2"/>
      <c r="O402" s="2" t="s">
        <v>289</v>
      </c>
      <c r="P402" s="2" t="s">
        <v>615</v>
      </c>
      <c r="Q402" s="2"/>
      <c r="R402" s="38">
        <v>45911</v>
      </c>
      <c r="S402" s="2">
        <v>17</v>
      </c>
      <c r="T402" s="2">
        <v>425</v>
      </c>
    </row>
    <row r="403" spans="1:20" x14ac:dyDescent="0.2">
      <c r="A403" s="49" t="str">
        <f t="shared" si="19"/>
        <v>10/5</v>
      </c>
      <c r="B403" s="19" t="s">
        <v>603</v>
      </c>
      <c r="C403" s="19" t="s">
        <v>76</v>
      </c>
      <c r="D403" s="19" t="s">
        <v>76</v>
      </c>
      <c r="E403" s="19" t="s">
        <v>16</v>
      </c>
      <c r="F403" s="19">
        <v>5</v>
      </c>
      <c r="G403" s="2"/>
      <c r="H403" s="2"/>
      <c r="I403" s="2"/>
      <c r="J403" s="38"/>
      <c r="K403" s="2"/>
      <c r="L403" s="2"/>
      <c r="M403" s="2"/>
      <c r="N403" s="2"/>
      <c r="O403" s="2" t="s">
        <v>289</v>
      </c>
      <c r="P403" s="2" t="s">
        <v>621</v>
      </c>
      <c r="Q403" s="2"/>
      <c r="R403" s="38">
        <v>45911</v>
      </c>
      <c r="S403" s="2">
        <v>1</v>
      </c>
      <c r="T403" s="2">
        <v>25</v>
      </c>
    </row>
    <row r="404" spans="1:20" x14ac:dyDescent="0.2">
      <c r="A404" s="49" t="str">
        <f t="shared" si="19"/>
        <v>4/5</v>
      </c>
      <c r="B404" s="19" t="s">
        <v>84</v>
      </c>
      <c r="C404" s="19" t="s">
        <v>76</v>
      </c>
      <c r="D404" s="19" t="s">
        <v>76</v>
      </c>
      <c r="E404" s="19" t="s">
        <v>26</v>
      </c>
      <c r="F404" s="19">
        <v>5</v>
      </c>
      <c r="G404" s="2"/>
      <c r="H404" s="2"/>
      <c r="I404" s="2"/>
      <c r="J404" s="38"/>
      <c r="K404" s="2"/>
      <c r="L404" s="2"/>
      <c r="M404" s="2"/>
      <c r="N404" s="2"/>
      <c r="O404" s="2" t="s">
        <v>289</v>
      </c>
      <c r="P404" s="2" t="s">
        <v>616</v>
      </c>
      <c r="Q404" s="2"/>
      <c r="R404" s="38">
        <v>45911</v>
      </c>
      <c r="S404" s="2">
        <v>9</v>
      </c>
      <c r="T404" s="2">
        <v>180</v>
      </c>
    </row>
    <row r="405" spans="1:20" x14ac:dyDescent="0.2">
      <c r="A405" s="49" t="str">
        <f t="shared" si="19"/>
        <v>4/5</v>
      </c>
      <c r="B405" s="19" t="s">
        <v>84</v>
      </c>
      <c r="C405" s="19" t="s">
        <v>76</v>
      </c>
      <c r="D405" s="19" t="s">
        <v>76</v>
      </c>
      <c r="E405" s="19">
        <v>4</v>
      </c>
      <c r="F405" s="19">
        <v>5</v>
      </c>
      <c r="G405" s="2"/>
      <c r="H405" s="2"/>
      <c r="I405" s="2"/>
      <c r="J405" s="38"/>
      <c r="K405" s="2"/>
      <c r="L405" s="2"/>
      <c r="M405" s="2"/>
      <c r="N405" s="2"/>
      <c r="O405" s="2" t="s">
        <v>289</v>
      </c>
      <c r="P405" s="2" t="s">
        <v>622</v>
      </c>
      <c r="Q405" s="2"/>
      <c r="R405" s="38">
        <v>45911</v>
      </c>
      <c r="S405" s="2">
        <v>5</v>
      </c>
      <c r="T405" s="2">
        <v>100</v>
      </c>
    </row>
    <row r="406" spans="1:20" x14ac:dyDescent="0.2">
      <c r="A406" s="49" t="str">
        <f t="shared" si="19"/>
        <v>17/5.5-6</v>
      </c>
      <c r="B406" s="19" t="s">
        <v>92</v>
      </c>
      <c r="C406" s="19" t="s">
        <v>76</v>
      </c>
      <c r="D406" s="19" t="s">
        <v>76</v>
      </c>
      <c r="E406" s="19">
        <v>17</v>
      </c>
      <c r="F406" s="19" t="s">
        <v>5</v>
      </c>
      <c r="G406" s="2"/>
      <c r="H406" s="2"/>
      <c r="I406" s="2"/>
      <c r="J406" s="38"/>
      <c r="K406" s="2"/>
      <c r="L406" s="2"/>
      <c r="M406" s="2"/>
      <c r="N406" s="2"/>
      <c r="O406" s="2" t="s">
        <v>94</v>
      </c>
      <c r="P406" s="2" t="s">
        <v>310</v>
      </c>
      <c r="Q406" s="2"/>
      <c r="R406" s="38">
        <v>45910</v>
      </c>
      <c r="S406" s="2">
        <v>12</v>
      </c>
      <c r="T406" s="2">
        <v>300</v>
      </c>
    </row>
    <row r="407" spans="1:20" x14ac:dyDescent="0.2">
      <c r="A407" s="49" t="str">
        <f t="shared" si="19"/>
        <v>18/5</v>
      </c>
      <c r="B407" s="19" t="s">
        <v>86</v>
      </c>
      <c r="C407" s="19" t="s">
        <v>76</v>
      </c>
      <c r="D407" s="19" t="s">
        <v>76</v>
      </c>
      <c r="E407" s="19">
        <v>18</v>
      </c>
      <c r="F407" s="19">
        <v>5</v>
      </c>
      <c r="G407" s="2"/>
      <c r="H407" s="2"/>
      <c r="I407" s="2"/>
      <c r="J407" s="38"/>
      <c r="K407" s="2"/>
      <c r="L407" s="2"/>
      <c r="M407" s="2"/>
      <c r="N407" s="2"/>
      <c r="O407" s="2" t="s">
        <v>94</v>
      </c>
      <c r="P407" s="2" t="s">
        <v>624</v>
      </c>
      <c r="Q407" s="2"/>
      <c r="R407" s="38">
        <v>45910</v>
      </c>
      <c r="S407" s="2">
        <v>4</v>
      </c>
      <c r="T407" s="2">
        <v>100</v>
      </c>
    </row>
    <row r="408" spans="1:20" x14ac:dyDescent="0.2">
      <c r="A408" s="49" t="str">
        <f t="shared" si="19"/>
        <v>17/5.5-6</v>
      </c>
      <c r="B408" s="19" t="s">
        <v>92</v>
      </c>
      <c r="C408" s="19" t="s">
        <v>76</v>
      </c>
      <c r="D408" s="19" t="s">
        <v>76</v>
      </c>
      <c r="E408" s="19">
        <v>17</v>
      </c>
      <c r="F408" s="19" t="s">
        <v>5</v>
      </c>
      <c r="G408" s="2"/>
      <c r="H408" s="2"/>
      <c r="I408" s="2"/>
      <c r="J408" s="38"/>
      <c r="K408" s="2"/>
      <c r="L408" s="2"/>
      <c r="M408" s="2"/>
      <c r="N408" s="2"/>
      <c r="O408" s="2" t="s">
        <v>94</v>
      </c>
      <c r="P408" s="2" t="s">
        <v>310</v>
      </c>
      <c r="Q408" s="2"/>
      <c r="R408" s="38">
        <v>45910</v>
      </c>
      <c r="S408" s="2">
        <v>11</v>
      </c>
      <c r="T408" s="2">
        <v>275</v>
      </c>
    </row>
    <row r="409" spans="1:20" x14ac:dyDescent="0.2">
      <c r="A409" s="49" t="str">
        <f t="shared" si="19"/>
        <v>5/5</v>
      </c>
      <c r="B409" s="19" t="s">
        <v>166</v>
      </c>
      <c r="C409" s="19" t="s">
        <v>76</v>
      </c>
      <c r="D409" s="19" t="s">
        <v>76</v>
      </c>
      <c r="E409" s="19">
        <v>5</v>
      </c>
      <c r="F409" s="19">
        <v>5</v>
      </c>
      <c r="G409" s="2"/>
      <c r="H409" s="2"/>
      <c r="I409" s="2"/>
      <c r="J409" s="38"/>
      <c r="K409" s="2"/>
      <c r="L409" s="2"/>
      <c r="M409" s="2"/>
      <c r="N409" s="2"/>
      <c r="O409" s="2" t="s">
        <v>94</v>
      </c>
      <c r="P409" s="2" t="s">
        <v>625</v>
      </c>
      <c r="Q409" s="2"/>
      <c r="R409" s="38">
        <v>45910</v>
      </c>
      <c r="S409" s="2">
        <v>5</v>
      </c>
      <c r="T409" s="2">
        <v>125</v>
      </c>
    </row>
    <row r="410" spans="1:20" x14ac:dyDescent="0.2">
      <c r="A410" s="49" t="str">
        <f t="shared" si="19"/>
        <v>17/5.5-6</v>
      </c>
      <c r="B410" s="19" t="s">
        <v>92</v>
      </c>
      <c r="C410" s="19" t="s">
        <v>76</v>
      </c>
      <c r="D410" s="19" t="s">
        <v>76</v>
      </c>
      <c r="E410" s="19">
        <v>17</v>
      </c>
      <c r="F410" s="19" t="s">
        <v>5</v>
      </c>
      <c r="G410" s="2"/>
      <c r="H410" s="2"/>
      <c r="I410" s="2"/>
      <c r="J410" s="38"/>
      <c r="K410" s="2"/>
      <c r="L410" s="2"/>
      <c r="M410" s="2"/>
      <c r="N410" s="2"/>
      <c r="O410" s="2" t="s">
        <v>94</v>
      </c>
      <c r="P410" s="2" t="s">
        <v>310</v>
      </c>
      <c r="Q410" s="2"/>
      <c r="R410" s="38">
        <v>45910</v>
      </c>
      <c r="S410" s="2">
        <v>15</v>
      </c>
      <c r="T410" s="2">
        <v>375</v>
      </c>
    </row>
    <row r="411" spans="1:20" x14ac:dyDescent="0.2">
      <c r="A411" s="49" t="str">
        <f t="shared" si="19"/>
        <v>17/5.5-6</v>
      </c>
      <c r="B411" s="19" t="s">
        <v>92</v>
      </c>
      <c r="C411" s="19" t="s">
        <v>76</v>
      </c>
      <c r="D411" s="19" t="s">
        <v>76</v>
      </c>
      <c r="E411" s="19">
        <v>17</v>
      </c>
      <c r="F411" s="19" t="s">
        <v>5</v>
      </c>
      <c r="G411" s="2"/>
      <c r="H411" s="2"/>
      <c r="I411" s="2"/>
      <c r="J411" s="38"/>
      <c r="K411" s="2"/>
      <c r="L411" s="2"/>
      <c r="M411" s="2"/>
      <c r="N411" s="2"/>
      <c r="O411" s="2" t="s">
        <v>94</v>
      </c>
      <c r="P411" s="2" t="s">
        <v>310</v>
      </c>
      <c r="Q411" s="2"/>
      <c r="R411" s="38">
        <v>45911</v>
      </c>
      <c r="S411" s="2">
        <v>12</v>
      </c>
      <c r="T411" s="2">
        <v>300</v>
      </c>
    </row>
    <row r="412" spans="1:20" x14ac:dyDescent="0.2">
      <c r="A412" s="49" t="str">
        <f t="shared" si="19"/>
        <v>8/5</v>
      </c>
      <c r="B412" s="19" t="s">
        <v>166</v>
      </c>
      <c r="C412" s="19" t="s">
        <v>76</v>
      </c>
      <c r="D412" s="19" t="s">
        <v>76</v>
      </c>
      <c r="E412" s="19">
        <v>8</v>
      </c>
      <c r="F412" s="19">
        <v>5</v>
      </c>
      <c r="G412" s="2"/>
      <c r="H412" s="2"/>
      <c r="I412" s="2"/>
      <c r="J412" s="38"/>
      <c r="K412" s="2"/>
      <c r="L412" s="2"/>
      <c r="M412" s="2"/>
      <c r="N412" s="2"/>
      <c r="O412" s="2" t="s">
        <v>94</v>
      </c>
      <c r="P412" s="2" t="s">
        <v>626</v>
      </c>
      <c r="Q412" s="2"/>
      <c r="R412" s="38">
        <v>45911</v>
      </c>
      <c r="S412" s="2">
        <v>5</v>
      </c>
      <c r="T412" s="2">
        <v>125</v>
      </c>
    </row>
    <row r="413" spans="1:20" x14ac:dyDescent="0.2">
      <c r="A413" s="49" t="str">
        <f t="shared" si="19"/>
        <v>17/5.5-6</v>
      </c>
      <c r="B413" s="19" t="s">
        <v>92</v>
      </c>
      <c r="C413" s="19" t="s">
        <v>76</v>
      </c>
      <c r="D413" s="19" t="s">
        <v>76</v>
      </c>
      <c r="E413" s="19">
        <v>17</v>
      </c>
      <c r="F413" s="19" t="s">
        <v>5</v>
      </c>
      <c r="G413" s="2"/>
      <c r="H413" s="2"/>
      <c r="I413" s="2"/>
      <c r="J413" s="38"/>
      <c r="K413" s="2"/>
      <c r="L413" s="2"/>
      <c r="M413" s="2"/>
      <c r="N413" s="2"/>
      <c r="O413" s="2" t="s">
        <v>94</v>
      </c>
      <c r="P413" s="2" t="s">
        <v>310</v>
      </c>
      <c r="Q413" s="2"/>
      <c r="R413" s="38">
        <v>45911</v>
      </c>
      <c r="S413" s="2">
        <v>17</v>
      </c>
      <c r="T413" s="2">
        <v>425</v>
      </c>
    </row>
    <row r="414" spans="1:20" x14ac:dyDescent="0.2">
      <c r="A414" s="49" t="str">
        <f t="shared" si="19"/>
        <v>26/10</v>
      </c>
      <c r="B414" s="19" t="s">
        <v>583</v>
      </c>
      <c r="C414" s="19" t="s">
        <v>76</v>
      </c>
      <c r="D414" s="19" t="s">
        <v>76</v>
      </c>
      <c r="E414" s="19">
        <v>26</v>
      </c>
      <c r="F414" s="19">
        <v>10</v>
      </c>
      <c r="G414" s="2"/>
      <c r="H414" s="2"/>
      <c r="I414" s="2"/>
      <c r="J414" s="38"/>
      <c r="K414" s="2"/>
      <c r="L414" s="2"/>
      <c r="M414" s="2"/>
      <c r="N414" s="2"/>
      <c r="O414" s="2" t="s">
        <v>94</v>
      </c>
      <c r="P414" s="2" t="s">
        <v>595</v>
      </c>
      <c r="Q414" s="2"/>
      <c r="R414" s="38">
        <v>45911</v>
      </c>
      <c r="S414" s="2">
        <v>4</v>
      </c>
      <c r="T414" s="2">
        <v>100</v>
      </c>
    </row>
    <row r="415" spans="1:20" x14ac:dyDescent="0.2">
      <c r="A415" s="49" t="str">
        <f t="shared" si="19"/>
        <v>26/10</v>
      </c>
      <c r="B415" s="19" t="s">
        <v>166</v>
      </c>
      <c r="C415" s="19" t="s">
        <v>76</v>
      </c>
      <c r="D415" s="19" t="s">
        <v>76</v>
      </c>
      <c r="E415" s="19">
        <v>26</v>
      </c>
      <c r="F415" s="19">
        <v>10</v>
      </c>
      <c r="G415" s="2"/>
      <c r="H415" s="2"/>
      <c r="I415" s="2"/>
      <c r="J415" s="38"/>
      <c r="K415" s="2"/>
      <c r="L415" s="2"/>
      <c r="M415" s="2"/>
      <c r="N415" s="2"/>
      <c r="O415" s="2" t="s">
        <v>94</v>
      </c>
      <c r="P415" s="2" t="s">
        <v>596</v>
      </c>
      <c r="Q415" s="2"/>
      <c r="R415" s="38">
        <v>45911</v>
      </c>
      <c r="S415" s="2">
        <v>4</v>
      </c>
      <c r="T415" s="2">
        <v>90.1</v>
      </c>
    </row>
    <row r="416" spans="1:20" x14ac:dyDescent="0.2">
      <c r="A416" s="49" t="str">
        <f t="shared" si="19"/>
        <v>28/5</v>
      </c>
      <c r="B416" s="19" t="s">
        <v>623</v>
      </c>
      <c r="C416" s="19" t="s">
        <v>76</v>
      </c>
      <c r="D416" s="19" t="s">
        <v>76</v>
      </c>
      <c r="E416" s="19">
        <v>28</v>
      </c>
      <c r="F416" s="19">
        <v>5</v>
      </c>
      <c r="G416" s="2"/>
      <c r="H416" s="2"/>
      <c r="I416" s="2"/>
      <c r="J416" s="38"/>
      <c r="K416" s="2"/>
      <c r="L416" s="2"/>
      <c r="M416" s="2"/>
      <c r="N416" s="2"/>
      <c r="O416" s="2" t="s">
        <v>94</v>
      </c>
      <c r="P416" s="2" t="s">
        <v>627</v>
      </c>
      <c r="Q416" s="2"/>
      <c r="R416" s="38">
        <v>45911</v>
      </c>
      <c r="S416" s="2">
        <v>2</v>
      </c>
      <c r="T416" s="2">
        <v>50</v>
      </c>
    </row>
    <row r="417" spans="1:20" x14ac:dyDescent="0.2">
      <c r="A417" s="49" t="str">
        <f t="shared" si="19"/>
        <v>28/5</v>
      </c>
      <c r="B417" s="19" t="s">
        <v>623</v>
      </c>
      <c r="C417" s="19" t="s">
        <v>76</v>
      </c>
      <c r="D417" s="19" t="s">
        <v>76</v>
      </c>
      <c r="E417" s="19">
        <v>28</v>
      </c>
      <c r="F417" s="19">
        <v>5</v>
      </c>
      <c r="G417" s="2"/>
      <c r="H417" s="2"/>
      <c r="I417" s="2"/>
      <c r="J417" s="38"/>
      <c r="K417" s="2"/>
      <c r="L417" s="2"/>
      <c r="M417" s="2"/>
      <c r="N417" s="2"/>
      <c r="O417" s="2" t="s">
        <v>94</v>
      </c>
      <c r="P417" s="2" t="s">
        <v>628</v>
      </c>
      <c r="Q417" s="2"/>
      <c r="R417" s="38">
        <v>45911</v>
      </c>
      <c r="S417" s="2">
        <v>2</v>
      </c>
      <c r="T417" s="2">
        <v>39.200000000000003</v>
      </c>
    </row>
    <row r="418" spans="1:20" x14ac:dyDescent="0.2">
      <c r="A418" s="49" t="str">
        <f t="shared" si="19"/>
        <v>28/5</v>
      </c>
      <c r="B418" s="19" t="s">
        <v>623</v>
      </c>
      <c r="C418" s="19" t="s">
        <v>76</v>
      </c>
      <c r="D418" s="19" t="s">
        <v>76</v>
      </c>
      <c r="E418" s="19">
        <v>28</v>
      </c>
      <c r="F418" s="19">
        <v>5</v>
      </c>
      <c r="G418" s="2"/>
      <c r="H418" s="2"/>
      <c r="I418" s="2"/>
      <c r="J418" s="38"/>
      <c r="K418" s="2"/>
      <c r="L418" s="2"/>
      <c r="M418" s="2"/>
      <c r="N418" s="2"/>
      <c r="O418" s="2" t="s">
        <v>94</v>
      </c>
      <c r="P418" s="2" t="s">
        <v>629</v>
      </c>
      <c r="Q418" s="2"/>
      <c r="R418" s="38">
        <v>45911</v>
      </c>
      <c r="S418" s="2">
        <v>4</v>
      </c>
      <c r="T418" s="2">
        <v>100</v>
      </c>
    </row>
    <row r="419" spans="1:20" x14ac:dyDescent="0.2">
      <c r="A419" s="49" t="str">
        <f t="shared" si="19"/>
        <v>17/5.5-6</v>
      </c>
      <c r="B419" s="19" t="s">
        <v>92</v>
      </c>
      <c r="C419" s="19" t="s">
        <v>76</v>
      </c>
      <c r="D419" s="19" t="s">
        <v>76</v>
      </c>
      <c r="E419" s="19">
        <v>17</v>
      </c>
      <c r="F419" s="19" t="s">
        <v>5</v>
      </c>
      <c r="G419" s="2"/>
      <c r="H419" s="2"/>
      <c r="I419" s="2"/>
      <c r="J419" s="38"/>
      <c r="K419" s="2"/>
      <c r="L419" s="2"/>
      <c r="M419" s="2"/>
      <c r="N419" s="2"/>
      <c r="O419" s="2" t="s">
        <v>94</v>
      </c>
      <c r="P419" s="2" t="s">
        <v>310</v>
      </c>
      <c r="Q419" s="2"/>
      <c r="R419" s="38">
        <v>45911</v>
      </c>
      <c r="S419" s="2">
        <v>16</v>
      </c>
      <c r="T419" s="2">
        <v>400</v>
      </c>
    </row>
    <row r="420" spans="1:20" x14ac:dyDescent="0.2">
      <c r="A420" s="49" t="str">
        <f t="shared" si="19"/>
        <v>2.5/5</v>
      </c>
      <c r="B420" s="19" t="s">
        <v>168</v>
      </c>
      <c r="C420" s="19" t="s">
        <v>76</v>
      </c>
      <c r="D420" s="19" t="s">
        <v>76</v>
      </c>
      <c r="E420" s="19">
        <v>2.5</v>
      </c>
      <c r="F420" s="19">
        <v>5</v>
      </c>
      <c r="G420" s="2"/>
      <c r="H420" s="2"/>
      <c r="I420" s="2"/>
      <c r="J420" s="38"/>
      <c r="K420" s="2"/>
      <c r="L420" s="2"/>
      <c r="M420" s="2"/>
      <c r="N420" s="2"/>
      <c r="O420" s="2" t="s">
        <v>233</v>
      </c>
      <c r="P420" s="2" t="s">
        <v>520</v>
      </c>
      <c r="Q420" s="2">
        <v>21</v>
      </c>
      <c r="R420" s="38">
        <v>45910</v>
      </c>
      <c r="S420" s="2">
        <v>5</v>
      </c>
      <c r="T420" s="2">
        <v>99.45</v>
      </c>
    </row>
    <row r="421" spans="1:20" x14ac:dyDescent="0.2">
      <c r="A421" s="49" t="str">
        <f t="shared" si="19"/>
        <v>6/7.5-8</v>
      </c>
      <c r="B421" s="19" t="s">
        <v>541</v>
      </c>
      <c r="C421" s="19" t="s">
        <v>76</v>
      </c>
      <c r="D421" s="19" t="s">
        <v>76</v>
      </c>
      <c r="E421" s="19">
        <v>6</v>
      </c>
      <c r="F421" s="19" t="s">
        <v>264</v>
      </c>
      <c r="G421" s="2"/>
      <c r="H421" s="2"/>
      <c r="I421" s="2"/>
      <c r="J421" s="38"/>
      <c r="K421" s="2"/>
      <c r="L421" s="2"/>
      <c r="M421" s="2"/>
      <c r="N421" s="2"/>
      <c r="O421" s="2" t="s">
        <v>186</v>
      </c>
      <c r="P421" s="2" t="s">
        <v>630</v>
      </c>
      <c r="Q421" s="2">
        <v>1157</v>
      </c>
      <c r="R421" s="38">
        <v>45910</v>
      </c>
      <c r="S421" s="2">
        <v>5</v>
      </c>
      <c r="T421" s="2">
        <v>119.67</v>
      </c>
    </row>
    <row r="422" spans="1:20" x14ac:dyDescent="0.2">
      <c r="A422" s="49" t="str">
        <f t="shared" si="19"/>
        <v>8/7.5-8</v>
      </c>
      <c r="B422" s="19" t="s">
        <v>541</v>
      </c>
      <c r="C422" s="19" t="s">
        <v>76</v>
      </c>
      <c r="D422" s="19" t="s">
        <v>76</v>
      </c>
      <c r="E422" s="19">
        <v>8</v>
      </c>
      <c r="F422" s="19" t="s">
        <v>264</v>
      </c>
      <c r="G422" s="2"/>
      <c r="H422" s="2"/>
      <c r="I422" s="2"/>
      <c r="J422" s="38"/>
      <c r="K422" s="2"/>
      <c r="L422" s="2"/>
      <c r="M422" s="2"/>
      <c r="N422" s="2"/>
      <c r="O422" s="2" t="s">
        <v>186</v>
      </c>
      <c r="P422" s="2" t="s">
        <v>631</v>
      </c>
      <c r="Q422" s="2">
        <v>1157</v>
      </c>
      <c r="R422" s="38">
        <v>45910</v>
      </c>
      <c r="S422" s="2">
        <v>4</v>
      </c>
      <c r="T422" s="2">
        <v>123.27000000000001</v>
      </c>
    </row>
    <row r="423" spans="1:20" x14ac:dyDescent="0.2">
      <c r="A423" s="49" t="str">
        <f t="shared" si="19"/>
        <v>23/7</v>
      </c>
      <c r="B423" s="19" t="s">
        <v>165</v>
      </c>
      <c r="C423" s="19" t="s">
        <v>76</v>
      </c>
      <c r="D423" s="19" t="s">
        <v>76</v>
      </c>
      <c r="E423" s="19">
        <v>23</v>
      </c>
      <c r="F423" s="19">
        <v>7</v>
      </c>
      <c r="G423" s="2"/>
      <c r="H423" s="2"/>
      <c r="I423" s="2"/>
      <c r="J423" s="38"/>
      <c r="K423" s="2"/>
      <c r="L423" s="2"/>
      <c r="M423" s="2"/>
      <c r="N423" s="2"/>
      <c r="O423" s="2" t="s">
        <v>233</v>
      </c>
      <c r="P423" s="2" t="s">
        <v>632</v>
      </c>
      <c r="Q423" s="2">
        <v>29</v>
      </c>
      <c r="R423" s="38">
        <v>45911</v>
      </c>
      <c r="S423" s="2">
        <v>7</v>
      </c>
      <c r="T423" s="2">
        <v>292.89</v>
      </c>
    </row>
    <row r="424" spans="1:20" x14ac:dyDescent="0.2">
      <c r="A424" s="49" t="str">
        <f t="shared" si="19"/>
        <v>7/5</v>
      </c>
      <c r="B424" s="19" t="s">
        <v>165</v>
      </c>
      <c r="C424" s="19" t="s">
        <v>76</v>
      </c>
      <c r="D424" s="19" t="s">
        <v>76</v>
      </c>
      <c r="E424" s="19">
        <v>7</v>
      </c>
      <c r="F424" s="19">
        <v>5</v>
      </c>
      <c r="G424" s="2"/>
      <c r="H424" s="2"/>
      <c r="I424" s="2"/>
      <c r="J424" s="38"/>
      <c r="K424" s="2"/>
      <c r="L424" s="2"/>
      <c r="M424" s="2"/>
      <c r="N424" s="2"/>
      <c r="O424" s="2" t="s">
        <v>233</v>
      </c>
      <c r="P424" s="2" t="s">
        <v>509</v>
      </c>
      <c r="Q424" s="2">
        <v>30</v>
      </c>
      <c r="R424" s="38">
        <v>45911</v>
      </c>
      <c r="S424" s="2">
        <v>5</v>
      </c>
      <c r="T424" s="2">
        <v>115.12</v>
      </c>
    </row>
    <row r="425" spans="1:20" x14ac:dyDescent="0.2">
      <c r="A425" s="49" t="str">
        <f t="shared" si="19"/>
        <v>16/6-6.5</v>
      </c>
      <c r="B425" s="19" t="s">
        <v>582</v>
      </c>
      <c r="C425" s="19" t="s">
        <v>76</v>
      </c>
      <c r="D425" s="19" t="s">
        <v>76</v>
      </c>
      <c r="E425" s="19">
        <v>16</v>
      </c>
      <c r="F425" s="19" t="s">
        <v>578</v>
      </c>
      <c r="G425" s="2"/>
      <c r="H425" s="2"/>
      <c r="I425" s="2"/>
      <c r="J425" s="38"/>
      <c r="K425" s="2"/>
      <c r="L425" s="2"/>
      <c r="M425" s="2"/>
      <c r="N425" s="2"/>
      <c r="O425" s="2" t="s">
        <v>233</v>
      </c>
      <c r="P425" s="2" t="s">
        <v>593</v>
      </c>
      <c r="Q425" s="2">
        <v>31</v>
      </c>
      <c r="R425" s="38">
        <v>45911</v>
      </c>
      <c r="S425" s="2">
        <v>2</v>
      </c>
      <c r="T425" s="2">
        <v>96.8</v>
      </c>
    </row>
    <row r="426" spans="1:20" x14ac:dyDescent="0.2">
      <c r="A426" s="49" t="str">
        <f t="shared" si="19"/>
        <v>26/10</v>
      </c>
      <c r="B426" s="19" t="s">
        <v>580</v>
      </c>
      <c r="C426" s="19" t="s">
        <v>76</v>
      </c>
      <c r="D426" s="19" t="s">
        <v>76</v>
      </c>
      <c r="E426" s="19">
        <v>26</v>
      </c>
      <c r="F426" s="19" t="s">
        <v>16</v>
      </c>
      <c r="G426" s="2"/>
      <c r="H426" s="2"/>
      <c r="I426" s="2"/>
      <c r="J426" s="38"/>
      <c r="K426" s="2"/>
      <c r="L426" s="2"/>
      <c r="M426" s="2"/>
      <c r="N426" s="2"/>
      <c r="O426" s="2" t="s">
        <v>186</v>
      </c>
      <c r="P426" s="2" t="s">
        <v>588</v>
      </c>
      <c r="Q426" s="2">
        <v>1158</v>
      </c>
      <c r="R426" s="38">
        <v>45911</v>
      </c>
      <c r="S426" s="2">
        <v>3</v>
      </c>
      <c r="T426" s="2">
        <v>110.56</v>
      </c>
    </row>
    <row r="427" spans="1:20" x14ac:dyDescent="0.2">
      <c r="A427" s="49" t="str">
        <f t="shared" si="19"/>
        <v>19/6-6.5</v>
      </c>
      <c r="B427" s="19" t="s">
        <v>577</v>
      </c>
      <c r="C427" s="19" t="s">
        <v>76</v>
      </c>
      <c r="D427" s="19" t="s">
        <v>76</v>
      </c>
      <c r="E427" s="19">
        <v>19</v>
      </c>
      <c r="F427" s="19" t="s">
        <v>578</v>
      </c>
      <c r="G427" s="2"/>
      <c r="H427" s="2"/>
      <c r="I427" s="2"/>
      <c r="J427" s="38"/>
      <c r="K427" s="2"/>
      <c r="L427" s="2"/>
      <c r="M427" s="2"/>
      <c r="N427" s="2"/>
      <c r="O427" s="2" t="s">
        <v>186</v>
      </c>
      <c r="P427" s="2" t="s">
        <v>586</v>
      </c>
      <c r="Q427" s="2">
        <v>1158</v>
      </c>
      <c r="R427" s="38">
        <v>45911</v>
      </c>
      <c r="S427" s="2">
        <v>2</v>
      </c>
      <c r="T427" s="2">
        <v>108.97</v>
      </c>
    </row>
    <row r="428" spans="1:20" x14ac:dyDescent="0.2">
      <c r="A428" s="49" t="str">
        <f t="shared" si="19"/>
        <v>2.5/5</v>
      </c>
      <c r="B428" s="19" t="s">
        <v>163</v>
      </c>
      <c r="C428" s="19" t="s">
        <v>76</v>
      </c>
      <c r="D428" s="19" t="s">
        <v>76</v>
      </c>
      <c r="E428" s="19">
        <v>2.5</v>
      </c>
      <c r="F428" s="19">
        <v>5</v>
      </c>
      <c r="G428" s="2"/>
      <c r="H428" s="2"/>
      <c r="I428" s="2"/>
      <c r="J428" s="38"/>
      <c r="K428" s="2"/>
      <c r="L428" s="2"/>
      <c r="M428" s="2"/>
      <c r="N428" s="2"/>
      <c r="O428" s="2" t="s">
        <v>186</v>
      </c>
      <c r="P428" s="2" t="s">
        <v>489</v>
      </c>
      <c r="Q428" s="2">
        <v>1158</v>
      </c>
      <c r="R428" s="38">
        <v>45911</v>
      </c>
      <c r="S428" s="2">
        <v>7</v>
      </c>
      <c r="T428" s="2">
        <v>164.56</v>
      </c>
    </row>
    <row r="429" spans="1:20" x14ac:dyDescent="0.2">
      <c r="A429" s="49" t="str">
        <f t="shared" si="19"/>
        <v>16/5</v>
      </c>
      <c r="B429" s="19" t="s">
        <v>257</v>
      </c>
      <c r="C429" s="19" t="s">
        <v>76</v>
      </c>
      <c r="D429" s="19" t="s">
        <v>76</v>
      </c>
      <c r="E429" s="19">
        <v>16</v>
      </c>
      <c r="F429" s="19">
        <v>5</v>
      </c>
      <c r="G429" s="2"/>
      <c r="H429" s="2"/>
      <c r="I429" s="2"/>
      <c r="J429" s="38"/>
      <c r="K429" s="2"/>
      <c r="L429" s="2"/>
      <c r="M429" s="2"/>
      <c r="N429" s="2"/>
      <c r="O429" s="2" t="s">
        <v>186</v>
      </c>
      <c r="P429" s="2" t="s">
        <v>589</v>
      </c>
      <c r="Q429" s="2">
        <v>1158</v>
      </c>
      <c r="R429" s="38">
        <v>45911</v>
      </c>
      <c r="S429" s="2">
        <v>5</v>
      </c>
      <c r="T429" s="2">
        <v>217.11</v>
      </c>
    </row>
    <row r="430" spans="1:20" x14ac:dyDescent="0.2">
      <c r="A430" s="49" t="str">
        <f t="shared" si="19"/>
        <v>3.5/5.5-6</v>
      </c>
      <c r="B430" s="19" t="s">
        <v>84</v>
      </c>
      <c r="C430" s="19" t="s">
        <v>76</v>
      </c>
      <c r="D430" s="19" t="s">
        <v>76</v>
      </c>
      <c r="E430" s="19">
        <v>3.5</v>
      </c>
      <c r="F430" s="19" t="s">
        <v>5</v>
      </c>
      <c r="H430" s="2" t="s">
        <v>88</v>
      </c>
      <c r="I430" s="2" t="s">
        <v>584</v>
      </c>
      <c r="J430" s="38">
        <v>45912</v>
      </c>
      <c r="K430" s="2">
        <v>2</v>
      </c>
      <c r="L430" s="2">
        <v>18.36</v>
      </c>
      <c r="M430" s="2">
        <v>0.6</v>
      </c>
      <c r="N430" s="2">
        <f>+L430-M430</f>
        <v>17.759999999999998</v>
      </c>
      <c r="O430" s="2"/>
      <c r="P430" s="2"/>
      <c r="Q430" s="2"/>
      <c r="R430" s="38"/>
      <c r="S430" s="2"/>
      <c r="T430" s="2"/>
    </row>
    <row r="431" spans="1:20" x14ac:dyDescent="0.2">
      <c r="A431" s="49" t="str">
        <f t="shared" si="19"/>
        <v>3.5/5.5-6</v>
      </c>
      <c r="B431" s="19" t="s">
        <v>84</v>
      </c>
      <c r="C431" s="19" t="s">
        <v>76</v>
      </c>
      <c r="D431" s="19" t="s">
        <v>76</v>
      </c>
      <c r="E431" s="19">
        <v>3.5</v>
      </c>
      <c r="F431" s="19" t="s">
        <v>5</v>
      </c>
      <c r="H431" s="2" t="s">
        <v>88</v>
      </c>
      <c r="I431" s="2" t="s">
        <v>584</v>
      </c>
      <c r="J431" s="38">
        <v>45912</v>
      </c>
      <c r="K431" s="2">
        <v>10</v>
      </c>
      <c r="L431" s="2">
        <v>142.61000000000001</v>
      </c>
      <c r="M431" s="2">
        <v>3</v>
      </c>
      <c r="N431" s="2">
        <f t="shared" ref="N431:N445" si="20">+L431-M431</f>
        <v>139.61000000000001</v>
      </c>
      <c r="O431" s="2"/>
      <c r="P431" s="2"/>
      <c r="Q431" s="2"/>
      <c r="R431" s="38"/>
      <c r="S431" s="2"/>
      <c r="T431" s="2"/>
    </row>
    <row r="432" spans="1:20" x14ac:dyDescent="0.2">
      <c r="A432" s="49" t="str">
        <f t="shared" si="19"/>
        <v>4/5-5.5</v>
      </c>
      <c r="B432" s="19" t="s">
        <v>84</v>
      </c>
      <c r="C432" s="19" t="s">
        <v>76</v>
      </c>
      <c r="D432" s="19" t="s">
        <v>76</v>
      </c>
      <c r="E432" s="19">
        <v>4</v>
      </c>
      <c r="F432" s="19" t="s">
        <v>41</v>
      </c>
      <c r="H432" s="2" t="s">
        <v>88</v>
      </c>
      <c r="I432" s="2" t="s">
        <v>542</v>
      </c>
      <c r="J432" s="38">
        <v>45912</v>
      </c>
      <c r="K432" s="2">
        <v>11</v>
      </c>
      <c r="L432" s="2">
        <v>173.44</v>
      </c>
      <c r="M432" s="2">
        <v>4.4000000000000004</v>
      </c>
      <c r="N432" s="2">
        <f t="shared" si="20"/>
        <v>169.04</v>
      </c>
      <c r="O432" s="2"/>
      <c r="P432" s="2"/>
      <c r="Q432" s="2"/>
      <c r="R432" s="38"/>
      <c r="S432" s="2"/>
      <c r="T432" s="2"/>
    </row>
    <row r="433" spans="1:20" x14ac:dyDescent="0.2">
      <c r="A433" s="49" t="str">
        <f t="shared" si="19"/>
        <v>4/5-5.5</v>
      </c>
      <c r="B433" s="19" t="s">
        <v>84</v>
      </c>
      <c r="C433" s="19" t="s">
        <v>76</v>
      </c>
      <c r="D433" s="19" t="s">
        <v>76</v>
      </c>
      <c r="E433" s="19">
        <v>4</v>
      </c>
      <c r="F433" s="19" t="s">
        <v>41</v>
      </c>
      <c r="H433" s="2" t="s">
        <v>88</v>
      </c>
      <c r="I433" s="2" t="s">
        <v>542</v>
      </c>
      <c r="J433" s="38">
        <v>45912</v>
      </c>
      <c r="K433" s="2">
        <v>12</v>
      </c>
      <c r="L433" s="2">
        <v>168.39000000000001</v>
      </c>
      <c r="M433" s="2">
        <v>4.8000000000000007</v>
      </c>
      <c r="N433" s="2">
        <f t="shared" si="20"/>
        <v>163.59</v>
      </c>
      <c r="O433" s="2"/>
      <c r="P433" s="2"/>
      <c r="Q433" s="2"/>
      <c r="R433" s="38"/>
      <c r="S433" s="2"/>
      <c r="T433" s="2"/>
    </row>
    <row r="434" spans="1:20" x14ac:dyDescent="0.2">
      <c r="A434" s="49" t="str">
        <f t="shared" si="19"/>
        <v>9/5-5.5</v>
      </c>
      <c r="B434" s="19" t="s">
        <v>84</v>
      </c>
      <c r="C434" s="19" t="s">
        <v>76</v>
      </c>
      <c r="D434" s="19" t="s">
        <v>76</v>
      </c>
      <c r="E434" s="19">
        <v>9</v>
      </c>
      <c r="F434" s="19" t="s">
        <v>41</v>
      </c>
      <c r="H434" s="2" t="s">
        <v>88</v>
      </c>
      <c r="I434" s="2" t="s">
        <v>592</v>
      </c>
      <c r="J434" s="38">
        <v>45912</v>
      </c>
      <c r="K434" s="2">
        <v>9</v>
      </c>
      <c r="L434" s="2">
        <v>362.26</v>
      </c>
      <c r="M434" s="2">
        <v>9.1</v>
      </c>
      <c r="N434" s="2">
        <f t="shared" si="20"/>
        <v>353.15999999999997</v>
      </c>
      <c r="O434" s="2"/>
      <c r="P434" s="2"/>
      <c r="Q434" s="2"/>
      <c r="R434" s="38"/>
      <c r="S434" s="2"/>
      <c r="T434" s="2"/>
    </row>
    <row r="435" spans="1:20" x14ac:dyDescent="0.2">
      <c r="A435" s="49" t="str">
        <f t="shared" si="19"/>
        <v>9/5-5.5</v>
      </c>
      <c r="B435" s="19" t="s">
        <v>84</v>
      </c>
      <c r="C435" s="19" t="s">
        <v>76</v>
      </c>
      <c r="D435" s="19" t="s">
        <v>76</v>
      </c>
      <c r="E435" s="19">
        <v>9</v>
      </c>
      <c r="F435" s="19" t="s">
        <v>41</v>
      </c>
      <c r="H435" s="2" t="s">
        <v>88</v>
      </c>
      <c r="I435" s="2" t="s">
        <v>592</v>
      </c>
      <c r="J435" s="38">
        <v>45912</v>
      </c>
      <c r="K435" s="2">
        <v>11</v>
      </c>
      <c r="L435" s="2">
        <v>349.03</v>
      </c>
      <c r="M435" s="2">
        <v>11</v>
      </c>
      <c r="N435" s="2">
        <f t="shared" si="20"/>
        <v>338.03</v>
      </c>
      <c r="O435" s="2"/>
      <c r="P435" s="2"/>
      <c r="Q435" s="2"/>
      <c r="R435" s="38"/>
      <c r="S435" s="2"/>
      <c r="T435" s="2"/>
    </row>
    <row r="436" spans="1:20" x14ac:dyDescent="0.2">
      <c r="A436" s="49" t="str">
        <f t="shared" si="19"/>
        <v>18/5-5.5</v>
      </c>
      <c r="B436" s="19" t="s">
        <v>257</v>
      </c>
      <c r="C436" s="19" t="s">
        <v>76</v>
      </c>
      <c r="D436" s="19" t="s">
        <v>76</v>
      </c>
      <c r="E436" s="19">
        <v>18</v>
      </c>
      <c r="F436" s="19" t="s">
        <v>41</v>
      </c>
      <c r="H436" s="2" t="s">
        <v>88</v>
      </c>
      <c r="I436" s="2" t="s">
        <v>597</v>
      </c>
      <c r="J436" s="38">
        <v>45912</v>
      </c>
      <c r="K436" s="2">
        <v>15</v>
      </c>
      <c r="L436" s="2">
        <v>722.87</v>
      </c>
      <c r="M436" s="2">
        <v>27.409999999999997</v>
      </c>
      <c r="N436" s="2">
        <f t="shared" si="20"/>
        <v>695.46</v>
      </c>
      <c r="O436" s="2"/>
      <c r="P436" s="2"/>
      <c r="Q436" s="2"/>
      <c r="R436" s="38"/>
      <c r="S436" s="2"/>
      <c r="T436" s="2"/>
    </row>
    <row r="437" spans="1:20" x14ac:dyDescent="0.2">
      <c r="A437" s="49" t="str">
        <f t="shared" si="19"/>
        <v>18/5-5.5</v>
      </c>
      <c r="B437" s="19" t="s">
        <v>257</v>
      </c>
      <c r="C437" s="19" t="s">
        <v>76</v>
      </c>
      <c r="D437" s="19" t="s">
        <v>76</v>
      </c>
      <c r="E437" s="19">
        <v>18</v>
      </c>
      <c r="F437" s="19" t="s">
        <v>41</v>
      </c>
      <c r="H437" s="2" t="s">
        <v>88</v>
      </c>
      <c r="I437" s="2" t="s">
        <v>597</v>
      </c>
      <c r="J437" s="38">
        <v>45912</v>
      </c>
      <c r="K437" s="2">
        <v>6</v>
      </c>
      <c r="L437" s="2">
        <v>269.90999999999997</v>
      </c>
      <c r="M437" s="2">
        <v>12</v>
      </c>
      <c r="N437" s="2">
        <f t="shared" si="20"/>
        <v>257.90999999999997</v>
      </c>
      <c r="O437" s="2"/>
      <c r="P437" s="2"/>
      <c r="Q437" s="2"/>
      <c r="R437" s="38"/>
      <c r="S437" s="2"/>
      <c r="T437" s="2"/>
    </row>
    <row r="438" spans="1:20" x14ac:dyDescent="0.2">
      <c r="A438" s="49" t="str">
        <f t="shared" si="19"/>
        <v>20/8</v>
      </c>
      <c r="B438" s="19" t="s">
        <v>168</v>
      </c>
      <c r="C438" s="19" t="s">
        <v>76</v>
      </c>
      <c r="D438" s="19" t="s">
        <v>76</v>
      </c>
      <c r="E438" s="19">
        <v>20</v>
      </c>
      <c r="F438" s="19">
        <v>8</v>
      </c>
      <c r="H438" s="2" t="s">
        <v>88</v>
      </c>
      <c r="I438" s="2" t="s">
        <v>703</v>
      </c>
      <c r="J438" s="38">
        <v>45912</v>
      </c>
      <c r="K438" s="2">
        <v>8</v>
      </c>
      <c r="L438" s="2">
        <v>389.36</v>
      </c>
      <c r="M438" s="2">
        <v>17.68</v>
      </c>
      <c r="N438" s="2">
        <f t="shared" si="20"/>
        <v>371.68</v>
      </c>
      <c r="O438" s="2"/>
      <c r="P438" s="2"/>
      <c r="Q438" s="2"/>
      <c r="R438" s="38"/>
      <c r="S438" s="2"/>
      <c r="T438" s="2"/>
    </row>
    <row r="439" spans="1:20" x14ac:dyDescent="0.2">
      <c r="A439" s="49" t="str">
        <f t="shared" si="19"/>
        <v>22/8</v>
      </c>
      <c r="B439" s="19" t="s">
        <v>168</v>
      </c>
      <c r="C439" s="19" t="s">
        <v>76</v>
      </c>
      <c r="D439" s="19" t="s">
        <v>76</v>
      </c>
      <c r="E439" s="19">
        <v>22</v>
      </c>
      <c r="F439" s="19">
        <v>8</v>
      </c>
      <c r="H439" s="2" t="s">
        <v>88</v>
      </c>
      <c r="I439" s="2" t="s">
        <v>704</v>
      </c>
      <c r="J439" s="38">
        <v>45912</v>
      </c>
      <c r="K439" s="2">
        <v>2</v>
      </c>
      <c r="L439" s="2">
        <v>75.180000000000007</v>
      </c>
      <c r="M439" s="2">
        <v>5.6</v>
      </c>
      <c r="N439" s="2">
        <f t="shared" si="20"/>
        <v>69.580000000000013</v>
      </c>
      <c r="O439" s="2"/>
      <c r="P439" s="2"/>
      <c r="Q439" s="2"/>
      <c r="R439" s="38"/>
      <c r="S439" s="2"/>
      <c r="T439" s="2"/>
    </row>
    <row r="440" spans="1:20" x14ac:dyDescent="0.2">
      <c r="A440" s="49" t="str">
        <f t="shared" si="19"/>
        <v>12/5</v>
      </c>
      <c r="B440" s="19" t="s">
        <v>84</v>
      </c>
      <c r="C440" s="19" t="s">
        <v>76</v>
      </c>
      <c r="D440" s="19" t="s">
        <v>76</v>
      </c>
      <c r="E440" s="19">
        <v>12</v>
      </c>
      <c r="F440" s="19">
        <v>5</v>
      </c>
      <c r="H440" s="2" t="s">
        <v>88</v>
      </c>
      <c r="I440" s="2" t="s">
        <v>598</v>
      </c>
      <c r="J440" s="38">
        <v>45912</v>
      </c>
      <c r="K440" s="2">
        <v>6</v>
      </c>
      <c r="L440" s="2">
        <v>339.7</v>
      </c>
      <c r="M440" s="2">
        <v>10.5</v>
      </c>
      <c r="N440" s="2">
        <f t="shared" si="20"/>
        <v>329.2</v>
      </c>
      <c r="O440" s="2"/>
      <c r="P440" s="2"/>
      <c r="Q440" s="2"/>
      <c r="R440" s="38"/>
      <c r="S440" s="2"/>
      <c r="T440" s="2"/>
    </row>
    <row r="441" spans="1:20" x14ac:dyDescent="0.2">
      <c r="A441" s="49" t="str">
        <f t="shared" si="19"/>
        <v>12/4</v>
      </c>
      <c r="B441" s="19" t="s">
        <v>600</v>
      </c>
      <c r="C441" s="19" t="s">
        <v>76</v>
      </c>
      <c r="D441" s="19" t="s">
        <v>76</v>
      </c>
      <c r="E441" s="19">
        <v>12</v>
      </c>
      <c r="F441" s="19">
        <v>4</v>
      </c>
      <c r="H441" s="2" t="s">
        <v>88</v>
      </c>
      <c r="I441" s="2" t="s">
        <v>705</v>
      </c>
      <c r="J441" s="38">
        <v>45912</v>
      </c>
      <c r="K441" s="2">
        <v>2</v>
      </c>
      <c r="L441" s="2">
        <v>58.680000000000007</v>
      </c>
      <c r="M441" s="2">
        <v>3</v>
      </c>
      <c r="N441" s="2">
        <f t="shared" si="20"/>
        <v>55.680000000000007</v>
      </c>
      <c r="O441" s="2"/>
      <c r="P441" s="2"/>
      <c r="Q441" s="2"/>
      <c r="R441" s="38"/>
      <c r="S441" s="2"/>
      <c r="T441" s="2"/>
    </row>
    <row r="442" spans="1:20" x14ac:dyDescent="0.2">
      <c r="A442" s="49" t="str">
        <f t="shared" si="19"/>
        <v>15/7</v>
      </c>
      <c r="B442" s="19" t="s">
        <v>166</v>
      </c>
      <c r="C442" s="19" t="s">
        <v>76</v>
      </c>
      <c r="D442" s="19" t="s">
        <v>76</v>
      </c>
      <c r="E442" s="19">
        <v>15</v>
      </c>
      <c r="F442" s="19">
        <v>7</v>
      </c>
      <c r="H442" s="2" t="s">
        <v>88</v>
      </c>
      <c r="I442" s="2" t="s">
        <v>706</v>
      </c>
      <c r="J442" s="38">
        <v>45912</v>
      </c>
      <c r="K442" s="2">
        <v>2</v>
      </c>
      <c r="L442" s="2">
        <v>103</v>
      </c>
      <c r="M442" s="2">
        <v>3.7</v>
      </c>
      <c r="N442" s="2">
        <f t="shared" si="20"/>
        <v>99.3</v>
      </c>
      <c r="O442" s="2"/>
      <c r="P442" s="2"/>
      <c r="Q442" s="2"/>
      <c r="R442" s="38"/>
      <c r="S442" s="2"/>
      <c r="T442" s="2"/>
    </row>
    <row r="443" spans="1:20" x14ac:dyDescent="0.2">
      <c r="A443" s="49" t="str">
        <f t="shared" si="19"/>
        <v>12/10</v>
      </c>
      <c r="B443" s="19" t="s">
        <v>603</v>
      </c>
      <c r="C443" s="19" t="s">
        <v>76</v>
      </c>
      <c r="D443" s="19" t="s">
        <v>76</v>
      </c>
      <c r="E443" s="19">
        <v>12</v>
      </c>
      <c r="F443" s="19">
        <v>10</v>
      </c>
      <c r="H443" s="2" t="s">
        <v>88</v>
      </c>
      <c r="I443" s="2" t="s">
        <v>707</v>
      </c>
      <c r="J443" s="38">
        <v>45912</v>
      </c>
      <c r="K443" s="2">
        <v>2</v>
      </c>
      <c r="L443" s="2">
        <v>65.430000000000007</v>
      </c>
      <c r="M443" s="2">
        <v>2.4</v>
      </c>
      <c r="N443" s="2">
        <f t="shared" si="20"/>
        <v>63.030000000000008</v>
      </c>
      <c r="O443" s="2"/>
      <c r="P443" s="2"/>
      <c r="Q443" s="2"/>
      <c r="R443" s="38"/>
      <c r="S443" s="2"/>
      <c r="T443" s="2"/>
    </row>
    <row r="444" spans="1:20" x14ac:dyDescent="0.2">
      <c r="A444" s="49" t="str">
        <f t="shared" si="19"/>
        <v>15/7</v>
      </c>
      <c r="B444" s="19" t="s">
        <v>166</v>
      </c>
      <c r="C444" s="19" t="s">
        <v>76</v>
      </c>
      <c r="D444" s="19" t="s">
        <v>76</v>
      </c>
      <c r="E444" s="19">
        <v>15</v>
      </c>
      <c r="F444" s="19">
        <v>7</v>
      </c>
      <c r="H444" s="2" t="s">
        <v>88</v>
      </c>
      <c r="I444" s="2" t="s">
        <v>706</v>
      </c>
      <c r="J444" s="38">
        <v>45912</v>
      </c>
      <c r="K444" s="2">
        <v>3</v>
      </c>
      <c r="L444" s="2">
        <v>105.30000000000001</v>
      </c>
      <c r="M444" s="2">
        <v>4.5</v>
      </c>
      <c r="N444" s="2">
        <f t="shared" si="20"/>
        <v>100.80000000000001</v>
      </c>
      <c r="O444" s="2"/>
      <c r="P444" s="2"/>
      <c r="Q444" s="2"/>
      <c r="R444" s="38"/>
      <c r="S444" s="2"/>
      <c r="T444" s="2"/>
    </row>
    <row r="445" spans="1:20" x14ac:dyDescent="0.2">
      <c r="A445" s="49" t="str">
        <f t="shared" si="19"/>
        <v>15/7</v>
      </c>
      <c r="B445" s="19" t="s">
        <v>166</v>
      </c>
      <c r="C445" s="19" t="s">
        <v>76</v>
      </c>
      <c r="D445" s="19" t="s">
        <v>76</v>
      </c>
      <c r="E445" s="19">
        <v>15</v>
      </c>
      <c r="F445" s="19">
        <v>7</v>
      </c>
      <c r="H445" s="2" t="s">
        <v>88</v>
      </c>
      <c r="I445" s="2" t="s">
        <v>708</v>
      </c>
      <c r="J445" s="38">
        <v>45912</v>
      </c>
      <c r="K445" s="2">
        <v>5</v>
      </c>
      <c r="L445" s="2">
        <v>202.2</v>
      </c>
      <c r="M445" s="2">
        <v>7.5</v>
      </c>
      <c r="N445" s="2">
        <f t="shared" si="20"/>
        <v>194.7</v>
      </c>
      <c r="O445" s="2"/>
      <c r="P445" s="2"/>
      <c r="Q445" s="2"/>
      <c r="R445" s="38"/>
      <c r="S445" s="2"/>
      <c r="T445" s="2"/>
    </row>
    <row r="446" spans="1:20" x14ac:dyDescent="0.2">
      <c r="A446" s="49" t="str">
        <f t="shared" si="19"/>
        <v>10/5</v>
      </c>
      <c r="B446" s="19" t="s">
        <v>84</v>
      </c>
      <c r="C446" s="19" t="s">
        <v>76</v>
      </c>
      <c r="D446" s="19" t="s">
        <v>76</v>
      </c>
      <c r="E446" s="19">
        <v>10</v>
      </c>
      <c r="F446" s="19">
        <v>5</v>
      </c>
      <c r="H446" s="2" t="s">
        <v>88</v>
      </c>
      <c r="I446" s="2" t="s">
        <v>709</v>
      </c>
      <c r="J446" s="38">
        <v>45912</v>
      </c>
      <c r="K446" s="2">
        <v>6</v>
      </c>
      <c r="L446" s="2">
        <v>240.45999999999998</v>
      </c>
      <c r="M446" s="2">
        <v>6.6000000000000005</v>
      </c>
      <c r="N446" s="2">
        <f>+L446-M446+17.2</f>
        <v>251.05999999999997</v>
      </c>
      <c r="O446" s="2"/>
      <c r="P446" s="2"/>
      <c r="Q446" s="2"/>
      <c r="R446" s="38"/>
      <c r="S446" s="2"/>
      <c r="T446" s="2"/>
    </row>
    <row r="447" spans="1:20" x14ac:dyDescent="0.2">
      <c r="A447" s="49" t="str">
        <f t="shared" si="19"/>
        <v>11/5</v>
      </c>
      <c r="B447" s="19" t="s">
        <v>84</v>
      </c>
      <c r="C447" s="19" t="s">
        <v>76</v>
      </c>
      <c r="D447" s="19" t="s">
        <v>76</v>
      </c>
      <c r="E447" s="19" t="s">
        <v>15</v>
      </c>
      <c r="F447" s="19">
        <v>5</v>
      </c>
      <c r="G447" s="2"/>
      <c r="H447" s="2"/>
      <c r="I447" s="2"/>
      <c r="J447" s="38"/>
      <c r="K447" s="2"/>
      <c r="L447" s="2"/>
      <c r="M447" s="2"/>
      <c r="N447" s="2"/>
      <c r="O447" s="2" t="s">
        <v>289</v>
      </c>
      <c r="P447" s="2" t="s">
        <v>618</v>
      </c>
      <c r="Q447" s="2"/>
      <c r="R447" s="38">
        <v>45912</v>
      </c>
      <c r="S447" s="2"/>
      <c r="T447" s="2">
        <v>400</v>
      </c>
    </row>
    <row r="448" spans="1:20" x14ac:dyDescent="0.2">
      <c r="A448" s="49" t="str">
        <f t="shared" si="19"/>
        <v>11/5</v>
      </c>
      <c r="B448" s="19" t="s">
        <v>84</v>
      </c>
      <c r="C448" s="19" t="s">
        <v>76</v>
      </c>
      <c r="D448" s="19" t="s">
        <v>76</v>
      </c>
      <c r="E448" s="19" t="s">
        <v>15</v>
      </c>
      <c r="F448" s="19">
        <v>5</v>
      </c>
      <c r="G448" s="2"/>
      <c r="H448" s="2"/>
      <c r="I448" s="2"/>
      <c r="J448" s="38"/>
      <c r="K448" s="2"/>
      <c r="L448" s="2"/>
      <c r="M448" s="2"/>
      <c r="N448" s="2"/>
      <c r="O448" s="2" t="s">
        <v>289</v>
      </c>
      <c r="P448" s="2" t="s">
        <v>710</v>
      </c>
      <c r="Q448" s="2"/>
      <c r="R448" s="38">
        <v>45912</v>
      </c>
      <c r="S448" s="2"/>
      <c r="T448" s="2">
        <v>50</v>
      </c>
    </row>
    <row r="449" spans="1:20" x14ac:dyDescent="0.2">
      <c r="A449" s="49" t="str">
        <f t="shared" si="19"/>
        <v>14/5</v>
      </c>
      <c r="B449" s="19" t="s">
        <v>92</v>
      </c>
      <c r="C449" s="19" t="s">
        <v>76</v>
      </c>
      <c r="D449" s="19" t="s">
        <v>76</v>
      </c>
      <c r="E449" s="19">
        <v>14</v>
      </c>
      <c r="F449" s="18">
        <v>5</v>
      </c>
      <c r="G449" s="2"/>
      <c r="H449" s="2"/>
      <c r="I449" s="2"/>
      <c r="J449" s="38"/>
      <c r="K449" s="2"/>
      <c r="L449" s="2"/>
      <c r="M449" s="2"/>
      <c r="N449" s="2"/>
      <c r="O449" s="2" t="s">
        <v>289</v>
      </c>
      <c r="P449" s="2" t="s">
        <v>549</v>
      </c>
      <c r="Q449" s="2"/>
      <c r="R449" s="38">
        <v>45912</v>
      </c>
      <c r="S449" s="2"/>
      <c r="T449" s="2">
        <v>500</v>
      </c>
    </row>
    <row r="450" spans="1:20" x14ac:dyDescent="0.2">
      <c r="A450" s="49" t="str">
        <f t="shared" si="19"/>
        <v>8/5</v>
      </c>
      <c r="B450" s="19" t="s">
        <v>602</v>
      </c>
      <c r="C450" s="19" t="s">
        <v>76</v>
      </c>
      <c r="D450" s="19" t="s">
        <v>76</v>
      </c>
      <c r="E450" s="19">
        <v>8</v>
      </c>
      <c r="F450" s="19">
        <v>5</v>
      </c>
      <c r="G450" s="2"/>
      <c r="H450" s="2"/>
      <c r="I450" s="2"/>
      <c r="J450" s="38"/>
      <c r="K450" s="2"/>
      <c r="L450" s="2"/>
      <c r="M450" s="2"/>
      <c r="N450" s="2"/>
      <c r="O450" s="2" t="s">
        <v>289</v>
      </c>
      <c r="P450" s="2" t="s">
        <v>620</v>
      </c>
      <c r="Q450" s="2"/>
      <c r="R450" s="38">
        <v>45912</v>
      </c>
      <c r="S450" s="2"/>
      <c r="T450" s="2">
        <v>100</v>
      </c>
    </row>
    <row r="451" spans="1:20" x14ac:dyDescent="0.2">
      <c r="A451" s="49" t="str">
        <f t="shared" si="19"/>
        <v>8/5</v>
      </c>
      <c r="B451" s="19" t="s">
        <v>84</v>
      </c>
      <c r="C451" s="19" t="s">
        <v>76</v>
      </c>
      <c r="D451" s="19" t="s">
        <v>76</v>
      </c>
      <c r="E451" s="19" t="s">
        <v>18</v>
      </c>
      <c r="F451" s="19">
        <v>5</v>
      </c>
      <c r="G451" s="2"/>
      <c r="H451" s="2"/>
      <c r="I451" s="2"/>
      <c r="J451" s="38"/>
      <c r="K451" s="2"/>
      <c r="L451" s="2"/>
      <c r="M451" s="2"/>
      <c r="N451" s="2"/>
      <c r="O451" s="2" t="s">
        <v>289</v>
      </c>
      <c r="P451" s="2" t="s">
        <v>711</v>
      </c>
      <c r="Q451" s="2"/>
      <c r="R451" s="38">
        <v>45912</v>
      </c>
      <c r="S451" s="2"/>
      <c r="T451" s="2">
        <v>25</v>
      </c>
    </row>
    <row r="452" spans="1:20" x14ac:dyDescent="0.2">
      <c r="A452" s="49" t="str">
        <f t="shared" si="19"/>
        <v>12/4</v>
      </c>
      <c r="B452" s="19" t="s">
        <v>600</v>
      </c>
      <c r="C452" s="19" t="s">
        <v>76</v>
      </c>
      <c r="D452" s="19" t="s">
        <v>76</v>
      </c>
      <c r="E452" s="19">
        <v>12</v>
      </c>
      <c r="F452" s="19">
        <v>4</v>
      </c>
      <c r="G452" s="2"/>
      <c r="H452" s="2"/>
      <c r="I452" s="2"/>
      <c r="J452" s="38"/>
      <c r="K452" s="2"/>
      <c r="L452" s="2"/>
      <c r="M452" s="2"/>
      <c r="N452" s="2"/>
      <c r="O452" s="2" t="s">
        <v>289</v>
      </c>
      <c r="P452" s="2" t="s">
        <v>705</v>
      </c>
      <c r="Q452" s="2"/>
      <c r="R452" s="38">
        <v>45912</v>
      </c>
      <c r="S452" s="2"/>
      <c r="T452" s="2">
        <v>100</v>
      </c>
    </row>
    <row r="453" spans="1:20" x14ac:dyDescent="0.2">
      <c r="A453" s="49" t="str">
        <f t="shared" ref="A453:A516" si="21">CONCATENATE(E453,"/",F453)</f>
        <v>12/5</v>
      </c>
      <c r="B453" s="19" t="s">
        <v>84</v>
      </c>
      <c r="C453" s="19" t="s">
        <v>76</v>
      </c>
      <c r="D453" s="19" t="s">
        <v>76</v>
      </c>
      <c r="E453" s="19" t="s">
        <v>14</v>
      </c>
      <c r="F453" s="19">
        <v>5</v>
      </c>
      <c r="G453" s="2"/>
      <c r="H453" s="2"/>
      <c r="I453" s="2"/>
      <c r="J453" s="38"/>
      <c r="K453" s="2"/>
      <c r="L453" s="2"/>
      <c r="M453" s="2"/>
      <c r="N453" s="2"/>
      <c r="O453" s="2" t="s">
        <v>289</v>
      </c>
      <c r="P453" s="2" t="s">
        <v>712</v>
      </c>
      <c r="Q453" s="2"/>
      <c r="R453" s="38">
        <v>45912</v>
      </c>
      <c r="S453" s="2"/>
      <c r="T453" s="2">
        <v>150</v>
      </c>
    </row>
    <row r="454" spans="1:20" x14ac:dyDescent="0.2">
      <c r="A454" s="49" t="str">
        <f t="shared" si="21"/>
        <v>10/5</v>
      </c>
      <c r="B454" s="19" t="s">
        <v>84</v>
      </c>
      <c r="C454" s="19" t="s">
        <v>76</v>
      </c>
      <c r="D454" s="19" t="s">
        <v>76</v>
      </c>
      <c r="E454" s="19" t="s">
        <v>16</v>
      </c>
      <c r="F454" s="19">
        <v>5</v>
      </c>
      <c r="G454" s="2"/>
      <c r="H454" s="2"/>
      <c r="I454" s="2"/>
      <c r="J454" s="38"/>
      <c r="K454" s="2"/>
      <c r="L454" s="2"/>
      <c r="M454" s="2"/>
      <c r="N454" s="2"/>
      <c r="O454" s="2" t="s">
        <v>289</v>
      </c>
      <c r="P454" s="2" t="s">
        <v>621</v>
      </c>
      <c r="Q454" s="2"/>
      <c r="R454" s="38">
        <v>45912</v>
      </c>
      <c r="S454" s="2"/>
      <c r="T454" s="2">
        <v>225</v>
      </c>
    </row>
    <row r="455" spans="1:20" x14ac:dyDescent="0.2">
      <c r="A455" s="49" t="str">
        <f t="shared" si="21"/>
        <v>10/5</v>
      </c>
      <c r="B455" s="19" t="s">
        <v>84</v>
      </c>
      <c r="C455" s="19" t="s">
        <v>76</v>
      </c>
      <c r="D455" s="19" t="s">
        <v>76</v>
      </c>
      <c r="E455" s="19" t="s">
        <v>16</v>
      </c>
      <c r="F455" s="19">
        <v>5</v>
      </c>
      <c r="G455" s="2"/>
      <c r="H455" s="2"/>
      <c r="I455" s="2"/>
      <c r="J455" s="38"/>
      <c r="K455" s="2"/>
      <c r="L455" s="2"/>
      <c r="M455" s="2"/>
      <c r="N455" s="2"/>
      <c r="O455" s="2" t="s">
        <v>289</v>
      </c>
      <c r="P455" s="2" t="s">
        <v>713</v>
      </c>
      <c r="Q455" s="2"/>
      <c r="R455" s="38">
        <v>45912</v>
      </c>
      <c r="S455" s="2"/>
      <c r="T455" s="2">
        <v>125</v>
      </c>
    </row>
    <row r="456" spans="1:20" x14ac:dyDescent="0.2">
      <c r="A456" s="49" t="str">
        <f t="shared" si="21"/>
        <v>10/5</v>
      </c>
      <c r="B456" s="19" t="s">
        <v>84</v>
      </c>
      <c r="C456" s="19" t="s">
        <v>76</v>
      </c>
      <c r="D456" s="19" t="s">
        <v>76</v>
      </c>
      <c r="E456" s="19" t="s">
        <v>16</v>
      </c>
      <c r="F456" s="19">
        <v>5</v>
      </c>
      <c r="G456" s="2"/>
      <c r="H456" s="2"/>
      <c r="I456" s="2"/>
      <c r="J456" s="38"/>
      <c r="K456" s="2"/>
      <c r="L456" s="2"/>
      <c r="M456" s="2"/>
      <c r="N456" s="2"/>
      <c r="O456" s="2" t="s">
        <v>289</v>
      </c>
      <c r="P456" s="2" t="s">
        <v>714</v>
      </c>
      <c r="Q456" s="2"/>
      <c r="R456" s="38">
        <v>45912</v>
      </c>
      <c r="S456" s="2"/>
      <c r="T456" s="2">
        <v>50</v>
      </c>
    </row>
    <row r="457" spans="1:20" x14ac:dyDescent="0.2">
      <c r="A457" s="49" t="str">
        <f t="shared" si="21"/>
        <v>4/5</v>
      </c>
      <c r="B457" s="19" t="s">
        <v>84</v>
      </c>
      <c r="C457" s="19" t="s">
        <v>76</v>
      </c>
      <c r="D457" s="19" t="s">
        <v>76</v>
      </c>
      <c r="E457" s="19" t="s">
        <v>26</v>
      </c>
      <c r="F457" s="19">
        <v>5</v>
      </c>
      <c r="G457" s="2"/>
      <c r="H457" s="2"/>
      <c r="I457" s="2"/>
      <c r="J457" s="38"/>
      <c r="K457" s="2"/>
      <c r="L457" s="2"/>
      <c r="M457" s="2"/>
      <c r="N457" s="2"/>
      <c r="O457" s="2" t="s">
        <v>289</v>
      </c>
      <c r="P457" s="2" t="s">
        <v>715</v>
      </c>
      <c r="Q457" s="2"/>
      <c r="R457" s="38">
        <v>45912</v>
      </c>
      <c r="S457" s="2"/>
      <c r="T457" s="2">
        <v>60</v>
      </c>
    </row>
    <row r="458" spans="1:20" x14ac:dyDescent="0.2">
      <c r="A458" s="49" t="str">
        <f t="shared" si="21"/>
        <v>2/5.5-6</v>
      </c>
      <c r="B458" s="19" t="s">
        <v>84</v>
      </c>
      <c r="C458" s="19" t="s">
        <v>76</v>
      </c>
      <c r="D458" s="19" t="s">
        <v>76</v>
      </c>
      <c r="E458" s="19">
        <v>2</v>
      </c>
      <c r="F458" s="19" t="s">
        <v>5</v>
      </c>
      <c r="G458" s="2"/>
      <c r="H458" s="2"/>
      <c r="I458" s="2"/>
      <c r="J458" s="38"/>
      <c r="K458" s="2"/>
      <c r="L458" s="2"/>
      <c r="M458" s="2"/>
      <c r="N458" s="2"/>
      <c r="O458" s="2" t="s">
        <v>289</v>
      </c>
      <c r="P458" s="2" t="s">
        <v>716</v>
      </c>
      <c r="Q458" s="2"/>
      <c r="R458" s="38">
        <v>45912</v>
      </c>
      <c r="S458" s="2"/>
      <c r="T458" s="2">
        <v>60</v>
      </c>
    </row>
    <row r="459" spans="1:20" x14ac:dyDescent="0.2">
      <c r="A459" s="49" t="str">
        <f t="shared" si="21"/>
        <v>17/5.5-6</v>
      </c>
      <c r="B459" s="19" t="s" cm="1">
        <v>92</v>
      </c>
      <c r="C459" s="19" t="s">
        <v>76</v>
      </c>
      <c r="D459" s="19" t="s">
        <v>76</v>
      </c>
      <c r="E459" s="19">
        <v>17</v>
      </c>
      <c r="F459" s="19" t="s">
        <v>5</v>
      </c>
      <c r="G459" s="2"/>
      <c r="H459" s="2"/>
      <c r="I459" s="2"/>
      <c r="J459" s="38"/>
      <c r="K459" s="2"/>
      <c r="L459" s="2"/>
      <c r="M459" s="2"/>
      <c r="N459" s="2"/>
      <c r="O459" s="2" t="s">
        <v>94</v>
      </c>
      <c r="P459" s="2" t="s">
        <v>310</v>
      </c>
      <c r="Q459" s="2"/>
      <c r="R459" s="38">
        <v>45912</v>
      </c>
      <c r="S459" s="2"/>
      <c r="T459" s="2">
        <v>400</v>
      </c>
    </row>
    <row r="460" spans="1:20" x14ac:dyDescent="0.2">
      <c r="A460" s="49" t="str">
        <f t="shared" si="21"/>
        <v>17/5.5-6</v>
      </c>
      <c r="B460" s="19" t="s" cm="1">
        <v>92</v>
      </c>
      <c r="C460" s="19" t="s">
        <v>76</v>
      </c>
      <c r="D460" s="19" t="s">
        <v>76</v>
      </c>
      <c r="E460" s="19">
        <v>17</v>
      </c>
      <c r="F460" s="19" t="s">
        <v>5</v>
      </c>
      <c r="G460" s="2"/>
      <c r="H460" s="2"/>
      <c r="I460" s="2"/>
      <c r="J460" s="38"/>
      <c r="K460" s="2"/>
      <c r="L460" s="2"/>
      <c r="M460" s="2"/>
      <c r="N460" s="2"/>
      <c r="O460" s="2" t="s">
        <v>94</v>
      </c>
      <c r="P460" s="2" t="s">
        <v>310</v>
      </c>
      <c r="Q460" s="2"/>
      <c r="R460" s="38">
        <v>45912</v>
      </c>
      <c r="S460" s="2"/>
      <c r="T460" s="2">
        <v>400</v>
      </c>
    </row>
    <row r="461" spans="1:20" x14ac:dyDescent="0.2">
      <c r="A461" s="49" t="str">
        <f t="shared" si="21"/>
        <v>17/5.5-6</v>
      </c>
      <c r="B461" s="19" t="s" cm="1">
        <v>92</v>
      </c>
      <c r="C461" s="19" t="s">
        <v>76</v>
      </c>
      <c r="D461" s="19" t="s">
        <v>76</v>
      </c>
      <c r="E461" s="19">
        <v>17</v>
      </c>
      <c r="F461" s="19" t="s">
        <v>5</v>
      </c>
      <c r="G461" s="2"/>
      <c r="H461" s="2"/>
      <c r="I461" s="2"/>
      <c r="J461" s="38"/>
      <c r="K461" s="2"/>
      <c r="L461" s="2"/>
      <c r="M461" s="2"/>
      <c r="N461" s="2"/>
      <c r="O461" s="2" t="s">
        <v>94</v>
      </c>
      <c r="P461" s="2" t="s">
        <v>310</v>
      </c>
      <c r="Q461" s="2"/>
      <c r="R461" s="38">
        <v>45912</v>
      </c>
      <c r="S461" s="2"/>
      <c r="T461" s="2">
        <v>400</v>
      </c>
    </row>
    <row r="462" spans="1:20" x14ac:dyDescent="0.2">
      <c r="A462" s="49" t="str">
        <f t="shared" si="21"/>
        <v>17/5.5-6</v>
      </c>
      <c r="B462" s="19" t="s" cm="1">
        <v>92</v>
      </c>
      <c r="C462" s="19" t="s">
        <v>76</v>
      </c>
      <c r="D462" s="19" t="s">
        <v>76</v>
      </c>
      <c r="E462" s="19">
        <v>17</v>
      </c>
      <c r="F462" s="19" t="s">
        <v>5</v>
      </c>
      <c r="G462" s="2"/>
      <c r="H462" s="2"/>
      <c r="I462" s="2"/>
      <c r="J462" s="38"/>
      <c r="K462" s="2"/>
      <c r="L462" s="2"/>
      <c r="M462" s="2"/>
      <c r="N462" s="2"/>
      <c r="O462" s="2" t="s">
        <v>94</v>
      </c>
      <c r="P462" s="2" t="s">
        <v>310</v>
      </c>
      <c r="Q462" s="2"/>
      <c r="R462" s="38">
        <v>45912</v>
      </c>
      <c r="S462" s="2"/>
      <c r="T462" s="2">
        <v>400</v>
      </c>
    </row>
    <row r="463" spans="1:20" x14ac:dyDescent="0.2">
      <c r="A463" s="49" t="str">
        <f t="shared" si="21"/>
        <v>17/5.5-6</v>
      </c>
      <c r="B463" s="19" t="s" cm="1">
        <v>92</v>
      </c>
      <c r="C463" s="19" t="s">
        <v>76</v>
      </c>
      <c r="D463" s="19" t="s">
        <v>76</v>
      </c>
      <c r="E463" s="19">
        <v>17</v>
      </c>
      <c r="F463" s="19" t="s">
        <v>5</v>
      </c>
      <c r="G463" s="2"/>
      <c r="H463" s="2"/>
      <c r="I463" s="2"/>
      <c r="J463" s="38"/>
      <c r="K463" s="2"/>
      <c r="L463" s="2"/>
      <c r="M463" s="2"/>
      <c r="N463" s="2"/>
      <c r="O463" s="2"/>
      <c r="P463" s="2"/>
      <c r="Q463" s="2"/>
      <c r="R463" s="38"/>
      <c r="S463" s="2"/>
      <c r="T463" s="2"/>
    </row>
    <row r="464" spans="1:20" x14ac:dyDescent="0.2">
      <c r="A464" s="49" t="str">
        <f t="shared" si="21"/>
        <v>3.5/5.5-6</v>
      </c>
      <c r="B464" s="19" t="s">
        <v>84</v>
      </c>
      <c r="C464" s="19" t="s">
        <v>76</v>
      </c>
      <c r="D464" s="19" t="s">
        <v>76</v>
      </c>
      <c r="E464" s="19">
        <v>3.5</v>
      </c>
      <c r="F464" s="19" t="s">
        <v>5</v>
      </c>
      <c r="G464" s="19"/>
      <c r="H464" s="2" t="s">
        <v>88</v>
      </c>
      <c r="I464" s="2" t="s">
        <v>584</v>
      </c>
      <c r="J464" s="38">
        <v>45913</v>
      </c>
      <c r="K464" s="2">
        <v>6</v>
      </c>
      <c r="L464" s="2">
        <v>91.460000000000008</v>
      </c>
      <c r="M464" s="2">
        <v>1.7999999999999998</v>
      </c>
      <c r="N464" s="2">
        <v>89.660000000000011</v>
      </c>
      <c r="O464" s="2"/>
      <c r="P464" s="2"/>
      <c r="Q464" s="2"/>
      <c r="R464" s="38"/>
      <c r="S464" s="2"/>
      <c r="T464" s="2"/>
    </row>
    <row r="465" spans="1:20" x14ac:dyDescent="0.2">
      <c r="A465" s="49" t="str">
        <f t="shared" si="21"/>
        <v>2.5/5.5-6</v>
      </c>
      <c r="B465" s="19" t="s">
        <v>84</v>
      </c>
      <c r="C465" s="19" t="s">
        <v>76</v>
      </c>
      <c r="D465" s="19" t="s">
        <v>76</v>
      </c>
      <c r="E465" s="19">
        <v>2.5</v>
      </c>
      <c r="F465" s="19" t="s">
        <v>5</v>
      </c>
      <c r="G465" s="19"/>
      <c r="H465" s="2" t="s">
        <v>88</v>
      </c>
      <c r="I465" s="2" t="s">
        <v>811</v>
      </c>
      <c r="J465" s="38">
        <v>45913</v>
      </c>
      <c r="K465" s="2">
        <v>1</v>
      </c>
      <c r="L465" s="2">
        <v>23.49</v>
      </c>
      <c r="M465" s="2">
        <v>0.2</v>
      </c>
      <c r="N465" s="2">
        <v>23.29</v>
      </c>
      <c r="O465" s="2"/>
      <c r="P465" s="2"/>
      <c r="Q465" s="2"/>
      <c r="R465" s="38"/>
      <c r="S465" s="2"/>
      <c r="T465" s="2"/>
    </row>
    <row r="466" spans="1:20" x14ac:dyDescent="0.2">
      <c r="A466" s="49" t="str">
        <f t="shared" si="21"/>
        <v>2.5/5.5-6</v>
      </c>
      <c r="B466" s="19" t="s">
        <v>84</v>
      </c>
      <c r="C466" s="19" t="s">
        <v>76</v>
      </c>
      <c r="D466" s="19" t="s">
        <v>76</v>
      </c>
      <c r="E466" s="19">
        <v>2.5</v>
      </c>
      <c r="F466" s="19" t="s">
        <v>5</v>
      </c>
      <c r="G466" s="19"/>
      <c r="H466" s="2" t="s">
        <v>88</v>
      </c>
      <c r="I466" s="2" t="s">
        <v>811</v>
      </c>
      <c r="J466" s="38">
        <v>45913</v>
      </c>
      <c r="K466" s="2">
        <v>6</v>
      </c>
      <c r="L466" s="2">
        <v>93.399999999999991</v>
      </c>
      <c r="M466" s="2">
        <v>1.2000000000000002</v>
      </c>
      <c r="N466" s="2">
        <v>92.199999999999989</v>
      </c>
      <c r="O466" s="2"/>
      <c r="P466" s="2"/>
      <c r="Q466" s="2"/>
      <c r="R466" s="38"/>
      <c r="S466" s="2"/>
      <c r="T466" s="2"/>
    </row>
    <row r="467" spans="1:20" x14ac:dyDescent="0.2">
      <c r="A467" s="49" t="str">
        <f t="shared" si="21"/>
        <v>4/5-5.5</v>
      </c>
      <c r="B467" s="19" t="s">
        <v>84</v>
      </c>
      <c r="C467" s="19" t="s">
        <v>76</v>
      </c>
      <c r="D467" s="19" t="s">
        <v>76</v>
      </c>
      <c r="E467" s="19">
        <v>4</v>
      </c>
      <c r="F467" s="19" t="s">
        <v>41</v>
      </c>
      <c r="G467" s="19"/>
      <c r="H467" s="2" t="s">
        <v>88</v>
      </c>
      <c r="I467" s="2" t="s">
        <v>542</v>
      </c>
      <c r="J467" s="38">
        <v>45913</v>
      </c>
      <c r="K467" s="2">
        <v>11</v>
      </c>
      <c r="L467" s="2">
        <v>157.70999999999998</v>
      </c>
      <c r="M467" s="2">
        <v>4.4000000000000004</v>
      </c>
      <c r="N467" s="2">
        <v>153.30999999999997</v>
      </c>
      <c r="O467" s="2"/>
      <c r="P467" s="2"/>
      <c r="Q467" s="2"/>
      <c r="R467" s="38"/>
      <c r="S467" s="2"/>
      <c r="T467" s="2"/>
    </row>
    <row r="468" spans="1:20" x14ac:dyDescent="0.2">
      <c r="A468" s="49" t="str">
        <f t="shared" si="21"/>
        <v>5/5.5-6</v>
      </c>
      <c r="B468" s="19" t="s">
        <v>84</v>
      </c>
      <c r="C468" s="19" t="s">
        <v>76</v>
      </c>
      <c r="D468" s="19" t="s">
        <v>76</v>
      </c>
      <c r="E468" s="19">
        <v>5</v>
      </c>
      <c r="F468" s="19" t="s">
        <v>5</v>
      </c>
      <c r="G468" s="19"/>
      <c r="H468" s="2" t="s">
        <v>88</v>
      </c>
      <c r="I468" s="2" t="s">
        <v>812</v>
      </c>
      <c r="J468" s="38">
        <v>45913</v>
      </c>
      <c r="K468" s="2">
        <v>3</v>
      </c>
      <c r="L468" s="2">
        <v>47.53</v>
      </c>
      <c r="M468" s="2">
        <v>1.5</v>
      </c>
      <c r="N468" s="2">
        <v>46.03</v>
      </c>
      <c r="O468" s="2"/>
      <c r="P468" s="2"/>
      <c r="Q468" s="2"/>
      <c r="R468" s="38"/>
      <c r="S468" s="2"/>
      <c r="T468" s="2"/>
    </row>
    <row r="469" spans="1:20" x14ac:dyDescent="0.2">
      <c r="A469" s="49" t="str">
        <f t="shared" si="21"/>
        <v>3/5.5-6</v>
      </c>
      <c r="B469" s="19" t="s">
        <v>83</v>
      </c>
      <c r="C469" s="19" t="s">
        <v>76</v>
      </c>
      <c r="D469" s="19" t="s">
        <v>76</v>
      </c>
      <c r="E469" s="19">
        <v>3</v>
      </c>
      <c r="F469" s="19" t="s">
        <v>5</v>
      </c>
      <c r="G469" s="19"/>
      <c r="H469" s="2" t="s">
        <v>88</v>
      </c>
      <c r="I469" s="2" t="s">
        <v>813</v>
      </c>
      <c r="J469" s="38">
        <v>45913</v>
      </c>
      <c r="K469" s="2">
        <v>9</v>
      </c>
      <c r="L469" s="2">
        <v>83.61</v>
      </c>
      <c r="M469" s="2">
        <v>2.6999999999999997</v>
      </c>
      <c r="N469" s="2">
        <v>80.91</v>
      </c>
      <c r="O469" s="2"/>
      <c r="P469" s="2"/>
      <c r="Q469" s="2"/>
      <c r="R469" s="38"/>
      <c r="S469" s="2"/>
      <c r="T469" s="2"/>
    </row>
    <row r="470" spans="1:20" x14ac:dyDescent="0.2">
      <c r="A470" s="49" t="str">
        <f t="shared" si="21"/>
        <v>22/8</v>
      </c>
      <c r="B470" s="19" t="s">
        <v>168</v>
      </c>
      <c r="C470" s="19" t="s">
        <v>76</v>
      </c>
      <c r="D470" s="19" t="s">
        <v>76</v>
      </c>
      <c r="E470" s="19">
        <v>22</v>
      </c>
      <c r="F470" s="19">
        <v>8</v>
      </c>
      <c r="G470" s="19"/>
      <c r="H470" s="2" t="s">
        <v>88</v>
      </c>
      <c r="I470" s="2" t="s">
        <v>704</v>
      </c>
      <c r="J470" s="38">
        <v>45913</v>
      </c>
      <c r="K470" s="2">
        <v>8</v>
      </c>
      <c r="L470" s="2">
        <v>382.9</v>
      </c>
      <c r="M470" s="2">
        <v>22.300000000000004</v>
      </c>
      <c r="N470" s="2">
        <v>360.59999999999997</v>
      </c>
      <c r="O470" s="2"/>
      <c r="P470" s="2"/>
      <c r="Q470" s="2"/>
      <c r="R470" s="38"/>
      <c r="S470" s="2"/>
      <c r="T470" s="2"/>
    </row>
    <row r="471" spans="1:20" x14ac:dyDescent="0.2">
      <c r="A471" s="49" t="str">
        <f t="shared" si="21"/>
        <v>17/5.5-6</v>
      </c>
      <c r="B471" s="19" t="s">
        <v>92</v>
      </c>
      <c r="C471" s="19" t="s">
        <v>76</v>
      </c>
      <c r="D471" s="19" t="s">
        <v>76</v>
      </c>
      <c r="E471" s="19">
        <v>17</v>
      </c>
      <c r="F471" s="19" t="s">
        <v>5</v>
      </c>
      <c r="G471" s="19"/>
      <c r="H471" s="2" t="s">
        <v>88</v>
      </c>
      <c r="I471" s="2" t="s">
        <v>492</v>
      </c>
      <c r="J471" s="38">
        <v>45913</v>
      </c>
      <c r="K471" s="2">
        <v>6</v>
      </c>
      <c r="L471" s="2">
        <v>337.63</v>
      </c>
      <c r="M471" s="2">
        <v>12</v>
      </c>
      <c r="N471" s="2">
        <v>325.63</v>
      </c>
      <c r="O471" s="2"/>
      <c r="P471" s="2"/>
      <c r="Q471" s="2"/>
      <c r="R471" s="38"/>
      <c r="S471" s="2"/>
      <c r="T471" s="2"/>
    </row>
    <row r="472" spans="1:20" x14ac:dyDescent="0.2">
      <c r="A472" s="49" t="str">
        <f t="shared" si="21"/>
        <v>17/5.5-6</v>
      </c>
      <c r="B472" s="19" t="s">
        <v>92</v>
      </c>
      <c r="C472" s="19" t="s">
        <v>76</v>
      </c>
      <c r="D472" s="19" t="s">
        <v>76</v>
      </c>
      <c r="E472" s="19">
        <v>17</v>
      </c>
      <c r="F472" s="19" t="s">
        <v>5</v>
      </c>
      <c r="G472" s="19"/>
      <c r="H472" s="2" t="s">
        <v>88</v>
      </c>
      <c r="I472" s="2" t="s">
        <v>492</v>
      </c>
      <c r="J472" s="38">
        <v>45913</v>
      </c>
      <c r="K472" s="2">
        <v>14</v>
      </c>
      <c r="L472" s="2">
        <v>758.62</v>
      </c>
      <c r="M472" s="2">
        <v>26</v>
      </c>
      <c r="N472" s="2">
        <v>732.62</v>
      </c>
      <c r="O472" s="2"/>
      <c r="P472" s="2"/>
      <c r="Q472" s="2"/>
      <c r="R472" s="38"/>
      <c r="S472" s="2"/>
      <c r="T472" s="2"/>
    </row>
    <row r="473" spans="1:20" x14ac:dyDescent="0.2">
      <c r="A473" s="49" t="str">
        <f t="shared" si="21"/>
        <v>9/5-5.5</v>
      </c>
      <c r="B473" s="19" t="s">
        <v>84</v>
      </c>
      <c r="C473" s="19" t="s">
        <v>76</v>
      </c>
      <c r="D473" s="19" t="s">
        <v>76</v>
      </c>
      <c r="E473" s="19">
        <v>9</v>
      </c>
      <c r="F473" s="19" t="s">
        <v>41</v>
      </c>
      <c r="G473" s="19"/>
      <c r="H473" s="2" t="s">
        <v>88</v>
      </c>
      <c r="I473" s="2" t="s">
        <v>592</v>
      </c>
      <c r="J473" s="38">
        <v>45913</v>
      </c>
      <c r="K473" s="2">
        <v>5</v>
      </c>
      <c r="L473" s="2">
        <v>116</v>
      </c>
      <c r="M473" s="2">
        <v>4</v>
      </c>
      <c r="N473" s="2">
        <v>112</v>
      </c>
      <c r="O473" s="2"/>
      <c r="P473" s="2"/>
      <c r="Q473" s="2"/>
      <c r="R473" s="38"/>
      <c r="S473" s="2"/>
      <c r="T473" s="2"/>
    </row>
    <row r="474" spans="1:20" x14ac:dyDescent="0.2">
      <c r="A474" s="49" t="str">
        <f t="shared" si="21"/>
        <v>9/5.5</v>
      </c>
      <c r="B474" s="19" t="s">
        <v>165</v>
      </c>
      <c r="C474" s="19" t="s">
        <v>76</v>
      </c>
      <c r="D474" s="19" t="s">
        <v>76</v>
      </c>
      <c r="E474" s="19">
        <v>9</v>
      </c>
      <c r="F474" s="19">
        <v>5.5</v>
      </c>
      <c r="G474" s="19"/>
      <c r="H474" s="2" t="s">
        <v>88</v>
      </c>
      <c r="I474" s="2" t="s">
        <v>814</v>
      </c>
      <c r="J474" s="38">
        <v>45913</v>
      </c>
      <c r="K474" s="2">
        <v>2</v>
      </c>
      <c r="L474" s="2">
        <v>52.56</v>
      </c>
      <c r="M474" s="2">
        <v>1.8</v>
      </c>
      <c r="N474" s="2">
        <v>50.760000000000005</v>
      </c>
      <c r="O474" s="2"/>
      <c r="P474" s="2"/>
      <c r="Q474" s="2"/>
      <c r="R474" s="38"/>
      <c r="S474" s="2"/>
      <c r="T474" s="2"/>
    </row>
    <row r="475" spans="1:20" x14ac:dyDescent="0.2">
      <c r="A475" s="49" t="str">
        <f t="shared" si="21"/>
        <v>8/10</v>
      </c>
      <c r="B475" s="19" t="s">
        <v>603</v>
      </c>
      <c r="C475" s="19" t="s">
        <v>76</v>
      </c>
      <c r="D475" s="19" t="s">
        <v>76</v>
      </c>
      <c r="E475" s="19">
        <v>8</v>
      </c>
      <c r="F475" s="19">
        <v>10</v>
      </c>
      <c r="G475" s="19"/>
      <c r="H475" s="2" t="s">
        <v>88</v>
      </c>
      <c r="I475" s="2" t="s">
        <v>815</v>
      </c>
      <c r="J475" s="38">
        <v>45913</v>
      </c>
      <c r="K475" s="2">
        <v>2</v>
      </c>
      <c r="L475" s="2">
        <v>57.22</v>
      </c>
      <c r="M475" s="2">
        <v>1.8</v>
      </c>
      <c r="N475" s="2">
        <v>55.42</v>
      </c>
      <c r="O475" s="2"/>
      <c r="P475" s="2"/>
      <c r="Q475" s="2"/>
      <c r="R475" s="38"/>
      <c r="S475" s="2"/>
      <c r="T475" s="2"/>
    </row>
    <row r="476" spans="1:20" x14ac:dyDescent="0.2">
      <c r="A476" s="49" t="str">
        <f t="shared" si="21"/>
        <v>8/5</v>
      </c>
      <c r="B476" s="19" t="s">
        <v>84</v>
      </c>
      <c r="C476" s="19" t="s">
        <v>76</v>
      </c>
      <c r="D476" s="19" t="s">
        <v>76</v>
      </c>
      <c r="E476" s="19">
        <v>8</v>
      </c>
      <c r="F476" s="19">
        <v>5</v>
      </c>
      <c r="G476" s="19"/>
      <c r="H476" s="2" t="s">
        <v>88</v>
      </c>
      <c r="I476" s="2" t="s">
        <v>816</v>
      </c>
      <c r="J476" s="38">
        <v>45913</v>
      </c>
      <c r="K476" s="2">
        <v>2</v>
      </c>
      <c r="L476" s="2">
        <v>57.17</v>
      </c>
      <c r="M476" s="2">
        <v>3</v>
      </c>
      <c r="N476" s="2">
        <v>54.17</v>
      </c>
      <c r="O476" s="2"/>
      <c r="P476" s="2"/>
      <c r="Q476" s="2"/>
      <c r="R476" s="38"/>
      <c r="S476" s="2"/>
      <c r="T476" s="2"/>
    </row>
    <row r="477" spans="1:20" x14ac:dyDescent="0.2">
      <c r="A477" s="49" t="str">
        <f t="shared" si="21"/>
        <v>8/5</v>
      </c>
      <c r="B477" s="19" t="s">
        <v>84</v>
      </c>
      <c r="C477" s="19" t="s">
        <v>76</v>
      </c>
      <c r="D477" s="19" t="s">
        <v>76</v>
      </c>
      <c r="E477" s="19">
        <v>8</v>
      </c>
      <c r="F477" s="19">
        <v>5</v>
      </c>
      <c r="G477" s="19"/>
      <c r="H477" s="2" t="s">
        <v>88</v>
      </c>
      <c r="I477" s="2" t="s">
        <v>816</v>
      </c>
      <c r="J477" s="38">
        <v>45913</v>
      </c>
      <c r="K477" s="2">
        <v>9</v>
      </c>
      <c r="L477" s="2">
        <v>341.94</v>
      </c>
      <c r="M477" s="2">
        <v>8</v>
      </c>
      <c r="N477" s="2">
        <v>333.94</v>
      </c>
      <c r="O477" s="2"/>
      <c r="P477" s="2"/>
      <c r="Q477" s="2"/>
      <c r="R477" s="38"/>
      <c r="S477" s="2"/>
      <c r="T477" s="2"/>
    </row>
    <row r="478" spans="1:20" x14ac:dyDescent="0.2">
      <c r="A478" s="49" t="str">
        <f t="shared" si="21"/>
        <v>10/5</v>
      </c>
      <c r="B478" s="19" t="s">
        <v>84</v>
      </c>
      <c r="C478" s="19" t="s">
        <v>76</v>
      </c>
      <c r="D478" s="19" t="s">
        <v>76</v>
      </c>
      <c r="E478" s="19">
        <v>10</v>
      </c>
      <c r="F478" s="19">
        <v>5</v>
      </c>
      <c r="G478" s="19"/>
      <c r="H478" s="2" t="s">
        <v>88</v>
      </c>
      <c r="I478" s="2" t="s">
        <v>709</v>
      </c>
      <c r="J478" s="38">
        <v>45913</v>
      </c>
      <c r="K478" s="2">
        <v>9</v>
      </c>
      <c r="L478" s="2">
        <v>452.73000000000008</v>
      </c>
      <c r="M478" s="2">
        <v>10.799999999999999</v>
      </c>
      <c r="N478" s="2">
        <v>441.93000000000006</v>
      </c>
      <c r="O478" s="2"/>
      <c r="P478" s="2"/>
      <c r="Q478" s="2"/>
      <c r="R478" s="38"/>
      <c r="S478" s="2"/>
      <c r="T478" s="2"/>
    </row>
    <row r="479" spans="1:20" x14ac:dyDescent="0.2">
      <c r="A479" s="49" t="str">
        <f t="shared" si="21"/>
        <v>10/5</v>
      </c>
      <c r="B479" s="19" t="s">
        <v>84</v>
      </c>
      <c r="C479" s="19" t="s">
        <v>76</v>
      </c>
      <c r="D479" s="19" t="s">
        <v>76</v>
      </c>
      <c r="E479" s="19">
        <v>10</v>
      </c>
      <c r="F479" s="19">
        <v>5</v>
      </c>
      <c r="G479" s="19"/>
      <c r="H479" s="2" t="s">
        <v>88</v>
      </c>
      <c r="I479" s="2" t="s">
        <v>709</v>
      </c>
      <c r="J479" s="38">
        <v>45913</v>
      </c>
      <c r="K479" s="2">
        <v>11</v>
      </c>
      <c r="L479" s="2">
        <v>495.02</v>
      </c>
      <c r="M479" s="2">
        <v>12.100000000000001</v>
      </c>
      <c r="N479" s="2">
        <v>482.91999999999996</v>
      </c>
      <c r="O479" s="2"/>
      <c r="P479" s="2"/>
      <c r="Q479" s="2"/>
      <c r="R479" s="38"/>
      <c r="S479" s="2"/>
      <c r="T479" s="2"/>
    </row>
    <row r="480" spans="1:20" x14ac:dyDescent="0.2">
      <c r="A480" s="49" t="str">
        <f t="shared" si="21"/>
        <v>10/5</v>
      </c>
      <c r="B480" s="19" t="s">
        <v>84</v>
      </c>
      <c r="C480" s="19" t="s">
        <v>76</v>
      </c>
      <c r="D480" s="19" t="s">
        <v>76</v>
      </c>
      <c r="E480" s="19">
        <v>10</v>
      </c>
      <c r="F480" s="19">
        <v>5</v>
      </c>
      <c r="G480" s="19"/>
      <c r="H480" s="2" t="s">
        <v>88</v>
      </c>
      <c r="I480" s="2" t="s">
        <v>709</v>
      </c>
      <c r="J480" s="38">
        <v>45912</v>
      </c>
      <c r="K480" s="2">
        <v>6</v>
      </c>
      <c r="L480" s="2">
        <v>240.45999999999998</v>
      </c>
      <c r="M480" s="2">
        <v>6.6000000000000005</v>
      </c>
      <c r="N480" s="2">
        <v>233.85999999999999</v>
      </c>
      <c r="O480" s="2"/>
      <c r="P480" s="2"/>
      <c r="Q480" s="2"/>
      <c r="R480" s="38"/>
      <c r="S480" s="2"/>
      <c r="T480" s="2"/>
    </row>
    <row r="481" spans="1:20" x14ac:dyDescent="0.2">
      <c r="A481" s="49" t="str">
        <f t="shared" si="21"/>
        <v>2.5/5.5-6</v>
      </c>
      <c r="B481" s="19" t="s">
        <v>84</v>
      </c>
      <c r="C481" s="19" t="s">
        <v>76</v>
      </c>
      <c r="D481" s="19" t="s">
        <v>76</v>
      </c>
      <c r="E481" s="19">
        <v>2.5</v>
      </c>
      <c r="F481" s="19" t="s">
        <v>5</v>
      </c>
      <c r="G481" s="19"/>
      <c r="H481" s="2" t="s">
        <v>88</v>
      </c>
      <c r="I481" s="2" t="s">
        <v>811</v>
      </c>
      <c r="J481" s="38">
        <v>45914</v>
      </c>
      <c r="K481" s="2">
        <v>5</v>
      </c>
      <c r="L481" s="2">
        <v>98.78</v>
      </c>
      <c r="M481" s="2">
        <v>1</v>
      </c>
      <c r="N481" s="2">
        <v>97.78</v>
      </c>
      <c r="O481" s="2"/>
      <c r="P481" s="2"/>
      <c r="Q481" s="2"/>
      <c r="R481" s="38"/>
      <c r="S481" s="2"/>
      <c r="T481" s="2"/>
    </row>
    <row r="482" spans="1:20" x14ac:dyDescent="0.2">
      <c r="A482" s="49" t="str">
        <f t="shared" si="21"/>
        <v>2.5/5.5-6</v>
      </c>
      <c r="B482" s="19" t="s">
        <v>84</v>
      </c>
      <c r="C482" s="19" t="s">
        <v>76</v>
      </c>
      <c r="D482" s="19" t="s">
        <v>76</v>
      </c>
      <c r="E482" s="19">
        <v>2.5</v>
      </c>
      <c r="F482" s="19" t="s">
        <v>5</v>
      </c>
      <c r="G482" s="19"/>
      <c r="H482" s="2" t="s">
        <v>88</v>
      </c>
      <c r="I482" s="2" t="s">
        <v>811</v>
      </c>
      <c r="J482" s="38">
        <v>45914</v>
      </c>
      <c r="K482" s="2">
        <v>5</v>
      </c>
      <c r="L482" s="2">
        <v>88.679999999999993</v>
      </c>
      <c r="M482" s="2">
        <v>1</v>
      </c>
      <c r="N482" s="2">
        <v>87.679999999999993</v>
      </c>
      <c r="O482" s="2"/>
      <c r="P482" s="2"/>
      <c r="Q482" s="2"/>
      <c r="R482" s="38"/>
      <c r="S482" s="2"/>
      <c r="T482" s="2"/>
    </row>
    <row r="483" spans="1:20" x14ac:dyDescent="0.2">
      <c r="A483" s="49" t="str">
        <f t="shared" si="21"/>
        <v>2.5/5.5-6</v>
      </c>
      <c r="B483" s="19" t="s">
        <v>83</v>
      </c>
      <c r="C483" s="19" t="s">
        <v>76</v>
      </c>
      <c r="D483" s="19" t="s">
        <v>76</v>
      </c>
      <c r="E483" s="19">
        <v>2.5</v>
      </c>
      <c r="F483" s="19" t="s">
        <v>5</v>
      </c>
      <c r="G483" s="19"/>
      <c r="H483" s="2" t="s">
        <v>88</v>
      </c>
      <c r="I483" s="2" t="s">
        <v>290</v>
      </c>
      <c r="J483" s="38">
        <v>45914</v>
      </c>
      <c r="K483" s="2">
        <v>3</v>
      </c>
      <c r="L483" s="2">
        <v>33.659999999999997</v>
      </c>
      <c r="M483" s="2">
        <v>0.89999999999999991</v>
      </c>
      <c r="N483" s="2">
        <v>32.76</v>
      </c>
      <c r="O483" s="2"/>
      <c r="P483" s="2"/>
      <c r="Q483" s="2"/>
      <c r="R483" s="38"/>
      <c r="S483" s="2"/>
      <c r="T483" s="2"/>
    </row>
    <row r="484" spans="1:20" x14ac:dyDescent="0.2">
      <c r="A484" s="49" t="str">
        <f t="shared" si="21"/>
        <v>5/5.5-6</v>
      </c>
      <c r="B484" s="19" t="s">
        <v>84</v>
      </c>
      <c r="C484" s="19" t="s">
        <v>76</v>
      </c>
      <c r="D484" s="19" t="s">
        <v>76</v>
      </c>
      <c r="E484" s="19">
        <v>5</v>
      </c>
      <c r="F484" s="19" t="s">
        <v>5</v>
      </c>
      <c r="G484" s="19"/>
      <c r="H484" s="2" t="s">
        <v>88</v>
      </c>
      <c r="I484" s="2" t="s">
        <v>812</v>
      </c>
      <c r="J484" s="38">
        <v>45914</v>
      </c>
      <c r="K484" s="2">
        <v>7</v>
      </c>
      <c r="L484" s="2">
        <v>106.8</v>
      </c>
      <c r="M484" s="2">
        <v>3.5</v>
      </c>
      <c r="N484" s="2">
        <v>103.3</v>
      </c>
      <c r="O484" s="2"/>
      <c r="P484" s="2"/>
      <c r="Q484" s="2"/>
      <c r="R484" s="38"/>
      <c r="S484" s="2"/>
      <c r="T484" s="2"/>
    </row>
    <row r="485" spans="1:20" x14ac:dyDescent="0.2">
      <c r="A485" s="49" t="str">
        <f t="shared" si="21"/>
        <v>5/5.5-6</v>
      </c>
      <c r="B485" s="19" t="s">
        <v>84</v>
      </c>
      <c r="C485" s="19" t="s">
        <v>76</v>
      </c>
      <c r="D485" s="19" t="s">
        <v>76</v>
      </c>
      <c r="E485" s="19">
        <v>5</v>
      </c>
      <c r="F485" s="19" t="s">
        <v>5</v>
      </c>
      <c r="G485" s="19"/>
      <c r="H485" s="2" t="s">
        <v>88</v>
      </c>
      <c r="I485" s="2" t="s">
        <v>812</v>
      </c>
      <c r="J485" s="38">
        <v>45914</v>
      </c>
      <c r="K485" s="2">
        <v>10</v>
      </c>
      <c r="L485" s="2">
        <v>195.74</v>
      </c>
      <c r="M485" s="2">
        <v>5</v>
      </c>
      <c r="N485" s="2">
        <v>190.74</v>
      </c>
      <c r="O485" s="2"/>
      <c r="P485" s="2"/>
      <c r="Q485" s="2"/>
      <c r="R485" s="38"/>
      <c r="S485" s="2"/>
      <c r="T485" s="2"/>
    </row>
    <row r="486" spans="1:20" x14ac:dyDescent="0.2">
      <c r="A486" s="49" t="str">
        <f t="shared" si="21"/>
        <v>8/5</v>
      </c>
      <c r="B486" s="19" t="s">
        <v>84</v>
      </c>
      <c r="C486" s="19" t="s">
        <v>76</v>
      </c>
      <c r="D486" s="19" t="s">
        <v>76</v>
      </c>
      <c r="E486" s="19">
        <v>8</v>
      </c>
      <c r="F486" s="19">
        <v>5</v>
      </c>
      <c r="G486" s="19"/>
      <c r="H486" s="2" t="s">
        <v>88</v>
      </c>
      <c r="I486" s="2" t="s">
        <v>816</v>
      </c>
      <c r="J486" s="38">
        <v>45914</v>
      </c>
      <c r="K486" s="2">
        <v>10</v>
      </c>
      <c r="L486" s="2">
        <v>350.03000000000009</v>
      </c>
      <c r="M486" s="2">
        <v>9</v>
      </c>
      <c r="N486" s="2">
        <v>341.03000000000009</v>
      </c>
      <c r="O486" s="2"/>
      <c r="P486" s="2"/>
      <c r="Q486" s="2"/>
      <c r="R486" s="38"/>
      <c r="S486" s="2"/>
      <c r="T486" s="2"/>
    </row>
    <row r="487" spans="1:20" x14ac:dyDescent="0.2">
      <c r="A487" s="49" t="str">
        <f t="shared" si="21"/>
        <v>8/5</v>
      </c>
      <c r="B487" s="19" t="s">
        <v>84</v>
      </c>
      <c r="C487" s="19" t="s">
        <v>76</v>
      </c>
      <c r="D487" s="19" t="s">
        <v>76</v>
      </c>
      <c r="E487" s="19">
        <v>8</v>
      </c>
      <c r="F487" s="19">
        <v>5</v>
      </c>
      <c r="G487" s="19"/>
      <c r="H487" s="2" t="s">
        <v>88</v>
      </c>
      <c r="I487" s="2" t="s">
        <v>816</v>
      </c>
      <c r="J487" s="38">
        <v>45914</v>
      </c>
      <c r="K487" s="2">
        <v>8</v>
      </c>
      <c r="L487" s="2">
        <v>316.07000000000005</v>
      </c>
      <c r="M487" s="2">
        <v>7.2</v>
      </c>
      <c r="N487" s="2">
        <v>308.87000000000006</v>
      </c>
      <c r="O487" s="2"/>
      <c r="P487" s="2"/>
      <c r="Q487" s="2"/>
      <c r="R487" s="38"/>
      <c r="S487" s="2"/>
      <c r="T487" s="2"/>
    </row>
    <row r="488" spans="1:20" x14ac:dyDescent="0.2">
      <c r="A488" s="49" t="str">
        <f t="shared" si="21"/>
        <v>17/5.5-6</v>
      </c>
      <c r="B488" s="19" t="s">
        <v>92</v>
      </c>
      <c r="C488" s="19" t="s">
        <v>76</v>
      </c>
      <c r="D488" s="19" t="s">
        <v>76</v>
      </c>
      <c r="E488" s="19">
        <v>17</v>
      </c>
      <c r="F488" s="19" t="s">
        <v>5</v>
      </c>
      <c r="G488" s="19"/>
      <c r="H488" s="2" t="s">
        <v>88</v>
      </c>
      <c r="I488" s="2" t="s">
        <v>492</v>
      </c>
      <c r="J488" s="38">
        <v>45914</v>
      </c>
      <c r="K488" s="2">
        <v>15</v>
      </c>
      <c r="L488" s="2">
        <v>790.8599999999999</v>
      </c>
      <c r="M488" s="2">
        <v>3.2</v>
      </c>
      <c r="N488" s="2">
        <v>787.65999999999985</v>
      </c>
      <c r="O488" s="2"/>
      <c r="P488" s="2"/>
      <c r="Q488" s="2"/>
      <c r="R488" s="38"/>
      <c r="S488" s="2"/>
      <c r="T488" s="2"/>
    </row>
    <row r="489" spans="1:20" x14ac:dyDescent="0.2">
      <c r="A489" s="49" t="str">
        <f t="shared" si="21"/>
        <v>17/5.5-6</v>
      </c>
      <c r="B489" s="19" t="s">
        <v>92</v>
      </c>
      <c r="C489" s="19" t="s">
        <v>76</v>
      </c>
      <c r="D489" s="19" t="s">
        <v>76</v>
      </c>
      <c r="E489" s="19">
        <v>17</v>
      </c>
      <c r="F489" s="19" t="s">
        <v>5</v>
      </c>
      <c r="G489" s="19"/>
      <c r="H489" s="2" t="s">
        <v>88</v>
      </c>
      <c r="I489" s="2" t="s">
        <v>492</v>
      </c>
      <c r="J489" s="38">
        <v>45914</v>
      </c>
      <c r="K489" s="2">
        <v>14</v>
      </c>
      <c r="L489" s="2">
        <v>796.69999999999993</v>
      </c>
      <c r="M489" s="2">
        <v>27.549999999999997</v>
      </c>
      <c r="N489" s="2">
        <v>769.15</v>
      </c>
      <c r="O489" s="2"/>
      <c r="P489" s="2"/>
      <c r="Q489" s="2"/>
      <c r="R489" s="38"/>
      <c r="S489" s="2"/>
      <c r="T489" s="2"/>
    </row>
    <row r="490" spans="1:20" x14ac:dyDescent="0.2">
      <c r="A490" s="49" t="str">
        <f t="shared" si="21"/>
        <v>10/5</v>
      </c>
      <c r="B490" s="19" t="s">
        <v>84</v>
      </c>
      <c r="C490" s="19" t="s">
        <v>76</v>
      </c>
      <c r="D490" s="19" t="s">
        <v>76</v>
      </c>
      <c r="E490" s="19">
        <v>10</v>
      </c>
      <c r="F490" s="19">
        <v>5</v>
      </c>
      <c r="G490" s="19"/>
      <c r="H490" s="2" t="s">
        <v>88</v>
      </c>
      <c r="I490" s="2" t="s">
        <v>709</v>
      </c>
      <c r="J490" s="38">
        <v>45914</v>
      </c>
      <c r="K490" s="2">
        <v>5</v>
      </c>
      <c r="L490" s="2">
        <v>205.47000000000003</v>
      </c>
      <c r="M490" s="2">
        <v>6.35</v>
      </c>
      <c r="N490" s="2">
        <v>199.12000000000003</v>
      </c>
      <c r="O490" s="2"/>
      <c r="P490" s="2"/>
      <c r="Q490" s="2"/>
      <c r="R490" s="38"/>
      <c r="S490" s="2"/>
      <c r="T490" s="2"/>
    </row>
    <row r="491" spans="1:20" x14ac:dyDescent="0.2">
      <c r="A491" s="49" t="str">
        <f t="shared" si="21"/>
        <v>15/6.5</v>
      </c>
      <c r="B491" s="19" t="s">
        <v>165</v>
      </c>
      <c r="C491" s="19" t="s">
        <v>76</v>
      </c>
      <c r="D491" s="19" t="s">
        <v>76</v>
      </c>
      <c r="E491" s="19">
        <v>15</v>
      </c>
      <c r="F491" s="19">
        <v>6.5</v>
      </c>
      <c r="G491" s="19"/>
      <c r="H491" s="2" t="s">
        <v>88</v>
      </c>
      <c r="I491" s="2" t="s">
        <v>817</v>
      </c>
      <c r="J491" s="38">
        <v>45914</v>
      </c>
      <c r="K491" s="2">
        <v>10</v>
      </c>
      <c r="L491" s="2">
        <v>377.18</v>
      </c>
      <c r="M491" s="2">
        <v>17</v>
      </c>
      <c r="N491" s="2">
        <v>360.18</v>
      </c>
      <c r="O491" s="2"/>
      <c r="P491" s="2"/>
      <c r="Q491" s="2"/>
      <c r="R491" s="38"/>
      <c r="S491" s="2"/>
      <c r="T491" s="2"/>
    </row>
    <row r="492" spans="1:20" x14ac:dyDescent="0.2">
      <c r="A492" s="49" t="str">
        <f t="shared" si="21"/>
        <v>15/6.5</v>
      </c>
      <c r="B492" s="19" t="s">
        <v>165</v>
      </c>
      <c r="C492" s="19" t="s">
        <v>76</v>
      </c>
      <c r="D492" s="19" t="s">
        <v>76</v>
      </c>
      <c r="E492" s="19">
        <v>15</v>
      </c>
      <c r="F492" s="19">
        <v>6.5</v>
      </c>
      <c r="G492" s="19"/>
      <c r="H492" s="2" t="s">
        <v>88</v>
      </c>
      <c r="I492" s="2" t="s">
        <v>817</v>
      </c>
      <c r="J492" s="38">
        <v>45914</v>
      </c>
      <c r="K492" s="2">
        <v>16</v>
      </c>
      <c r="L492" s="2">
        <v>603.85</v>
      </c>
      <c r="M492" s="2">
        <v>25.799999999999997</v>
      </c>
      <c r="N492" s="2">
        <v>578.05000000000007</v>
      </c>
      <c r="O492" s="2"/>
      <c r="P492" s="2"/>
      <c r="Q492" s="2"/>
      <c r="R492" s="38"/>
      <c r="S492" s="2"/>
      <c r="T492" s="2"/>
    </row>
    <row r="493" spans="1:20" x14ac:dyDescent="0.2">
      <c r="A493" s="49" t="str">
        <f t="shared" si="21"/>
        <v>14/5-5.5</v>
      </c>
      <c r="B493" s="19" t="s">
        <v>92</v>
      </c>
      <c r="C493" s="19" t="s">
        <v>76</v>
      </c>
      <c r="D493" s="19" t="s">
        <v>76</v>
      </c>
      <c r="E493" s="19">
        <v>14</v>
      </c>
      <c r="F493" s="19" t="s">
        <v>41</v>
      </c>
      <c r="G493" s="19"/>
      <c r="H493" s="2"/>
      <c r="I493" s="2"/>
      <c r="J493" s="38"/>
      <c r="K493" s="2"/>
      <c r="L493" s="2"/>
      <c r="M493" s="2"/>
      <c r="N493" s="2"/>
      <c r="O493" s="2" t="s">
        <v>289</v>
      </c>
      <c r="P493" s="2" t="s">
        <v>549</v>
      </c>
      <c r="Q493" s="2"/>
      <c r="R493" s="38">
        <v>45913</v>
      </c>
      <c r="S493" s="2">
        <v>7</v>
      </c>
      <c r="T493" s="2">
        <v>175</v>
      </c>
    </row>
    <row r="494" spans="1:20" x14ac:dyDescent="0.2">
      <c r="A494" s="49" t="str">
        <f t="shared" si="21"/>
        <v>23/5</v>
      </c>
      <c r="B494" s="19" t="s">
        <v>579</v>
      </c>
      <c r="C494" s="19" t="s">
        <v>76</v>
      </c>
      <c r="D494" s="19" t="s">
        <v>76</v>
      </c>
      <c r="E494" s="19">
        <v>23</v>
      </c>
      <c r="F494" s="19">
        <v>5</v>
      </c>
      <c r="G494" s="19"/>
      <c r="H494" s="2"/>
      <c r="I494" s="2"/>
      <c r="J494" s="38"/>
      <c r="K494" s="2"/>
      <c r="L494" s="2"/>
      <c r="M494" s="2"/>
      <c r="N494" s="2"/>
      <c r="O494" s="2" t="s">
        <v>289</v>
      </c>
      <c r="P494" s="2" t="s">
        <v>587</v>
      </c>
      <c r="Q494" s="2"/>
      <c r="R494" s="38">
        <v>45913</v>
      </c>
      <c r="S494" s="2">
        <v>8</v>
      </c>
      <c r="T494" s="2">
        <v>204.9</v>
      </c>
    </row>
    <row r="495" spans="1:20" x14ac:dyDescent="0.2">
      <c r="A495" s="49" t="str">
        <f t="shared" si="21"/>
        <v>20/8</v>
      </c>
      <c r="B495" s="19" t="s">
        <v>168</v>
      </c>
      <c r="C495" s="19" t="s">
        <v>76</v>
      </c>
      <c r="D495" s="19" t="s">
        <v>76</v>
      </c>
      <c r="E495" s="19">
        <v>20</v>
      </c>
      <c r="F495" s="19">
        <v>8</v>
      </c>
      <c r="G495" s="19"/>
      <c r="H495" s="2"/>
      <c r="I495" s="2"/>
      <c r="J495" s="38"/>
      <c r="K495" s="2"/>
      <c r="L495" s="2"/>
      <c r="M495" s="2"/>
      <c r="N495" s="2"/>
      <c r="O495" s="2" t="s">
        <v>289</v>
      </c>
      <c r="P495" s="2" t="s">
        <v>703</v>
      </c>
      <c r="Q495" s="2"/>
      <c r="R495" s="38">
        <v>45913</v>
      </c>
      <c r="S495" s="2">
        <v>6</v>
      </c>
      <c r="T495" s="2">
        <v>150</v>
      </c>
    </row>
    <row r="496" spans="1:20" x14ac:dyDescent="0.2">
      <c r="A496" s="49" t="str">
        <f t="shared" si="21"/>
        <v>12/5</v>
      </c>
      <c r="B496" s="19" t="s">
        <v>84</v>
      </c>
      <c r="C496" s="19" t="s">
        <v>76</v>
      </c>
      <c r="D496" s="19" t="s">
        <v>76</v>
      </c>
      <c r="E496" s="19" t="s">
        <v>14</v>
      </c>
      <c r="F496" s="19">
        <v>5</v>
      </c>
      <c r="G496" s="19"/>
      <c r="H496" s="2"/>
      <c r="I496" s="2"/>
      <c r="J496" s="38"/>
      <c r="K496" s="2"/>
      <c r="L496" s="2"/>
      <c r="M496" s="2"/>
      <c r="N496" s="2"/>
      <c r="O496" s="2" t="s">
        <v>289</v>
      </c>
      <c r="P496" s="2" t="s">
        <v>712</v>
      </c>
      <c r="Q496" s="2"/>
      <c r="R496" s="38">
        <v>45913</v>
      </c>
      <c r="S496" s="2">
        <v>8</v>
      </c>
      <c r="T496" s="2">
        <v>200</v>
      </c>
    </row>
    <row r="497" spans="1:20" x14ac:dyDescent="0.2">
      <c r="A497" s="49" t="str">
        <f t="shared" si="21"/>
        <v>8/5</v>
      </c>
      <c r="B497" s="19" t="s">
        <v>84</v>
      </c>
      <c r="C497" s="19" t="s">
        <v>76</v>
      </c>
      <c r="D497" s="19" t="s">
        <v>76</v>
      </c>
      <c r="E497" s="19" t="s">
        <v>18</v>
      </c>
      <c r="F497" s="19">
        <v>5</v>
      </c>
      <c r="G497" s="19"/>
      <c r="H497" s="2"/>
      <c r="I497" s="2"/>
      <c r="J497" s="38"/>
      <c r="K497" s="2"/>
      <c r="L497" s="2"/>
      <c r="M497" s="2"/>
      <c r="N497" s="2"/>
      <c r="O497" s="2" t="s">
        <v>289</v>
      </c>
      <c r="P497" s="2" t="s">
        <v>818</v>
      </c>
      <c r="Q497" s="2"/>
      <c r="R497" s="38">
        <v>45913</v>
      </c>
      <c r="S497" s="2">
        <v>4</v>
      </c>
      <c r="T497" s="2">
        <v>100</v>
      </c>
    </row>
    <row r="498" spans="1:20" x14ac:dyDescent="0.2">
      <c r="A498" s="49" t="str">
        <f t="shared" si="21"/>
        <v>11/5</v>
      </c>
      <c r="B498" s="19" t="s">
        <v>84</v>
      </c>
      <c r="C498" s="19" t="s">
        <v>76</v>
      </c>
      <c r="D498" s="19" t="s">
        <v>76</v>
      </c>
      <c r="E498" s="19" t="s">
        <v>15</v>
      </c>
      <c r="F498" s="19">
        <v>5</v>
      </c>
      <c r="G498" s="19"/>
      <c r="H498" s="2"/>
      <c r="I498" s="2"/>
      <c r="J498" s="38"/>
      <c r="K498" s="2"/>
      <c r="L498" s="2"/>
      <c r="M498" s="2"/>
      <c r="N498" s="2"/>
      <c r="O498" s="2" t="s">
        <v>289</v>
      </c>
      <c r="P498" s="2" t="s">
        <v>710</v>
      </c>
      <c r="Q498" s="2"/>
      <c r="R498" s="38">
        <v>45913</v>
      </c>
      <c r="S498" s="2">
        <v>10</v>
      </c>
      <c r="T498" s="2">
        <v>250</v>
      </c>
    </row>
    <row r="499" spans="1:20" x14ac:dyDescent="0.2">
      <c r="A499" s="49" t="str">
        <f t="shared" si="21"/>
        <v>14/5</v>
      </c>
      <c r="B499" s="19" t="s">
        <v>84</v>
      </c>
      <c r="C499" s="19" t="s">
        <v>76</v>
      </c>
      <c r="D499" s="19" t="s">
        <v>76</v>
      </c>
      <c r="E499" s="19" t="s">
        <v>12</v>
      </c>
      <c r="F499" s="19">
        <v>5</v>
      </c>
      <c r="G499" s="19"/>
      <c r="H499" s="2"/>
      <c r="I499" s="2"/>
      <c r="J499" s="38"/>
      <c r="K499" s="2"/>
      <c r="L499" s="2"/>
      <c r="M499" s="2"/>
      <c r="N499" s="2"/>
      <c r="O499" s="2" t="s">
        <v>289</v>
      </c>
      <c r="P499" s="2" t="s">
        <v>819</v>
      </c>
      <c r="Q499" s="2"/>
      <c r="R499" s="38">
        <v>45913</v>
      </c>
      <c r="S499" s="2">
        <v>4</v>
      </c>
      <c r="T499" s="2">
        <v>100</v>
      </c>
    </row>
    <row r="500" spans="1:20" x14ac:dyDescent="0.2">
      <c r="A500" s="49" t="str">
        <f t="shared" si="21"/>
        <v>4/5</v>
      </c>
      <c r="B500" s="19" t="s">
        <v>84</v>
      </c>
      <c r="C500" s="19" t="s">
        <v>76</v>
      </c>
      <c r="D500" s="19" t="s">
        <v>76</v>
      </c>
      <c r="E500" s="19" t="s">
        <v>26</v>
      </c>
      <c r="F500" s="19">
        <v>5</v>
      </c>
      <c r="G500" s="19"/>
      <c r="H500" s="2"/>
      <c r="I500" s="2"/>
      <c r="J500" s="38"/>
      <c r="K500" s="2"/>
      <c r="L500" s="2"/>
      <c r="M500" s="2"/>
      <c r="N500" s="2"/>
      <c r="O500" s="2" t="s">
        <v>289</v>
      </c>
      <c r="P500" s="2" t="s">
        <v>820</v>
      </c>
      <c r="Q500" s="2"/>
      <c r="R500" s="38">
        <v>45913</v>
      </c>
      <c r="S500" s="2">
        <v>15</v>
      </c>
      <c r="T500" s="2">
        <v>300</v>
      </c>
    </row>
    <row r="501" spans="1:20" x14ac:dyDescent="0.2">
      <c r="A501" s="49" t="str">
        <f t="shared" si="21"/>
        <v>2/5.5-6</v>
      </c>
      <c r="B501" s="19" t="s">
        <v>84</v>
      </c>
      <c r="C501" s="19" t="s">
        <v>76</v>
      </c>
      <c r="D501" s="19" t="s">
        <v>76</v>
      </c>
      <c r="E501" s="19">
        <v>2</v>
      </c>
      <c r="F501" s="19" t="s">
        <v>5</v>
      </c>
      <c r="G501" s="19"/>
      <c r="H501" s="2"/>
      <c r="I501" s="2"/>
      <c r="J501" s="38"/>
      <c r="K501" s="2"/>
      <c r="L501" s="2"/>
      <c r="M501" s="2"/>
      <c r="N501" s="2"/>
      <c r="O501" s="2" t="s">
        <v>289</v>
      </c>
      <c r="P501" s="2" t="s">
        <v>716</v>
      </c>
      <c r="Q501" s="2"/>
      <c r="R501" s="38">
        <v>45913</v>
      </c>
      <c r="S501" s="2">
        <v>5</v>
      </c>
      <c r="T501" s="2">
        <v>100</v>
      </c>
    </row>
    <row r="502" spans="1:20" x14ac:dyDescent="0.2">
      <c r="A502" s="49" t="str">
        <f t="shared" si="21"/>
        <v>20/8</v>
      </c>
      <c r="B502" s="19" t="s">
        <v>168</v>
      </c>
      <c r="C502" s="19" t="s">
        <v>76</v>
      </c>
      <c r="D502" s="19" t="s">
        <v>76</v>
      </c>
      <c r="E502" s="19">
        <v>20</v>
      </c>
      <c r="F502" s="19">
        <v>8</v>
      </c>
      <c r="G502" s="19"/>
      <c r="H502" s="2"/>
      <c r="I502" s="2"/>
      <c r="J502" s="38"/>
      <c r="K502" s="2"/>
      <c r="L502" s="2"/>
      <c r="M502" s="2"/>
      <c r="N502" s="2"/>
      <c r="O502" s="2" t="s">
        <v>289</v>
      </c>
      <c r="P502" s="2" t="s">
        <v>703</v>
      </c>
      <c r="Q502" s="2"/>
      <c r="R502" s="38">
        <v>45914</v>
      </c>
      <c r="S502" s="2">
        <v>9</v>
      </c>
      <c r="T502" s="2">
        <v>222.6</v>
      </c>
    </row>
    <row r="503" spans="1:20" x14ac:dyDescent="0.2">
      <c r="A503" s="49" t="str">
        <f t="shared" si="21"/>
        <v>22/8</v>
      </c>
      <c r="B503" s="19" t="s">
        <v>168</v>
      </c>
      <c r="C503" s="19" t="s">
        <v>76</v>
      </c>
      <c r="D503" s="19" t="s">
        <v>76</v>
      </c>
      <c r="E503" s="19">
        <v>22</v>
      </c>
      <c r="F503" s="19">
        <v>8</v>
      </c>
      <c r="G503" s="19"/>
      <c r="H503" s="2"/>
      <c r="I503" s="2"/>
      <c r="J503" s="38"/>
      <c r="K503" s="2"/>
      <c r="L503" s="2"/>
      <c r="M503" s="2"/>
      <c r="N503" s="2"/>
      <c r="O503" s="2" t="s">
        <v>289</v>
      </c>
      <c r="P503" s="2" t="s">
        <v>704</v>
      </c>
      <c r="Q503" s="2"/>
      <c r="R503" s="38">
        <v>45914</v>
      </c>
      <c r="S503" s="2">
        <v>15</v>
      </c>
      <c r="T503" s="2">
        <v>379.7</v>
      </c>
    </row>
    <row r="504" spans="1:20" x14ac:dyDescent="0.2">
      <c r="A504" s="49" t="str">
        <f t="shared" si="21"/>
        <v>11/5</v>
      </c>
      <c r="B504" s="19" t="s">
        <v>84</v>
      </c>
      <c r="C504" s="19" t="s">
        <v>76</v>
      </c>
      <c r="D504" s="19" t="s">
        <v>76</v>
      </c>
      <c r="E504" s="19" t="s">
        <v>15</v>
      </c>
      <c r="F504" s="19">
        <v>5</v>
      </c>
      <c r="G504" s="19"/>
      <c r="H504" s="2"/>
      <c r="I504" s="2"/>
      <c r="J504" s="38"/>
      <c r="K504" s="2"/>
      <c r="L504" s="2"/>
      <c r="M504" s="2"/>
      <c r="N504" s="2"/>
      <c r="O504" s="2" t="s">
        <v>289</v>
      </c>
      <c r="P504" s="2" t="s">
        <v>710</v>
      </c>
      <c r="Q504" s="2"/>
      <c r="R504" s="38">
        <v>45914</v>
      </c>
      <c r="S504" s="2">
        <v>5</v>
      </c>
      <c r="T504" s="2">
        <v>125</v>
      </c>
    </row>
    <row r="505" spans="1:20" x14ac:dyDescent="0.2">
      <c r="A505" s="49" t="str">
        <f t="shared" si="21"/>
        <v>12/5</v>
      </c>
      <c r="B505" s="19" t="s">
        <v>84</v>
      </c>
      <c r="C505" s="19" t="s">
        <v>76</v>
      </c>
      <c r="D505" s="19" t="s">
        <v>76</v>
      </c>
      <c r="E505" s="19" t="s">
        <v>14</v>
      </c>
      <c r="F505" s="19">
        <v>5</v>
      </c>
      <c r="G505" s="19"/>
      <c r="H505" s="2"/>
      <c r="I505" s="2"/>
      <c r="J505" s="38"/>
      <c r="K505" s="2"/>
      <c r="L505" s="2"/>
      <c r="M505" s="2"/>
      <c r="N505" s="2"/>
      <c r="O505" s="2" t="s">
        <v>289</v>
      </c>
      <c r="P505" s="2" t="s">
        <v>821</v>
      </c>
      <c r="Q505" s="2"/>
      <c r="R505" s="38">
        <v>45914</v>
      </c>
      <c r="S505" s="2">
        <v>11</v>
      </c>
      <c r="T505" s="2">
        <v>275</v>
      </c>
    </row>
    <row r="506" spans="1:20" x14ac:dyDescent="0.2">
      <c r="A506" s="49" t="str">
        <f t="shared" si="21"/>
        <v>4/5</v>
      </c>
      <c r="B506" s="19" t="s">
        <v>84</v>
      </c>
      <c r="C506" s="19" t="s">
        <v>76</v>
      </c>
      <c r="D506" s="19" t="s">
        <v>76</v>
      </c>
      <c r="E506" s="19" t="s">
        <v>26</v>
      </c>
      <c r="F506" s="19">
        <v>5</v>
      </c>
      <c r="G506" s="19"/>
      <c r="H506" s="2"/>
      <c r="I506" s="2"/>
      <c r="J506" s="38"/>
      <c r="K506" s="2"/>
      <c r="L506" s="2"/>
      <c r="M506" s="2"/>
      <c r="N506" s="2"/>
      <c r="O506" s="2" t="s">
        <v>289</v>
      </c>
      <c r="P506" s="2" t="s">
        <v>820</v>
      </c>
      <c r="Q506" s="2"/>
      <c r="R506" s="38">
        <v>45914</v>
      </c>
      <c r="S506" s="2">
        <v>3</v>
      </c>
      <c r="T506" s="2">
        <v>60</v>
      </c>
    </row>
    <row r="507" spans="1:20" x14ac:dyDescent="0.2">
      <c r="A507" s="49" t="str">
        <f t="shared" si="21"/>
        <v>4/5</v>
      </c>
      <c r="B507" s="19" t="s">
        <v>84</v>
      </c>
      <c r="C507" s="19" t="s">
        <v>76</v>
      </c>
      <c r="D507" s="19" t="s">
        <v>76</v>
      </c>
      <c r="E507" s="19" t="s">
        <v>26</v>
      </c>
      <c r="F507" s="19">
        <v>5</v>
      </c>
      <c r="G507" s="19"/>
      <c r="H507" s="2"/>
      <c r="I507" s="2"/>
      <c r="J507" s="38"/>
      <c r="K507" s="2"/>
      <c r="L507" s="2"/>
      <c r="M507" s="2"/>
      <c r="N507" s="2"/>
      <c r="O507" s="2" t="s">
        <v>289</v>
      </c>
      <c r="P507" s="2" t="s">
        <v>715</v>
      </c>
      <c r="Q507" s="2"/>
      <c r="R507" s="38">
        <v>45914</v>
      </c>
      <c r="S507" s="2">
        <v>1</v>
      </c>
      <c r="T507" s="2">
        <v>20</v>
      </c>
    </row>
    <row r="508" spans="1:20" x14ac:dyDescent="0.2">
      <c r="A508" s="49" t="str">
        <f t="shared" si="21"/>
        <v>5/5</v>
      </c>
      <c r="B508" s="19" t="s">
        <v>84</v>
      </c>
      <c r="C508" s="19" t="s">
        <v>76</v>
      </c>
      <c r="D508" s="19" t="s">
        <v>76</v>
      </c>
      <c r="E508" s="19" t="s">
        <v>40</v>
      </c>
      <c r="F508" s="19">
        <v>5</v>
      </c>
      <c r="G508" s="19"/>
      <c r="H508" s="2"/>
      <c r="I508" s="2"/>
      <c r="J508" s="38"/>
      <c r="K508" s="2"/>
      <c r="L508" s="2"/>
      <c r="M508" s="2"/>
      <c r="N508" s="2"/>
      <c r="O508" s="2" t="s">
        <v>289</v>
      </c>
      <c r="P508" s="2" t="s">
        <v>822</v>
      </c>
      <c r="Q508" s="2"/>
      <c r="R508" s="38">
        <v>45914</v>
      </c>
      <c r="S508" s="2">
        <v>10</v>
      </c>
      <c r="T508" s="2">
        <v>250</v>
      </c>
    </row>
    <row r="509" spans="1:20" x14ac:dyDescent="0.2">
      <c r="A509" s="49" t="str">
        <f t="shared" si="21"/>
        <v>17/5.5-6</v>
      </c>
      <c r="B509" s="19" t="s">
        <v>92</v>
      </c>
      <c r="C509" s="19" t="s">
        <v>76</v>
      </c>
      <c r="D509" s="19" t="s">
        <v>76</v>
      </c>
      <c r="E509" s="19">
        <v>17</v>
      </c>
      <c r="F509" s="19" t="s">
        <v>5</v>
      </c>
      <c r="G509" s="19"/>
      <c r="H509" s="2"/>
      <c r="I509" s="2"/>
      <c r="J509" s="38"/>
      <c r="K509" s="2"/>
      <c r="L509" s="2"/>
      <c r="M509" s="2"/>
      <c r="N509" s="2"/>
      <c r="O509" s="2" t="s">
        <v>94</v>
      </c>
      <c r="P509" s="2" t="s">
        <v>310</v>
      </c>
      <c r="Q509" s="2"/>
      <c r="R509" s="38">
        <v>45913</v>
      </c>
      <c r="S509" s="2">
        <v>13</v>
      </c>
      <c r="T509" s="2">
        <v>325</v>
      </c>
    </row>
    <row r="510" spans="1:20" x14ac:dyDescent="0.2">
      <c r="A510" s="49" t="str">
        <f t="shared" si="21"/>
        <v>17/5.5-6</v>
      </c>
      <c r="B510" s="19" t="s">
        <v>166</v>
      </c>
      <c r="C510" s="19" t="s">
        <v>76</v>
      </c>
      <c r="D510" s="19" t="s">
        <v>76</v>
      </c>
      <c r="E510" s="19">
        <v>17</v>
      </c>
      <c r="F510" s="19" t="s">
        <v>5</v>
      </c>
      <c r="G510" s="19"/>
      <c r="H510" s="2"/>
      <c r="I510" s="2"/>
      <c r="J510" s="38"/>
      <c r="K510" s="2"/>
      <c r="L510" s="2"/>
      <c r="M510" s="2"/>
      <c r="N510" s="2"/>
      <c r="O510" s="2" t="s">
        <v>94</v>
      </c>
      <c r="P510" s="2" t="s">
        <v>310</v>
      </c>
      <c r="Q510" s="2"/>
      <c r="R510" s="38">
        <v>45913</v>
      </c>
      <c r="S510" s="2">
        <v>3</v>
      </c>
      <c r="T510" s="2">
        <v>75</v>
      </c>
    </row>
    <row r="511" spans="1:20" x14ac:dyDescent="0.2">
      <c r="A511" s="49" t="str">
        <f t="shared" si="21"/>
        <v>15/7</v>
      </c>
      <c r="B511" s="19" t="s">
        <v>92</v>
      </c>
      <c r="C511" s="19" t="s">
        <v>76</v>
      </c>
      <c r="D511" s="19" t="s">
        <v>76</v>
      </c>
      <c r="E511" s="19">
        <v>15</v>
      </c>
      <c r="F511" s="19">
        <v>7</v>
      </c>
      <c r="G511" s="19"/>
      <c r="H511" s="2"/>
      <c r="I511" s="2"/>
      <c r="J511" s="38"/>
      <c r="K511" s="2"/>
      <c r="L511" s="2"/>
      <c r="M511" s="2"/>
      <c r="N511" s="2"/>
      <c r="O511" s="2" t="s">
        <v>94</v>
      </c>
      <c r="P511" s="2" t="s">
        <v>708</v>
      </c>
      <c r="Q511" s="2"/>
      <c r="R511" s="38">
        <v>45913</v>
      </c>
      <c r="S511" s="2">
        <v>6</v>
      </c>
      <c r="T511" s="2">
        <v>150</v>
      </c>
    </row>
    <row r="512" spans="1:20" x14ac:dyDescent="0.2">
      <c r="A512" s="49" t="str">
        <f t="shared" si="21"/>
        <v>17/5.5-6</v>
      </c>
      <c r="B512" s="19" t="s">
        <v>166</v>
      </c>
      <c r="C512" s="19" t="s">
        <v>76</v>
      </c>
      <c r="D512" s="19" t="s">
        <v>76</v>
      </c>
      <c r="E512" s="19">
        <v>17</v>
      </c>
      <c r="F512" s="19" t="s">
        <v>5</v>
      </c>
      <c r="G512" s="19"/>
      <c r="H512" s="2"/>
      <c r="I512" s="2"/>
      <c r="J512" s="38"/>
      <c r="K512" s="2"/>
      <c r="L512" s="2"/>
      <c r="M512" s="2"/>
      <c r="N512" s="2"/>
      <c r="O512" s="2" t="s">
        <v>94</v>
      </c>
      <c r="P512" s="2" t="s">
        <v>310</v>
      </c>
      <c r="Q512" s="2"/>
      <c r="R512" s="38">
        <v>45913</v>
      </c>
      <c r="S512" s="2">
        <v>12</v>
      </c>
      <c r="T512" s="2">
        <v>300</v>
      </c>
    </row>
    <row r="513" spans="1:20" x14ac:dyDescent="0.2">
      <c r="A513" s="49" t="str">
        <f t="shared" si="21"/>
        <v>15/7</v>
      </c>
      <c r="B513" s="19" t="s">
        <v>166</v>
      </c>
      <c r="C513" s="19" t="s">
        <v>76</v>
      </c>
      <c r="D513" s="19" t="s">
        <v>76</v>
      </c>
      <c r="E513" s="19">
        <v>15</v>
      </c>
      <c r="F513" s="19">
        <v>7</v>
      </c>
      <c r="G513" s="19"/>
      <c r="H513" s="2"/>
      <c r="I513" s="2"/>
      <c r="J513" s="38"/>
      <c r="K513" s="2"/>
      <c r="L513" s="2"/>
      <c r="M513" s="2"/>
      <c r="N513" s="2"/>
      <c r="O513" s="2" t="s">
        <v>94</v>
      </c>
      <c r="P513" s="2" t="s">
        <v>708</v>
      </c>
      <c r="Q513" s="2"/>
      <c r="R513" s="38">
        <v>45913</v>
      </c>
      <c r="S513" s="2">
        <v>2</v>
      </c>
      <c r="T513" s="2">
        <v>50</v>
      </c>
    </row>
    <row r="514" spans="1:20" x14ac:dyDescent="0.2">
      <c r="A514" s="49" t="str">
        <f t="shared" si="21"/>
        <v>15/7</v>
      </c>
      <c r="B514" s="19" t="s">
        <v>92</v>
      </c>
      <c r="C514" s="19" t="s">
        <v>76</v>
      </c>
      <c r="D514" s="19" t="s">
        <v>76</v>
      </c>
      <c r="E514" s="19">
        <v>15</v>
      </c>
      <c r="F514" s="19">
        <v>7</v>
      </c>
      <c r="G514" s="19"/>
      <c r="H514" s="2"/>
      <c r="I514" s="2"/>
      <c r="J514" s="38"/>
      <c r="K514" s="2"/>
      <c r="L514" s="2"/>
      <c r="M514" s="2"/>
      <c r="N514" s="2"/>
      <c r="O514" s="2" t="s">
        <v>94</v>
      </c>
      <c r="P514" s="2" t="s">
        <v>706</v>
      </c>
      <c r="Q514" s="2"/>
      <c r="R514" s="38">
        <v>45913</v>
      </c>
      <c r="S514" s="2">
        <v>8</v>
      </c>
      <c r="T514" s="2">
        <v>198.5</v>
      </c>
    </row>
    <row r="515" spans="1:20" x14ac:dyDescent="0.2">
      <c r="A515" s="49" t="str">
        <f t="shared" si="21"/>
        <v>17/5.5-6</v>
      </c>
      <c r="B515" s="19" t="s">
        <v>166</v>
      </c>
      <c r="C515" s="19" t="s">
        <v>76</v>
      </c>
      <c r="D515" s="19" t="s">
        <v>76</v>
      </c>
      <c r="E515" s="19">
        <v>17</v>
      </c>
      <c r="F515" s="19" t="s">
        <v>5</v>
      </c>
      <c r="G515" s="19"/>
      <c r="H515" s="2"/>
      <c r="I515" s="2"/>
      <c r="J515" s="38"/>
      <c r="K515" s="2"/>
      <c r="L515" s="2"/>
      <c r="M515" s="2"/>
      <c r="N515" s="2"/>
      <c r="O515" s="2" t="s">
        <v>94</v>
      </c>
      <c r="P515" s="2" t="s">
        <v>492</v>
      </c>
      <c r="Q515" s="2"/>
      <c r="R515" s="38">
        <v>45914</v>
      </c>
      <c r="S515" s="2">
        <v>14</v>
      </c>
      <c r="T515" s="2">
        <v>350</v>
      </c>
    </row>
    <row r="516" spans="1:20" x14ac:dyDescent="0.2">
      <c r="A516" s="49" t="str">
        <f t="shared" si="21"/>
        <v>17/7</v>
      </c>
      <c r="B516" s="19" t="s">
        <v>92</v>
      </c>
      <c r="C516" s="19" t="s">
        <v>76</v>
      </c>
      <c r="D516" s="19" t="s">
        <v>76</v>
      </c>
      <c r="E516" s="19">
        <v>17</v>
      </c>
      <c r="F516" s="19">
        <v>7</v>
      </c>
      <c r="G516" s="19"/>
      <c r="H516" s="2"/>
      <c r="I516" s="2"/>
      <c r="J516" s="38"/>
      <c r="K516" s="2"/>
      <c r="L516" s="2"/>
      <c r="M516" s="2"/>
      <c r="N516" s="2"/>
      <c r="O516" s="2" t="s">
        <v>94</v>
      </c>
      <c r="P516" s="2" t="s">
        <v>823</v>
      </c>
      <c r="Q516" s="2"/>
      <c r="R516" s="38">
        <v>45914</v>
      </c>
      <c r="S516" s="2">
        <v>8</v>
      </c>
      <c r="T516" s="2">
        <v>200</v>
      </c>
    </row>
    <row r="517" spans="1:20" x14ac:dyDescent="0.2">
      <c r="A517" s="49" t="str">
        <f t="shared" ref="A517" si="22">CONCATENATE(E517,"/",F517)</f>
        <v>17/5.5-6</v>
      </c>
      <c r="B517" s="19" t="s">
        <v>92</v>
      </c>
      <c r="C517" s="19" t="s">
        <v>76</v>
      </c>
      <c r="D517" s="19" t="s">
        <v>76</v>
      </c>
      <c r="E517" s="19">
        <v>17</v>
      </c>
      <c r="F517" s="19" t="s">
        <v>5</v>
      </c>
      <c r="G517" s="19"/>
      <c r="H517" s="2"/>
      <c r="I517" s="2"/>
      <c r="J517" s="38"/>
      <c r="K517" s="2"/>
      <c r="L517" s="2"/>
      <c r="M517" s="2"/>
      <c r="N517" s="2"/>
      <c r="O517" s="2" t="s">
        <v>94</v>
      </c>
      <c r="P517" s="2" t="s">
        <v>492</v>
      </c>
      <c r="Q517" s="2"/>
      <c r="R517" s="38">
        <v>45914</v>
      </c>
      <c r="S517" s="2">
        <v>2</v>
      </c>
      <c r="T517" s="2">
        <v>50</v>
      </c>
    </row>
    <row r="518" spans="1:20" x14ac:dyDescent="0.2">
      <c r="A518" s="49" t="str">
        <f t="shared" ref="A518:A581" si="23">CONCATENATE(E518,"/",F518)</f>
        <v>17/5.5-6</v>
      </c>
      <c r="B518" s="19" t="s">
        <v>92</v>
      </c>
      <c r="C518" s="19" t="s">
        <v>76</v>
      </c>
      <c r="D518" s="19" t="s">
        <v>76</v>
      </c>
      <c r="E518" s="19">
        <v>17</v>
      </c>
      <c r="F518" s="19" t="s">
        <v>5</v>
      </c>
      <c r="G518" s="19"/>
      <c r="H518" s="2"/>
      <c r="I518" s="2"/>
      <c r="J518" s="38"/>
      <c r="K518" s="2"/>
      <c r="L518" s="2"/>
      <c r="M518" s="2"/>
      <c r="N518" s="2"/>
      <c r="O518" s="2" t="s">
        <v>94</v>
      </c>
      <c r="P518" s="2" t="s">
        <v>492</v>
      </c>
      <c r="Q518" s="2"/>
      <c r="R518" s="38">
        <v>45914</v>
      </c>
      <c r="S518" s="2">
        <v>15</v>
      </c>
      <c r="T518" s="2">
        <v>375</v>
      </c>
    </row>
    <row r="519" spans="1:20" x14ac:dyDescent="0.2">
      <c r="A519" s="49" t="str">
        <f t="shared" si="23"/>
        <v>18/5-5.5</v>
      </c>
      <c r="B519" s="19" t="s">
        <v>257</v>
      </c>
      <c r="C519" s="19" t="s">
        <v>76</v>
      </c>
      <c r="D519" s="19" t="s">
        <v>257</v>
      </c>
      <c r="E519" s="19">
        <v>18</v>
      </c>
      <c r="F519" s="2" t="s">
        <v>41</v>
      </c>
      <c r="G519" s="2"/>
      <c r="H519" s="2"/>
      <c r="I519" s="2"/>
      <c r="J519" s="38"/>
      <c r="K519" s="2"/>
      <c r="L519" s="2"/>
      <c r="M519" s="2"/>
      <c r="N519" s="2"/>
      <c r="O519" s="2" t="s">
        <v>186</v>
      </c>
      <c r="P519" s="19" t="s">
        <v>597</v>
      </c>
      <c r="Q519" s="2"/>
      <c r="R519" s="38">
        <v>45913</v>
      </c>
      <c r="S519" s="2" t="s">
        <v>39</v>
      </c>
      <c r="T519" s="2">
        <v>1087.19</v>
      </c>
    </row>
    <row r="520" spans="1:20" x14ac:dyDescent="0.2">
      <c r="A520" s="49" t="str">
        <f t="shared" si="23"/>
        <v>2.5/5.5-6</v>
      </c>
      <c r="B520" s="19" t="s">
        <v>84</v>
      </c>
      <c r="C520" s="19" t="s">
        <v>76</v>
      </c>
      <c r="D520" s="19" t="s">
        <v>76</v>
      </c>
      <c r="E520" s="19">
        <v>2.5</v>
      </c>
      <c r="F520" s="19" t="s">
        <v>5</v>
      </c>
      <c r="G520" s="2"/>
      <c r="H520" s="2" t="s">
        <v>88</v>
      </c>
      <c r="I520" s="2" t="s">
        <v>811</v>
      </c>
      <c r="J520" s="38">
        <v>45915</v>
      </c>
      <c r="K520" s="2">
        <v>6</v>
      </c>
      <c r="L520" s="2">
        <v>90.960000000000008</v>
      </c>
      <c r="M520" s="2">
        <v>1.2000000000000002</v>
      </c>
      <c r="N520" s="2">
        <f>+L520-M520</f>
        <v>89.76</v>
      </c>
      <c r="O520" s="2"/>
      <c r="P520" s="2"/>
      <c r="Q520" s="2"/>
      <c r="R520" s="38"/>
      <c r="S520" s="2"/>
      <c r="T520" s="2"/>
    </row>
    <row r="521" spans="1:20" x14ac:dyDescent="0.2">
      <c r="A521" s="49" t="str">
        <f t="shared" si="23"/>
        <v>2.5/5.5-6</v>
      </c>
      <c r="B521" s="19" t="s">
        <v>84</v>
      </c>
      <c r="C521" s="19" t="s">
        <v>76</v>
      </c>
      <c r="D521" s="19" t="s">
        <v>76</v>
      </c>
      <c r="E521" s="19">
        <v>2.5</v>
      </c>
      <c r="F521" s="19" t="s">
        <v>5</v>
      </c>
      <c r="G521" s="2"/>
      <c r="H521" s="2" t="s">
        <v>88</v>
      </c>
      <c r="I521" s="2" t="s">
        <v>811</v>
      </c>
      <c r="J521" s="38">
        <v>45915</v>
      </c>
      <c r="K521" s="2">
        <v>5</v>
      </c>
      <c r="L521" s="2">
        <v>91.65</v>
      </c>
      <c r="M521" s="2">
        <v>1</v>
      </c>
      <c r="N521" s="2">
        <f t="shared" ref="N521:N578" si="24">+L521-M521</f>
        <v>90.65</v>
      </c>
      <c r="O521" s="2"/>
      <c r="P521" s="2"/>
      <c r="Q521" s="2"/>
      <c r="R521" s="38"/>
      <c r="S521" s="2"/>
      <c r="T521" s="2"/>
    </row>
    <row r="522" spans="1:20" x14ac:dyDescent="0.2">
      <c r="A522" s="49" t="str">
        <f t="shared" si="23"/>
        <v>5/5.5-6</v>
      </c>
      <c r="B522" s="19" t="s">
        <v>84</v>
      </c>
      <c r="C522" s="19" t="s">
        <v>76</v>
      </c>
      <c r="D522" s="19" t="s">
        <v>76</v>
      </c>
      <c r="E522" s="19">
        <v>5</v>
      </c>
      <c r="F522" s="19" t="s">
        <v>5</v>
      </c>
      <c r="G522" s="2"/>
      <c r="H522" s="2" t="s">
        <v>88</v>
      </c>
      <c r="I522" s="2" t="s">
        <v>812</v>
      </c>
      <c r="J522" s="38">
        <v>45915</v>
      </c>
      <c r="K522" s="2">
        <v>10</v>
      </c>
      <c r="L522" s="2">
        <v>169.62999999999997</v>
      </c>
      <c r="M522" s="2">
        <v>5</v>
      </c>
      <c r="N522" s="2">
        <f t="shared" si="24"/>
        <v>164.62999999999997</v>
      </c>
      <c r="O522" s="2"/>
      <c r="P522" s="2"/>
      <c r="Q522" s="2"/>
      <c r="R522" s="38"/>
      <c r="S522" s="2"/>
      <c r="T522" s="2"/>
    </row>
    <row r="523" spans="1:20" x14ac:dyDescent="0.2">
      <c r="A523" s="49" t="str">
        <f t="shared" si="23"/>
        <v>5/5.5-6</v>
      </c>
      <c r="B523" s="19" t="s">
        <v>84</v>
      </c>
      <c r="C523" s="19" t="s">
        <v>76</v>
      </c>
      <c r="D523" s="19" t="s">
        <v>76</v>
      </c>
      <c r="E523" s="19">
        <v>5</v>
      </c>
      <c r="F523" s="19" t="s">
        <v>5</v>
      </c>
      <c r="G523" s="2"/>
      <c r="H523" s="2" t="s">
        <v>88</v>
      </c>
      <c r="I523" s="2" t="s">
        <v>812</v>
      </c>
      <c r="J523" s="38">
        <v>45915</v>
      </c>
      <c r="K523" s="2">
        <v>6</v>
      </c>
      <c r="L523" s="2">
        <v>121.73</v>
      </c>
      <c r="M523" s="2">
        <v>3</v>
      </c>
      <c r="N523" s="2">
        <f t="shared" si="24"/>
        <v>118.73</v>
      </c>
      <c r="O523" s="2"/>
      <c r="P523" s="2"/>
      <c r="Q523" s="2"/>
      <c r="R523" s="38"/>
      <c r="S523" s="2"/>
      <c r="T523" s="2"/>
    </row>
    <row r="524" spans="1:20" x14ac:dyDescent="0.2">
      <c r="A524" s="49" t="str">
        <f t="shared" si="23"/>
        <v>5.5/10</v>
      </c>
      <c r="B524" s="19" t="s">
        <v>603</v>
      </c>
      <c r="C524" s="19" t="s">
        <v>76</v>
      </c>
      <c r="D524" s="19" t="s">
        <v>76</v>
      </c>
      <c r="E524" s="19">
        <v>5.5</v>
      </c>
      <c r="F524" s="19">
        <v>10</v>
      </c>
      <c r="G524" s="2"/>
      <c r="H524" s="2" t="s">
        <v>88</v>
      </c>
      <c r="I524" s="2" t="s">
        <v>828</v>
      </c>
      <c r="J524" s="38">
        <v>45915</v>
      </c>
      <c r="K524" s="2">
        <v>4</v>
      </c>
      <c r="L524" s="2">
        <v>67.91</v>
      </c>
      <c r="M524" s="2">
        <v>2</v>
      </c>
      <c r="N524" s="2">
        <f t="shared" si="24"/>
        <v>65.91</v>
      </c>
      <c r="O524" s="2"/>
      <c r="P524" s="2"/>
      <c r="Q524" s="2"/>
      <c r="R524" s="38"/>
      <c r="S524" s="2"/>
      <c r="T524" s="2"/>
    </row>
    <row r="525" spans="1:20" x14ac:dyDescent="0.2">
      <c r="A525" s="49" t="str">
        <f t="shared" si="23"/>
        <v>8/5</v>
      </c>
      <c r="B525" s="19" t="s">
        <v>84</v>
      </c>
      <c r="C525" s="19" t="s">
        <v>76</v>
      </c>
      <c r="D525" s="19" t="s">
        <v>76</v>
      </c>
      <c r="E525" s="19">
        <v>8</v>
      </c>
      <c r="F525" s="19">
        <v>5</v>
      </c>
      <c r="G525" s="2"/>
      <c r="H525" s="2" t="s">
        <v>88</v>
      </c>
      <c r="I525" s="2" t="s">
        <v>816</v>
      </c>
      <c r="J525" s="38">
        <v>45915</v>
      </c>
      <c r="K525" s="2">
        <v>9</v>
      </c>
      <c r="L525" s="2">
        <v>323.01000000000005</v>
      </c>
      <c r="M525" s="2">
        <v>7.2</v>
      </c>
      <c r="N525" s="2">
        <f t="shared" si="24"/>
        <v>315.81000000000006</v>
      </c>
      <c r="O525" s="2"/>
      <c r="P525" s="2"/>
      <c r="Q525" s="2"/>
      <c r="R525" s="38"/>
      <c r="S525" s="2"/>
      <c r="T525" s="2"/>
    </row>
    <row r="526" spans="1:20" x14ac:dyDescent="0.2">
      <c r="A526" s="49" t="str">
        <f t="shared" si="23"/>
        <v>8/5</v>
      </c>
      <c r="B526" s="19" t="s">
        <v>84</v>
      </c>
      <c r="C526" s="19" t="s">
        <v>76</v>
      </c>
      <c r="D526" s="19" t="s">
        <v>76</v>
      </c>
      <c r="E526" s="19">
        <v>8</v>
      </c>
      <c r="F526" s="19">
        <v>5</v>
      </c>
      <c r="G526" s="2"/>
      <c r="H526" s="2" t="s">
        <v>88</v>
      </c>
      <c r="I526" s="2" t="s">
        <v>816</v>
      </c>
      <c r="J526" s="38">
        <v>45915</v>
      </c>
      <c r="K526" s="2">
        <v>4</v>
      </c>
      <c r="L526" s="2">
        <v>167.74</v>
      </c>
      <c r="M526" s="2">
        <v>3.6</v>
      </c>
      <c r="N526" s="2">
        <f t="shared" si="24"/>
        <v>164.14000000000001</v>
      </c>
      <c r="O526" s="2"/>
      <c r="P526" s="2"/>
      <c r="Q526" s="2"/>
      <c r="R526" s="38"/>
      <c r="S526" s="2"/>
      <c r="T526" s="2"/>
    </row>
    <row r="527" spans="1:20" x14ac:dyDescent="0.2">
      <c r="A527" s="49" t="str">
        <f t="shared" si="23"/>
        <v>8/10</v>
      </c>
      <c r="B527" s="19" t="s">
        <v>824</v>
      </c>
      <c r="C527" s="19" t="s">
        <v>76</v>
      </c>
      <c r="D527" s="19" t="s">
        <v>76</v>
      </c>
      <c r="E527" s="19">
        <v>8</v>
      </c>
      <c r="F527" s="19">
        <v>10</v>
      </c>
      <c r="G527" s="2"/>
      <c r="H527" s="2" t="s">
        <v>88</v>
      </c>
      <c r="I527" s="2" t="s">
        <v>829</v>
      </c>
      <c r="J527" s="38">
        <v>45915</v>
      </c>
      <c r="K527" s="2">
        <v>4</v>
      </c>
      <c r="L527" s="2">
        <v>110.92</v>
      </c>
      <c r="M527" s="2">
        <v>3.2</v>
      </c>
      <c r="N527" s="2">
        <f t="shared" si="24"/>
        <v>107.72</v>
      </c>
      <c r="O527" s="2"/>
      <c r="P527" s="2"/>
      <c r="Q527" s="2"/>
      <c r="R527" s="38"/>
      <c r="S527" s="2"/>
      <c r="T527" s="2"/>
    </row>
    <row r="528" spans="1:20" x14ac:dyDescent="0.2">
      <c r="A528" s="49" t="str">
        <f t="shared" si="23"/>
        <v>7/5</v>
      </c>
      <c r="B528" s="19" t="s">
        <v>84</v>
      </c>
      <c r="C528" s="19" t="s">
        <v>76</v>
      </c>
      <c r="D528" s="19" t="s">
        <v>76</v>
      </c>
      <c r="E528" s="19">
        <v>7</v>
      </c>
      <c r="F528" s="19">
        <v>5</v>
      </c>
      <c r="G528" s="2"/>
      <c r="H528" s="2" t="s">
        <v>88</v>
      </c>
      <c r="I528" s="2" t="s">
        <v>105</v>
      </c>
      <c r="J528" s="38">
        <v>45915</v>
      </c>
      <c r="K528" s="2">
        <v>1</v>
      </c>
      <c r="L528" s="2">
        <v>32.85</v>
      </c>
      <c r="M528" s="2">
        <v>0.7</v>
      </c>
      <c r="N528" s="2">
        <f t="shared" si="24"/>
        <v>32.15</v>
      </c>
      <c r="O528" s="2"/>
      <c r="P528" s="2"/>
      <c r="Q528" s="2"/>
      <c r="R528" s="38"/>
      <c r="S528" s="2"/>
      <c r="T528" s="2"/>
    </row>
    <row r="529" spans="1:20" x14ac:dyDescent="0.2">
      <c r="A529" s="49" t="str">
        <f t="shared" si="23"/>
        <v>17/5.5-6</v>
      </c>
      <c r="B529" s="19" t="s">
        <v>92</v>
      </c>
      <c r="C529" s="19" t="s">
        <v>76</v>
      </c>
      <c r="D529" s="19" t="s">
        <v>76</v>
      </c>
      <c r="E529" s="19">
        <v>17</v>
      </c>
      <c r="F529" s="19" t="s">
        <v>5</v>
      </c>
      <c r="G529" s="2"/>
      <c r="H529" s="2" t="s">
        <v>88</v>
      </c>
      <c r="I529" s="2" t="s">
        <v>492</v>
      </c>
      <c r="J529" s="38">
        <v>45915</v>
      </c>
      <c r="K529" s="2">
        <v>5</v>
      </c>
      <c r="L529" s="2">
        <v>268.68</v>
      </c>
      <c r="M529" s="2">
        <v>10</v>
      </c>
      <c r="N529" s="2">
        <f t="shared" si="24"/>
        <v>258.68</v>
      </c>
      <c r="O529" s="2"/>
      <c r="P529" s="2"/>
      <c r="Q529" s="2"/>
      <c r="R529" s="38"/>
      <c r="S529" s="2"/>
      <c r="T529" s="2"/>
    </row>
    <row r="530" spans="1:20" x14ac:dyDescent="0.2">
      <c r="A530" s="49" t="str">
        <f t="shared" si="23"/>
        <v>19/7</v>
      </c>
      <c r="B530" s="19" t="s">
        <v>166</v>
      </c>
      <c r="C530" s="19" t="s">
        <v>76</v>
      </c>
      <c r="D530" s="19" t="s">
        <v>76</v>
      </c>
      <c r="E530" s="19">
        <v>19</v>
      </c>
      <c r="F530" s="19">
        <v>7</v>
      </c>
      <c r="G530" s="2"/>
      <c r="H530" s="2" t="s">
        <v>88</v>
      </c>
      <c r="I530" s="2" t="s">
        <v>830</v>
      </c>
      <c r="J530" s="38">
        <v>45915</v>
      </c>
      <c r="K530" s="2">
        <v>5</v>
      </c>
      <c r="L530" s="2">
        <v>202.23000000000002</v>
      </c>
      <c r="M530" s="2">
        <v>10.5</v>
      </c>
      <c r="N530" s="2">
        <f t="shared" si="24"/>
        <v>191.73000000000002</v>
      </c>
      <c r="O530" s="2"/>
      <c r="P530" s="2"/>
      <c r="Q530" s="2"/>
      <c r="R530" s="38"/>
      <c r="S530" s="2"/>
      <c r="T530" s="2"/>
    </row>
    <row r="531" spans="1:20" x14ac:dyDescent="0.2">
      <c r="A531" s="49" t="str">
        <f t="shared" si="23"/>
        <v>19/6-6.5</v>
      </c>
      <c r="B531" s="19" t="s">
        <v>825</v>
      </c>
      <c r="C531" s="19" t="s">
        <v>76</v>
      </c>
      <c r="D531" s="19" t="s">
        <v>76</v>
      </c>
      <c r="E531" s="19">
        <v>19</v>
      </c>
      <c r="F531" s="19" t="s">
        <v>578</v>
      </c>
      <c r="G531" s="2"/>
      <c r="H531" s="2" t="s">
        <v>88</v>
      </c>
      <c r="I531" s="2" t="s">
        <v>831</v>
      </c>
      <c r="J531" s="38">
        <v>45915</v>
      </c>
      <c r="K531" s="2">
        <v>3</v>
      </c>
      <c r="L531" s="2">
        <v>99.6</v>
      </c>
      <c r="M531" s="2">
        <v>6.3000000000000007</v>
      </c>
      <c r="N531" s="2">
        <f t="shared" si="24"/>
        <v>93.3</v>
      </c>
      <c r="O531" s="2"/>
      <c r="P531" s="2"/>
      <c r="Q531" s="2"/>
      <c r="R531" s="38"/>
      <c r="S531" s="2"/>
      <c r="T531" s="2"/>
    </row>
    <row r="532" spans="1:20" x14ac:dyDescent="0.2">
      <c r="A532" s="49" t="str">
        <f t="shared" si="23"/>
        <v>17/8.5-9</v>
      </c>
      <c r="B532" s="19" t="s">
        <v>506</v>
      </c>
      <c r="C532" s="19" t="s">
        <v>76</v>
      </c>
      <c r="D532" s="19" t="s">
        <v>76</v>
      </c>
      <c r="E532" s="19">
        <v>17</v>
      </c>
      <c r="F532" s="19" t="s">
        <v>171</v>
      </c>
      <c r="G532" s="2"/>
      <c r="H532" s="2" t="s">
        <v>88</v>
      </c>
      <c r="I532" s="2" t="s">
        <v>832</v>
      </c>
      <c r="J532" s="38">
        <v>45915</v>
      </c>
      <c r="K532" s="2">
        <v>3</v>
      </c>
      <c r="L532" s="2">
        <v>109.99000000000001</v>
      </c>
      <c r="M532" s="2">
        <v>6</v>
      </c>
      <c r="N532" s="2">
        <f t="shared" si="24"/>
        <v>103.99000000000001</v>
      </c>
      <c r="O532" s="2"/>
      <c r="P532" s="2"/>
      <c r="Q532" s="2"/>
      <c r="R532" s="38"/>
      <c r="S532" s="2"/>
      <c r="T532" s="2"/>
    </row>
    <row r="533" spans="1:20" x14ac:dyDescent="0.2">
      <c r="A533" s="49" t="str">
        <f t="shared" si="23"/>
        <v>17/8.5-9</v>
      </c>
      <c r="B533" s="19" t="s">
        <v>506</v>
      </c>
      <c r="C533" s="19" t="s">
        <v>76</v>
      </c>
      <c r="D533" s="19" t="s">
        <v>76</v>
      </c>
      <c r="E533" s="19">
        <v>17</v>
      </c>
      <c r="F533" s="19" t="s">
        <v>171</v>
      </c>
      <c r="G533" s="2"/>
      <c r="H533" s="2" t="s">
        <v>88</v>
      </c>
      <c r="I533" s="2" t="s">
        <v>832</v>
      </c>
      <c r="J533" s="38">
        <v>45915</v>
      </c>
      <c r="K533" s="2">
        <v>16</v>
      </c>
      <c r="L533" s="2">
        <v>857.38000000000011</v>
      </c>
      <c r="M533" s="2">
        <v>30.4</v>
      </c>
      <c r="N533" s="2">
        <f t="shared" si="24"/>
        <v>826.98000000000013</v>
      </c>
      <c r="O533" s="2"/>
      <c r="P533" s="2"/>
      <c r="Q533" s="2"/>
      <c r="R533" s="38"/>
      <c r="S533" s="2"/>
      <c r="T533" s="2"/>
    </row>
    <row r="534" spans="1:20" x14ac:dyDescent="0.2">
      <c r="A534" s="49" t="str">
        <f t="shared" si="23"/>
        <v>15/6.5</v>
      </c>
      <c r="B534" s="19" t="s">
        <v>165</v>
      </c>
      <c r="C534" s="19" t="s">
        <v>76</v>
      </c>
      <c r="D534" s="19" t="s">
        <v>76</v>
      </c>
      <c r="E534" s="19">
        <v>15</v>
      </c>
      <c r="F534" s="19">
        <v>6.5</v>
      </c>
      <c r="G534" s="2"/>
      <c r="H534" s="2" t="s">
        <v>88</v>
      </c>
      <c r="I534" s="2" t="s">
        <v>817</v>
      </c>
      <c r="J534" s="38">
        <v>45915</v>
      </c>
      <c r="K534" s="2">
        <v>1</v>
      </c>
      <c r="L534" s="2">
        <v>38.869999999999997</v>
      </c>
      <c r="M534" s="2">
        <v>1.22</v>
      </c>
      <c r="N534" s="2">
        <f t="shared" si="24"/>
        <v>37.65</v>
      </c>
      <c r="O534" s="2"/>
      <c r="P534" s="2"/>
      <c r="Q534" s="2"/>
      <c r="R534" s="38"/>
      <c r="S534" s="2"/>
      <c r="T534" s="2"/>
    </row>
    <row r="535" spans="1:20" x14ac:dyDescent="0.2">
      <c r="A535" s="49" t="str">
        <f t="shared" si="23"/>
        <v>11/5-5.5</v>
      </c>
      <c r="B535" s="19" t="s">
        <v>84</v>
      </c>
      <c r="C535" s="19" t="s">
        <v>76</v>
      </c>
      <c r="D535" s="19" t="s">
        <v>76</v>
      </c>
      <c r="E535" s="19">
        <v>11</v>
      </c>
      <c r="F535" s="19" t="s">
        <v>41</v>
      </c>
      <c r="G535" s="2"/>
      <c r="H535" s="2" t="s">
        <v>88</v>
      </c>
      <c r="I535" s="2" t="s">
        <v>833</v>
      </c>
      <c r="J535" s="38">
        <v>45915</v>
      </c>
      <c r="K535" s="2">
        <v>10</v>
      </c>
      <c r="L535" s="2">
        <v>481.34999999999997</v>
      </c>
      <c r="M535" s="2">
        <v>13</v>
      </c>
      <c r="N535" s="2">
        <f t="shared" si="24"/>
        <v>468.34999999999997</v>
      </c>
      <c r="O535" s="2"/>
      <c r="P535" s="2"/>
      <c r="Q535" s="2"/>
      <c r="R535" s="38"/>
      <c r="S535" s="2"/>
      <c r="T535" s="2"/>
    </row>
    <row r="536" spans="1:20" x14ac:dyDescent="0.2">
      <c r="A536" s="49" t="str">
        <f t="shared" si="23"/>
        <v>11/5-5.5</v>
      </c>
      <c r="B536" s="19" t="s">
        <v>84</v>
      </c>
      <c r="C536" s="19" t="s">
        <v>76</v>
      </c>
      <c r="D536" s="19" t="s">
        <v>76</v>
      </c>
      <c r="E536" s="19">
        <v>11</v>
      </c>
      <c r="F536" s="19" t="s">
        <v>41</v>
      </c>
      <c r="G536" s="2"/>
      <c r="H536" s="2" t="s">
        <v>88</v>
      </c>
      <c r="I536" s="2" t="s">
        <v>833</v>
      </c>
      <c r="J536" s="38">
        <v>45915</v>
      </c>
      <c r="K536" s="2">
        <v>9</v>
      </c>
      <c r="L536" s="2">
        <v>459.49</v>
      </c>
      <c r="M536" s="2">
        <v>12.6</v>
      </c>
      <c r="N536" s="2">
        <f t="shared" si="24"/>
        <v>446.89</v>
      </c>
      <c r="O536" s="2"/>
      <c r="P536" s="2"/>
      <c r="Q536" s="2"/>
      <c r="R536" s="38"/>
      <c r="S536" s="2"/>
      <c r="T536" s="2"/>
    </row>
    <row r="537" spans="1:20" x14ac:dyDescent="0.2">
      <c r="A537" s="49" t="str">
        <f t="shared" si="23"/>
        <v>2.5/5.5-6</v>
      </c>
      <c r="B537" s="19" t="s">
        <v>84</v>
      </c>
      <c r="C537" s="19" t="s">
        <v>76</v>
      </c>
      <c r="D537" s="19" t="s">
        <v>76</v>
      </c>
      <c r="E537" s="19">
        <v>2.5</v>
      </c>
      <c r="F537" s="19" t="s">
        <v>5</v>
      </c>
      <c r="G537" s="2"/>
      <c r="H537" s="2" t="s">
        <v>88</v>
      </c>
      <c r="I537" s="2" t="s">
        <v>811</v>
      </c>
      <c r="J537" s="38">
        <v>45916</v>
      </c>
      <c r="K537" s="2">
        <v>7</v>
      </c>
      <c r="L537" s="2">
        <v>84.16</v>
      </c>
      <c r="M537" s="2">
        <v>1.4000000000000001</v>
      </c>
      <c r="N537" s="2">
        <f t="shared" si="24"/>
        <v>82.759999999999991</v>
      </c>
      <c r="O537" s="2"/>
      <c r="P537" s="2"/>
      <c r="Q537" s="2"/>
      <c r="R537" s="38"/>
      <c r="S537" s="2"/>
      <c r="T537" s="2"/>
    </row>
    <row r="538" spans="1:20" x14ac:dyDescent="0.2">
      <c r="A538" s="49" t="str">
        <f t="shared" si="23"/>
        <v>2.5/5.5-6</v>
      </c>
      <c r="B538" s="19" t="s">
        <v>84</v>
      </c>
      <c r="C538" s="19" t="s">
        <v>76</v>
      </c>
      <c r="D538" s="19" t="s">
        <v>76</v>
      </c>
      <c r="E538" s="19">
        <v>2.5</v>
      </c>
      <c r="F538" s="19" t="s">
        <v>5</v>
      </c>
      <c r="G538" s="2"/>
      <c r="H538" s="2" t="s">
        <v>88</v>
      </c>
      <c r="I538" s="2" t="s">
        <v>811</v>
      </c>
      <c r="J538" s="38">
        <v>45916</v>
      </c>
      <c r="K538" s="2">
        <v>8</v>
      </c>
      <c r="L538" s="2">
        <v>94.48</v>
      </c>
      <c r="M538" s="2">
        <v>1.6</v>
      </c>
      <c r="N538" s="2">
        <f t="shared" si="24"/>
        <v>92.88000000000001</v>
      </c>
      <c r="O538" s="2"/>
      <c r="P538" s="2"/>
      <c r="Q538" s="2"/>
      <c r="R538" s="38"/>
      <c r="S538" s="2"/>
      <c r="T538" s="2"/>
    </row>
    <row r="539" spans="1:20" x14ac:dyDescent="0.2">
      <c r="A539" s="49" t="str">
        <f t="shared" si="23"/>
        <v>3/5.5-6</v>
      </c>
      <c r="B539" s="19" t="s">
        <v>84</v>
      </c>
      <c r="C539" s="19" t="s">
        <v>76</v>
      </c>
      <c r="D539" s="19" t="s">
        <v>76</v>
      </c>
      <c r="E539" s="19">
        <v>3</v>
      </c>
      <c r="F539" s="19" t="s">
        <v>5</v>
      </c>
      <c r="G539" s="2"/>
      <c r="H539" s="2" t="s">
        <v>88</v>
      </c>
      <c r="I539" s="2" t="s">
        <v>834</v>
      </c>
      <c r="J539" s="38">
        <v>45916</v>
      </c>
      <c r="K539" s="2">
        <v>8</v>
      </c>
      <c r="L539" s="2">
        <v>124.69</v>
      </c>
      <c r="M539" s="2">
        <v>2.4</v>
      </c>
      <c r="N539" s="2">
        <f t="shared" si="24"/>
        <v>122.28999999999999</v>
      </c>
      <c r="O539" s="2"/>
      <c r="P539" s="2"/>
      <c r="Q539" s="2"/>
      <c r="R539" s="38"/>
      <c r="S539" s="2"/>
      <c r="T539" s="2"/>
    </row>
    <row r="540" spans="1:20" x14ac:dyDescent="0.2">
      <c r="A540" s="49" t="str">
        <f t="shared" si="23"/>
        <v>3/5.5-6</v>
      </c>
      <c r="B540" s="19" t="s">
        <v>84</v>
      </c>
      <c r="C540" s="19" t="s">
        <v>76</v>
      </c>
      <c r="D540" s="19" t="s">
        <v>76</v>
      </c>
      <c r="E540" s="19">
        <v>3</v>
      </c>
      <c r="F540" s="19" t="s">
        <v>5</v>
      </c>
      <c r="G540" s="2"/>
      <c r="H540" s="2" t="s">
        <v>88</v>
      </c>
      <c r="I540" s="2" t="s">
        <v>834</v>
      </c>
      <c r="J540" s="38">
        <v>45916</v>
      </c>
      <c r="K540" s="2">
        <v>8</v>
      </c>
      <c r="L540" s="2">
        <v>144.05000000000001</v>
      </c>
      <c r="M540" s="2">
        <v>2.4</v>
      </c>
      <c r="N540" s="2">
        <f t="shared" si="24"/>
        <v>141.65</v>
      </c>
      <c r="O540" s="2"/>
      <c r="P540" s="2"/>
      <c r="Q540" s="2"/>
      <c r="R540" s="38"/>
      <c r="S540" s="2"/>
      <c r="T540" s="2"/>
    </row>
    <row r="541" spans="1:20" x14ac:dyDescent="0.2">
      <c r="A541" s="49" t="str">
        <f t="shared" si="23"/>
        <v>7/5</v>
      </c>
      <c r="B541" s="19" t="s">
        <v>84</v>
      </c>
      <c r="C541" s="19" t="s">
        <v>76</v>
      </c>
      <c r="D541" s="19" t="s">
        <v>76</v>
      </c>
      <c r="E541" s="19">
        <v>7</v>
      </c>
      <c r="F541" s="19">
        <v>5</v>
      </c>
      <c r="G541" s="2"/>
      <c r="H541" s="2" t="s">
        <v>88</v>
      </c>
      <c r="I541" s="2" t="s">
        <v>105</v>
      </c>
      <c r="J541" s="38">
        <v>45916</v>
      </c>
      <c r="K541" s="2">
        <v>10</v>
      </c>
      <c r="L541" s="2">
        <v>274.42999999999995</v>
      </c>
      <c r="M541" s="2">
        <v>7</v>
      </c>
      <c r="N541" s="2">
        <f t="shared" si="24"/>
        <v>267.42999999999995</v>
      </c>
      <c r="O541" s="2"/>
      <c r="P541" s="2"/>
      <c r="Q541" s="2"/>
      <c r="R541" s="38"/>
      <c r="S541" s="2"/>
      <c r="T541" s="2"/>
    </row>
    <row r="542" spans="1:20" x14ac:dyDescent="0.2">
      <c r="A542" s="49" t="str">
        <f t="shared" si="23"/>
        <v>7/5</v>
      </c>
      <c r="B542" s="19" t="s">
        <v>84</v>
      </c>
      <c r="C542" s="19" t="s">
        <v>76</v>
      </c>
      <c r="D542" s="19" t="s">
        <v>76</v>
      </c>
      <c r="E542" s="19">
        <v>7</v>
      </c>
      <c r="F542" s="19">
        <v>5</v>
      </c>
      <c r="G542" s="2"/>
      <c r="H542" s="2" t="s">
        <v>88</v>
      </c>
      <c r="I542" s="2" t="s">
        <v>105</v>
      </c>
      <c r="J542" s="38">
        <v>45916</v>
      </c>
      <c r="K542" s="2">
        <v>10</v>
      </c>
      <c r="L542" s="2">
        <v>293.43</v>
      </c>
      <c r="M542" s="2">
        <v>7</v>
      </c>
      <c r="N542" s="2">
        <f t="shared" si="24"/>
        <v>286.43</v>
      </c>
      <c r="O542" s="2"/>
      <c r="P542" s="2"/>
      <c r="Q542" s="2"/>
      <c r="R542" s="38"/>
      <c r="S542" s="2"/>
      <c r="T542" s="2"/>
    </row>
    <row r="543" spans="1:20" x14ac:dyDescent="0.2">
      <c r="A543" s="49" t="str">
        <f t="shared" si="23"/>
        <v>17/8.5-9</v>
      </c>
      <c r="B543" s="19" t="s">
        <v>506</v>
      </c>
      <c r="C543" s="19" t="s">
        <v>76</v>
      </c>
      <c r="D543" s="19" t="s">
        <v>76</v>
      </c>
      <c r="E543" s="19">
        <v>17</v>
      </c>
      <c r="F543" s="19" t="s">
        <v>171</v>
      </c>
      <c r="G543" s="2"/>
      <c r="H543" s="2" t="s">
        <v>88</v>
      </c>
      <c r="I543" s="2" t="s">
        <v>832</v>
      </c>
      <c r="J543" s="38">
        <v>45916</v>
      </c>
      <c r="K543" s="2">
        <v>17</v>
      </c>
      <c r="L543" s="2">
        <v>882.4899999999999</v>
      </c>
      <c r="M543" s="2">
        <v>33.299999999999997</v>
      </c>
      <c r="N543" s="2">
        <f t="shared" si="24"/>
        <v>849.18999999999994</v>
      </c>
      <c r="O543" s="2"/>
      <c r="P543" s="2"/>
      <c r="Q543" s="2"/>
      <c r="R543" s="38"/>
      <c r="S543" s="2"/>
      <c r="T543" s="2"/>
    </row>
    <row r="544" spans="1:20" x14ac:dyDescent="0.2">
      <c r="A544" s="49" t="str">
        <f t="shared" si="23"/>
        <v>17/8.5-9</v>
      </c>
      <c r="B544" s="19" t="s">
        <v>506</v>
      </c>
      <c r="C544" s="19" t="s">
        <v>76</v>
      </c>
      <c r="D544" s="19" t="s">
        <v>76</v>
      </c>
      <c r="E544" s="19">
        <v>17</v>
      </c>
      <c r="F544" s="19" t="s">
        <v>171</v>
      </c>
      <c r="G544" s="2"/>
      <c r="H544" s="2" t="s">
        <v>88</v>
      </c>
      <c r="I544" s="2" t="s">
        <v>832</v>
      </c>
      <c r="J544" s="38">
        <v>45916</v>
      </c>
      <c r="K544" s="2">
        <v>4</v>
      </c>
      <c r="L544" s="2">
        <v>272.45999999999998</v>
      </c>
      <c r="M544" s="2">
        <v>7.8</v>
      </c>
      <c r="N544" s="2">
        <f t="shared" si="24"/>
        <v>264.65999999999997</v>
      </c>
      <c r="O544" s="2"/>
      <c r="P544" s="2"/>
      <c r="Q544" s="2"/>
      <c r="R544" s="38"/>
      <c r="S544" s="2"/>
      <c r="T544" s="2"/>
    </row>
    <row r="545" spans="1:20" x14ac:dyDescent="0.2">
      <c r="A545" s="49" t="str">
        <f t="shared" si="23"/>
        <v>26/14</v>
      </c>
      <c r="B545" s="19" t="s">
        <v>826</v>
      </c>
      <c r="C545" s="19" t="s">
        <v>76</v>
      </c>
      <c r="D545" s="19" t="s">
        <v>76</v>
      </c>
      <c r="E545" s="19">
        <v>26</v>
      </c>
      <c r="F545" s="19">
        <v>14</v>
      </c>
      <c r="G545" s="2"/>
      <c r="H545" s="2" t="s">
        <v>88</v>
      </c>
      <c r="I545" s="2" t="s">
        <v>835</v>
      </c>
      <c r="J545" s="38">
        <v>45916</v>
      </c>
      <c r="K545" s="2">
        <v>6</v>
      </c>
      <c r="L545" s="2">
        <v>273.07</v>
      </c>
      <c r="M545" s="2">
        <v>21.23</v>
      </c>
      <c r="N545" s="2">
        <f t="shared" si="24"/>
        <v>251.84</v>
      </c>
      <c r="O545" s="2"/>
      <c r="P545" s="2"/>
      <c r="Q545" s="2"/>
      <c r="R545" s="38"/>
      <c r="S545" s="2"/>
      <c r="T545" s="2"/>
    </row>
    <row r="546" spans="1:20" x14ac:dyDescent="0.2">
      <c r="A546" s="49" t="str">
        <f t="shared" si="23"/>
        <v>24/5-5.5</v>
      </c>
      <c r="B546" s="19" t="s">
        <v>85</v>
      </c>
      <c r="C546" s="19" t="s">
        <v>76</v>
      </c>
      <c r="D546" s="19" t="s">
        <v>76</v>
      </c>
      <c r="E546" s="19">
        <v>24</v>
      </c>
      <c r="F546" s="19" t="s">
        <v>41</v>
      </c>
      <c r="G546" s="2"/>
      <c r="H546" s="2" t="s">
        <v>88</v>
      </c>
      <c r="I546" s="2" t="s">
        <v>836</v>
      </c>
      <c r="J546" s="38">
        <v>45916</v>
      </c>
      <c r="K546" s="2">
        <v>4</v>
      </c>
      <c r="L546" s="2">
        <v>263</v>
      </c>
      <c r="M546" s="2">
        <v>6.4499999999999993</v>
      </c>
      <c r="N546" s="2">
        <f t="shared" si="24"/>
        <v>256.55</v>
      </c>
      <c r="O546" s="2"/>
      <c r="P546" s="2"/>
      <c r="Q546" s="2"/>
      <c r="R546" s="38"/>
      <c r="S546" s="2"/>
      <c r="T546" s="2"/>
    </row>
    <row r="547" spans="1:20" x14ac:dyDescent="0.2">
      <c r="A547" s="49" t="str">
        <f t="shared" si="23"/>
        <v>11/5-5.5</v>
      </c>
      <c r="B547" s="19" t="s">
        <v>84</v>
      </c>
      <c r="C547" s="19" t="s">
        <v>76</v>
      </c>
      <c r="D547" s="19" t="s">
        <v>76</v>
      </c>
      <c r="E547" s="19">
        <v>11</v>
      </c>
      <c r="F547" s="19" t="s">
        <v>41</v>
      </c>
      <c r="G547" s="2"/>
      <c r="H547" s="2" t="s">
        <v>88</v>
      </c>
      <c r="I547" s="2" t="s">
        <v>833</v>
      </c>
      <c r="J547" s="38">
        <v>45916</v>
      </c>
      <c r="K547" s="2">
        <v>7</v>
      </c>
      <c r="L547" s="2">
        <v>369.25999999999993</v>
      </c>
      <c r="M547" s="2">
        <v>7</v>
      </c>
      <c r="N547" s="2">
        <f t="shared" si="24"/>
        <v>362.25999999999993</v>
      </c>
      <c r="O547" s="2"/>
      <c r="P547" s="2"/>
      <c r="Q547" s="2"/>
      <c r="R547" s="38"/>
      <c r="S547" s="2"/>
      <c r="T547" s="2"/>
    </row>
    <row r="548" spans="1:20" x14ac:dyDescent="0.2">
      <c r="A548" s="49" t="str">
        <f t="shared" si="23"/>
        <v>14/5</v>
      </c>
      <c r="B548" s="19" t="s">
        <v>84</v>
      </c>
      <c r="C548" s="19" t="s">
        <v>76</v>
      </c>
      <c r="D548" s="19" t="s">
        <v>76</v>
      </c>
      <c r="E548" s="19">
        <v>14</v>
      </c>
      <c r="F548" s="19">
        <v>5</v>
      </c>
      <c r="G548" s="2"/>
      <c r="H548" s="2" t="s">
        <v>88</v>
      </c>
      <c r="I548" s="2" t="s">
        <v>837</v>
      </c>
      <c r="J548" s="38">
        <v>45916</v>
      </c>
      <c r="K548" s="2">
        <v>4</v>
      </c>
      <c r="L548" s="2">
        <v>179.53999999999996</v>
      </c>
      <c r="M548" s="2">
        <v>6.48</v>
      </c>
      <c r="N548" s="2">
        <f t="shared" si="24"/>
        <v>173.05999999999997</v>
      </c>
      <c r="O548" s="2"/>
      <c r="P548" s="2"/>
      <c r="Q548" s="2"/>
      <c r="R548" s="38"/>
      <c r="S548" s="2"/>
      <c r="T548" s="2"/>
    </row>
    <row r="549" spans="1:20" x14ac:dyDescent="0.2">
      <c r="A549" s="49" t="str">
        <f t="shared" si="23"/>
        <v>14/5</v>
      </c>
      <c r="B549" s="19" t="s">
        <v>84</v>
      </c>
      <c r="C549" s="19" t="s">
        <v>76</v>
      </c>
      <c r="D549" s="19" t="s">
        <v>76</v>
      </c>
      <c r="E549" s="19">
        <v>14</v>
      </c>
      <c r="F549" s="19">
        <v>5</v>
      </c>
      <c r="G549" s="2"/>
      <c r="H549" s="2" t="s">
        <v>88</v>
      </c>
      <c r="I549" s="2" t="s">
        <v>837</v>
      </c>
      <c r="J549" s="38">
        <v>45916</v>
      </c>
      <c r="K549" s="2">
        <v>10</v>
      </c>
      <c r="L549" s="2">
        <v>566.11</v>
      </c>
      <c r="M549" s="2">
        <v>16</v>
      </c>
      <c r="N549" s="2">
        <f t="shared" si="24"/>
        <v>550.11</v>
      </c>
      <c r="O549" s="2"/>
      <c r="P549" s="2"/>
      <c r="Q549" s="2"/>
      <c r="R549" s="38"/>
      <c r="S549" s="2"/>
      <c r="T549" s="2"/>
    </row>
    <row r="550" spans="1:20" x14ac:dyDescent="0.2">
      <c r="A550" s="49" t="str">
        <f t="shared" si="23"/>
        <v>2.5/5.5-6</v>
      </c>
      <c r="B550" s="19" t="s">
        <v>84</v>
      </c>
      <c r="C550" s="19" t="s">
        <v>76</v>
      </c>
      <c r="D550" s="19" t="s">
        <v>76</v>
      </c>
      <c r="E550" s="19">
        <v>2.5</v>
      </c>
      <c r="F550" s="19" t="s">
        <v>5</v>
      </c>
      <c r="G550" s="2"/>
      <c r="H550" s="2" t="s">
        <v>88</v>
      </c>
      <c r="I550" s="2" t="s">
        <v>811</v>
      </c>
      <c r="J550" s="38">
        <v>45917</v>
      </c>
      <c r="K550" s="2">
        <v>4</v>
      </c>
      <c r="L550" s="2">
        <v>62.1</v>
      </c>
      <c r="M550" s="2">
        <v>0.8</v>
      </c>
      <c r="N550" s="2">
        <f t="shared" si="24"/>
        <v>61.300000000000004</v>
      </c>
      <c r="O550" s="2"/>
      <c r="P550" s="2"/>
      <c r="Q550" s="2"/>
      <c r="R550" s="38"/>
      <c r="S550" s="2"/>
      <c r="T550" s="2"/>
    </row>
    <row r="551" spans="1:20" x14ac:dyDescent="0.2">
      <c r="A551" s="49" t="str">
        <f t="shared" si="23"/>
        <v>3.5/5.5-6</v>
      </c>
      <c r="B551" s="19" t="s">
        <v>84</v>
      </c>
      <c r="C551" s="19" t="s">
        <v>76</v>
      </c>
      <c r="D551" s="19" t="s">
        <v>76</v>
      </c>
      <c r="E551" s="19">
        <v>3.5</v>
      </c>
      <c r="F551" s="19" t="s">
        <v>5</v>
      </c>
      <c r="G551" s="2"/>
      <c r="H551" s="2" t="s">
        <v>88</v>
      </c>
      <c r="I551" s="2" t="s">
        <v>584</v>
      </c>
      <c r="J551" s="38">
        <v>45917</v>
      </c>
      <c r="K551" s="2">
        <v>4</v>
      </c>
      <c r="L551" s="2">
        <v>53.269999999999996</v>
      </c>
      <c r="M551" s="2">
        <v>1.2</v>
      </c>
      <c r="N551" s="2">
        <f t="shared" si="24"/>
        <v>52.069999999999993</v>
      </c>
      <c r="O551" s="2"/>
      <c r="P551" s="2"/>
      <c r="Q551" s="2"/>
      <c r="R551" s="38"/>
      <c r="S551" s="2"/>
      <c r="T551" s="2"/>
    </row>
    <row r="552" spans="1:20" x14ac:dyDescent="0.2">
      <c r="A552" s="49" t="str">
        <f t="shared" si="23"/>
        <v>3.5/5.5-6</v>
      </c>
      <c r="B552" s="19" t="s">
        <v>84</v>
      </c>
      <c r="C552" s="19" t="s">
        <v>76</v>
      </c>
      <c r="D552" s="19" t="s">
        <v>76</v>
      </c>
      <c r="E552" s="19">
        <v>3.5</v>
      </c>
      <c r="F552" s="19" t="s">
        <v>5</v>
      </c>
      <c r="G552" s="2"/>
      <c r="H552" s="2" t="s">
        <v>88</v>
      </c>
      <c r="I552" s="2" t="s">
        <v>584</v>
      </c>
      <c r="J552" s="38">
        <v>45917</v>
      </c>
      <c r="K552" s="2">
        <v>7</v>
      </c>
      <c r="L552" s="2">
        <v>105.62</v>
      </c>
      <c r="M552" s="2">
        <v>2.1</v>
      </c>
      <c r="N552" s="2">
        <f t="shared" si="24"/>
        <v>103.52000000000001</v>
      </c>
      <c r="O552" s="2"/>
      <c r="P552" s="2"/>
      <c r="Q552" s="2"/>
      <c r="R552" s="38"/>
      <c r="S552" s="2"/>
      <c r="T552" s="2"/>
    </row>
    <row r="553" spans="1:20" x14ac:dyDescent="0.2">
      <c r="A553" s="49" t="str">
        <f t="shared" si="23"/>
        <v>3/5.5-6</v>
      </c>
      <c r="B553" s="19" t="s">
        <v>84</v>
      </c>
      <c r="C553" s="19" t="s">
        <v>76</v>
      </c>
      <c r="D553" s="19" t="s">
        <v>76</v>
      </c>
      <c r="E553" s="19">
        <v>3</v>
      </c>
      <c r="F553" s="19" t="s">
        <v>5</v>
      </c>
      <c r="G553" s="2"/>
      <c r="H553" s="2" t="s">
        <v>88</v>
      </c>
      <c r="I553" s="2" t="s">
        <v>834</v>
      </c>
      <c r="J553" s="38">
        <v>45917</v>
      </c>
      <c r="K553" s="2">
        <v>4</v>
      </c>
      <c r="L553" s="2">
        <v>63.26</v>
      </c>
      <c r="M553" s="2">
        <v>1.2</v>
      </c>
      <c r="N553" s="2">
        <f t="shared" si="24"/>
        <v>62.059999999999995</v>
      </c>
      <c r="O553" s="2"/>
      <c r="P553" s="2"/>
      <c r="Q553" s="2"/>
      <c r="R553" s="38"/>
      <c r="S553" s="2"/>
      <c r="T553" s="2"/>
    </row>
    <row r="554" spans="1:20" x14ac:dyDescent="0.2">
      <c r="A554" s="49" t="str">
        <f t="shared" si="23"/>
        <v>4.5/4.5</v>
      </c>
      <c r="B554" s="19" t="s">
        <v>190</v>
      </c>
      <c r="C554" s="19" t="s">
        <v>76</v>
      </c>
      <c r="D554" s="19" t="s">
        <v>76</v>
      </c>
      <c r="E554" s="19">
        <v>4.5</v>
      </c>
      <c r="F554" s="19">
        <v>4.5</v>
      </c>
      <c r="G554" s="2"/>
      <c r="H554" s="2" t="s">
        <v>88</v>
      </c>
      <c r="I554" s="2" t="s">
        <v>838</v>
      </c>
      <c r="J554" s="38">
        <v>45917</v>
      </c>
      <c r="K554" s="2">
        <v>3</v>
      </c>
      <c r="L554" s="2">
        <v>40.89</v>
      </c>
      <c r="M554" s="2">
        <v>1.2000000000000002</v>
      </c>
      <c r="N554" s="2">
        <f t="shared" si="24"/>
        <v>39.69</v>
      </c>
      <c r="O554" s="2"/>
      <c r="P554" s="2"/>
      <c r="Q554" s="2"/>
      <c r="R554" s="38"/>
      <c r="S554" s="2"/>
      <c r="T554" s="2"/>
    </row>
    <row r="555" spans="1:20" x14ac:dyDescent="0.2">
      <c r="A555" s="49" t="str">
        <f t="shared" si="23"/>
        <v>4.5/4.5</v>
      </c>
      <c r="B555" s="19" t="s">
        <v>190</v>
      </c>
      <c r="C555" s="19" t="s">
        <v>76</v>
      </c>
      <c r="D555" s="19" t="s">
        <v>76</v>
      </c>
      <c r="E555" s="19">
        <v>4.5</v>
      </c>
      <c r="F555" s="19">
        <v>4.5</v>
      </c>
      <c r="G555" s="2"/>
      <c r="H555" s="2" t="s">
        <v>88</v>
      </c>
      <c r="I555" s="2" t="s">
        <v>838</v>
      </c>
      <c r="J555" s="38">
        <v>45917</v>
      </c>
      <c r="K555" s="2">
        <v>9</v>
      </c>
      <c r="L555" s="2">
        <v>124.91</v>
      </c>
      <c r="M555" s="2">
        <v>3.6</v>
      </c>
      <c r="N555" s="2">
        <f t="shared" si="24"/>
        <v>121.31</v>
      </c>
      <c r="O555" s="2"/>
      <c r="P555" s="2"/>
      <c r="Q555" s="2"/>
      <c r="R555" s="38"/>
      <c r="S555" s="2"/>
      <c r="T555" s="2"/>
    </row>
    <row r="556" spans="1:20" x14ac:dyDescent="0.2">
      <c r="A556" s="49" t="str">
        <f t="shared" si="23"/>
        <v>7/5</v>
      </c>
      <c r="B556" s="19" t="s">
        <v>84</v>
      </c>
      <c r="C556" s="19" t="s">
        <v>76</v>
      </c>
      <c r="D556" s="19" t="s">
        <v>76</v>
      </c>
      <c r="E556" s="19">
        <v>7</v>
      </c>
      <c r="F556" s="19">
        <v>5</v>
      </c>
      <c r="G556" s="2"/>
      <c r="H556" s="2" t="s">
        <v>88</v>
      </c>
      <c r="I556" s="2" t="s">
        <v>105</v>
      </c>
      <c r="J556" s="38">
        <v>45917</v>
      </c>
      <c r="K556" s="2">
        <v>3</v>
      </c>
      <c r="L556" s="2">
        <v>95.480000000000018</v>
      </c>
      <c r="M556" s="2">
        <v>2.0999999999999996</v>
      </c>
      <c r="N556" s="2">
        <f t="shared" si="24"/>
        <v>93.380000000000024</v>
      </c>
      <c r="O556" s="2"/>
      <c r="P556" s="2"/>
      <c r="Q556" s="2"/>
      <c r="R556" s="38"/>
      <c r="S556" s="2"/>
      <c r="T556" s="2"/>
    </row>
    <row r="557" spans="1:20" x14ac:dyDescent="0.2">
      <c r="A557" s="49" t="str">
        <f t="shared" si="23"/>
        <v>7/4.5</v>
      </c>
      <c r="B557" s="19" t="s">
        <v>190</v>
      </c>
      <c r="C557" s="19" t="s">
        <v>76</v>
      </c>
      <c r="D557" s="19" t="s">
        <v>76</v>
      </c>
      <c r="E557" s="19">
        <v>7</v>
      </c>
      <c r="F557" s="19">
        <v>4.5</v>
      </c>
      <c r="G557" s="2"/>
      <c r="H557" s="2" t="s">
        <v>88</v>
      </c>
      <c r="I557" s="2" t="s">
        <v>839</v>
      </c>
      <c r="J557" s="38">
        <v>45917</v>
      </c>
      <c r="K557" s="2">
        <v>7</v>
      </c>
      <c r="L557" s="2">
        <v>218.16000000000003</v>
      </c>
      <c r="M557" s="2">
        <v>4.8999999999999995</v>
      </c>
      <c r="N557" s="2">
        <f t="shared" si="24"/>
        <v>213.26000000000002</v>
      </c>
      <c r="O557" s="2"/>
      <c r="P557" s="2"/>
      <c r="Q557" s="2"/>
      <c r="R557" s="38"/>
      <c r="S557" s="2"/>
      <c r="T557" s="2"/>
    </row>
    <row r="558" spans="1:20" x14ac:dyDescent="0.2">
      <c r="A558" s="49" t="str">
        <f t="shared" si="23"/>
        <v>7/4.5</v>
      </c>
      <c r="B558" s="19" t="s">
        <v>190</v>
      </c>
      <c r="C558" s="19" t="s">
        <v>76</v>
      </c>
      <c r="D558" s="19" t="s">
        <v>76</v>
      </c>
      <c r="E558" s="19">
        <v>7</v>
      </c>
      <c r="F558" s="19">
        <v>4.5</v>
      </c>
      <c r="G558" s="2"/>
      <c r="H558" s="2" t="s">
        <v>88</v>
      </c>
      <c r="I558" s="2" t="s">
        <v>839</v>
      </c>
      <c r="J558" s="38">
        <v>45917</v>
      </c>
      <c r="K558" s="2">
        <v>2</v>
      </c>
      <c r="L558" s="2">
        <v>46.41</v>
      </c>
      <c r="M558" s="2">
        <v>1.4</v>
      </c>
      <c r="N558" s="2">
        <f t="shared" si="24"/>
        <v>45.01</v>
      </c>
      <c r="O558" s="2"/>
      <c r="P558" s="2"/>
      <c r="Q558" s="2"/>
      <c r="R558" s="38"/>
      <c r="S558" s="2"/>
      <c r="T558" s="2"/>
    </row>
    <row r="559" spans="1:20" x14ac:dyDescent="0.2">
      <c r="A559" s="49" t="str">
        <f t="shared" si="23"/>
        <v>9/4.5</v>
      </c>
      <c r="B559" s="19" t="s">
        <v>190</v>
      </c>
      <c r="C559" s="19" t="s">
        <v>76</v>
      </c>
      <c r="D559" s="19" t="s">
        <v>76</v>
      </c>
      <c r="E559" s="19">
        <v>9</v>
      </c>
      <c r="F559" s="19">
        <v>4.5</v>
      </c>
      <c r="G559" s="2"/>
      <c r="H559" s="2" t="s">
        <v>88</v>
      </c>
      <c r="I559" s="2" t="s">
        <v>840</v>
      </c>
      <c r="J559" s="38">
        <v>45917</v>
      </c>
      <c r="K559" s="2">
        <v>6</v>
      </c>
      <c r="L559" s="2">
        <v>237.79999999999998</v>
      </c>
      <c r="M559" s="2">
        <v>5.4</v>
      </c>
      <c r="N559" s="2">
        <f t="shared" si="24"/>
        <v>232.39999999999998</v>
      </c>
      <c r="O559" s="2"/>
      <c r="P559" s="2"/>
      <c r="Q559" s="2"/>
      <c r="R559" s="38"/>
      <c r="S559" s="2"/>
      <c r="T559" s="2"/>
    </row>
    <row r="560" spans="1:20" x14ac:dyDescent="0.2">
      <c r="A560" s="49" t="str">
        <f t="shared" si="23"/>
        <v>24/5-5.5</v>
      </c>
      <c r="B560" s="19" t="s">
        <v>85</v>
      </c>
      <c r="C560" s="19" t="s">
        <v>76</v>
      </c>
      <c r="D560" s="19" t="s">
        <v>76</v>
      </c>
      <c r="E560" s="19">
        <v>24</v>
      </c>
      <c r="F560" s="19" t="s">
        <v>41</v>
      </c>
      <c r="G560" s="2"/>
      <c r="H560" s="2" t="s">
        <v>88</v>
      </c>
      <c r="I560" s="2" t="s">
        <v>836</v>
      </c>
      <c r="J560" s="38">
        <v>45917</v>
      </c>
      <c r="K560" s="2">
        <v>12</v>
      </c>
      <c r="L560" s="2">
        <v>601.32999999999993</v>
      </c>
      <c r="M560" s="2">
        <v>28.799999999999997</v>
      </c>
      <c r="N560" s="2">
        <f t="shared" si="24"/>
        <v>572.53</v>
      </c>
      <c r="O560" s="2"/>
      <c r="P560" s="2"/>
      <c r="Q560" s="2"/>
      <c r="R560" s="38"/>
      <c r="S560" s="2"/>
      <c r="T560" s="2"/>
    </row>
    <row r="561" spans="1:20" x14ac:dyDescent="0.2">
      <c r="A561" s="49" t="str">
        <f t="shared" si="23"/>
        <v>24/5-5.5</v>
      </c>
      <c r="B561" s="19" t="s">
        <v>85</v>
      </c>
      <c r="C561" s="19" t="s">
        <v>76</v>
      </c>
      <c r="D561" s="19" t="s">
        <v>76</v>
      </c>
      <c r="E561" s="19">
        <v>24</v>
      </c>
      <c r="F561" s="19" t="s">
        <v>41</v>
      </c>
      <c r="G561" s="2"/>
      <c r="H561" s="2" t="s">
        <v>88</v>
      </c>
      <c r="I561" s="2" t="s">
        <v>836</v>
      </c>
      <c r="J561" s="38">
        <v>45917</v>
      </c>
      <c r="K561" s="2">
        <v>11</v>
      </c>
      <c r="L561" s="2">
        <v>577.35</v>
      </c>
      <c r="M561" s="2">
        <v>26.4</v>
      </c>
      <c r="N561" s="2">
        <f t="shared" si="24"/>
        <v>550.95000000000005</v>
      </c>
      <c r="O561" s="2"/>
      <c r="P561" s="2"/>
      <c r="Q561" s="2"/>
      <c r="R561" s="38"/>
      <c r="S561" s="2"/>
      <c r="T561" s="2"/>
    </row>
    <row r="562" spans="1:20" x14ac:dyDescent="0.2">
      <c r="A562" s="49" t="str">
        <f t="shared" si="23"/>
        <v>14/5</v>
      </c>
      <c r="B562" s="19" t="s">
        <v>84</v>
      </c>
      <c r="C562" s="19" t="s">
        <v>76</v>
      </c>
      <c r="D562" s="19" t="s">
        <v>76</v>
      </c>
      <c r="E562" s="19">
        <v>14</v>
      </c>
      <c r="F562" s="19">
        <v>5</v>
      </c>
      <c r="G562" s="2"/>
      <c r="H562" s="2" t="s">
        <v>88</v>
      </c>
      <c r="I562" s="2" t="s">
        <v>837</v>
      </c>
      <c r="J562" s="38">
        <v>45917</v>
      </c>
      <c r="K562" s="2">
        <v>4</v>
      </c>
      <c r="L562" s="2">
        <v>188.29000000000002</v>
      </c>
      <c r="M562" s="2">
        <v>5.6</v>
      </c>
      <c r="N562" s="2">
        <f t="shared" si="24"/>
        <v>182.69000000000003</v>
      </c>
      <c r="O562" s="2"/>
      <c r="P562" s="2"/>
      <c r="Q562" s="2"/>
      <c r="R562" s="38"/>
      <c r="S562" s="2"/>
      <c r="T562" s="2"/>
    </row>
    <row r="563" spans="1:20" x14ac:dyDescent="0.2">
      <c r="A563" s="49" t="str">
        <f t="shared" si="23"/>
        <v>14/4.5</v>
      </c>
      <c r="B563" s="19" t="s">
        <v>190</v>
      </c>
      <c r="C563" s="19" t="s">
        <v>76</v>
      </c>
      <c r="D563" s="19" t="s">
        <v>76</v>
      </c>
      <c r="E563" s="19">
        <v>14</v>
      </c>
      <c r="F563" s="19">
        <v>4.5</v>
      </c>
      <c r="G563" s="2"/>
      <c r="H563" s="2" t="s">
        <v>88</v>
      </c>
      <c r="I563" s="2" t="s">
        <v>841</v>
      </c>
      <c r="J563" s="38">
        <v>45917</v>
      </c>
      <c r="K563" s="2">
        <v>8</v>
      </c>
      <c r="L563" s="2">
        <v>383.13</v>
      </c>
      <c r="M563" s="2">
        <v>11.2</v>
      </c>
      <c r="N563" s="2">
        <f t="shared" si="24"/>
        <v>371.93</v>
      </c>
      <c r="O563" s="2"/>
      <c r="P563" s="2"/>
      <c r="Q563" s="2"/>
      <c r="R563" s="38"/>
      <c r="S563" s="2"/>
      <c r="T563" s="2"/>
    </row>
    <row r="564" spans="1:20" x14ac:dyDescent="0.2">
      <c r="A564" s="49" t="str">
        <f t="shared" si="23"/>
        <v>14/4.5</v>
      </c>
      <c r="B564" s="19" t="s">
        <v>190</v>
      </c>
      <c r="C564" s="19" t="s">
        <v>76</v>
      </c>
      <c r="D564" s="19" t="s">
        <v>76</v>
      </c>
      <c r="E564" s="19">
        <v>14</v>
      </c>
      <c r="F564" s="19">
        <v>4.5</v>
      </c>
      <c r="G564" s="2"/>
      <c r="H564" s="2" t="s">
        <v>88</v>
      </c>
      <c r="I564" s="2" t="s">
        <v>841</v>
      </c>
      <c r="J564" s="38">
        <v>45917</v>
      </c>
      <c r="K564" s="2">
        <v>7</v>
      </c>
      <c r="L564" s="2">
        <v>366.09</v>
      </c>
      <c r="M564" s="2">
        <v>9.7999999999999989</v>
      </c>
      <c r="N564" s="2">
        <f t="shared" si="24"/>
        <v>356.28999999999996</v>
      </c>
      <c r="O564" s="2"/>
      <c r="P564" s="2"/>
      <c r="Q564" s="2"/>
      <c r="R564" s="38"/>
      <c r="S564" s="2"/>
      <c r="T564" s="2"/>
    </row>
    <row r="565" spans="1:20" x14ac:dyDescent="0.2">
      <c r="A565" s="49" t="str">
        <f t="shared" si="23"/>
        <v>14/7</v>
      </c>
      <c r="B565" s="19" t="s">
        <v>824</v>
      </c>
      <c r="C565" s="19" t="s">
        <v>76</v>
      </c>
      <c r="D565" s="19" t="s">
        <v>76</v>
      </c>
      <c r="E565" s="19">
        <v>14</v>
      </c>
      <c r="F565" s="19">
        <v>7</v>
      </c>
      <c r="G565" s="2"/>
      <c r="H565" s="2" t="s">
        <v>88</v>
      </c>
      <c r="I565" s="2" t="s">
        <v>842</v>
      </c>
      <c r="J565" s="38">
        <v>45917</v>
      </c>
      <c r="K565" s="2">
        <v>2</v>
      </c>
      <c r="L565" s="2">
        <v>115.17</v>
      </c>
      <c r="M565" s="2">
        <v>2.8</v>
      </c>
      <c r="N565" s="2">
        <f t="shared" si="24"/>
        <v>112.37</v>
      </c>
      <c r="O565" s="2"/>
      <c r="P565" s="2"/>
      <c r="Q565" s="2"/>
      <c r="R565" s="38"/>
      <c r="S565" s="2"/>
      <c r="T565" s="2"/>
    </row>
    <row r="566" spans="1:20" x14ac:dyDescent="0.2">
      <c r="A566" s="49" t="str">
        <f t="shared" si="23"/>
        <v>12/4.5</v>
      </c>
      <c r="B566" s="19" t="s">
        <v>190</v>
      </c>
      <c r="C566" s="19" t="s">
        <v>76</v>
      </c>
      <c r="D566" s="19" t="s">
        <v>76</v>
      </c>
      <c r="E566" s="19">
        <v>12</v>
      </c>
      <c r="F566" s="19">
        <v>4.5</v>
      </c>
      <c r="G566" s="2"/>
      <c r="H566" s="2" t="s">
        <v>88</v>
      </c>
      <c r="I566" s="2" t="s">
        <v>843</v>
      </c>
      <c r="J566" s="38">
        <v>45917</v>
      </c>
      <c r="K566" s="2">
        <v>1</v>
      </c>
      <c r="L566" s="2">
        <v>46.83</v>
      </c>
      <c r="M566" s="2">
        <v>1.5</v>
      </c>
      <c r="N566" s="2">
        <f t="shared" si="24"/>
        <v>45.33</v>
      </c>
      <c r="O566" s="2"/>
      <c r="P566" s="2"/>
      <c r="Q566" s="2"/>
      <c r="R566" s="38"/>
      <c r="S566" s="2"/>
      <c r="T566" s="2"/>
    </row>
    <row r="567" spans="1:20" x14ac:dyDescent="0.2">
      <c r="A567" s="49" t="str">
        <f t="shared" si="23"/>
        <v>3.5/4.5</v>
      </c>
      <c r="B567" s="19" t="s">
        <v>190</v>
      </c>
      <c r="C567" s="19" t="s">
        <v>76</v>
      </c>
      <c r="D567" s="19" t="s">
        <v>76</v>
      </c>
      <c r="E567" s="19">
        <v>3.5</v>
      </c>
      <c r="F567" s="19">
        <v>4.5</v>
      </c>
      <c r="G567" s="2"/>
      <c r="H567" s="2" t="s">
        <v>88</v>
      </c>
      <c r="I567" s="2" t="s">
        <v>844</v>
      </c>
      <c r="J567" s="38">
        <v>45918</v>
      </c>
      <c r="K567" s="2">
        <v>6</v>
      </c>
      <c r="L567" s="2">
        <v>92.06</v>
      </c>
      <c r="M567" s="2">
        <v>1.7999999999999998</v>
      </c>
      <c r="N567" s="2">
        <f t="shared" si="24"/>
        <v>90.26</v>
      </c>
      <c r="O567" s="2"/>
      <c r="P567" s="2"/>
      <c r="Q567" s="2"/>
      <c r="R567" s="38"/>
      <c r="S567" s="2"/>
      <c r="T567" s="2"/>
    </row>
    <row r="568" spans="1:20" x14ac:dyDescent="0.2">
      <c r="A568" s="49" t="str">
        <f t="shared" si="23"/>
        <v>3.5/4.5</v>
      </c>
      <c r="B568" s="19" t="s">
        <v>190</v>
      </c>
      <c r="C568" s="19" t="s">
        <v>76</v>
      </c>
      <c r="D568" s="19" t="s">
        <v>76</v>
      </c>
      <c r="E568" s="19">
        <v>3.5</v>
      </c>
      <c r="F568" s="19">
        <v>4.5</v>
      </c>
      <c r="G568" s="2"/>
      <c r="H568" s="2" t="s">
        <v>88</v>
      </c>
      <c r="I568" s="2" t="s">
        <v>844</v>
      </c>
      <c r="J568" s="38">
        <v>45918</v>
      </c>
      <c r="K568" s="2">
        <v>7</v>
      </c>
      <c r="L568" s="2">
        <v>103.25999999999999</v>
      </c>
      <c r="M568" s="2">
        <v>2.1</v>
      </c>
      <c r="N568" s="2">
        <f t="shared" si="24"/>
        <v>101.16</v>
      </c>
      <c r="O568" s="2"/>
      <c r="P568" s="2"/>
      <c r="Q568" s="2"/>
      <c r="R568" s="38"/>
      <c r="S568" s="2"/>
      <c r="T568" s="2"/>
    </row>
    <row r="569" spans="1:20" x14ac:dyDescent="0.2">
      <c r="A569" s="49" t="str">
        <f t="shared" si="23"/>
        <v>4.5/4.5</v>
      </c>
      <c r="B569" s="19" t="s">
        <v>190</v>
      </c>
      <c r="C569" s="19" t="s">
        <v>76</v>
      </c>
      <c r="D569" s="19" t="s">
        <v>76</v>
      </c>
      <c r="E569" s="19">
        <v>4.5</v>
      </c>
      <c r="F569" s="19">
        <v>4.5</v>
      </c>
      <c r="G569" s="2"/>
      <c r="H569" s="2" t="s">
        <v>88</v>
      </c>
      <c r="I569" s="2" t="s">
        <v>838</v>
      </c>
      <c r="J569" s="38">
        <v>45918</v>
      </c>
      <c r="K569" s="2">
        <v>10</v>
      </c>
      <c r="L569" s="2">
        <v>105.25999999999999</v>
      </c>
      <c r="M569" s="2">
        <v>4</v>
      </c>
      <c r="N569" s="2">
        <f t="shared" si="24"/>
        <v>101.25999999999999</v>
      </c>
      <c r="O569" s="2"/>
      <c r="P569" s="2"/>
      <c r="Q569" s="2"/>
      <c r="R569" s="38"/>
      <c r="S569" s="2"/>
      <c r="T569" s="2"/>
    </row>
    <row r="570" spans="1:20" x14ac:dyDescent="0.2">
      <c r="A570" s="49" t="str">
        <f t="shared" si="23"/>
        <v>4.5/4.5</v>
      </c>
      <c r="B570" s="19" t="s">
        <v>190</v>
      </c>
      <c r="C570" s="19" t="s">
        <v>76</v>
      </c>
      <c r="D570" s="19" t="s">
        <v>76</v>
      </c>
      <c r="E570" s="19">
        <v>4.5</v>
      </c>
      <c r="F570" s="19">
        <v>4.5</v>
      </c>
      <c r="G570" s="2"/>
      <c r="H570" s="2" t="s">
        <v>88</v>
      </c>
      <c r="I570" s="2" t="s">
        <v>838</v>
      </c>
      <c r="J570" s="38">
        <v>45918</v>
      </c>
      <c r="K570" s="2">
        <v>9</v>
      </c>
      <c r="L570" s="2">
        <v>106.86000000000001</v>
      </c>
      <c r="M570" s="2">
        <v>3.6</v>
      </c>
      <c r="N570" s="2">
        <f t="shared" si="24"/>
        <v>103.26000000000002</v>
      </c>
      <c r="O570" s="2"/>
      <c r="P570" s="2"/>
      <c r="Q570" s="2"/>
      <c r="R570" s="38"/>
      <c r="S570" s="2"/>
      <c r="T570" s="2"/>
    </row>
    <row r="571" spans="1:20" x14ac:dyDescent="0.2">
      <c r="A571" s="49" t="str">
        <f t="shared" si="23"/>
        <v>9/4.5</v>
      </c>
      <c r="B571" s="19" t="s">
        <v>190</v>
      </c>
      <c r="C571" s="19" t="s">
        <v>76</v>
      </c>
      <c r="D571" s="19" t="s">
        <v>76</v>
      </c>
      <c r="E571" s="19">
        <v>9</v>
      </c>
      <c r="F571" s="19">
        <v>4.5</v>
      </c>
      <c r="G571" s="2"/>
      <c r="H571" s="2" t="s">
        <v>88</v>
      </c>
      <c r="I571" s="2" t="s">
        <v>840</v>
      </c>
      <c r="J571" s="38">
        <v>45918</v>
      </c>
      <c r="K571" s="2">
        <v>8</v>
      </c>
      <c r="L571" s="2">
        <v>283.42</v>
      </c>
      <c r="M571" s="2">
        <v>7.2</v>
      </c>
      <c r="N571" s="2">
        <f t="shared" si="24"/>
        <v>276.22000000000003</v>
      </c>
      <c r="O571" s="2"/>
      <c r="P571" s="2"/>
      <c r="Q571" s="2"/>
      <c r="R571" s="38"/>
      <c r="S571" s="2"/>
      <c r="T571" s="2"/>
    </row>
    <row r="572" spans="1:20" x14ac:dyDescent="0.2">
      <c r="A572" s="49" t="str">
        <f t="shared" si="23"/>
        <v>9/4.5</v>
      </c>
      <c r="B572" s="19" t="s">
        <v>190</v>
      </c>
      <c r="C572" s="19" t="s">
        <v>76</v>
      </c>
      <c r="D572" s="19" t="s">
        <v>76</v>
      </c>
      <c r="E572" s="19">
        <v>9</v>
      </c>
      <c r="F572" s="19">
        <v>4.5</v>
      </c>
      <c r="G572" s="2"/>
      <c r="H572" s="2" t="s">
        <v>88</v>
      </c>
      <c r="I572" s="2" t="s">
        <v>840</v>
      </c>
      <c r="J572" s="38">
        <v>45918</v>
      </c>
      <c r="K572" s="2">
        <v>7</v>
      </c>
      <c r="L572" s="2">
        <v>279.12</v>
      </c>
      <c r="M572" s="2">
        <v>6.3</v>
      </c>
      <c r="N572" s="2">
        <f t="shared" si="24"/>
        <v>272.82</v>
      </c>
      <c r="O572" s="2"/>
      <c r="P572" s="2"/>
      <c r="Q572" s="2"/>
      <c r="R572" s="38"/>
      <c r="S572" s="2"/>
      <c r="T572" s="2"/>
    </row>
    <row r="573" spans="1:20" x14ac:dyDescent="0.2">
      <c r="A573" s="49" t="str">
        <f t="shared" si="23"/>
        <v>17/5.5-6</v>
      </c>
      <c r="B573" s="19" t="s">
        <v>827</v>
      </c>
      <c r="C573" s="19" t="s">
        <v>76</v>
      </c>
      <c r="D573" s="19" t="s">
        <v>76</v>
      </c>
      <c r="E573" s="19">
        <v>17</v>
      </c>
      <c r="F573" s="19" t="s">
        <v>5</v>
      </c>
      <c r="G573" s="2"/>
      <c r="H573" s="2" t="s">
        <v>88</v>
      </c>
      <c r="I573" s="2" t="s">
        <v>845</v>
      </c>
      <c r="J573" s="38">
        <v>45918</v>
      </c>
      <c r="K573" s="2">
        <v>14</v>
      </c>
      <c r="L573" s="2">
        <v>764.6400000000001</v>
      </c>
      <c r="M573" s="2">
        <v>26.599999999999998</v>
      </c>
      <c r="N573" s="2">
        <f t="shared" si="24"/>
        <v>738.04000000000008</v>
      </c>
      <c r="O573" s="2"/>
      <c r="P573" s="2"/>
      <c r="Q573" s="2"/>
      <c r="R573" s="38"/>
      <c r="S573" s="2"/>
      <c r="T573" s="2"/>
    </row>
    <row r="574" spans="1:20" x14ac:dyDescent="0.2">
      <c r="A574" s="49" t="str">
        <f t="shared" si="23"/>
        <v>17/5.5-6</v>
      </c>
      <c r="B574" s="19" t="s">
        <v>827</v>
      </c>
      <c r="C574" s="19" t="s">
        <v>76</v>
      </c>
      <c r="D574" s="19" t="s">
        <v>76</v>
      </c>
      <c r="E574" s="19">
        <v>17</v>
      </c>
      <c r="F574" s="19" t="s">
        <v>5</v>
      </c>
      <c r="G574" s="2"/>
      <c r="H574" s="2" t="s">
        <v>88</v>
      </c>
      <c r="I574" s="2" t="s">
        <v>845</v>
      </c>
      <c r="J574" s="38">
        <v>45918</v>
      </c>
      <c r="K574" s="2">
        <v>13</v>
      </c>
      <c r="L574" s="2">
        <v>739.54</v>
      </c>
      <c r="M574" s="2">
        <v>24.7</v>
      </c>
      <c r="N574" s="2">
        <f t="shared" si="24"/>
        <v>714.83999999999992</v>
      </c>
      <c r="O574" s="2"/>
      <c r="P574" s="2"/>
      <c r="Q574" s="2"/>
      <c r="R574" s="38"/>
      <c r="S574" s="2"/>
      <c r="T574" s="2"/>
    </row>
    <row r="575" spans="1:20" x14ac:dyDescent="0.2">
      <c r="A575" s="49" t="str">
        <f t="shared" si="23"/>
        <v>12/4.5</v>
      </c>
      <c r="B575" s="19" t="s">
        <v>190</v>
      </c>
      <c r="C575" s="19" t="s">
        <v>76</v>
      </c>
      <c r="D575" s="19" t="s">
        <v>76</v>
      </c>
      <c r="E575" s="19">
        <v>12</v>
      </c>
      <c r="F575" s="19">
        <v>4.5</v>
      </c>
      <c r="G575" s="2"/>
      <c r="H575" s="2" t="s">
        <v>88</v>
      </c>
      <c r="I575" s="2" t="s">
        <v>843</v>
      </c>
      <c r="J575" s="38">
        <v>45918</v>
      </c>
      <c r="K575" s="2">
        <v>10</v>
      </c>
      <c r="L575" s="2">
        <v>491.7</v>
      </c>
      <c r="M575" s="2">
        <v>13</v>
      </c>
      <c r="N575" s="2">
        <f t="shared" si="24"/>
        <v>478.7</v>
      </c>
      <c r="O575" s="2"/>
      <c r="P575" s="2"/>
      <c r="Q575" s="2"/>
      <c r="R575" s="38"/>
      <c r="S575" s="2"/>
      <c r="T575" s="2"/>
    </row>
    <row r="576" spans="1:20" x14ac:dyDescent="0.2">
      <c r="A576" s="49" t="str">
        <f t="shared" si="23"/>
        <v>12/4.5</v>
      </c>
      <c r="B576" s="19" t="s">
        <v>190</v>
      </c>
      <c r="C576" s="19" t="s">
        <v>76</v>
      </c>
      <c r="D576" s="19" t="s">
        <v>76</v>
      </c>
      <c r="E576" s="19">
        <v>12</v>
      </c>
      <c r="F576" s="19">
        <v>4.5</v>
      </c>
      <c r="G576" s="2"/>
      <c r="H576" s="2" t="s">
        <v>88</v>
      </c>
      <c r="I576" s="2" t="s">
        <v>843</v>
      </c>
      <c r="J576" s="38">
        <v>45918</v>
      </c>
      <c r="K576" s="2">
        <v>2</v>
      </c>
      <c r="L576" s="2">
        <v>109.82</v>
      </c>
      <c r="M576" s="2">
        <v>3</v>
      </c>
      <c r="N576" s="2">
        <f t="shared" si="24"/>
        <v>106.82</v>
      </c>
      <c r="O576" s="2"/>
      <c r="P576" s="2"/>
      <c r="Q576" s="2"/>
      <c r="R576" s="38"/>
      <c r="S576" s="2"/>
      <c r="T576" s="2"/>
    </row>
    <row r="577" spans="1:20" x14ac:dyDescent="0.2">
      <c r="A577" s="49" t="str">
        <f t="shared" si="23"/>
        <v>12/6.5</v>
      </c>
      <c r="B577" s="19" t="s">
        <v>165</v>
      </c>
      <c r="C577" s="19" t="s">
        <v>76</v>
      </c>
      <c r="D577" s="19" t="s">
        <v>76</v>
      </c>
      <c r="E577" s="19" t="s">
        <v>14</v>
      </c>
      <c r="F577" s="19">
        <v>6.5</v>
      </c>
      <c r="G577" s="2"/>
      <c r="H577" s="2" t="s">
        <v>88</v>
      </c>
      <c r="I577" s="2" t="s">
        <v>846</v>
      </c>
      <c r="J577" s="38">
        <v>45918</v>
      </c>
      <c r="K577" s="2">
        <v>6</v>
      </c>
      <c r="L577" s="2">
        <v>224.14000000000001</v>
      </c>
      <c r="M577" s="2">
        <v>9</v>
      </c>
      <c r="N577" s="2">
        <f t="shared" si="24"/>
        <v>215.14000000000001</v>
      </c>
      <c r="O577" s="2"/>
      <c r="P577" s="2"/>
      <c r="Q577" s="2"/>
      <c r="R577" s="38"/>
      <c r="S577" s="2"/>
      <c r="T577" s="2"/>
    </row>
    <row r="578" spans="1:20" x14ac:dyDescent="0.2">
      <c r="A578" s="49" t="str">
        <f t="shared" si="23"/>
        <v>13/6.5</v>
      </c>
      <c r="B578" s="19" t="s">
        <v>165</v>
      </c>
      <c r="C578" s="19" t="s">
        <v>76</v>
      </c>
      <c r="D578" s="19" t="s">
        <v>76</v>
      </c>
      <c r="E578" s="19" t="s">
        <v>13</v>
      </c>
      <c r="F578" s="19">
        <v>6.5</v>
      </c>
      <c r="G578" s="2"/>
      <c r="H578" s="2" t="s">
        <v>88</v>
      </c>
      <c r="I578" s="2" t="s">
        <v>847</v>
      </c>
      <c r="J578" s="38">
        <v>45918</v>
      </c>
      <c r="K578" s="2">
        <v>3</v>
      </c>
      <c r="L578" s="2">
        <v>127.57999999999998</v>
      </c>
      <c r="M578" s="2">
        <v>3.9000000000000004</v>
      </c>
      <c r="N578" s="2">
        <f t="shared" si="24"/>
        <v>123.67999999999998</v>
      </c>
      <c r="O578" s="2"/>
      <c r="P578" s="2"/>
      <c r="Q578" s="2"/>
      <c r="R578" s="38"/>
      <c r="S578" s="2"/>
      <c r="T578" s="2"/>
    </row>
    <row r="579" spans="1:20" x14ac:dyDescent="0.2">
      <c r="A579" s="49" t="str">
        <f t="shared" si="23"/>
        <v>9/5</v>
      </c>
      <c r="B579" s="19" t="s">
        <v>84</v>
      </c>
      <c r="C579" s="19" t="s">
        <v>76</v>
      </c>
      <c r="D579" s="19" t="s">
        <v>76</v>
      </c>
      <c r="E579" s="19" t="s">
        <v>17</v>
      </c>
      <c r="F579" s="19">
        <v>5</v>
      </c>
      <c r="G579" s="2"/>
      <c r="H579" s="2"/>
      <c r="I579" s="2"/>
      <c r="J579" s="38"/>
      <c r="K579" s="2"/>
      <c r="L579" s="2"/>
      <c r="M579" s="2"/>
      <c r="N579" s="2"/>
      <c r="O579" s="2" t="s">
        <v>289</v>
      </c>
      <c r="P579" s="2" t="s">
        <v>608</v>
      </c>
      <c r="Q579" s="2"/>
      <c r="R579" s="38">
        <v>45915</v>
      </c>
      <c r="S579" s="2">
        <v>10</v>
      </c>
      <c r="T579" s="2">
        <v>250</v>
      </c>
    </row>
    <row r="580" spans="1:20" x14ac:dyDescent="0.2">
      <c r="A580" s="49" t="str">
        <f t="shared" si="23"/>
        <v>12/10</v>
      </c>
      <c r="B580" s="19" t="s">
        <v>603</v>
      </c>
      <c r="C580" s="19" t="s">
        <v>76</v>
      </c>
      <c r="D580" s="19" t="s">
        <v>76</v>
      </c>
      <c r="E580" s="19">
        <v>12</v>
      </c>
      <c r="F580" s="19">
        <v>10</v>
      </c>
      <c r="G580" s="2"/>
      <c r="H580" s="2"/>
      <c r="I580" s="2"/>
      <c r="J580" s="38"/>
      <c r="K580" s="2"/>
      <c r="L580" s="2"/>
      <c r="M580" s="2"/>
      <c r="N580" s="2"/>
      <c r="O580" s="2" t="s">
        <v>289</v>
      </c>
      <c r="P580" s="2" t="s">
        <v>707</v>
      </c>
      <c r="Q580" s="2"/>
      <c r="R580" s="38">
        <v>45915</v>
      </c>
      <c r="S580" s="2">
        <v>2</v>
      </c>
      <c r="T580" s="2">
        <v>61.3</v>
      </c>
    </row>
    <row r="581" spans="1:20" x14ac:dyDescent="0.2">
      <c r="A581" s="49" t="str">
        <f t="shared" si="23"/>
        <v>8/10</v>
      </c>
      <c r="B581" s="19" t="s">
        <v>603</v>
      </c>
      <c r="C581" s="19" t="s">
        <v>76</v>
      </c>
      <c r="D581" s="19" t="s">
        <v>76</v>
      </c>
      <c r="E581" s="19">
        <v>8</v>
      </c>
      <c r="F581" s="19">
        <v>10</v>
      </c>
      <c r="G581" s="2"/>
      <c r="H581" s="2"/>
      <c r="I581" s="2"/>
      <c r="J581" s="38"/>
      <c r="K581" s="2"/>
      <c r="L581" s="2"/>
      <c r="M581" s="2"/>
      <c r="N581" s="2"/>
      <c r="O581" s="2" t="s">
        <v>289</v>
      </c>
      <c r="P581" s="2" t="s">
        <v>815</v>
      </c>
      <c r="Q581" s="2"/>
      <c r="R581" s="38">
        <v>45915</v>
      </c>
      <c r="S581" s="2">
        <v>2</v>
      </c>
      <c r="T581" s="2">
        <v>54.55</v>
      </c>
    </row>
    <row r="582" spans="1:20" x14ac:dyDescent="0.2">
      <c r="A582" s="49" t="str">
        <f t="shared" ref="A582:A645" si="25">CONCATENATE(E582,"/",F582)</f>
        <v>8/5</v>
      </c>
      <c r="B582" s="19" t="s">
        <v>84</v>
      </c>
      <c r="C582" s="19" t="s">
        <v>76</v>
      </c>
      <c r="D582" s="19" t="s">
        <v>76</v>
      </c>
      <c r="E582" s="19" t="s">
        <v>18</v>
      </c>
      <c r="F582" s="19">
        <v>5</v>
      </c>
      <c r="G582" s="2"/>
      <c r="H582" s="2"/>
      <c r="I582" s="2"/>
      <c r="J582" s="38"/>
      <c r="K582" s="2"/>
      <c r="L582" s="2"/>
      <c r="M582" s="2"/>
      <c r="N582" s="2"/>
      <c r="O582" s="2" t="s">
        <v>289</v>
      </c>
      <c r="P582" s="2" t="s">
        <v>818</v>
      </c>
      <c r="Q582" s="2"/>
      <c r="R582" s="38">
        <v>45915</v>
      </c>
      <c r="S582" s="2">
        <v>10</v>
      </c>
      <c r="T582" s="2">
        <v>250</v>
      </c>
    </row>
    <row r="583" spans="1:20" x14ac:dyDescent="0.2">
      <c r="A583" s="49" t="str">
        <f t="shared" si="25"/>
        <v>12/5</v>
      </c>
      <c r="B583" s="19" t="s">
        <v>84</v>
      </c>
      <c r="C583" s="19" t="s">
        <v>76</v>
      </c>
      <c r="D583" s="19" t="s">
        <v>76</v>
      </c>
      <c r="E583" s="19" t="s">
        <v>14</v>
      </c>
      <c r="F583" s="19">
        <v>5</v>
      </c>
      <c r="G583" s="2"/>
      <c r="H583" s="2"/>
      <c r="I583" s="2"/>
      <c r="J583" s="38"/>
      <c r="K583" s="2"/>
      <c r="L583" s="2"/>
      <c r="M583" s="2"/>
      <c r="N583" s="2"/>
      <c r="O583" s="2" t="s">
        <v>289</v>
      </c>
      <c r="P583" s="2" t="s">
        <v>547</v>
      </c>
      <c r="Q583" s="2"/>
      <c r="R583" s="38">
        <v>45915</v>
      </c>
      <c r="S583" s="2">
        <v>12</v>
      </c>
      <c r="T583" s="2">
        <v>300</v>
      </c>
    </row>
    <row r="584" spans="1:20" x14ac:dyDescent="0.2">
      <c r="A584" s="49" t="str">
        <f t="shared" si="25"/>
        <v>5/5</v>
      </c>
      <c r="B584" s="19" t="s">
        <v>84</v>
      </c>
      <c r="C584" s="19" t="s">
        <v>76</v>
      </c>
      <c r="D584" s="19" t="s">
        <v>76</v>
      </c>
      <c r="E584" s="19" t="s">
        <v>40</v>
      </c>
      <c r="F584" s="19">
        <v>5</v>
      </c>
      <c r="G584" s="2"/>
      <c r="H584" s="2"/>
      <c r="I584" s="2"/>
      <c r="J584" s="38"/>
      <c r="K584" s="2"/>
      <c r="L584" s="2"/>
      <c r="M584" s="2"/>
      <c r="N584" s="2"/>
      <c r="O584" s="2" t="s">
        <v>289</v>
      </c>
      <c r="P584" s="2" t="s">
        <v>822</v>
      </c>
      <c r="Q584" s="2"/>
      <c r="R584" s="38">
        <v>45915</v>
      </c>
      <c r="S584" s="2">
        <v>12</v>
      </c>
      <c r="T584" s="2">
        <v>300</v>
      </c>
    </row>
    <row r="585" spans="1:20" x14ac:dyDescent="0.2">
      <c r="A585" s="49" t="str">
        <f t="shared" si="25"/>
        <v>9/5</v>
      </c>
      <c r="B585" s="19" t="s">
        <v>84</v>
      </c>
      <c r="C585" s="19" t="s">
        <v>76</v>
      </c>
      <c r="D585" s="19" t="s">
        <v>76</v>
      </c>
      <c r="E585" s="19" t="s">
        <v>17</v>
      </c>
      <c r="F585" s="19">
        <v>5</v>
      </c>
      <c r="G585" s="2"/>
      <c r="H585" s="2"/>
      <c r="I585" s="2"/>
      <c r="J585" s="38"/>
      <c r="K585" s="2"/>
      <c r="L585" s="2"/>
      <c r="M585" s="2"/>
      <c r="N585" s="2"/>
      <c r="O585" s="2" t="s">
        <v>289</v>
      </c>
      <c r="P585" s="2" t="s">
        <v>607</v>
      </c>
      <c r="Q585" s="2"/>
      <c r="R585" s="38">
        <v>45916</v>
      </c>
      <c r="S585" s="2">
        <v>16</v>
      </c>
      <c r="T585" s="2">
        <v>400</v>
      </c>
    </row>
    <row r="586" spans="1:20" x14ac:dyDescent="0.2">
      <c r="A586" s="49" t="str">
        <f t="shared" si="25"/>
        <v>6/5</v>
      </c>
      <c r="B586" s="19" t="s">
        <v>84</v>
      </c>
      <c r="C586" s="19" t="s">
        <v>76</v>
      </c>
      <c r="D586" s="19" t="s">
        <v>76</v>
      </c>
      <c r="E586" s="19" t="s">
        <v>20</v>
      </c>
      <c r="F586" s="19">
        <v>5</v>
      </c>
      <c r="G586" s="2"/>
      <c r="H586" s="2"/>
      <c r="I586" s="2"/>
      <c r="J586" s="38"/>
      <c r="K586" s="2"/>
      <c r="L586" s="2"/>
      <c r="M586" s="2"/>
      <c r="N586" s="2"/>
      <c r="O586" s="2" t="s">
        <v>289</v>
      </c>
      <c r="P586" s="2" t="s">
        <v>849</v>
      </c>
      <c r="Q586" s="2"/>
      <c r="R586" s="38">
        <v>45916</v>
      </c>
      <c r="S586" s="2">
        <v>11</v>
      </c>
      <c r="T586" s="2">
        <v>275</v>
      </c>
    </row>
    <row r="587" spans="1:20" x14ac:dyDescent="0.2">
      <c r="A587" s="49" t="str">
        <f t="shared" si="25"/>
        <v>8/5</v>
      </c>
      <c r="B587" s="19" t="s">
        <v>84</v>
      </c>
      <c r="C587" s="19" t="s">
        <v>76</v>
      </c>
      <c r="D587" s="19" t="s">
        <v>76</v>
      </c>
      <c r="E587" s="19" t="s">
        <v>18</v>
      </c>
      <c r="F587" s="19">
        <v>5</v>
      </c>
      <c r="G587" s="2"/>
      <c r="H587" s="2"/>
      <c r="I587" s="2"/>
      <c r="J587" s="38"/>
      <c r="K587" s="2"/>
      <c r="L587" s="2"/>
      <c r="M587" s="2"/>
      <c r="N587" s="2"/>
      <c r="O587" s="2" t="s">
        <v>289</v>
      </c>
      <c r="P587" s="2" t="s">
        <v>818</v>
      </c>
      <c r="Q587" s="2"/>
      <c r="R587" s="38">
        <v>45916</v>
      </c>
      <c r="S587" s="2">
        <v>6</v>
      </c>
      <c r="T587" s="2">
        <v>150</v>
      </c>
    </row>
    <row r="588" spans="1:20" x14ac:dyDescent="0.2">
      <c r="A588" s="49" t="str">
        <f t="shared" si="25"/>
        <v>8/5</v>
      </c>
      <c r="B588" s="19" t="s">
        <v>84</v>
      </c>
      <c r="C588" s="19" t="s">
        <v>76</v>
      </c>
      <c r="D588" s="19" t="s">
        <v>76</v>
      </c>
      <c r="E588" s="19" t="s">
        <v>18</v>
      </c>
      <c r="F588" s="19">
        <v>5</v>
      </c>
      <c r="G588" s="2"/>
      <c r="H588" s="2"/>
      <c r="I588" s="2"/>
      <c r="J588" s="38"/>
      <c r="K588" s="2"/>
      <c r="L588" s="2"/>
      <c r="M588" s="2"/>
      <c r="N588" s="2"/>
      <c r="O588" s="2" t="s">
        <v>289</v>
      </c>
      <c r="P588" s="2" t="s">
        <v>850</v>
      </c>
      <c r="Q588" s="2"/>
      <c r="R588" s="38">
        <v>45916</v>
      </c>
      <c r="S588" s="2">
        <v>3</v>
      </c>
      <c r="T588" s="2">
        <v>75</v>
      </c>
    </row>
    <row r="589" spans="1:20" x14ac:dyDescent="0.2">
      <c r="A589" s="49" t="str">
        <f t="shared" si="25"/>
        <v>4/5</v>
      </c>
      <c r="B589" s="19" t="s">
        <v>84</v>
      </c>
      <c r="C589" s="19" t="s">
        <v>76</v>
      </c>
      <c r="D589" s="19" t="s">
        <v>76</v>
      </c>
      <c r="E589" s="19" t="s">
        <v>26</v>
      </c>
      <c r="F589" s="19">
        <v>5</v>
      </c>
      <c r="G589" s="2"/>
      <c r="H589" s="2"/>
      <c r="I589" s="2"/>
      <c r="J589" s="38"/>
      <c r="K589" s="2"/>
      <c r="L589" s="2"/>
      <c r="M589" s="2"/>
      <c r="N589" s="2"/>
      <c r="O589" s="2" t="s">
        <v>289</v>
      </c>
      <c r="P589" s="2" t="s">
        <v>715</v>
      </c>
      <c r="Q589" s="2"/>
      <c r="R589" s="38">
        <v>45916</v>
      </c>
      <c r="S589" s="2">
        <v>15</v>
      </c>
      <c r="T589" s="2">
        <v>300</v>
      </c>
    </row>
    <row r="590" spans="1:20" x14ac:dyDescent="0.2">
      <c r="A590" s="49" t="str">
        <f t="shared" si="25"/>
        <v>9/5</v>
      </c>
      <c r="B590" s="19" t="s">
        <v>84</v>
      </c>
      <c r="C590" s="19" t="s">
        <v>76</v>
      </c>
      <c r="D590" s="19" t="s">
        <v>76</v>
      </c>
      <c r="E590" s="19" t="s">
        <v>17</v>
      </c>
      <c r="F590" s="19">
        <v>5</v>
      </c>
      <c r="G590" s="2"/>
      <c r="H590" s="2"/>
      <c r="I590" s="2"/>
      <c r="J590" s="38"/>
      <c r="K590" s="2"/>
      <c r="L590" s="2"/>
      <c r="M590" s="2"/>
      <c r="N590" s="2"/>
      <c r="O590" s="2" t="s">
        <v>289</v>
      </c>
      <c r="P590" s="2" t="s">
        <v>607</v>
      </c>
      <c r="Q590" s="2"/>
      <c r="R590" s="38">
        <v>45917</v>
      </c>
      <c r="S590" s="2">
        <v>2</v>
      </c>
      <c r="T590" s="2">
        <v>50</v>
      </c>
    </row>
    <row r="591" spans="1:20" x14ac:dyDescent="0.2">
      <c r="A591" s="49" t="str">
        <f t="shared" si="25"/>
        <v>9/5</v>
      </c>
      <c r="B591" s="19" t="s">
        <v>84</v>
      </c>
      <c r="C591" s="19" t="s">
        <v>76</v>
      </c>
      <c r="D591" s="19" t="s">
        <v>76</v>
      </c>
      <c r="E591" s="19" t="s">
        <v>17</v>
      </c>
      <c r="F591" s="19">
        <v>5</v>
      </c>
      <c r="G591" s="2"/>
      <c r="H591" s="2"/>
      <c r="I591" s="2"/>
      <c r="J591" s="38"/>
      <c r="K591" s="2"/>
      <c r="L591" s="2"/>
      <c r="M591" s="2"/>
      <c r="N591" s="2"/>
      <c r="O591" s="2" t="s">
        <v>289</v>
      </c>
      <c r="P591" s="2" t="s">
        <v>851</v>
      </c>
      <c r="Q591" s="2"/>
      <c r="R591" s="38">
        <v>45917</v>
      </c>
      <c r="S591" s="2">
        <v>7</v>
      </c>
      <c r="T591" s="2">
        <v>175</v>
      </c>
    </row>
    <row r="592" spans="1:20" x14ac:dyDescent="0.2">
      <c r="A592" s="49" t="str">
        <f t="shared" si="25"/>
        <v>10/5</v>
      </c>
      <c r="B592" s="19" t="s">
        <v>848</v>
      </c>
      <c r="C592" s="19" t="s">
        <v>76</v>
      </c>
      <c r="D592" s="19" t="s">
        <v>76</v>
      </c>
      <c r="E592" s="19">
        <v>10</v>
      </c>
      <c r="F592" s="19">
        <v>5</v>
      </c>
      <c r="G592" s="2"/>
      <c r="H592" s="2"/>
      <c r="I592" s="2"/>
      <c r="J592" s="38"/>
      <c r="K592" s="2"/>
      <c r="L592" s="2"/>
      <c r="M592" s="2"/>
      <c r="N592" s="2"/>
      <c r="O592" s="2" t="s">
        <v>289</v>
      </c>
      <c r="P592" s="2" t="s">
        <v>852</v>
      </c>
      <c r="Q592" s="2"/>
      <c r="R592" s="38">
        <v>45917</v>
      </c>
      <c r="S592" s="2">
        <v>1</v>
      </c>
      <c r="T592" s="2">
        <v>25</v>
      </c>
    </row>
    <row r="593" spans="1:20" x14ac:dyDescent="0.2">
      <c r="A593" s="49" t="str">
        <f t="shared" si="25"/>
        <v>6/5</v>
      </c>
      <c r="B593" s="19" t="s">
        <v>84</v>
      </c>
      <c r="C593" s="19" t="s">
        <v>76</v>
      </c>
      <c r="D593" s="19" t="s">
        <v>76</v>
      </c>
      <c r="E593" s="19" t="s">
        <v>20</v>
      </c>
      <c r="F593" s="19">
        <v>5</v>
      </c>
      <c r="G593" s="2"/>
      <c r="H593" s="2"/>
      <c r="I593" s="2"/>
      <c r="J593" s="38"/>
      <c r="K593" s="2"/>
      <c r="L593" s="2"/>
      <c r="M593" s="2"/>
      <c r="N593" s="2"/>
      <c r="O593" s="2" t="s">
        <v>289</v>
      </c>
      <c r="P593" s="2" t="s">
        <v>849</v>
      </c>
      <c r="Q593" s="2"/>
      <c r="R593" s="38">
        <v>45917</v>
      </c>
      <c r="S593" s="2">
        <v>1</v>
      </c>
      <c r="T593" s="2">
        <v>25</v>
      </c>
    </row>
    <row r="594" spans="1:20" x14ac:dyDescent="0.2">
      <c r="A594" s="49" t="str">
        <f t="shared" si="25"/>
        <v>6/5</v>
      </c>
      <c r="B594" s="19" t="s">
        <v>824</v>
      </c>
      <c r="C594" s="19" t="s">
        <v>76</v>
      </c>
      <c r="D594" s="19" t="s">
        <v>76</v>
      </c>
      <c r="E594" s="19">
        <v>6</v>
      </c>
      <c r="F594" s="19">
        <v>5</v>
      </c>
      <c r="G594" s="2"/>
      <c r="H594" s="2"/>
      <c r="I594" s="2"/>
      <c r="J594" s="38"/>
      <c r="K594" s="2"/>
      <c r="L594" s="2"/>
      <c r="M594" s="2"/>
      <c r="N594" s="2"/>
      <c r="O594" s="2" t="s">
        <v>289</v>
      </c>
      <c r="P594" s="2" t="s">
        <v>853</v>
      </c>
      <c r="Q594" s="2"/>
      <c r="R594" s="38">
        <v>45917</v>
      </c>
      <c r="S594" s="2">
        <v>2</v>
      </c>
      <c r="T594" s="2">
        <v>50</v>
      </c>
    </row>
    <row r="595" spans="1:20" x14ac:dyDescent="0.2">
      <c r="A595" s="49" t="str">
        <f t="shared" si="25"/>
        <v>6/5</v>
      </c>
      <c r="B595" s="19" t="s">
        <v>84</v>
      </c>
      <c r="C595" s="19" t="s">
        <v>76</v>
      </c>
      <c r="D595" s="19" t="s">
        <v>76</v>
      </c>
      <c r="E595" s="19" t="s">
        <v>20</v>
      </c>
      <c r="F595" s="19">
        <v>5</v>
      </c>
      <c r="G595" s="2"/>
      <c r="H595" s="2"/>
      <c r="I595" s="2"/>
      <c r="J595" s="38"/>
      <c r="K595" s="2"/>
      <c r="L595" s="2"/>
      <c r="M595" s="2"/>
      <c r="N595" s="2"/>
      <c r="O595" s="2" t="s">
        <v>289</v>
      </c>
      <c r="P595" s="2" t="s">
        <v>854</v>
      </c>
      <c r="Q595" s="2"/>
      <c r="R595" s="38">
        <v>45917</v>
      </c>
      <c r="S595" s="2">
        <v>6</v>
      </c>
      <c r="T595" s="2">
        <v>150</v>
      </c>
    </row>
    <row r="596" spans="1:20" x14ac:dyDescent="0.2">
      <c r="A596" s="49" t="str">
        <f t="shared" si="25"/>
        <v>8/5</v>
      </c>
      <c r="B596" s="19" t="s">
        <v>84</v>
      </c>
      <c r="C596" s="19" t="s">
        <v>76</v>
      </c>
      <c r="D596" s="19" t="s">
        <v>76</v>
      </c>
      <c r="E596" s="19" t="s">
        <v>18</v>
      </c>
      <c r="F596" s="19">
        <v>5</v>
      </c>
      <c r="G596" s="2"/>
      <c r="H596" s="2"/>
      <c r="I596" s="2"/>
      <c r="J596" s="38"/>
      <c r="K596" s="2"/>
      <c r="L596" s="2"/>
      <c r="M596" s="2"/>
      <c r="N596" s="2"/>
      <c r="O596" s="2" t="s">
        <v>289</v>
      </c>
      <c r="P596" s="2" t="s">
        <v>850</v>
      </c>
      <c r="Q596" s="2"/>
      <c r="R596" s="38">
        <v>45917</v>
      </c>
      <c r="S596" s="2">
        <v>7</v>
      </c>
      <c r="T596" s="2">
        <v>175</v>
      </c>
    </row>
    <row r="597" spans="1:20" x14ac:dyDescent="0.2">
      <c r="A597" s="49" t="str">
        <f t="shared" si="25"/>
        <v>14/5</v>
      </c>
      <c r="B597" s="19" t="s">
        <v>84</v>
      </c>
      <c r="C597" s="19" t="s">
        <v>76</v>
      </c>
      <c r="D597" s="19" t="s">
        <v>76</v>
      </c>
      <c r="E597" s="19" t="s">
        <v>12</v>
      </c>
      <c r="F597" s="19">
        <v>5</v>
      </c>
      <c r="G597" s="2"/>
      <c r="H597" s="2"/>
      <c r="I597" s="2"/>
      <c r="J597" s="38"/>
      <c r="K597" s="2"/>
      <c r="L597" s="2"/>
      <c r="M597" s="2"/>
      <c r="N597" s="2"/>
      <c r="O597" s="2" t="s">
        <v>289</v>
      </c>
      <c r="P597" s="2" t="s">
        <v>855</v>
      </c>
      <c r="Q597" s="2"/>
      <c r="R597" s="38">
        <v>45917</v>
      </c>
      <c r="S597" s="2">
        <v>3</v>
      </c>
      <c r="T597" s="2">
        <v>75</v>
      </c>
    </row>
    <row r="598" spans="1:20" x14ac:dyDescent="0.2">
      <c r="A598" s="49" t="str">
        <f t="shared" si="25"/>
        <v>4/5</v>
      </c>
      <c r="B598" s="19" t="s">
        <v>84</v>
      </c>
      <c r="C598" s="19" t="s">
        <v>76</v>
      </c>
      <c r="D598" s="19" t="s">
        <v>76</v>
      </c>
      <c r="E598" s="19" t="s">
        <v>26</v>
      </c>
      <c r="F598" s="19">
        <v>5</v>
      </c>
      <c r="G598" s="2"/>
      <c r="H598" s="2"/>
      <c r="I598" s="2"/>
      <c r="J598" s="38"/>
      <c r="K598" s="2"/>
      <c r="L598" s="2"/>
      <c r="M598" s="2"/>
      <c r="N598" s="2"/>
      <c r="O598" s="2" t="s">
        <v>289</v>
      </c>
      <c r="P598" s="2" t="s">
        <v>715</v>
      </c>
      <c r="Q598" s="2"/>
      <c r="R598" s="38">
        <v>45917</v>
      </c>
      <c r="S598" s="2">
        <v>1</v>
      </c>
      <c r="T598" s="2">
        <v>20</v>
      </c>
    </row>
    <row r="599" spans="1:20" x14ac:dyDescent="0.2">
      <c r="A599" s="49" t="str">
        <f t="shared" si="25"/>
        <v>4/5</v>
      </c>
      <c r="B599" s="19" t="s">
        <v>824</v>
      </c>
      <c r="C599" s="19" t="s">
        <v>76</v>
      </c>
      <c r="D599" s="19" t="s">
        <v>76</v>
      </c>
      <c r="E599" s="19">
        <v>4</v>
      </c>
      <c r="F599" s="19">
        <v>5</v>
      </c>
      <c r="G599" s="2"/>
      <c r="H599" s="2"/>
      <c r="I599" s="2"/>
      <c r="J599" s="38"/>
      <c r="K599" s="2"/>
      <c r="L599" s="2"/>
      <c r="M599" s="2"/>
      <c r="N599" s="2"/>
      <c r="O599" s="2" t="s">
        <v>289</v>
      </c>
      <c r="P599" s="2" t="s">
        <v>856</v>
      </c>
      <c r="Q599" s="2"/>
      <c r="R599" s="38">
        <v>45917</v>
      </c>
      <c r="S599" s="2">
        <v>4</v>
      </c>
      <c r="T599" s="2">
        <v>80</v>
      </c>
    </row>
    <row r="600" spans="1:20" x14ac:dyDescent="0.2">
      <c r="A600" s="49" t="str">
        <f t="shared" si="25"/>
        <v>4/5</v>
      </c>
      <c r="B600" s="19" t="s">
        <v>84</v>
      </c>
      <c r="C600" s="19" t="s">
        <v>76</v>
      </c>
      <c r="D600" s="19" t="s">
        <v>76</v>
      </c>
      <c r="E600" s="19" t="s">
        <v>26</v>
      </c>
      <c r="F600" s="19">
        <v>5</v>
      </c>
      <c r="G600" s="2"/>
      <c r="H600" s="2"/>
      <c r="I600" s="2"/>
      <c r="J600" s="38"/>
      <c r="K600" s="2"/>
      <c r="L600" s="2"/>
      <c r="M600" s="2"/>
      <c r="N600" s="2"/>
      <c r="O600" s="2" t="s">
        <v>289</v>
      </c>
      <c r="P600" s="2" t="s">
        <v>616</v>
      </c>
      <c r="Q600" s="2"/>
      <c r="R600" s="38">
        <v>45917</v>
      </c>
      <c r="S600" s="2">
        <v>3</v>
      </c>
      <c r="T600" s="2">
        <v>60</v>
      </c>
    </row>
    <row r="601" spans="1:20" x14ac:dyDescent="0.2">
      <c r="A601" s="49" t="str">
        <f t="shared" si="25"/>
        <v>2.5/5</v>
      </c>
      <c r="B601" s="19" t="s">
        <v>168</v>
      </c>
      <c r="C601" s="19" t="s">
        <v>76</v>
      </c>
      <c r="D601" s="19" t="s">
        <v>76</v>
      </c>
      <c r="E601" s="19">
        <v>2.5</v>
      </c>
      <c r="F601" s="19">
        <v>5</v>
      </c>
      <c r="G601" s="2"/>
      <c r="H601" s="2"/>
      <c r="I601" s="2"/>
      <c r="J601" s="38"/>
      <c r="K601" s="2"/>
      <c r="L601" s="2"/>
      <c r="M601" s="2"/>
      <c r="N601" s="2"/>
      <c r="O601" s="2" t="s">
        <v>289</v>
      </c>
      <c r="P601" s="2" t="s">
        <v>857</v>
      </c>
      <c r="Q601" s="2"/>
      <c r="R601" s="38">
        <v>45917</v>
      </c>
      <c r="S601" s="2">
        <v>3</v>
      </c>
      <c r="T601" s="2">
        <v>60</v>
      </c>
    </row>
    <row r="602" spans="1:20" x14ac:dyDescent="0.2">
      <c r="A602" s="49" t="str">
        <f t="shared" si="25"/>
        <v>10/5</v>
      </c>
      <c r="B602" s="19" t="s">
        <v>824</v>
      </c>
      <c r="C602" s="19" t="s">
        <v>76</v>
      </c>
      <c r="D602" s="19" t="s">
        <v>76</v>
      </c>
      <c r="E602" s="19">
        <v>10</v>
      </c>
      <c r="F602" s="19">
        <v>5</v>
      </c>
      <c r="G602" s="2"/>
      <c r="H602" s="2"/>
      <c r="I602" s="2"/>
      <c r="J602" s="38"/>
      <c r="K602" s="2"/>
      <c r="L602" s="2"/>
      <c r="M602" s="2"/>
      <c r="N602" s="2"/>
      <c r="O602" s="2" t="s">
        <v>289</v>
      </c>
      <c r="P602" s="2" t="s">
        <v>858</v>
      </c>
      <c r="Q602" s="2"/>
      <c r="R602" s="38">
        <v>45918</v>
      </c>
      <c r="S602" s="2">
        <v>5</v>
      </c>
      <c r="T602" s="2">
        <v>125</v>
      </c>
    </row>
    <row r="603" spans="1:20" x14ac:dyDescent="0.2">
      <c r="A603" s="49" t="str">
        <f t="shared" si="25"/>
        <v>10/5</v>
      </c>
      <c r="B603" s="19" t="s">
        <v>848</v>
      </c>
      <c r="C603" s="19" t="s">
        <v>76</v>
      </c>
      <c r="D603" s="19" t="s">
        <v>76</v>
      </c>
      <c r="E603" s="19">
        <v>10</v>
      </c>
      <c r="F603" s="19">
        <v>5</v>
      </c>
      <c r="G603" s="2"/>
      <c r="H603" s="2"/>
      <c r="I603" s="2"/>
      <c r="J603" s="38"/>
      <c r="K603" s="2"/>
      <c r="L603" s="2"/>
      <c r="M603" s="2"/>
      <c r="N603" s="2"/>
      <c r="O603" s="2" t="s">
        <v>289</v>
      </c>
      <c r="P603" s="2" t="s">
        <v>852</v>
      </c>
      <c r="Q603" s="2"/>
      <c r="R603" s="38">
        <v>45918</v>
      </c>
      <c r="S603" s="2">
        <v>1</v>
      </c>
      <c r="T603" s="2">
        <v>25</v>
      </c>
    </row>
    <row r="604" spans="1:20" x14ac:dyDescent="0.2">
      <c r="A604" s="49" t="str">
        <f t="shared" si="25"/>
        <v>10/5</v>
      </c>
      <c r="B604" s="19" t="s">
        <v>84</v>
      </c>
      <c r="C604" s="19" t="s">
        <v>76</v>
      </c>
      <c r="D604" s="19" t="s">
        <v>76</v>
      </c>
      <c r="E604" s="19" t="s">
        <v>16</v>
      </c>
      <c r="F604" s="19">
        <v>5</v>
      </c>
      <c r="G604" s="2"/>
      <c r="H604" s="2"/>
      <c r="I604" s="2"/>
      <c r="J604" s="38"/>
      <c r="K604" s="2"/>
      <c r="L604" s="2"/>
      <c r="M604" s="2"/>
      <c r="N604" s="2"/>
      <c r="O604" s="2" t="s">
        <v>289</v>
      </c>
      <c r="P604" s="2" t="s">
        <v>714</v>
      </c>
      <c r="Q604" s="2"/>
      <c r="R604" s="38">
        <v>45918</v>
      </c>
      <c r="S604" s="2">
        <v>8</v>
      </c>
      <c r="T604" s="2">
        <v>200</v>
      </c>
    </row>
    <row r="605" spans="1:20" x14ac:dyDescent="0.2">
      <c r="A605" s="49" t="str">
        <f t="shared" si="25"/>
        <v>14/5</v>
      </c>
      <c r="B605" s="19" t="s">
        <v>84</v>
      </c>
      <c r="C605" s="19" t="s">
        <v>76</v>
      </c>
      <c r="D605" s="19" t="s">
        <v>76</v>
      </c>
      <c r="E605" s="19" t="s">
        <v>12</v>
      </c>
      <c r="F605" s="19">
        <v>5</v>
      </c>
      <c r="G605" s="2"/>
      <c r="H605" s="2"/>
      <c r="I605" s="2"/>
      <c r="J605" s="38"/>
      <c r="K605" s="2"/>
      <c r="L605" s="2"/>
      <c r="M605" s="2"/>
      <c r="N605" s="2"/>
      <c r="O605" s="2" t="s">
        <v>289</v>
      </c>
      <c r="P605" s="2" t="s">
        <v>855</v>
      </c>
      <c r="Q605" s="2"/>
      <c r="R605" s="38">
        <v>45918</v>
      </c>
      <c r="S605" s="2">
        <v>1</v>
      </c>
      <c r="T605" s="2">
        <v>25</v>
      </c>
    </row>
    <row r="606" spans="1:20" x14ac:dyDescent="0.2">
      <c r="A606" s="49" t="str">
        <f t="shared" si="25"/>
        <v>16/5</v>
      </c>
      <c r="B606" s="19" t="s">
        <v>84</v>
      </c>
      <c r="C606" s="19" t="s">
        <v>76</v>
      </c>
      <c r="D606" s="19" t="s">
        <v>76</v>
      </c>
      <c r="E606" s="19" t="s">
        <v>28</v>
      </c>
      <c r="F606" s="19">
        <v>5</v>
      </c>
      <c r="G606" s="2"/>
      <c r="H606" s="2"/>
      <c r="I606" s="2"/>
      <c r="J606" s="38"/>
      <c r="K606" s="2"/>
      <c r="L606" s="2"/>
      <c r="M606" s="2"/>
      <c r="N606" s="2"/>
      <c r="O606" s="2" t="s">
        <v>289</v>
      </c>
      <c r="P606" s="2" t="s">
        <v>613</v>
      </c>
      <c r="Q606" s="2"/>
      <c r="R606" s="38">
        <v>45918</v>
      </c>
      <c r="S606" s="2">
        <v>4</v>
      </c>
      <c r="T606" s="2">
        <v>100</v>
      </c>
    </row>
    <row r="607" spans="1:20" x14ac:dyDescent="0.2">
      <c r="A607" s="49" t="str">
        <f t="shared" si="25"/>
        <v>13/5</v>
      </c>
      <c r="B607" s="19" t="s">
        <v>84</v>
      </c>
      <c r="C607" s="19" t="s">
        <v>76</v>
      </c>
      <c r="D607" s="19" t="s">
        <v>76</v>
      </c>
      <c r="E607" s="19" t="s">
        <v>13</v>
      </c>
      <c r="F607" s="19">
        <v>5</v>
      </c>
      <c r="G607" s="2"/>
      <c r="H607" s="2"/>
      <c r="I607" s="2"/>
      <c r="J607" s="38"/>
      <c r="K607" s="2"/>
      <c r="L607" s="2"/>
      <c r="M607" s="2"/>
      <c r="N607" s="2"/>
      <c r="O607" s="2" t="s">
        <v>289</v>
      </c>
      <c r="P607" s="2" t="s">
        <v>859</v>
      </c>
      <c r="Q607" s="2"/>
      <c r="R607" s="38">
        <v>45918</v>
      </c>
      <c r="S607" s="2">
        <v>10</v>
      </c>
      <c r="T607" s="2">
        <v>250</v>
      </c>
    </row>
    <row r="608" spans="1:20" x14ac:dyDescent="0.2">
      <c r="A608" s="49" t="str">
        <f t="shared" si="25"/>
        <v>2.5/5</v>
      </c>
      <c r="B608" s="19" t="s">
        <v>168</v>
      </c>
      <c r="C608" s="19" t="s">
        <v>76</v>
      </c>
      <c r="D608" s="19" t="s">
        <v>76</v>
      </c>
      <c r="E608" s="19">
        <v>2.5</v>
      </c>
      <c r="F608" s="19">
        <v>5</v>
      </c>
      <c r="G608" s="2"/>
      <c r="H608" s="2"/>
      <c r="I608" s="2"/>
      <c r="J608" s="38"/>
      <c r="K608" s="2"/>
      <c r="L608" s="2"/>
      <c r="M608" s="2"/>
      <c r="N608" s="2"/>
      <c r="O608" s="2" t="s">
        <v>289</v>
      </c>
      <c r="P608" s="2" t="s">
        <v>857</v>
      </c>
      <c r="Q608" s="2"/>
      <c r="R608" s="38">
        <v>45918</v>
      </c>
      <c r="S608" s="2">
        <v>2</v>
      </c>
      <c r="T608" s="2">
        <v>40</v>
      </c>
    </row>
    <row r="609" spans="1:20" x14ac:dyDescent="0.2">
      <c r="A609" s="49" t="str">
        <f t="shared" si="25"/>
        <v>2.5/5.5-6</v>
      </c>
      <c r="B609" s="19" t="s">
        <v>83</v>
      </c>
      <c r="C609" s="19" t="s">
        <v>76</v>
      </c>
      <c r="D609" s="19" t="s">
        <v>76</v>
      </c>
      <c r="E609" s="19">
        <v>2.5</v>
      </c>
      <c r="F609" s="19" t="s">
        <v>5</v>
      </c>
      <c r="G609" s="2"/>
      <c r="H609" s="2"/>
      <c r="I609" s="2"/>
      <c r="J609" s="38"/>
      <c r="K609" s="2"/>
      <c r="L609" s="2"/>
      <c r="M609" s="2"/>
      <c r="N609" s="2"/>
      <c r="O609" s="2" t="s">
        <v>289</v>
      </c>
      <c r="P609" s="2" t="s">
        <v>860</v>
      </c>
      <c r="Q609" s="2"/>
      <c r="R609" s="38">
        <v>45918</v>
      </c>
      <c r="S609" s="2">
        <v>2</v>
      </c>
      <c r="T609" s="2">
        <v>40</v>
      </c>
    </row>
    <row r="610" spans="1:20" x14ac:dyDescent="0.2">
      <c r="A610" s="49" t="str">
        <f t="shared" si="25"/>
        <v>2/5</v>
      </c>
      <c r="B610" s="19" t="s">
        <v>168</v>
      </c>
      <c r="C610" s="19" t="s">
        <v>76</v>
      </c>
      <c r="D610" s="19" t="s">
        <v>76</v>
      </c>
      <c r="E610" s="19">
        <v>2</v>
      </c>
      <c r="F610" s="19">
        <v>5</v>
      </c>
      <c r="G610" s="2"/>
      <c r="H610" s="2"/>
      <c r="I610" s="2"/>
      <c r="J610" s="38"/>
      <c r="K610" s="2"/>
      <c r="L610" s="2"/>
      <c r="M610" s="2"/>
      <c r="N610" s="2"/>
      <c r="O610" s="2" t="s">
        <v>289</v>
      </c>
      <c r="P610" s="2" t="s">
        <v>861</v>
      </c>
      <c r="Q610" s="2"/>
      <c r="R610" s="38">
        <v>45918</v>
      </c>
      <c r="S610" s="2">
        <v>3</v>
      </c>
      <c r="T610" s="2">
        <v>60</v>
      </c>
    </row>
    <row r="611" spans="1:20" x14ac:dyDescent="0.2">
      <c r="A611" s="49" t="str">
        <f t="shared" si="25"/>
        <v>17/5.5-6</v>
      </c>
      <c r="B611" s="19" t="s">
        <v>92</v>
      </c>
      <c r="C611" s="19" t="s">
        <v>76</v>
      </c>
      <c r="D611" s="19" t="s">
        <v>76</v>
      </c>
      <c r="E611" s="19">
        <v>17</v>
      </c>
      <c r="F611" s="19" t="s">
        <v>5</v>
      </c>
      <c r="G611" s="2"/>
      <c r="H611" s="2"/>
      <c r="I611" s="19"/>
      <c r="J611" s="38"/>
      <c r="K611" s="2"/>
      <c r="L611" s="2"/>
      <c r="M611" s="2"/>
      <c r="N611" s="2"/>
      <c r="O611" s="2" t="s">
        <v>94</v>
      </c>
      <c r="P611" s="19" t="s">
        <v>492</v>
      </c>
      <c r="Q611" s="38"/>
      <c r="R611" s="38">
        <v>45915</v>
      </c>
      <c r="S611" s="2">
        <v>16</v>
      </c>
      <c r="T611" s="2">
        <v>400</v>
      </c>
    </row>
    <row r="612" spans="1:20" x14ac:dyDescent="0.2">
      <c r="A612" s="49" t="str">
        <f t="shared" si="25"/>
        <v>17/5.5-6</v>
      </c>
      <c r="B612" s="19" t="s">
        <v>92</v>
      </c>
      <c r="C612" s="19" t="s">
        <v>76</v>
      </c>
      <c r="D612" s="19" t="s">
        <v>76</v>
      </c>
      <c r="E612" s="19">
        <v>17</v>
      </c>
      <c r="F612" s="19" t="s">
        <v>5</v>
      </c>
      <c r="G612" s="2"/>
      <c r="H612" s="2"/>
      <c r="I612" s="19"/>
      <c r="J612" s="38"/>
      <c r="K612" s="2"/>
      <c r="L612" s="2"/>
      <c r="M612" s="2"/>
      <c r="N612" s="2"/>
      <c r="O612" s="2" t="s">
        <v>94</v>
      </c>
      <c r="P612" s="19" t="s">
        <v>492</v>
      </c>
      <c r="Q612" s="38"/>
      <c r="R612" s="38">
        <v>45915</v>
      </c>
      <c r="S612" s="2">
        <v>16</v>
      </c>
      <c r="T612" s="2">
        <v>400</v>
      </c>
    </row>
    <row r="613" spans="1:20" x14ac:dyDescent="0.2">
      <c r="A613" s="49" t="str">
        <f t="shared" si="25"/>
        <v>17/5.5-6</v>
      </c>
      <c r="B613" s="19" t="s">
        <v>92</v>
      </c>
      <c r="C613" s="19" t="s">
        <v>76</v>
      </c>
      <c r="D613" s="19" t="s">
        <v>76</v>
      </c>
      <c r="E613" s="19">
        <v>17</v>
      </c>
      <c r="F613" s="19" t="s">
        <v>5</v>
      </c>
      <c r="G613" s="2"/>
      <c r="H613" s="2"/>
      <c r="I613" s="19"/>
      <c r="J613" s="38"/>
      <c r="K613" s="2"/>
      <c r="L613" s="2"/>
      <c r="M613" s="2"/>
      <c r="N613" s="2"/>
      <c r="O613" s="2" t="s">
        <v>94</v>
      </c>
      <c r="P613" s="19" t="s">
        <v>492</v>
      </c>
      <c r="Q613" s="38"/>
      <c r="R613" s="38">
        <v>45915</v>
      </c>
      <c r="S613" s="2">
        <v>12</v>
      </c>
      <c r="T613" s="2">
        <v>300</v>
      </c>
    </row>
    <row r="614" spans="1:20" x14ac:dyDescent="0.2">
      <c r="A614" s="49" t="str">
        <f t="shared" si="25"/>
        <v>19/7</v>
      </c>
      <c r="B614" s="19" t="s">
        <v>166</v>
      </c>
      <c r="C614" s="19" t="s">
        <v>76</v>
      </c>
      <c r="D614" s="19" t="s">
        <v>76</v>
      </c>
      <c r="E614" s="19">
        <v>19</v>
      </c>
      <c r="F614" s="19">
        <v>7</v>
      </c>
      <c r="G614" s="2"/>
      <c r="H614" s="2"/>
      <c r="I614" s="19"/>
      <c r="J614" s="38"/>
      <c r="K614" s="2"/>
      <c r="L614" s="2"/>
      <c r="M614" s="2"/>
      <c r="N614" s="2"/>
      <c r="O614" s="2" t="s">
        <v>94</v>
      </c>
      <c r="P614" s="19" t="s">
        <v>830</v>
      </c>
      <c r="Q614" s="38"/>
      <c r="R614" s="38">
        <v>45915</v>
      </c>
      <c r="S614" s="2">
        <v>4</v>
      </c>
      <c r="T614" s="2">
        <v>100</v>
      </c>
    </row>
    <row r="615" spans="1:20" x14ac:dyDescent="0.2">
      <c r="A615" s="49" t="str">
        <f t="shared" si="25"/>
        <v>17/8.5-9</v>
      </c>
      <c r="B615" s="19" t="s">
        <v>506</v>
      </c>
      <c r="C615" s="19" t="s">
        <v>76</v>
      </c>
      <c r="D615" s="19" t="s">
        <v>76</v>
      </c>
      <c r="E615" s="19">
        <v>17</v>
      </c>
      <c r="F615" s="19" t="s">
        <v>171</v>
      </c>
      <c r="G615" s="2"/>
      <c r="H615" s="2"/>
      <c r="I615" s="19"/>
      <c r="J615" s="38"/>
      <c r="K615" s="2"/>
      <c r="L615" s="2"/>
      <c r="M615" s="2"/>
      <c r="N615" s="2"/>
      <c r="O615" s="2" t="s">
        <v>94</v>
      </c>
      <c r="P615" s="19" t="s">
        <v>832</v>
      </c>
      <c r="Q615" s="38"/>
      <c r="R615" s="38">
        <v>45915</v>
      </c>
      <c r="S615" s="2">
        <v>6</v>
      </c>
      <c r="T615" s="2">
        <v>150</v>
      </c>
    </row>
    <row r="616" spans="1:20" x14ac:dyDescent="0.2">
      <c r="A616" s="49" t="str">
        <f t="shared" si="25"/>
        <v>17/5.5-6</v>
      </c>
      <c r="B616" s="19" t="s">
        <v>92</v>
      </c>
      <c r="C616" s="19" t="s">
        <v>76</v>
      </c>
      <c r="D616" s="19" t="s">
        <v>76</v>
      </c>
      <c r="E616" s="19">
        <v>17</v>
      </c>
      <c r="F616" s="19" t="s">
        <v>5</v>
      </c>
      <c r="G616" s="2"/>
      <c r="H616" s="2"/>
      <c r="I616" s="19"/>
      <c r="J616" s="38"/>
      <c r="K616" s="2"/>
      <c r="L616" s="2"/>
      <c r="M616" s="2"/>
      <c r="N616" s="2"/>
      <c r="O616" s="2" t="s">
        <v>94</v>
      </c>
      <c r="P616" s="19" t="s">
        <v>492</v>
      </c>
      <c r="Q616" s="38"/>
      <c r="R616" s="38">
        <v>45916</v>
      </c>
      <c r="S616" s="2">
        <v>10</v>
      </c>
      <c r="T616" s="2">
        <v>250</v>
      </c>
    </row>
    <row r="617" spans="1:20" x14ac:dyDescent="0.2">
      <c r="A617" s="49" t="str">
        <f t="shared" si="25"/>
        <v>17/8.5-9</v>
      </c>
      <c r="B617" s="19" t="s">
        <v>506</v>
      </c>
      <c r="C617" s="19" t="s">
        <v>76</v>
      </c>
      <c r="D617" s="19" t="s">
        <v>76</v>
      </c>
      <c r="E617" s="19">
        <v>17</v>
      </c>
      <c r="F617" s="19" t="s">
        <v>171</v>
      </c>
      <c r="G617" s="2"/>
      <c r="H617" s="2"/>
      <c r="I617" s="19"/>
      <c r="J617" s="38"/>
      <c r="K617" s="2"/>
      <c r="L617" s="2"/>
      <c r="M617" s="2"/>
      <c r="N617" s="2"/>
      <c r="O617" s="2" t="s">
        <v>94</v>
      </c>
      <c r="P617" s="19" t="s">
        <v>832</v>
      </c>
      <c r="Q617" s="38"/>
      <c r="R617" s="38">
        <v>45916</v>
      </c>
      <c r="S617" s="2">
        <v>2</v>
      </c>
      <c r="T617" s="2">
        <v>50</v>
      </c>
    </row>
    <row r="618" spans="1:20" x14ac:dyDescent="0.2">
      <c r="A618" s="49" t="str">
        <f t="shared" si="25"/>
        <v>17/8.5-9</v>
      </c>
      <c r="B618" s="19" t="s">
        <v>506</v>
      </c>
      <c r="C618" s="19" t="s">
        <v>76</v>
      </c>
      <c r="D618" s="19" t="s">
        <v>76</v>
      </c>
      <c r="E618" s="19">
        <v>17</v>
      </c>
      <c r="F618" s="19" t="s">
        <v>171</v>
      </c>
      <c r="G618" s="2"/>
      <c r="H618" s="2"/>
      <c r="I618" s="19"/>
      <c r="J618" s="38"/>
      <c r="K618" s="2"/>
      <c r="L618" s="2"/>
      <c r="M618" s="2"/>
      <c r="N618" s="2"/>
      <c r="O618" s="2" t="s">
        <v>94</v>
      </c>
      <c r="P618" s="19" t="s">
        <v>832</v>
      </c>
      <c r="Q618" s="38"/>
      <c r="R618" s="38">
        <v>45916</v>
      </c>
      <c r="S618" s="2">
        <v>11</v>
      </c>
      <c r="T618" s="2">
        <v>275</v>
      </c>
    </row>
    <row r="619" spans="1:20" x14ac:dyDescent="0.2">
      <c r="A619" s="49" t="str">
        <f t="shared" si="25"/>
        <v>17/8.5-9</v>
      </c>
      <c r="B619" s="19" t="s">
        <v>506</v>
      </c>
      <c r="C619" s="19" t="s">
        <v>76</v>
      </c>
      <c r="D619" s="19" t="s">
        <v>76</v>
      </c>
      <c r="E619" s="19">
        <v>17</v>
      </c>
      <c r="F619" s="19" t="s">
        <v>171</v>
      </c>
      <c r="G619" s="2"/>
      <c r="H619" s="2"/>
      <c r="I619" s="19"/>
      <c r="J619" s="38"/>
      <c r="K619" s="2"/>
      <c r="L619" s="2"/>
      <c r="M619" s="2"/>
      <c r="N619" s="2"/>
      <c r="O619" s="2" t="s">
        <v>94</v>
      </c>
      <c r="P619" s="19" t="s">
        <v>832</v>
      </c>
      <c r="Q619" s="38"/>
      <c r="R619" s="38">
        <v>45916</v>
      </c>
      <c r="S619" s="2">
        <v>8</v>
      </c>
      <c r="T619" s="2">
        <v>200</v>
      </c>
    </row>
    <row r="620" spans="1:20" x14ac:dyDescent="0.2">
      <c r="A620" s="49" t="str">
        <f t="shared" si="25"/>
        <v>17/8.5-9</v>
      </c>
      <c r="B620" s="19" t="s">
        <v>506</v>
      </c>
      <c r="C620" s="19" t="s">
        <v>76</v>
      </c>
      <c r="D620" s="19" t="s">
        <v>76</v>
      </c>
      <c r="E620" s="19">
        <v>17</v>
      </c>
      <c r="F620" s="19" t="s">
        <v>171</v>
      </c>
      <c r="G620" s="2"/>
      <c r="H620" s="2"/>
      <c r="I620" s="19"/>
      <c r="J620" s="38"/>
      <c r="K620" s="2"/>
      <c r="L620" s="2"/>
      <c r="M620" s="2"/>
      <c r="N620" s="2"/>
      <c r="O620" s="2" t="s">
        <v>94</v>
      </c>
      <c r="P620" s="19" t="s">
        <v>832</v>
      </c>
      <c r="Q620" s="38"/>
      <c r="R620" s="38">
        <v>45916</v>
      </c>
      <c r="S620" s="2">
        <v>11</v>
      </c>
      <c r="T620" s="2">
        <v>275</v>
      </c>
    </row>
    <row r="621" spans="1:20" x14ac:dyDescent="0.2">
      <c r="A621" s="49" t="str">
        <f t="shared" si="25"/>
        <v>17/8.5-9</v>
      </c>
      <c r="B621" s="19" t="s">
        <v>506</v>
      </c>
      <c r="C621" s="19" t="s">
        <v>76</v>
      </c>
      <c r="D621" s="19" t="s">
        <v>76</v>
      </c>
      <c r="E621" s="19">
        <v>17</v>
      </c>
      <c r="F621" s="19" t="s">
        <v>171</v>
      </c>
      <c r="G621" s="2"/>
      <c r="H621" s="2"/>
      <c r="I621" s="19"/>
      <c r="J621" s="38"/>
      <c r="K621" s="2"/>
      <c r="L621" s="2"/>
      <c r="M621" s="2"/>
      <c r="N621" s="2"/>
      <c r="O621" s="2" t="s">
        <v>94</v>
      </c>
      <c r="P621" s="19" t="s">
        <v>832</v>
      </c>
      <c r="Q621" s="38"/>
      <c r="R621" s="38">
        <v>45917</v>
      </c>
      <c r="S621" s="2">
        <v>11</v>
      </c>
      <c r="T621" s="2">
        <v>275</v>
      </c>
    </row>
    <row r="622" spans="1:20" x14ac:dyDescent="0.2">
      <c r="A622" s="49" t="str">
        <f t="shared" si="25"/>
        <v>17/8.5-9</v>
      </c>
      <c r="B622" s="19" t="s">
        <v>506</v>
      </c>
      <c r="C622" s="19" t="s">
        <v>76</v>
      </c>
      <c r="D622" s="19" t="s">
        <v>76</v>
      </c>
      <c r="E622" s="19">
        <v>17</v>
      </c>
      <c r="F622" s="19" t="s">
        <v>171</v>
      </c>
      <c r="G622" s="2"/>
      <c r="H622" s="2"/>
      <c r="I622" s="19"/>
      <c r="J622" s="38"/>
      <c r="K622" s="2"/>
      <c r="L622" s="2"/>
      <c r="M622" s="2"/>
      <c r="N622" s="2"/>
      <c r="O622" s="2" t="s">
        <v>94</v>
      </c>
      <c r="P622" s="19" t="s">
        <v>832</v>
      </c>
      <c r="Q622" s="38"/>
      <c r="R622" s="38">
        <v>45917</v>
      </c>
      <c r="S622" s="2">
        <v>11</v>
      </c>
      <c r="T622" s="2">
        <v>275</v>
      </c>
    </row>
    <row r="623" spans="1:20" x14ac:dyDescent="0.2">
      <c r="A623" s="49" t="str">
        <f t="shared" si="25"/>
        <v>17/8.5-9</v>
      </c>
      <c r="B623" s="19" t="s">
        <v>506</v>
      </c>
      <c r="C623" s="19" t="s">
        <v>76</v>
      </c>
      <c r="D623" s="19" t="s">
        <v>76</v>
      </c>
      <c r="E623" s="19">
        <v>17</v>
      </c>
      <c r="F623" s="19" t="s">
        <v>171</v>
      </c>
      <c r="G623" s="2"/>
      <c r="H623" s="2"/>
      <c r="I623" s="19"/>
      <c r="J623" s="38"/>
      <c r="K623" s="2"/>
      <c r="L623" s="2"/>
      <c r="M623" s="2"/>
      <c r="N623" s="2"/>
      <c r="O623" s="2" t="s">
        <v>94</v>
      </c>
      <c r="P623" s="19" t="s">
        <v>832</v>
      </c>
      <c r="Q623" s="38"/>
      <c r="R623" s="38">
        <v>45917</v>
      </c>
      <c r="S623" s="2">
        <v>2</v>
      </c>
      <c r="T623" s="2">
        <v>50</v>
      </c>
    </row>
    <row r="624" spans="1:20" x14ac:dyDescent="0.2">
      <c r="A624" s="49" t="str">
        <f t="shared" si="25"/>
        <v>26/14</v>
      </c>
      <c r="B624" s="19" t="s">
        <v>826</v>
      </c>
      <c r="C624" s="19" t="s">
        <v>76</v>
      </c>
      <c r="D624" s="19" t="s">
        <v>76</v>
      </c>
      <c r="E624" s="19">
        <v>26</v>
      </c>
      <c r="F624" s="19">
        <v>14</v>
      </c>
      <c r="G624" s="2"/>
      <c r="H624" s="2"/>
      <c r="I624" s="19"/>
      <c r="J624" s="38"/>
      <c r="K624" s="2"/>
      <c r="L624" s="2"/>
      <c r="M624" s="2"/>
      <c r="N624" s="2"/>
      <c r="O624" s="2" t="s">
        <v>94</v>
      </c>
      <c r="P624" s="19" t="s">
        <v>835</v>
      </c>
      <c r="Q624" s="38"/>
      <c r="R624" s="38">
        <v>45917</v>
      </c>
      <c r="S624" s="2">
        <v>10</v>
      </c>
      <c r="T624" s="2">
        <v>243.55</v>
      </c>
    </row>
    <row r="625" spans="1:20" x14ac:dyDescent="0.2">
      <c r="A625" s="49" t="str">
        <f t="shared" si="25"/>
        <v>17/8.5-9</v>
      </c>
      <c r="B625" s="19" t="s">
        <v>506</v>
      </c>
      <c r="C625" s="19" t="s">
        <v>76</v>
      </c>
      <c r="D625" s="19" t="s">
        <v>76</v>
      </c>
      <c r="E625" s="19">
        <v>17</v>
      </c>
      <c r="F625" s="19" t="s">
        <v>171</v>
      </c>
      <c r="G625" s="2"/>
      <c r="H625" s="2"/>
      <c r="I625" s="19"/>
      <c r="J625" s="38"/>
      <c r="K625" s="2"/>
      <c r="L625" s="2"/>
      <c r="M625" s="2"/>
      <c r="N625" s="2"/>
      <c r="O625" s="2" t="s">
        <v>94</v>
      </c>
      <c r="P625" s="19" t="s">
        <v>832</v>
      </c>
      <c r="Q625" s="38"/>
      <c r="R625" s="38">
        <v>45917</v>
      </c>
      <c r="S625" s="2">
        <v>11</v>
      </c>
      <c r="T625" s="2">
        <v>275</v>
      </c>
    </row>
    <row r="626" spans="1:20" x14ac:dyDescent="0.2">
      <c r="A626" s="49" t="str">
        <f t="shared" si="25"/>
        <v>17/5.5-6</v>
      </c>
      <c r="B626" s="19" t="s">
        <v>827</v>
      </c>
      <c r="C626" s="19" t="s">
        <v>76</v>
      </c>
      <c r="D626" s="19" t="s">
        <v>76</v>
      </c>
      <c r="E626" s="19">
        <v>17</v>
      </c>
      <c r="F626" s="19" t="s">
        <v>5</v>
      </c>
      <c r="G626" s="2"/>
      <c r="H626" s="2"/>
      <c r="I626" s="19"/>
      <c r="J626" s="38"/>
      <c r="K626" s="2"/>
      <c r="L626" s="2"/>
      <c r="M626" s="2"/>
      <c r="N626" s="2"/>
      <c r="O626" s="2" t="s">
        <v>94</v>
      </c>
      <c r="P626" s="19" t="s">
        <v>845</v>
      </c>
      <c r="Q626" s="38"/>
      <c r="R626" s="38">
        <v>45918</v>
      </c>
      <c r="S626" s="2">
        <v>15</v>
      </c>
      <c r="T626" s="2">
        <v>375</v>
      </c>
    </row>
    <row r="627" spans="1:20" x14ac:dyDescent="0.2">
      <c r="A627" s="49" t="str">
        <f t="shared" si="25"/>
        <v>17/8.5-9</v>
      </c>
      <c r="B627" s="19" t="s">
        <v>506</v>
      </c>
      <c r="C627" s="19" t="s">
        <v>76</v>
      </c>
      <c r="D627" s="19" t="s">
        <v>76</v>
      </c>
      <c r="E627" s="19">
        <v>17</v>
      </c>
      <c r="F627" s="19" t="s">
        <v>171</v>
      </c>
      <c r="G627" s="2"/>
      <c r="H627" s="2"/>
      <c r="I627" s="19"/>
      <c r="J627" s="38"/>
      <c r="K627" s="2"/>
      <c r="L627" s="2"/>
      <c r="M627" s="2"/>
      <c r="N627" s="2"/>
      <c r="O627" s="2" t="s">
        <v>94</v>
      </c>
      <c r="P627" s="19" t="s">
        <v>832</v>
      </c>
      <c r="Q627" s="38"/>
      <c r="R627" s="38">
        <v>45918</v>
      </c>
      <c r="S627" s="2">
        <v>6</v>
      </c>
      <c r="T627" s="2">
        <v>155</v>
      </c>
    </row>
    <row r="628" spans="1:20" x14ac:dyDescent="0.2">
      <c r="A628" s="49" t="str">
        <f t="shared" si="25"/>
        <v>16/5</v>
      </c>
      <c r="B628" s="19" t="s">
        <v>86</v>
      </c>
      <c r="C628" s="19" t="s">
        <v>76</v>
      </c>
      <c r="D628" s="19" t="s">
        <v>76</v>
      </c>
      <c r="E628" s="19">
        <v>16</v>
      </c>
      <c r="F628" s="19">
        <v>5</v>
      </c>
      <c r="G628" s="2"/>
      <c r="H628" s="2"/>
      <c r="I628" s="19"/>
      <c r="J628" s="38"/>
      <c r="K628" s="2"/>
      <c r="L628" s="2"/>
      <c r="M628" s="2"/>
      <c r="N628" s="2"/>
      <c r="O628" s="2" t="s">
        <v>94</v>
      </c>
      <c r="P628" s="19" t="s">
        <v>862</v>
      </c>
      <c r="Q628" s="38"/>
      <c r="R628" s="38">
        <v>45918</v>
      </c>
      <c r="S628" s="2">
        <v>5</v>
      </c>
      <c r="T628" s="2">
        <v>125</v>
      </c>
    </row>
    <row r="629" spans="1:20" x14ac:dyDescent="0.2">
      <c r="A629" s="49" t="str">
        <f t="shared" si="25"/>
        <v>17/5.5-6</v>
      </c>
      <c r="B629" s="19" t="s">
        <v>827</v>
      </c>
      <c r="C629" s="19" t="s">
        <v>76</v>
      </c>
      <c r="D629" s="19" t="s">
        <v>76</v>
      </c>
      <c r="E629" s="19">
        <v>17</v>
      </c>
      <c r="F629" s="19" t="s">
        <v>5</v>
      </c>
      <c r="G629" s="2"/>
      <c r="H629" s="2"/>
      <c r="I629" s="19"/>
      <c r="J629" s="38"/>
      <c r="K629" s="2"/>
      <c r="L629" s="2"/>
      <c r="M629" s="2"/>
      <c r="N629" s="2"/>
      <c r="O629" s="2" t="s">
        <v>94</v>
      </c>
      <c r="P629" s="19" t="s">
        <v>845</v>
      </c>
      <c r="Q629" s="38"/>
      <c r="R629" s="38">
        <v>45918</v>
      </c>
      <c r="S629" s="2">
        <v>11</v>
      </c>
      <c r="T629" s="2">
        <v>275</v>
      </c>
    </row>
    <row r="630" spans="1:20" x14ac:dyDescent="0.2">
      <c r="A630" s="49" t="str">
        <f t="shared" si="25"/>
        <v>16/5</v>
      </c>
      <c r="B630" s="19" t="s">
        <v>86</v>
      </c>
      <c r="C630" s="19" t="s">
        <v>76</v>
      </c>
      <c r="D630" s="19" t="s">
        <v>76</v>
      </c>
      <c r="E630" s="19">
        <v>16</v>
      </c>
      <c r="F630" s="19">
        <v>5</v>
      </c>
      <c r="G630" s="2"/>
      <c r="H630" s="2"/>
      <c r="I630" s="19"/>
      <c r="J630" s="38"/>
      <c r="K630" s="2"/>
      <c r="L630" s="2"/>
      <c r="M630" s="2"/>
      <c r="N630" s="2"/>
      <c r="O630" s="2" t="s">
        <v>94</v>
      </c>
      <c r="P630" s="19" t="s">
        <v>862</v>
      </c>
      <c r="Q630" s="38"/>
      <c r="R630" s="38">
        <v>45918</v>
      </c>
      <c r="S630" s="2">
        <v>3</v>
      </c>
      <c r="T630" s="2">
        <v>65.8</v>
      </c>
    </row>
    <row r="631" spans="1:20" x14ac:dyDescent="0.2">
      <c r="A631" s="49" t="str">
        <f t="shared" si="25"/>
        <v>18/5</v>
      </c>
      <c r="B631" s="19" t="s">
        <v>864</v>
      </c>
      <c r="C631" s="19" t="s">
        <v>76</v>
      </c>
      <c r="D631" s="19" t="s">
        <v>76</v>
      </c>
      <c r="E631" s="19">
        <v>18</v>
      </c>
      <c r="F631" s="19">
        <v>5</v>
      </c>
      <c r="G631" s="2"/>
      <c r="H631" s="2"/>
      <c r="I631" s="19"/>
      <c r="J631" s="38"/>
      <c r="K631" s="2"/>
      <c r="L631" s="2"/>
      <c r="M631" s="2"/>
      <c r="N631" s="2"/>
      <c r="O631" s="2" t="s">
        <v>94</v>
      </c>
      <c r="P631" s="19" t="s">
        <v>863</v>
      </c>
      <c r="Q631" s="38"/>
      <c r="R631" s="38">
        <v>45918</v>
      </c>
      <c r="S631" s="2">
        <v>4</v>
      </c>
      <c r="T631" s="2">
        <v>102.7</v>
      </c>
    </row>
    <row r="632" spans="1:20" x14ac:dyDescent="0.2">
      <c r="A632" s="49" t="str">
        <f t="shared" si="25"/>
        <v>18/5</v>
      </c>
      <c r="B632" s="19" t="s">
        <v>86</v>
      </c>
      <c r="C632" s="19" t="s">
        <v>76</v>
      </c>
      <c r="D632" s="19" t="s">
        <v>76</v>
      </c>
      <c r="E632" s="19">
        <v>18</v>
      </c>
      <c r="F632" s="19">
        <v>5</v>
      </c>
      <c r="G632" s="2"/>
      <c r="H632" s="2"/>
      <c r="I632" s="19"/>
      <c r="J632" s="38"/>
      <c r="K632" s="2"/>
      <c r="L632" s="2"/>
      <c r="M632" s="2"/>
      <c r="N632" s="2"/>
      <c r="O632" s="2" t="s">
        <v>94</v>
      </c>
      <c r="P632" s="19" t="s">
        <v>865</v>
      </c>
      <c r="Q632" s="38"/>
      <c r="R632" s="38">
        <v>45918</v>
      </c>
      <c r="S632" s="2">
        <v>5</v>
      </c>
      <c r="T632" s="2">
        <v>125</v>
      </c>
    </row>
    <row r="633" spans="1:20" x14ac:dyDescent="0.2">
      <c r="A633" s="49" t="str">
        <f t="shared" si="25"/>
        <v>15/6.5</v>
      </c>
      <c r="B633" s="19" t="s">
        <v>165</v>
      </c>
      <c r="C633" s="19" t="s">
        <v>76</v>
      </c>
      <c r="D633" s="19" t="s">
        <v>76</v>
      </c>
      <c r="E633" s="19">
        <v>15</v>
      </c>
      <c r="F633" s="19">
        <v>6.5</v>
      </c>
      <c r="G633" s="2"/>
      <c r="H633" s="2"/>
      <c r="I633" s="2"/>
      <c r="J633" s="38"/>
      <c r="K633" s="2"/>
      <c r="L633" s="2"/>
      <c r="M633" s="2"/>
      <c r="N633" s="2"/>
      <c r="O633" s="2" t="s">
        <v>233</v>
      </c>
      <c r="P633" s="2" t="s">
        <v>817</v>
      </c>
      <c r="Q633" s="2"/>
      <c r="R633" s="38">
        <v>45915</v>
      </c>
      <c r="S633" s="2">
        <v>27</v>
      </c>
      <c r="T633" s="2">
        <v>1019.84</v>
      </c>
    </row>
    <row r="634" spans="1:20" x14ac:dyDescent="0.2">
      <c r="A634" s="49" t="str">
        <f t="shared" si="25"/>
        <v>9/5.5</v>
      </c>
      <c r="B634" s="19" t="s">
        <v>165</v>
      </c>
      <c r="C634" s="19" t="s">
        <v>76</v>
      </c>
      <c r="D634" s="19" t="s">
        <v>76</v>
      </c>
      <c r="E634" s="19">
        <v>9</v>
      </c>
      <c r="F634" s="19">
        <v>5.5</v>
      </c>
      <c r="G634" s="2"/>
      <c r="H634" s="2"/>
      <c r="I634" s="2"/>
      <c r="J634" s="38"/>
      <c r="K634" s="2"/>
      <c r="L634" s="2"/>
      <c r="M634" s="2"/>
      <c r="N634" s="2"/>
      <c r="O634" s="2" t="s">
        <v>233</v>
      </c>
      <c r="P634" s="2" t="s">
        <v>814</v>
      </c>
      <c r="Q634" s="2"/>
      <c r="R634" s="38">
        <v>45915</v>
      </c>
      <c r="S634" s="2">
        <v>2</v>
      </c>
      <c r="T634" s="2">
        <v>52.97</v>
      </c>
    </row>
    <row r="635" spans="1:20" x14ac:dyDescent="0.2">
      <c r="A635" s="49" t="str">
        <f t="shared" si="25"/>
        <v>2/5</v>
      </c>
      <c r="B635" s="19" t="s">
        <v>866</v>
      </c>
      <c r="C635" s="19" t="s">
        <v>76</v>
      </c>
      <c r="D635" s="19" t="s">
        <v>76</v>
      </c>
      <c r="E635" s="19">
        <v>2</v>
      </c>
      <c r="F635" s="19">
        <v>5</v>
      </c>
      <c r="G635" s="2"/>
      <c r="H635" s="2"/>
      <c r="I635" s="2"/>
      <c r="J635" s="38"/>
      <c r="K635" s="2"/>
      <c r="L635" s="2"/>
      <c r="M635" s="2"/>
      <c r="N635" s="2"/>
      <c r="O635" s="2" t="s">
        <v>233</v>
      </c>
      <c r="P635" s="2" t="s">
        <v>867</v>
      </c>
      <c r="Q635" s="2"/>
      <c r="R635" s="38">
        <v>45916</v>
      </c>
      <c r="S635" s="2">
        <v>4</v>
      </c>
      <c r="T635" s="2">
        <v>82.47</v>
      </c>
    </row>
    <row r="636" spans="1:20" x14ac:dyDescent="0.2">
      <c r="A636" s="49" t="str">
        <f t="shared" si="25"/>
        <v>2.5/5</v>
      </c>
      <c r="B636" s="19" t="s">
        <v>866</v>
      </c>
      <c r="C636" s="19" t="s">
        <v>76</v>
      </c>
      <c r="D636" s="19" t="s">
        <v>76</v>
      </c>
      <c r="E636" s="19">
        <v>2.5</v>
      </c>
      <c r="F636" s="19">
        <v>5</v>
      </c>
      <c r="G636" s="2"/>
      <c r="H636" s="2"/>
      <c r="I636" s="2"/>
      <c r="J636" s="38"/>
      <c r="K636" s="2"/>
      <c r="L636" s="2"/>
      <c r="M636" s="2"/>
      <c r="N636" s="2"/>
      <c r="O636" s="2" t="s">
        <v>233</v>
      </c>
      <c r="P636" s="2" t="s">
        <v>868</v>
      </c>
      <c r="Q636" s="2"/>
      <c r="R636" s="38">
        <v>45916</v>
      </c>
      <c r="S636" s="2">
        <v>2</v>
      </c>
      <c r="T636" s="2">
        <v>40.619999999999997</v>
      </c>
    </row>
    <row r="637" spans="1:20" x14ac:dyDescent="0.2">
      <c r="A637" s="49" t="str">
        <f t="shared" si="25"/>
        <v>19/6-6.5</v>
      </c>
      <c r="B637" s="19" t="s">
        <v>825</v>
      </c>
      <c r="C637" s="19" t="s">
        <v>76</v>
      </c>
      <c r="D637" s="19" t="s">
        <v>76</v>
      </c>
      <c r="E637" s="19">
        <v>19</v>
      </c>
      <c r="F637" s="19" t="s">
        <v>578</v>
      </c>
      <c r="G637" s="2"/>
      <c r="H637" s="2"/>
      <c r="I637" s="2"/>
      <c r="J637" s="38"/>
      <c r="K637" s="2"/>
      <c r="L637" s="2"/>
      <c r="M637" s="2"/>
      <c r="N637" s="2"/>
      <c r="O637" s="2" t="s">
        <v>233</v>
      </c>
      <c r="P637" s="2" t="s">
        <v>831</v>
      </c>
      <c r="Q637" s="2"/>
      <c r="R637" s="38">
        <v>45917</v>
      </c>
      <c r="S637" s="2">
        <v>3</v>
      </c>
      <c r="T637" s="2">
        <v>93.6</v>
      </c>
    </row>
    <row r="638" spans="1:20" x14ac:dyDescent="0.2">
      <c r="A638" s="49" t="str">
        <f t="shared" si="25"/>
        <v>24/5-5.5</v>
      </c>
      <c r="B638" s="19" t="s">
        <v>85</v>
      </c>
      <c r="C638" s="19" t="s">
        <v>76</v>
      </c>
      <c r="D638" s="19" t="s">
        <v>76</v>
      </c>
      <c r="E638" s="19">
        <v>24</v>
      </c>
      <c r="F638" s="19" t="s">
        <v>41</v>
      </c>
      <c r="G638" s="2"/>
      <c r="H638" s="2"/>
      <c r="I638" s="2"/>
      <c r="J638" s="38"/>
      <c r="K638" s="2"/>
      <c r="L638" s="2"/>
      <c r="M638" s="2"/>
      <c r="N638" s="2"/>
      <c r="O638" s="2" t="s">
        <v>233</v>
      </c>
      <c r="P638" s="2" t="s">
        <v>836</v>
      </c>
      <c r="Q638" s="2"/>
      <c r="R638" s="38">
        <v>45918</v>
      </c>
      <c r="S638" s="2">
        <v>14</v>
      </c>
      <c r="T638" s="2">
        <v>781.71</v>
      </c>
    </row>
    <row r="639" spans="1:20" x14ac:dyDescent="0.2">
      <c r="A639" s="49" t="str">
        <f t="shared" si="25"/>
        <v>3.5/5.5-6</v>
      </c>
      <c r="B639" s="19" t="s">
        <v>84</v>
      </c>
      <c r="C639" s="19" t="s">
        <v>76</v>
      </c>
      <c r="D639" s="19" t="s">
        <v>76</v>
      </c>
      <c r="E639" s="19">
        <v>3.5</v>
      </c>
      <c r="F639" s="19" t="s">
        <v>5</v>
      </c>
      <c r="G639" s="2"/>
      <c r="H639" s="2" t="s">
        <v>88</v>
      </c>
      <c r="I639" s="2" t="s">
        <v>584</v>
      </c>
      <c r="J639" s="38">
        <v>45919</v>
      </c>
      <c r="K639" s="2">
        <v>2</v>
      </c>
      <c r="L639" s="2">
        <v>27.06</v>
      </c>
      <c r="M639" s="2">
        <v>0.6</v>
      </c>
      <c r="N639" s="2">
        <f>+L639-M639</f>
        <v>26.459999999999997</v>
      </c>
      <c r="O639" s="2"/>
      <c r="P639" s="2"/>
      <c r="Q639" s="2"/>
      <c r="R639" s="38"/>
      <c r="S639" s="2"/>
      <c r="T639" s="2"/>
    </row>
    <row r="640" spans="1:20" x14ac:dyDescent="0.2">
      <c r="A640" s="49" t="str">
        <f t="shared" si="25"/>
        <v>4/4.5</v>
      </c>
      <c r="B640" s="19" t="s">
        <v>190</v>
      </c>
      <c r="C640" s="19" t="s">
        <v>76</v>
      </c>
      <c r="D640" s="19" t="s">
        <v>76</v>
      </c>
      <c r="E640" s="19">
        <v>4</v>
      </c>
      <c r="F640" s="19">
        <v>4.5</v>
      </c>
      <c r="G640" s="2"/>
      <c r="H640" s="2" t="s">
        <v>88</v>
      </c>
      <c r="I640" s="2" t="s">
        <v>985</v>
      </c>
      <c r="J640" s="38">
        <v>45919</v>
      </c>
      <c r="K640" s="2">
        <v>4</v>
      </c>
      <c r="L640" s="2">
        <v>56.47</v>
      </c>
      <c r="M640" s="2">
        <v>1.6</v>
      </c>
      <c r="N640" s="2">
        <f t="shared" ref="N640:N703" si="26">+L640-M640</f>
        <v>54.87</v>
      </c>
      <c r="O640" s="2"/>
      <c r="P640" s="2"/>
      <c r="Q640" s="2"/>
      <c r="R640" s="38"/>
      <c r="S640" s="2"/>
      <c r="T640" s="2"/>
    </row>
    <row r="641" spans="1:20" x14ac:dyDescent="0.2">
      <c r="A641" s="49" t="str">
        <f t="shared" si="25"/>
        <v>4/4.5</v>
      </c>
      <c r="B641" s="19" t="s">
        <v>190</v>
      </c>
      <c r="C641" s="19" t="s">
        <v>76</v>
      </c>
      <c r="D641" s="19" t="s">
        <v>76</v>
      </c>
      <c r="E641" s="19">
        <v>4</v>
      </c>
      <c r="F641" s="19">
        <v>4.5</v>
      </c>
      <c r="G641" s="2"/>
      <c r="H641" s="2" t="s">
        <v>88</v>
      </c>
      <c r="I641" s="2" t="s">
        <v>985</v>
      </c>
      <c r="J641" s="38">
        <v>45919</v>
      </c>
      <c r="K641" s="2">
        <v>7</v>
      </c>
      <c r="L641" s="2">
        <v>116.85000000000001</v>
      </c>
      <c r="M641" s="2">
        <v>2.8000000000000003</v>
      </c>
      <c r="N641" s="2">
        <f t="shared" si="26"/>
        <v>114.05000000000001</v>
      </c>
      <c r="O641" s="2"/>
      <c r="P641" s="2"/>
      <c r="Q641" s="2"/>
      <c r="R641" s="38"/>
      <c r="S641" s="2"/>
      <c r="T641" s="2"/>
    </row>
    <row r="642" spans="1:20" x14ac:dyDescent="0.2">
      <c r="A642" s="49" t="str">
        <f t="shared" si="25"/>
        <v>4/4.5</v>
      </c>
      <c r="B642" s="19" t="s">
        <v>190</v>
      </c>
      <c r="C642" s="19" t="s">
        <v>76</v>
      </c>
      <c r="D642" s="19" t="s">
        <v>76</v>
      </c>
      <c r="E642" s="19">
        <v>4</v>
      </c>
      <c r="F642" s="19">
        <v>4.5</v>
      </c>
      <c r="G642" s="2"/>
      <c r="H642" s="2" t="s">
        <v>88</v>
      </c>
      <c r="I642" s="2" t="s">
        <v>985</v>
      </c>
      <c r="J642" s="38">
        <v>45919</v>
      </c>
      <c r="K642" s="2">
        <v>7</v>
      </c>
      <c r="L642" s="2">
        <v>100.77000000000001</v>
      </c>
      <c r="M642" s="2">
        <v>2.8000000000000003</v>
      </c>
      <c r="N642" s="2">
        <f t="shared" si="26"/>
        <v>97.970000000000013</v>
      </c>
      <c r="O642" s="2"/>
      <c r="P642" s="2"/>
      <c r="Q642" s="2"/>
      <c r="R642" s="38"/>
      <c r="S642" s="2"/>
      <c r="T642" s="2"/>
    </row>
    <row r="643" spans="1:20" x14ac:dyDescent="0.2">
      <c r="A643" s="49" t="str">
        <f t="shared" si="25"/>
        <v>4/4.5</v>
      </c>
      <c r="B643" s="19" t="s">
        <v>190</v>
      </c>
      <c r="C643" s="19" t="s">
        <v>76</v>
      </c>
      <c r="D643" s="19" t="s">
        <v>76</v>
      </c>
      <c r="E643" s="19">
        <v>4</v>
      </c>
      <c r="F643" s="19">
        <v>4.5</v>
      </c>
      <c r="G643" s="2"/>
      <c r="H643" s="2" t="s">
        <v>88</v>
      </c>
      <c r="I643" s="2" t="s">
        <v>985</v>
      </c>
      <c r="J643" s="38">
        <v>45919</v>
      </c>
      <c r="K643" s="2">
        <v>1</v>
      </c>
      <c r="L643" s="2">
        <v>18.45</v>
      </c>
      <c r="M643" s="2">
        <v>0.4</v>
      </c>
      <c r="N643" s="2">
        <f t="shared" si="26"/>
        <v>18.05</v>
      </c>
      <c r="O643" s="2"/>
      <c r="P643" s="2"/>
      <c r="Q643" s="2"/>
      <c r="R643" s="38"/>
      <c r="S643" s="2"/>
      <c r="T643" s="2"/>
    </row>
    <row r="644" spans="1:20" x14ac:dyDescent="0.2">
      <c r="A644" s="49" t="str">
        <f t="shared" si="25"/>
        <v>5/4.5</v>
      </c>
      <c r="B644" s="19" t="s">
        <v>190</v>
      </c>
      <c r="C644" s="19" t="s">
        <v>76</v>
      </c>
      <c r="D644" s="19" t="s">
        <v>76</v>
      </c>
      <c r="E644" s="19">
        <v>5</v>
      </c>
      <c r="F644" s="19">
        <v>4.5</v>
      </c>
      <c r="G644" s="2"/>
      <c r="H644" s="2" t="s">
        <v>88</v>
      </c>
      <c r="I644" s="2" t="s">
        <v>986</v>
      </c>
      <c r="J644" s="38">
        <v>45919</v>
      </c>
      <c r="K644" s="2">
        <v>7</v>
      </c>
      <c r="L644" s="2">
        <v>116.91</v>
      </c>
      <c r="M644" s="2">
        <v>3.5</v>
      </c>
      <c r="N644" s="2">
        <f t="shared" si="26"/>
        <v>113.41</v>
      </c>
      <c r="O644" s="2"/>
      <c r="P644" s="2"/>
      <c r="Q644" s="2"/>
      <c r="R644" s="38"/>
      <c r="S644" s="2"/>
      <c r="T644" s="2"/>
    </row>
    <row r="645" spans="1:20" x14ac:dyDescent="0.2">
      <c r="A645" s="49" t="str">
        <f t="shared" si="25"/>
        <v>9/4.5</v>
      </c>
      <c r="B645" s="19" t="s">
        <v>190</v>
      </c>
      <c r="C645" s="19" t="s">
        <v>76</v>
      </c>
      <c r="D645" s="19" t="s">
        <v>76</v>
      </c>
      <c r="E645" s="19">
        <v>9</v>
      </c>
      <c r="F645" s="19">
        <v>4.5</v>
      </c>
      <c r="G645" s="2"/>
      <c r="H645" s="2" t="s">
        <v>88</v>
      </c>
      <c r="I645" s="2" t="s">
        <v>987</v>
      </c>
      <c r="J645" s="38">
        <v>45919</v>
      </c>
      <c r="K645" s="2">
        <v>4</v>
      </c>
      <c r="L645" s="2">
        <v>139.12</v>
      </c>
      <c r="M645" s="2">
        <v>3.6</v>
      </c>
      <c r="N645" s="2">
        <f t="shared" si="26"/>
        <v>135.52000000000001</v>
      </c>
      <c r="O645" s="2"/>
      <c r="P645" s="2"/>
      <c r="Q645" s="2"/>
      <c r="R645" s="38"/>
      <c r="S645" s="2"/>
      <c r="T645" s="2"/>
    </row>
    <row r="646" spans="1:20" x14ac:dyDescent="0.2">
      <c r="A646" s="49" t="str">
        <f t="shared" ref="A646:A709" si="27">CONCATENATE(E646,"/",F646)</f>
        <v>6/5-5.5</v>
      </c>
      <c r="B646" s="19" t="s">
        <v>84</v>
      </c>
      <c r="C646" s="19" t="s">
        <v>76</v>
      </c>
      <c r="D646" s="19" t="s">
        <v>76</v>
      </c>
      <c r="E646" s="19">
        <v>6</v>
      </c>
      <c r="F646" s="19" t="s">
        <v>41</v>
      </c>
      <c r="G646" s="2"/>
      <c r="H646" s="2" t="s">
        <v>88</v>
      </c>
      <c r="I646" s="2" t="s">
        <v>988</v>
      </c>
      <c r="J646" s="38">
        <v>45919</v>
      </c>
      <c r="K646" s="2">
        <v>4</v>
      </c>
      <c r="L646" s="2">
        <v>108.41</v>
      </c>
      <c r="M646" s="2">
        <v>2.4</v>
      </c>
      <c r="N646" s="2">
        <f t="shared" si="26"/>
        <v>106.00999999999999</v>
      </c>
      <c r="O646" s="2"/>
      <c r="P646" s="2"/>
      <c r="Q646" s="2"/>
      <c r="R646" s="38"/>
      <c r="S646" s="2"/>
      <c r="T646" s="2"/>
    </row>
    <row r="647" spans="1:20" x14ac:dyDescent="0.2">
      <c r="A647" s="49" t="str">
        <f t="shared" si="27"/>
        <v>6/5</v>
      </c>
      <c r="B647" s="19" t="s">
        <v>84</v>
      </c>
      <c r="C647" s="19" t="s">
        <v>76</v>
      </c>
      <c r="D647" s="19" t="s">
        <v>76</v>
      </c>
      <c r="E647" s="19">
        <v>6</v>
      </c>
      <c r="F647" s="19">
        <v>5</v>
      </c>
      <c r="G647" s="2"/>
      <c r="H647" s="2" t="s">
        <v>88</v>
      </c>
      <c r="I647" s="2" t="s">
        <v>989</v>
      </c>
      <c r="J647" s="38">
        <v>45919</v>
      </c>
      <c r="K647" s="2">
        <v>8</v>
      </c>
      <c r="L647" s="2">
        <v>188.61</v>
      </c>
      <c r="M647" s="2">
        <v>4.8</v>
      </c>
      <c r="N647" s="2">
        <f t="shared" si="26"/>
        <v>183.81</v>
      </c>
      <c r="O647" s="2"/>
      <c r="P647" s="2"/>
      <c r="Q647" s="2"/>
      <c r="R647" s="38"/>
      <c r="S647" s="2"/>
      <c r="T647" s="2"/>
    </row>
    <row r="648" spans="1:20" x14ac:dyDescent="0.2">
      <c r="A648" s="49" t="str">
        <f t="shared" si="27"/>
        <v>17/5.5-6</v>
      </c>
      <c r="B648" s="19" t="s">
        <v>827</v>
      </c>
      <c r="C648" s="19" t="s">
        <v>76</v>
      </c>
      <c r="D648" s="19" t="s">
        <v>76</v>
      </c>
      <c r="E648" s="19">
        <v>17</v>
      </c>
      <c r="F648" s="19" t="s">
        <v>5</v>
      </c>
      <c r="G648" s="2"/>
      <c r="H648" s="2" t="s">
        <v>88</v>
      </c>
      <c r="I648" s="2" t="s">
        <v>845</v>
      </c>
      <c r="J648" s="38">
        <v>45919</v>
      </c>
      <c r="K648" s="2">
        <v>8</v>
      </c>
      <c r="L648" s="2">
        <v>411.32</v>
      </c>
      <c r="M648" s="2">
        <v>15.2</v>
      </c>
      <c r="N648" s="2">
        <f t="shared" si="26"/>
        <v>396.12</v>
      </c>
      <c r="O648" s="2"/>
      <c r="P648" s="2"/>
      <c r="Q648" s="2"/>
      <c r="R648" s="38"/>
      <c r="S648" s="2"/>
      <c r="T648" s="2"/>
    </row>
    <row r="649" spans="1:20" x14ac:dyDescent="0.2">
      <c r="A649" s="49" t="str">
        <f t="shared" si="27"/>
        <v>13/6.5</v>
      </c>
      <c r="B649" s="19" t="s">
        <v>165</v>
      </c>
      <c r="C649" s="19" t="s">
        <v>76</v>
      </c>
      <c r="D649" s="19" t="s">
        <v>76</v>
      </c>
      <c r="E649" s="19" t="s">
        <v>13</v>
      </c>
      <c r="F649" s="19">
        <v>6.5</v>
      </c>
      <c r="G649" s="2"/>
      <c r="H649" s="2" t="s">
        <v>88</v>
      </c>
      <c r="I649" s="2" t="s">
        <v>847</v>
      </c>
      <c r="J649" s="38">
        <v>45919</v>
      </c>
      <c r="K649" s="2">
        <v>14</v>
      </c>
      <c r="L649" s="2">
        <v>539.47</v>
      </c>
      <c r="M649" s="2">
        <v>21.84</v>
      </c>
      <c r="N649" s="2">
        <f t="shared" si="26"/>
        <v>517.63</v>
      </c>
      <c r="O649" s="2"/>
      <c r="P649" s="2"/>
      <c r="Q649" s="2"/>
      <c r="R649" s="38"/>
      <c r="S649" s="2"/>
      <c r="T649" s="2"/>
    </row>
    <row r="650" spans="1:20" x14ac:dyDescent="0.2">
      <c r="A650" s="49" t="str">
        <f t="shared" si="27"/>
        <v>13/6.5</v>
      </c>
      <c r="B650" s="19" t="s">
        <v>165</v>
      </c>
      <c r="C650" s="19" t="s">
        <v>76</v>
      </c>
      <c r="D650" s="19" t="s">
        <v>76</v>
      </c>
      <c r="E650" s="19" t="s">
        <v>13</v>
      </c>
      <c r="F650" s="19">
        <v>6.5</v>
      </c>
      <c r="G650" s="2"/>
      <c r="H650" s="2" t="s">
        <v>88</v>
      </c>
      <c r="I650" s="2" t="s">
        <v>847</v>
      </c>
      <c r="J650" s="38">
        <v>45919</v>
      </c>
      <c r="K650" s="2">
        <v>7</v>
      </c>
      <c r="L650" s="2">
        <v>305.32</v>
      </c>
      <c r="M650" s="2">
        <v>10.92</v>
      </c>
      <c r="N650" s="2">
        <f t="shared" si="26"/>
        <v>294.39999999999998</v>
      </c>
      <c r="O650" s="2"/>
      <c r="P650" s="2"/>
      <c r="Q650" s="2"/>
      <c r="R650" s="38"/>
      <c r="S650" s="2"/>
      <c r="T650" s="2"/>
    </row>
    <row r="651" spans="1:20" x14ac:dyDescent="0.2">
      <c r="A651" s="49" t="str">
        <f t="shared" si="27"/>
        <v>13/7</v>
      </c>
      <c r="B651" s="19" t="s">
        <v>93</v>
      </c>
      <c r="C651" s="19" t="s">
        <v>76</v>
      </c>
      <c r="D651" s="19" t="s">
        <v>76</v>
      </c>
      <c r="E651" s="19">
        <v>13</v>
      </c>
      <c r="F651" s="19">
        <v>7</v>
      </c>
      <c r="G651" s="2"/>
      <c r="H651" s="2" t="s">
        <v>88</v>
      </c>
      <c r="I651" s="2" t="s">
        <v>990</v>
      </c>
      <c r="J651" s="38">
        <v>45919</v>
      </c>
      <c r="K651" s="2">
        <v>4</v>
      </c>
      <c r="L651" s="2">
        <v>181.38</v>
      </c>
      <c r="M651" s="2">
        <v>6.24</v>
      </c>
      <c r="N651" s="2">
        <f t="shared" si="26"/>
        <v>175.14</v>
      </c>
      <c r="O651" s="2"/>
      <c r="P651" s="2"/>
      <c r="Q651" s="2"/>
      <c r="R651" s="38"/>
      <c r="S651" s="2"/>
      <c r="T651" s="2"/>
    </row>
    <row r="652" spans="1:20" x14ac:dyDescent="0.2">
      <c r="A652" s="49" t="str">
        <f t="shared" si="27"/>
        <v>4/4.5</v>
      </c>
      <c r="B652" s="19" t="s">
        <v>190</v>
      </c>
      <c r="C652" s="19" t="s">
        <v>76</v>
      </c>
      <c r="D652" s="19" t="s">
        <v>76</v>
      </c>
      <c r="E652" s="19">
        <v>4</v>
      </c>
      <c r="F652" s="19">
        <v>4.5</v>
      </c>
      <c r="G652" s="2"/>
      <c r="H652" s="2" t="s">
        <v>88</v>
      </c>
      <c r="I652" s="2" t="s">
        <v>985</v>
      </c>
      <c r="J652" s="38">
        <v>45920</v>
      </c>
      <c r="K652" s="2">
        <v>7</v>
      </c>
      <c r="L652" s="2">
        <v>103.65</v>
      </c>
      <c r="M652" s="2">
        <v>2.8000000000000003</v>
      </c>
      <c r="N652" s="2">
        <f t="shared" si="26"/>
        <v>100.85000000000001</v>
      </c>
      <c r="O652" s="2"/>
      <c r="P652" s="2"/>
      <c r="Q652" s="2"/>
      <c r="R652" s="38"/>
      <c r="S652" s="2"/>
      <c r="T652" s="2"/>
    </row>
    <row r="653" spans="1:20" x14ac:dyDescent="0.2">
      <c r="A653" s="49" t="str">
        <f t="shared" si="27"/>
        <v>4/4.5</v>
      </c>
      <c r="B653" s="19" t="s">
        <v>972</v>
      </c>
      <c r="C653" s="19" t="s">
        <v>76</v>
      </c>
      <c r="D653" s="19" t="s">
        <v>76</v>
      </c>
      <c r="E653" s="19">
        <v>4</v>
      </c>
      <c r="F653" s="19">
        <v>4.5</v>
      </c>
      <c r="G653" s="2"/>
      <c r="H653" s="2" t="s">
        <v>88</v>
      </c>
      <c r="I653" s="2" t="s">
        <v>991</v>
      </c>
      <c r="J653" s="38">
        <v>45920</v>
      </c>
      <c r="K653" s="2">
        <v>1</v>
      </c>
      <c r="L653" s="2">
        <v>12.9</v>
      </c>
      <c r="M653" s="2">
        <v>0.4</v>
      </c>
      <c r="N653" s="2">
        <f t="shared" si="26"/>
        <v>12.5</v>
      </c>
      <c r="O653" s="2"/>
      <c r="P653" s="2"/>
      <c r="Q653" s="2"/>
      <c r="R653" s="38"/>
      <c r="S653" s="2"/>
      <c r="T653" s="2"/>
    </row>
    <row r="654" spans="1:20" x14ac:dyDescent="0.2">
      <c r="A654" s="49" t="str">
        <f t="shared" si="27"/>
        <v>4/4.5</v>
      </c>
      <c r="B654" s="19" t="s">
        <v>972</v>
      </c>
      <c r="C654" s="19" t="s">
        <v>76</v>
      </c>
      <c r="D654" s="19" t="s">
        <v>76</v>
      </c>
      <c r="E654" s="19">
        <v>4</v>
      </c>
      <c r="F654" s="19">
        <v>4.5</v>
      </c>
      <c r="G654" s="2"/>
      <c r="H654" s="2" t="s">
        <v>88</v>
      </c>
      <c r="I654" s="2" t="s">
        <v>991</v>
      </c>
      <c r="J654" s="38">
        <v>45920</v>
      </c>
      <c r="K654" s="2">
        <v>5</v>
      </c>
      <c r="L654" s="2">
        <v>79.650000000000006</v>
      </c>
      <c r="M654" s="2">
        <v>2</v>
      </c>
      <c r="N654" s="2">
        <f t="shared" si="26"/>
        <v>77.650000000000006</v>
      </c>
      <c r="O654" s="2"/>
      <c r="P654" s="2"/>
      <c r="Q654" s="2"/>
      <c r="R654" s="38"/>
      <c r="S654" s="2"/>
      <c r="T654" s="2"/>
    </row>
    <row r="655" spans="1:20" x14ac:dyDescent="0.2">
      <c r="A655" s="49" t="str">
        <f t="shared" si="27"/>
        <v>5/4.5</v>
      </c>
      <c r="B655" s="19" t="s">
        <v>190</v>
      </c>
      <c r="C655" s="19" t="s">
        <v>76</v>
      </c>
      <c r="D655" s="19" t="s">
        <v>76</v>
      </c>
      <c r="E655" s="19">
        <v>5</v>
      </c>
      <c r="F655" s="19">
        <v>4.5</v>
      </c>
      <c r="G655" s="2"/>
      <c r="H655" s="2" t="s">
        <v>88</v>
      </c>
      <c r="I655" s="2" t="s">
        <v>986</v>
      </c>
      <c r="J655" s="38">
        <v>45920</v>
      </c>
      <c r="K655" s="2">
        <v>9</v>
      </c>
      <c r="L655" s="2">
        <v>131.01</v>
      </c>
      <c r="M655" s="2">
        <v>4.5</v>
      </c>
      <c r="N655" s="2">
        <f t="shared" si="26"/>
        <v>126.50999999999999</v>
      </c>
      <c r="O655" s="2"/>
      <c r="P655" s="2"/>
      <c r="Q655" s="2"/>
      <c r="R655" s="38"/>
      <c r="S655" s="2"/>
      <c r="T655" s="2"/>
    </row>
    <row r="656" spans="1:20" x14ac:dyDescent="0.2">
      <c r="A656" s="49" t="str">
        <f t="shared" si="27"/>
        <v>5/4.5</v>
      </c>
      <c r="B656" s="19" t="s">
        <v>190</v>
      </c>
      <c r="C656" s="19" t="s">
        <v>76</v>
      </c>
      <c r="D656" s="19" t="s">
        <v>76</v>
      </c>
      <c r="E656" s="19">
        <v>5</v>
      </c>
      <c r="F656" s="19">
        <v>4.5</v>
      </c>
      <c r="G656" s="2"/>
      <c r="H656" s="2" t="s">
        <v>88</v>
      </c>
      <c r="I656" s="2" t="s">
        <v>986</v>
      </c>
      <c r="J656" s="38">
        <v>45920</v>
      </c>
      <c r="K656" s="2">
        <v>7</v>
      </c>
      <c r="L656" s="2">
        <v>112.58</v>
      </c>
      <c r="M656" s="2">
        <v>3.5</v>
      </c>
      <c r="N656" s="2">
        <f t="shared" si="26"/>
        <v>109.08</v>
      </c>
      <c r="O656" s="2"/>
      <c r="P656" s="2"/>
      <c r="Q656" s="2"/>
      <c r="R656" s="38"/>
      <c r="S656" s="2"/>
      <c r="T656" s="2"/>
    </row>
    <row r="657" spans="1:20" x14ac:dyDescent="0.2">
      <c r="A657" s="49" t="str">
        <f t="shared" si="27"/>
        <v>6/5</v>
      </c>
      <c r="B657" s="19" t="s">
        <v>84</v>
      </c>
      <c r="C657" s="19" t="s">
        <v>76</v>
      </c>
      <c r="D657" s="19" t="s">
        <v>76</v>
      </c>
      <c r="E657" s="19">
        <v>6</v>
      </c>
      <c r="F657" s="19">
        <v>5</v>
      </c>
      <c r="G657" s="2"/>
      <c r="H657" s="2" t="s">
        <v>88</v>
      </c>
      <c r="I657" s="2" t="s">
        <v>989</v>
      </c>
      <c r="J657" s="38">
        <v>45920</v>
      </c>
      <c r="K657" s="2">
        <v>8</v>
      </c>
      <c r="L657" s="2">
        <v>229.17000000000002</v>
      </c>
      <c r="M657" s="2">
        <v>4.8</v>
      </c>
      <c r="N657" s="2">
        <f t="shared" si="26"/>
        <v>224.37</v>
      </c>
      <c r="O657" s="2"/>
      <c r="P657" s="2"/>
      <c r="Q657" s="2"/>
      <c r="R657" s="38"/>
      <c r="S657" s="2"/>
      <c r="T657" s="2"/>
    </row>
    <row r="658" spans="1:20" x14ac:dyDescent="0.2">
      <c r="A658" s="49" t="str">
        <f t="shared" si="27"/>
        <v>6/5</v>
      </c>
      <c r="B658" s="19" t="s">
        <v>84</v>
      </c>
      <c r="C658" s="19" t="s">
        <v>76</v>
      </c>
      <c r="D658" s="19" t="s">
        <v>76</v>
      </c>
      <c r="E658" s="19">
        <v>6</v>
      </c>
      <c r="F658" s="19">
        <v>5</v>
      </c>
      <c r="G658" s="2"/>
      <c r="H658" s="2" t="s">
        <v>88</v>
      </c>
      <c r="I658" s="2" t="s">
        <v>989</v>
      </c>
      <c r="J658" s="38">
        <v>45920</v>
      </c>
      <c r="K658" s="2">
        <v>6</v>
      </c>
      <c r="L658" s="2">
        <v>158.76000000000002</v>
      </c>
      <c r="M658" s="2">
        <v>3.5999999999999996</v>
      </c>
      <c r="N658" s="2">
        <f t="shared" si="26"/>
        <v>155.16000000000003</v>
      </c>
      <c r="O658" s="2"/>
      <c r="P658" s="2"/>
      <c r="Q658" s="2"/>
      <c r="R658" s="38"/>
      <c r="S658" s="2"/>
      <c r="T658" s="2"/>
    </row>
    <row r="659" spans="1:20" x14ac:dyDescent="0.2">
      <c r="A659" s="49" t="str">
        <f t="shared" si="27"/>
        <v>18/5-5.5</v>
      </c>
      <c r="B659" s="19" t="s">
        <v>84</v>
      </c>
      <c r="C659" s="19" t="s">
        <v>76</v>
      </c>
      <c r="D659" s="19" t="s">
        <v>76</v>
      </c>
      <c r="E659" s="19">
        <v>18</v>
      </c>
      <c r="F659" s="19" t="s">
        <v>41</v>
      </c>
      <c r="G659" s="2"/>
      <c r="H659" s="2" t="s">
        <v>88</v>
      </c>
      <c r="I659" s="2" t="s">
        <v>992</v>
      </c>
      <c r="J659" s="38">
        <v>45920</v>
      </c>
      <c r="K659" s="2">
        <v>5</v>
      </c>
      <c r="L659" s="2">
        <v>248.32</v>
      </c>
      <c r="M659" s="2">
        <v>9</v>
      </c>
      <c r="N659" s="2">
        <f t="shared" si="26"/>
        <v>239.32</v>
      </c>
      <c r="O659" s="2"/>
      <c r="P659" s="2"/>
      <c r="Q659" s="2"/>
      <c r="R659" s="38"/>
      <c r="S659" s="2"/>
      <c r="T659" s="2"/>
    </row>
    <row r="660" spans="1:20" x14ac:dyDescent="0.2">
      <c r="A660" s="49" t="str">
        <f t="shared" si="27"/>
        <v>18/5-5.5</v>
      </c>
      <c r="B660" s="19" t="s">
        <v>85</v>
      </c>
      <c r="C660" s="19" t="s">
        <v>76</v>
      </c>
      <c r="D660" s="19" t="s">
        <v>76</v>
      </c>
      <c r="E660" s="19">
        <v>18</v>
      </c>
      <c r="F660" s="19" t="s">
        <v>41</v>
      </c>
      <c r="G660" s="2"/>
      <c r="H660" s="2" t="s">
        <v>88</v>
      </c>
      <c r="I660" s="2" t="s">
        <v>993</v>
      </c>
      <c r="J660" s="38">
        <v>45920</v>
      </c>
      <c r="K660" s="2">
        <v>9</v>
      </c>
      <c r="L660" s="2">
        <v>529.15000000000009</v>
      </c>
      <c r="M660" s="2">
        <v>19.8</v>
      </c>
      <c r="N660" s="2">
        <f t="shared" si="26"/>
        <v>509.35000000000008</v>
      </c>
      <c r="O660" s="2"/>
      <c r="P660" s="2"/>
      <c r="Q660" s="2"/>
      <c r="R660" s="38"/>
      <c r="S660" s="2"/>
      <c r="T660" s="2"/>
    </row>
    <row r="661" spans="1:20" x14ac:dyDescent="0.2">
      <c r="A661" s="49" t="str">
        <f t="shared" si="27"/>
        <v>13/7</v>
      </c>
      <c r="B661" s="19" t="s">
        <v>93</v>
      </c>
      <c r="C661" s="19" t="s">
        <v>76</v>
      </c>
      <c r="D661" s="19" t="s">
        <v>76</v>
      </c>
      <c r="E661" s="19">
        <v>13</v>
      </c>
      <c r="F661" s="19">
        <v>7</v>
      </c>
      <c r="G661" s="2"/>
      <c r="H661" s="2" t="s">
        <v>88</v>
      </c>
      <c r="I661" s="2" t="s">
        <v>990</v>
      </c>
      <c r="J661" s="38">
        <v>45920</v>
      </c>
      <c r="K661" s="2">
        <v>2</v>
      </c>
      <c r="L661" s="2">
        <v>93.22999999999999</v>
      </c>
      <c r="M661" s="2">
        <v>2.6</v>
      </c>
      <c r="N661" s="2">
        <f t="shared" si="26"/>
        <v>90.63</v>
      </c>
      <c r="O661" s="2"/>
      <c r="P661" s="2"/>
      <c r="Q661" s="2"/>
      <c r="R661" s="38"/>
      <c r="S661" s="2"/>
      <c r="T661" s="2"/>
    </row>
    <row r="662" spans="1:20" x14ac:dyDescent="0.2">
      <c r="A662" s="49" t="str">
        <f t="shared" si="27"/>
        <v>15/6.5</v>
      </c>
      <c r="B662" s="19" t="s">
        <v>165</v>
      </c>
      <c r="C662" s="19" t="s">
        <v>76</v>
      </c>
      <c r="D662" s="19" t="s">
        <v>76</v>
      </c>
      <c r="E662" s="19" t="s">
        <v>21</v>
      </c>
      <c r="F662" s="19">
        <v>6.5</v>
      </c>
      <c r="G662" s="2"/>
      <c r="H662" s="2" t="s">
        <v>88</v>
      </c>
      <c r="I662" s="2" t="s">
        <v>994</v>
      </c>
      <c r="J662" s="38">
        <v>45920</v>
      </c>
      <c r="K662" s="2">
        <v>10</v>
      </c>
      <c r="L662" s="2">
        <v>374.32</v>
      </c>
      <c r="M662" s="2">
        <v>15</v>
      </c>
      <c r="N662" s="2">
        <f t="shared" si="26"/>
        <v>359.32</v>
      </c>
      <c r="O662" s="2"/>
      <c r="P662" s="2"/>
      <c r="Q662" s="2"/>
      <c r="R662" s="38"/>
      <c r="S662" s="2"/>
      <c r="T662" s="2"/>
    </row>
    <row r="663" spans="1:20" x14ac:dyDescent="0.2">
      <c r="A663" s="49" t="str">
        <f t="shared" si="27"/>
        <v>15/6.5</v>
      </c>
      <c r="B663" s="19" t="s">
        <v>165</v>
      </c>
      <c r="C663" s="19" t="s">
        <v>76</v>
      </c>
      <c r="D663" s="19" t="s">
        <v>76</v>
      </c>
      <c r="E663" s="19" t="s">
        <v>21</v>
      </c>
      <c r="F663" s="19">
        <v>6.5</v>
      </c>
      <c r="G663" s="2"/>
      <c r="H663" s="2" t="s">
        <v>88</v>
      </c>
      <c r="I663" s="2" t="s">
        <v>994</v>
      </c>
      <c r="J663" s="38">
        <v>45920</v>
      </c>
      <c r="K663" s="2">
        <v>4</v>
      </c>
      <c r="L663" s="2">
        <v>132.60999999999999</v>
      </c>
      <c r="M663" s="2">
        <v>6</v>
      </c>
      <c r="N663" s="2">
        <f t="shared" si="26"/>
        <v>126.60999999999999</v>
      </c>
      <c r="O663" s="2"/>
      <c r="P663" s="2"/>
      <c r="Q663" s="2"/>
      <c r="R663" s="38"/>
      <c r="S663" s="2"/>
      <c r="T663" s="2"/>
    </row>
    <row r="664" spans="1:20" x14ac:dyDescent="0.2">
      <c r="A664" s="49" t="str">
        <f t="shared" si="27"/>
        <v>10/4.5</v>
      </c>
      <c r="B664" s="19" t="s">
        <v>972</v>
      </c>
      <c r="C664" s="19" t="s">
        <v>76</v>
      </c>
      <c r="D664" s="19" t="s">
        <v>76</v>
      </c>
      <c r="E664" s="19">
        <v>10</v>
      </c>
      <c r="F664" s="19">
        <v>4.5</v>
      </c>
      <c r="G664" s="2"/>
      <c r="H664" s="2" t="s">
        <v>88</v>
      </c>
      <c r="I664" s="2" t="s">
        <v>995</v>
      </c>
      <c r="J664" s="38">
        <v>45920</v>
      </c>
      <c r="K664" s="2">
        <v>3</v>
      </c>
      <c r="L664" s="2">
        <v>143.75</v>
      </c>
      <c r="M664" s="2">
        <v>3</v>
      </c>
      <c r="N664" s="2">
        <f t="shared" si="26"/>
        <v>140.75</v>
      </c>
      <c r="O664" s="2"/>
      <c r="P664" s="2"/>
      <c r="Q664" s="2"/>
      <c r="R664" s="38"/>
      <c r="S664" s="2"/>
      <c r="T664" s="2"/>
    </row>
    <row r="665" spans="1:20" x14ac:dyDescent="0.2">
      <c r="A665" s="49" t="str">
        <f t="shared" si="27"/>
        <v>/</v>
      </c>
      <c r="B665" s="19" t="s">
        <v>581</v>
      </c>
      <c r="C665" s="19"/>
      <c r="D665" s="19" t="s">
        <v>76</v>
      </c>
      <c r="E665" s="19"/>
      <c r="F665" s="19"/>
      <c r="G665" s="2"/>
      <c r="H665" s="2" t="s">
        <v>88</v>
      </c>
      <c r="I665" s="2"/>
      <c r="J665" s="38">
        <v>45921</v>
      </c>
      <c r="K665" s="2"/>
      <c r="L665" s="2"/>
      <c r="M665" s="2"/>
      <c r="N665" s="2">
        <f t="shared" si="26"/>
        <v>0</v>
      </c>
      <c r="O665" s="2"/>
      <c r="P665" s="2"/>
      <c r="Q665" s="2"/>
      <c r="R665" s="38"/>
      <c r="S665" s="2"/>
      <c r="T665" s="2"/>
    </row>
    <row r="666" spans="1:20" x14ac:dyDescent="0.2">
      <c r="A666" s="49" t="str">
        <f t="shared" si="27"/>
        <v>5/4.5</v>
      </c>
      <c r="B666" s="19" t="s">
        <v>190</v>
      </c>
      <c r="C666" s="19" t="s">
        <v>76</v>
      </c>
      <c r="D666" s="19" t="s">
        <v>76</v>
      </c>
      <c r="E666" s="19">
        <v>5</v>
      </c>
      <c r="F666" s="19">
        <v>4.5</v>
      </c>
      <c r="G666" s="2"/>
      <c r="H666" s="2" t="s">
        <v>88</v>
      </c>
      <c r="I666" s="2" t="s">
        <v>986</v>
      </c>
      <c r="J666" s="38">
        <v>45922</v>
      </c>
      <c r="K666" s="2">
        <v>5</v>
      </c>
      <c r="L666" s="2">
        <v>92.63000000000001</v>
      </c>
      <c r="M666" s="2">
        <v>2.5</v>
      </c>
      <c r="N666" s="2">
        <f t="shared" si="26"/>
        <v>90.13000000000001</v>
      </c>
      <c r="O666" s="2"/>
      <c r="P666" s="2"/>
      <c r="Q666" s="2"/>
      <c r="R666" s="38"/>
      <c r="S666" s="2"/>
      <c r="T666" s="2"/>
    </row>
    <row r="667" spans="1:20" x14ac:dyDescent="0.2">
      <c r="A667" s="49" t="str">
        <f t="shared" si="27"/>
        <v>6/5</v>
      </c>
      <c r="B667" s="19" t="s">
        <v>84</v>
      </c>
      <c r="C667" s="19" t="s">
        <v>76</v>
      </c>
      <c r="D667" s="19" t="s">
        <v>76</v>
      </c>
      <c r="E667" s="19">
        <v>6</v>
      </c>
      <c r="F667" s="19">
        <v>5</v>
      </c>
      <c r="G667" s="2"/>
      <c r="H667" s="2" t="s">
        <v>88</v>
      </c>
      <c r="I667" s="2" t="s">
        <v>989</v>
      </c>
      <c r="J667" s="38">
        <v>45922</v>
      </c>
      <c r="K667" s="2">
        <v>7</v>
      </c>
      <c r="L667" s="2">
        <v>187.96</v>
      </c>
      <c r="M667" s="2">
        <v>4.2</v>
      </c>
      <c r="N667" s="2">
        <f t="shared" si="26"/>
        <v>183.76000000000002</v>
      </c>
      <c r="O667" s="2"/>
      <c r="P667" s="2"/>
      <c r="Q667" s="2"/>
      <c r="R667" s="38"/>
      <c r="S667" s="2"/>
      <c r="T667" s="2"/>
    </row>
    <row r="668" spans="1:20" x14ac:dyDescent="0.2">
      <c r="A668" s="49" t="str">
        <f t="shared" si="27"/>
        <v>6/5</v>
      </c>
      <c r="B668" s="19" t="s">
        <v>84</v>
      </c>
      <c r="C668" s="19" t="s">
        <v>76</v>
      </c>
      <c r="D668" s="19" t="s">
        <v>76</v>
      </c>
      <c r="E668" s="19">
        <v>6</v>
      </c>
      <c r="F668" s="19">
        <v>5</v>
      </c>
      <c r="G668" s="2"/>
      <c r="H668" s="2" t="s">
        <v>88</v>
      </c>
      <c r="I668" s="2" t="s">
        <v>989</v>
      </c>
      <c r="J668" s="38">
        <v>45922</v>
      </c>
      <c r="K668" s="2">
        <v>12</v>
      </c>
      <c r="L668" s="2">
        <v>339.87</v>
      </c>
      <c r="M668" s="2">
        <v>7.1999999999999993</v>
      </c>
      <c r="N668" s="2">
        <f t="shared" si="26"/>
        <v>332.67</v>
      </c>
      <c r="O668" s="2"/>
      <c r="P668" s="2"/>
      <c r="Q668" s="2"/>
      <c r="R668" s="38"/>
      <c r="S668" s="2"/>
      <c r="T668" s="2"/>
    </row>
    <row r="669" spans="1:20" x14ac:dyDescent="0.2">
      <c r="A669" s="49" t="str">
        <f t="shared" si="27"/>
        <v>18/5-5.5</v>
      </c>
      <c r="B669" s="19" t="s">
        <v>85</v>
      </c>
      <c r="C669" s="19" t="s">
        <v>76</v>
      </c>
      <c r="D669" s="19" t="s">
        <v>76</v>
      </c>
      <c r="E669" s="19">
        <v>18</v>
      </c>
      <c r="F669" s="19" t="s">
        <v>41</v>
      </c>
      <c r="G669" s="2"/>
      <c r="H669" s="2" t="s">
        <v>88</v>
      </c>
      <c r="I669" s="2" t="s">
        <v>993</v>
      </c>
      <c r="J669" s="38">
        <v>45922</v>
      </c>
      <c r="K669" s="2">
        <v>8</v>
      </c>
      <c r="L669" s="2">
        <v>447.74</v>
      </c>
      <c r="M669" s="2">
        <v>14.8</v>
      </c>
      <c r="N669" s="2">
        <f t="shared" si="26"/>
        <v>432.94</v>
      </c>
      <c r="O669" s="2"/>
      <c r="P669" s="2"/>
      <c r="Q669" s="2"/>
      <c r="R669" s="38"/>
      <c r="S669" s="2"/>
      <c r="T669" s="2"/>
    </row>
    <row r="670" spans="1:20" x14ac:dyDescent="0.2">
      <c r="A670" s="49" t="str">
        <f t="shared" si="27"/>
        <v>18/5-5.5</v>
      </c>
      <c r="B670" s="19" t="s">
        <v>84</v>
      </c>
      <c r="C670" s="19" t="s">
        <v>76</v>
      </c>
      <c r="D670" s="19" t="s">
        <v>76</v>
      </c>
      <c r="E670" s="19">
        <v>18</v>
      </c>
      <c r="F670" s="19" t="s">
        <v>41</v>
      </c>
      <c r="G670" s="2"/>
      <c r="H670" s="2" t="s">
        <v>88</v>
      </c>
      <c r="I670" s="2" t="s">
        <v>992</v>
      </c>
      <c r="J670" s="38">
        <v>45922</v>
      </c>
      <c r="K670" s="2">
        <v>13</v>
      </c>
      <c r="L670" s="2">
        <v>723.02</v>
      </c>
      <c r="M670" s="2">
        <v>23.400000000000002</v>
      </c>
      <c r="N670" s="2">
        <f t="shared" si="26"/>
        <v>699.62</v>
      </c>
      <c r="O670" s="2"/>
      <c r="P670" s="2"/>
      <c r="Q670" s="2"/>
      <c r="R670" s="38"/>
      <c r="S670" s="2"/>
      <c r="T670" s="2"/>
    </row>
    <row r="671" spans="1:20" x14ac:dyDescent="0.2">
      <c r="A671" s="49" t="str">
        <f t="shared" si="27"/>
        <v>10/4.5</v>
      </c>
      <c r="B671" s="19" t="s">
        <v>972</v>
      </c>
      <c r="C671" s="19" t="s">
        <v>76</v>
      </c>
      <c r="D671" s="19" t="s">
        <v>76</v>
      </c>
      <c r="E671" s="19">
        <v>10</v>
      </c>
      <c r="F671" s="19">
        <v>4.5</v>
      </c>
      <c r="G671" s="2"/>
      <c r="H671" s="2" t="s">
        <v>88</v>
      </c>
      <c r="I671" s="2" t="s">
        <v>995</v>
      </c>
      <c r="J671" s="38">
        <v>45922</v>
      </c>
      <c r="K671" s="2">
        <v>3</v>
      </c>
      <c r="L671" s="2">
        <v>74.87</v>
      </c>
      <c r="M671" s="2">
        <v>3.3000000000000003</v>
      </c>
      <c r="N671" s="2">
        <f t="shared" si="26"/>
        <v>71.570000000000007</v>
      </c>
      <c r="O671" s="2"/>
      <c r="P671" s="2"/>
      <c r="Q671" s="2"/>
      <c r="R671" s="38"/>
      <c r="S671" s="2"/>
      <c r="T671" s="2"/>
    </row>
    <row r="672" spans="1:20" x14ac:dyDescent="0.2">
      <c r="A672" s="49" t="str">
        <f t="shared" si="27"/>
        <v>10/14</v>
      </c>
      <c r="B672" s="19" t="s">
        <v>973</v>
      </c>
      <c r="C672" s="19" t="s">
        <v>76</v>
      </c>
      <c r="D672" s="19" t="s">
        <v>76</v>
      </c>
      <c r="E672" s="19" t="s">
        <v>16</v>
      </c>
      <c r="F672" s="19">
        <v>14</v>
      </c>
      <c r="G672" s="2"/>
      <c r="H672" s="2" t="s">
        <v>88</v>
      </c>
      <c r="I672" s="2" t="s">
        <v>996</v>
      </c>
      <c r="J672" s="38">
        <v>45922</v>
      </c>
      <c r="K672" s="2">
        <v>6</v>
      </c>
      <c r="L672" s="2">
        <v>204.02</v>
      </c>
      <c r="M672" s="2">
        <v>6.6000000000000005</v>
      </c>
      <c r="N672" s="2">
        <f t="shared" si="26"/>
        <v>197.42000000000002</v>
      </c>
      <c r="O672" s="2"/>
      <c r="P672" s="2"/>
      <c r="Q672" s="2"/>
      <c r="R672" s="38"/>
      <c r="S672" s="2"/>
      <c r="T672" s="2"/>
    </row>
    <row r="673" spans="1:20" x14ac:dyDescent="0.2">
      <c r="A673" s="49" t="str">
        <f t="shared" si="27"/>
        <v>10/7</v>
      </c>
      <c r="B673" s="19" t="s">
        <v>824</v>
      </c>
      <c r="C673" s="19" t="s">
        <v>76</v>
      </c>
      <c r="D673" s="19" t="s">
        <v>76</v>
      </c>
      <c r="E673" s="19">
        <v>10</v>
      </c>
      <c r="F673" s="19">
        <v>7</v>
      </c>
      <c r="G673" s="2"/>
      <c r="H673" s="2" t="s">
        <v>88</v>
      </c>
      <c r="I673" s="2" t="s">
        <v>997</v>
      </c>
      <c r="J673" s="38">
        <v>45922</v>
      </c>
      <c r="K673" s="2">
        <v>4</v>
      </c>
      <c r="L673" s="2">
        <v>106.95</v>
      </c>
      <c r="M673" s="2">
        <v>7.6</v>
      </c>
      <c r="N673" s="2">
        <f t="shared" si="26"/>
        <v>99.350000000000009</v>
      </c>
      <c r="O673" s="2"/>
      <c r="P673" s="2"/>
      <c r="Q673" s="2"/>
      <c r="R673" s="38"/>
      <c r="S673" s="2"/>
      <c r="T673" s="2"/>
    </row>
    <row r="674" spans="1:20" x14ac:dyDescent="0.2">
      <c r="A674" s="49" t="str">
        <f t="shared" si="27"/>
        <v>10/5-5.5</v>
      </c>
      <c r="B674" s="19" t="s">
        <v>84</v>
      </c>
      <c r="C674" s="19" t="s">
        <v>76</v>
      </c>
      <c r="D674" s="19" t="s">
        <v>76</v>
      </c>
      <c r="E674" s="19">
        <v>10</v>
      </c>
      <c r="F674" s="19" t="s">
        <v>41</v>
      </c>
      <c r="G674" s="2"/>
      <c r="H674" s="2" t="s">
        <v>88</v>
      </c>
      <c r="I674" s="2" t="s">
        <v>134</v>
      </c>
      <c r="J674" s="38">
        <v>45922</v>
      </c>
      <c r="K674" s="2">
        <v>9</v>
      </c>
      <c r="L674" s="2">
        <v>442.78999999999996</v>
      </c>
      <c r="M674" s="2">
        <v>8.1</v>
      </c>
      <c r="N674" s="2">
        <f t="shared" si="26"/>
        <v>434.68999999999994</v>
      </c>
      <c r="O674" s="2"/>
      <c r="P674" s="2"/>
      <c r="Q674" s="2"/>
      <c r="R674" s="38"/>
      <c r="S674" s="2"/>
      <c r="T674" s="2"/>
    </row>
    <row r="675" spans="1:20" x14ac:dyDescent="0.2">
      <c r="A675" s="49" t="str">
        <f t="shared" si="27"/>
        <v>16/5.5-6</v>
      </c>
      <c r="B675" s="19" t="s">
        <v>92</v>
      </c>
      <c r="C675" s="19" t="s">
        <v>76</v>
      </c>
      <c r="D675" s="19" t="s">
        <v>76</v>
      </c>
      <c r="E675" s="19">
        <v>16</v>
      </c>
      <c r="F675" s="19" t="s">
        <v>5</v>
      </c>
      <c r="G675" s="2"/>
      <c r="H675" s="2" t="s">
        <v>88</v>
      </c>
      <c r="I675" s="2" t="s">
        <v>998</v>
      </c>
      <c r="J675" s="38">
        <v>45922</v>
      </c>
      <c r="K675" s="2">
        <v>2</v>
      </c>
      <c r="L675" s="2">
        <v>83.97999999999999</v>
      </c>
      <c r="M675" s="2">
        <v>3.4</v>
      </c>
      <c r="N675" s="2">
        <f t="shared" si="26"/>
        <v>80.579999999999984</v>
      </c>
      <c r="O675" s="2"/>
      <c r="P675" s="2"/>
      <c r="Q675" s="2"/>
      <c r="R675" s="38"/>
      <c r="S675" s="2"/>
      <c r="T675" s="2"/>
    </row>
    <row r="676" spans="1:20" x14ac:dyDescent="0.2">
      <c r="A676" s="49" t="str">
        <f t="shared" si="27"/>
        <v>17/5.5-6</v>
      </c>
      <c r="B676" s="19" t="s">
        <v>827</v>
      </c>
      <c r="C676" s="19" t="s">
        <v>76</v>
      </c>
      <c r="D676" s="19" t="s">
        <v>76</v>
      </c>
      <c r="E676" s="19">
        <v>17</v>
      </c>
      <c r="F676" s="19" t="s">
        <v>5</v>
      </c>
      <c r="G676" s="2"/>
      <c r="H676" s="2" t="s">
        <v>88</v>
      </c>
      <c r="I676" s="2" t="s">
        <v>845</v>
      </c>
      <c r="J676" s="38">
        <v>45922</v>
      </c>
      <c r="K676" s="2">
        <v>6</v>
      </c>
      <c r="L676" s="2">
        <v>243.59</v>
      </c>
      <c r="M676" s="2">
        <v>10.95</v>
      </c>
      <c r="N676" s="2">
        <f t="shared" si="26"/>
        <v>232.64000000000001</v>
      </c>
      <c r="O676" s="2"/>
      <c r="P676" s="2"/>
      <c r="Q676" s="2"/>
      <c r="R676" s="38"/>
      <c r="S676" s="2"/>
      <c r="T676" s="2"/>
    </row>
    <row r="677" spans="1:20" x14ac:dyDescent="0.2">
      <c r="A677" s="49" t="str">
        <f t="shared" si="27"/>
        <v>17/5.5-6</v>
      </c>
      <c r="B677" s="19" t="s">
        <v>827</v>
      </c>
      <c r="C677" s="19" t="s">
        <v>76</v>
      </c>
      <c r="D677" s="19" t="s">
        <v>76</v>
      </c>
      <c r="E677" s="19">
        <v>17</v>
      </c>
      <c r="F677" s="19" t="s">
        <v>5</v>
      </c>
      <c r="G677" s="2"/>
      <c r="H677" s="2" t="s">
        <v>88</v>
      </c>
      <c r="I677" s="2" t="s">
        <v>845</v>
      </c>
      <c r="J677" s="38">
        <v>45922</v>
      </c>
      <c r="K677" s="2">
        <v>9</v>
      </c>
      <c r="L677" s="2">
        <v>293.96999999999997</v>
      </c>
      <c r="M677" s="2">
        <v>18</v>
      </c>
      <c r="N677" s="2">
        <f t="shared" si="26"/>
        <v>275.96999999999997</v>
      </c>
      <c r="O677" s="2"/>
      <c r="P677" s="2"/>
      <c r="Q677" s="2"/>
      <c r="R677" s="38"/>
      <c r="S677" s="2"/>
      <c r="T677" s="2"/>
    </row>
    <row r="678" spans="1:20" x14ac:dyDescent="0.2">
      <c r="A678" s="49" t="str">
        <f t="shared" si="27"/>
        <v>5/4.5</v>
      </c>
      <c r="B678" s="19" t="s">
        <v>190</v>
      </c>
      <c r="C678" s="19" t="s">
        <v>76</v>
      </c>
      <c r="D678" s="19" t="s">
        <v>76</v>
      </c>
      <c r="E678" s="19">
        <v>5</v>
      </c>
      <c r="F678" s="19">
        <v>4.5</v>
      </c>
      <c r="G678" s="2"/>
      <c r="H678" s="2" t="s">
        <v>88</v>
      </c>
      <c r="I678" s="2" t="s">
        <v>986</v>
      </c>
      <c r="J678" s="38">
        <v>45923</v>
      </c>
      <c r="K678" s="2">
        <v>8</v>
      </c>
      <c r="L678" s="2">
        <v>125.50999999999999</v>
      </c>
      <c r="M678" s="2">
        <v>4</v>
      </c>
      <c r="N678" s="2">
        <f t="shared" si="26"/>
        <v>121.50999999999999</v>
      </c>
      <c r="O678" s="2"/>
      <c r="P678" s="2"/>
      <c r="Q678" s="2"/>
      <c r="R678" s="38"/>
      <c r="S678" s="2"/>
      <c r="T678" s="2"/>
    </row>
    <row r="679" spans="1:20" x14ac:dyDescent="0.2">
      <c r="A679" s="49" t="str">
        <f t="shared" si="27"/>
        <v>5/4.5</v>
      </c>
      <c r="B679" s="19" t="s">
        <v>190</v>
      </c>
      <c r="C679" s="19" t="s">
        <v>76</v>
      </c>
      <c r="D679" s="19" t="s">
        <v>76</v>
      </c>
      <c r="E679" s="19">
        <v>5</v>
      </c>
      <c r="F679" s="19">
        <v>4.5</v>
      </c>
      <c r="G679" s="2"/>
      <c r="H679" s="2" t="s">
        <v>88</v>
      </c>
      <c r="I679" s="2" t="s">
        <v>986</v>
      </c>
      <c r="J679" s="38">
        <v>45923</v>
      </c>
      <c r="K679" s="2">
        <v>7</v>
      </c>
      <c r="L679" s="2">
        <v>123.85</v>
      </c>
      <c r="M679" s="2">
        <v>3.5</v>
      </c>
      <c r="N679" s="2">
        <f t="shared" si="26"/>
        <v>120.35</v>
      </c>
      <c r="O679" s="2"/>
      <c r="P679" s="2"/>
      <c r="Q679" s="2"/>
      <c r="R679" s="38"/>
      <c r="S679" s="2"/>
      <c r="T679" s="2"/>
    </row>
    <row r="680" spans="1:20" x14ac:dyDescent="0.2">
      <c r="A680" s="49" t="str">
        <f t="shared" si="27"/>
        <v>6/5</v>
      </c>
      <c r="B680" s="19" t="s">
        <v>84</v>
      </c>
      <c r="C680" s="19" t="s">
        <v>76</v>
      </c>
      <c r="D680" s="19" t="s">
        <v>76</v>
      </c>
      <c r="E680" s="19">
        <v>6</v>
      </c>
      <c r="F680" s="19">
        <v>5</v>
      </c>
      <c r="G680" s="2"/>
      <c r="H680" s="2" t="s">
        <v>88</v>
      </c>
      <c r="I680" s="2" t="s">
        <v>989</v>
      </c>
      <c r="J680" s="38">
        <v>45923</v>
      </c>
      <c r="K680" s="2">
        <v>7</v>
      </c>
      <c r="L680" s="2">
        <v>190.46999999999997</v>
      </c>
      <c r="M680" s="2">
        <v>4.2</v>
      </c>
      <c r="N680" s="2">
        <f t="shared" si="26"/>
        <v>186.26999999999998</v>
      </c>
      <c r="O680" s="2"/>
      <c r="P680" s="2"/>
      <c r="Q680" s="2"/>
      <c r="R680" s="38"/>
      <c r="S680" s="2"/>
      <c r="T680" s="2"/>
    </row>
    <row r="681" spans="1:20" x14ac:dyDescent="0.2">
      <c r="A681" s="49" t="str">
        <f t="shared" si="27"/>
        <v>6/6</v>
      </c>
      <c r="B681" s="19" t="s">
        <v>974</v>
      </c>
      <c r="C681" s="19" t="s">
        <v>76</v>
      </c>
      <c r="D681" s="19" t="s">
        <v>76</v>
      </c>
      <c r="E681" s="19">
        <v>6</v>
      </c>
      <c r="F681" s="19">
        <v>6</v>
      </c>
      <c r="G681" s="2"/>
      <c r="H681" s="2" t="s">
        <v>88</v>
      </c>
      <c r="I681" s="2" t="s">
        <v>999</v>
      </c>
      <c r="J681" s="38">
        <v>45923</v>
      </c>
      <c r="K681" s="2">
        <v>1</v>
      </c>
      <c r="L681" s="2">
        <v>205.74</v>
      </c>
      <c r="M681" s="2">
        <v>0.6</v>
      </c>
      <c r="N681" s="2">
        <f t="shared" si="26"/>
        <v>205.14000000000001</v>
      </c>
      <c r="O681" s="2"/>
      <c r="P681" s="2"/>
      <c r="Q681" s="2"/>
      <c r="R681" s="38"/>
      <c r="S681" s="2"/>
      <c r="T681" s="2"/>
    </row>
    <row r="682" spans="1:20" x14ac:dyDescent="0.2">
      <c r="A682" s="49" t="str">
        <f t="shared" si="27"/>
        <v>6/7.5-8</v>
      </c>
      <c r="B682" s="19" t="s">
        <v>541</v>
      </c>
      <c r="C682" s="19" t="s">
        <v>76</v>
      </c>
      <c r="D682" s="19" t="s">
        <v>76</v>
      </c>
      <c r="E682" s="19">
        <v>6</v>
      </c>
      <c r="F682" s="19" t="s">
        <v>264</v>
      </c>
      <c r="G682" s="2"/>
      <c r="H682" s="2" t="s">
        <v>88</v>
      </c>
      <c r="I682" s="2" t="s">
        <v>1000</v>
      </c>
      <c r="J682" s="38">
        <v>45923</v>
      </c>
      <c r="K682" s="2">
        <v>8</v>
      </c>
      <c r="L682" s="2">
        <v>47.599999999999994</v>
      </c>
      <c r="M682" s="2">
        <v>4.8</v>
      </c>
      <c r="N682" s="2">
        <f t="shared" si="26"/>
        <v>42.8</v>
      </c>
      <c r="O682" s="2"/>
      <c r="P682" s="2"/>
      <c r="Q682" s="2"/>
      <c r="R682" s="38"/>
      <c r="S682" s="2"/>
      <c r="T682" s="2"/>
    </row>
    <row r="683" spans="1:20" x14ac:dyDescent="0.2">
      <c r="A683" s="49" t="str">
        <f t="shared" si="27"/>
        <v>18/5-5.5</v>
      </c>
      <c r="B683" s="19" t="s">
        <v>84</v>
      </c>
      <c r="C683" s="19" t="s">
        <v>76</v>
      </c>
      <c r="D683" s="19" t="s">
        <v>76</v>
      </c>
      <c r="E683" s="19">
        <v>18</v>
      </c>
      <c r="F683" s="19" t="s">
        <v>41</v>
      </c>
      <c r="G683" s="2"/>
      <c r="H683" s="2" t="s">
        <v>88</v>
      </c>
      <c r="I683" s="2" t="s">
        <v>992</v>
      </c>
      <c r="J683" s="38">
        <v>45923</v>
      </c>
      <c r="K683" s="2">
        <v>6</v>
      </c>
      <c r="L683" s="2">
        <v>340.03</v>
      </c>
      <c r="M683" s="2">
        <v>11.2</v>
      </c>
      <c r="N683" s="2">
        <f t="shared" si="26"/>
        <v>328.83</v>
      </c>
      <c r="O683" s="2"/>
      <c r="P683" s="2"/>
      <c r="Q683" s="2"/>
      <c r="R683" s="38"/>
      <c r="S683" s="2"/>
      <c r="T683" s="2"/>
    </row>
    <row r="684" spans="1:20" x14ac:dyDescent="0.2">
      <c r="A684" s="49" t="str">
        <f t="shared" si="27"/>
        <v>20/5-5.5</v>
      </c>
      <c r="B684" s="19" t="s">
        <v>85</v>
      </c>
      <c r="C684" s="19" t="s">
        <v>76</v>
      </c>
      <c r="D684" s="19" t="s">
        <v>76</v>
      </c>
      <c r="E684" s="19">
        <v>20</v>
      </c>
      <c r="F684" s="19" t="s">
        <v>41</v>
      </c>
      <c r="G684" s="2"/>
      <c r="H684" s="2" t="s">
        <v>88</v>
      </c>
      <c r="I684" s="2" t="s">
        <v>1001</v>
      </c>
      <c r="J684" s="38">
        <v>45923</v>
      </c>
      <c r="K684" s="2">
        <v>6</v>
      </c>
      <c r="L684" s="2">
        <v>347.3</v>
      </c>
      <c r="M684" s="2">
        <v>9.6000000000000014</v>
      </c>
      <c r="N684" s="2">
        <f t="shared" si="26"/>
        <v>337.7</v>
      </c>
      <c r="O684" s="2"/>
      <c r="P684" s="2"/>
      <c r="Q684" s="2"/>
      <c r="R684" s="38"/>
      <c r="S684" s="2"/>
      <c r="T684" s="2"/>
    </row>
    <row r="685" spans="1:20" x14ac:dyDescent="0.2">
      <c r="A685" s="49" t="str">
        <f t="shared" si="27"/>
        <v>20/5-5.5</v>
      </c>
      <c r="B685" s="19" t="s">
        <v>85</v>
      </c>
      <c r="C685" s="19" t="s">
        <v>76</v>
      </c>
      <c r="D685" s="19" t="s">
        <v>76</v>
      </c>
      <c r="E685" s="19">
        <v>20</v>
      </c>
      <c r="F685" s="19" t="s">
        <v>41</v>
      </c>
      <c r="G685" s="2"/>
      <c r="H685" s="2" t="s">
        <v>88</v>
      </c>
      <c r="I685" s="2" t="s">
        <v>1001</v>
      </c>
      <c r="J685" s="38">
        <v>45923</v>
      </c>
      <c r="K685" s="2">
        <v>13</v>
      </c>
      <c r="L685" s="2">
        <v>749.21000000000015</v>
      </c>
      <c r="M685" s="2">
        <v>27.3</v>
      </c>
      <c r="N685" s="2">
        <f t="shared" si="26"/>
        <v>721.9100000000002</v>
      </c>
      <c r="O685" s="2"/>
      <c r="P685" s="2"/>
      <c r="Q685" s="2"/>
      <c r="R685" s="38"/>
      <c r="S685" s="2"/>
      <c r="T685" s="2"/>
    </row>
    <row r="686" spans="1:20" x14ac:dyDescent="0.2">
      <c r="A686" s="49" t="str">
        <f t="shared" si="27"/>
        <v>16/5.5-6</v>
      </c>
      <c r="B686" s="19" t="s">
        <v>92</v>
      </c>
      <c r="C686" s="19" t="s">
        <v>76</v>
      </c>
      <c r="D686" s="19" t="s">
        <v>76</v>
      </c>
      <c r="E686" s="19">
        <v>16</v>
      </c>
      <c r="F686" s="19" t="s">
        <v>5</v>
      </c>
      <c r="G686" s="2"/>
      <c r="H686" s="2" t="s">
        <v>88</v>
      </c>
      <c r="I686" s="2" t="s">
        <v>998</v>
      </c>
      <c r="J686" s="38">
        <v>45923</v>
      </c>
      <c r="K686" s="2">
        <v>8</v>
      </c>
      <c r="L686" s="2">
        <v>440.49999999999994</v>
      </c>
      <c r="M686" s="2">
        <v>13.6</v>
      </c>
      <c r="N686" s="2">
        <f t="shared" si="26"/>
        <v>426.89999999999992</v>
      </c>
      <c r="O686" s="2"/>
      <c r="P686" s="2"/>
      <c r="Q686" s="2"/>
      <c r="R686" s="38"/>
      <c r="S686" s="2"/>
      <c r="T686" s="2"/>
    </row>
    <row r="687" spans="1:20" x14ac:dyDescent="0.2">
      <c r="A687" s="49" t="str">
        <f t="shared" si="27"/>
        <v>16/5-6</v>
      </c>
      <c r="B687" s="19" t="s">
        <v>89</v>
      </c>
      <c r="C687" s="19" t="s">
        <v>76</v>
      </c>
      <c r="D687" s="19" t="s">
        <v>76</v>
      </c>
      <c r="E687" s="19">
        <v>16</v>
      </c>
      <c r="F687" s="19" t="s">
        <v>983</v>
      </c>
      <c r="G687" s="2"/>
      <c r="H687" s="2" t="s">
        <v>88</v>
      </c>
      <c r="I687" s="2" t="s">
        <v>1002</v>
      </c>
      <c r="J687" s="38">
        <v>45923</v>
      </c>
      <c r="K687" s="2">
        <v>3</v>
      </c>
      <c r="L687" s="2">
        <v>133.23000000000002</v>
      </c>
      <c r="M687" s="2">
        <v>5.0999999999999996</v>
      </c>
      <c r="N687" s="2">
        <f t="shared" si="26"/>
        <v>128.13000000000002</v>
      </c>
      <c r="O687" s="2"/>
      <c r="P687" s="2"/>
      <c r="Q687" s="2"/>
      <c r="R687" s="38"/>
      <c r="S687" s="2"/>
      <c r="T687" s="2"/>
    </row>
    <row r="688" spans="1:20" x14ac:dyDescent="0.2">
      <c r="A688" s="49" t="str">
        <f t="shared" si="27"/>
        <v>16/5-6</v>
      </c>
      <c r="B688" s="19" t="s">
        <v>89</v>
      </c>
      <c r="C688" s="19" t="s">
        <v>76</v>
      </c>
      <c r="D688" s="19" t="s">
        <v>76</v>
      </c>
      <c r="E688" s="19">
        <v>16</v>
      </c>
      <c r="F688" s="19" t="s">
        <v>983</v>
      </c>
      <c r="G688" s="2"/>
      <c r="H688" s="2" t="s">
        <v>88</v>
      </c>
      <c r="I688" s="2" t="s">
        <v>1002</v>
      </c>
      <c r="J688" s="38">
        <v>45923</v>
      </c>
      <c r="K688" s="2">
        <v>1</v>
      </c>
      <c r="L688" s="2">
        <v>40</v>
      </c>
      <c r="M688" s="2">
        <v>1.7</v>
      </c>
      <c r="N688" s="2">
        <f t="shared" si="26"/>
        <v>38.299999999999997</v>
      </c>
      <c r="O688" s="2"/>
      <c r="P688" s="2"/>
      <c r="Q688" s="2"/>
      <c r="R688" s="38"/>
      <c r="S688" s="2"/>
      <c r="T688" s="2"/>
    </row>
    <row r="689" spans="1:20" x14ac:dyDescent="0.2">
      <c r="A689" s="49" t="str">
        <f t="shared" si="27"/>
        <v>16/4.5</v>
      </c>
      <c r="B689" s="19" t="s">
        <v>190</v>
      </c>
      <c r="C689" s="19" t="s">
        <v>76</v>
      </c>
      <c r="D689" s="19" t="s">
        <v>76</v>
      </c>
      <c r="E689" s="19">
        <v>16</v>
      </c>
      <c r="F689" s="19">
        <v>4.5</v>
      </c>
      <c r="G689" s="2"/>
      <c r="H689" s="2" t="s">
        <v>88</v>
      </c>
      <c r="I689" s="2" t="s">
        <v>1003</v>
      </c>
      <c r="J689" s="38">
        <v>45923</v>
      </c>
      <c r="K689" s="2">
        <v>2</v>
      </c>
      <c r="L689" s="2">
        <v>59.519999999999996</v>
      </c>
      <c r="M689" s="2">
        <v>3.2</v>
      </c>
      <c r="N689" s="2">
        <f t="shared" si="26"/>
        <v>56.319999999999993</v>
      </c>
      <c r="O689" s="2"/>
      <c r="P689" s="2"/>
      <c r="Q689" s="2"/>
      <c r="R689" s="38"/>
      <c r="S689" s="2"/>
      <c r="T689" s="2"/>
    </row>
    <row r="690" spans="1:20" x14ac:dyDescent="0.2">
      <c r="A690" s="49" t="str">
        <f t="shared" si="27"/>
        <v>17/8.5-9</v>
      </c>
      <c r="B690" s="19" t="s">
        <v>506</v>
      </c>
      <c r="C690" s="19" t="s">
        <v>76</v>
      </c>
      <c r="D690" s="19" t="s">
        <v>76</v>
      </c>
      <c r="E690" s="19">
        <v>17</v>
      </c>
      <c r="F690" s="19" t="s">
        <v>171</v>
      </c>
      <c r="G690" s="2"/>
      <c r="H690" s="2" t="s">
        <v>88</v>
      </c>
      <c r="I690" s="2" t="s">
        <v>1004</v>
      </c>
      <c r="J690" s="38">
        <v>45923</v>
      </c>
      <c r="K690" s="2">
        <v>11</v>
      </c>
      <c r="L690" s="2">
        <v>480.69000000000005</v>
      </c>
      <c r="M690" s="2">
        <v>20.46</v>
      </c>
      <c r="N690" s="2">
        <f t="shared" si="26"/>
        <v>460.23000000000008</v>
      </c>
      <c r="O690" s="2"/>
      <c r="P690" s="2"/>
      <c r="Q690" s="2"/>
      <c r="R690" s="38"/>
      <c r="S690" s="2"/>
      <c r="T690" s="2"/>
    </row>
    <row r="691" spans="1:20" x14ac:dyDescent="0.2">
      <c r="A691" s="49" t="str">
        <f t="shared" si="27"/>
        <v>2/12</v>
      </c>
      <c r="B691" s="19" t="s">
        <v>975</v>
      </c>
      <c r="C691" s="19" t="s">
        <v>76</v>
      </c>
      <c r="D691" s="19" t="s">
        <v>76</v>
      </c>
      <c r="E691" s="19">
        <v>2</v>
      </c>
      <c r="F691" s="19">
        <v>12</v>
      </c>
      <c r="G691" s="2"/>
      <c r="H691" s="2" t="s">
        <v>88</v>
      </c>
      <c r="I691" s="2" t="s">
        <v>1005</v>
      </c>
      <c r="J691" s="38">
        <v>45924</v>
      </c>
      <c r="K691" s="2">
        <v>11</v>
      </c>
      <c r="L691" s="2">
        <v>106.19</v>
      </c>
      <c r="M691" s="2">
        <v>2.2000000000000002</v>
      </c>
      <c r="N691" s="2">
        <f t="shared" si="26"/>
        <v>103.99</v>
      </c>
      <c r="O691" s="2"/>
      <c r="P691" s="2"/>
      <c r="Q691" s="2"/>
      <c r="R691" s="38"/>
      <c r="S691" s="2"/>
      <c r="T691" s="2"/>
    </row>
    <row r="692" spans="1:20" x14ac:dyDescent="0.2">
      <c r="A692" s="49" t="str">
        <f t="shared" si="27"/>
        <v>5/4.5</v>
      </c>
      <c r="B692" s="19" t="s">
        <v>190</v>
      </c>
      <c r="C692" s="19" t="s">
        <v>76</v>
      </c>
      <c r="D692" s="19" t="s">
        <v>76</v>
      </c>
      <c r="E692" s="19">
        <v>5</v>
      </c>
      <c r="F692" s="19">
        <v>4.5</v>
      </c>
      <c r="G692" s="2"/>
      <c r="H692" s="2" t="s">
        <v>88</v>
      </c>
      <c r="I692" s="2" t="s">
        <v>986</v>
      </c>
      <c r="J692" s="38">
        <v>45924</v>
      </c>
      <c r="K692" s="2">
        <v>4</v>
      </c>
      <c r="L692" s="2">
        <v>62.449999999999996</v>
      </c>
      <c r="M692" s="2">
        <v>2</v>
      </c>
      <c r="N692" s="2">
        <f t="shared" si="26"/>
        <v>60.449999999999996</v>
      </c>
      <c r="O692" s="2"/>
      <c r="P692" s="2"/>
      <c r="Q692" s="2"/>
      <c r="R692" s="38"/>
      <c r="S692" s="2"/>
      <c r="T692" s="2"/>
    </row>
    <row r="693" spans="1:20" x14ac:dyDescent="0.2">
      <c r="A693" s="49" t="str">
        <f t="shared" si="27"/>
        <v>05/14</v>
      </c>
      <c r="B693" s="19" t="s">
        <v>973</v>
      </c>
      <c r="C693" s="19" t="s">
        <v>76</v>
      </c>
      <c r="D693" s="19" t="s">
        <v>76</v>
      </c>
      <c r="E693" s="19" t="s">
        <v>976</v>
      </c>
      <c r="F693" s="19">
        <v>14</v>
      </c>
      <c r="G693" s="2"/>
      <c r="H693" s="2" t="s">
        <v>88</v>
      </c>
      <c r="I693" s="2" t="s">
        <v>1006</v>
      </c>
      <c r="J693" s="38">
        <v>45924</v>
      </c>
      <c r="K693" s="2">
        <v>5</v>
      </c>
      <c r="L693" s="2">
        <v>78.41</v>
      </c>
      <c r="M693" s="2">
        <v>2.5</v>
      </c>
      <c r="N693" s="2">
        <f t="shared" si="26"/>
        <v>75.91</v>
      </c>
      <c r="O693" s="2"/>
      <c r="P693" s="2"/>
      <c r="Q693" s="2"/>
      <c r="R693" s="38"/>
      <c r="S693" s="2"/>
      <c r="T693" s="2"/>
    </row>
    <row r="694" spans="1:20" x14ac:dyDescent="0.2">
      <c r="A694" s="49" t="str">
        <f t="shared" si="27"/>
        <v>05/14</v>
      </c>
      <c r="B694" s="19" t="s">
        <v>973</v>
      </c>
      <c r="C694" s="19" t="s">
        <v>76</v>
      </c>
      <c r="D694" s="19" t="s">
        <v>76</v>
      </c>
      <c r="E694" s="19" t="s">
        <v>976</v>
      </c>
      <c r="F694" s="19">
        <v>14</v>
      </c>
      <c r="G694" s="2"/>
      <c r="H694" s="2" t="s">
        <v>88</v>
      </c>
      <c r="I694" s="2" t="s">
        <v>1006</v>
      </c>
      <c r="J694" s="38">
        <v>45924</v>
      </c>
      <c r="K694" s="2">
        <v>3</v>
      </c>
      <c r="L694" s="2">
        <v>54.790000000000006</v>
      </c>
      <c r="M694" s="2">
        <v>1.5</v>
      </c>
      <c r="N694" s="2">
        <f t="shared" si="26"/>
        <v>53.290000000000006</v>
      </c>
      <c r="O694" s="2"/>
      <c r="P694" s="2"/>
      <c r="Q694" s="2"/>
      <c r="R694" s="38"/>
      <c r="S694" s="2"/>
      <c r="T694" s="2"/>
    </row>
    <row r="695" spans="1:20" x14ac:dyDescent="0.2">
      <c r="A695" s="49" t="str">
        <f t="shared" si="27"/>
        <v>6/7.5-8</v>
      </c>
      <c r="B695" s="19" t="s">
        <v>541</v>
      </c>
      <c r="C695" s="19" t="s">
        <v>76</v>
      </c>
      <c r="D695" s="19" t="s">
        <v>76</v>
      </c>
      <c r="E695" s="19">
        <v>6</v>
      </c>
      <c r="F695" s="19" t="s">
        <v>264</v>
      </c>
      <c r="G695" s="2"/>
      <c r="H695" s="2" t="s">
        <v>88</v>
      </c>
      <c r="I695" s="2" t="s">
        <v>1000</v>
      </c>
      <c r="J695" s="38">
        <v>45924</v>
      </c>
      <c r="K695" s="2">
        <v>7</v>
      </c>
      <c r="L695" s="2">
        <v>167.32999999999998</v>
      </c>
      <c r="M695" s="2">
        <v>4.2</v>
      </c>
      <c r="N695" s="2">
        <f t="shared" si="26"/>
        <v>163.13</v>
      </c>
      <c r="O695" s="2"/>
      <c r="P695" s="2"/>
      <c r="Q695" s="2"/>
      <c r="R695" s="38"/>
      <c r="S695" s="2"/>
      <c r="T695" s="2"/>
    </row>
    <row r="696" spans="1:20" x14ac:dyDescent="0.2">
      <c r="A696" s="49" t="str">
        <f t="shared" si="27"/>
        <v>9/7</v>
      </c>
      <c r="B696" s="19" t="s">
        <v>977</v>
      </c>
      <c r="C696" s="19" t="s">
        <v>76</v>
      </c>
      <c r="D696" s="19" t="s">
        <v>76</v>
      </c>
      <c r="E696" s="19">
        <v>9</v>
      </c>
      <c r="F696" s="19">
        <v>7</v>
      </c>
      <c r="G696" s="2"/>
      <c r="H696" s="2" t="s">
        <v>88</v>
      </c>
      <c r="I696" s="2" t="s">
        <v>1007</v>
      </c>
      <c r="J696" s="38">
        <v>45924</v>
      </c>
      <c r="K696" s="2">
        <v>3</v>
      </c>
      <c r="L696" s="2">
        <v>76.63</v>
      </c>
      <c r="M696" s="2">
        <v>2.7</v>
      </c>
      <c r="N696" s="2">
        <f t="shared" si="26"/>
        <v>73.929999999999993</v>
      </c>
      <c r="O696" s="2"/>
      <c r="P696" s="2"/>
      <c r="Q696" s="2"/>
      <c r="R696" s="38"/>
      <c r="S696" s="2"/>
      <c r="T696" s="2"/>
    </row>
    <row r="697" spans="1:20" x14ac:dyDescent="0.2">
      <c r="A697" s="49" t="str">
        <f t="shared" si="27"/>
        <v>9/7</v>
      </c>
      <c r="B697" s="19" t="s">
        <v>977</v>
      </c>
      <c r="C697" s="19" t="s">
        <v>76</v>
      </c>
      <c r="D697" s="19" t="s">
        <v>76</v>
      </c>
      <c r="E697" s="19">
        <v>9</v>
      </c>
      <c r="F697" s="19">
        <v>7</v>
      </c>
      <c r="G697" s="2"/>
      <c r="H697" s="2" t="s">
        <v>88</v>
      </c>
      <c r="I697" s="2" t="s">
        <v>1007</v>
      </c>
      <c r="J697" s="38">
        <v>45924</v>
      </c>
      <c r="K697" s="2">
        <v>8</v>
      </c>
      <c r="L697" s="2">
        <v>276.90999999999997</v>
      </c>
      <c r="M697" s="2">
        <v>7.2</v>
      </c>
      <c r="N697" s="2">
        <f t="shared" si="26"/>
        <v>269.70999999999998</v>
      </c>
      <c r="O697" s="2"/>
      <c r="P697" s="2"/>
      <c r="Q697" s="2"/>
      <c r="R697" s="38"/>
      <c r="S697" s="2"/>
      <c r="T697" s="2"/>
    </row>
    <row r="698" spans="1:20" x14ac:dyDescent="0.2">
      <c r="A698" s="49" t="str">
        <f t="shared" si="27"/>
        <v>20/5</v>
      </c>
      <c r="B698" s="19" t="s">
        <v>978</v>
      </c>
      <c r="C698" s="19" t="s">
        <v>76</v>
      </c>
      <c r="D698" s="19" t="s">
        <v>76</v>
      </c>
      <c r="E698" s="19">
        <v>20</v>
      </c>
      <c r="F698" s="19">
        <v>5</v>
      </c>
      <c r="G698" s="2"/>
      <c r="H698" s="2" t="s">
        <v>88</v>
      </c>
      <c r="I698" s="2" t="s">
        <v>1008</v>
      </c>
      <c r="J698" s="38">
        <v>45924</v>
      </c>
      <c r="K698" s="2">
        <v>2</v>
      </c>
      <c r="L698" s="2">
        <v>120.31</v>
      </c>
      <c r="M698" s="2">
        <v>4</v>
      </c>
      <c r="N698" s="2">
        <f t="shared" si="26"/>
        <v>116.31</v>
      </c>
      <c r="O698" s="2"/>
      <c r="P698" s="2"/>
      <c r="Q698" s="2"/>
      <c r="R698" s="38"/>
      <c r="S698" s="2"/>
      <c r="T698" s="2"/>
    </row>
    <row r="699" spans="1:20" x14ac:dyDescent="0.2">
      <c r="A699" s="49" t="str">
        <f t="shared" si="27"/>
        <v>16/4.5-5</v>
      </c>
      <c r="B699" s="19" t="s">
        <v>164</v>
      </c>
      <c r="C699" s="19" t="s">
        <v>76</v>
      </c>
      <c r="D699" s="19" t="s">
        <v>76</v>
      </c>
      <c r="E699" s="19">
        <v>16</v>
      </c>
      <c r="F699" s="19" t="s">
        <v>44</v>
      </c>
      <c r="G699" s="2"/>
      <c r="H699" s="2" t="s">
        <v>88</v>
      </c>
      <c r="I699" s="2" t="s">
        <v>1009</v>
      </c>
      <c r="J699" s="38">
        <v>45924</v>
      </c>
      <c r="K699" s="2">
        <v>9</v>
      </c>
      <c r="L699" s="2">
        <v>457.09</v>
      </c>
      <c r="M699" s="2">
        <v>17.099999999999998</v>
      </c>
      <c r="N699" s="2">
        <f t="shared" si="26"/>
        <v>439.98999999999995</v>
      </c>
      <c r="O699" s="2"/>
      <c r="P699" s="2"/>
      <c r="Q699" s="2"/>
      <c r="R699" s="38"/>
      <c r="S699" s="2"/>
      <c r="T699" s="2"/>
    </row>
    <row r="700" spans="1:20" x14ac:dyDescent="0.2">
      <c r="A700" s="49" t="str">
        <f t="shared" si="27"/>
        <v>16/4.5</v>
      </c>
      <c r="B700" s="19" t="s">
        <v>190</v>
      </c>
      <c r="C700" s="19" t="s">
        <v>76</v>
      </c>
      <c r="D700" s="19" t="s">
        <v>76</v>
      </c>
      <c r="E700" s="19">
        <v>16</v>
      </c>
      <c r="F700" s="19">
        <v>4.5</v>
      </c>
      <c r="G700" s="2"/>
      <c r="H700" s="2" t="s">
        <v>88</v>
      </c>
      <c r="I700" s="2" t="s">
        <v>1003</v>
      </c>
      <c r="J700" s="38">
        <v>45924</v>
      </c>
      <c r="K700" s="2">
        <v>1</v>
      </c>
      <c r="L700" s="2">
        <v>57.24</v>
      </c>
      <c r="M700" s="2">
        <v>1.6</v>
      </c>
      <c r="N700" s="2">
        <f t="shared" si="26"/>
        <v>55.64</v>
      </c>
      <c r="O700" s="2"/>
      <c r="P700" s="2"/>
      <c r="Q700" s="2"/>
      <c r="R700" s="38"/>
      <c r="S700" s="2"/>
      <c r="T700" s="2"/>
    </row>
    <row r="701" spans="1:20" x14ac:dyDescent="0.2">
      <c r="A701" s="49" t="str">
        <f t="shared" si="27"/>
        <v>16/5-5.5</v>
      </c>
      <c r="B701" s="19" t="s">
        <v>257</v>
      </c>
      <c r="C701" s="19" t="s">
        <v>76</v>
      </c>
      <c r="D701" s="19" t="s">
        <v>76</v>
      </c>
      <c r="E701" s="19">
        <v>16</v>
      </c>
      <c r="F701" s="19" t="s">
        <v>41</v>
      </c>
      <c r="G701" s="2"/>
      <c r="H701" s="2" t="s">
        <v>88</v>
      </c>
      <c r="I701" s="2" t="s">
        <v>589</v>
      </c>
      <c r="J701" s="38">
        <v>45924</v>
      </c>
      <c r="K701" s="2">
        <v>12</v>
      </c>
      <c r="L701" s="2">
        <v>639.00999999999988</v>
      </c>
      <c r="M701" s="2">
        <v>19.200000000000003</v>
      </c>
      <c r="N701" s="2">
        <f t="shared" si="26"/>
        <v>619.80999999999983</v>
      </c>
      <c r="O701" s="2"/>
      <c r="P701" s="2"/>
      <c r="Q701" s="2"/>
      <c r="R701" s="38"/>
      <c r="S701" s="2"/>
      <c r="T701" s="2"/>
    </row>
    <row r="702" spans="1:20" x14ac:dyDescent="0.2">
      <c r="A702" s="49" t="str">
        <f t="shared" si="27"/>
        <v>17/8.5-9</v>
      </c>
      <c r="B702" s="19" t="s">
        <v>506</v>
      </c>
      <c r="C702" s="19" t="s">
        <v>76</v>
      </c>
      <c r="D702" s="19" t="s">
        <v>76</v>
      </c>
      <c r="E702" s="19">
        <v>17</v>
      </c>
      <c r="F702" s="19" t="s">
        <v>171</v>
      </c>
      <c r="G702" s="2"/>
      <c r="H702" s="2" t="s">
        <v>88</v>
      </c>
      <c r="I702" s="2" t="s">
        <v>1004</v>
      </c>
      <c r="J702" s="38">
        <v>45924</v>
      </c>
      <c r="K702" s="2">
        <v>13</v>
      </c>
      <c r="L702" s="2">
        <v>625.03</v>
      </c>
      <c r="M702" s="2">
        <v>26.65</v>
      </c>
      <c r="N702" s="2">
        <f t="shared" si="26"/>
        <v>598.38</v>
      </c>
      <c r="O702" s="2"/>
      <c r="P702" s="2"/>
      <c r="Q702" s="2"/>
      <c r="R702" s="38"/>
      <c r="S702" s="2"/>
      <c r="T702" s="2"/>
    </row>
    <row r="703" spans="1:20" x14ac:dyDescent="0.2">
      <c r="A703" s="49" t="str">
        <f t="shared" si="27"/>
        <v>17/8.5-9</v>
      </c>
      <c r="B703" s="19" t="s">
        <v>506</v>
      </c>
      <c r="C703" s="19" t="s">
        <v>76</v>
      </c>
      <c r="D703" s="19" t="s">
        <v>76</v>
      </c>
      <c r="E703" s="19">
        <v>17</v>
      </c>
      <c r="F703" s="19" t="s">
        <v>171</v>
      </c>
      <c r="G703" s="2"/>
      <c r="H703" s="2" t="s">
        <v>88</v>
      </c>
      <c r="I703" s="2" t="s">
        <v>1004</v>
      </c>
      <c r="J703" s="38">
        <v>45924</v>
      </c>
      <c r="K703" s="2">
        <v>10</v>
      </c>
      <c r="L703" s="2">
        <v>542.77</v>
      </c>
      <c r="M703" s="2">
        <v>17</v>
      </c>
      <c r="N703" s="2">
        <f t="shared" si="26"/>
        <v>525.77</v>
      </c>
      <c r="O703" s="2"/>
      <c r="P703" s="2"/>
      <c r="Q703" s="2"/>
      <c r="R703" s="38"/>
      <c r="S703" s="2"/>
      <c r="T703" s="2"/>
    </row>
    <row r="704" spans="1:20" x14ac:dyDescent="0.2">
      <c r="A704" s="49" t="str">
        <f t="shared" si="27"/>
        <v>17/5.5-6</v>
      </c>
      <c r="B704" s="19" t="s">
        <v>827</v>
      </c>
      <c r="C704" s="19" t="s">
        <v>76</v>
      </c>
      <c r="D704" s="19" t="s">
        <v>76</v>
      </c>
      <c r="E704" s="19">
        <v>17</v>
      </c>
      <c r="F704" s="19" t="s">
        <v>5</v>
      </c>
      <c r="G704" s="2"/>
      <c r="H704" s="2" t="s">
        <v>88</v>
      </c>
      <c r="I704" s="2" t="s">
        <v>845</v>
      </c>
      <c r="J704" s="38">
        <v>45924</v>
      </c>
      <c r="K704" s="2">
        <v>6</v>
      </c>
      <c r="L704" s="2">
        <v>269.02</v>
      </c>
      <c r="M704" s="2">
        <v>10.199999999999999</v>
      </c>
      <c r="N704" s="2">
        <f t="shared" ref="N704:N767" si="28">+L704-M704</f>
        <v>258.82</v>
      </c>
      <c r="O704" s="2"/>
      <c r="P704" s="2"/>
      <c r="Q704" s="2"/>
      <c r="R704" s="38"/>
      <c r="S704" s="2"/>
      <c r="T704" s="2"/>
    </row>
    <row r="705" spans="1:20" x14ac:dyDescent="0.2">
      <c r="A705" s="49" t="str">
        <f t="shared" si="27"/>
        <v>17/5.5-6</v>
      </c>
      <c r="B705" s="19" t="s">
        <v>827</v>
      </c>
      <c r="C705" s="19" t="s">
        <v>76</v>
      </c>
      <c r="D705" s="19" t="s">
        <v>76</v>
      </c>
      <c r="E705" s="19">
        <v>17</v>
      </c>
      <c r="F705" s="19" t="s">
        <v>5</v>
      </c>
      <c r="G705" s="2"/>
      <c r="H705" s="2" t="s">
        <v>88</v>
      </c>
      <c r="I705" s="2" t="s">
        <v>845</v>
      </c>
      <c r="J705" s="38">
        <v>45924</v>
      </c>
      <c r="K705" s="2">
        <v>11</v>
      </c>
      <c r="L705" s="2">
        <v>638.71</v>
      </c>
      <c r="M705" s="2">
        <v>18.7</v>
      </c>
      <c r="N705" s="2">
        <f t="shared" si="28"/>
        <v>620.01</v>
      </c>
      <c r="O705" s="2"/>
      <c r="P705" s="2"/>
      <c r="Q705" s="2"/>
      <c r="R705" s="38"/>
      <c r="S705" s="2"/>
      <c r="T705" s="2"/>
    </row>
    <row r="706" spans="1:20" x14ac:dyDescent="0.2">
      <c r="A706" s="49" t="str">
        <f t="shared" si="27"/>
        <v>2/12</v>
      </c>
      <c r="B706" s="19" t="s">
        <v>975</v>
      </c>
      <c r="C706" s="19" t="s">
        <v>76</v>
      </c>
      <c r="D706" s="19" t="s">
        <v>76</v>
      </c>
      <c r="E706" s="19">
        <v>2</v>
      </c>
      <c r="F706" s="19">
        <v>12</v>
      </c>
      <c r="G706" s="2"/>
      <c r="H706" s="2" t="s">
        <v>88</v>
      </c>
      <c r="I706" s="2" t="s">
        <v>1005</v>
      </c>
      <c r="J706" s="38">
        <v>45925</v>
      </c>
      <c r="K706" s="2">
        <v>12</v>
      </c>
      <c r="L706" s="2">
        <v>121.31</v>
      </c>
      <c r="M706" s="2">
        <v>2.4000000000000004</v>
      </c>
      <c r="N706" s="2">
        <f t="shared" si="28"/>
        <v>118.91</v>
      </c>
      <c r="O706" s="2"/>
      <c r="P706" s="2"/>
      <c r="Q706" s="2"/>
      <c r="R706" s="38"/>
      <c r="S706" s="2"/>
      <c r="T706" s="2"/>
    </row>
    <row r="707" spans="1:20" x14ac:dyDescent="0.2">
      <c r="A707" s="49" t="str">
        <f t="shared" si="27"/>
        <v>2/12</v>
      </c>
      <c r="B707" s="19" t="s">
        <v>975</v>
      </c>
      <c r="C707" s="19" t="s">
        <v>76</v>
      </c>
      <c r="D707" s="19" t="s">
        <v>76</v>
      </c>
      <c r="E707" s="19">
        <v>2</v>
      </c>
      <c r="F707" s="19">
        <v>12</v>
      </c>
      <c r="G707" s="2"/>
      <c r="H707" s="2" t="s">
        <v>88</v>
      </c>
      <c r="I707" s="2" t="s">
        <v>1005</v>
      </c>
      <c r="J707" s="38">
        <v>45925</v>
      </c>
      <c r="K707" s="2">
        <v>12</v>
      </c>
      <c r="L707" s="2">
        <v>126.36999999999998</v>
      </c>
      <c r="M707" s="2">
        <v>2.4000000000000004</v>
      </c>
      <c r="N707" s="2">
        <f t="shared" si="28"/>
        <v>123.96999999999997</v>
      </c>
      <c r="O707" s="2"/>
      <c r="P707" s="2"/>
      <c r="Q707" s="2"/>
      <c r="R707" s="38"/>
      <c r="S707" s="2"/>
      <c r="T707" s="2"/>
    </row>
    <row r="708" spans="1:20" x14ac:dyDescent="0.2">
      <c r="A708" s="49" t="str">
        <f t="shared" si="27"/>
        <v>05/14</v>
      </c>
      <c r="B708" s="19" t="s">
        <v>973</v>
      </c>
      <c r="C708" s="19" t="s">
        <v>76</v>
      </c>
      <c r="D708" s="19" t="s">
        <v>76</v>
      </c>
      <c r="E708" s="19" t="s">
        <v>976</v>
      </c>
      <c r="F708" s="19">
        <v>14</v>
      </c>
      <c r="G708" s="2"/>
      <c r="H708" s="2" t="s">
        <v>88</v>
      </c>
      <c r="I708" s="2" t="s">
        <v>1006</v>
      </c>
      <c r="J708" s="38">
        <v>45925</v>
      </c>
      <c r="K708" s="2">
        <v>4</v>
      </c>
      <c r="L708" s="2">
        <v>72.460000000000008</v>
      </c>
      <c r="M708" s="2">
        <v>2</v>
      </c>
      <c r="N708" s="2">
        <f t="shared" si="28"/>
        <v>70.460000000000008</v>
      </c>
      <c r="O708" s="2"/>
      <c r="P708" s="2"/>
      <c r="Q708" s="2"/>
      <c r="R708" s="38"/>
      <c r="S708" s="2"/>
      <c r="T708" s="2"/>
    </row>
    <row r="709" spans="1:20" x14ac:dyDescent="0.2">
      <c r="A709" s="49" t="str">
        <f t="shared" si="27"/>
        <v>4/5-5.5</v>
      </c>
      <c r="B709" s="19" t="s">
        <v>84</v>
      </c>
      <c r="C709" s="19" t="s">
        <v>76</v>
      </c>
      <c r="D709" s="19" t="s">
        <v>76</v>
      </c>
      <c r="E709" s="19">
        <v>4</v>
      </c>
      <c r="F709" s="19" t="s">
        <v>41</v>
      </c>
      <c r="G709" s="2"/>
      <c r="H709" s="2" t="s">
        <v>88</v>
      </c>
      <c r="I709" s="2" t="s">
        <v>1010</v>
      </c>
      <c r="J709" s="38">
        <v>45925</v>
      </c>
      <c r="K709" s="2">
        <v>3</v>
      </c>
      <c r="L709" s="2">
        <v>45.34</v>
      </c>
      <c r="M709" s="2">
        <v>1.2000000000000002</v>
      </c>
      <c r="N709" s="2">
        <f t="shared" si="28"/>
        <v>44.14</v>
      </c>
      <c r="O709" s="2"/>
      <c r="P709" s="2"/>
      <c r="Q709" s="2"/>
      <c r="R709" s="38"/>
      <c r="S709" s="2"/>
      <c r="T709" s="2"/>
    </row>
    <row r="710" spans="1:20" x14ac:dyDescent="0.2">
      <c r="A710" s="49" t="str">
        <f t="shared" ref="A710:A773" si="29">CONCATENATE(E710,"/",F710)</f>
        <v>4/5-5.5</v>
      </c>
      <c r="B710" s="19" t="s">
        <v>84</v>
      </c>
      <c r="C710" s="19" t="s">
        <v>76</v>
      </c>
      <c r="D710" s="19" t="s">
        <v>76</v>
      </c>
      <c r="E710" s="19">
        <v>4</v>
      </c>
      <c r="F710" s="19" t="s">
        <v>41</v>
      </c>
      <c r="G710" s="2"/>
      <c r="H710" s="2" t="s">
        <v>88</v>
      </c>
      <c r="I710" s="2" t="s">
        <v>1010</v>
      </c>
      <c r="J710" s="38">
        <v>45925</v>
      </c>
      <c r="K710" s="2">
        <v>10</v>
      </c>
      <c r="L710" s="2">
        <v>142.39999999999998</v>
      </c>
      <c r="M710" s="2">
        <v>4</v>
      </c>
      <c r="N710" s="2">
        <f t="shared" si="28"/>
        <v>138.39999999999998</v>
      </c>
      <c r="O710" s="2"/>
      <c r="P710" s="2"/>
      <c r="Q710" s="2"/>
      <c r="R710" s="38"/>
      <c r="S710" s="2"/>
      <c r="T710" s="2"/>
    </row>
    <row r="711" spans="1:20" x14ac:dyDescent="0.2">
      <c r="A711" s="49" t="str">
        <f t="shared" si="29"/>
        <v>8/4.5</v>
      </c>
      <c r="B711" s="19" t="s">
        <v>190</v>
      </c>
      <c r="C711" s="19" t="s">
        <v>76</v>
      </c>
      <c r="D711" s="19" t="s">
        <v>76</v>
      </c>
      <c r="E711" s="19">
        <v>8</v>
      </c>
      <c r="F711" s="19">
        <v>4.5</v>
      </c>
      <c r="G711" s="2"/>
      <c r="H711" s="2" t="s">
        <v>88</v>
      </c>
      <c r="I711" s="2" t="s">
        <v>1011</v>
      </c>
      <c r="J711" s="38">
        <v>45925</v>
      </c>
      <c r="K711" s="2">
        <v>8</v>
      </c>
      <c r="L711" s="2">
        <v>272.26</v>
      </c>
      <c r="M711" s="2">
        <v>6.6000000000000005</v>
      </c>
      <c r="N711" s="2">
        <f t="shared" si="28"/>
        <v>265.65999999999997</v>
      </c>
      <c r="O711" s="2"/>
      <c r="P711" s="2"/>
      <c r="Q711" s="2"/>
      <c r="R711" s="38"/>
      <c r="S711" s="2"/>
      <c r="T711" s="2"/>
    </row>
    <row r="712" spans="1:20" x14ac:dyDescent="0.2">
      <c r="A712" s="49" t="str">
        <f t="shared" si="29"/>
        <v>8/4.5</v>
      </c>
      <c r="B712" s="19" t="s">
        <v>190</v>
      </c>
      <c r="C712" s="19" t="s">
        <v>76</v>
      </c>
      <c r="D712" s="19" t="s">
        <v>76</v>
      </c>
      <c r="E712" s="19">
        <v>8</v>
      </c>
      <c r="F712" s="19">
        <v>4.5</v>
      </c>
      <c r="G712" s="2"/>
      <c r="H712" s="2" t="s">
        <v>88</v>
      </c>
      <c r="I712" s="2" t="s">
        <v>1011</v>
      </c>
      <c r="J712" s="38">
        <v>45925</v>
      </c>
      <c r="K712" s="2">
        <v>9</v>
      </c>
      <c r="L712" s="2">
        <v>334.52000000000004</v>
      </c>
      <c r="M712" s="2">
        <v>7.2</v>
      </c>
      <c r="N712" s="2">
        <f t="shared" si="28"/>
        <v>327.32000000000005</v>
      </c>
      <c r="O712" s="2"/>
      <c r="P712" s="2"/>
      <c r="Q712" s="2"/>
      <c r="R712" s="38"/>
      <c r="S712" s="2"/>
      <c r="T712" s="2"/>
    </row>
    <row r="713" spans="1:20" x14ac:dyDescent="0.2">
      <c r="A713" s="49" t="str">
        <f t="shared" si="29"/>
        <v>16/5-5.5</v>
      </c>
      <c r="B713" s="19" t="s">
        <v>257</v>
      </c>
      <c r="C713" s="19" t="s">
        <v>76</v>
      </c>
      <c r="D713" s="19" t="s">
        <v>76</v>
      </c>
      <c r="E713" s="19">
        <v>16</v>
      </c>
      <c r="F713" s="19" t="s">
        <v>41</v>
      </c>
      <c r="G713" s="2"/>
      <c r="H713" s="2" t="s">
        <v>88</v>
      </c>
      <c r="I713" s="2" t="s">
        <v>589</v>
      </c>
      <c r="J713" s="38">
        <v>45925</v>
      </c>
      <c r="K713" s="2">
        <v>10</v>
      </c>
      <c r="L713" s="2">
        <v>537.95000000000005</v>
      </c>
      <c r="M713" s="2">
        <v>16.3</v>
      </c>
      <c r="N713" s="2">
        <f t="shared" si="28"/>
        <v>521.65000000000009</v>
      </c>
      <c r="O713" s="2"/>
      <c r="P713" s="2"/>
      <c r="Q713" s="2"/>
      <c r="R713" s="38"/>
      <c r="S713" s="2"/>
      <c r="T713" s="2"/>
    </row>
    <row r="714" spans="1:20" x14ac:dyDescent="0.2">
      <c r="A714" s="49" t="str">
        <f t="shared" si="29"/>
        <v>16/4.5</v>
      </c>
      <c r="B714" s="19" t="s">
        <v>190</v>
      </c>
      <c r="C714" s="19" t="s">
        <v>76</v>
      </c>
      <c r="D714" s="19" t="s">
        <v>76</v>
      </c>
      <c r="E714" s="19">
        <v>16</v>
      </c>
      <c r="F714" s="19">
        <v>4.5</v>
      </c>
      <c r="G714" s="2"/>
      <c r="H714" s="2" t="s">
        <v>88</v>
      </c>
      <c r="I714" s="2" t="s">
        <v>1003</v>
      </c>
      <c r="J714" s="38">
        <v>45925</v>
      </c>
      <c r="K714" s="2">
        <v>1</v>
      </c>
      <c r="L714" s="2">
        <v>53.55</v>
      </c>
      <c r="M714" s="2">
        <v>1.6</v>
      </c>
      <c r="N714" s="2">
        <f t="shared" si="28"/>
        <v>51.949999999999996</v>
      </c>
      <c r="O714" s="2"/>
      <c r="P714" s="2"/>
      <c r="Q714" s="2"/>
      <c r="R714" s="38"/>
      <c r="S714" s="2"/>
      <c r="T714" s="2"/>
    </row>
    <row r="715" spans="1:20" x14ac:dyDescent="0.2">
      <c r="A715" s="49" t="str">
        <f t="shared" si="29"/>
        <v>16/4.5</v>
      </c>
      <c r="B715" s="19" t="s">
        <v>190</v>
      </c>
      <c r="C715" s="19" t="s">
        <v>76</v>
      </c>
      <c r="D715" s="19" t="s">
        <v>76</v>
      </c>
      <c r="E715" s="19">
        <v>16</v>
      </c>
      <c r="F715" s="19">
        <v>4.5</v>
      </c>
      <c r="G715" s="2"/>
      <c r="H715" s="2" t="s">
        <v>88</v>
      </c>
      <c r="I715" s="2" t="s">
        <v>1003</v>
      </c>
      <c r="J715" s="38">
        <v>45925</v>
      </c>
      <c r="K715" s="2">
        <v>5</v>
      </c>
      <c r="L715" s="2">
        <v>246.01</v>
      </c>
      <c r="M715" s="2">
        <v>8</v>
      </c>
      <c r="N715" s="2">
        <f t="shared" si="28"/>
        <v>238.01</v>
      </c>
      <c r="O715" s="2"/>
      <c r="P715" s="2"/>
      <c r="Q715" s="2"/>
      <c r="R715" s="38"/>
      <c r="S715" s="2"/>
      <c r="T715" s="2"/>
    </row>
    <row r="716" spans="1:20" x14ac:dyDescent="0.2">
      <c r="A716" s="49" t="str">
        <f t="shared" si="29"/>
        <v>15/7</v>
      </c>
      <c r="B716" s="19" t="s">
        <v>979</v>
      </c>
      <c r="C716" s="19" t="s">
        <v>76</v>
      </c>
      <c r="D716" s="19" t="s">
        <v>76</v>
      </c>
      <c r="E716" s="19">
        <v>15</v>
      </c>
      <c r="F716" s="19">
        <v>7</v>
      </c>
      <c r="G716" s="2"/>
      <c r="H716" s="2" t="s">
        <v>88</v>
      </c>
      <c r="I716" s="2" t="s">
        <v>1012</v>
      </c>
      <c r="J716" s="38">
        <v>45925</v>
      </c>
      <c r="K716" s="2">
        <v>5</v>
      </c>
      <c r="L716" s="2">
        <v>214.68</v>
      </c>
      <c r="M716" s="2">
        <v>7.5</v>
      </c>
      <c r="N716" s="2">
        <f t="shared" si="28"/>
        <v>207.18</v>
      </c>
      <c r="O716" s="2"/>
      <c r="P716" s="2"/>
      <c r="Q716" s="2"/>
      <c r="R716" s="38"/>
      <c r="S716" s="2"/>
      <c r="T716" s="2"/>
    </row>
    <row r="717" spans="1:20" x14ac:dyDescent="0.2">
      <c r="A717" s="49" t="str">
        <f t="shared" si="29"/>
        <v>19/7</v>
      </c>
      <c r="B717" s="19" t="s">
        <v>979</v>
      </c>
      <c r="C717" s="19" t="s">
        <v>76</v>
      </c>
      <c r="D717" s="19" t="s">
        <v>76</v>
      </c>
      <c r="E717" s="19">
        <v>19</v>
      </c>
      <c r="F717" s="19">
        <v>7</v>
      </c>
      <c r="G717" s="2"/>
      <c r="H717" s="2" t="s">
        <v>88</v>
      </c>
      <c r="I717" s="2" t="s">
        <v>1013</v>
      </c>
      <c r="J717" s="38">
        <v>45925</v>
      </c>
      <c r="K717" s="2">
        <v>3</v>
      </c>
      <c r="L717" s="2">
        <v>164.62</v>
      </c>
      <c r="M717" s="2">
        <v>5.6999999999999993</v>
      </c>
      <c r="N717" s="2">
        <f t="shared" si="28"/>
        <v>158.92000000000002</v>
      </c>
      <c r="O717" s="2"/>
      <c r="P717" s="2"/>
      <c r="Q717" s="2"/>
      <c r="R717" s="38"/>
      <c r="S717" s="2"/>
      <c r="T717" s="2"/>
    </row>
    <row r="718" spans="1:20" x14ac:dyDescent="0.2">
      <c r="A718" s="49" t="str">
        <f t="shared" si="29"/>
        <v>17/8.5-9</v>
      </c>
      <c r="B718" s="19" t="s">
        <v>506</v>
      </c>
      <c r="C718" s="19" t="s">
        <v>76</v>
      </c>
      <c r="D718" s="19" t="s">
        <v>76</v>
      </c>
      <c r="E718" s="19">
        <v>17</v>
      </c>
      <c r="F718" s="19" t="s">
        <v>171</v>
      </c>
      <c r="G718" s="2"/>
      <c r="H718" s="2" t="s">
        <v>88</v>
      </c>
      <c r="I718" s="2" t="s">
        <v>1004</v>
      </c>
      <c r="J718" s="38">
        <v>45925</v>
      </c>
      <c r="K718" s="2">
        <v>10</v>
      </c>
      <c r="L718" s="2">
        <v>577.78</v>
      </c>
      <c r="M718" s="2">
        <v>17</v>
      </c>
      <c r="N718" s="2">
        <f t="shared" si="28"/>
        <v>560.78</v>
      </c>
      <c r="O718" s="2"/>
      <c r="P718" s="2"/>
      <c r="Q718" s="2"/>
      <c r="R718" s="38"/>
      <c r="S718" s="2"/>
      <c r="T718" s="2"/>
    </row>
    <row r="719" spans="1:20" x14ac:dyDescent="0.2">
      <c r="A719" s="49" t="str">
        <f t="shared" si="29"/>
        <v>17/8.5-9</v>
      </c>
      <c r="B719" s="19" t="s">
        <v>506</v>
      </c>
      <c r="C719" s="19" t="s">
        <v>76</v>
      </c>
      <c r="D719" s="19" t="s">
        <v>76</v>
      </c>
      <c r="E719" s="19">
        <v>17</v>
      </c>
      <c r="F719" s="19" t="s">
        <v>171</v>
      </c>
      <c r="G719" s="2"/>
      <c r="H719" s="2" t="s">
        <v>88</v>
      </c>
      <c r="I719" s="2" t="s">
        <v>1004</v>
      </c>
      <c r="J719" s="38">
        <v>45925</v>
      </c>
      <c r="K719" s="2">
        <v>12</v>
      </c>
      <c r="L719" s="2">
        <v>629.17999999999995</v>
      </c>
      <c r="M719" s="2">
        <v>20.399999999999999</v>
      </c>
      <c r="N719" s="2">
        <f t="shared" si="28"/>
        <v>608.78</v>
      </c>
      <c r="O719" s="2"/>
      <c r="P719" s="2"/>
      <c r="Q719" s="2"/>
      <c r="R719" s="38"/>
      <c r="S719" s="2"/>
      <c r="T719" s="2"/>
    </row>
    <row r="720" spans="1:20" x14ac:dyDescent="0.2">
      <c r="A720" s="49" t="str">
        <f t="shared" si="29"/>
        <v>17/5.5-6</v>
      </c>
      <c r="B720" s="19" t="s">
        <v>827</v>
      </c>
      <c r="C720" s="19" t="s">
        <v>76</v>
      </c>
      <c r="D720" s="19" t="s">
        <v>76</v>
      </c>
      <c r="E720" s="19">
        <v>17</v>
      </c>
      <c r="F720" s="19" t="s">
        <v>5</v>
      </c>
      <c r="G720" s="2"/>
      <c r="H720" s="2" t="s">
        <v>88</v>
      </c>
      <c r="I720" s="2" t="s">
        <v>845</v>
      </c>
      <c r="J720" s="38">
        <v>45925</v>
      </c>
      <c r="K720" s="2">
        <v>12</v>
      </c>
      <c r="L720" s="2">
        <v>620.69000000000005</v>
      </c>
      <c r="M720" s="2">
        <v>32.5</v>
      </c>
      <c r="N720" s="2">
        <f t="shared" si="28"/>
        <v>588.19000000000005</v>
      </c>
      <c r="O720" s="2"/>
      <c r="P720" s="2"/>
      <c r="Q720" s="2"/>
      <c r="R720" s="38"/>
      <c r="S720" s="2"/>
      <c r="T720" s="2"/>
    </row>
    <row r="721" spans="1:20" x14ac:dyDescent="0.2">
      <c r="A721" s="49" t="str">
        <f t="shared" si="29"/>
        <v>17/5.5-6</v>
      </c>
      <c r="B721" s="19" t="s">
        <v>827</v>
      </c>
      <c r="C721" s="19" t="s">
        <v>76</v>
      </c>
      <c r="D721" s="19" t="s">
        <v>76</v>
      </c>
      <c r="E721" s="19">
        <v>17</v>
      </c>
      <c r="F721" s="19" t="s">
        <v>5</v>
      </c>
      <c r="G721" s="2"/>
      <c r="H721" s="2" t="s">
        <v>88</v>
      </c>
      <c r="I721" s="2" t="s">
        <v>845</v>
      </c>
      <c r="J721" s="38">
        <v>45925</v>
      </c>
      <c r="K721" s="2">
        <v>8</v>
      </c>
      <c r="L721" s="2">
        <v>426.75</v>
      </c>
      <c r="M721" s="2">
        <v>13.6</v>
      </c>
      <c r="N721" s="2">
        <f t="shared" si="28"/>
        <v>413.15</v>
      </c>
      <c r="O721" s="2"/>
      <c r="P721" s="2"/>
      <c r="Q721" s="2"/>
      <c r="R721" s="38"/>
      <c r="S721" s="2"/>
      <c r="T721" s="2"/>
    </row>
    <row r="722" spans="1:20" x14ac:dyDescent="0.2">
      <c r="A722" s="49" t="str">
        <f t="shared" si="29"/>
        <v>2/12</v>
      </c>
      <c r="B722" s="19" t="s">
        <v>975</v>
      </c>
      <c r="C722" s="19" t="s">
        <v>76</v>
      </c>
      <c r="D722" s="19" t="s">
        <v>76</v>
      </c>
      <c r="E722" s="19">
        <v>2</v>
      </c>
      <c r="F722" s="19">
        <v>12</v>
      </c>
      <c r="G722" s="2"/>
      <c r="H722" s="2" t="s">
        <v>88</v>
      </c>
      <c r="I722" s="2" t="s">
        <v>1005</v>
      </c>
      <c r="J722" s="38">
        <v>45926</v>
      </c>
      <c r="K722" s="2">
        <v>12</v>
      </c>
      <c r="L722" s="2">
        <v>123.18</v>
      </c>
      <c r="M722" s="2">
        <v>2.4000000000000004</v>
      </c>
      <c r="N722" s="2">
        <f t="shared" si="28"/>
        <v>120.78</v>
      </c>
      <c r="O722" s="2"/>
      <c r="P722" s="2"/>
      <c r="Q722" s="2"/>
      <c r="R722" s="38"/>
      <c r="S722" s="2"/>
      <c r="T722" s="2"/>
    </row>
    <row r="723" spans="1:20" x14ac:dyDescent="0.2">
      <c r="A723" s="49" t="str">
        <f t="shared" si="29"/>
        <v>2/12</v>
      </c>
      <c r="B723" s="19" t="s">
        <v>975</v>
      </c>
      <c r="C723" s="19" t="s">
        <v>76</v>
      </c>
      <c r="D723" s="19" t="s">
        <v>76</v>
      </c>
      <c r="E723" s="19">
        <v>2</v>
      </c>
      <c r="F723" s="19">
        <v>12</v>
      </c>
      <c r="G723" s="2"/>
      <c r="H723" s="2" t="s">
        <v>88</v>
      </c>
      <c r="I723" s="2" t="s">
        <v>1005</v>
      </c>
      <c r="J723" s="38">
        <v>45926</v>
      </c>
      <c r="K723" s="2">
        <v>6</v>
      </c>
      <c r="L723" s="2">
        <v>62.8</v>
      </c>
      <c r="M723" s="2">
        <v>1.2000000000000002</v>
      </c>
      <c r="N723" s="2">
        <f t="shared" si="28"/>
        <v>61.599999999999994</v>
      </c>
      <c r="O723" s="2"/>
      <c r="P723" s="2"/>
      <c r="Q723" s="2"/>
      <c r="R723" s="38"/>
      <c r="S723" s="2"/>
      <c r="T723" s="2"/>
    </row>
    <row r="724" spans="1:20" x14ac:dyDescent="0.2">
      <c r="A724" s="49" t="str">
        <f t="shared" si="29"/>
        <v>2.5/5.5-6</v>
      </c>
      <c r="B724" s="19" t="s">
        <v>84</v>
      </c>
      <c r="C724" s="19" t="s">
        <v>76</v>
      </c>
      <c r="D724" s="19" t="s">
        <v>76</v>
      </c>
      <c r="E724" s="19">
        <v>2.5</v>
      </c>
      <c r="F724" s="19" t="s">
        <v>5</v>
      </c>
      <c r="G724" s="2"/>
      <c r="H724" s="2" t="s">
        <v>88</v>
      </c>
      <c r="I724" s="2" t="s">
        <v>1014</v>
      </c>
      <c r="J724" s="38">
        <v>45926</v>
      </c>
      <c r="K724" s="2">
        <v>4</v>
      </c>
      <c r="L724" s="2">
        <v>45.7</v>
      </c>
      <c r="M724" s="2">
        <v>10</v>
      </c>
      <c r="N724" s="2">
        <f t="shared" si="28"/>
        <v>35.700000000000003</v>
      </c>
      <c r="O724" s="2"/>
      <c r="P724" s="2"/>
      <c r="Q724" s="2"/>
      <c r="R724" s="38"/>
      <c r="S724" s="2"/>
      <c r="T724" s="2"/>
    </row>
    <row r="725" spans="1:20" x14ac:dyDescent="0.2">
      <c r="A725" s="49" t="str">
        <f t="shared" si="29"/>
        <v>4/5-5.5</v>
      </c>
      <c r="B725" s="19" t="s">
        <v>84</v>
      </c>
      <c r="C725" s="19" t="s">
        <v>76</v>
      </c>
      <c r="D725" s="19" t="s">
        <v>76</v>
      </c>
      <c r="E725" s="19">
        <v>4</v>
      </c>
      <c r="F725" s="19" t="s">
        <v>41</v>
      </c>
      <c r="G725" s="2"/>
      <c r="H725" s="2" t="s">
        <v>88</v>
      </c>
      <c r="I725" s="2" t="s">
        <v>1010</v>
      </c>
      <c r="J725" s="38">
        <v>45926</v>
      </c>
      <c r="K725" s="2">
        <v>10</v>
      </c>
      <c r="L725" s="2">
        <v>143.38999999999999</v>
      </c>
      <c r="M725" s="2">
        <v>4</v>
      </c>
      <c r="N725" s="2">
        <f t="shared" si="28"/>
        <v>139.38999999999999</v>
      </c>
      <c r="O725" s="2"/>
      <c r="P725" s="2"/>
      <c r="Q725" s="2"/>
      <c r="R725" s="38"/>
      <c r="S725" s="2"/>
      <c r="T725" s="2"/>
    </row>
    <row r="726" spans="1:20" x14ac:dyDescent="0.2">
      <c r="A726" s="49" t="str">
        <f t="shared" si="29"/>
        <v>4/5-5.5</v>
      </c>
      <c r="B726" s="19" t="s">
        <v>84</v>
      </c>
      <c r="C726" s="19" t="s">
        <v>76</v>
      </c>
      <c r="D726" s="19" t="s">
        <v>76</v>
      </c>
      <c r="E726" s="19">
        <v>4</v>
      </c>
      <c r="F726" s="19" t="s">
        <v>41</v>
      </c>
      <c r="G726" s="2"/>
      <c r="H726" s="2" t="s">
        <v>88</v>
      </c>
      <c r="I726" s="2" t="s">
        <v>1010</v>
      </c>
      <c r="J726" s="38">
        <v>45926</v>
      </c>
      <c r="K726" s="2">
        <v>10</v>
      </c>
      <c r="L726" s="2">
        <v>141.29999999999998</v>
      </c>
      <c r="M726" s="2">
        <v>4</v>
      </c>
      <c r="N726" s="2">
        <f t="shared" si="28"/>
        <v>137.29999999999998</v>
      </c>
      <c r="O726" s="2"/>
      <c r="P726" s="2"/>
      <c r="Q726" s="2"/>
      <c r="R726" s="38"/>
      <c r="S726" s="2"/>
      <c r="T726" s="2"/>
    </row>
    <row r="727" spans="1:20" x14ac:dyDescent="0.2">
      <c r="A727" s="49" t="str">
        <f t="shared" si="29"/>
        <v>10/4.5</v>
      </c>
      <c r="B727" s="19" t="s">
        <v>190</v>
      </c>
      <c r="C727" s="19" t="s">
        <v>76</v>
      </c>
      <c r="D727" s="19" t="s">
        <v>76</v>
      </c>
      <c r="E727" s="19">
        <v>10</v>
      </c>
      <c r="F727" s="19">
        <v>4.5</v>
      </c>
      <c r="G727" s="2"/>
      <c r="H727" s="2" t="s">
        <v>88</v>
      </c>
      <c r="I727" s="2" t="s">
        <v>1015</v>
      </c>
      <c r="J727" s="38">
        <v>45926</v>
      </c>
      <c r="K727" s="2">
        <v>4</v>
      </c>
      <c r="L727" s="2">
        <v>132</v>
      </c>
      <c r="M727" s="2">
        <v>4</v>
      </c>
      <c r="N727" s="2">
        <f t="shared" si="28"/>
        <v>128</v>
      </c>
      <c r="O727" s="2"/>
      <c r="P727" s="2"/>
      <c r="Q727" s="2"/>
      <c r="R727" s="38"/>
      <c r="S727" s="2"/>
      <c r="T727" s="2"/>
    </row>
    <row r="728" spans="1:20" x14ac:dyDescent="0.2">
      <c r="A728" s="49" t="str">
        <f t="shared" si="29"/>
        <v>8/5</v>
      </c>
      <c r="B728" s="19" t="s">
        <v>84</v>
      </c>
      <c r="C728" s="19" t="s">
        <v>76</v>
      </c>
      <c r="D728" s="19" t="s">
        <v>76</v>
      </c>
      <c r="E728" s="19">
        <v>8</v>
      </c>
      <c r="F728" s="19">
        <v>5</v>
      </c>
      <c r="G728" s="2"/>
      <c r="H728" s="2" t="s">
        <v>88</v>
      </c>
      <c r="I728" s="2" t="s">
        <v>106</v>
      </c>
      <c r="J728" s="38">
        <v>45926</v>
      </c>
      <c r="K728" s="2">
        <v>6</v>
      </c>
      <c r="L728" s="2">
        <v>198.56</v>
      </c>
      <c r="M728" s="2">
        <v>6</v>
      </c>
      <c r="N728" s="2">
        <f t="shared" si="28"/>
        <v>192.56</v>
      </c>
      <c r="O728" s="2"/>
      <c r="P728" s="2"/>
      <c r="Q728" s="2"/>
      <c r="R728" s="38"/>
      <c r="S728" s="2"/>
      <c r="T728" s="2"/>
    </row>
    <row r="729" spans="1:20" x14ac:dyDescent="0.2">
      <c r="A729" s="49" t="str">
        <f t="shared" si="29"/>
        <v>8/5</v>
      </c>
      <c r="B729" s="19" t="s">
        <v>84</v>
      </c>
      <c r="C729" s="19" t="s">
        <v>76</v>
      </c>
      <c r="D729" s="19" t="s">
        <v>76</v>
      </c>
      <c r="E729" s="19">
        <v>8</v>
      </c>
      <c r="F729" s="19">
        <v>5</v>
      </c>
      <c r="G729" s="2"/>
      <c r="H729" s="2" t="s">
        <v>88</v>
      </c>
      <c r="I729" s="2" t="s">
        <v>106</v>
      </c>
      <c r="J729" s="38">
        <v>45926</v>
      </c>
      <c r="K729" s="2">
        <v>8</v>
      </c>
      <c r="L729" s="2">
        <v>302.46000000000004</v>
      </c>
      <c r="M729" s="2">
        <v>7.2</v>
      </c>
      <c r="N729" s="2">
        <f t="shared" si="28"/>
        <v>295.26000000000005</v>
      </c>
      <c r="O729" s="2"/>
      <c r="P729" s="2"/>
      <c r="Q729" s="2"/>
      <c r="R729" s="38"/>
      <c r="S729" s="2"/>
      <c r="T729" s="2"/>
    </row>
    <row r="730" spans="1:20" x14ac:dyDescent="0.2">
      <c r="A730" s="49" t="str">
        <f t="shared" si="29"/>
        <v>19/7</v>
      </c>
      <c r="B730" s="19" t="s">
        <v>979</v>
      </c>
      <c r="C730" s="19" t="s">
        <v>76</v>
      </c>
      <c r="D730" s="19" t="s">
        <v>76</v>
      </c>
      <c r="E730" s="19">
        <v>19</v>
      </c>
      <c r="F730" s="19">
        <v>7</v>
      </c>
      <c r="G730" s="2"/>
      <c r="H730" s="2" t="s">
        <v>88</v>
      </c>
      <c r="I730" s="2" t="s">
        <v>1013</v>
      </c>
      <c r="J730" s="38">
        <v>45926</v>
      </c>
      <c r="K730" s="2">
        <v>1</v>
      </c>
      <c r="L730" s="2">
        <v>71.75</v>
      </c>
      <c r="M730" s="2">
        <v>1.9</v>
      </c>
      <c r="N730" s="2">
        <f t="shared" si="28"/>
        <v>69.849999999999994</v>
      </c>
      <c r="O730" s="2"/>
      <c r="P730" s="2"/>
      <c r="Q730" s="2"/>
      <c r="R730" s="38"/>
      <c r="S730" s="2"/>
      <c r="T730" s="2"/>
    </row>
    <row r="731" spans="1:20" x14ac:dyDescent="0.2">
      <c r="A731" s="49" t="str">
        <f t="shared" si="29"/>
        <v>24/5</v>
      </c>
      <c r="B731" s="19" t="s">
        <v>84</v>
      </c>
      <c r="C731" s="19" t="s">
        <v>76</v>
      </c>
      <c r="D731" s="19" t="s">
        <v>76</v>
      </c>
      <c r="E731" s="19">
        <v>24</v>
      </c>
      <c r="F731" s="19">
        <v>5</v>
      </c>
      <c r="G731" s="2"/>
      <c r="H731" s="2" t="s">
        <v>88</v>
      </c>
      <c r="I731" s="2" t="s">
        <v>1016</v>
      </c>
      <c r="J731" s="38">
        <v>45926</v>
      </c>
      <c r="K731" s="2">
        <v>9</v>
      </c>
      <c r="L731" s="2">
        <v>510.66</v>
      </c>
      <c r="M731" s="2">
        <v>23.400000000000002</v>
      </c>
      <c r="N731" s="2">
        <f t="shared" si="28"/>
        <v>487.26000000000005</v>
      </c>
      <c r="O731" s="2"/>
      <c r="P731" s="2"/>
      <c r="Q731" s="2"/>
      <c r="R731" s="38"/>
      <c r="S731" s="2"/>
      <c r="T731" s="2"/>
    </row>
    <row r="732" spans="1:20" x14ac:dyDescent="0.2">
      <c r="A732" s="49" t="str">
        <f t="shared" si="29"/>
        <v>26/10</v>
      </c>
      <c r="B732" s="19" t="s">
        <v>580</v>
      </c>
      <c r="C732" s="19" t="s">
        <v>76</v>
      </c>
      <c r="D732" s="19" t="s">
        <v>76</v>
      </c>
      <c r="E732" s="19">
        <v>26</v>
      </c>
      <c r="F732" s="19" t="s">
        <v>16</v>
      </c>
      <c r="G732" s="2"/>
      <c r="H732" s="2" t="s">
        <v>88</v>
      </c>
      <c r="I732" s="2" t="s">
        <v>1017</v>
      </c>
      <c r="J732" s="38">
        <v>45926</v>
      </c>
      <c r="K732" s="2">
        <v>2</v>
      </c>
      <c r="L732" s="2">
        <v>132.13999999999999</v>
      </c>
      <c r="M732" s="2">
        <v>6</v>
      </c>
      <c r="N732" s="2">
        <f t="shared" si="28"/>
        <v>126.13999999999999</v>
      </c>
      <c r="O732" s="2"/>
      <c r="P732" s="2"/>
      <c r="Q732" s="2"/>
      <c r="R732" s="38"/>
      <c r="S732" s="2"/>
      <c r="T732" s="2"/>
    </row>
    <row r="733" spans="1:20" x14ac:dyDescent="0.2">
      <c r="A733" s="49" t="str">
        <f t="shared" si="29"/>
        <v>24/5</v>
      </c>
      <c r="B733" s="19" t="s">
        <v>84</v>
      </c>
      <c r="C733" s="19" t="s">
        <v>76</v>
      </c>
      <c r="D733" s="19" t="s">
        <v>76</v>
      </c>
      <c r="E733" s="19">
        <v>24</v>
      </c>
      <c r="F733" s="19">
        <v>5</v>
      </c>
      <c r="G733" s="2"/>
      <c r="H733" s="2" t="s">
        <v>88</v>
      </c>
      <c r="I733" s="2" t="s">
        <v>1016</v>
      </c>
      <c r="J733" s="38">
        <v>45926</v>
      </c>
      <c r="K733" s="2">
        <v>2</v>
      </c>
      <c r="L733" s="2">
        <v>114.17</v>
      </c>
      <c r="M733" s="2">
        <v>5.2</v>
      </c>
      <c r="N733" s="2">
        <f t="shared" si="28"/>
        <v>108.97</v>
      </c>
      <c r="O733" s="2"/>
      <c r="P733" s="2"/>
      <c r="Q733" s="2"/>
      <c r="R733" s="38"/>
      <c r="S733" s="2"/>
      <c r="T733" s="2"/>
    </row>
    <row r="734" spans="1:20" x14ac:dyDescent="0.2">
      <c r="A734" s="49" t="str">
        <f t="shared" si="29"/>
        <v>24/5-5.5</v>
      </c>
      <c r="B734" s="19" t="s">
        <v>85</v>
      </c>
      <c r="C734" s="19" t="s">
        <v>76</v>
      </c>
      <c r="D734" s="19" t="s">
        <v>76</v>
      </c>
      <c r="E734" s="19">
        <v>24</v>
      </c>
      <c r="F734" s="19" t="s">
        <v>41</v>
      </c>
      <c r="G734" s="2"/>
      <c r="H734" s="2" t="s">
        <v>88</v>
      </c>
      <c r="I734" s="2" t="s">
        <v>1018</v>
      </c>
      <c r="J734" s="38">
        <v>45926</v>
      </c>
      <c r="K734" s="2">
        <v>11</v>
      </c>
      <c r="L734" s="2">
        <v>590.2399999999999</v>
      </c>
      <c r="M734" s="2">
        <v>28.82</v>
      </c>
      <c r="N734" s="2">
        <f t="shared" si="28"/>
        <v>561.41999999999985</v>
      </c>
      <c r="O734" s="2"/>
      <c r="P734" s="2"/>
      <c r="Q734" s="2"/>
      <c r="R734" s="38"/>
      <c r="S734" s="2"/>
      <c r="T734" s="2"/>
    </row>
    <row r="735" spans="1:20" x14ac:dyDescent="0.2">
      <c r="A735" s="49" t="str">
        <f t="shared" si="29"/>
        <v>17/8.5-9</v>
      </c>
      <c r="B735" s="19" t="s">
        <v>506</v>
      </c>
      <c r="C735" s="19" t="s">
        <v>76</v>
      </c>
      <c r="D735" s="19" t="s">
        <v>76</v>
      </c>
      <c r="E735" s="19">
        <v>17</v>
      </c>
      <c r="F735" s="19" t="s">
        <v>171</v>
      </c>
      <c r="G735" s="2"/>
      <c r="H735" s="2" t="s">
        <v>88</v>
      </c>
      <c r="I735" s="2" t="s">
        <v>1004</v>
      </c>
      <c r="J735" s="38">
        <v>45926</v>
      </c>
      <c r="K735" s="2">
        <v>3</v>
      </c>
      <c r="L735" s="2">
        <v>171.54</v>
      </c>
      <c r="M735" s="2">
        <v>5.0999999999999996</v>
      </c>
      <c r="N735" s="2">
        <f t="shared" si="28"/>
        <v>166.44</v>
      </c>
      <c r="O735" s="2"/>
      <c r="P735" s="2"/>
      <c r="Q735" s="2"/>
      <c r="R735" s="38"/>
      <c r="S735" s="2"/>
      <c r="T735" s="2"/>
    </row>
    <row r="736" spans="1:20" x14ac:dyDescent="0.2">
      <c r="A736" s="49" t="str">
        <f t="shared" si="29"/>
        <v>10/4.5</v>
      </c>
      <c r="B736" s="19" t="s">
        <v>190</v>
      </c>
      <c r="C736" s="19" t="s">
        <v>76</v>
      </c>
      <c r="D736" s="19" t="s">
        <v>76</v>
      </c>
      <c r="E736" s="19">
        <v>10</v>
      </c>
      <c r="F736" s="19">
        <v>4.5</v>
      </c>
      <c r="G736" s="2"/>
      <c r="H736" s="2" t="s">
        <v>88</v>
      </c>
      <c r="I736" s="2" t="s">
        <v>1019</v>
      </c>
      <c r="J736" s="38">
        <v>45926</v>
      </c>
      <c r="K736" s="2">
        <v>6</v>
      </c>
      <c r="L736" s="2">
        <v>266.81000000000006</v>
      </c>
      <c r="M736" s="2">
        <v>6</v>
      </c>
      <c r="N736" s="2">
        <f t="shared" si="28"/>
        <v>260.81000000000006</v>
      </c>
      <c r="O736" s="2"/>
      <c r="P736" s="2"/>
      <c r="Q736" s="2"/>
      <c r="R736" s="38"/>
      <c r="S736" s="2"/>
      <c r="T736" s="2"/>
    </row>
    <row r="737" spans="1:20" x14ac:dyDescent="0.2">
      <c r="A737" s="49" t="str">
        <f t="shared" si="29"/>
        <v>10/4.5</v>
      </c>
      <c r="B737" s="19" t="s">
        <v>190</v>
      </c>
      <c r="C737" s="19" t="s">
        <v>76</v>
      </c>
      <c r="D737" s="19" t="s">
        <v>76</v>
      </c>
      <c r="E737" s="19">
        <v>10</v>
      </c>
      <c r="F737" s="19">
        <v>4.5</v>
      </c>
      <c r="G737" s="2"/>
      <c r="H737" s="2" t="s">
        <v>88</v>
      </c>
      <c r="I737" s="2" t="s">
        <v>1019</v>
      </c>
      <c r="J737" s="38">
        <v>45926</v>
      </c>
      <c r="K737" s="2">
        <v>11</v>
      </c>
      <c r="L737" s="2">
        <v>435.65000000000003</v>
      </c>
      <c r="M737" s="2">
        <v>11</v>
      </c>
      <c r="N737" s="2">
        <f t="shared" si="28"/>
        <v>424.65000000000003</v>
      </c>
      <c r="O737" s="2"/>
      <c r="P737" s="2"/>
      <c r="Q737" s="2"/>
      <c r="R737" s="38"/>
      <c r="S737" s="2"/>
      <c r="T737" s="2"/>
    </row>
    <row r="738" spans="1:20" x14ac:dyDescent="0.2">
      <c r="A738" s="49" t="str">
        <f t="shared" si="29"/>
        <v>10/8</v>
      </c>
      <c r="B738" s="19" t="s">
        <v>980</v>
      </c>
      <c r="C738" s="19" t="s">
        <v>76</v>
      </c>
      <c r="D738" s="19" t="s">
        <v>76</v>
      </c>
      <c r="E738" s="19">
        <v>10</v>
      </c>
      <c r="F738" s="19">
        <v>8</v>
      </c>
      <c r="G738" s="2"/>
      <c r="H738" s="2" t="s">
        <v>88</v>
      </c>
      <c r="I738" s="2" t="s">
        <v>1020</v>
      </c>
      <c r="J738" s="38">
        <v>45926</v>
      </c>
      <c r="K738" s="2">
        <v>1</v>
      </c>
      <c r="L738" s="2">
        <v>29.79</v>
      </c>
      <c r="M738" s="2">
        <v>1</v>
      </c>
      <c r="N738" s="2">
        <f t="shared" si="28"/>
        <v>28.79</v>
      </c>
      <c r="O738" s="2"/>
      <c r="P738" s="2"/>
      <c r="Q738" s="2"/>
      <c r="R738" s="38"/>
      <c r="S738" s="2"/>
      <c r="T738" s="2"/>
    </row>
    <row r="739" spans="1:20" x14ac:dyDescent="0.2">
      <c r="A739" s="49" t="str">
        <f t="shared" si="29"/>
        <v>17/5.5-6</v>
      </c>
      <c r="B739" s="19" t="s">
        <v>827</v>
      </c>
      <c r="C739" s="19" t="s">
        <v>76</v>
      </c>
      <c r="D739" s="19" t="s">
        <v>76</v>
      </c>
      <c r="E739" s="19">
        <v>17</v>
      </c>
      <c r="F739" s="19" t="s">
        <v>5</v>
      </c>
      <c r="G739" s="2"/>
      <c r="H739" s="2" t="s">
        <v>88</v>
      </c>
      <c r="I739" s="2" t="s">
        <v>845</v>
      </c>
      <c r="J739" s="38">
        <v>45926</v>
      </c>
      <c r="K739" s="2">
        <v>12</v>
      </c>
      <c r="L739" s="2">
        <v>625.69999999999993</v>
      </c>
      <c r="M739" s="2">
        <v>20.399999999999999</v>
      </c>
      <c r="N739" s="2">
        <f t="shared" si="28"/>
        <v>605.29999999999995</v>
      </c>
      <c r="O739" s="2"/>
      <c r="P739" s="2"/>
      <c r="Q739" s="2"/>
      <c r="R739" s="38"/>
      <c r="S739" s="2"/>
      <c r="T739" s="2"/>
    </row>
    <row r="740" spans="1:20" x14ac:dyDescent="0.2">
      <c r="A740" s="49" t="str">
        <f t="shared" si="29"/>
        <v>17/5.5-6</v>
      </c>
      <c r="B740" s="19" t="s">
        <v>827</v>
      </c>
      <c r="C740" s="19" t="s">
        <v>76</v>
      </c>
      <c r="D740" s="19" t="s">
        <v>76</v>
      </c>
      <c r="E740" s="19">
        <v>17</v>
      </c>
      <c r="F740" s="19" t="s">
        <v>5</v>
      </c>
      <c r="G740" s="2"/>
      <c r="H740" s="2" t="s">
        <v>88</v>
      </c>
      <c r="I740" s="2" t="s">
        <v>845</v>
      </c>
      <c r="J740" s="38">
        <v>45926</v>
      </c>
      <c r="K740" s="2">
        <v>12</v>
      </c>
      <c r="L740" s="2">
        <v>624.09999999999991</v>
      </c>
      <c r="M740" s="2">
        <v>20.399999999999999</v>
      </c>
      <c r="N740" s="2">
        <f t="shared" si="28"/>
        <v>603.69999999999993</v>
      </c>
      <c r="O740" s="2"/>
      <c r="P740" s="2"/>
      <c r="Q740" s="2"/>
      <c r="R740" s="38"/>
      <c r="S740" s="2"/>
      <c r="T740" s="2"/>
    </row>
    <row r="741" spans="1:20" x14ac:dyDescent="0.2">
      <c r="A741" s="49" t="str">
        <f t="shared" si="29"/>
        <v>2.5/5.5-6</v>
      </c>
      <c r="B741" s="19" t="s">
        <v>84</v>
      </c>
      <c r="C741" s="19" t="s">
        <v>76</v>
      </c>
      <c r="D741" s="19" t="s">
        <v>76</v>
      </c>
      <c r="E741" s="19">
        <v>2.5</v>
      </c>
      <c r="F741" s="19" t="s">
        <v>5</v>
      </c>
      <c r="G741" s="2"/>
      <c r="H741" s="2" t="s">
        <v>88</v>
      </c>
      <c r="I741" s="2" t="s">
        <v>1014</v>
      </c>
      <c r="J741" s="38">
        <v>45927</v>
      </c>
      <c r="K741" s="2">
        <v>10</v>
      </c>
      <c r="L741" s="2">
        <v>106.77</v>
      </c>
      <c r="M741" s="2">
        <v>2</v>
      </c>
      <c r="N741" s="2">
        <f t="shared" si="28"/>
        <v>104.77</v>
      </c>
      <c r="O741" s="2"/>
      <c r="P741" s="2"/>
      <c r="Q741" s="2"/>
      <c r="R741" s="38"/>
      <c r="S741" s="2"/>
      <c r="T741" s="2"/>
    </row>
    <row r="742" spans="1:20" x14ac:dyDescent="0.2">
      <c r="A742" s="49" t="str">
        <f t="shared" si="29"/>
        <v>2.5/5.5-6</v>
      </c>
      <c r="B742" s="19" t="s">
        <v>84</v>
      </c>
      <c r="C742" s="19" t="s">
        <v>76</v>
      </c>
      <c r="D742" s="19" t="s">
        <v>76</v>
      </c>
      <c r="E742" s="19">
        <v>2.5</v>
      </c>
      <c r="F742" s="19" t="s">
        <v>5</v>
      </c>
      <c r="G742" s="2"/>
      <c r="H742" s="2" t="s">
        <v>88</v>
      </c>
      <c r="I742" s="2" t="s">
        <v>1014</v>
      </c>
      <c r="J742" s="38">
        <v>45927</v>
      </c>
      <c r="K742" s="2">
        <v>9</v>
      </c>
      <c r="L742" s="2">
        <v>121.5</v>
      </c>
      <c r="M742" s="2">
        <v>1.8</v>
      </c>
      <c r="N742" s="2">
        <f t="shared" si="28"/>
        <v>119.7</v>
      </c>
      <c r="O742" s="2"/>
      <c r="P742" s="2"/>
      <c r="Q742" s="2"/>
      <c r="R742" s="38"/>
      <c r="S742" s="2"/>
      <c r="T742" s="2"/>
    </row>
    <row r="743" spans="1:20" x14ac:dyDescent="0.2">
      <c r="A743" s="49" t="str">
        <f t="shared" si="29"/>
        <v>4/5-5.5</v>
      </c>
      <c r="B743" s="19" t="s">
        <v>84</v>
      </c>
      <c r="C743" s="19" t="s">
        <v>76</v>
      </c>
      <c r="D743" s="19" t="s">
        <v>76</v>
      </c>
      <c r="E743" s="19">
        <v>4</v>
      </c>
      <c r="F743" s="19" t="s">
        <v>41</v>
      </c>
      <c r="G743" s="2"/>
      <c r="H743" s="2" t="s">
        <v>88</v>
      </c>
      <c r="I743" s="2" t="s">
        <v>1010</v>
      </c>
      <c r="J743" s="38">
        <v>45927</v>
      </c>
      <c r="K743" s="2">
        <v>3</v>
      </c>
      <c r="L743" s="2">
        <v>50.03</v>
      </c>
      <c r="M743" s="2">
        <v>1.2000000000000002</v>
      </c>
      <c r="N743" s="2">
        <f t="shared" si="28"/>
        <v>48.83</v>
      </c>
      <c r="O743" s="2"/>
      <c r="P743" s="2"/>
      <c r="Q743" s="2"/>
      <c r="R743" s="38"/>
      <c r="S743" s="2"/>
      <c r="T743" s="2"/>
    </row>
    <row r="744" spans="1:20" x14ac:dyDescent="0.2">
      <c r="A744" s="49" t="str">
        <f t="shared" si="29"/>
        <v>4/5-5.5</v>
      </c>
      <c r="B744" s="19" t="s">
        <v>84</v>
      </c>
      <c r="C744" s="19" t="s">
        <v>76</v>
      </c>
      <c r="D744" s="19" t="s">
        <v>76</v>
      </c>
      <c r="E744" s="19">
        <v>4</v>
      </c>
      <c r="F744" s="19" t="s">
        <v>41</v>
      </c>
      <c r="G744" s="2"/>
      <c r="H744" s="2" t="s">
        <v>88</v>
      </c>
      <c r="I744" s="2" t="s">
        <v>1010</v>
      </c>
      <c r="J744" s="38">
        <v>45927</v>
      </c>
      <c r="K744" s="2">
        <v>9</v>
      </c>
      <c r="L744" s="2">
        <v>158.19</v>
      </c>
      <c r="M744" s="2">
        <v>3.6</v>
      </c>
      <c r="N744" s="2">
        <f t="shared" si="28"/>
        <v>154.59</v>
      </c>
      <c r="O744" s="2"/>
      <c r="P744" s="2"/>
      <c r="Q744" s="2"/>
      <c r="R744" s="38"/>
      <c r="S744" s="2"/>
      <c r="T744" s="2"/>
    </row>
    <row r="745" spans="1:20" x14ac:dyDescent="0.2">
      <c r="A745" s="49" t="str">
        <f t="shared" si="29"/>
        <v>8/5</v>
      </c>
      <c r="B745" s="19" t="s">
        <v>84</v>
      </c>
      <c r="C745" s="19" t="s">
        <v>76</v>
      </c>
      <c r="D745" s="19" t="s">
        <v>76</v>
      </c>
      <c r="E745" s="19">
        <v>8</v>
      </c>
      <c r="F745" s="19">
        <v>5</v>
      </c>
      <c r="G745" s="2"/>
      <c r="H745" s="2" t="s">
        <v>88</v>
      </c>
      <c r="I745" s="2" t="s">
        <v>106</v>
      </c>
      <c r="J745" s="38">
        <v>45927</v>
      </c>
      <c r="K745" s="2">
        <v>9</v>
      </c>
      <c r="L745" s="2">
        <v>286.99</v>
      </c>
      <c r="M745" s="2">
        <v>7.2</v>
      </c>
      <c r="N745" s="2">
        <f t="shared" si="28"/>
        <v>279.79000000000002</v>
      </c>
      <c r="O745" s="2"/>
      <c r="P745" s="2"/>
      <c r="Q745" s="2"/>
      <c r="R745" s="38"/>
      <c r="S745" s="2"/>
      <c r="T745" s="2"/>
    </row>
    <row r="746" spans="1:20" x14ac:dyDescent="0.2">
      <c r="A746" s="49" t="str">
        <f t="shared" si="29"/>
        <v>8/5</v>
      </c>
      <c r="B746" s="19" t="s">
        <v>84</v>
      </c>
      <c r="C746" s="19" t="s">
        <v>76</v>
      </c>
      <c r="D746" s="19" t="s">
        <v>76</v>
      </c>
      <c r="E746" s="19">
        <v>8</v>
      </c>
      <c r="F746" s="19">
        <v>5</v>
      </c>
      <c r="G746" s="2"/>
      <c r="H746" s="2" t="s">
        <v>88</v>
      </c>
      <c r="I746" s="2" t="s">
        <v>106</v>
      </c>
      <c r="J746" s="38">
        <v>45927</v>
      </c>
      <c r="K746" s="2">
        <v>8</v>
      </c>
      <c r="L746" s="2">
        <v>321.25</v>
      </c>
      <c r="M746" s="2">
        <v>6.4</v>
      </c>
      <c r="N746" s="2">
        <f t="shared" si="28"/>
        <v>314.85000000000002</v>
      </c>
      <c r="O746" s="2"/>
      <c r="P746" s="2"/>
      <c r="Q746" s="2"/>
      <c r="R746" s="38"/>
      <c r="S746" s="2"/>
      <c r="T746" s="2"/>
    </row>
    <row r="747" spans="1:20" x14ac:dyDescent="0.2">
      <c r="A747" s="49" t="str">
        <f t="shared" si="29"/>
        <v>7/5</v>
      </c>
      <c r="B747" s="19" t="s">
        <v>84</v>
      </c>
      <c r="C747" s="19" t="s">
        <v>76</v>
      </c>
      <c r="D747" s="19" t="s">
        <v>76</v>
      </c>
      <c r="E747" s="19">
        <v>7</v>
      </c>
      <c r="F747" s="19">
        <v>5</v>
      </c>
      <c r="G747" s="2"/>
      <c r="H747" s="2" t="s">
        <v>88</v>
      </c>
      <c r="I747" s="2" t="s">
        <v>100</v>
      </c>
      <c r="J747" s="38">
        <v>45927</v>
      </c>
      <c r="K747" s="2">
        <v>1</v>
      </c>
      <c r="L747" s="2">
        <v>28.7</v>
      </c>
      <c r="M747" s="2">
        <v>0.7</v>
      </c>
      <c r="N747" s="2">
        <f t="shared" si="28"/>
        <v>28</v>
      </c>
      <c r="O747" s="2"/>
      <c r="P747" s="2"/>
      <c r="Q747" s="2"/>
      <c r="R747" s="38"/>
      <c r="S747" s="2"/>
      <c r="T747" s="2"/>
    </row>
    <row r="748" spans="1:20" x14ac:dyDescent="0.2">
      <c r="A748" s="49" t="str">
        <f t="shared" si="29"/>
        <v>24/5-5.5</v>
      </c>
      <c r="B748" s="19" t="s">
        <v>85</v>
      </c>
      <c r="C748" s="19" t="s">
        <v>76</v>
      </c>
      <c r="D748" s="19" t="s">
        <v>76</v>
      </c>
      <c r="E748" s="19">
        <v>24</v>
      </c>
      <c r="F748" s="19" t="s">
        <v>41</v>
      </c>
      <c r="G748" s="2"/>
      <c r="H748" s="2" t="s">
        <v>88</v>
      </c>
      <c r="I748" s="2" t="s">
        <v>1018</v>
      </c>
      <c r="J748" s="38">
        <v>45927</v>
      </c>
      <c r="K748" s="2">
        <v>12</v>
      </c>
      <c r="L748" s="2">
        <v>764</v>
      </c>
      <c r="M748" s="2">
        <v>31.200000000000003</v>
      </c>
      <c r="N748" s="2">
        <f t="shared" si="28"/>
        <v>732.8</v>
      </c>
      <c r="O748" s="2"/>
      <c r="P748" s="2"/>
      <c r="Q748" s="2"/>
      <c r="R748" s="38"/>
      <c r="S748" s="2"/>
      <c r="T748" s="2"/>
    </row>
    <row r="749" spans="1:20" x14ac:dyDescent="0.2">
      <c r="A749" s="49" t="str">
        <f t="shared" si="29"/>
        <v>24/5-5.5</v>
      </c>
      <c r="B749" s="19" t="s">
        <v>85</v>
      </c>
      <c r="C749" s="19" t="s">
        <v>76</v>
      </c>
      <c r="D749" s="19" t="s">
        <v>76</v>
      </c>
      <c r="E749" s="19">
        <v>24</v>
      </c>
      <c r="F749" s="19" t="s">
        <v>41</v>
      </c>
      <c r="G749" s="2"/>
      <c r="H749" s="2" t="s">
        <v>88</v>
      </c>
      <c r="I749" s="2" t="s">
        <v>1018</v>
      </c>
      <c r="J749" s="38">
        <v>45927</v>
      </c>
      <c r="K749" s="2">
        <v>11</v>
      </c>
      <c r="L749" s="2">
        <v>607.20999999999992</v>
      </c>
      <c r="M749" s="2">
        <v>26.4</v>
      </c>
      <c r="N749" s="2">
        <f t="shared" si="28"/>
        <v>580.80999999999995</v>
      </c>
      <c r="O749" s="2"/>
      <c r="P749" s="2"/>
      <c r="Q749" s="2"/>
      <c r="R749" s="38"/>
      <c r="S749" s="2"/>
      <c r="T749" s="2"/>
    </row>
    <row r="750" spans="1:20" x14ac:dyDescent="0.2">
      <c r="A750" s="49" t="str">
        <f t="shared" si="29"/>
        <v>28/5</v>
      </c>
      <c r="B750" s="19" t="s">
        <v>84</v>
      </c>
      <c r="C750" s="19" t="s">
        <v>76</v>
      </c>
      <c r="D750" s="19" t="s">
        <v>76</v>
      </c>
      <c r="E750" s="19">
        <v>28</v>
      </c>
      <c r="F750" s="19">
        <v>5</v>
      </c>
      <c r="G750" s="2"/>
      <c r="H750" s="2" t="s">
        <v>88</v>
      </c>
      <c r="I750" s="2" t="s">
        <v>1021</v>
      </c>
      <c r="J750" s="38">
        <v>45927</v>
      </c>
      <c r="K750" s="2">
        <v>1</v>
      </c>
      <c r="L750" s="2">
        <v>45.9</v>
      </c>
      <c r="M750" s="2">
        <v>2.8</v>
      </c>
      <c r="N750" s="2">
        <f t="shared" si="28"/>
        <v>43.1</v>
      </c>
      <c r="O750" s="2"/>
      <c r="P750" s="2"/>
      <c r="Q750" s="2"/>
      <c r="R750" s="38"/>
      <c r="S750" s="2"/>
      <c r="T750" s="2"/>
    </row>
    <row r="751" spans="1:20" x14ac:dyDescent="0.2">
      <c r="A751" s="49" t="str">
        <f t="shared" si="29"/>
        <v>10/8</v>
      </c>
      <c r="B751" s="19" t="s">
        <v>980</v>
      </c>
      <c r="C751" s="19" t="s">
        <v>76</v>
      </c>
      <c r="D751" s="19" t="s">
        <v>76</v>
      </c>
      <c r="E751" s="19">
        <v>10</v>
      </c>
      <c r="F751" s="19">
        <v>8</v>
      </c>
      <c r="G751" s="2"/>
      <c r="H751" s="2" t="s">
        <v>88</v>
      </c>
      <c r="I751" s="2" t="s">
        <v>1020</v>
      </c>
      <c r="J751" s="38">
        <v>45927</v>
      </c>
      <c r="K751" s="2">
        <v>3</v>
      </c>
      <c r="L751" s="2">
        <v>86.14</v>
      </c>
      <c r="M751" s="2">
        <v>3.3000000000000003</v>
      </c>
      <c r="N751" s="2">
        <f t="shared" si="28"/>
        <v>82.84</v>
      </c>
      <c r="O751" s="2"/>
      <c r="P751" s="2"/>
      <c r="Q751" s="2"/>
      <c r="R751" s="38"/>
      <c r="S751" s="2"/>
      <c r="T751" s="2"/>
    </row>
    <row r="752" spans="1:20" x14ac:dyDescent="0.2">
      <c r="A752" s="49" t="str">
        <f t="shared" si="29"/>
        <v>11/6.5</v>
      </c>
      <c r="B752" s="19" t="s">
        <v>165</v>
      </c>
      <c r="C752" s="19" t="s">
        <v>76</v>
      </c>
      <c r="D752" s="19" t="s">
        <v>76</v>
      </c>
      <c r="E752" s="19" t="s">
        <v>15</v>
      </c>
      <c r="F752" s="19">
        <v>6.5</v>
      </c>
      <c r="G752" s="2"/>
      <c r="H752" s="2" t="s">
        <v>88</v>
      </c>
      <c r="I752" s="2" t="s">
        <v>1022</v>
      </c>
      <c r="J752" s="38">
        <v>45927</v>
      </c>
      <c r="K752" s="2">
        <v>9</v>
      </c>
      <c r="L752" s="2">
        <v>431.21000000000004</v>
      </c>
      <c r="M752" s="2">
        <v>12.15</v>
      </c>
      <c r="N752" s="2">
        <f t="shared" si="28"/>
        <v>419.06000000000006</v>
      </c>
      <c r="O752" s="2"/>
      <c r="P752" s="2"/>
      <c r="Q752" s="2"/>
      <c r="R752" s="38"/>
      <c r="S752" s="2"/>
      <c r="T752" s="2"/>
    </row>
    <row r="753" spans="1:20" x14ac:dyDescent="0.2">
      <c r="A753" s="49" t="str">
        <f t="shared" si="29"/>
        <v>11/6.5</v>
      </c>
      <c r="B753" s="19" t="s">
        <v>165</v>
      </c>
      <c r="C753" s="19" t="s">
        <v>76</v>
      </c>
      <c r="D753" s="19" t="s">
        <v>76</v>
      </c>
      <c r="E753" s="19" t="s">
        <v>15</v>
      </c>
      <c r="F753" s="19">
        <v>6.5</v>
      </c>
      <c r="G753" s="2"/>
      <c r="H753" s="2" t="s">
        <v>88</v>
      </c>
      <c r="I753" s="2" t="s">
        <v>1022</v>
      </c>
      <c r="J753" s="38">
        <v>45927</v>
      </c>
      <c r="K753" s="2">
        <v>1</v>
      </c>
      <c r="L753" s="2">
        <v>45.8</v>
      </c>
      <c r="M753" s="2">
        <v>1.1000000000000001</v>
      </c>
      <c r="N753" s="2">
        <f t="shared" si="28"/>
        <v>44.699999999999996</v>
      </c>
      <c r="O753" s="2"/>
      <c r="P753" s="2"/>
      <c r="Q753" s="2"/>
      <c r="R753" s="38"/>
      <c r="S753" s="2"/>
      <c r="T753" s="2"/>
    </row>
    <row r="754" spans="1:20" x14ac:dyDescent="0.2">
      <c r="A754" s="49" t="str">
        <f t="shared" si="29"/>
        <v>11/7</v>
      </c>
      <c r="B754" s="19" t="s">
        <v>981</v>
      </c>
      <c r="C754" s="19" t="s">
        <v>76</v>
      </c>
      <c r="D754" s="19" t="s">
        <v>76</v>
      </c>
      <c r="E754" s="19">
        <v>11</v>
      </c>
      <c r="F754" s="19">
        <v>7</v>
      </c>
      <c r="G754" s="2"/>
      <c r="H754" s="2" t="s">
        <v>88</v>
      </c>
      <c r="I754" s="2" t="s">
        <v>1023</v>
      </c>
      <c r="J754" s="38">
        <v>45927</v>
      </c>
      <c r="K754" s="2">
        <v>2</v>
      </c>
      <c r="L754" s="2">
        <v>80.14</v>
      </c>
      <c r="M754" s="2">
        <v>2.2000000000000002</v>
      </c>
      <c r="N754" s="2">
        <f t="shared" si="28"/>
        <v>77.94</v>
      </c>
      <c r="O754" s="2"/>
      <c r="P754" s="2"/>
      <c r="Q754" s="2"/>
      <c r="R754" s="38"/>
      <c r="S754" s="2"/>
      <c r="T754" s="2"/>
    </row>
    <row r="755" spans="1:20" x14ac:dyDescent="0.2">
      <c r="A755" s="49" t="str">
        <f t="shared" si="29"/>
        <v>11/4.5</v>
      </c>
      <c r="B755" s="19" t="s">
        <v>972</v>
      </c>
      <c r="C755" s="19" t="s">
        <v>76</v>
      </c>
      <c r="D755" s="19" t="s">
        <v>76</v>
      </c>
      <c r="E755" s="19">
        <v>11</v>
      </c>
      <c r="F755" s="19">
        <v>4.5</v>
      </c>
      <c r="G755" s="2"/>
      <c r="H755" s="2" t="s">
        <v>88</v>
      </c>
      <c r="I755" s="2" t="s">
        <v>1024</v>
      </c>
      <c r="J755" s="38">
        <v>45927</v>
      </c>
      <c r="K755" s="2">
        <v>4</v>
      </c>
      <c r="L755" s="2">
        <v>159.66999999999999</v>
      </c>
      <c r="M755" s="2">
        <v>4.4000000000000004</v>
      </c>
      <c r="N755" s="2">
        <f t="shared" si="28"/>
        <v>155.26999999999998</v>
      </c>
      <c r="O755" s="2"/>
      <c r="P755" s="2"/>
      <c r="Q755" s="2"/>
      <c r="R755" s="38"/>
      <c r="S755" s="2"/>
      <c r="T755" s="2"/>
    </row>
    <row r="756" spans="1:20" x14ac:dyDescent="0.2">
      <c r="A756" s="49" t="str">
        <f t="shared" si="29"/>
        <v>11/5-5.5</v>
      </c>
      <c r="B756" s="19" t="s">
        <v>84</v>
      </c>
      <c r="C756" s="19" t="s">
        <v>76</v>
      </c>
      <c r="D756" s="19" t="s">
        <v>76</v>
      </c>
      <c r="E756" s="19">
        <v>11</v>
      </c>
      <c r="F756" s="19" t="s">
        <v>41</v>
      </c>
      <c r="G756" s="2"/>
      <c r="H756" s="2" t="s">
        <v>88</v>
      </c>
      <c r="I756" s="2" t="s">
        <v>1025</v>
      </c>
      <c r="J756" s="38">
        <v>45927</v>
      </c>
      <c r="K756" s="2">
        <v>5</v>
      </c>
      <c r="L756" s="2">
        <v>285.31</v>
      </c>
      <c r="M756" s="2">
        <v>5.5</v>
      </c>
      <c r="N756" s="2">
        <f t="shared" si="28"/>
        <v>279.81</v>
      </c>
      <c r="O756" s="2"/>
      <c r="P756" s="2"/>
      <c r="Q756" s="2"/>
      <c r="R756" s="38"/>
      <c r="S756" s="2"/>
      <c r="T756" s="2"/>
    </row>
    <row r="757" spans="1:20" x14ac:dyDescent="0.2">
      <c r="A757" s="49" t="str">
        <f t="shared" si="29"/>
        <v>17/5.5-6</v>
      </c>
      <c r="B757" s="19" t="s">
        <v>827</v>
      </c>
      <c r="C757" s="19" t="s">
        <v>76</v>
      </c>
      <c r="D757" s="19" t="s">
        <v>76</v>
      </c>
      <c r="E757" s="19">
        <v>17</v>
      </c>
      <c r="F757" s="19" t="s">
        <v>5</v>
      </c>
      <c r="G757" s="2"/>
      <c r="H757" s="2" t="s">
        <v>88</v>
      </c>
      <c r="I757" s="2" t="s">
        <v>845</v>
      </c>
      <c r="J757" s="38">
        <v>45927</v>
      </c>
      <c r="K757" s="2">
        <v>11</v>
      </c>
      <c r="L757" s="2">
        <v>586.06999999999994</v>
      </c>
      <c r="M757" s="2">
        <v>27.5</v>
      </c>
      <c r="N757" s="2">
        <f t="shared" si="28"/>
        <v>558.56999999999994</v>
      </c>
      <c r="O757" s="2"/>
      <c r="P757" s="2"/>
      <c r="Q757" s="2"/>
      <c r="R757" s="38"/>
      <c r="S757" s="2"/>
      <c r="T757" s="2"/>
    </row>
    <row r="758" spans="1:20" x14ac:dyDescent="0.2">
      <c r="A758" s="49" t="str">
        <f t="shared" si="29"/>
        <v>17/5.5-6</v>
      </c>
      <c r="B758" s="19" t="s">
        <v>827</v>
      </c>
      <c r="C758" s="19" t="s">
        <v>76</v>
      </c>
      <c r="D758" s="19" t="s">
        <v>76</v>
      </c>
      <c r="E758" s="19">
        <v>17</v>
      </c>
      <c r="F758" s="19" t="s">
        <v>5</v>
      </c>
      <c r="G758" s="2"/>
      <c r="H758" s="2" t="s">
        <v>88</v>
      </c>
      <c r="I758" s="2" t="s">
        <v>845</v>
      </c>
      <c r="J758" s="38">
        <v>45927</v>
      </c>
      <c r="K758" s="2">
        <v>12</v>
      </c>
      <c r="L758" s="2">
        <v>655.03</v>
      </c>
      <c r="M758" s="2">
        <v>22.799999999999997</v>
      </c>
      <c r="N758" s="2">
        <f t="shared" si="28"/>
        <v>632.23</v>
      </c>
      <c r="O758" s="2"/>
      <c r="P758" s="2"/>
      <c r="Q758" s="2"/>
      <c r="R758" s="38"/>
      <c r="S758" s="2"/>
      <c r="T758" s="2"/>
    </row>
    <row r="759" spans="1:20" x14ac:dyDescent="0.2">
      <c r="A759" s="49" t="str">
        <f t="shared" si="29"/>
        <v>2.5/5.5-6</v>
      </c>
      <c r="B759" s="19" t="s">
        <v>84</v>
      </c>
      <c r="C759" s="19" t="s">
        <v>76</v>
      </c>
      <c r="D759" s="19" t="s">
        <v>76</v>
      </c>
      <c r="E759" s="19">
        <v>2.5</v>
      </c>
      <c r="F759" s="19" t="s">
        <v>5</v>
      </c>
      <c r="G759" s="2"/>
      <c r="H759" s="2" t="s">
        <v>88</v>
      </c>
      <c r="I759" s="2" t="s">
        <v>1014</v>
      </c>
      <c r="J759" s="38">
        <v>45928</v>
      </c>
      <c r="K759" s="2">
        <v>10</v>
      </c>
      <c r="L759" s="2">
        <v>113.09999999999998</v>
      </c>
      <c r="M759" s="2">
        <v>25</v>
      </c>
      <c r="N759" s="2">
        <f t="shared" si="28"/>
        <v>88.09999999999998</v>
      </c>
      <c r="O759" s="2"/>
      <c r="P759" s="2"/>
      <c r="Q759" s="2"/>
      <c r="R759" s="38"/>
      <c r="S759" s="2"/>
      <c r="T759" s="2"/>
    </row>
    <row r="760" spans="1:20" x14ac:dyDescent="0.2">
      <c r="A760" s="49" t="str">
        <f t="shared" si="29"/>
        <v>2.5/5.5-6</v>
      </c>
      <c r="B760" s="19" t="s">
        <v>84</v>
      </c>
      <c r="C760" s="19" t="s">
        <v>76</v>
      </c>
      <c r="D760" s="19" t="s">
        <v>76</v>
      </c>
      <c r="E760" s="19">
        <v>2.5</v>
      </c>
      <c r="F760" s="19" t="s">
        <v>5</v>
      </c>
      <c r="G760" s="2"/>
      <c r="H760" s="2" t="s">
        <v>88</v>
      </c>
      <c r="I760" s="2" t="s">
        <v>1014</v>
      </c>
      <c r="J760" s="38">
        <v>45928</v>
      </c>
      <c r="K760" s="2">
        <v>12</v>
      </c>
      <c r="L760" s="2">
        <v>107.60999999999999</v>
      </c>
      <c r="M760" s="2">
        <v>30</v>
      </c>
      <c r="N760" s="2">
        <f t="shared" si="28"/>
        <v>77.609999999999985</v>
      </c>
      <c r="O760" s="2"/>
      <c r="P760" s="2"/>
      <c r="Q760" s="2"/>
      <c r="R760" s="38"/>
      <c r="S760" s="2"/>
      <c r="T760" s="2"/>
    </row>
    <row r="761" spans="1:20" x14ac:dyDescent="0.2">
      <c r="A761" s="49" t="str">
        <f t="shared" si="29"/>
        <v>4/5-5.5</v>
      </c>
      <c r="B761" s="19" t="s">
        <v>84</v>
      </c>
      <c r="C761" s="19" t="s">
        <v>76</v>
      </c>
      <c r="D761" s="19" t="s">
        <v>76</v>
      </c>
      <c r="E761" s="19">
        <v>4</v>
      </c>
      <c r="F761" s="19" t="s">
        <v>41</v>
      </c>
      <c r="G761" s="2"/>
      <c r="H761" s="2" t="s">
        <v>88</v>
      </c>
      <c r="I761" s="2" t="s">
        <v>1010</v>
      </c>
      <c r="J761" s="38">
        <v>45928</v>
      </c>
      <c r="K761" s="2">
        <v>9</v>
      </c>
      <c r="L761" s="2">
        <v>160.1</v>
      </c>
      <c r="M761" s="2">
        <v>3.6</v>
      </c>
      <c r="N761" s="2">
        <f t="shared" si="28"/>
        <v>156.5</v>
      </c>
      <c r="O761" s="2"/>
      <c r="P761" s="2"/>
      <c r="Q761" s="2"/>
      <c r="R761" s="38"/>
      <c r="S761" s="2"/>
      <c r="T761" s="2"/>
    </row>
    <row r="762" spans="1:20" x14ac:dyDescent="0.2">
      <c r="A762" s="49" t="str">
        <f t="shared" si="29"/>
        <v>4/5-5.5</v>
      </c>
      <c r="B762" s="19" t="s">
        <v>84</v>
      </c>
      <c r="C762" s="19" t="s">
        <v>76</v>
      </c>
      <c r="D762" s="19" t="s">
        <v>76</v>
      </c>
      <c r="E762" s="19">
        <v>4</v>
      </c>
      <c r="F762" s="19" t="s">
        <v>41</v>
      </c>
      <c r="G762" s="2"/>
      <c r="H762" s="2" t="s">
        <v>88</v>
      </c>
      <c r="I762" s="2" t="s">
        <v>1010</v>
      </c>
      <c r="J762" s="38">
        <v>45928</v>
      </c>
      <c r="K762" s="2">
        <v>11</v>
      </c>
      <c r="L762" s="2">
        <v>141.44999999999999</v>
      </c>
      <c r="M762" s="2">
        <v>4.4000000000000004</v>
      </c>
      <c r="N762" s="2">
        <f t="shared" si="28"/>
        <v>137.04999999999998</v>
      </c>
      <c r="O762" s="2"/>
      <c r="P762" s="2"/>
      <c r="Q762" s="2"/>
      <c r="R762" s="38"/>
      <c r="S762" s="2"/>
      <c r="T762" s="2"/>
    </row>
    <row r="763" spans="1:20" x14ac:dyDescent="0.2">
      <c r="A763" s="49" t="str">
        <f t="shared" si="29"/>
        <v>7/5</v>
      </c>
      <c r="B763" s="19" t="s">
        <v>84</v>
      </c>
      <c r="C763" s="19" t="s">
        <v>76</v>
      </c>
      <c r="D763" s="19" t="s">
        <v>76</v>
      </c>
      <c r="E763" s="19">
        <v>7</v>
      </c>
      <c r="F763" s="19">
        <v>5</v>
      </c>
      <c r="G763" s="2"/>
      <c r="H763" s="2" t="s">
        <v>88</v>
      </c>
      <c r="I763" s="2" t="s">
        <v>100</v>
      </c>
      <c r="J763" s="38">
        <v>45928</v>
      </c>
      <c r="K763" s="2">
        <v>10</v>
      </c>
      <c r="L763" s="2">
        <v>288.03999999999996</v>
      </c>
      <c r="M763" s="2">
        <v>8</v>
      </c>
      <c r="N763" s="2">
        <f t="shared" si="28"/>
        <v>280.03999999999996</v>
      </c>
      <c r="O763" s="2"/>
      <c r="P763" s="2"/>
      <c r="Q763" s="2"/>
      <c r="R763" s="38"/>
      <c r="S763" s="2"/>
      <c r="T763" s="2"/>
    </row>
    <row r="764" spans="1:20" x14ac:dyDescent="0.2">
      <c r="A764" s="49" t="str">
        <f t="shared" si="29"/>
        <v>7/5</v>
      </c>
      <c r="B764" s="19" t="s">
        <v>84</v>
      </c>
      <c r="C764" s="19" t="s">
        <v>76</v>
      </c>
      <c r="D764" s="19" t="s">
        <v>76</v>
      </c>
      <c r="E764" s="19">
        <v>7</v>
      </c>
      <c r="F764" s="19">
        <v>5</v>
      </c>
      <c r="G764" s="2"/>
      <c r="H764" s="2" t="s">
        <v>88</v>
      </c>
      <c r="I764" s="2" t="s">
        <v>100</v>
      </c>
      <c r="J764" s="38">
        <v>45928</v>
      </c>
      <c r="K764" s="2">
        <v>7</v>
      </c>
      <c r="L764" s="2">
        <v>231.63</v>
      </c>
      <c r="M764" s="2">
        <v>4.8999999999999995</v>
      </c>
      <c r="N764" s="2">
        <f t="shared" si="28"/>
        <v>226.73</v>
      </c>
      <c r="O764" s="2"/>
      <c r="P764" s="2"/>
      <c r="Q764" s="2"/>
      <c r="R764" s="38"/>
      <c r="S764" s="2"/>
      <c r="T764" s="2"/>
    </row>
    <row r="765" spans="1:20" x14ac:dyDescent="0.2">
      <c r="A765" s="49" t="str">
        <f t="shared" si="29"/>
        <v>28/5</v>
      </c>
      <c r="B765" s="19" t="s">
        <v>84</v>
      </c>
      <c r="C765" s="19" t="s">
        <v>76</v>
      </c>
      <c r="D765" s="19" t="s">
        <v>76</v>
      </c>
      <c r="E765" s="19">
        <v>28</v>
      </c>
      <c r="F765" s="19">
        <v>5</v>
      </c>
      <c r="G765" s="2"/>
      <c r="H765" s="2" t="s">
        <v>88</v>
      </c>
      <c r="I765" s="2" t="s">
        <v>1021</v>
      </c>
      <c r="J765" s="38">
        <v>45928</v>
      </c>
      <c r="K765" s="2">
        <v>11</v>
      </c>
      <c r="L765" s="2">
        <v>671.45999999999992</v>
      </c>
      <c r="M765" s="2">
        <v>30.799999999999997</v>
      </c>
      <c r="N765" s="2">
        <f t="shared" si="28"/>
        <v>640.66</v>
      </c>
      <c r="O765" s="2"/>
      <c r="P765" s="2"/>
      <c r="Q765" s="2"/>
      <c r="R765" s="38"/>
      <c r="S765" s="2"/>
      <c r="T765" s="2"/>
    </row>
    <row r="766" spans="1:20" x14ac:dyDescent="0.2">
      <c r="A766" s="49" t="str">
        <f t="shared" si="29"/>
        <v>28/5</v>
      </c>
      <c r="B766" s="19" t="s">
        <v>84</v>
      </c>
      <c r="C766" s="19" t="s">
        <v>76</v>
      </c>
      <c r="D766" s="19" t="s">
        <v>76</v>
      </c>
      <c r="E766" s="19">
        <v>28</v>
      </c>
      <c r="F766" s="19">
        <v>5</v>
      </c>
      <c r="G766" s="2"/>
      <c r="H766" s="2" t="s">
        <v>88</v>
      </c>
      <c r="I766" s="2" t="s">
        <v>1021</v>
      </c>
      <c r="J766" s="38">
        <v>45928</v>
      </c>
      <c r="K766" s="2">
        <v>2</v>
      </c>
      <c r="L766" s="2">
        <v>135.11000000000001</v>
      </c>
      <c r="M766" s="2">
        <v>7</v>
      </c>
      <c r="N766" s="2">
        <f t="shared" si="28"/>
        <v>128.11000000000001</v>
      </c>
      <c r="O766" s="2"/>
      <c r="P766" s="2"/>
      <c r="Q766" s="2"/>
      <c r="R766" s="38"/>
      <c r="S766" s="2"/>
      <c r="T766" s="2"/>
    </row>
    <row r="767" spans="1:20" x14ac:dyDescent="0.2">
      <c r="A767" s="49" t="str">
        <f t="shared" si="29"/>
        <v>28/5-5.5</v>
      </c>
      <c r="B767" s="19" t="s">
        <v>257</v>
      </c>
      <c r="C767" s="19" t="s">
        <v>76</v>
      </c>
      <c r="D767" s="19" t="s">
        <v>76</v>
      </c>
      <c r="E767" s="19">
        <v>28</v>
      </c>
      <c r="F767" s="19" t="s">
        <v>41</v>
      </c>
      <c r="G767" s="2"/>
      <c r="H767" s="2" t="s">
        <v>88</v>
      </c>
      <c r="I767" s="2" t="s">
        <v>1026</v>
      </c>
      <c r="J767" s="38">
        <v>45928</v>
      </c>
      <c r="K767" s="2">
        <v>9</v>
      </c>
      <c r="L767" s="2">
        <v>555.96</v>
      </c>
      <c r="M767" s="2">
        <v>25.2</v>
      </c>
      <c r="N767" s="2">
        <f t="shared" si="28"/>
        <v>530.76</v>
      </c>
      <c r="O767" s="2"/>
      <c r="P767" s="2"/>
      <c r="Q767" s="2"/>
      <c r="R767" s="38"/>
      <c r="S767" s="2"/>
      <c r="T767" s="2"/>
    </row>
    <row r="768" spans="1:20" x14ac:dyDescent="0.2">
      <c r="A768" s="49" t="str">
        <f t="shared" si="29"/>
        <v>11/5-5.5</v>
      </c>
      <c r="B768" s="19" t="s">
        <v>84</v>
      </c>
      <c r="C768" s="19" t="s">
        <v>76</v>
      </c>
      <c r="D768" s="19" t="s">
        <v>76</v>
      </c>
      <c r="E768" s="19">
        <v>11</v>
      </c>
      <c r="F768" s="19" t="s">
        <v>41</v>
      </c>
      <c r="G768" s="2"/>
      <c r="H768" s="2" t="s">
        <v>88</v>
      </c>
      <c r="I768" s="2" t="s">
        <v>1025</v>
      </c>
      <c r="J768" s="38">
        <v>45928</v>
      </c>
      <c r="K768" s="2">
        <v>7</v>
      </c>
      <c r="L768" s="2">
        <v>294.53000000000003</v>
      </c>
      <c r="M768" s="2">
        <v>8.4</v>
      </c>
      <c r="N768" s="2">
        <f t="shared" ref="N768:N793" si="30">+L768-M768</f>
        <v>286.13000000000005</v>
      </c>
      <c r="O768" s="2"/>
      <c r="P768" s="2"/>
      <c r="Q768" s="2"/>
      <c r="R768" s="38"/>
      <c r="S768" s="2"/>
      <c r="T768" s="2"/>
    </row>
    <row r="769" spans="1:20" x14ac:dyDescent="0.2">
      <c r="A769" s="49" t="str">
        <f t="shared" si="29"/>
        <v>10.5/2.5-5</v>
      </c>
      <c r="B769" s="19" t="s">
        <v>982</v>
      </c>
      <c r="C769" s="19" t="s">
        <v>76</v>
      </c>
      <c r="D769" s="19" t="s">
        <v>76</v>
      </c>
      <c r="E769" s="19">
        <v>10.5</v>
      </c>
      <c r="F769" s="19" t="s">
        <v>984</v>
      </c>
      <c r="G769" s="2"/>
      <c r="H769" s="2" t="s">
        <v>88</v>
      </c>
      <c r="I769" s="2" t="s">
        <v>1027</v>
      </c>
      <c r="J769" s="38">
        <v>45928</v>
      </c>
      <c r="K769" s="2">
        <v>5</v>
      </c>
      <c r="L769" s="2">
        <v>240.32999999999998</v>
      </c>
      <c r="M769" s="2">
        <v>5</v>
      </c>
      <c r="N769" s="2">
        <f t="shared" si="30"/>
        <v>235.32999999999998</v>
      </c>
      <c r="O769" s="2"/>
      <c r="P769" s="2"/>
      <c r="Q769" s="2"/>
      <c r="R769" s="38"/>
      <c r="S769" s="2"/>
      <c r="T769" s="2"/>
    </row>
    <row r="770" spans="1:20" x14ac:dyDescent="0.2">
      <c r="A770" s="49" t="str">
        <f t="shared" si="29"/>
        <v>10.5/2.5-5</v>
      </c>
      <c r="B770" s="19" t="s">
        <v>982</v>
      </c>
      <c r="C770" s="19" t="s">
        <v>76</v>
      </c>
      <c r="D770" s="19" t="s">
        <v>76</v>
      </c>
      <c r="E770" s="19">
        <v>10.5</v>
      </c>
      <c r="F770" s="19" t="s">
        <v>984</v>
      </c>
      <c r="G770" s="2"/>
      <c r="H770" s="2" t="s">
        <v>88</v>
      </c>
      <c r="I770" s="2" t="s">
        <v>1027</v>
      </c>
      <c r="J770" s="38">
        <v>45928</v>
      </c>
      <c r="K770" s="2">
        <v>8</v>
      </c>
      <c r="L770" s="2">
        <v>458.06000000000006</v>
      </c>
      <c r="M770" s="2">
        <v>8</v>
      </c>
      <c r="N770" s="2">
        <f t="shared" si="30"/>
        <v>450.06000000000006</v>
      </c>
      <c r="O770" s="2"/>
      <c r="P770" s="2"/>
      <c r="Q770" s="2"/>
      <c r="R770" s="38"/>
      <c r="S770" s="2"/>
      <c r="T770" s="2"/>
    </row>
    <row r="771" spans="1:20" x14ac:dyDescent="0.2">
      <c r="A771" s="49" t="str">
        <f t="shared" si="29"/>
        <v>17/5.5-6</v>
      </c>
      <c r="B771" s="19" t="s">
        <v>827</v>
      </c>
      <c r="C771" s="19" t="s">
        <v>76</v>
      </c>
      <c r="D771" s="19" t="s">
        <v>76</v>
      </c>
      <c r="E771" s="19">
        <v>17</v>
      </c>
      <c r="F771" s="19" t="s">
        <v>5</v>
      </c>
      <c r="G771" s="2"/>
      <c r="H771" s="2" t="s">
        <v>88</v>
      </c>
      <c r="I771" s="2" t="s">
        <v>845</v>
      </c>
      <c r="J771" s="38">
        <v>45928</v>
      </c>
      <c r="K771" s="2">
        <v>12</v>
      </c>
      <c r="L771" s="2">
        <v>601.7299999999999</v>
      </c>
      <c r="M771" s="2">
        <v>20.399999999999999</v>
      </c>
      <c r="N771" s="2">
        <f t="shared" si="30"/>
        <v>581.32999999999993</v>
      </c>
      <c r="O771" s="2"/>
      <c r="P771" s="2"/>
      <c r="Q771" s="2"/>
      <c r="R771" s="38"/>
      <c r="S771" s="2"/>
      <c r="T771" s="2"/>
    </row>
    <row r="772" spans="1:20" x14ac:dyDescent="0.2">
      <c r="A772" s="49" t="str">
        <f t="shared" si="29"/>
        <v>17/5.5-6</v>
      </c>
      <c r="B772" s="19" t="s">
        <v>827</v>
      </c>
      <c r="C772" s="19" t="s">
        <v>76</v>
      </c>
      <c r="D772" s="19" t="s">
        <v>76</v>
      </c>
      <c r="E772" s="19">
        <v>17</v>
      </c>
      <c r="F772" s="19" t="s">
        <v>5</v>
      </c>
      <c r="G772" s="2"/>
      <c r="H772" s="2" t="s">
        <v>88</v>
      </c>
      <c r="I772" s="2" t="s">
        <v>845</v>
      </c>
      <c r="J772" s="38">
        <v>45928</v>
      </c>
      <c r="K772" s="2">
        <v>11</v>
      </c>
      <c r="L772" s="2">
        <v>541.45999999999992</v>
      </c>
      <c r="M772" s="2">
        <v>20.399999999999999</v>
      </c>
      <c r="N772" s="2">
        <f t="shared" si="30"/>
        <v>521.05999999999995</v>
      </c>
      <c r="O772" s="2"/>
      <c r="P772" s="2"/>
      <c r="Q772" s="2"/>
      <c r="R772" s="38"/>
      <c r="S772" s="2"/>
      <c r="T772" s="2"/>
    </row>
    <row r="773" spans="1:20" x14ac:dyDescent="0.2">
      <c r="A773" s="49" t="str">
        <f t="shared" si="29"/>
        <v>2.5/5.5-6</v>
      </c>
      <c r="B773" s="19" t="s">
        <v>84</v>
      </c>
      <c r="C773" s="19" t="s">
        <v>76</v>
      </c>
      <c r="D773" s="19" t="s">
        <v>76</v>
      </c>
      <c r="E773" s="19">
        <v>2.5</v>
      </c>
      <c r="F773" s="19" t="s">
        <v>5</v>
      </c>
      <c r="G773" s="2"/>
      <c r="H773" s="2" t="s">
        <v>88</v>
      </c>
      <c r="I773" s="2" t="s">
        <v>1014</v>
      </c>
      <c r="J773" s="38">
        <v>45929</v>
      </c>
      <c r="K773" s="2">
        <v>9</v>
      </c>
      <c r="L773" s="2">
        <v>115.4</v>
      </c>
      <c r="M773" s="2">
        <v>1.8</v>
      </c>
      <c r="N773" s="2">
        <f t="shared" si="30"/>
        <v>113.60000000000001</v>
      </c>
      <c r="O773" s="2"/>
      <c r="P773" s="2"/>
      <c r="Q773" s="2"/>
      <c r="R773" s="38"/>
      <c r="S773" s="2"/>
      <c r="T773" s="2"/>
    </row>
    <row r="774" spans="1:20" x14ac:dyDescent="0.2">
      <c r="A774" s="49" t="str">
        <f t="shared" ref="A774:A837" si="31">CONCATENATE(E774,"/",F774)</f>
        <v>2.5/5.5-6</v>
      </c>
      <c r="B774" s="19" t="s">
        <v>84</v>
      </c>
      <c r="C774" s="19" t="s">
        <v>76</v>
      </c>
      <c r="D774" s="19" t="s">
        <v>76</v>
      </c>
      <c r="E774" s="19">
        <v>2.5</v>
      </c>
      <c r="F774" s="19" t="s">
        <v>5</v>
      </c>
      <c r="G774" s="2"/>
      <c r="H774" s="2" t="s">
        <v>88</v>
      </c>
      <c r="I774" s="2" t="s">
        <v>1014</v>
      </c>
      <c r="J774" s="38">
        <v>45929</v>
      </c>
      <c r="K774" s="2">
        <v>10</v>
      </c>
      <c r="L774" s="2">
        <v>108.33</v>
      </c>
      <c r="M774" s="2">
        <v>2</v>
      </c>
      <c r="N774" s="2">
        <f t="shared" si="30"/>
        <v>106.33</v>
      </c>
      <c r="O774" s="2"/>
      <c r="P774" s="2"/>
      <c r="Q774" s="2"/>
      <c r="R774" s="38"/>
      <c r="S774" s="2"/>
      <c r="T774" s="2"/>
    </row>
    <row r="775" spans="1:20" x14ac:dyDescent="0.2">
      <c r="A775" s="49" t="str">
        <f t="shared" si="31"/>
        <v>4/5</v>
      </c>
      <c r="B775" s="19" t="s">
        <v>168</v>
      </c>
      <c r="C775" s="19" t="s">
        <v>76</v>
      </c>
      <c r="D775" s="19" t="s">
        <v>76</v>
      </c>
      <c r="E775" s="19">
        <v>4</v>
      </c>
      <c r="F775" s="19">
        <v>5</v>
      </c>
      <c r="G775" s="2"/>
      <c r="H775" s="2" t="s">
        <v>88</v>
      </c>
      <c r="I775" s="2" t="s">
        <v>1028</v>
      </c>
      <c r="J775" s="38">
        <v>45929</v>
      </c>
      <c r="K775" s="2">
        <v>5</v>
      </c>
      <c r="L775" s="2">
        <v>108.92000000000002</v>
      </c>
      <c r="M775" s="2">
        <v>2</v>
      </c>
      <c r="N775" s="2">
        <f t="shared" si="30"/>
        <v>106.92000000000002</v>
      </c>
      <c r="O775" s="2"/>
      <c r="P775" s="2"/>
      <c r="Q775" s="2"/>
      <c r="R775" s="38"/>
      <c r="S775" s="2"/>
      <c r="T775" s="2"/>
    </row>
    <row r="776" spans="1:20" x14ac:dyDescent="0.2">
      <c r="A776" s="49" t="str">
        <f t="shared" si="31"/>
        <v>4/5</v>
      </c>
      <c r="B776" s="19" t="s">
        <v>168</v>
      </c>
      <c r="C776" s="19" t="s">
        <v>76</v>
      </c>
      <c r="D776" s="19" t="s">
        <v>76</v>
      </c>
      <c r="E776" s="19">
        <v>4</v>
      </c>
      <c r="F776" s="19">
        <v>5</v>
      </c>
      <c r="G776" s="2"/>
      <c r="H776" s="2" t="s">
        <v>88</v>
      </c>
      <c r="I776" s="2" t="s">
        <v>1029</v>
      </c>
      <c r="J776" s="38">
        <v>45929</v>
      </c>
      <c r="K776" s="2">
        <v>1</v>
      </c>
      <c r="L776" s="2">
        <v>14.48</v>
      </c>
      <c r="M776" s="2">
        <v>0.4</v>
      </c>
      <c r="N776" s="2">
        <f t="shared" si="30"/>
        <v>14.08</v>
      </c>
      <c r="O776" s="2"/>
      <c r="P776" s="2"/>
      <c r="Q776" s="2"/>
      <c r="R776" s="38"/>
      <c r="S776" s="2"/>
      <c r="T776" s="2"/>
    </row>
    <row r="777" spans="1:20" x14ac:dyDescent="0.2">
      <c r="A777" s="49" t="str">
        <f t="shared" si="31"/>
        <v>4/5</v>
      </c>
      <c r="B777" s="19" t="s">
        <v>168</v>
      </c>
      <c r="C777" s="19" t="s">
        <v>76</v>
      </c>
      <c r="D777" s="19" t="s">
        <v>76</v>
      </c>
      <c r="E777" s="19">
        <v>4</v>
      </c>
      <c r="F777" s="19">
        <v>5</v>
      </c>
      <c r="G777" s="2"/>
      <c r="H777" s="2" t="s">
        <v>88</v>
      </c>
      <c r="I777" s="2" t="s">
        <v>1029</v>
      </c>
      <c r="J777" s="38">
        <v>45929</v>
      </c>
      <c r="K777" s="2">
        <v>6</v>
      </c>
      <c r="L777" s="2">
        <v>130.86000000000001</v>
      </c>
      <c r="M777" s="2">
        <v>2.4000000000000004</v>
      </c>
      <c r="N777" s="2">
        <f t="shared" si="30"/>
        <v>128.46</v>
      </c>
      <c r="O777" s="2"/>
      <c r="P777" s="2"/>
      <c r="Q777" s="2"/>
      <c r="R777" s="38"/>
      <c r="S777" s="2"/>
      <c r="T777" s="2"/>
    </row>
    <row r="778" spans="1:20" x14ac:dyDescent="0.2">
      <c r="A778" s="49" t="str">
        <f t="shared" si="31"/>
        <v>7/5</v>
      </c>
      <c r="B778" s="19" t="s">
        <v>84</v>
      </c>
      <c r="C778" s="19" t="s">
        <v>76</v>
      </c>
      <c r="D778" s="19" t="s">
        <v>76</v>
      </c>
      <c r="E778" s="19">
        <v>7</v>
      </c>
      <c r="F778" s="19">
        <v>5</v>
      </c>
      <c r="G778" s="2"/>
      <c r="H778" s="2" t="s">
        <v>88</v>
      </c>
      <c r="I778" s="2" t="s">
        <v>100</v>
      </c>
      <c r="J778" s="38">
        <v>45929</v>
      </c>
      <c r="K778" s="2">
        <v>8</v>
      </c>
      <c r="L778" s="2">
        <v>260.04000000000002</v>
      </c>
      <c r="M778" s="2">
        <v>5.6</v>
      </c>
      <c r="N778" s="2">
        <f t="shared" si="30"/>
        <v>254.44000000000003</v>
      </c>
      <c r="O778" s="2"/>
      <c r="P778" s="2"/>
      <c r="Q778" s="2"/>
      <c r="R778" s="38"/>
      <c r="S778" s="2"/>
      <c r="T778" s="2"/>
    </row>
    <row r="779" spans="1:20" x14ac:dyDescent="0.2">
      <c r="A779" s="49" t="str">
        <f t="shared" si="31"/>
        <v>7/5</v>
      </c>
      <c r="B779" s="19" t="s">
        <v>84</v>
      </c>
      <c r="C779" s="19" t="s">
        <v>76</v>
      </c>
      <c r="D779" s="19" t="s">
        <v>76</v>
      </c>
      <c r="E779" s="19">
        <v>7</v>
      </c>
      <c r="F779" s="19">
        <v>5</v>
      </c>
      <c r="G779" s="2"/>
      <c r="H779" s="2" t="s">
        <v>88</v>
      </c>
      <c r="I779" s="2" t="s">
        <v>100</v>
      </c>
      <c r="J779" s="38">
        <v>45929</v>
      </c>
      <c r="K779" s="2">
        <v>3</v>
      </c>
      <c r="L779" s="2">
        <v>95.13</v>
      </c>
      <c r="M779" s="2">
        <v>2.0999999999999996</v>
      </c>
      <c r="N779" s="2">
        <f t="shared" si="30"/>
        <v>93.03</v>
      </c>
      <c r="O779" s="2"/>
      <c r="P779" s="2"/>
      <c r="Q779" s="2"/>
      <c r="R779" s="38"/>
      <c r="S779" s="2"/>
      <c r="T779" s="2"/>
    </row>
    <row r="780" spans="1:20" x14ac:dyDescent="0.2">
      <c r="A780" s="49" t="str">
        <f t="shared" si="31"/>
        <v>6/5</v>
      </c>
      <c r="B780" s="19" t="s">
        <v>84</v>
      </c>
      <c r="C780" s="19" t="s">
        <v>76</v>
      </c>
      <c r="D780" s="19" t="s">
        <v>76</v>
      </c>
      <c r="E780" s="19">
        <v>6</v>
      </c>
      <c r="F780" s="19">
        <v>5</v>
      </c>
      <c r="G780" s="2"/>
      <c r="H780" s="2" t="s">
        <v>88</v>
      </c>
      <c r="I780" s="2" t="s">
        <v>119</v>
      </c>
      <c r="J780" s="38">
        <v>45929</v>
      </c>
      <c r="K780" s="2">
        <v>5</v>
      </c>
      <c r="L780" s="2">
        <v>132.49</v>
      </c>
      <c r="M780" s="2">
        <v>3</v>
      </c>
      <c r="N780" s="2">
        <f t="shared" si="30"/>
        <v>129.49</v>
      </c>
      <c r="O780" s="2"/>
      <c r="P780" s="2"/>
      <c r="Q780" s="2"/>
      <c r="R780" s="38"/>
      <c r="S780" s="2"/>
      <c r="T780" s="2"/>
    </row>
    <row r="781" spans="1:20" x14ac:dyDescent="0.2">
      <c r="A781" s="49" t="str">
        <f t="shared" si="31"/>
        <v>28/5-5.5</v>
      </c>
      <c r="B781" s="19" t="s">
        <v>257</v>
      </c>
      <c r="C781" s="19" t="s">
        <v>76</v>
      </c>
      <c r="D781" s="19" t="s">
        <v>76</v>
      </c>
      <c r="E781" s="19">
        <v>28</v>
      </c>
      <c r="F781" s="19" t="s">
        <v>41</v>
      </c>
      <c r="G781" s="2"/>
      <c r="H781" s="2" t="s">
        <v>88</v>
      </c>
      <c r="I781" s="2" t="s">
        <v>1026</v>
      </c>
      <c r="J781" s="38">
        <v>45929</v>
      </c>
      <c r="K781" s="2">
        <v>6</v>
      </c>
      <c r="L781" s="2">
        <v>414.98</v>
      </c>
      <c r="M781" s="2">
        <v>20.22</v>
      </c>
      <c r="N781" s="2">
        <f t="shared" si="30"/>
        <v>394.76</v>
      </c>
      <c r="O781" s="2"/>
      <c r="P781" s="2"/>
      <c r="Q781" s="2"/>
      <c r="R781" s="38"/>
      <c r="S781" s="2"/>
      <c r="T781" s="2"/>
    </row>
    <row r="782" spans="1:20" x14ac:dyDescent="0.2">
      <c r="A782" s="49" t="str">
        <f t="shared" si="31"/>
        <v>10.5/2.5-5</v>
      </c>
      <c r="B782" s="19" t="s">
        <v>982</v>
      </c>
      <c r="C782" s="19" t="s">
        <v>76</v>
      </c>
      <c r="D782" s="19" t="s">
        <v>76</v>
      </c>
      <c r="E782" s="19">
        <v>10.5</v>
      </c>
      <c r="F782" s="19" t="s">
        <v>984</v>
      </c>
      <c r="G782" s="2"/>
      <c r="H782" s="2" t="s">
        <v>88</v>
      </c>
      <c r="I782" s="2" t="s">
        <v>1027</v>
      </c>
      <c r="J782" s="38">
        <v>45929</v>
      </c>
      <c r="K782" s="2">
        <v>4</v>
      </c>
      <c r="L782" s="2">
        <v>148.69999999999999</v>
      </c>
      <c r="M782" s="2">
        <v>6</v>
      </c>
      <c r="N782" s="2">
        <f t="shared" si="30"/>
        <v>142.69999999999999</v>
      </c>
      <c r="O782" s="2"/>
      <c r="P782" s="2"/>
      <c r="Q782" s="2"/>
      <c r="R782" s="38"/>
      <c r="S782" s="2"/>
      <c r="T782" s="2"/>
    </row>
    <row r="783" spans="1:20" x14ac:dyDescent="0.2">
      <c r="A783" s="49" t="str">
        <f t="shared" si="31"/>
        <v>10.5/2.5-5</v>
      </c>
      <c r="B783" s="19" t="s">
        <v>982</v>
      </c>
      <c r="C783" s="19" t="s">
        <v>76</v>
      </c>
      <c r="D783" s="19" t="s">
        <v>76</v>
      </c>
      <c r="E783" s="19">
        <v>10.5</v>
      </c>
      <c r="F783" s="19" t="s">
        <v>984</v>
      </c>
      <c r="G783" s="2"/>
      <c r="H783" s="2" t="s">
        <v>88</v>
      </c>
      <c r="I783" s="2" t="s">
        <v>1027</v>
      </c>
      <c r="J783" s="38">
        <v>45929</v>
      </c>
      <c r="K783" s="2">
        <v>9</v>
      </c>
      <c r="L783" s="2">
        <v>338.84</v>
      </c>
      <c r="M783" s="2">
        <v>13.5</v>
      </c>
      <c r="N783" s="2">
        <f t="shared" si="30"/>
        <v>325.33999999999997</v>
      </c>
      <c r="O783" s="2"/>
      <c r="P783" s="2"/>
      <c r="Q783" s="2"/>
      <c r="R783" s="38"/>
      <c r="S783" s="2"/>
      <c r="T783" s="2"/>
    </row>
    <row r="784" spans="1:20" x14ac:dyDescent="0.2">
      <c r="A784" s="49" t="str">
        <f t="shared" si="31"/>
        <v>10.5/2.5-5</v>
      </c>
      <c r="B784" s="19" t="s">
        <v>982</v>
      </c>
      <c r="C784" s="19" t="s">
        <v>76</v>
      </c>
      <c r="D784" s="19" t="s">
        <v>76</v>
      </c>
      <c r="E784" s="19">
        <v>10.5</v>
      </c>
      <c r="F784" s="19" t="s">
        <v>984</v>
      </c>
      <c r="G784" s="2"/>
      <c r="H784" s="2" t="s">
        <v>88</v>
      </c>
      <c r="I784" s="2" t="s">
        <v>1027</v>
      </c>
      <c r="J784" s="38">
        <v>45929</v>
      </c>
      <c r="K784" s="2">
        <v>7</v>
      </c>
      <c r="L784" s="2">
        <v>97.25</v>
      </c>
      <c r="M784" s="2">
        <v>2.4</v>
      </c>
      <c r="N784" s="2">
        <f t="shared" si="30"/>
        <v>94.85</v>
      </c>
      <c r="O784" s="2"/>
      <c r="P784" s="2"/>
      <c r="Q784" s="2"/>
      <c r="R784" s="38"/>
      <c r="S784" s="2"/>
      <c r="T784" s="2"/>
    </row>
    <row r="785" spans="1:20" x14ac:dyDescent="0.2">
      <c r="A785" s="49" t="str">
        <f t="shared" si="31"/>
        <v>10/5-5.5</v>
      </c>
      <c r="B785" s="19" t="s">
        <v>84</v>
      </c>
      <c r="C785" s="19" t="s">
        <v>76</v>
      </c>
      <c r="D785" s="19" t="s">
        <v>76</v>
      </c>
      <c r="E785" s="19">
        <v>10</v>
      </c>
      <c r="F785" s="19" t="s">
        <v>41</v>
      </c>
      <c r="G785" s="2"/>
      <c r="H785" s="2" t="s">
        <v>88</v>
      </c>
      <c r="I785" s="2" t="s">
        <v>134</v>
      </c>
      <c r="J785" s="38">
        <v>45929</v>
      </c>
      <c r="K785" s="2">
        <v>5</v>
      </c>
      <c r="L785" s="2">
        <v>224.30999999999997</v>
      </c>
      <c r="M785" s="2">
        <v>5</v>
      </c>
      <c r="N785" s="2">
        <f t="shared" si="30"/>
        <v>219.30999999999997</v>
      </c>
      <c r="O785" s="2"/>
      <c r="P785" s="2"/>
      <c r="Q785" s="2"/>
      <c r="R785" s="38"/>
      <c r="S785" s="2"/>
      <c r="T785" s="2"/>
    </row>
    <row r="786" spans="1:20" x14ac:dyDescent="0.2">
      <c r="A786" s="49" t="str">
        <f t="shared" si="31"/>
        <v>12/5</v>
      </c>
      <c r="B786" s="19" t="s">
        <v>84</v>
      </c>
      <c r="C786" s="19" t="s">
        <v>76</v>
      </c>
      <c r="D786" s="19" t="s">
        <v>76</v>
      </c>
      <c r="E786" s="19">
        <v>12</v>
      </c>
      <c r="F786" s="19">
        <v>5</v>
      </c>
      <c r="G786" s="2"/>
      <c r="H786" s="2" t="s">
        <v>88</v>
      </c>
      <c r="I786" s="2" t="s">
        <v>139</v>
      </c>
      <c r="J786" s="38">
        <v>45929</v>
      </c>
      <c r="K786" s="2">
        <v>3</v>
      </c>
      <c r="L786" s="2">
        <v>121.38</v>
      </c>
      <c r="M786" s="2">
        <v>3.5999999999999996</v>
      </c>
      <c r="N786" s="2">
        <f t="shared" si="30"/>
        <v>117.78</v>
      </c>
      <c r="O786" s="2"/>
      <c r="P786" s="2"/>
      <c r="Q786" s="2"/>
      <c r="R786" s="38"/>
      <c r="S786" s="2"/>
      <c r="T786" s="2"/>
    </row>
    <row r="787" spans="1:20" x14ac:dyDescent="0.2">
      <c r="A787" s="49" t="str">
        <f t="shared" si="31"/>
        <v>10/5-5.5</v>
      </c>
      <c r="B787" s="19" t="s">
        <v>84</v>
      </c>
      <c r="C787" s="19" t="s">
        <v>76</v>
      </c>
      <c r="D787" s="19" t="s">
        <v>76</v>
      </c>
      <c r="E787" s="19">
        <v>10</v>
      </c>
      <c r="F787" s="19" t="s">
        <v>41</v>
      </c>
      <c r="G787" s="2"/>
      <c r="H787" s="2" t="s">
        <v>88</v>
      </c>
      <c r="I787" s="2" t="s">
        <v>134</v>
      </c>
      <c r="J787" s="38">
        <v>45929</v>
      </c>
      <c r="K787" s="2">
        <v>10</v>
      </c>
      <c r="L787" s="2">
        <v>450.76</v>
      </c>
      <c r="M787" s="2">
        <v>10</v>
      </c>
      <c r="N787" s="2">
        <f t="shared" si="30"/>
        <v>440.76</v>
      </c>
      <c r="O787" s="2"/>
      <c r="P787" s="2"/>
      <c r="Q787" s="2"/>
      <c r="R787" s="38"/>
      <c r="S787" s="2"/>
      <c r="T787" s="2"/>
    </row>
    <row r="788" spans="1:20" x14ac:dyDescent="0.2">
      <c r="A788" s="49" t="str">
        <f t="shared" si="31"/>
        <v>17/5.5-6</v>
      </c>
      <c r="B788" s="19" t="s">
        <v>827</v>
      </c>
      <c r="C788" s="19" t="s">
        <v>76</v>
      </c>
      <c r="D788" s="19" t="s">
        <v>76</v>
      </c>
      <c r="E788" s="19">
        <v>17</v>
      </c>
      <c r="F788" s="19" t="s">
        <v>5</v>
      </c>
      <c r="G788" s="2"/>
      <c r="H788" s="2" t="s">
        <v>88</v>
      </c>
      <c r="I788" s="2" t="s">
        <v>845</v>
      </c>
      <c r="J788" s="38">
        <v>45929</v>
      </c>
      <c r="K788" s="2">
        <v>3</v>
      </c>
      <c r="L788" s="2">
        <v>158.66</v>
      </c>
      <c r="M788" s="2">
        <v>5.0999999999999996</v>
      </c>
      <c r="N788" s="2">
        <f t="shared" si="30"/>
        <v>153.56</v>
      </c>
      <c r="O788" s="2"/>
      <c r="P788" s="2"/>
      <c r="Q788" s="2"/>
      <c r="R788" s="38"/>
      <c r="S788" s="2"/>
      <c r="T788" s="2"/>
    </row>
    <row r="789" spans="1:20" x14ac:dyDescent="0.2">
      <c r="A789" s="49" t="str">
        <f t="shared" si="31"/>
        <v>16/5</v>
      </c>
      <c r="B789" s="19" t="s">
        <v>84</v>
      </c>
      <c r="C789" s="19" t="s">
        <v>76</v>
      </c>
      <c r="D789" s="19" t="s">
        <v>76</v>
      </c>
      <c r="E789" s="19">
        <v>16</v>
      </c>
      <c r="F789" s="19">
        <v>5</v>
      </c>
      <c r="G789" s="2"/>
      <c r="H789" s="2" t="s">
        <v>88</v>
      </c>
      <c r="I789" s="2" t="s">
        <v>1030</v>
      </c>
      <c r="J789" s="38">
        <v>45929</v>
      </c>
      <c r="K789" s="2">
        <v>2</v>
      </c>
      <c r="L789" s="2">
        <v>84.509999999999991</v>
      </c>
      <c r="M789" s="2">
        <v>3.2</v>
      </c>
      <c r="N789" s="2">
        <f t="shared" si="30"/>
        <v>81.309999999999988</v>
      </c>
      <c r="O789" s="2"/>
      <c r="P789" s="2"/>
      <c r="Q789" s="2"/>
      <c r="R789" s="38"/>
      <c r="S789" s="2"/>
      <c r="T789" s="2"/>
    </row>
    <row r="790" spans="1:20" x14ac:dyDescent="0.2">
      <c r="A790" s="49" t="str">
        <f t="shared" si="31"/>
        <v>17/7-7.5/14-15</v>
      </c>
      <c r="B790" s="19" t="s">
        <v>89</v>
      </c>
      <c r="C790" s="19" t="s">
        <v>76</v>
      </c>
      <c r="D790" s="19" t="s">
        <v>76</v>
      </c>
      <c r="E790" s="19">
        <v>17</v>
      </c>
      <c r="F790" s="19" t="s">
        <v>205</v>
      </c>
      <c r="G790" s="2"/>
      <c r="H790" s="2" t="s">
        <v>88</v>
      </c>
      <c r="I790" s="2" t="s">
        <v>1031</v>
      </c>
      <c r="J790" s="38">
        <v>45929</v>
      </c>
      <c r="K790" s="2">
        <v>4</v>
      </c>
      <c r="L790" s="2">
        <v>159.48999999999998</v>
      </c>
      <c r="M790" s="2">
        <v>6.8</v>
      </c>
      <c r="N790" s="2">
        <f t="shared" si="30"/>
        <v>152.68999999999997</v>
      </c>
      <c r="O790" s="2"/>
      <c r="P790" s="2"/>
      <c r="Q790" s="2"/>
      <c r="R790" s="38"/>
      <c r="S790" s="2"/>
      <c r="T790" s="2"/>
    </row>
    <row r="791" spans="1:20" x14ac:dyDescent="0.2">
      <c r="A791" s="49" t="str">
        <f t="shared" si="31"/>
        <v>17/7-7.5/14-15</v>
      </c>
      <c r="B791" s="19" t="s">
        <v>89</v>
      </c>
      <c r="C791" s="19" t="s">
        <v>76</v>
      </c>
      <c r="D791" s="19" t="s">
        <v>76</v>
      </c>
      <c r="E791" s="19">
        <v>17</v>
      </c>
      <c r="F791" s="19" t="s">
        <v>205</v>
      </c>
      <c r="G791" s="2"/>
      <c r="H791" s="2" t="s">
        <v>88</v>
      </c>
      <c r="I791" s="2" t="s">
        <v>1032</v>
      </c>
      <c r="J791" s="38">
        <v>45929</v>
      </c>
      <c r="K791" s="2">
        <v>1</v>
      </c>
      <c r="L791" s="2">
        <v>44.72</v>
      </c>
      <c r="M791" s="2">
        <v>1.7</v>
      </c>
      <c r="N791" s="2">
        <f t="shared" si="30"/>
        <v>43.019999999999996</v>
      </c>
      <c r="O791" s="2"/>
      <c r="P791" s="2"/>
      <c r="Q791" s="2"/>
      <c r="R791" s="38"/>
      <c r="S791" s="2"/>
      <c r="T791" s="2"/>
    </row>
    <row r="792" spans="1:20" x14ac:dyDescent="0.2">
      <c r="A792" s="49" t="str">
        <f t="shared" si="31"/>
        <v>16/7-7.5/14-15</v>
      </c>
      <c r="B792" s="19" t="s">
        <v>89</v>
      </c>
      <c r="C792" s="19" t="s">
        <v>76</v>
      </c>
      <c r="D792" s="19" t="s">
        <v>76</v>
      </c>
      <c r="E792" s="19">
        <v>16</v>
      </c>
      <c r="F792" s="19" t="s">
        <v>205</v>
      </c>
      <c r="G792" s="2"/>
      <c r="H792" s="2" t="s">
        <v>88</v>
      </c>
      <c r="I792" s="2" t="s">
        <v>1033</v>
      </c>
      <c r="J792" s="38">
        <v>45929</v>
      </c>
      <c r="K792" s="2">
        <v>4</v>
      </c>
      <c r="L792" s="2">
        <v>130.54</v>
      </c>
      <c r="M792" s="2">
        <v>6.4</v>
      </c>
      <c r="N792" s="2">
        <f t="shared" si="30"/>
        <v>124.13999999999999</v>
      </c>
      <c r="O792" s="2"/>
      <c r="P792" s="2"/>
      <c r="Q792" s="2"/>
      <c r="R792" s="38"/>
      <c r="S792" s="2"/>
      <c r="T792" s="2"/>
    </row>
    <row r="793" spans="1:20" x14ac:dyDescent="0.2">
      <c r="A793" s="49" t="str">
        <f t="shared" si="31"/>
        <v>16/5</v>
      </c>
      <c r="B793" s="19" t="s">
        <v>84</v>
      </c>
      <c r="C793" s="19" t="s">
        <v>76</v>
      </c>
      <c r="D793" s="19" t="s">
        <v>76</v>
      </c>
      <c r="E793" s="19">
        <v>16</v>
      </c>
      <c r="F793" s="19">
        <v>5</v>
      </c>
      <c r="G793" s="2"/>
      <c r="H793" s="2" t="s">
        <v>88</v>
      </c>
      <c r="I793" s="2" t="s">
        <v>1030</v>
      </c>
      <c r="J793" s="38">
        <v>45929</v>
      </c>
      <c r="K793" s="2">
        <v>10</v>
      </c>
      <c r="L793" s="2">
        <v>567.65000000000009</v>
      </c>
      <c r="M793" s="2">
        <v>16</v>
      </c>
      <c r="N793" s="2">
        <f t="shared" si="30"/>
        <v>551.65000000000009</v>
      </c>
      <c r="O793" s="2"/>
      <c r="P793" s="2"/>
      <c r="Q793" s="2"/>
      <c r="R793" s="38"/>
      <c r="S793" s="2"/>
      <c r="T793" s="2"/>
    </row>
    <row r="794" spans="1:20" x14ac:dyDescent="0.2">
      <c r="A794" s="49" t="str">
        <f t="shared" si="31"/>
        <v>6/5</v>
      </c>
      <c r="B794" s="19" t="s">
        <v>84</v>
      </c>
      <c r="C794" s="19" t="s">
        <v>76</v>
      </c>
      <c r="D794" s="19" t="s">
        <v>76</v>
      </c>
      <c r="E794" s="2" t="s">
        <v>20</v>
      </c>
      <c r="F794" s="19">
        <v>5</v>
      </c>
      <c r="G794" s="2"/>
      <c r="H794" s="2"/>
      <c r="I794" s="2"/>
      <c r="J794" s="38"/>
      <c r="K794" s="2"/>
      <c r="L794" s="2"/>
      <c r="M794" s="2"/>
      <c r="N794" s="2"/>
      <c r="O794" s="2" t="s">
        <v>91</v>
      </c>
      <c r="P794" s="2" t="s">
        <v>1043</v>
      </c>
      <c r="Q794" s="2"/>
      <c r="R794" s="38">
        <v>45919</v>
      </c>
      <c r="S794" s="2">
        <v>8</v>
      </c>
      <c r="T794" s="2">
        <v>200</v>
      </c>
    </row>
    <row r="795" spans="1:20" x14ac:dyDescent="0.2">
      <c r="A795" s="49" t="str">
        <f t="shared" si="31"/>
        <v>6/5</v>
      </c>
      <c r="B795" s="19" t="s">
        <v>1034</v>
      </c>
      <c r="C795" s="19" t="s">
        <v>76</v>
      </c>
      <c r="D795" s="19" t="s">
        <v>76</v>
      </c>
      <c r="E795" s="2">
        <v>6</v>
      </c>
      <c r="F795" s="19">
        <v>5</v>
      </c>
      <c r="G795" s="2"/>
      <c r="H795" s="2"/>
      <c r="I795" s="2"/>
      <c r="J795" s="38"/>
      <c r="K795" s="2"/>
      <c r="L795" s="2"/>
      <c r="M795" s="2"/>
      <c r="N795" s="2"/>
      <c r="O795" s="2" t="s">
        <v>91</v>
      </c>
      <c r="P795" s="2" t="s">
        <v>1044</v>
      </c>
      <c r="Q795" s="2"/>
      <c r="R795" s="38">
        <v>45919</v>
      </c>
      <c r="S795" s="2">
        <v>2</v>
      </c>
      <c r="T795" s="2">
        <v>50</v>
      </c>
    </row>
    <row r="796" spans="1:20" x14ac:dyDescent="0.2">
      <c r="A796" s="49" t="str">
        <f t="shared" si="31"/>
        <v>8/5</v>
      </c>
      <c r="B796" s="19" t="s">
        <v>84</v>
      </c>
      <c r="C796" s="19" t="s">
        <v>76</v>
      </c>
      <c r="D796" s="19" t="s">
        <v>76</v>
      </c>
      <c r="E796" s="2" t="s">
        <v>18</v>
      </c>
      <c r="F796" s="19">
        <v>5</v>
      </c>
      <c r="G796" s="2"/>
      <c r="H796" s="2"/>
      <c r="I796" s="2"/>
      <c r="J796" s="38"/>
      <c r="K796" s="2"/>
      <c r="L796" s="2"/>
      <c r="M796" s="2"/>
      <c r="N796" s="2"/>
      <c r="O796" s="2" t="s">
        <v>91</v>
      </c>
      <c r="P796" s="2" t="s">
        <v>1045</v>
      </c>
      <c r="Q796" s="2"/>
      <c r="R796" s="38">
        <v>45919</v>
      </c>
      <c r="S796" s="2">
        <v>8</v>
      </c>
      <c r="T796" s="2">
        <v>200</v>
      </c>
    </row>
    <row r="797" spans="1:20" x14ac:dyDescent="0.2">
      <c r="A797" s="49" t="str">
        <f t="shared" si="31"/>
        <v>8/5</v>
      </c>
      <c r="B797" s="19" t="s">
        <v>84</v>
      </c>
      <c r="C797" s="19" t="s">
        <v>76</v>
      </c>
      <c r="D797" s="19" t="s">
        <v>76</v>
      </c>
      <c r="E797" s="2" t="s">
        <v>18</v>
      </c>
      <c r="F797" s="19">
        <v>5</v>
      </c>
      <c r="G797" s="2"/>
      <c r="H797" s="2"/>
      <c r="I797" s="2"/>
      <c r="J797" s="38"/>
      <c r="K797" s="2"/>
      <c r="L797" s="2"/>
      <c r="M797" s="2"/>
      <c r="N797" s="2"/>
      <c r="O797" s="2" t="s">
        <v>91</v>
      </c>
      <c r="P797" s="2" t="s">
        <v>850</v>
      </c>
      <c r="Q797" s="2"/>
      <c r="R797" s="38">
        <v>45919</v>
      </c>
      <c r="S797" s="2">
        <v>4</v>
      </c>
      <c r="T797" s="2">
        <v>100</v>
      </c>
    </row>
    <row r="798" spans="1:20" x14ac:dyDescent="0.2">
      <c r="A798" s="49" t="str">
        <f t="shared" si="31"/>
        <v>10/5</v>
      </c>
      <c r="B798" s="19" t="s">
        <v>84</v>
      </c>
      <c r="C798" s="19" t="s">
        <v>76</v>
      </c>
      <c r="D798" s="19" t="s">
        <v>76</v>
      </c>
      <c r="E798" s="2" t="s">
        <v>16</v>
      </c>
      <c r="F798" s="19">
        <v>5</v>
      </c>
      <c r="G798" s="2"/>
      <c r="H798" s="2"/>
      <c r="I798" s="2"/>
      <c r="J798" s="38"/>
      <c r="K798" s="2"/>
      <c r="L798" s="2"/>
      <c r="M798" s="2"/>
      <c r="N798" s="2"/>
      <c r="O798" s="2" t="s">
        <v>91</v>
      </c>
      <c r="P798" s="2" t="s">
        <v>1046</v>
      </c>
      <c r="Q798" s="2"/>
      <c r="R798" s="38">
        <v>45919</v>
      </c>
      <c r="S798" s="2">
        <v>16</v>
      </c>
      <c r="T798" s="2">
        <v>400</v>
      </c>
    </row>
    <row r="799" spans="1:20" x14ac:dyDescent="0.2">
      <c r="A799" s="49" t="str">
        <f t="shared" si="31"/>
        <v>11/5</v>
      </c>
      <c r="B799" s="19" t="s">
        <v>84</v>
      </c>
      <c r="C799" s="19" t="s">
        <v>76</v>
      </c>
      <c r="D799" s="19" t="s">
        <v>76</v>
      </c>
      <c r="E799" s="2" t="s">
        <v>15</v>
      </c>
      <c r="F799" s="19">
        <v>5</v>
      </c>
      <c r="G799" s="2"/>
      <c r="H799" s="2"/>
      <c r="I799" s="2"/>
      <c r="J799" s="38"/>
      <c r="K799" s="2"/>
      <c r="L799" s="2"/>
      <c r="M799" s="2"/>
      <c r="N799" s="2"/>
      <c r="O799" s="2" t="s">
        <v>91</v>
      </c>
      <c r="P799" s="2" t="s">
        <v>1047</v>
      </c>
      <c r="Q799" s="2"/>
      <c r="R799" s="38">
        <v>45919</v>
      </c>
      <c r="S799" s="2">
        <v>19</v>
      </c>
      <c r="T799" s="2">
        <v>475</v>
      </c>
    </row>
    <row r="800" spans="1:20" x14ac:dyDescent="0.2">
      <c r="A800" s="49" t="str">
        <f t="shared" si="31"/>
        <v>2/5</v>
      </c>
      <c r="B800" s="19" t="s">
        <v>168</v>
      </c>
      <c r="C800" s="19" t="s">
        <v>76</v>
      </c>
      <c r="D800" s="19" t="s">
        <v>76</v>
      </c>
      <c r="E800" s="2">
        <v>2</v>
      </c>
      <c r="F800" s="19">
        <v>5</v>
      </c>
      <c r="G800" s="2"/>
      <c r="H800" s="2"/>
      <c r="I800" s="2"/>
      <c r="J800" s="38"/>
      <c r="K800" s="2"/>
      <c r="L800" s="2"/>
      <c r="M800" s="2"/>
      <c r="N800" s="2"/>
      <c r="O800" s="2" t="s">
        <v>91</v>
      </c>
      <c r="P800" s="2" t="s">
        <v>861</v>
      </c>
      <c r="Q800" s="2"/>
      <c r="R800" s="38">
        <v>45919</v>
      </c>
      <c r="S800" s="2">
        <v>7</v>
      </c>
      <c r="T800" s="2">
        <v>140</v>
      </c>
    </row>
    <row r="801" spans="1:20" x14ac:dyDescent="0.2">
      <c r="A801" s="49" t="str">
        <f t="shared" si="31"/>
        <v>2/5.5-6</v>
      </c>
      <c r="B801" s="19" t="s">
        <v>84</v>
      </c>
      <c r="C801" s="19" t="s">
        <v>76</v>
      </c>
      <c r="D801" s="19" t="s">
        <v>76</v>
      </c>
      <c r="E801" s="2">
        <v>2</v>
      </c>
      <c r="F801" s="19" t="s">
        <v>5</v>
      </c>
      <c r="G801" s="2"/>
      <c r="H801" s="2"/>
      <c r="I801" s="2"/>
      <c r="J801" s="38"/>
      <c r="K801" s="2"/>
      <c r="L801" s="2"/>
      <c r="M801" s="2"/>
      <c r="N801" s="2"/>
      <c r="O801" s="2" t="s">
        <v>91</v>
      </c>
      <c r="P801" s="2" t="s">
        <v>1048</v>
      </c>
      <c r="Q801" s="2"/>
      <c r="R801" s="38">
        <v>45919</v>
      </c>
      <c r="S801" s="2">
        <v>1</v>
      </c>
      <c r="T801" s="2">
        <v>20</v>
      </c>
    </row>
    <row r="802" spans="1:20" x14ac:dyDescent="0.2">
      <c r="A802" s="49" t="str">
        <f t="shared" si="31"/>
        <v>3.5/5</v>
      </c>
      <c r="B802" s="19" t="s">
        <v>824</v>
      </c>
      <c r="C802" s="19" t="s">
        <v>76</v>
      </c>
      <c r="D802" s="19" t="s">
        <v>76</v>
      </c>
      <c r="E802" s="2">
        <v>3.5</v>
      </c>
      <c r="F802" s="19">
        <v>5</v>
      </c>
      <c r="G802" s="2"/>
      <c r="H802" s="2"/>
      <c r="I802" s="2"/>
      <c r="J802" s="38"/>
      <c r="K802" s="2"/>
      <c r="L802" s="2"/>
      <c r="M802" s="2"/>
      <c r="N802" s="2"/>
      <c r="O802" s="2" t="s">
        <v>91</v>
      </c>
      <c r="P802" s="2" t="s">
        <v>1049</v>
      </c>
      <c r="Q802" s="2"/>
      <c r="R802" s="38">
        <v>45919</v>
      </c>
      <c r="S802" s="2">
        <v>2</v>
      </c>
      <c r="T802" s="2">
        <v>40</v>
      </c>
    </row>
    <row r="803" spans="1:20" x14ac:dyDescent="0.2">
      <c r="A803" s="49" t="str">
        <f t="shared" si="31"/>
        <v>6/5</v>
      </c>
      <c r="B803" s="19" t="s">
        <v>84</v>
      </c>
      <c r="C803" s="19" t="s">
        <v>76</v>
      </c>
      <c r="D803" s="19" t="s">
        <v>76</v>
      </c>
      <c r="E803" s="2" t="s">
        <v>20</v>
      </c>
      <c r="F803" s="19">
        <v>5</v>
      </c>
      <c r="G803" s="2"/>
      <c r="H803" s="2"/>
      <c r="I803" s="2"/>
      <c r="J803" s="38"/>
      <c r="K803" s="2"/>
      <c r="L803" s="2"/>
      <c r="M803" s="2"/>
      <c r="N803" s="2"/>
      <c r="O803" s="2" t="s">
        <v>91</v>
      </c>
      <c r="P803" s="2" t="s">
        <v>854</v>
      </c>
      <c r="Q803" s="2"/>
      <c r="R803" s="38">
        <v>45920</v>
      </c>
      <c r="S803" s="2">
        <v>8</v>
      </c>
      <c r="T803" s="2">
        <v>200</v>
      </c>
    </row>
    <row r="804" spans="1:20" x14ac:dyDescent="0.2">
      <c r="A804" s="49" t="str">
        <f t="shared" si="31"/>
        <v>6/5</v>
      </c>
      <c r="B804" s="19" t="s">
        <v>84</v>
      </c>
      <c r="C804" s="19" t="s">
        <v>76</v>
      </c>
      <c r="D804" s="19" t="s">
        <v>76</v>
      </c>
      <c r="E804" s="2" t="s">
        <v>20</v>
      </c>
      <c r="F804" s="19">
        <v>5</v>
      </c>
      <c r="G804" s="2"/>
      <c r="H804" s="2"/>
      <c r="I804" s="2"/>
      <c r="J804" s="38"/>
      <c r="K804" s="2"/>
      <c r="L804" s="2"/>
      <c r="M804" s="2"/>
      <c r="N804" s="2"/>
      <c r="O804" s="2" t="s">
        <v>91</v>
      </c>
      <c r="P804" s="2" t="s">
        <v>1050</v>
      </c>
      <c r="Q804" s="2"/>
      <c r="R804" s="38">
        <v>45920</v>
      </c>
      <c r="S804" s="2">
        <v>4</v>
      </c>
      <c r="T804" s="2">
        <v>100</v>
      </c>
    </row>
    <row r="805" spans="1:20" x14ac:dyDescent="0.2">
      <c r="A805" s="49" t="str">
        <f t="shared" si="31"/>
        <v>8/10</v>
      </c>
      <c r="B805" s="19" t="s">
        <v>824</v>
      </c>
      <c r="C805" s="19" t="s">
        <v>76</v>
      </c>
      <c r="D805" s="19" t="s">
        <v>76</v>
      </c>
      <c r="E805" s="2">
        <v>8</v>
      </c>
      <c r="F805" s="19">
        <v>10</v>
      </c>
      <c r="G805" s="2"/>
      <c r="H805" s="2"/>
      <c r="I805" s="2"/>
      <c r="J805" s="38"/>
      <c r="K805" s="2"/>
      <c r="L805" s="2"/>
      <c r="M805" s="2"/>
      <c r="N805" s="2"/>
      <c r="O805" s="2" t="s">
        <v>91</v>
      </c>
      <c r="P805" s="2" t="s">
        <v>829</v>
      </c>
      <c r="Q805" s="2"/>
      <c r="R805" s="38">
        <v>45920</v>
      </c>
      <c r="S805" s="2">
        <v>4</v>
      </c>
      <c r="T805" s="2">
        <v>105.7</v>
      </c>
    </row>
    <row r="806" spans="1:20" x14ac:dyDescent="0.2">
      <c r="A806" s="49" t="str">
        <f t="shared" si="31"/>
        <v>10/5</v>
      </c>
      <c r="B806" s="19" t="s">
        <v>84</v>
      </c>
      <c r="C806" s="19" t="s">
        <v>76</v>
      </c>
      <c r="D806" s="19" t="s">
        <v>76</v>
      </c>
      <c r="E806" s="2" t="s">
        <v>16</v>
      </c>
      <c r="F806" s="19">
        <v>5</v>
      </c>
      <c r="G806" s="2"/>
      <c r="H806" s="2"/>
      <c r="I806" s="2"/>
      <c r="J806" s="38"/>
      <c r="K806" s="2"/>
      <c r="L806" s="2"/>
      <c r="M806" s="2"/>
      <c r="N806" s="2"/>
      <c r="O806" s="2" t="s">
        <v>91</v>
      </c>
      <c r="P806" s="2" t="s">
        <v>1046</v>
      </c>
      <c r="Q806" s="2"/>
      <c r="R806" s="38">
        <v>45920</v>
      </c>
      <c r="S806" s="2">
        <v>10</v>
      </c>
      <c r="T806" s="2">
        <v>250</v>
      </c>
    </row>
    <row r="807" spans="1:20" x14ac:dyDescent="0.2">
      <c r="A807" s="49" t="str">
        <f t="shared" si="31"/>
        <v>10/5</v>
      </c>
      <c r="B807" s="19" t="s">
        <v>973</v>
      </c>
      <c r="C807" s="19" t="s">
        <v>76</v>
      </c>
      <c r="D807" s="19" t="s">
        <v>76</v>
      </c>
      <c r="E807" s="2" t="s">
        <v>16</v>
      </c>
      <c r="F807" s="19">
        <v>5</v>
      </c>
      <c r="G807" s="2"/>
      <c r="H807" s="2"/>
      <c r="I807" s="2"/>
      <c r="J807" s="38"/>
      <c r="K807" s="2"/>
      <c r="L807" s="2"/>
      <c r="M807" s="2"/>
      <c r="N807" s="2"/>
      <c r="O807" s="2" t="s">
        <v>91</v>
      </c>
      <c r="P807" s="2" t="s">
        <v>1051</v>
      </c>
      <c r="Q807" s="2"/>
      <c r="R807" s="38">
        <v>45920</v>
      </c>
      <c r="S807" s="2">
        <v>6</v>
      </c>
      <c r="T807" s="2">
        <v>150</v>
      </c>
    </row>
    <row r="808" spans="1:20" x14ac:dyDescent="0.2">
      <c r="A808" s="49" t="str">
        <f t="shared" si="31"/>
        <v>7/5</v>
      </c>
      <c r="B808" s="19" t="s">
        <v>84</v>
      </c>
      <c r="C808" s="19" t="s">
        <v>76</v>
      </c>
      <c r="D808" s="19" t="s">
        <v>76</v>
      </c>
      <c r="E808" s="2" t="s">
        <v>19</v>
      </c>
      <c r="F808" s="19">
        <v>5</v>
      </c>
      <c r="G808" s="2"/>
      <c r="H808" s="2"/>
      <c r="I808" s="2"/>
      <c r="J808" s="38"/>
      <c r="K808" s="2"/>
      <c r="L808" s="2"/>
      <c r="M808" s="2"/>
      <c r="N808" s="2"/>
      <c r="O808" s="2" t="s">
        <v>91</v>
      </c>
      <c r="P808" s="2" t="s">
        <v>1052</v>
      </c>
      <c r="Q808" s="2"/>
      <c r="R808" s="38">
        <v>45920</v>
      </c>
      <c r="S808" s="2">
        <v>6</v>
      </c>
      <c r="T808" s="2">
        <v>150</v>
      </c>
    </row>
    <row r="809" spans="1:20" x14ac:dyDescent="0.2">
      <c r="A809" s="49" t="str">
        <f t="shared" si="31"/>
        <v>11/5</v>
      </c>
      <c r="B809" s="19" t="s">
        <v>84</v>
      </c>
      <c r="C809" s="19" t="s">
        <v>76</v>
      </c>
      <c r="D809" s="19" t="s">
        <v>76</v>
      </c>
      <c r="E809" s="2" t="s">
        <v>15</v>
      </c>
      <c r="F809" s="19">
        <v>5</v>
      </c>
      <c r="G809" s="2"/>
      <c r="H809" s="2"/>
      <c r="I809" s="2"/>
      <c r="J809" s="38"/>
      <c r="K809" s="2"/>
      <c r="L809" s="2"/>
      <c r="M809" s="2"/>
      <c r="N809" s="2"/>
      <c r="O809" s="2" t="s">
        <v>91</v>
      </c>
      <c r="P809" s="2" t="s">
        <v>618</v>
      </c>
      <c r="Q809" s="2"/>
      <c r="R809" s="38">
        <v>45920</v>
      </c>
      <c r="S809" s="2">
        <v>5</v>
      </c>
      <c r="T809" s="2">
        <v>125</v>
      </c>
    </row>
    <row r="810" spans="1:20" x14ac:dyDescent="0.2">
      <c r="A810" s="49" t="str">
        <f t="shared" si="31"/>
        <v>11/5</v>
      </c>
      <c r="B810" s="19" t="s">
        <v>84</v>
      </c>
      <c r="C810" s="19" t="s">
        <v>76</v>
      </c>
      <c r="D810" s="19" t="s">
        <v>76</v>
      </c>
      <c r="E810" s="2" t="s">
        <v>15</v>
      </c>
      <c r="F810" s="19">
        <v>5</v>
      </c>
      <c r="G810" s="2"/>
      <c r="H810" s="2"/>
      <c r="I810" s="2"/>
      <c r="J810" s="38"/>
      <c r="K810" s="2"/>
      <c r="L810" s="2"/>
      <c r="M810" s="2"/>
      <c r="N810" s="2"/>
      <c r="O810" s="2" t="s">
        <v>91</v>
      </c>
      <c r="P810" s="2" t="s">
        <v>710</v>
      </c>
      <c r="Q810" s="2"/>
      <c r="R810" s="38">
        <v>45920</v>
      </c>
      <c r="S810" s="2">
        <v>1</v>
      </c>
      <c r="T810" s="2">
        <v>25</v>
      </c>
    </row>
    <row r="811" spans="1:20" x14ac:dyDescent="0.2">
      <c r="A811" s="49" t="str">
        <f t="shared" si="31"/>
        <v>8/5</v>
      </c>
      <c r="B811" s="19" t="s">
        <v>84</v>
      </c>
      <c r="C811" s="19" t="s">
        <v>76</v>
      </c>
      <c r="D811" s="19" t="s">
        <v>76</v>
      </c>
      <c r="E811" s="2" t="s">
        <v>18</v>
      </c>
      <c r="F811" s="19">
        <v>5</v>
      </c>
      <c r="G811" s="2"/>
      <c r="H811" s="2"/>
      <c r="I811" s="2"/>
      <c r="J811" s="38"/>
      <c r="K811" s="2"/>
      <c r="L811" s="2"/>
      <c r="M811" s="2"/>
      <c r="N811" s="2"/>
      <c r="O811" s="2" t="s">
        <v>91</v>
      </c>
      <c r="P811" s="2" t="s">
        <v>1045</v>
      </c>
      <c r="Q811" s="2"/>
      <c r="R811" s="38">
        <v>45920</v>
      </c>
      <c r="S811" s="2">
        <v>12</v>
      </c>
      <c r="T811" s="2">
        <v>300</v>
      </c>
    </row>
    <row r="812" spans="1:20" x14ac:dyDescent="0.2">
      <c r="A812" s="49" t="str">
        <f t="shared" si="31"/>
        <v>3.5/5</v>
      </c>
      <c r="B812" s="19" t="s">
        <v>1035</v>
      </c>
      <c r="C812" s="19" t="s">
        <v>76</v>
      </c>
      <c r="D812" s="19" t="s">
        <v>76</v>
      </c>
      <c r="E812" s="2">
        <v>3.5</v>
      </c>
      <c r="F812" s="19">
        <v>5</v>
      </c>
      <c r="G812" s="2"/>
      <c r="H812" s="2"/>
      <c r="I812" s="2"/>
      <c r="J812" s="38"/>
      <c r="K812" s="2"/>
      <c r="L812" s="2"/>
      <c r="M812" s="2"/>
      <c r="N812" s="2"/>
      <c r="O812" s="2" t="s">
        <v>91</v>
      </c>
      <c r="P812" s="2" t="s">
        <v>1053</v>
      </c>
      <c r="Q812" s="2"/>
      <c r="R812" s="38">
        <v>45920</v>
      </c>
      <c r="S812" s="2">
        <v>7</v>
      </c>
      <c r="T812" s="2">
        <v>140</v>
      </c>
    </row>
    <row r="813" spans="1:20" x14ac:dyDescent="0.2">
      <c r="A813" s="49" t="str">
        <f t="shared" si="31"/>
        <v>5.5/10</v>
      </c>
      <c r="B813" s="19" t="s">
        <v>603</v>
      </c>
      <c r="C813" s="19" t="s">
        <v>76</v>
      </c>
      <c r="D813" s="19" t="s">
        <v>76</v>
      </c>
      <c r="E813" s="2">
        <v>5.5</v>
      </c>
      <c r="F813" s="19">
        <v>10</v>
      </c>
      <c r="G813" s="2"/>
      <c r="H813" s="2"/>
      <c r="I813" s="2"/>
      <c r="J813" s="38"/>
      <c r="K813" s="2"/>
      <c r="L813" s="2"/>
      <c r="M813" s="2"/>
      <c r="N813" s="2"/>
      <c r="O813" s="2" t="s">
        <v>91</v>
      </c>
      <c r="P813" s="2" t="s">
        <v>828</v>
      </c>
      <c r="Q813" s="2"/>
      <c r="R813" s="38">
        <v>45920</v>
      </c>
      <c r="S813" s="2">
        <v>3</v>
      </c>
      <c r="T813" s="2">
        <v>77.400000000000006</v>
      </c>
    </row>
    <row r="814" spans="1:20" x14ac:dyDescent="0.2">
      <c r="A814" s="49" t="str">
        <f t="shared" si="31"/>
        <v>12/5</v>
      </c>
      <c r="B814" s="19" t="s">
        <v>1036</v>
      </c>
      <c r="C814" s="19" t="s">
        <v>76</v>
      </c>
      <c r="D814" s="19" t="s">
        <v>76</v>
      </c>
      <c r="E814" s="2">
        <v>12</v>
      </c>
      <c r="F814" s="19">
        <v>5</v>
      </c>
      <c r="G814" s="2"/>
      <c r="H814" s="2"/>
      <c r="I814" s="2"/>
      <c r="J814" s="38"/>
      <c r="K814" s="2"/>
      <c r="L814" s="2"/>
      <c r="M814" s="2"/>
      <c r="N814" s="2"/>
      <c r="O814" s="2" t="s">
        <v>91</v>
      </c>
      <c r="P814" s="2" t="s">
        <v>1054</v>
      </c>
      <c r="Q814" s="2"/>
      <c r="R814" s="38">
        <v>45921</v>
      </c>
      <c r="S814" s="2">
        <v>8</v>
      </c>
      <c r="T814" s="2">
        <v>200</v>
      </c>
    </row>
    <row r="815" spans="1:20" x14ac:dyDescent="0.2">
      <c r="A815" s="49" t="str">
        <f t="shared" si="31"/>
        <v>13/5</v>
      </c>
      <c r="B815" s="19" t="s">
        <v>973</v>
      </c>
      <c r="C815" s="19" t="s">
        <v>76</v>
      </c>
      <c r="D815" s="19" t="s">
        <v>76</v>
      </c>
      <c r="E815" s="2" t="s">
        <v>13</v>
      </c>
      <c r="F815" s="19">
        <v>5</v>
      </c>
      <c r="G815" s="2"/>
      <c r="H815" s="2"/>
      <c r="I815" s="2"/>
      <c r="J815" s="38"/>
      <c r="K815" s="2"/>
      <c r="L815" s="2"/>
      <c r="M815" s="2"/>
      <c r="N815" s="2"/>
      <c r="O815" s="2" t="s">
        <v>91</v>
      </c>
      <c r="P815" s="2" t="s">
        <v>1055</v>
      </c>
      <c r="Q815" s="2"/>
      <c r="R815" s="38">
        <v>45921</v>
      </c>
      <c r="S815" s="2">
        <v>10</v>
      </c>
      <c r="T815" s="2">
        <v>250</v>
      </c>
    </row>
    <row r="816" spans="1:20" x14ac:dyDescent="0.2">
      <c r="A816" s="49" t="str">
        <f t="shared" si="31"/>
        <v>12/5</v>
      </c>
      <c r="B816" s="19" t="s">
        <v>84</v>
      </c>
      <c r="C816" s="19" t="s">
        <v>76</v>
      </c>
      <c r="D816" s="19" t="s">
        <v>76</v>
      </c>
      <c r="E816" s="2" t="s">
        <v>14</v>
      </c>
      <c r="F816" s="19">
        <v>5</v>
      </c>
      <c r="G816" s="2"/>
      <c r="H816" s="2"/>
      <c r="I816" s="2"/>
      <c r="J816" s="38"/>
      <c r="K816" s="2"/>
      <c r="L816" s="2"/>
      <c r="M816" s="2"/>
      <c r="N816" s="2"/>
      <c r="O816" s="2" t="s">
        <v>91</v>
      </c>
      <c r="P816" s="2" t="s">
        <v>1056</v>
      </c>
      <c r="Q816" s="2"/>
      <c r="R816" s="38">
        <v>45921</v>
      </c>
      <c r="S816" s="2">
        <v>2</v>
      </c>
      <c r="T816" s="2">
        <v>50</v>
      </c>
    </row>
    <row r="817" spans="1:20" x14ac:dyDescent="0.2">
      <c r="A817" s="49" t="str">
        <f t="shared" si="31"/>
        <v>6/4.5</v>
      </c>
      <c r="B817" s="19" t="s">
        <v>190</v>
      </c>
      <c r="C817" s="19" t="s">
        <v>76</v>
      </c>
      <c r="D817" s="19" t="s">
        <v>76</v>
      </c>
      <c r="E817" s="2">
        <v>6</v>
      </c>
      <c r="F817" s="19">
        <v>4.5</v>
      </c>
      <c r="G817" s="2"/>
      <c r="H817" s="2"/>
      <c r="I817" s="2"/>
      <c r="J817" s="38"/>
      <c r="K817" s="2"/>
      <c r="L817" s="2"/>
      <c r="M817" s="2"/>
      <c r="N817" s="2"/>
      <c r="O817" s="2" t="s">
        <v>91</v>
      </c>
      <c r="P817" s="2" t="s">
        <v>1057</v>
      </c>
      <c r="Q817" s="2"/>
      <c r="R817" s="38">
        <v>45922</v>
      </c>
      <c r="S817" s="2">
        <v>2</v>
      </c>
      <c r="T817" s="2">
        <v>50</v>
      </c>
    </row>
    <row r="818" spans="1:20" x14ac:dyDescent="0.2">
      <c r="A818" s="49" t="str">
        <f t="shared" si="31"/>
        <v>6/4.5</v>
      </c>
      <c r="B818" s="19" t="s">
        <v>190</v>
      </c>
      <c r="C818" s="19" t="s">
        <v>76</v>
      </c>
      <c r="D818" s="19" t="s">
        <v>76</v>
      </c>
      <c r="E818" s="2">
        <v>6</v>
      </c>
      <c r="F818" s="19">
        <v>4.5</v>
      </c>
      <c r="G818" s="2"/>
      <c r="H818" s="2"/>
      <c r="I818" s="2"/>
      <c r="J818" s="38"/>
      <c r="K818" s="2"/>
      <c r="L818" s="2"/>
      <c r="M818" s="2"/>
      <c r="N818" s="2"/>
      <c r="O818" s="2" t="s">
        <v>91</v>
      </c>
      <c r="P818" s="2" t="s">
        <v>545</v>
      </c>
      <c r="Q818" s="2"/>
      <c r="R818" s="38">
        <v>45922</v>
      </c>
      <c r="S818" s="2">
        <v>10</v>
      </c>
      <c r="T818" s="2">
        <v>250</v>
      </c>
    </row>
    <row r="819" spans="1:20" x14ac:dyDescent="0.2">
      <c r="A819" s="49" t="str">
        <f t="shared" si="31"/>
        <v>12/5</v>
      </c>
      <c r="B819" s="19" t="s">
        <v>84</v>
      </c>
      <c r="C819" s="19" t="s">
        <v>76</v>
      </c>
      <c r="D819" s="19" t="s">
        <v>76</v>
      </c>
      <c r="E819" s="2" t="s">
        <v>14</v>
      </c>
      <c r="F819" s="19">
        <v>5</v>
      </c>
      <c r="G819" s="2"/>
      <c r="H819" s="2"/>
      <c r="I819" s="2"/>
      <c r="J819" s="38"/>
      <c r="K819" s="2"/>
      <c r="L819" s="2"/>
      <c r="M819" s="2"/>
      <c r="N819" s="2"/>
      <c r="O819" s="2" t="s">
        <v>91</v>
      </c>
      <c r="P819" s="2" t="s">
        <v>1058</v>
      </c>
      <c r="Q819" s="2"/>
      <c r="R819" s="38">
        <v>45922</v>
      </c>
      <c r="S819" s="2">
        <v>3</v>
      </c>
      <c r="T819" s="2">
        <v>75</v>
      </c>
    </row>
    <row r="820" spans="1:20" x14ac:dyDescent="0.2">
      <c r="A820" s="49" t="str">
        <f t="shared" si="31"/>
        <v>7/5</v>
      </c>
      <c r="B820" s="19" t="s">
        <v>84</v>
      </c>
      <c r="C820" s="19" t="s">
        <v>76</v>
      </c>
      <c r="D820" s="19" t="s">
        <v>76</v>
      </c>
      <c r="E820" s="2" t="s">
        <v>19</v>
      </c>
      <c r="F820" s="19">
        <v>5</v>
      </c>
      <c r="G820" s="2"/>
      <c r="H820" s="2"/>
      <c r="I820" s="2"/>
      <c r="J820" s="38"/>
      <c r="K820" s="2"/>
      <c r="L820" s="2"/>
      <c r="M820" s="2"/>
      <c r="N820" s="2"/>
      <c r="O820" s="2" t="s">
        <v>91</v>
      </c>
      <c r="P820" s="2" t="s">
        <v>1052</v>
      </c>
      <c r="Q820" s="2"/>
      <c r="R820" s="38">
        <v>45922</v>
      </c>
      <c r="S820" s="2">
        <v>6</v>
      </c>
      <c r="T820" s="2">
        <v>150</v>
      </c>
    </row>
    <row r="821" spans="1:20" x14ac:dyDescent="0.2">
      <c r="A821" s="49" t="str">
        <f t="shared" si="31"/>
        <v>07/5</v>
      </c>
      <c r="B821" s="19" t="s">
        <v>973</v>
      </c>
      <c r="C821" s="19" t="s">
        <v>76</v>
      </c>
      <c r="D821" s="19" t="s">
        <v>76</v>
      </c>
      <c r="E821" s="2" t="s">
        <v>1041</v>
      </c>
      <c r="F821" s="19">
        <v>5</v>
      </c>
      <c r="G821" s="2"/>
      <c r="H821" s="2"/>
      <c r="I821" s="2"/>
      <c r="J821" s="38"/>
      <c r="K821" s="2"/>
      <c r="L821" s="2"/>
      <c r="M821" s="2"/>
      <c r="N821" s="2"/>
      <c r="O821" s="2" t="s">
        <v>91</v>
      </c>
      <c r="P821" s="2" t="s">
        <v>1059</v>
      </c>
      <c r="Q821" s="2"/>
      <c r="R821" s="38">
        <v>45922</v>
      </c>
      <c r="S821" s="2">
        <v>7</v>
      </c>
      <c r="T821" s="2">
        <v>175</v>
      </c>
    </row>
    <row r="822" spans="1:20" x14ac:dyDescent="0.2">
      <c r="A822" s="49" t="str">
        <f t="shared" si="31"/>
        <v>10/5</v>
      </c>
      <c r="B822" s="19" t="s">
        <v>84</v>
      </c>
      <c r="C822" s="19" t="s">
        <v>76</v>
      </c>
      <c r="D822" s="19" t="s">
        <v>76</v>
      </c>
      <c r="E822" s="2" t="s">
        <v>16</v>
      </c>
      <c r="F822" s="19">
        <v>5</v>
      </c>
      <c r="G822" s="2"/>
      <c r="H822" s="2"/>
      <c r="I822" s="2"/>
      <c r="J822" s="38"/>
      <c r="K822" s="2"/>
      <c r="L822" s="2"/>
      <c r="M822" s="2"/>
      <c r="N822" s="2"/>
      <c r="O822" s="2" t="s">
        <v>91</v>
      </c>
      <c r="P822" s="2" t="s">
        <v>1060</v>
      </c>
      <c r="Q822" s="2"/>
      <c r="R822" s="38">
        <v>45922</v>
      </c>
      <c r="S822" s="2">
        <v>8</v>
      </c>
      <c r="T822" s="2">
        <v>200</v>
      </c>
    </row>
    <row r="823" spans="1:20" x14ac:dyDescent="0.2">
      <c r="A823" s="49" t="str">
        <f t="shared" si="31"/>
        <v>10/5</v>
      </c>
      <c r="B823" s="19" t="s">
        <v>973</v>
      </c>
      <c r="C823" s="19" t="s">
        <v>76</v>
      </c>
      <c r="D823" s="19" t="s">
        <v>76</v>
      </c>
      <c r="E823" s="2" t="s">
        <v>16</v>
      </c>
      <c r="F823" s="19">
        <v>5</v>
      </c>
      <c r="G823" s="2"/>
      <c r="H823" s="2"/>
      <c r="I823" s="2"/>
      <c r="J823" s="38"/>
      <c r="K823" s="2"/>
      <c r="L823" s="2"/>
      <c r="M823" s="2"/>
      <c r="N823" s="2"/>
      <c r="O823" s="2" t="s">
        <v>91</v>
      </c>
      <c r="P823" s="2" t="s">
        <v>1051</v>
      </c>
      <c r="Q823" s="2"/>
      <c r="R823" s="38">
        <v>45922</v>
      </c>
      <c r="S823" s="2">
        <v>4</v>
      </c>
      <c r="T823" s="2">
        <v>100</v>
      </c>
    </row>
    <row r="824" spans="1:20" x14ac:dyDescent="0.2">
      <c r="A824" s="49" t="str">
        <f t="shared" si="31"/>
        <v>9/5</v>
      </c>
      <c r="B824" s="19" t="s">
        <v>84</v>
      </c>
      <c r="C824" s="19" t="s">
        <v>76</v>
      </c>
      <c r="D824" s="19" t="s">
        <v>76</v>
      </c>
      <c r="E824" s="2" t="s">
        <v>17</v>
      </c>
      <c r="F824" s="19">
        <v>5</v>
      </c>
      <c r="G824" s="2"/>
      <c r="H824" s="2"/>
      <c r="I824" s="2"/>
      <c r="J824" s="38"/>
      <c r="K824" s="2"/>
      <c r="L824" s="2"/>
      <c r="M824" s="2"/>
      <c r="N824" s="2"/>
      <c r="O824" s="2" t="s">
        <v>91</v>
      </c>
      <c r="P824" s="2" t="s">
        <v>851</v>
      </c>
      <c r="Q824" s="2"/>
      <c r="R824" s="38">
        <v>45922</v>
      </c>
      <c r="S824" s="2">
        <v>3</v>
      </c>
      <c r="T824" s="2">
        <v>75</v>
      </c>
    </row>
    <row r="825" spans="1:20" x14ac:dyDescent="0.2">
      <c r="A825" s="49" t="str">
        <f t="shared" si="31"/>
        <v>8/5</v>
      </c>
      <c r="B825" s="19" t="s">
        <v>166</v>
      </c>
      <c r="C825" s="19" t="s">
        <v>76</v>
      </c>
      <c r="D825" s="19" t="s">
        <v>76</v>
      </c>
      <c r="E825" s="2">
        <v>8</v>
      </c>
      <c r="F825" s="19">
        <v>5</v>
      </c>
      <c r="G825" s="2"/>
      <c r="H825" s="2"/>
      <c r="I825" s="2"/>
      <c r="J825" s="38"/>
      <c r="K825" s="2"/>
      <c r="L825" s="2"/>
      <c r="M825" s="2"/>
      <c r="N825" s="2"/>
      <c r="O825" s="2" t="s">
        <v>91</v>
      </c>
      <c r="P825" s="2" t="s">
        <v>626</v>
      </c>
      <c r="Q825" s="2"/>
      <c r="R825" s="38">
        <v>45922</v>
      </c>
      <c r="S825" s="2">
        <v>4</v>
      </c>
      <c r="T825" s="2">
        <v>100</v>
      </c>
    </row>
    <row r="826" spans="1:20" x14ac:dyDescent="0.2">
      <c r="A826" s="49" t="str">
        <f t="shared" si="31"/>
        <v>8/5</v>
      </c>
      <c r="B826" s="19" t="s">
        <v>84</v>
      </c>
      <c r="C826" s="19" t="s">
        <v>76</v>
      </c>
      <c r="D826" s="19" t="s">
        <v>76</v>
      </c>
      <c r="E826" s="2" t="s">
        <v>18</v>
      </c>
      <c r="F826" s="19">
        <v>5</v>
      </c>
      <c r="G826" s="2"/>
      <c r="H826" s="2"/>
      <c r="I826" s="2"/>
      <c r="J826" s="38"/>
      <c r="K826" s="2"/>
      <c r="L826" s="2"/>
      <c r="M826" s="2"/>
      <c r="N826" s="2"/>
      <c r="O826" s="2" t="s">
        <v>91</v>
      </c>
      <c r="P826" s="2" t="s">
        <v>1061</v>
      </c>
      <c r="Q826" s="2"/>
      <c r="R826" s="38">
        <v>45922</v>
      </c>
      <c r="S826" s="2">
        <v>8</v>
      </c>
      <c r="T826" s="2">
        <v>200</v>
      </c>
    </row>
    <row r="827" spans="1:20" x14ac:dyDescent="0.2">
      <c r="A827" s="49" t="str">
        <f t="shared" si="31"/>
        <v>3.5/4.5</v>
      </c>
      <c r="B827" s="19" t="s">
        <v>972</v>
      </c>
      <c r="C827" s="19" t="s">
        <v>76</v>
      </c>
      <c r="D827" s="19" t="s">
        <v>76</v>
      </c>
      <c r="E827" s="2">
        <v>3.5</v>
      </c>
      <c r="F827" s="19">
        <v>4.5</v>
      </c>
      <c r="G827" s="2"/>
      <c r="H827" s="2"/>
      <c r="I827" s="2"/>
      <c r="J827" s="38"/>
      <c r="K827" s="2"/>
      <c r="L827" s="2"/>
      <c r="M827" s="2"/>
      <c r="N827" s="2"/>
      <c r="O827" s="2" t="s">
        <v>91</v>
      </c>
      <c r="P827" s="2" t="s">
        <v>1062</v>
      </c>
      <c r="Q827" s="2"/>
      <c r="R827" s="38">
        <v>45922</v>
      </c>
      <c r="S827" s="2">
        <v>9</v>
      </c>
      <c r="T827" s="2">
        <v>170.9</v>
      </c>
    </row>
    <row r="828" spans="1:20" x14ac:dyDescent="0.2">
      <c r="A828" s="49" t="str">
        <f t="shared" si="31"/>
        <v>4/4.5</v>
      </c>
      <c r="B828" s="19" t="s">
        <v>972</v>
      </c>
      <c r="C828" s="19" t="s">
        <v>76</v>
      </c>
      <c r="D828" s="19" t="s">
        <v>76</v>
      </c>
      <c r="E828" s="2">
        <v>4</v>
      </c>
      <c r="F828" s="19">
        <v>4.5</v>
      </c>
      <c r="G828" s="2"/>
      <c r="H828" s="2"/>
      <c r="I828" s="2"/>
      <c r="J828" s="38"/>
      <c r="K828" s="2"/>
      <c r="L828" s="2"/>
      <c r="M828" s="2"/>
      <c r="N828" s="2"/>
      <c r="O828" s="2" t="s">
        <v>91</v>
      </c>
      <c r="P828" s="2" t="s">
        <v>991</v>
      </c>
      <c r="Q828" s="2"/>
      <c r="R828" s="38">
        <v>45922</v>
      </c>
      <c r="S828" s="2">
        <v>2</v>
      </c>
      <c r="T828" s="2">
        <v>40</v>
      </c>
    </row>
    <row r="829" spans="1:20" x14ac:dyDescent="0.2">
      <c r="A829" s="49" t="str">
        <f t="shared" si="31"/>
        <v>12/4.5</v>
      </c>
      <c r="B829" s="19" t="s">
        <v>972</v>
      </c>
      <c r="C829" s="19" t="s">
        <v>76</v>
      </c>
      <c r="D829" s="19" t="s">
        <v>76</v>
      </c>
      <c r="E829" s="2">
        <v>12</v>
      </c>
      <c r="F829" s="19">
        <v>4.5</v>
      </c>
      <c r="G829" s="2"/>
      <c r="H829" s="2"/>
      <c r="I829" s="2"/>
      <c r="J829" s="38"/>
      <c r="K829" s="2"/>
      <c r="L829" s="2"/>
      <c r="M829" s="2"/>
      <c r="N829" s="2"/>
      <c r="O829" s="2" t="s">
        <v>91</v>
      </c>
      <c r="P829" s="2" t="s">
        <v>1063</v>
      </c>
      <c r="Q829" s="2"/>
      <c r="R829" s="38">
        <v>45922</v>
      </c>
      <c r="S829" s="2">
        <v>8</v>
      </c>
      <c r="T829" s="2">
        <v>200</v>
      </c>
    </row>
    <row r="830" spans="1:20" x14ac:dyDescent="0.2">
      <c r="A830" s="49" t="str">
        <f t="shared" si="31"/>
        <v>10/4.5</v>
      </c>
      <c r="B830" s="19" t="s">
        <v>972</v>
      </c>
      <c r="C830" s="19" t="s">
        <v>76</v>
      </c>
      <c r="D830" s="19" t="s">
        <v>76</v>
      </c>
      <c r="E830" s="2">
        <v>10</v>
      </c>
      <c r="F830" s="19">
        <v>4.5</v>
      </c>
      <c r="G830" s="2"/>
      <c r="H830" s="2"/>
      <c r="I830" s="2"/>
      <c r="J830" s="38"/>
      <c r="K830" s="2"/>
      <c r="L830" s="2"/>
      <c r="M830" s="2"/>
      <c r="N830" s="2"/>
      <c r="O830" s="2" t="s">
        <v>91</v>
      </c>
      <c r="P830" s="2" t="s">
        <v>995</v>
      </c>
      <c r="Q830" s="2"/>
      <c r="R830" s="38">
        <v>45922</v>
      </c>
      <c r="S830" s="2">
        <v>8</v>
      </c>
      <c r="T830" s="2">
        <v>200</v>
      </c>
    </row>
    <row r="831" spans="1:20" x14ac:dyDescent="0.2">
      <c r="A831" s="49" t="str">
        <f t="shared" si="31"/>
        <v>4.5/4.5</v>
      </c>
      <c r="B831" s="19" t="s">
        <v>972</v>
      </c>
      <c r="C831" s="19" t="s">
        <v>76</v>
      </c>
      <c r="D831" s="19" t="s">
        <v>76</v>
      </c>
      <c r="E831" s="2">
        <v>4.5</v>
      </c>
      <c r="F831" s="19">
        <v>4.5</v>
      </c>
      <c r="G831" s="2"/>
      <c r="H831" s="2"/>
      <c r="I831" s="2"/>
      <c r="J831" s="38"/>
      <c r="K831" s="2"/>
      <c r="L831" s="2"/>
      <c r="M831" s="2"/>
      <c r="N831" s="2"/>
      <c r="O831" s="2" t="s">
        <v>91</v>
      </c>
      <c r="P831" s="2" t="s">
        <v>1064</v>
      </c>
      <c r="Q831" s="2"/>
      <c r="R831" s="38">
        <v>45922</v>
      </c>
      <c r="S831" s="2">
        <v>7</v>
      </c>
      <c r="T831" s="2">
        <v>140</v>
      </c>
    </row>
    <row r="832" spans="1:20" x14ac:dyDescent="0.2">
      <c r="A832" s="49" t="str">
        <f t="shared" si="31"/>
        <v>4/4.5</v>
      </c>
      <c r="B832" s="19" t="s">
        <v>972</v>
      </c>
      <c r="C832" s="19" t="s">
        <v>76</v>
      </c>
      <c r="D832" s="19" t="s">
        <v>76</v>
      </c>
      <c r="E832" s="2">
        <v>4</v>
      </c>
      <c r="F832" s="19">
        <v>4.5</v>
      </c>
      <c r="G832" s="2"/>
      <c r="H832" s="2"/>
      <c r="I832" s="2"/>
      <c r="J832" s="38"/>
      <c r="K832" s="2"/>
      <c r="L832" s="2"/>
      <c r="M832" s="2"/>
      <c r="N832" s="2"/>
      <c r="O832" s="2" t="s">
        <v>91</v>
      </c>
      <c r="P832" s="2" t="s">
        <v>991</v>
      </c>
      <c r="Q832" s="2"/>
      <c r="R832" s="38">
        <v>45922</v>
      </c>
      <c r="S832" s="2">
        <v>13</v>
      </c>
      <c r="T832" s="2">
        <v>254</v>
      </c>
    </row>
    <row r="833" spans="1:20" x14ac:dyDescent="0.2">
      <c r="A833" s="49" t="str">
        <f t="shared" si="31"/>
        <v>6/4.5</v>
      </c>
      <c r="B833" s="19" t="s">
        <v>190</v>
      </c>
      <c r="C833" s="19" t="s">
        <v>76</v>
      </c>
      <c r="D833" s="19" t="s">
        <v>76</v>
      </c>
      <c r="E833" s="2">
        <v>6</v>
      </c>
      <c r="F833" s="19">
        <v>4.5</v>
      </c>
      <c r="G833" s="2"/>
      <c r="H833" s="2"/>
      <c r="I833" s="2"/>
      <c r="J833" s="38"/>
      <c r="K833" s="2"/>
      <c r="L833" s="2"/>
      <c r="M833" s="2"/>
      <c r="N833" s="2"/>
      <c r="O833" s="2" t="s">
        <v>91</v>
      </c>
      <c r="P833" s="2" t="s">
        <v>1057</v>
      </c>
      <c r="Q833" s="2"/>
      <c r="R833" s="38">
        <v>45923</v>
      </c>
      <c r="S833" s="2">
        <v>8</v>
      </c>
      <c r="T833" s="2">
        <v>200</v>
      </c>
    </row>
    <row r="834" spans="1:20" x14ac:dyDescent="0.2">
      <c r="A834" s="49" t="str">
        <f t="shared" si="31"/>
        <v>6/5</v>
      </c>
      <c r="B834" s="19" t="s">
        <v>84</v>
      </c>
      <c r="C834" s="19" t="s">
        <v>76</v>
      </c>
      <c r="D834" s="19" t="s">
        <v>76</v>
      </c>
      <c r="E834" s="2" t="s">
        <v>20</v>
      </c>
      <c r="F834" s="19">
        <v>5</v>
      </c>
      <c r="G834" s="2"/>
      <c r="H834" s="2"/>
      <c r="I834" s="2"/>
      <c r="J834" s="38"/>
      <c r="K834" s="2"/>
      <c r="L834" s="2"/>
      <c r="M834" s="2"/>
      <c r="N834" s="2"/>
      <c r="O834" s="2" t="s">
        <v>91</v>
      </c>
      <c r="P834" s="2" t="s">
        <v>854</v>
      </c>
      <c r="Q834" s="2"/>
      <c r="R834" s="38">
        <v>45923</v>
      </c>
      <c r="S834" s="2">
        <v>3</v>
      </c>
      <c r="T834" s="2">
        <v>75</v>
      </c>
    </row>
    <row r="835" spans="1:20" x14ac:dyDescent="0.2">
      <c r="A835" s="49" t="str">
        <f t="shared" si="31"/>
        <v>8/5</v>
      </c>
      <c r="B835" s="19" t="s">
        <v>84</v>
      </c>
      <c r="C835" s="19" t="s">
        <v>76</v>
      </c>
      <c r="D835" s="19" t="s">
        <v>76</v>
      </c>
      <c r="E835" s="2" t="s">
        <v>18</v>
      </c>
      <c r="F835" s="19">
        <v>5</v>
      </c>
      <c r="G835" s="2"/>
      <c r="H835" s="2"/>
      <c r="I835" s="2"/>
      <c r="J835" s="38"/>
      <c r="K835" s="2"/>
      <c r="L835" s="2"/>
      <c r="M835" s="2"/>
      <c r="N835" s="2"/>
      <c r="O835" s="2" t="s">
        <v>91</v>
      </c>
      <c r="P835" s="2" t="s">
        <v>1061</v>
      </c>
      <c r="Q835" s="2"/>
      <c r="R835" s="38">
        <v>45923</v>
      </c>
      <c r="S835" s="2">
        <v>3</v>
      </c>
      <c r="T835" s="2">
        <v>75</v>
      </c>
    </row>
    <row r="836" spans="1:20" x14ac:dyDescent="0.2">
      <c r="A836" s="49" t="str">
        <f t="shared" si="31"/>
        <v>08/5</v>
      </c>
      <c r="B836" s="19" t="s">
        <v>973</v>
      </c>
      <c r="C836" s="19" t="s">
        <v>76</v>
      </c>
      <c r="D836" s="19" t="s">
        <v>76</v>
      </c>
      <c r="E836" s="2" t="s">
        <v>1042</v>
      </c>
      <c r="F836" s="19">
        <v>5</v>
      </c>
      <c r="G836" s="2"/>
      <c r="H836" s="2"/>
      <c r="I836" s="2"/>
      <c r="J836" s="38"/>
      <c r="K836" s="2"/>
      <c r="L836" s="2"/>
      <c r="M836" s="2"/>
      <c r="N836" s="2"/>
      <c r="O836" s="2" t="s">
        <v>91</v>
      </c>
      <c r="P836" s="2" t="s">
        <v>1065</v>
      </c>
      <c r="Q836" s="2"/>
      <c r="R836" s="38">
        <v>45923</v>
      </c>
      <c r="S836" s="2">
        <v>8</v>
      </c>
      <c r="T836" s="2">
        <v>200</v>
      </c>
    </row>
    <row r="837" spans="1:20" x14ac:dyDescent="0.2">
      <c r="A837" s="49" t="str">
        <f t="shared" si="31"/>
        <v>08/5</v>
      </c>
      <c r="B837" s="19" t="s">
        <v>973</v>
      </c>
      <c r="C837" s="19" t="s">
        <v>76</v>
      </c>
      <c r="D837" s="19" t="s">
        <v>76</v>
      </c>
      <c r="E837" s="2" t="s">
        <v>1042</v>
      </c>
      <c r="F837" s="19">
        <v>5</v>
      </c>
      <c r="G837" s="2"/>
      <c r="H837" s="2"/>
      <c r="I837" s="2"/>
      <c r="J837" s="38"/>
      <c r="K837" s="2"/>
      <c r="L837" s="2"/>
      <c r="M837" s="2"/>
      <c r="N837" s="2"/>
      <c r="O837" s="2" t="s">
        <v>91</v>
      </c>
      <c r="P837" s="2" t="s">
        <v>1066</v>
      </c>
      <c r="Q837" s="2"/>
      <c r="R837" s="38">
        <v>45923</v>
      </c>
      <c r="S837" s="2">
        <v>1</v>
      </c>
      <c r="T837" s="2">
        <v>25</v>
      </c>
    </row>
    <row r="838" spans="1:20" x14ac:dyDescent="0.2">
      <c r="A838" s="49" t="str">
        <f t="shared" ref="A838:A901" si="32">CONCATENATE(E838,"/",F838)</f>
        <v>07/5</v>
      </c>
      <c r="B838" s="19" t="s">
        <v>973</v>
      </c>
      <c r="C838" s="19" t="s">
        <v>76</v>
      </c>
      <c r="D838" s="19" t="s">
        <v>76</v>
      </c>
      <c r="E838" s="2" t="s">
        <v>1041</v>
      </c>
      <c r="F838" s="19">
        <v>5</v>
      </c>
      <c r="G838" s="2"/>
      <c r="H838" s="2"/>
      <c r="I838" s="2"/>
      <c r="J838" s="38"/>
      <c r="K838" s="2"/>
      <c r="L838" s="2"/>
      <c r="M838" s="2"/>
      <c r="N838" s="2"/>
      <c r="O838" s="2" t="s">
        <v>91</v>
      </c>
      <c r="P838" s="2" t="s">
        <v>1059</v>
      </c>
      <c r="Q838" s="2"/>
      <c r="R838" s="38">
        <v>45923</v>
      </c>
      <c r="S838" s="2">
        <v>1</v>
      </c>
      <c r="T838" s="2">
        <v>25</v>
      </c>
    </row>
    <row r="839" spans="1:20" x14ac:dyDescent="0.2">
      <c r="A839" s="49" t="str">
        <f t="shared" si="32"/>
        <v>07/5</v>
      </c>
      <c r="B839" s="19" t="s">
        <v>973</v>
      </c>
      <c r="C839" s="19" t="s">
        <v>76</v>
      </c>
      <c r="D839" s="19" t="s">
        <v>76</v>
      </c>
      <c r="E839" s="2" t="s">
        <v>1041</v>
      </c>
      <c r="F839" s="19">
        <v>5</v>
      </c>
      <c r="G839" s="2"/>
      <c r="H839" s="2"/>
      <c r="I839" s="2"/>
      <c r="J839" s="38"/>
      <c r="K839" s="2"/>
      <c r="L839" s="2"/>
      <c r="M839" s="2"/>
      <c r="N839" s="2"/>
      <c r="O839" s="2" t="s">
        <v>91</v>
      </c>
      <c r="P839" s="2" t="s">
        <v>1067</v>
      </c>
      <c r="Q839" s="2"/>
      <c r="R839" s="38">
        <v>45923</v>
      </c>
      <c r="S839" s="2">
        <v>10</v>
      </c>
      <c r="T839" s="2">
        <v>250</v>
      </c>
    </row>
    <row r="840" spans="1:20" x14ac:dyDescent="0.2">
      <c r="A840" s="49" t="str">
        <f t="shared" si="32"/>
        <v>10/5</v>
      </c>
      <c r="B840" s="19" t="s">
        <v>84</v>
      </c>
      <c r="C840" s="19" t="s">
        <v>76</v>
      </c>
      <c r="D840" s="19" t="s">
        <v>76</v>
      </c>
      <c r="E840" s="2" t="s">
        <v>16</v>
      </c>
      <c r="F840" s="19">
        <v>5</v>
      </c>
      <c r="G840" s="2"/>
      <c r="H840" s="2"/>
      <c r="I840" s="2"/>
      <c r="J840" s="38"/>
      <c r="K840" s="2"/>
      <c r="L840" s="2"/>
      <c r="M840" s="2"/>
      <c r="N840" s="2"/>
      <c r="O840" s="2" t="s">
        <v>91</v>
      </c>
      <c r="P840" s="2" t="s">
        <v>1060</v>
      </c>
      <c r="Q840" s="2"/>
      <c r="R840" s="38">
        <v>45923</v>
      </c>
      <c r="S840" s="2">
        <v>9</v>
      </c>
      <c r="T840" s="2">
        <v>225</v>
      </c>
    </row>
    <row r="841" spans="1:20" x14ac:dyDescent="0.2">
      <c r="A841" s="49" t="str">
        <f t="shared" si="32"/>
        <v>9/5</v>
      </c>
      <c r="B841" s="19" t="s">
        <v>84</v>
      </c>
      <c r="C841" s="19" t="s">
        <v>76</v>
      </c>
      <c r="D841" s="19" t="s">
        <v>76</v>
      </c>
      <c r="E841" s="2" t="s">
        <v>17</v>
      </c>
      <c r="F841" s="19">
        <v>5</v>
      </c>
      <c r="G841" s="2"/>
      <c r="H841" s="2"/>
      <c r="I841" s="2"/>
      <c r="J841" s="38"/>
      <c r="K841" s="2"/>
      <c r="L841" s="2"/>
      <c r="M841" s="2"/>
      <c r="N841" s="2"/>
      <c r="O841" s="2" t="s">
        <v>91</v>
      </c>
      <c r="P841" s="2" t="s">
        <v>851</v>
      </c>
      <c r="Q841" s="2"/>
      <c r="R841" s="38">
        <v>45923</v>
      </c>
      <c r="S841" s="2">
        <v>6</v>
      </c>
      <c r="T841" s="2">
        <v>150</v>
      </c>
    </row>
    <row r="842" spans="1:20" x14ac:dyDescent="0.2">
      <c r="A842" s="49" t="str">
        <f t="shared" si="32"/>
        <v>3/5</v>
      </c>
      <c r="B842" s="19" t="s">
        <v>1037</v>
      </c>
      <c r="C842" s="19" t="s">
        <v>76</v>
      </c>
      <c r="D842" s="19" t="s">
        <v>76</v>
      </c>
      <c r="E842" s="2">
        <v>3</v>
      </c>
      <c r="F842" s="19">
        <v>5</v>
      </c>
      <c r="G842" s="2"/>
      <c r="H842" s="2"/>
      <c r="I842" s="2"/>
      <c r="J842" s="38"/>
      <c r="K842" s="2"/>
      <c r="L842" s="2"/>
      <c r="M842" s="2"/>
      <c r="N842" s="2"/>
      <c r="O842" s="2" t="s">
        <v>91</v>
      </c>
      <c r="P842" s="2" t="s">
        <v>1068</v>
      </c>
      <c r="Q842" s="2"/>
      <c r="R842" s="38">
        <v>45923</v>
      </c>
      <c r="S842" s="2">
        <v>3</v>
      </c>
      <c r="T842" s="2">
        <v>75</v>
      </c>
    </row>
    <row r="843" spans="1:20" x14ac:dyDescent="0.2">
      <c r="A843" s="49" t="str">
        <f t="shared" si="32"/>
        <v>4.5/4.5</v>
      </c>
      <c r="B843" s="19" t="s">
        <v>972</v>
      </c>
      <c r="C843" s="19" t="s">
        <v>76</v>
      </c>
      <c r="D843" s="19" t="s">
        <v>76</v>
      </c>
      <c r="E843" s="2">
        <v>4.5</v>
      </c>
      <c r="F843" s="19">
        <v>4.5</v>
      </c>
      <c r="G843" s="2"/>
      <c r="H843" s="2"/>
      <c r="I843" s="2"/>
      <c r="J843" s="38"/>
      <c r="K843" s="2"/>
      <c r="L843" s="2"/>
      <c r="M843" s="2"/>
      <c r="N843" s="2"/>
      <c r="O843" s="2" t="s">
        <v>91</v>
      </c>
      <c r="P843" s="2" t="s">
        <v>1064</v>
      </c>
      <c r="Q843" s="2"/>
      <c r="R843" s="38">
        <v>45923</v>
      </c>
      <c r="S843" s="2">
        <v>2</v>
      </c>
      <c r="T843" s="2">
        <v>37.6</v>
      </c>
    </row>
    <row r="844" spans="1:20" x14ac:dyDescent="0.2">
      <c r="A844" s="49" t="str">
        <f t="shared" si="32"/>
        <v>3/5</v>
      </c>
      <c r="B844" s="19" t="s">
        <v>83</v>
      </c>
      <c r="C844" s="19" t="s">
        <v>76</v>
      </c>
      <c r="D844" s="19" t="s">
        <v>76</v>
      </c>
      <c r="E844" s="2" t="s">
        <v>27</v>
      </c>
      <c r="F844" s="19">
        <v>5</v>
      </c>
      <c r="G844" s="2"/>
      <c r="H844" s="2"/>
      <c r="I844" s="2"/>
      <c r="J844" s="38"/>
      <c r="K844" s="2"/>
      <c r="L844" s="2"/>
      <c r="M844" s="2"/>
      <c r="N844" s="2"/>
      <c r="O844" s="2" t="s">
        <v>91</v>
      </c>
      <c r="P844" s="2" t="s">
        <v>518</v>
      </c>
      <c r="Q844" s="2"/>
      <c r="R844" s="38">
        <v>45923</v>
      </c>
      <c r="S844" s="2">
        <v>4</v>
      </c>
      <c r="T844" s="2">
        <v>80</v>
      </c>
    </row>
    <row r="845" spans="1:20" x14ac:dyDescent="0.2">
      <c r="A845" s="49" t="str">
        <f t="shared" si="32"/>
        <v>6/5</v>
      </c>
      <c r="B845" s="19" t="s">
        <v>84</v>
      </c>
      <c r="C845" s="19" t="s">
        <v>76</v>
      </c>
      <c r="D845" s="19" t="s">
        <v>76</v>
      </c>
      <c r="E845" s="2" t="s">
        <v>20</v>
      </c>
      <c r="F845" s="19">
        <v>5</v>
      </c>
      <c r="G845" s="2"/>
      <c r="H845" s="2"/>
      <c r="I845" s="2"/>
      <c r="J845" s="38"/>
      <c r="K845" s="2"/>
      <c r="L845" s="2"/>
      <c r="M845" s="2"/>
      <c r="N845" s="2"/>
      <c r="O845" s="2" t="s">
        <v>91</v>
      </c>
      <c r="P845" s="2" t="s">
        <v>854</v>
      </c>
      <c r="Q845" s="2"/>
      <c r="R845" s="38">
        <v>45924</v>
      </c>
      <c r="S845" s="2">
        <v>13</v>
      </c>
      <c r="T845" s="2">
        <v>325</v>
      </c>
    </row>
    <row r="846" spans="1:20" x14ac:dyDescent="0.2">
      <c r="A846" s="49" t="str">
        <f t="shared" si="32"/>
        <v>9/4.5</v>
      </c>
      <c r="B846" s="19" t="s">
        <v>1038</v>
      </c>
      <c r="C846" s="19" t="s">
        <v>76</v>
      </c>
      <c r="D846" s="19" t="s">
        <v>76</v>
      </c>
      <c r="E846" s="2">
        <v>9</v>
      </c>
      <c r="F846" s="19">
        <v>4.5</v>
      </c>
      <c r="G846" s="2"/>
      <c r="H846" s="2"/>
      <c r="I846" s="2"/>
      <c r="J846" s="38"/>
      <c r="K846" s="2"/>
      <c r="L846" s="2"/>
      <c r="M846" s="2"/>
      <c r="N846" s="2"/>
      <c r="O846" s="2" t="s">
        <v>91</v>
      </c>
      <c r="P846" s="2" t="s">
        <v>1069</v>
      </c>
      <c r="Q846" s="2"/>
      <c r="R846" s="38">
        <v>45924</v>
      </c>
      <c r="S846" s="2">
        <v>2</v>
      </c>
      <c r="T846" s="2">
        <v>50</v>
      </c>
    </row>
    <row r="847" spans="1:20" x14ac:dyDescent="0.2">
      <c r="A847" s="49" t="str">
        <f t="shared" si="32"/>
        <v>9/5</v>
      </c>
      <c r="B847" s="19" t="s">
        <v>84</v>
      </c>
      <c r="C847" s="19" t="s">
        <v>76</v>
      </c>
      <c r="D847" s="19" t="s">
        <v>76</v>
      </c>
      <c r="E847" s="2" t="s">
        <v>17</v>
      </c>
      <c r="F847" s="19">
        <v>5</v>
      </c>
      <c r="G847" s="2"/>
      <c r="H847" s="2"/>
      <c r="I847" s="2"/>
      <c r="J847" s="38"/>
      <c r="K847" s="2"/>
      <c r="L847" s="2"/>
      <c r="M847" s="2"/>
      <c r="N847" s="2"/>
      <c r="O847" s="2" t="s">
        <v>91</v>
      </c>
      <c r="P847" s="2" t="s">
        <v>851</v>
      </c>
      <c r="Q847" s="2"/>
      <c r="R847" s="38">
        <v>45924</v>
      </c>
      <c r="S847" s="2">
        <v>3</v>
      </c>
      <c r="T847" s="2">
        <v>75</v>
      </c>
    </row>
    <row r="848" spans="1:20" x14ac:dyDescent="0.2">
      <c r="A848" s="49" t="str">
        <f t="shared" si="32"/>
        <v>10/5</v>
      </c>
      <c r="B848" s="19" t="s">
        <v>84</v>
      </c>
      <c r="C848" s="19" t="s">
        <v>76</v>
      </c>
      <c r="D848" s="19" t="s">
        <v>76</v>
      </c>
      <c r="E848" s="2" t="s">
        <v>16</v>
      </c>
      <c r="F848" s="19">
        <v>5</v>
      </c>
      <c r="G848" s="2"/>
      <c r="H848" s="2"/>
      <c r="I848" s="2"/>
      <c r="J848" s="38"/>
      <c r="K848" s="2"/>
      <c r="L848" s="2"/>
      <c r="M848" s="2"/>
      <c r="N848" s="2"/>
      <c r="O848" s="2" t="s">
        <v>91</v>
      </c>
      <c r="P848" s="2" t="s">
        <v>1046</v>
      </c>
      <c r="Q848" s="2"/>
      <c r="R848" s="38">
        <v>45924</v>
      </c>
      <c r="S848" s="2">
        <v>4</v>
      </c>
      <c r="T848" s="2">
        <v>100</v>
      </c>
    </row>
    <row r="849" spans="1:20" x14ac:dyDescent="0.2">
      <c r="A849" s="49" t="str">
        <f t="shared" si="32"/>
        <v>10/5</v>
      </c>
      <c r="B849" s="19" t="s">
        <v>84</v>
      </c>
      <c r="C849" s="19" t="s">
        <v>76</v>
      </c>
      <c r="D849" s="19" t="s">
        <v>76</v>
      </c>
      <c r="E849" s="2" t="s">
        <v>16</v>
      </c>
      <c r="F849" s="19">
        <v>5</v>
      </c>
      <c r="G849" s="2"/>
      <c r="H849" s="2"/>
      <c r="I849" s="2"/>
      <c r="J849" s="38"/>
      <c r="K849" s="2"/>
      <c r="L849" s="2"/>
      <c r="M849" s="2"/>
      <c r="N849" s="2"/>
      <c r="O849" s="2" t="s">
        <v>91</v>
      </c>
      <c r="P849" s="2" t="s">
        <v>1060</v>
      </c>
      <c r="Q849" s="2"/>
      <c r="R849" s="38">
        <v>45924</v>
      </c>
      <c r="S849" s="2">
        <v>2</v>
      </c>
      <c r="T849" s="2">
        <v>50</v>
      </c>
    </row>
    <row r="850" spans="1:20" x14ac:dyDescent="0.2">
      <c r="A850" s="49" t="str">
        <f t="shared" si="32"/>
        <v>08/5</v>
      </c>
      <c r="B850" s="19" t="s">
        <v>973</v>
      </c>
      <c r="C850" s="19" t="s">
        <v>76</v>
      </c>
      <c r="D850" s="19" t="s">
        <v>76</v>
      </c>
      <c r="E850" s="2" t="s">
        <v>1042</v>
      </c>
      <c r="F850" s="19">
        <v>5</v>
      </c>
      <c r="G850" s="2"/>
      <c r="H850" s="2"/>
      <c r="I850" s="2"/>
      <c r="J850" s="38"/>
      <c r="K850" s="2"/>
      <c r="L850" s="2"/>
      <c r="M850" s="2"/>
      <c r="N850" s="2"/>
      <c r="O850" s="2" t="s">
        <v>91</v>
      </c>
      <c r="P850" s="2" t="s">
        <v>1066</v>
      </c>
      <c r="Q850" s="2"/>
      <c r="R850" s="38">
        <v>45924</v>
      </c>
      <c r="S850" s="2">
        <v>15</v>
      </c>
      <c r="T850" s="2">
        <v>375</v>
      </c>
    </row>
    <row r="851" spans="1:20" x14ac:dyDescent="0.2">
      <c r="A851" s="49" t="str">
        <f t="shared" si="32"/>
        <v>7/5</v>
      </c>
      <c r="B851" s="19" t="s">
        <v>84</v>
      </c>
      <c r="C851" s="19" t="s">
        <v>76</v>
      </c>
      <c r="D851" s="19" t="s">
        <v>76</v>
      </c>
      <c r="E851" s="2" t="s">
        <v>19</v>
      </c>
      <c r="F851" s="19">
        <v>5</v>
      </c>
      <c r="G851" s="2"/>
      <c r="H851" s="2"/>
      <c r="I851" s="2"/>
      <c r="J851" s="38"/>
      <c r="K851" s="2"/>
      <c r="L851" s="2"/>
      <c r="M851" s="2"/>
      <c r="N851" s="2"/>
      <c r="O851" s="2" t="s">
        <v>91</v>
      </c>
      <c r="P851" s="2" t="s">
        <v>1070</v>
      </c>
      <c r="Q851" s="2"/>
      <c r="R851" s="38">
        <v>45924</v>
      </c>
      <c r="S851" s="2">
        <v>13</v>
      </c>
      <c r="T851" s="2">
        <v>325</v>
      </c>
    </row>
    <row r="852" spans="1:20" x14ac:dyDescent="0.2">
      <c r="A852" s="49" t="str">
        <f t="shared" si="32"/>
        <v>05/5</v>
      </c>
      <c r="B852" s="19" t="s">
        <v>973</v>
      </c>
      <c r="C852" s="19" t="s">
        <v>76</v>
      </c>
      <c r="D852" s="19" t="s">
        <v>76</v>
      </c>
      <c r="E852" s="2" t="s">
        <v>976</v>
      </c>
      <c r="F852" s="19">
        <v>5</v>
      </c>
      <c r="G852" s="2"/>
      <c r="H852" s="2"/>
      <c r="I852" s="2"/>
      <c r="J852" s="38"/>
      <c r="K852" s="2"/>
      <c r="L852" s="2"/>
      <c r="M852" s="2"/>
      <c r="N852" s="2"/>
      <c r="O852" s="2" t="s">
        <v>91</v>
      </c>
      <c r="P852" s="2" t="s">
        <v>1071</v>
      </c>
      <c r="Q852" s="2"/>
      <c r="R852" s="38">
        <v>45924</v>
      </c>
      <c r="S852" s="2">
        <v>8</v>
      </c>
      <c r="T852" s="2">
        <v>200</v>
      </c>
    </row>
    <row r="853" spans="1:20" x14ac:dyDescent="0.2">
      <c r="A853" s="49" t="str">
        <f t="shared" si="32"/>
        <v>2.5/5</v>
      </c>
      <c r="B853" s="19" t="s">
        <v>168</v>
      </c>
      <c r="C853" s="19" t="s">
        <v>76</v>
      </c>
      <c r="D853" s="19" t="s">
        <v>76</v>
      </c>
      <c r="E853" s="2">
        <v>2.5</v>
      </c>
      <c r="F853" s="19">
        <v>5</v>
      </c>
      <c r="G853" s="2"/>
      <c r="H853" s="2"/>
      <c r="I853" s="2"/>
      <c r="J853" s="38"/>
      <c r="K853" s="2"/>
      <c r="L853" s="2"/>
      <c r="M853" s="2"/>
      <c r="N853" s="2"/>
      <c r="O853" s="2" t="s">
        <v>91</v>
      </c>
      <c r="P853" s="2" t="s">
        <v>1072</v>
      </c>
      <c r="Q853" s="2"/>
      <c r="R853" s="38">
        <v>45924</v>
      </c>
      <c r="S853" s="2">
        <v>8</v>
      </c>
      <c r="T853" s="2">
        <v>200</v>
      </c>
    </row>
    <row r="854" spans="1:20" x14ac:dyDescent="0.2">
      <c r="A854" s="49" t="str">
        <f t="shared" si="32"/>
        <v>2.5/5</v>
      </c>
      <c r="B854" s="19" t="s">
        <v>168</v>
      </c>
      <c r="C854" s="19" t="s">
        <v>76</v>
      </c>
      <c r="D854" s="19" t="s">
        <v>76</v>
      </c>
      <c r="E854" s="2">
        <v>2.5</v>
      </c>
      <c r="F854" s="19">
        <v>5</v>
      </c>
      <c r="G854" s="2"/>
      <c r="H854" s="2"/>
      <c r="I854" s="2"/>
      <c r="J854" s="38"/>
      <c r="K854" s="2"/>
      <c r="L854" s="2"/>
      <c r="M854" s="2"/>
      <c r="N854" s="2"/>
      <c r="O854" s="2" t="s">
        <v>91</v>
      </c>
      <c r="P854" s="2" t="s">
        <v>1073</v>
      </c>
      <c r="Q854" s="2"/>
      <c r="R854" s="38">
        <v>45924</v>
      </c>
      <c r="S854" s="2">
        <v>8</v>
      </c>
      <c r="T854" s="2">
        <v>200</v>
      </c>
    </row>
    <row r="855" spans="1:20" x14ac:dyDescent="0.2">
      <c r="A855" s="49" t="str">
        <f t="shared" si="32"/>
        <v>18/5</v>
      </c>
      <c r="B855" s="19" t="s">
        <v>1039</v>
      </c>
      <c r="C855" s="19" t="s">
        <v>76</v>
      </c>
      <c r="D855" s="19" t="s">
        <v>76</v>
      </c>
      <c r="E855" s="2">
        <v>18</v>
      </c>
      <c r="F855" s="19">
        <v>5</v>
      </c>
      <c r="G855" s="2"/>
      <c r="H855" s="2"/>
      <c r="I855" s="2"/>
      <c r="J855" s="38"/>
      <c r="K855" s="2"/>
      <c r="L855" s="2"/>
      <c r="M855" s="2"/>
      <c r="N855" s="2"/>
      <c r="O855" s="2" t="s">
        <v>91</v>
      </c>
      <c r="P855" s="2" t="s">
        <v>1074</v>
      </c>
      <c r="Q855" s="2"/>
      <c r="R855" s="38">
        <v>45925</v>
      </c>
      <c r="S855" s="2">
        <v>4</v>
      </c>
      <c r="T855" s="2">
        <v>100</v>
      </c>
    </row>
    <row r="856" spans="1:20" x14ac:dyDescent="0.2">
      <c r="A856" s="49" t="str">
        <f t="shared" si="32"/>
        <v>16/5</v>
      </c>
      <c r="B856" s="19" t="s">
        <v>1040</v>
      </c>
      <c r="C856" s="19" t="s">
        <v>76</v>
      </c>
      <c r="D856" s="19" t="s">
        <v>76</v>
      </c>
      <c r="E856" s="2">
        <v>16</v>
      </c>
      <c r="F856" s="19">
        <v>5</v>
      </c>
      <c r="G856" s="2"/>
      <c r="H856" s="2"/>
      <c r="I856" s="2"/>
      <c r="J856" s="38"/>
      <c r="K856" s="2"/>
      <c r="L856" s="2"/>
      <c r="M856" s="2"/>
      <c r="N856" s="2"/>
      <c r="O856" s="2" t="s">
        <v>91</v>
      </c>
      <c r="P856" s="2" t="s">
        <v>1075</v>
      </c>
      <c r="Q856" s="2"/>
      <c r="R856" s="38">
        <v>45925</v>
      </c>
      <c r="S856" s="2">
        <v>4</v>
      </c>
      <c r="T856" s="2">
        <v>100</v>
      </c>
    </row>
    <row r="857" spans="1:20" x14ac:dyDescent="0.2">
      <c r="A857" s="49" t="str">
        <f t="shared" si="32"/>
        <v>6/5</v>
      </c>
      <c r="B857" s="19" t="s">
        <v>84</v>
      </c>
      <c r="C857" s="19" t="s">
        <v>76</v>
      </c>
      <c r="D857" s="19" t="s">
        <v>76</v>
      </c>
      <c r="E857" s="2" t="s">
        <v>20</v>
      </c>
      <c r="F857" s="19">
        <v>5</v>
      </c>
      <c r="G857" s="2"/>
      <c r="H857" s="2"/>
      <c r="I857" s="2"/>
      <c r="J857" s="38"/>
      <c r="K857" s="2"/>
      <c r="L857" s="2"/>
      <c r="M857" s="2"/>
      <c r="N857" s="2"/>
      <c r="O857" s="2" t="s">
        <v>91</v>
      </c>
      <c r="P857" s="2" t="s">
        <v>854</v>
      </c>
      <c r="Q857" s="2"/>
      <c r="R857" s="38">
        <v>45925</v>
      </c>
      <c r="S857" s="2">
        <v>3</v>
      </c>
      <c r="T857" s="2">
        <v>75</v>
      </c>
    </row>
    <row r="858" spans="1:20" x14ac:dyDescent="0.2">
      <c r="A858" s="49" t="str">
        <f t="shared" si="32"/>
        <v>6/5</v>
      </c>
      <c r="B858" s="19" t="s">
        <v>1039</v>
      </c>
      <c r="C858" s="19" t="s">
        <v>76</v>
      </c>
      <c r="D858" s="19" t="s">
        <v>76</v>
      </c>
      <c r="E858" s="2">
        <v>6</v>
      </c>
      <c r="F858" s="19">
        <v>5</v>
      </c>
      <c r="G858" s="2"/>
      <c r="H858" s="2"/>
      <c r="I858" s="2"/>
      <c r="J858" s="38"/>
      <c r="K858" s="2"/>
      <c r="L858" s="2"/>
      <c r="M858" s="2"/>
      <c r="N858" s="2"/>
      <c r="O858" s="2" t="s">
        <v>91</v>
      </c>
      <c r="P858" s="2" t="s">
        <v>1076</v>
      </c>
      <c r="Q858" s="2"/>
      <c r="R858" s="38">
        <v>45925</v>
      </c>
      <c r="S858" s="2">
        <v>4</v>
      </c>
      <c r="T858" s="2">
        <v>100</v>
      </c>
    </row>
    <row r="859" spans="1:20" x14ac:dyDescent="0.2">
      <c r="A859" s="49" t="str">
        <f t="shared" si="32"/>
        <v>8/5</v>
      </c>
      <c r="B859" s="19" t="s">
        <v>83</v>
      </c>
      <c r="C859" s="19" t="s">
        <v>76</v>
      </c>
      <c r="D859" s="19" t="s">
        <v>76</v>
      </c>
      <c r="E859" s="2" t="s">
        <v>18</v>
      </c>
      <c r="F859" s="19">
        <v>5</v>
      </c>
      <c r="G859" s="2"/>
      <c r="H859" s="2"/>
      <c r="I859" s="2"/>
      <c r="J859" s="38"/>
      <c r="K859" s="2"/>
      <c r="L859" s="2"/>
      <c r="M859" s="2"/>
      <c r="N859" s="2"/>
      <c r="O859" s="2" t="s">
        <v>91</v>
      </c>
      <c r="P859" s="2" t="s">
        <v>1077</v>
      </c>
      <c r="Q859" s="2"/>
      <c r="R859" s="38">
        <v>45925</v>
      </c>
      <c r="S859" s="2">
        <v>10</v>
      </c>
      <c r="T859" s="2">
        <v>250</v>
      </c>
    </row>
    <row r="860" spans="1:20" x14ac:dyDescent="0.2">
      <c r="A860" s="49" t="str">
        <f t="shared" si="32"/>
        <v>8/4.5</v>
      </c>
      <c r="B860" s="19" t="s">
        <v>972</v>
      </c>
      <c r="C860" s="19" t="s">
        <v>76</v>
      </c>
      <c r="D860" s="19" t="s">
        <v>76</v>
      </c>
      <c r="E860" s="2">
        <v>8</v>
      </c>
      <c r="F860" s="19">
        <v>4.5</v>
      </c>
      <c r="G860" s="2"/>
      <c r="H860" s="2"/>
      <c r="I860" s="2"/>
      <c r="J860" s="38"/>
      <c r="K860" s="2"/>
      <c r="L860" s="2"/>
      <c r="M860" s="2"/>
      <c r="N860" s="2"/>
      <c r="O860" s="2" t="s">
        <v>91</v>
      </c>
      <c r="P860" s="2" t="s">
        <v>1078</v>
      </c>
      <c r="Q860" s="2"/>
      <c r="R860" s="38">
        <v>45925</v>
      </c>
      <c r="S860" s="2">
        <v>7</v>
      </c>
      <c r="T860" s="2">
        <v>175</v>
      </c>
    </row>
    <row r="861" spans="1:20" x14ac:dyDescent="0.2">
      <c r="A861" s="49" t="str">
        <f t="shared" si="32"/>
        <v>9/5</v>
      </c>
      <c r="B861" s="19" t="s">
        <v>84</v>
      </c>
      <c r="C861" s="19" t="s">
        <v>76</v>
      </c>
      <c r="D861" s="19" t="s">
        <v>76</v>
      </c>
      <c r="E861" s="2" t="s">
        <v>17</v>
      </c>
      <c r="F861" s="19">
        <v>5</v>
      </c>
      <c r="G861" s="2"/>
      <c r="H861" s="2"/>
      <c r="I861" s="2"/>
      <c r="J861" s="38"/>
      <c r="K861" s="2"/>
      <c r="L861" s="2"/>
      <c r="M861" s="2"/>
      <c r="N861" s="2"/>
      <c r="O861" s="2" t="s">
        <v>91</v>
      </c>
      <c r="P861" s="2" t="s">
        <v>851</v>
      </c>
      <c r="Q861" s="2"/>
      <c r="R861" s="38">
        <v>45925</v>
      </c>
      <c r="S861" s="2">
        <v>7</v>
      </c>
      <c r="T861" s="2">
        <v>175</v>
      </c>
    </row>
    <row r="862" spans="1:20" x14ac:dyDescent="0.2">
      <c r="A862" s="49" t="str">
        <f t="shared" si="32"/>
        <v>9/7</v>
      </c>
      <c r="B862" s="19" t="s">
        <v>977</v>
      </c>
      <c r="C862" s="19" t="s">
        <v>76</v>
      </c>
      <c r="D862" s="19" t="s">
        <v>76</v>
      </c>
      <c r="E862" s="2">
        <v>9</v>
      </c>
      <c r="F862" s="19">
        <v>7</v>
      </c>
      <c r="G862" s="2"/>
      <c r="H862" s="2"/>
      <c r="I862" s="2"/>
      <c r="J862" s="38"/>
      <c r="K862" s="2"/>
      <c r="L862" s="2"/>
      <c r="M862" s="2"/>
      <c r="N862" s="2"/>
      <c r="O862" s="2" t="s">
        <v>91</v>
      </c>
      <c r="P862" s="2" t="s">
        <v>1007</v>
      </c>
      <c r="Q862" s="2"/>
      <c r="R862" s="38">
        <v>45925</v>
      </c>
      <c r="S862" s="2">
        <v>4</v>
      </c>
      <c r="T862" s="2">
        <v>108.5</v>
      </c>
    </row>
    <row r="863" spans="1:20" x14ac:dyDescent="0.2">
      <c r="A863" s="49" t="str">
        <f t="shared" si="32"/>
        <v>7/5</v>
      </c>
      <c r="B863" s="19" t="s">
        <v>83</v>
      </c>
      <c r="C863" s="19" t="s">
        <v>76</v>
      </c>
      <c r="D863" s="19" t="s">
        <v>76</v>
      </c>
      <c r="E863" s="2" t="s">
        <v>19</v>
      </c>
      <c r="F863" s="19">
        <v>5</v>
      </c>
      <c r="G863" s="2"/>
      <c r="H863" s="2"/>
      <c r="I863" s="2"/>
      <c r="J863" s="38"/>
      <c r="K863" s="2"/>
      <c r="L863" s="2"/>
      <c r="M863" s="2"/>
      <c r="N863" s="2"/>
      <c r="O863" s="2" t="s">
        <v>91</v>
      </c>
      <c r="P863" s="2" t="s">
        <v>1079</v>
      </c>
      <c r="Q863" s="2"/>
      <c r="R863" s="38">
        <v>45925</v>
      </c>
      <c r="S863" s="2">
        <v>7</v>
      </c>
      <c r="T863" s="2">
        <v>175</v>
      </c>
    </row>
    <row r="864" spans="1:20" x14ac:dyDescent="0.2">
      <c r="A864" s="49" t="str">
        <f t="shared" si="32"/>
        <v>7/5</v>
      </c>
      <c r="B864" s="19" t="s">
        <v>84</v>
      </c>
      <c r="C864" s="19" t="s">
        <v>76</v>
      </c>
      <c r="D864" s="19" t="s">
        <v>76</v>
      </c>
      <c r="E864" s="2" t="s">
        <v>19</v>
      </c>
      <c r="F864" s="19">
        <v>5</v>
      </c>
      <c r="G864" s="2"/>
      <c r="H864" s="2"/>
      <c r="I864" s="2"/>
      <c r="J864" s="38"/>
      <c r="K864" s="2"/>
      <c r="L864" s="2"/>
      <c r="M864" s="2"/>
      <c r="N864" s="2"/>
      <c r="O864" s="2" t="s">
        <v>91</v>
      </c>
      <c r="P864" s="2" t="s">
        <v>1070</v>
      </c>
      <c r="Q864" s="2"/>
      <c r="R864" s="38">
        <v>45925</v>
      </c>
      <c r="S864" s="2">
        <v>7</v>
      </c>
      <c r="T864" s="2">
        <v>175</v>
      </c>
    </row>
    <row r="865" spans="1:20" x14ac:dyDescent="0.2">
      <c r="A865" s="49" t="str">
        <f t="shared" si="32"/>
        <v>2.5/5</v>
      </c>
      <c r="B865" s="19" t="s">
        <v>168</v>
      </c>
      <c r="C865" s="19" t="s">
        <v>76</v>
      </c>
      <c r="D865" s="19" t="s">
        <v>76</v>
      </c>
      <c r="E865" s="2">
        <v>2.5</v>
      </c>
      <c r="F865" s="19">
        <v>5</v>
      </c>
      <c r="G865" s="2"/>
      <c r="H865" s="2"/>
      <c r="I865" s="2"/>
      <c r="J865" s="38"/>
      <c r="K865" s="2"/>
      <c r="L865" s="2"/>
      <c r="M865" s="2"/>
      <c r="N865" s="2"/>
      <c r="O865" s="2" t="s">
        <v>91</v>
      </c>
      <c r="P865" s="2" t="s">
        <v>1073</v>
      </c>
      <c r="Q865" s="2"/>
      <c r="R865" s="38">
        <v>45925</v>
      </c>
      <c r="S865" s="2">
        <v>13</v>
      </c>
      <c r="T865" s="2">
        <v>325</v>
      </c>
    </row>
    <row r="866" spans="1:20" x14ac:dyDescent="0.2">
      <c r="A866" s="49" t="str">
        <f t="shared" si="32"/>
        <v>05/14</v>
      </c>
      <c r="B866" s="19" t="s">
        <v>973</v>
      </c>
      <c r="C866" s="19" t="s">
        <v>76</v>
      </c>
      <c r="D866" s="19" t="s">
        <v>76</v>
      </c>
      <c r="E866" s="2" t="s">
        <v>976</v>
      </c>
      <c r="F866" s="19">
        <v>14</v>
      </c>
      <c r="G866" s="2"/>
      <c r="H866" s="2"/>
      <c r="I866" s="2"/>
      <c r="J866" s="38"/>
      <c r="K866" s="2"/>
      <c r="L866" s="2"/>
      <c r="M866" s="2"/>
      <c r="N866" s="2"/>
      <c r="O866" s="2" t="s">
        <v>91</v>
      </c>
      <c r="P866" s="2" t="s">
        <v>1006</v>
      </c>
      <c r="Q866" s="2"/>
      <c r="R866" s="38">
        <v>45925</v>
      </c>
      <c r="S866" s="2">
        <v>6</v>
      </c>
      <c r="T866" s="2">
        <v>150</v>
      </c>
    </row>
    <row r="867" spans="1:20" x14ac:dyDescent="0.2">
      <c r="A867" s="49" t="str">
        <f t="shared" si="32"/>
        <v>5/5</v>
      </c>
      <c r="B867" s="19" t="s">
        <v>83</v>
      </c>
      <c r="C867" s="19" t="s">
        <v>76</v>
      </c>
      <c r="D867" s="19" t="s">
        <v>76</v>
      </c>
      <c r="E867" s="2" t="s">
        <v>40</v>
      </c>
      <c r="F867" s="19">
        <v>5</v>
      </c>
      <c r="G867" s="2"/>
      <c r="H867" s="2"/>
      <c r="I867" s="2"/>
      <c r="J867" s="38"/>
      <c r="K867" s="2"/>
      <c r="L867" s="2"/>
      <c r="M867" s="2"/>
      <c r="N867" s="2"/>
      <c r="O867" s="2" t="s">
        <v>91</v>
      </c>
      <c r="P867" s="2" t="s">
        <v>1080</v>
      </c>
      <c r="Q867" s="2"/>
      <c r="R867" s="38">
        <v>45925</v>
      </c>
      <c r="S867" s="2">
        <v>2</v>
      </c>
      <c r="T867" s="2">
        <v>50</v>
      </c>
    </row>
    <row r="868" spans="1:20" x14ac:dyDescent="0.2">
      <c r="A868" s="49" t="str">
        <f t="shared" si="32"/>
        <v>6/5</v>
      </c>
      <c r="B868" s="19" t="s">
        <v>979</v>
      </c>
      <c r="C868" s="19" t="s">
        <v>76</v>
      </c>
      <c r="D868" s="19" t="s">
        <v>76</v>
      </c>
      <c r="E868" s="2">
        <v>6</v>
      </c>
      <c r="F868" s="19">
        <v>5</v>
      </c>
      <c r="G868" s="2"/>
      <c r="H868" s="2"/>
      <c r="I868" s="2"/>
      <c r="J868" s="38"/>
      <c r="K868" s="2"/>
      <c r="L868" s="2"/>
      <c r="M868" s="2"/>
      <c r="N868" s="2"/>
      <c r="O868" s="2" t="s">
        <v>91</v>
      </c>
      <c r="P868" s="2" t="s">
        <v>1081</v>
      </c>
      <c r="Q868" s="2"/>
      <c r="R868" s="38">
        <v>45926</v>
      </c>
      <c r="S868" s="2">
        <v>3</v>
      </c>
      <c r="T868" s="2">
        <v>75</v>
      </c>
    </row>
    <row r="869" spans="1:20" x14ac:dyDescent="0.2">
      <c r="A869" s="49" t="str">
        <f t="shared" si="32"/>
        <v>18/5</v>
      </c>
      <c r="B869" s="19" t="s">
        <v>1039</v>
      </c>
      <c r="C869" s="19" t="s">
        <v>76</v>
      </c>
      <c r="D869" s="19" t="s">
        <v>76</v>
      </c>
      <c r="E869" s="2">
        <v>18</v>
      </c>
      <c r="F869" s="19">
        <v>5</v>
      </c>
      <c r="G869" s="2"/>
      <c r="H869" s="2"/>
      <c r="I869" s="2"/>
      <c r="J869" s="38"/>
      <c r="K869" s="2"/>
      <c r="L869" s="2"/>
      <c r="M869" s="2"/>
      <c r="N869" s="2"/>
      <c r="O869" s="2" t="s">
        <v>91</v>
      </c>
      <c r="P869" s="2" t="s">
        <v>1082</v>
      </c>
      <c r="Q869" s="2"/>
      <c r="R869" s="38">
        <v>45926</v>
      </c>
      <c r="S869" s="2">
        <v>4</v>
      </c>
      <c r="T869" s="2">
        <v>100</v>
      </c>
    </row>
    <row r="870" spans="1:20" x14ac:dyDescent="0.2">
      <c r="A870" s="49" t="str">
        <f t="shared" si="32"/>
        <v>18/5</v>
      </c>
      <c r="B870" s="19" t="s">
        <v>581</v>
      </c>
      <c r="C870" s="19" t="s">
        <v>76</v>
      </c>
      <c r="D870" s="19" t="s">
        <v>76</v>
      </c>
      <c r="E870" s="2">
        <v>18</v>
      </c>
      <c r="F870" s="19">
        <v>5</v>
      </c>
      <c r="G870" s="2"/>
      <c r="H870" s="2"/>
      <c r="I870" s="2"/>
      <c r="J870" s="38"/>
      <c r="K870" s="2"/>
      <c r="L870" s="2"/>
      <c r="M870" s="2"/>
      <c r="N870" s="2"/>
      <c r="O870" s="2" t="s">
        <v>91</v>
      </c>
      <c r="P870" s="2" t="s">
        <v>1083</v>
      </c>
      <c r="Q870" s="2"/>
      <c r="R870" s="38">
        <v>45926</v>
      </c>
      <c r="S870" s="2">
        <v>1</v>
      </c>
      <c r="T870" s="2">
        <v>25</v>
      </c>
    </row>
    <row r="871" spans="1:20" x14ac:dyDescent="0.2">
      <c r="A871" s="49" t="str">
        <f t="shared" si="32"/>
        <v>18/5</v>
      </c>
      <c r="B871" s="19" t="s">
        <v>83</v>
      </c>
      <c r="C871" s="19" t="s">
        <v>76</v>
      </c>
      <c r="D871" s="19" t="s">
        <v>76</v>
      </c>
      <c r="E871" s="2" t="s">
        <v>22</v>
      </c>
      <c r="F871" s="19">
        <v>5</v>
      </c>
      <c r="G871" s="2"/>
      <c r="H871" s="2"/>
      <c r="I871" s="2"/>
      <c r="J871" s="38"/>
      <c r="K871" s="2"/>
      <c r="L871" s="2"/>
      <c r="M871" s="2"/>
      <c r="N871" s="2"/>
      <c r="O871" s="2" t="s">
        <v>91</v>
      </c>
      <c r="P871" s="2" t="s">
        <v>1084</v>
      </c>
      <c r="Q871" s="2"/>
      <c r="R871" s="38">
        <v>45926</v>
      </c>
      <c r="S871" s="2">
        <v>8</v>
      </c>
      <c r="T871" s="2">
        <v>200</v>
      </c>
    </row>
    <row r="872" spans="1:20" x14ac:dyDescent="0.2">
      <c r="A872" s="49" t="str">
        <f t="shared" si="32"/>
        <v>12/5</v>
      </c>
      <c r="B872" s="19" t="s">
        <v>973</v>
      </c>
      <c r="C872" s="19" t="s">
        <v>76</v>
      </c>
      <c r="D872" s="19" t="s">
        <v>76</v>
      </c>
      <c r="E872" s="2" t="s">
        <v>14</v>
      </c>
      <c r="F872" s="19">
        <v>5</v>
      </c>
      <c r="G872" s="2"/>
      <c r="H872" s="2"/>
      <c r="I872" s="2"/>
      <c r="J872" s="38"/>
      <c r="K872" s="2"/>
      <c r="L872" s="2"/>
      <c r="M872" s="2"/>
      <c r="N872" s="2"/>
      <c r="O872" s="2" t="s">
        <v>91</v>
      </c>
      <c r="P872" s="2" t="s">
        <v>1085</v>
      </c>
      <c r="Q872" s="2"/>
      <c r="R872" s="38">
        <v>45926</v>
      </c>
      <c r="S872" s="2">
        <v>6</v>
      </c>
      <c r="T872" s="2">
        <v>150</v>
      </c>
    </row>
    <row r="873" spans="1:20" x14ac:dyDescent="0.2">
      <c r="A873" s="49" t="str">
        <f t="shared" si="32"/>
        <v>12/5</v>
      </c>
      <c r="B873" s="19" t="s">
        <v>84</v>
      </c>
      <c r="C873" s="19" t="s">
        <v>76</v>
      </c>
      <c r="D873" s="19" t="s">
        <v>76</v>
      </c>
      <c r="E873" s="2" t="s">
        <v>14</v>
      </c>
      <c r="F873" s="19">
        <v>5</v>
      </c>
      <c r="G873" s="2"/>
      <c r="H873" s="2"/>
      <c r="I873" s="2"/>
      <c r="J873" s="38"/>
      <c r="K873" s="2"/>
      <c r="L873" s="2"/>
      <c r="M873" s="2"/>
      <c r="N873" s="2"/>
      <c r="O873" s="2" t="s">
        <v>91</v>
      </c>
      <c r="P873" s="2" t="s">
        <v>1056</v>
      </c>
      <c r="Q873" s="2"/>
      <c r="R873" s="38">
        <v>45926</v>
      </c>
      <c r="S873" s="2">
        <v>10</v>
      </c>
      <c r="T873" s="2">
        <v>250</v>
      </c>
    </row>
    <row r="874" spans="1:20" x14ac:dyDescent="0.2">
      <c r="A874" s="49" t="str">
        <f t="shared" si="32"/>
        <v>9/5</v>
      </c>
      <c r="B874" s="19" t="s">
        <v>84</v>
      </c>
      <c r="C874" s="19" t="s">
        <v>76</v>
      </c>
      <c r="D874" s="19" t="s">
        <v>76</v>
      </c>
      <c r="E874" s="2" t="s">
        <v>17</v>
      </c>
      <c r="F874" s="19">
        <v>5</v>
      </c>
      <c r="G874" s="2"/>
      <c r="H874" s="2"/>
      <c r="I874" s="2"/>
      <c r="J874" s="38"/>
      <c r="K874" s="2"/>
      <c r="L874" s="2"/>
      <c r="M874" s="2"/>
      <c r="N874" s="2"/>
      <c r="O874" s="2" t="s">
        <v>91</v>
      </c>
      <c r="P874" s="2" t="s">
        <v>851</v>
      </c>
      <c r="Q874" s="2"/>
      <c r="R874" s="38">
        <v>45926</v>
      </c>
      <c r="S874" s="2">
        <v>16</v>
      </c>
      <c r="T874" s="2">
        <v>400</v>
      </c>
    </row>
    <row r="875" spans="1:20" x14ac:dyDescent="0.2">
      <c r="A875" s="49" t="str">
        <f t="shared" si="32"/>
        <v>18/4.5</v>
      </c>
      <c r="B875" s="19" t="s">
        <v>190</v>
      </c>
      <c r="C875" s="19" t="s">
        <v>76</v>
      </c>
      <c r="D875" s="19" t="s">
        <v>76</v>
      </c>
      <c r="E875" s="2">
        <v>18</v>
      </c>
      <c r="F875" s="19">
        <v>4.5</v>
      </c>
      <c r="G875" s="2"/>
      <c r="H875" s="2"/>
      <c r="I875" s="2"/>
      <c r="J875" s="38"/>
      <c r="K875" s="2"/>
      <c r="L875" s="2"/>
      <c r="M875" s="2"/>
      <c r="N875" s="2"/>
      <c r="O875" s="2" t="s">
        <v>91</v>
      </c>
      <c r="P875" s="2" t="s">
        <v>1086</v>
      </c>
      <c r="Q875" s="2"/>
      <c r="R875" s="38">
        <v>45926</v>
      </c>
      <c r="S875" s="2">
        <v>4</v>
      </c>
      <c r="T875" s="2">
        <v>100</v>
      </c>
    </row>
    <row r="876" spans="1:20" x14ac:dyDescent="0.2">
      <c r="A876" s="49" t="str">
        <f t="shared" si="32"/>
        <v>7/5</v>
      </c>
      <c r="B876" s="19" t="s">
        <v>83</v>
      </c>
      <c r="C876" s="19" t="s">
        <v>76</v>
      </c>
      <c r="D876" s="19" t="s">
        <v>76</v>
      </c>
      <c r="E876" s="2" t="s">
        <v>19</v>
      </c>
      <c r="F876" s="19">
        <v>5</v>
      </c>
      <c r="G876" s="2"/>
      <c r="H876" s="2"/>
      <c r="I876" s="2"/>
      <c r="J876" s="38"/>
      <c r="K876" s="2"/>
      <c r="L876" s="2"/>
      <c r="M876" s="2"/>
      <c r="N876" s="2"/>
      <c r="O876" s="2" t="s">
        <v>91</v>
      </c>
      <c r="P876" s="2" t="s">
        <v>1079</v>
      </c>
      <c r="Q876" s="2"/>
      <c r="R876" s="38">
        <v>45926</v>
      </c>
      <c r="S876" s="2">
        <v>4</v>
      </c>
      <c r="T876" s="2">
        <v>100</v>
      </c>
    </row>
    <row r="877" spans="1:20" x14ac:dyDescent="0.2">
      <c r="A877" s="49" t="str">
        <f t="shared" si="32"/>
        <v>7/5</v>
      </c>
      <c r="B877" s="19" t="s">
        <v>84</v>
      </c>
      <c r="C877" s="19" t="s">
        <v>76</v>
      </c>
      <c r="D877" s="19" t="s">
        <v>76</v>
      </c>
      <c r="E877" s="2" t="s">
        <v>19</v>
      </c>
      <c r="F877" s="19">
        <v>5</v>
      </c>
      <c r="G877" s="2"/>
      <c r="H877" s="2"/>
      <c r="I877" s="2"/>
      <c r="J877" s="38"/>
      <c r="K877" s="2"/>
      <c r="L877" s="2"/>
      <c r="M877" s="2"/>
      <c r="N877" s="2"/>
      <c r="O877" s="2" t="s">
        <v>91</v>
      </c>
      <c r="P877" s="2" t="s">
        <v>1087</v>
      </c>
      <c r="Q877" s="2"/>
      <c r="R877" s="38">
        <v>45926</v>
      </c>
      <c r="S877" s="2">
        <v>7</v>
      </c>
      <c r="T877" s="2">
        <v>175</v>
      </c>
    </row>
    <row r="878" spans="1:20" x14ac:dyDescent="0.2">
      <c r="A878" s="49" t="str">
        <f t="shared" si="32"/>
        <v>05/14</v>
      </c>
      <c r="B878" s="19" t="s">
        <v>973</v>
      </c>
      <c r="C878" s="19" t="s">
        <v>76</v>
      </c>
      <c r="D878" s="19" t="s">
        <v>76</v>
      </c>
      <c r="E878" s="2" t="s">
        <v>976</v>
      </c>
      <c r="F878" s="19">
        <v>14</v>
      </c>
      <c r="G878" s="2"/>
      <c r="H878" s="2"/>
      <c r="I878" s="2"/>
      <c r="J878" s="38"/>
      <c r="K878" s="2"/>
      <c r="L878" s="2"/>
      <c r="M878" s="2"/>
      <c r="N878" s="2"/>
      <c r="O878" s="2" t="s">
        <v>91</v>
      </c>
      <c r="P878" s="2" t="s">
        <v>1006</v>
      </c>
      <c r="Q878" s="2"/>
      <c r="R878" s="38">
        <v>45926</v>
      </c>
      <c r="S878" s="2">
        <v>2</v>
      </c>
      <c r="T878" s="2">
        <v>55.8</v>
      </c>
    </row>
    <row r="879" spans="1:20" x14ac:dyDescent="0.2">
      <c r="A879" s="49" t="str">
        <f t="shared" si="32"/>
        <v>4/5</v>
      </c>
      <c r="B879" s="19" t="s">
        <v>84</v>
      </c>
      <c r="C879" s="19" t="s">
        <v>76</v>
      </c>
      <c r="D879" s="19" t="s">
        <v>76</v>
      </c>
      <c r="E879" s="2" t="s">
        <v>26</v>
      </c>
      <c r="F879" s="19">
        <v>5</v>
      </c>
      <c r="G879" s="2"/>
      <c r="H879" s="2"/>
      <c r="I879" s="2"/>
      <c r="J879" s="38"/>
      <c r="K879" s="2"/>
      <c r="L879" s="2"/>
      <c r="M879" s="2"/>
      <c r="N879" s="2"/>
      <c r="O879" s="2" t="s">
        <v>91</v>
      </c>
      <c r="P879" s="2" t="s">
        <v>1088</v>
      </c>
      <c r="Q879" s="2"/>
      <c r="R879" s="38">
        <v>45926</v>
      </c>
      <c r="S879" s="2">
        <v>3</v>
      </c>
      <c r="T879" s="2">
        <v>75</v>
      </c>
    </row>
    <row r="880" spans="1:20" x14ac:dyDescent="0.2">
      <c r="A880" s="49" t="str">
        <f t="shared" si="32"/>
        <v>2.5/5</v>
      </c>
      <c r="B880" s="19" t="s">
        <v>84</v>
      </c>
      <c r="C880" s="19" t="s">
        <v>76</v>
      </c>
      <c r="D880" s="19" t="s">
        <v>76</v>
      </c>
      <c r="E880" s="2" t="s">
        <v>25</v>
      </c>
      <c r="F880" s="19">
        <v>5</v>
      </c>
      <c r="G880" s="2"/>
      <c r="H880" s="2"/>
      <c r="I880" s="2"/>
      <c r="J880" s="38"/>
      <c r="K880" s="2"/>
      <c r="L880" s="2"/>
      <c r="M880" s="2"/>
      <c r="N880" s="2"/>
      <c r="O880" s="2" t="s">
        <v>91</v>
      </c>
      <c r="P880" s="2" t="s">
        <v>1089</v>
      </c>
      <c r="Q880" s="2"/>
      <c r="R880" s="38">
        <v>45926</v>
      </c>
      <c r="S880" s="2">
        <v>9</v>
      </c>
      <c r="T880" s="2">
        <v>225</v>
      </c>
    </row>
    <row r="881" spans="1:20" x14ac:dyDescent="0.2">
      <c r="A881" s="49" t="str">
        <f t="shared" si="32"/>
        <v>06/5</v>
      </c>
      <c r="B881" s="19" t="s">
        <v>973</v>
      </c>
      <c r="C881" s="19" t="s">
        <v>76</v>
      </c>
      <c r="D881" s="19" t="s">
        <v>76</v>
      </c>
      <c r="E881" s="2" t="s">
        <v>1102</v>
      </c>
      <c r="F881" s="19">
        <v>5</v>
      </c>
      <c r="G881" s="2"/>
      <c r="H881" s="2"/>
      <c r="I881" s="2"/>
      <c r="J881" s="38"/>
      <c r="K881" s="2"/>
      <c r="L881" s="2"/>
      <c r="M881" s="2"/>
      <c r="N881" s="2"/>
      <c r="O881" s="2" t="s">
        <v>91</v>
      </c>
      <c r="P881" s="2" t="s">
        <v>1090</v>
      </c>
      <c r="Q881" s="2"/>
      <c r="R881" s="38">
        <v>45927</v>
      </c>
      <c r="S881" s="2">
        <v>4</v>
      </c>
      <c r="T881" s="2">
        <v>100</v>
      </c>
    </row>
    <row r="882" spans="1:20" x14ac:dyDescent="0.2">
      <c r="A882" s="49" t="str">
        <f t="shared" si="32"/>
        <v>6/5</v>
      </c>
      <c r="B882" s="19" t="s">
        <v>979</v>
      </c>
      <c r="C882" s="19" t="s">
        <v>76</v>
      </c>
      <c r="D882" s="19" t="s">
        <v>76</v>
      </c>
      <c r="E882" s="2">
        <v>6</v>
      </c>
      <c r="F882" s="19">
        <v>5</v>
      </c>
      <c r="G882" s="2"/>
      <c r="H882" s="2"/>
      <c r="I882" s="2"/>
      <c r="J882" s="38"/>
      <c r="K882" s="2"/>
      <c r="L882" s="2"/>
      <c r="M882" s="2"/>
      <c r="N882" s="2"/>
      <c r="O882" s="2" t="s">
        <v>91</v>
      </c>
      <c r="P882" s="2" t="s">
        <v>1081</v>
      </c>
      <c r="Q882" s="2"/>
      <c r="R882" s="38">
        <v>45927</v>
      </c>
      <c r="S882" s="2">
        <v>11</v>
      </c>
      <c r="T882" s="2">
        <v>275</v>
      </c>
    </row>
    <row r="883" spans="1:20" x14ac:dyDescent="0.2">
      <c r="A883" s="49" t="str">
        <f t="shared" si="32"/>
        <v>12/5</v>
      </c>
      <c r="B883" s="19" t="s">
        <v>84</v>
      </c>
      <c r="C883" s="19" t="s">
        <v>76</v>
      </c>
      <c r="D883" s="19" t="s">
        <v>76</v>
      </c>
      <c r="E883" s="2" t="s">
        <v>14</v>
      </c>
      <c r="F883" s="19">
        <v>5</v>
      </c>
      <c r="G883" s="2"/>
      <c r="H883" s="2"/>
      <c r="I883" s="2"/>
      <c r="J883" s="38"/>
      <c r="K883" s="2"/>
      <c r="L883" s="2"/>
      <c r="M883" s="2"/>
      <c r="N883" s="2"/>
      <c r="O883" s="2" t="s">
        <v>91</v>
      </c>
      <c r="P883" s="2" t="s">
        <v>1056</v>
      </c>
      <c r="Q883" s="2"/>
      <c r="R883" s="38">
        <v>45927</v>
      </c>
      <c r="S883" s="2">
        <v>5</v>
      </c>
      <c r="T883" s="2">
        <v>125</v>
      </c>
    </row>
    <row r="884" spans="1:20" x14ac:dyDescent="0.2">
      <c r="A884" s="49" t="str">
        <f t="shared" si="32"/>
        <v>12/5</v>
      </c>
      <c r="B884" s="19" t="s">
        <v>84</v>
      </c>
      <c r="C884" s="19" t="s">
        <v>76</v>
      </c>
      <c r="D884" s="19" t="s">
        <v>76</v>
      </c>
      <c r="E884" s="2" t="s">
        <v>14</v>
      </c>
      <c r="F884" s="19">
        <v>5</v>
      </c>
      <c r="G884" s="2"/>
      <c r="H884" s="2"/>
      <c r="I884" s="2"/>
      <c r="J884" s="38"/>
      <c r="K884" s="2"/>
      <c r="L884" s="2"/>
      <c r="M884" s="2"/>
      <c r="N884" s="2"/>
      <c r="O884" s="2" t="s">
        <v>91</v>
      </c>
      <c r="P884" s="2" t="s">
        <v>712</v>
      </c>
      <c r="Q884" s="2"/>
      <c r="R884" s="38">
        <v>45927</v>
      </c>
      <c r="S884" s="2">
        <v>5</v>
      </c>
      <c r="T884" s="2">
        <v>125</v>
      </c>
    </row>
    <row r="885" spans="1:20" x14ac:dyDescent="0.2">
      <c r="A885" s="49" t="str">
        <f t="shared" si="32"/>
        <v>24/5</v>
      </c>
      <c r="B885" s="19" t="s">
        <v>973</v>
      </c>
      <c r="C885" s="19" t="s">
        <v>76</v>
      </c>
      <c r="D885" s="19" t="s">
        <v>76</v>
      </c>
      <c r="E885" s="2" t="s">
        <v>32</v>
      </c>
      <c r="F885" s="19">
        <v>5</v>
      </c>
      <c r="G885" s="2"/>
      <c r="H885" s="2"/>
      <c r="I885" s="2"/>
      <c r="J885" s="38"/>
      <c r="K885" s="2"/>
      <c r="L885" s="2"/>
      <c r="M885" s="2"/>
      <c r="N885" s="2"/>
      <c r="O885" s="2" t="s">
        <v>91</v>
      </c>
      <c r="P885" s="2" t="s">
        <v>1091</v>
      </c>
      <c r="Q885" s="2"/>
      <c r="R885" s="38">
        <v>45927</v>
      </c>
      <c r="S885" s="2">
        <v>8</v>
      </c>
      <c r="T885" s="2">
        <v>200</v>
      </c>
    </row>
    <row r="886" spans="1:20" x14ac:dyDescent="0.2">
      <c r="A886" s="49" t="str">
        <f t="shared" si="32"/>
        <v>18/5</v>
      </c>
      <c r="B886" s="19" t="s">
        <v>83</v>
      </c>
      <c r="C886" s="19" t="s">
        <v>76</v>
      </c>
      <c r="D886" s="19" t="s">
        <v>76</v>
      </c>
      <c r="E886" s="2" t="s">
        <v>22</v>
      </c>
      <c r="F886" s="19">
        <v>5</v>
      </c>
      <c r="G886" s="2"/>
      <c r="H886" s="2"/>
      <c r="I886" s="2"/>
      <c r="J886" s="38"/>
      <c r="K886" s="2"/>
      <c r="L886" s="2"/>
      <c r="M886" s="2"/>
      <c r="N886" s="2"/>
      <c r="O886" s="2" t="s">
        <v>91</v>
      </c>
      <c r="P886" s="2" t="s">
        <v>1084</v>
      </c>
      <c r="Q886" s="2"/>
      <c r="R886" s="38">
        <v>45927</v>
      </c>
      <c r="S886" s="2">
        <v>18</v>
      </c>
      <c r="T886" s="2">
        <v>450</v>
      </c>
    </row>
    <row r="887" spans="1:20" x14ac:dyDescent="0.2">
      <c r="A887" s="49" t="str">
        <f t="shared" si="32"/>
        <v>9/5</v>
      </c>
      <c r="B887" s="19" t="s">
        <v>84</v>
      </c>
      <c r="C887" s="19" t="s">
        <v>76</v>
      </c>
      <c r="D887" s="19" t="s">
        <v>76</v>
      </c>
      <c r="E887" s="2" t="s">
        <v>17</v>
      </c>
      <c r="F887" s="19">
        <v>5</v>
      </c>
      <c r="G887" s="2"/>
      <c r="H887" s="2"/>
      <c r="I887" s="2"/>
      <c r="J887" s="38"/>
      <c r="K887" s="2"/>
      <c r="L887" s="2"/>
      <c r="M887" s="2"/>
      <c r="N887" s="2"/>
      <c r="O887" s="2" t="s">
        <v>91</v>
      </c>
      <c r="P887" s="2" t="s">
        <v>1092</v>
      </c>
      <c r="Q887" s="2"/>
      <c r="R887" s="38">
        <v>45927</v>
      </c>
      <c r="S887" s="2">
        <v>16</v>
      </c>
      <c r="T887" s="2">
        <v>400</v>
      </c>
    </row>
    <row r="888" spans="1:20" x14ac:dyDescent="0.2">
      <c r="A888" s="49" t="str">
        <f t="shared" si="32"/>
        <v>2.5/5</v>
      </c>
      <c r="B888" s="19" t="s">
        <v>84</v>
      </c>
      <c r="C888" s="19" t="s">
        <v>76</v>
      </c>
      <c r="D888" s="19" t="s">
        <v>76</v>
      </c>
      <c r="E888" s="2" t="s">
        <v>25</v>
      </c>
      <c r="F888" s="19">
        <v>5</v>
      </c>
      <c r="G888" s="2"/>
      <c r="H888" s="2"/>
      <c r="I888" s="2"/>
      <c r="J888" s="38"/>
      <c r="K888" s="2"/>
      <c r="L888" s="2"/>
      <c r="M888" s="2"/>
      <c r="N888" s="2"/>
      <c r="O888" s="2" t="s">
        <v>91</v>
      </c>
      <c r="P888" s="2" t="s">
        <v>1089</v>
      </c>
      <c r="Q888" s="2"/>
      <c r="R888" s="38">
        <v>45927</v>
      </c>
      <c r="S888" s="2">
        <v>8</v>
      </c>
      <c r="T888" s="2">
        <v>200</v>
      </c>
    </row>
    <row r="889" spans="1:20" x14ac:dyDescent="0.2">
      <c r="A889" s="49" t="str">
        <f t="shared" si="32"/>
        <v>4/5</v>
      </c>
      <c r="B889" s="19" t="s">
        <v>84</v>
      </c>
      <c r="C889" s="19" t="s">
        <v>76</v>
      </c>
      <c r="D889" s="19" t="s">
        <v>76</v>
      </c>
      <c r="E889" s="2" t="s">
        <v>26</v>
      </c>
      <c r="F889" s="19">
        <v>5</v>
      </c>
      <c r="G889" s="2"/>
      <c r="H889" s="2"/>
      <c r="I889" s="2"/>
      <c r="J889" s="38"/>
      <c r="K889" s="2"/>
      <c r="L889" s="2"/>
      <c r="M889" s="2"/>
      <c r="N889" s="2"/>
      <c r="O889" s="2" t="s">
        <v>91</v>
      </c>
      <c r="P889" s="2" t="s">
        <v>1088</v>
      </c>
      <c r="Q889" s="2"/>
      <c r="R889" s="38">
        <v>45927</v>
      </c>
      <c r="S889" s="2">
        <v>6</v>
      </c>
      <c r="T889" s="2">
        <v>150</v>
      </c>
    </row>
    <row r="890" spans="1:20" x14ac:dyDescent="0.2">
      <c r="A890" s="49" t="str">
        <f t="shared" si="32"/>
        <v>4.5/5</v>
      </c>
      <c r="B890" s="19" t="s">
        <v>161</v>
      </c>
      <c r="C890" s="19" t="s">
        <v>76</v>
      </c>
      <c r="D890" s="19" t="s">
        <v>76</v>
      </c>
      <c r="E890" s="2">
        <v>4.5</v>
      </c>
      <c r="F890" s="19">
        <v>5</v>
      </c>
      <c r="G890" s="2"/>
      <c r="H890" s="2"/>
      <c r="I890" s="2"/>
      <c r="J890" s="38"/>
      <c r="K890" s="2"/>
      <c r="L890" s="2"/>
      <c r="M890" s="2"/>
      <c r="N890" s="2"/>
      <c r="O890" s="2" t="s">
        <v>91</v>
      </c>
      <c r="P890" s="2" t="s">
        <v>1093</v>
      </c>
      <c r="Q890" s="2"/>
      <c r="R890" s="38">
        <v>45927</v>
      </c>
      <c r="S890" s="2">
        <v>4</v>
      </c>
      <c r="T890" s="2">
        <v>97</v>
      </c>
    </row>
    <row r="891" spans="1:20" x14ac:dyDescent="0.2">
      <c r="A891" s="49" t="str">
        <f t="shared" si="32"/>
        <v>10/14</v>
      </c>
      <c r="B891" s="19" t="s">
        <v>973</v>
      </c>
      <c r="C891" s="19" t="s">
        <v>76</v>
      </c>
      <c r="D891" s="19" t="s">
        <v>76</v>
      </c>
      <c r="E891" s="2" t="s">
        <v>16</v>
      </c>
      <c r="F891" s="19">
        <v>14</v>
      </c>
      <c r="G891" s="2"/>
      <c r="H891" s="2"/>
      <c r="I891" s="2"/>
      <c r="J891" s="38"/>
      <c r="K891" s="2"/>
      <c r="L891" s="2"/>
      <c r="M891" s="2"/>
      <c r="N891" s="2"/>
      <c r="O891" s="2" t="s">
        <v>91</v>
      </c>
      <c r="P891" s="2" t="s">
        <v>996</v>
      </c>
      <c r="Q891" s="2"/>
      <c r="R891" s="38">
        <v>45928</v>
      </c>
      <c r="S891" s="2">
        <v>8</v>
      </c>
      <c r="T891" s="2">
        <v>192.8</v>
      </c>
    </row>
    <row r="892" spans="1:20" x14ac:dyDescent="0.2">
      <c r="A892" s="49" t="str">
        <f t="shared" si="32"/>
        <v>10/7</v>
      </c>
      <c r="B892" s="19" t="s">
        <v>824</v>
      </c>
      <c r="C892" s="19" t="s">
        <v>76</v>
      </c>
      <c r="D892" s="19" t="s">
        <v>76</v>
      </c>
      <c r="E892" s="2">
        <v>10</v>
      </c>
      <c r="F892" s="19">
        <v>7</v>
      </c>
      <c r="G892" s="2"/>
      <c r="H892" s="2"/>
      <c r="I892" s="2"/>
      <c r="J892" s="38"/>
      <c r="K892" s="2"/>
      <c r="L892" s="2"/>
      <c r="M892" s="2"/>
      <c r="N892" s="2"/>
      <c r="O892" s="2" t="s">
        <v>91</v>
      </c>
      <c r="P892" s="2" t="s">
        <v>997</v>
      </c>
      <c r="Q892" s="2"/>
      <c r="R892" s="38">
        <v>45928</v>
      </c>
      <c r="S892" s="2">
        <v>4</v>
      </c>
      <c r="T892" s="2">
        <v>103.4</v>
      </c>
    </row>
    <row r="893" spans="1:20" x14ac:dyDescent="0.2">
      <c r="A893" s="49" t="str">
        <f t="shared" si="32"/>
        <v>10/8</v>
      </c>
      <c r="B893" s="19" t="s">
        <v>980</v>
      </c>
      <c r="C893" s="19" t="s">
        <v>76</v>
      </c>
      <c r="D893" s="19" t="s">
        <v>76</v>
      </c>
      <c r="E893" s="2">
        <v>10</v>
      </c>
      <c r="F893" s="19">
        <v>8</v>
      </c>
      <c r="G893" s="2"/>
      <c r="H893" s="2"/>
      <c r="I893" s="2"/>
      <c r="J893" s="38"/>
      <c r="K893" s="2"/>
      <c r="L893" s="2"/>
      <c r="M893" s="2"/>
      <c r="N893" s="2"/>
      <c r="O893" s="2" t="s">
        <v>91</v>
      </c>
      <c r="P893" s="2" t="s">
        <v>1020</v>
      </c>
      <c r="Q893" s="2"/>
      <c r="R893" s="38">
        <v>45928</v>
      </c>
      <c r="S893" s="2">
        <v>4</v>
      </c>
      <c r="T893" s="2">
        <v>110.1</v>
      </c>
    </row>
    <row r="894" spans="1:20" x14ac:dyDescent="0.2">
      <c r="A894" s="49" t="str">
        <f t="shared" si="32"/>
        <v>13/5</v>
      </c>
      <c r="B894" s="19" t="s">
        <v>979</v>
      </c>
      <c r="C894" s="19" t="s">
        <v>76</v>
      </c>
      <c r="D894" s="19" t="s">
        <v>76</v>
      </c>
      <c r="E894" s="2">
        <v>13</v>
      </c>
      <c r="F894" s="19">
        <v>5</v>
      </c>
      <c r="G894" s="2"/>
      <c r="H894" s="2"/>
      <c r="I894" s="2"/>
      <c r="J894" s="38"/>
      <c r="K894" s="2"/>
      <c r="L894" s="2"/>
      <c r="M894" s="2"/>
      <c r="N894" s="2"/>
      <c r="O894" s="2" t="s">
        <v>91</v>
      </c>
      <c r="P894" s="2" t="s">
        <v>1094</v>
      </c>
      <c r="Q894" s="2"/>
      <c r="R894" s="38">
        <v>45928</v>
      </c>
      <c r="S894" s="2">
        <v>3</v>
      </c>
      <c r="T894" s="2">
        <v>75</v>
      </c>
    </row>
    <row r="895" spans="1:20" x14ac:dyDescent="0.2">
      <c r="A895" s="49" t="str">
        <f t="shared" si="32"/>
        <v>24/5</v>
      </c>
      <c r="B895" s="19" t="s">
        <v>973</v>
      </c>
      <c r="C895" s="19" t="s">
        <v>76</v>
      </c>
      <c r="D895" s="19" t="s">
        <v>76</v>
      </c>
      <c r="E895" s="2" t="s">
        <v>32</v>
      </c>
      <c r="F895" s="19">
        <v>5</v>
      </c>
      <c r="G895" s="2"/>
      <c r="H895" s="2"/>
      <c r="I895" s="2"/>
      <c r="J895" s="38"/>
      <c r="K895" s="2"/>
      <c r="L895" s="2"/>
      <c r="M895" s="2"/>
      <c r="N895" s="2"/>
      <c r="O895" s="2" t="s">
        <v>91</v>
      </c>
      <c r="P895" s="2" t="s">
        <v>1095</v>
      </c>
      <c r="Q895" s="2"/>
      <c r="R895" s="38">
        <v>45928</v>
      </c>
      <c r="S895" s="2">
        <v>8</v>
      </c>
      <c r="T895" s="2">
        <v>200</v>
      </c>
    </row>
    <row r="896" spans="1:20" x14ac:dyDescent="0.2">
      <c r="A896" s="49" t="str">
        <f t="shared" si="32"/>
        <v>24/5</v>
      </c>
      <c r="B896" s="19" t="s">
        <v>84</v>
      </c>
      <c r="C896" s="19" t="s">
        <v>76</v>
      </c>
      <c r="D896" s="19" t="s">
        <v>76</v>
      </c>
      <c r="E896" s="2" t="s">
        <v>32</v>
      </c>
      <c r="F896" s="19">
        <v>5</v>
      </c>
      <c r="G896" s="2"/>
      <c r="H896" s="2"/>
      <c r="I896" s="2"/>
      <c r="J896" s="38"/>
      <c r="K896" s="2"/>
      <c r="L896" s="2"/>
      <c r="M896" s="2"/>
      <c r="N896" s="2"/>
      <c r="O896" s="2" t="s">
        <v>91</v>
      </c>
      <c r="P896" s="2" t="s">
        <v>1096</v>
      </c>
      <c r="Q896" s="2"/>
      <c r="R896" s="38">
        <v>45928</v>
      </c>
      <c r="S896" s="2">
        <v>1</v>
      </c>
      <c r="T896" s="2">
        <v>25</v>
      </c>
    </row>
    <row r="897" spans="1:20" x14ac:dyDescent="0.2">
      <c r="A897" s="49" t="str">
        <f t="shared" si="32"/>
        <v>9/5</v>
      </c>
      <c r="B897" s="19" t="s">
        <v>84</v>
      </c>
      <c r="C897" s="19" t="s">
        <v>76</v>
      </c>
      <c r="D897" s="19" t="s">
        <v>76</v>
      </c>
      <c r="E897" s="2" t="s">
        <v>17</v>
      </c>
      <c r="F897" s="19">
        <v>5</v>
      </c>
      <c r="G897" s="2"/>
      <c r="H897" s="2"/>
      <c r="I897" s="2"/>
      <c r="J897" s="38"/>
      <c r="K897" s="2"/>
      <c r="L897" s="2"/>
      <c r="M897" s="2"/>
      <c r="N897" s="2"/>
      <c r="O897" s="2" t="s">
        <v>91</v>
      </c>
      <c r="P897" s="2" t="s">
        <v>1092</v>
      </c>
      <c r="Q897" s="2"/>
      <c r="R897" s="38">
        <v>45928</v>
      </c>
      <c r="S897" s="2">
        <v>4</v>
      </c>
      <c r="T897" s="2">
        <v>100</v>
      </c>
    </row>
    <row r="898" spans="1:20" x14ac:dyDescent="0.2">
      <c r="A898" s="49" t="str">
        <f t="shared" si="32"/>
        <v>9/5</v>
      </c>
      <c r="B898" s="19" t="s">
        <v>84</v>
      </c>
      <c r="C898" s="19" t="s">
        <v>76</v>
      </c>
      <c r="D898" s="19" t="s">
        <v>76</v>
      </c>
      <c r="E898" s="2" t="s">
        <v>17</v>
      </c>
      <c r="F898" s="19">
        <v>5</v>
      </c>
      <c r="G898" s="2"/>
      <c r="H898" s="2"/>
      <c r="I898" s="2"/>
      <c r="J898" s="38"/>
      <c r="K898" s="2"/>
      <c r="L898" s="2"/>
      <c r="M898" s="2"/>
      <c r="N898" s="2"/>
      <c r="O898" s="2" t="s">
        <v>91</v>
      </c>
      <c r="P898" s="2" t="s">
        <v>608</v>
      </c>
      <c r="Q898" s="2"/>
      <c r="R898" s="38">
        <v>45928</v>
      </c>
      <c r="S898" s="2">
        <v>5</v>
      </c>
      <c r="T898" s="2">
        <v>125</v>
      </c>
    </row>
    <row r="899" spans="1:20" x14ac:dyDescent="0.2">
      <c r="A899" s="49" t="str">
        <f t="shared" si="32"/>
        <v>11/5</v>
      </c>
      <c r="B899" s="19" t="s">
        <v>84</v>
      </c>
      <c r="C899" s="19" t="s">
        <v>76</v>
      </c>
      <c r="D899" s="19" t="s">
        <v>76</v>
      </c>
      <c r="E899" s="2" t="s">
        <v>15</v>
      </c>
      <c r="F899" s="19">
        <v>5</v>
      </c>
      <c r="G899" s="2"/>
      <c r="H899" s="2"/>
      <c r="I899" s="2"/>
      <c r="J899" s="38"/>
      <c r="K899" s="2"/>
      <c r="L899" s="2"/>
      <c r="M899" s="2"/>
      <c r="N899" s="2"/>
      <c r="O899" s="2" t="s">
        <v>91</v>
      </c>
      <c r="P899" s="2" t="s">
        <v>1097</v>
      </c>
      <c r="Q899" s="2"/>
      <c r="R899" s="38">
        <v>45928</v>
      </c>
      <c r="S899" s="2">
        <v>7</v>
      </c>
      <c r="T899" s="2">
        <v>175</v>
      </c>
    </row>
    <row r="900" spans="1:20" x14ac:dyDescent="0.2">
      <c r="A900" s="49" t="str">
        <f t="shared" si="32"/>
        <v>18/5</v>
      </c>
      <c r="B900" s="19" t="s">
        <v>83</v>
      </c>
      <c r="C900" s="19" t="s">
        <v>76</v>
      </c>
      <c r="D900" s="19" t="s">
        <v>76</v>
      </c>
      <c r="E900" s="2" t="s">
        <v>22</v>
      </c>
      <c r="F900" s="19">
        <v>5</v>
      </c>
      <c r="G900" s="2"/>
      <c r="H900" s="2"/>
      <c r="I900" s="2"/>
      <c r="J900" s="38"/>
      <c r="K900" s="2"/>
      <c r="L900" s="2"/>
      <c r="M900" s="2"/>
      <c r="N900" s="2"/>
      <c r="O900" s="2" t="s">
        <v>91</v>
      </c>
      <c r="P900" s="2" t="s">
        <v>1084</v>
      </c>
      <c r="Q900" s="2"/>
      <c r="R900" s="38">
        <v>45928</v>
      </c>
      <c r="S900" s="2">
        <v>15</v>
      </c>
      <c r="T900" s="2">
        <v>375</v>
      </c>
    </row>
    <row r="901" spans="1:20" x14ac:dyDescent="0.2">
      <c r="A901" s="49" t="str">
        <f t="shared" si="32"/>
        <v>8/5</v>
      </c>
      <c r="B901" s="19" t="s">
        <v>84</v>
      </c>
      <c r="C901" s="19" t="s">
        <v>76</v>
      </c>
      <c r="D901" s="19" t="s">
        <v>76</v>
      </c>
      <c r="E901" s="2" t="s">
        <v>18</v>
      </c>
      <c r="F901" s="19">
        <v>5</v>
      </c>
      <c r="G901" s="2"/>
      <c r="H901" s="2"/>
      <c r="I901" s="2"/>
      <c r="J901" s="38"/>
      <c r="K901" s="2"/>
      <c r="L901" s="2"/>
      <c r="M901" s="2"/>
      <c r="N901" s="2"/>
      <c r="O901" s="2" t="s">
        <v>91</v>
      </c>
      <c r="P901" s="2" t="s">
        <v>1045</v>
      </c>
      <c r="Q901" s="2"/>
      <c r="R901" s="38">
        <v>45928</v>
      </c>
      <c r="S901" s="2">
        <v>1</v>
      </c>
      <c r="T901" s="2">
        <v>25</v>
      </c>
    </row>
    <row r="902" spans="1:20" x14ac:dyDescent="0.2">
      <c r="A902" s="49" t="str">
        <f t="shared" ref="A902:A965" si="33">CONCATENATE(E902,"/",F902)</f>
        <v>11/5</v>
      </c>
      <c r="B902" s="19" t="s">
        <v>84</v>
      </c>
      <c r="C902" s="19" t="s">
        <v>76</v>
      </c>
      <c r="D902" s="19" t="s">
        <v>76</v>
      </c>
      <c r="E902" s="2" t="s">
        <v>15</v>
      </c>
      <c r="F902" s="19">
        <v>5</v>
      </c>
      <c r="G902" s="2"/>
      <c r="H902" s="2"/>
      <c r="I902" s="2"/>
      <c r="J902" s="38"/>
      <c r="K902" s="2"/>
      <c r="L902" s="2"/>
      <c r="M902" s="2"/>
      <c r="N902" s="2"/>
      <c r="O902" s="2" t="s">
        <v>91</v>
      </c>
      <c r="P902" s="2" t="s">
        <v>618</v>
      </c>
      <c r="Q902" s="2"/>
      <c r="R902" s="38">
        <v>45929</v>
      </c>
      <c r="S902" s="2">
        <v>6</v>
      </c>
      <c r="T902" s="2">
        <v>150</v>
      </c>
    </row>
    <row r="903" spans="1:20" x14ac:dyDescent="0.2">
      <c r="A903" s="49" t="str">
        <f t="shared" si="33"/>
        <v>11/4.5</v>
      </c>
      <c r="B903" s="19" t="s">
        <v>972</v>
      </c>
      <c r="C903" s="19" t="s">
        <v>76</v>
      </c>
      <c r="D903" s="19" t="s">
        <v>76</v>
      </c>
      <c r="E903" s="2">
        <v>11</v>
      </c>
      <c r="F903" s="19">
        <v>4.5</v>
      </c>
      <c r="G903" s="2"/>
      <c r="H903" s="2"/>
      <c r="I903" s="2"/>
      <c r="J903" s="38"/>
      <c r="K903" s="2"/>
      <c r="L903" s="2"/>
      <c r="M903" s="2"/>
      <c r="N903" s="2"/>
      <c r="O903" s="2" t="s">
        <v>91</v>
      </c>
      <c r="P903" s="2" t="s">
        <v>1098</v>
      </c>
      <c r="Q903" s="2"/>
      <c r="R903" s="38">
        <v>45929</v>
      </c>
      <c r="S903" s="2">
        <v>2</v>
      </c>
      <c r="T903" s="2">
        <v>50</v>
      </c>
    </row>
    <row r="904" spans="1:20" x14ac:dyDescent="0.2">
      <c r="A904" s="49" t="str">
        <f t="shared" si="33"/>
        <v>11/4.5</v>
      </c>
      <c r="B904" s="19" t="s">
        <v>972</v>
      </c>
      <c r="C904" s="19" t="s">
        <v>76</v>
      </c>
      <c r="D904" s="19" t="s">
        <v>76</v>
      </c>
      <c r="E904" s="2">
        <v>11</v>
      </c>
      <c r="F904" s="19">
        <v>4.5</v>
      </c>
      <c r="G904" s="2"/>
      <c r="H904" s="2"/>
      <c r="I904" s="2"/>
      <c r="J904" s="38"/>
      <c r="K904" s="2"/>
      <c r="L904" s="2"/>
      <c r="M904" s="2"/>
      <c r="N904" s="2"/>
      <c r="O904" s="2" t="s">
        <v>91</v>
      </c>
      <c r="P904" s="2" t="s">
        <v>1024</v>
      </c>
      <c r="Q904" s="2"/>
      <c r="R904" s="38">
        <v>45929</v>
      </c>
      <c r="S904" s="2">
        <v>2</v>
      </c>
      <c r="T904" s="2">
        <v>50</v>
      </c>
    </row>
    <row r="905" spans="1:20" x14ac:dyDescent="0.2">
      <c r="A905" s="49" t="str">
        <f t="shared" si="33"/>
        <v>13/5</v>
      </c>
      <c r="B905" s="19" t="s">
        <v>979</v>
      </c>
      <c r="C905" s="19" t="s">
        <v>76</v>
      </c>
      <c r="D905" s="19" t="s">
        <v>76</v>
      </c>
      <c r="E905" s="2">
        <v>13</v>
      </c>
      <c r="F905" s="19">
        <v>5</v>
      </c>
      <c r="G905" s="2"/>
      <c r="H905" s="2"/>
      <c r="I905" s="2"/>
      <c r="J905" s="38"/>
      <c r="K905" s="2"/>
      <c r="L905" s="2"/>
      <c r="M905" s="2"/>
      <c r="N905" s="2"/>
      <c r="O905" s="2" t="s">
        <v>91</v>
      </c>
      <c r="P905" s="2" t="s">
        <v>1094</v>
      </c>
      <c r="Q905" s="2"/>
      <c r="R905" s="38">
        <v>45929</v>
      </c>
      <c r="S905" s="2">
        <v>14</v>
      </c>
      <c r="T905" s="2">
        <v>350</v>
      </c>
    </row>
    <row r="906" spans="1:20" x14ac:dyDescent="0.2">
      <c r="A906" s="49" t="str">
        <f t="shared" si="33"/>
        <v>06/5</v>
      </c>
      <c r="B906" s="19" t="s">
        <v>973</v>
      </c>
      <c r="C906" s="19" t="s">
        <v>76</v>
      </c>
      <c r="D906" s="19" t="s">
        <v>76</v>
      </c>
      <c r="E906" s="2" t="s">
        <v>1102</v>
      </c>
      <c r="F906" s="19">
        <v>5</v>
      </c>
      <c r="G906" s="2"/>
      <c r="H906" s="2"/>
      <c r="I906" s="2"/>
      <c r="J906" s="38"/>
      <c r="K906" s="2"/>
      <c r="L906" s="2"/>
      <c r="M906" s="2"/>
      <c r="N906" s="2"/>
      <c r="O906" s="2" t="s">
        <v>91</v>
      </c>
      <c r="P906" s="2" t="s">
        <v>1090</v>
      </c>
      <c r="Q906" s="2"/>
      <c r="R906" s="38">
        <v>45929</v>
      </c>
      <c r="S906" s="2">
        <v>2</v>
      </c>
      <c r="T906" s="2">
        <v>50</v>
      </c>
    </row>
    <row r="907" spans="1:20" x14ac:dyDescent="0.2">
      <c r="A907" s="49" t="str">
        <f t="shared" si="33"/>
        <v>10/5</v>
      </c>
      <c r="B907" s="19" t="s">
        <v>84</v>
      </c>
      <c r="C907" s="19" t="s">
        <v>76</v>
      </c>
      <c r="D907" s="19" t="s">
        <v>76</v>
      </c>
      <c r="E907" s="2" t="s">
        <v>16</v>
      </c>
      <c r="F907" s="19">
        <v>5</v>
      </c>
      <c r="G907" s="2"/>
      <c r="H907" s="2"/>
      <c r="I907" s="2"/>
      <c r="J907" s="38"/>
      <c r="K907" s="2"/>
      <c r="L907" s="2"/>
      <c r="M907" s="2"/>
      <c r="N907" s="2"/>
      <c r="O907" s="2" t="s">
        <v>91</v>
      </c>
      <c r="P907" s="2" t="s">
        <v>1099</v>
      </c>
      <c r="Q907" s="2"/>
      <c r="R907" s="38">
        <v>45929</v>
      </c>
      <c r="S907" s="2">
        <v>2</v>
      </c>
      <c r="T907" s="2">
        <v>50</v>
      </c>
    </row>
    <row r="908" spans="1:20" x14ac:dyDescent="0.2">
      <c r="A908" s="49" t="str">
        <f t="shared" si="33"/>
        <v>24/5</v>
      </c>
      <c r="B908" s="19" t="s">
        <v>84</v>
      </c>
      <c r="C908" s="19" t="s">
        <v>76</v>
      </c>
      <c r="D908" s="19" t="s">
        <v>76</v>
      </c>
      <c r="E908" s="2" t="s">
        <v>32</v>
      </c>
      <c r="F908" s="19">
        <v>5</v>
      </c>
      <c r="G908" s="2"/>
      <c r="H908" s="2"/>
      <c r="I908" s="2"/>
      <c r="J908" s="38"/>
      <c r="K908" s="2"/>
      <c r="L908" s="2"/>
      <c r="M908" s="2"/>
      <c r="N908" s="2"/>
      <c r="O908" s="2" t="s">
        <v>91</v>
      </c>
      <c r="P908" s="2" t="s">
        <v>1096</v>
      </c>
      <c r="Q908" s="2"/>
      <c r="R908" s="38">
        <v>45929</v>
      </c>
      <c r="S908" s="2">
        <v>12</v>
      </c>
      <c r="T908" s="2">
        <v>297.7</v>
      </c>
    </row>
    <row r="909" spans="1:20" x14ac:dyDescent="0.2">
      <c r="A909" s="49" t="str">
        <f t="shared" si="33"/>
        <v>14/5</v>
      </c>
      <c r="B909" s="19" t="s">
        <v>84</v>
      </c>
      <c r="C909" s="19" t="s">
        <v>76</v>
      </c>
      <c r="D909" s="19" t="s">
        <v>76</v>
      </c>
      <c r="E909" s="2" t="s">
        <v>12</v>
      </c>
      <c r="F909" s="19">
        <v>5</v>
      </c>
      <c r="G909" s="2"/>
      <c r="H909" s="2"/>
      <c r="I909" s="2"/>
      <c r="J909" s="38"/>
      <c r="K909" s="2"/>
      <c r="L909" s="2"/>
      <c r="M909" s="2"/>
      <c r="N909" s="2"/>
      <c r="O909" s="2" t="s">
        <v>91</v>
      </c>
      <c r="P909" s="2" t="s">
        <v>1100</v>
      </c>
      <c r="Q909" s="2"/>
      <c r="R909" s="38">
        <v>45929</v>
      </c>
      <c r="S909" s="2">
        <v>10</v>
      </c>
      <c r="T909" s="2">
        <v>250</v>
      </c>
    </row>
    <row r="910" spans="1:20" x14ac:dyDescent="0.2">
      <c r="A910" s="49" t="str">
        <f t="shared" si="33"/>
        <v>8/5</v>
      </c>
      <c r="B910" s="19" t="s">
        <v>84</v>
      </c>
      <c r="C910" s="19" t="s">
        <v>76</v>
      </c>
      <c r="D910" s="19" t="s">
        <v>76</v>
      </c>
      <c r="E910" s="2" t="s">
        <v>18</v>
      </c>
      <c r="F910" s="19">
        <v>5</v>
      </c>
      <c r="G910" s="2"/>
      <c r="H910" s="2"/>
      <c r="I910" s="2"/>
      <c r="J910" s="38"/>
      <c r="K910" s="2"/>
      <c r="L910" s="2"/>
      <c r="M910" s="2"/>
      <c r="N910" s="2"/>
      <c r="O910" s="2" t="s">
        <v>91</v>
      </c>
      <c r="P910" s="2" t="s">
        <v>1101</v>
      </c>
      <c r="Q910" s="2"/>
      <c r="R910" s="38">
        <v>45929</v>
      </c>
      <c r="S910" s="2">
        <v>17</v>
      </c>
      <c r="T910" s="2">
        <v>425</v>
      </c>
    </row>
    <row r="911" spans="1:20" x14ac:dyDescent="0.2">
      <c r="A911" s="49" t="str">
        <f t="shared" si="33"/>
        <v>11/5</v>
      </c>
      <c r="B911" s="19" t="s">
        <v>84</v>
      </c>
      <c r="C911" s="19" t="s">
        <v>76</v>
      </c>
      <c r="D911" s="19" t="s">
        <v>76</v>
      </c>
      <c r="E911" s="2" t="s">
        <v>15</v>
      </c>
      <c r="F911" s="19">
        <v>5</v>
      </c>
      <c r="G911" s="2"/>
      <c r="H911" s="2"/>
      <c r="I911" s="2"/>
      <c r="J911" s="38"/>
      <c r="K911" s="2"/>
      <c r="L911" s="2"/>
      <c r="M911" s="2"/>
      <c r="N911" s="2"/>
      <c r="O911" s="2" t="s">
        <v>91</v>
      </c>
      <c r="P911" s="2" t="s">
        <v>618</v>
      </c>
      <c r="Q911" s="2"/>
      <c r="R911" s="38">
        <v>45929</v>
      </c>
      <c r="S911" s="2">
        <v>6</v>
      </c>
      <c r="T911" s="2">
        <v>150</v>
      </c>
    </row>
    <row r="912" spans="1:20" x14ac:dyDescent="0.2">
      <c r="A912" s="49" t="str">
        <f t="shared" si="33"/>
        <v>4/5</v>
      </c>
      <c r="B912" s="19" t="s">
        <v>84</v>
      </c>
      <c r="C912" s="19" t="s">
        <v>76</v>
      </c>
      <c r="D912" s="19" t="s">
        <v>76</v>
      </c>
      <c r="E912" s="2" t="s">
        <v>26</v>
      </c>
      <c r="F912" s="19">
        <v>5</v>
      </c>
      <c r="G912" s="2"/>
      <c r="H912" s="2"/>
      <c r="I912" s="2"/>
      <c r="J912" s="38"/>
      <c r="K912" s="2"/>
      <c r="L912" s="2"/>
      <c r="M912" s="2"/>
      <c r="N912" s="2"/>
      <c r="O912" s="2" t="s">
        <v>91</v>
      </c>
      <c r="P912" s="2" t="s">
        <v>1088</v>
      </c>
      <c r="Q912" s="2"/>
      <c r="R912" s="38">
        <v>45929</v>
      </c>
      <c r="S912" s="2">
        <v>11</v>
      </c>
      <c r="T912" s="2">
        <v>275</v>
      </c>
    </row>
    <row r="913" spans="1:20" x14ac:dyDescent="0.2">
      <c r="A913" s="49" t="str">
        <f t="shared" si="33"/>
        <v>2/12</v>
      </c>
      <c r="B913" s="19" t="s">
        <v>975</v>
      </c>
      <c r="C913" s="19" t="s">
        <v>76</v>
      </c>
      <c r="D913" s="19" t="s">
        <v>76</v>
      </c>
      <c r="E913" s="2">
        <v>2</v>
      </c>
      <c r="F913" s="19">
        <v>12</v>
      </c>
      <c r="G913" s="2"/>
      <c r="H913" s="2"/>
      <c r="I913" s="2"/>
      <c r="J913" s="38"/>
      <c r="K913" s="2"/>
      <c r="L913" s="2"/>
      <c r="M913" s="2"/>
      <c r="N913" s="2"/>
      <c r="O913" s="2" t="s">
        <v>91</v>
      </c>
      <c r="P913" s="2" t="s">
        <v>1005</v>
      </c>
      <c r="Q913" s="2"/>
      <c r="R913" s="38">
        <v>45929</v>
      </c>
      <c r="S913" s="2">
        <v>11</v>
      </c>
      <c r="T913" s="2">
        <v>275</v>
      </c>
    </row>
    <row r="914" spans="1:20" x14ac:dyDescent="0.2">
      <c r="A914" s="49" t="str">
        <f t="shared" si="33"/>
        <v>17/5.5-6</v>
      </c>
      <c r="B914" s="19" t="s">
        <v>827</v>
      </c>
      <c r="C914" s="19" t="s">
        <v>76</v>
      </c>
      <c r="D914" s="19" t="s">
        <v>76</v>
      </c>
      <c r="E914" s="19">
        <v>17</v>
      </c>
      <c r="F914" s="19" t="s">
        <v>5</v>
      </c>
      <c r="G914" s="2"/>
      <c r="H914" s="2"/>
      <c r="I914" s="2"/>
      <c r="J914" s="38"/>
      <c r="K914" s="2"/>
      <c r="L914" s="2"/>
      <c r="M914" s="2"/>
      <c r="N914" s="2"/>
      <c r="O914" s="2" t="s">
        <v>289</v>
      </c>
      <c r="P914" s="2" t="s">
        <v>845</v>
      </c>
      <c r="Q914" s="2"/>
      <c r="R914" s="38">
        <v>45919</v>
      </c>
      <c r="S914" s="2">
        <v>14</v>
      </c>
      <c r="T914" s="2">
        <v>350</v>
      </c>
    </row>
    <row r="915" spans="1:20" x14ac:dyDescent="0.2">
      <c r="A915" s="49" t="str">
        <f t="shared" si="33"/>
        <v>18/5</v>
      </c>
      <c r="B915" s="19" t="s">
        <v>506</v>
      </c>
      <c r="C915" s="19" t="s">
        <v>76</v>
      </c>
      <c r="D915" s="19" t="s">
        <v>76</v>
      </c>
      <c r="E915" s="19">
        <v>18</v>
      </c>
      <c r="F915" s="19">
        <v>5</v>
      </c>
      <c r="G915" s="2"/>
      <c r="H915" s="2"/>
      <c r="I915" s="2"/>
      <c r="J915" s="38"/>
      <c r="K915" s="2"/>
      <c r="L915" s="2"/>
      <c r="M915" s="2"/>
      <c r="N915" s="2"/>
      <c r="O915" s="2" t="s">
        <v>289</v>
      </c>
      <c r="P915" s="2" t="s">
        <v>865</v>
      </c>
      <c r="Q915" s="2"/>
      <c r="R915" s="38">
        <v>45919</v>
      </c>
      <c r="S915" s="2">
        <v>3</v>
      </c>
      <c r="T915" s="2">
        <v>75</v>
      </c>
    </row>
    <row r="916" spans="1:20" x14ac:dyDescent="0.2">
      <c r="A916" s="49" t="str">
        <f t="shared" si="33"/>
        <v>18/5</v>
      </c>
      <c r="B916" s="19" t="s">
        <v>86</v>
      </c>
      <c r="C916" s="19" t="s">
        <v>76</v>
      </c>
      <c r="D916" s="19" t="s">
        <v>76</v>
      </c>
      <c r="E916" s="19">
        <v>18</v>
      </c>
      <c r="F916" s="19">
        <v>5</v>
      </c>
      <c r="G916" s="2"/>
      <c r="H916" s="2"/>
      <c r="I916" s="2"/>
      <c r="J916" s="38"/>
      <c r="K916" s="2"/>
      <c r="L916" s="2"/>
      <c r="M916" s="2"/>
      <c r="N916" s="2"/>
      <c r="O916" s="2" t="s">
        <v>289</v>
      </c>
      <c r="P916" s="2" t="s">
        <v>1107</v>
      </c>
      <c r="Q916" s="2"/>
      <c r="R916" s="38">
        <v>45919</v>
      </c>
      <c r="S916" s="2">
        <v>8</v>
      </c>
      <c r="T916" s="2">
        <v>200</v>
      </c>
    </row>
    <row r="917" spans="1:20" x14ac:dyDescent="0.2">
      <c r="A917" s="49" t="str">
        <f t="shared" si="33"/>
        <v>17/5.5-6</v>
      </c>
      <c r="B917" s="19" t="s">
        <v>827</v>
      </c>
      <c r="C917" s="19" t="s">
        <v>76</v>
      </c>
      <c r="D917" s="19" t="s">
        <v>76</v>
      </c>
      <c r="E917" s="19">
        <v>17</v>
      </c>
      <c r="F917" s="19" t="s">
        <v>5</v>
      </c>
      <c r="G917" s="2"/>
      <c r="H917" s="2"/>
      <c r="I917" s="2"/>
      <c r="J917" s="38"/>
      <c r="K917" s="2"/>
      <c r="L917" s="2"/>
      <c r="M917" s="2"/>
      <c r="N917" s="2"/>
      <c r="O917" s="2" t="s">
        <v>289</v>
      </c>
      <c r="P917" s="2" t="s">
        <v>845</v>
      </c>
      <c r="Q917" s="2"/>
      <c r="R917" s="38">
        <v>45919</v>
      </c>
      <c r="S917" s="2">
        <v>12</v>
      </c>
      <c r="T917" s="2">
        <v>300</v>
      </c>
    </row>
    <row r="918" spans="1:20" x14ac:dyDescent="0.2">
      <c r="A918" s="49" t="str">
        <f t="shared" si="33"/>
        <v>14/5</v>
      </c>
      <c r="B918" s="19" t="s">
        <v>86</v>
      </c>
      <c r="C918" s="19" t="s">
        <v>76</v>
      </c>
      <c r="D918" s="19" t="s">
        <v>76</v>
      </c>
      <c r="E918" s="19">
        <v>14</v>
      </c>
      <c r="F918" s="19">
        <v>5</v>
      </c>
      <c r="G918" s="2"/>
      <c r="H918" s="2"/>
      <c r="I918" s="2"/>
      <c r="J918" s="38"/>
      <c r="K918" s="2"/>
      <c r="L918" s="2"/>
      <c r="M918" s="2"/>
      <c r="N918" s="2"/>
      <c r="O918" s="2" t="s">
        <v>289</v>
      </c>
      <c r="P918" s="2" t="s">
        <v>1108</v>
      </c>
      <c r="Q918" s="2"/>
      <c r="R918" s="38">
        <v>45919</v>
      </c>
      <c r="S918" s="2">
        <v>2</v>
      </c>
      <c r="T918" s="2">
        <v>56.8</v>
      </c>
    </row>
    <row r="919" spans="1:20" x14ac:dyDescent="0.2">
      <c r="A919" s="49" t="str">
        <f t="shared" si="33"/>
        <v>18/5</v>
      </c>
      <c r="B919" s="19" t="s">
        <v>864</v>
      </c>
      <c r="C919" s="19" t="s">
        <v>76</v>
      </c>
      <c r="D919" s="19" t="s">
        <v>76</v>
      </c>
      <c r="E919" s="19">
        <v>18</v>
      </c>
      <c r="F919" s="19">
        <v>5</v>
      </c>
      <c r="G919" s="2"/>
      <c r="H919" s="2"/>
      <c r="I919" s="2"/>
      <c r="J919" s="38"/>
      <c r="K919" s="2"/>
      <c r="L919" s="2"/>
      <c r="M919" s="2"/>
      <c r="N919" s="2"/>
      <c r="O919" s="2" t="s">
        <v>289</v>
      </c>
      <c r="P919" s="2" t="s">
        <v>1107</v>
      </c>
      <c r="Q919" s="2"/>
      <c r="R919" s="38">
        <v>45919</v>
      </c>
      <c r="S919" s="2">
        <v>2</v>
      </c>
      <c r="T919" s="2">
        <v>52.1</v>
      </c>
    </row>
    <row r="920" spans="1:20" x14ac:dyDescent="0.2">
      <c r="A920" s="49" t="str">
        <f t="shared" si="33"/>
        <v>12/5</v>
      </c>
      <c r="B920" s="19" t="s">
        <v>86</v>
      </c>
      <c r="C920" s="19" t="s">
        <v>76</v>
      </c>
      <c r="D920" s="19" t="s">
        <v>76</v>
      </c>
      <c r="E920" s="19">
        <v>12</v>
      </c>
      <c r="F920" s="19">
        <v>5</v>
      </c>
      <c r="G920" s="2"/>
      <c r="H920" s="2"/>
      <c r="I920" s="2"/>
      <c r="J920" s="38"/>
      <c r="K920" s="2"/>
      <c r="L920" s="2"/>
      <c r="M920" s="2"/>
      <c r="N920" s="2"/>
      <c r="O920" s="2" t="s">
        <v>289</v>
      </c>
      <c r="P920" s="2" t="s">
        <v>1109</v>
      </c>
      <c r="Q920" s="2"/>
      <c r="R920" s="38">
        <v>45919</v>
      </c>
      <c r="S920" s="2">
        <v>4</v>
      </c>
      <c r="T920" s="2">
        <v>99.5</v>
      </c>
    </row>
    <row r="921" spans="1:20" x14ac:dyDescent="0.2">
      <c r="A921" s="49" t="str">
        <f t="shared" si="33"/>
        <v>17/5.5-6</v>
      </c>
      <c r="B921" s="19" t="s">
        <v>827</v>
      </c>
      <c r="C921" s="19" t="s">
        <v>76</v>
      </c>
      <c r="D921" s="19" t="s">
        <v>76</v>
      </c>
      <c r="E921" s="19">
        <v>17</v>
      </c>
      <c r="F921" s="19" t="s">
        <v>5</v>
      </c>
      <c r="G921" s="2"/>
      <c r="H921" s="2"/>
      <c r="I921" s="2"/>
      <c r="J921" s="38"/>
      <c r="K921" s="2"/>
      <c r="L921" s="2"/>
      <c r="M921" s="2"/>
      <c r="N921" s="2"/>
      <c r="O921" s="2" t="s">
        <v>289</v>
      </c>
      <c r="P921" s="2" t="s">
        <v>845</v>
      </c>
      <c r="Q921" s="2"/>
      <c r="R921" s="38">
        <v>45919</v>
      </c>
      <c r="S921" s="2">
        <v>1</v>
      </c>
      <c r="T921" s="2">
        <v>25</v>
      </c>
    </row>
    <row r="922" spans="1:20" x14ac:dyDescent="0.2">
      <c r="A922" s="49" t="str">
        <f t="shared" si="33"/>
        <v>17/5.5-6</v>
      </c>
      <c r="B922" s="19" t="s">
        <v>86</v>
      </c>
      <c r="C922" s="19" t="s">
        <v>76</v>
      </c>
      <c r="D922" s="19" t="s">
        <v>76</v>
      </c>
      <c r="E922" s="19">
        <v>17</v>
      </c>
      <c r="F922" s="19" t="s">
        <v>5</v>
      </c>
      <c r="G922" s="2"/>
      <c r="H922" s="2"/>
      <c r="I922" s="2"/>
      <c r="J922" s="38"/>
      <c r="K922" s="2"/>
      <c r="L922" s="2"/>
      <c r="M922" s="2"/>
      <c r="N922" s="2"/>
      <c r="O922" s="2" t="s">
        <v>289</v>
      </c>
      <c r="P922" s="2" t="s">
        <v>845</v>
      </c>
      <c r="Q922" s="2"/>
      <c r="R922" s="38">
        <v>45920</v>
      </c>
      <c r="S922" s="2">
        <v>14</v>
      </c>
      <c r="T922" s="2">
        <v>350</v>
      </c>
    </row>
    <row r="923" spans="1:20" x14ac:dyDescent="0.2">
      <c r="A923" s="49" t="str">
        <f t="shared" si="33"/>
        <v>17/5.5-6</v>
      </c>
      <c r="B923" s="19" t="s">
        <v>1103</v>
      </c>
      <c r="C923" s="19" t="s">
        <v>76</v>
      </c>
      <c r="D923" s="19" t="s">
        <v>76</v>
      </c>
      <c r="E923" s="19">
        <v>17</v>
      </c>
      <c r="F923" s="19" t="s">
        <v>5</v>
      </c>
      <c r="G923" s="2"/>
      <c r="H923" s="2"/>
      <c r="I923" s="2"/>
      <c r="J923" s="38"/>
      <c r="K923" s="2"/>
      <c r="L923" s="2"/>
      <c r="M923" s="2"/>
      <c r="N923" s="2"/>
      <c r="O923" s="2" t="s">
        <v>289</v>
      </c>
      <c r="P923" s="2" t="s">
        <v>845</v>
      </c>
      <c r="Q923" s="2"/>
      <c r="R923" s="38">
        <v>45920</v>
      </c>
      <c r="S923" s="2">
        <v>14</v>
      </c>
      <c r="T923" s="2">
        <v>350</v>
      </c>
    </row>
    <row r="924" spans="1:20" x14ac:dyDescent="0.2">
      <c r="A924" s="49" t="str">
        <f t="shared" si="33"/>
        <v>17/5.5-6</v>
      </c>
      <c r="B924" s="19" t="s">
        <v>827</v>
      </c>
      <c r="C924" s="19" t="s">
        <v>76</v>
      </c>
      <c r="D924" s="19" t="s">
        <v>76</v>
      </c>
      <c r="E924" s="19">
        <v>17</v>
      </c>
      <c r="F924" s="19" t="s">
        <v>5</v>
      </c>
      <c r="G924" s="2"/>
      <c r="H924" s="2"/>
      <c r="I924" s="2"/>
      <c r="J924" s="38"/>
      <c r="K924" s="2"/>
      <c r="L924" s="2"/>
      <c r="M924" s="2"/>
      <c r="N924" s="2"/>
      <c r="O924" s="2" t="s">
        <v>289</v>
      </c>
      <c r="P924" s="2" t="s">
        <v>845</v>
      </c>
      <c r="Q924" s="2"/>
      <c r="R924" s="38">
        <v>45920</v>
      </c>
      <c r="S924" s="2">
        <v>7</v>
      </c>
      <c r="T924" s="2">
        <v>175</v>
      </c>
    </row>
    <row r="925" spans="1:20" x14ac:dyDescent="0.2">
      <c r="A925" s="49" t="str">
        <f t="shared" si="33"/>
        <v>17/5.5-6</v>
      </c>
      <c r="B925" s="19" t="s">
        <v>1104</v>
      </c>
      <c r="C925" s="19" t="s">
        <v>76</v>
      </c>
      <c r="D925" s="19" t="s">
        <v>76</v>
      </c>
      <c r="E925" s="19">
        <v>17</v>
      </c>
      <c r="F925" s="19" t="s">
        <v>5</v>
      </c>
      <c r="G925" s="2"/>
      <c r="H925" s="2"/>
      <c r="I925" s="2"/>
      <c r="J925" s="38"/>
      <c r="K925" s="2"/>
      <c r="L925" s="2"/>
      <c r="M925" s="2"/>
      <c r="N925" s="2"/>
      <c r="O925" s="2" t="s">
        <v>289</v>
      </c>
      <c r="P925" s="2" t="s">
        <v>845</v>
      </c>
      <c r="Q925" s="2"/>
      <c r="R925" s="38">
        <v>45920</v>
      </c>
      <c r="S925" s="2">
        <v>6</v>
      </c>
      <c r="T925" s="2">
        <v>150</v>
      </c>
    </row>
    <row r="926" spans="1:20" x14ac:dyDescent="0.2">
      <c r="A926" s="49" t="str">
        <f t="shared" si="33"/>
        <v>14/5</v>
      </c>
      <c r="B926" s="19" t="s">
        <v>1103</v>
      </c>
      <c r="C926" s="19" t="s">
        <v>76</v>
      </c>
      <c r="D926" s="19" t="s">
        <v>76</v>
      </c>
      <c r="E926" s="19">
        <v>14</v>
      </c>
      <c r="F926" s="19">
        <v>5</v>
      </c>
      <c r="G926" s="2"/>
      <c r="H926" s="2"/>
      <c r="I926" s="2"/>
      <c r="J926" s="38"/>
      <c r="K926" s="2"/>
      <c r="L926" s="2"/>
      <c r="M926" s="2"/>
      <c r="N926" s="2"/>
      <c r="O926" s="2" t="s">
        <v>289</v>
      </c>
      <c r="P926" s="2" t="s">
        <v>1110</v>
      </c>
      <c r="Q926" s="2"/>
      <c r="R926" s="38">
        <v>45920</v>
      </c>
      <c r="S926" s="2">
        <v>4</v>
      </c>
      <c r="T926" s="2">
        <v>100</v>
      </c>
    </row>
    <row r="927" spans="1:20" x14ac:dyDescent="0.2">
      <c r="A927" s="49" t="str">
        <f t="shared" si="33"/>
        <v>/</v>
      </c>
      <c r="B927" s="19" t="s">
        <v>1103</v>
      </c>
      <c r="C927" s="19" t="s">
        <v>76</v>
      </c>
      <c r="D927" s="19" t="s">
        <v>76</v>
      </c>
      <c r="E927" s="19"/>
      <c r="F927" s="19"/>
      <c r="G927" s="2"/>
      <c r="H927" s="2"/>
      <c r="I927" s="2"/>
      <c r="J927" s="38"/>
      <c r="K927" s="2"/>
      <c r="L927" s="2"/>
      <c r="M927" s="2"/>
      <c r="N927" s="2"/>
      <c r="O927" s="2" t="s">
        <v>289</v>
      </c>
      <c r="P927" s="2"/>
      <c r="Q927" s="2"/>
      <c r="R927" s="38">
        <v>45921</v>
      </c>
      <c r="S927" s="2"/>
      <c r="T927" s="2"/>
    </row>
    <row r="928" spans="1:20" x14ac:dyDescent="0.2">
      <c r="A928" s="49" t="str">
        <f t="shared" si="33"/>
        <v>14/5</v>
      </c>
      <c r="B928" s="19" t="s">
        <v>827</v>
      </c>
      <c r="C928" s="19" t="s">
        <v>76</v>
      </c>
      <c r="D928" s="19" t="s">
        <v>76</v>
      </c>
      <c r="E928" s="19">
        <v>14</v>
      </c>
      <c r="F928" s="19">
        <v>5</v>
      </c>
      <c r="G928" s="2"/>
      <c r="H928" s="2"/>
      <c r="I928" s="2"/>
      <c r="J928" s="38"/>
      <c r="K928" s="2"/>
      <c r="L928" s="2"/>
      <c r="M928" s="2"/>
      <c r="N928" s="2"/>
      <c r="O928" s="2" t="s">
        <v>289</v>
      </c>
      <c r="P928" s="2" t="s">
        <v>1110</v>
      </c>
      <c r="Q928" s="2"/>
      <c r="R928" s="38">
        <v>45922</v>
      </c>
      <c r="S928" s="2">
        <v>3</v>
      </c>
      <c r="T928" s="2">
        <v>65</v>
      </c>
    </row>
    <row r="929" spans="1:20" x14ac:dyDescent="0.2">
      <c r="A929" s="49" t="str">
        <f t="shared" si="33"/>
        <v>13/7</v>
      </c>
      <c r="B929" s="19" t="s">
        <v>827</v>
      </c>
      <c r="C929" s="19" t="s">
        <v>76</v>
      </c>
      <c r="D929" s="19" t="s">
        <v>76</v>
      </c>
      <c r="E929" s="19">
        <v>13</v>
      </c>
      <c r="F929" s="19">
        <v>7</v>
      </c>
      <c r="G929" s="2"/>
      <c r="H929" s="2"/>
      <c r="I929" s="2"/>
      <c r="J929" s="38"/>
      <c r="K929" s="2"/>
      <c r="L929" s="2"/>
      <c r="M929" s="2"/>
      <c r="N929" s="2"/>
      <c r="O929" s="2" t="s">
        <v>289</v>
      </c>
      <c r="P929" s="2" t="s">
        <v>990</v>
      </c>
      <c r="Q929" s="2"/>
      <c r="R929" s="38">
        <v>45922</v>
      </c>
      <c r="S929" s="2">
        <v>3</v>
      </c>
      <c r="T929" s="2">
        <v>75</v>
      </c>
    </row>
    <row r="930" spans="1:20" x14ac:dyDescent="0.2">
      <c r="A930" s="49" t="str">
        <f t="shared" si="33"/>
        <v>13/7</v>
      </c>
      <c r="B930" s="19" t="s">
        <v>827</v>
      </c>
      <c r="C930" s="19" t="s">
        <v>76</v>
      </c>
      <c r="D930" s="19" t="s">
        <v>76</v>
      </c>
      <c r="E930" s="19">
        <v>13</v>
      </c>
      <c r="F930" s="19">
        <v>7</v>
      </c>
      <c r="G930" s="2"/>
      <c r="H930" s="2"/>
      <c r="I930" s="2"/>
      <c r="J930" s="38"/>
      <c r="K930" s="2"/>
      <c r="L930" s="2"/>
      <c r="M930" s="2"/>
      <c r="N930" s="2"/>
      <c r="O930" s="2" t="s">
        <v>289</v>
      </c>
      <c r="P930" s="2" t="s">
        <v>990</v>
      </c>
      <c r="Q930" s="2"/>
      <c r="R930" s="38">
        <v>45923</v>
      </c>
      <c r="S930" s="2">
        <v>9</v>
      </c>
      <c r="T930" s="2">
        <v>225</v>
      </c>
    </row>
    <row r="931" spans="1:20" x14ac:dyDescent="0.2">
      <c r="A931" s="49" t="str">
        <f t="shared" si="33"/>
        <v>16/5.5-6</v>
      </c>
      <c r="B931" s="19" t="s">
        <v>827</v>
      </c>
      <c r="C931" s="19" t="s">
        <v>76</v>
      </c>
      <c r="D931" s="19" t="s">
        <v>76</v>
      </c>
      <c r="E931" s="19">
        <v>16</v>
      </c>
      <c r="F931" s="19" t="s">
        <v>5</v>
      </c>
      <c r="G931" s="2"/>
      <c r="H931" s="2"/>
      <c r="I931" s="2"/>
      <c r="J931" s="38"/>
      <c r="K931" s="2"/>
      <c r="L931" s="2"/>
      <c r="M931" s="2"/>
      <c r="N931" s="2"/>
      <c r="O931" s="2" t="s">
        <v>289</v>
      </c>
      <c r="P931" s="2" t="s">
        <v>998</v>
      </c>
      <c r="Q931" s="2"/>
      <c r="R931" s="38">
        <v>45923</v>
      </c>
      <c r="S931" s="2">
        <v>13</v>
      </c>
      <c r="T931" s="2">
        <v>325</v>
      </c>
    </row>
    <row r="932" spans="1:20" x14ac:dyDescent="0.2">
      <c r="A932" s="49" t="str">
        <f t="shared" si="33"/>
        <v>13/7</v>
      </c>
      <c r="B932" s="19" t="s">
        <v>827</v>
      </c>
      <c r="C932" s="19" t="s">
        <v>76</v>
      </c>
      <c r="D932" s="19" t="s">
        <v>76</v>
      </c>
      <c r="E932" s="19">
        <v>13</v>
      </c>
      <c r="F932" s="19">
        <v>7</v>
      </c>
      <c r="G932" s="2"/>
      <c r="H932" s="2"/>
      <c r="I932" s="2"/>
      <c r="J932" s="38"/>
      <c r="K932" s="2"/>
      <c r="L932" s="2"/>
      <c r="M932" s="2"/>
      <c r="N932" s="2"/>
      <c r="O932" s="2" t="s">
        <v>289</v>
      </c>
      <c r="P932" s="2" t="s">
        <v>990</v>
      </c>
      <c r="Q932" s="2"/>
      <c r="R932" s="38">
        <v>45923</v>
      </c>
      <c r="S932" s="2">
        <v>4</v>
      </c>
      <c r="T932" s="2">
        <v>94.2</v>
      </c>
    </row>
    <row r="933" spans="1:20" x14ac:dyDescent="0.2">
      <c r="A933" s="49" t="str">
        <f t="shared" si="33"/>
        <v>17/8.5-9</v>
      </c>
      <c r="B933" s="19" t="s">
        <v>1105</v>
      </c>
      <c r="C933" s="19" t="s">
        <v>76</v>
      </c>
      <c r="D933" s="19" t="s">
        <v>76</v>
      </c>
      <c r="E933" s="19">
        <v>17</v>
      </c>
      <c r="F933" s="19" t="s">
        <v>171</v>
      </c>
      <c r="G933" s="2"/>
      <c r="H933" s="2"/>
      <c r="I933" s="2"/>
      <c r="J933" s="38"/>
      <c r="K933" s="2"/>
      <c r="L933" s="2"/>
      <c r="M933" s="2"/>
      <c r="N933" s="2"/>
      <c r="O933" s="2" t="s">
        <v>289</v>
      </c>
      <c r="P933" s="2" t="s">
        <v>1004</v>
      </c>
      <c r="Q933" s="2"/>
      <c r="R933" s="38">
        <v>45923</v>
      </c>
      <c r="S933" s="2">
        <v>4</v>
      </c>
      <c r="T933" s="2">
        <v>100</v>
      </c>
    </row>
    <row r="934" spans="1:20" x14ac:dyDescent="0.2">
      <c r="A934" s="49" t="str">
        <f t="shared" si="33"/>
        <v>16/5.5-6</v>
      </c>
      <c r="B934" s="19" t="s">
        <v>581</v>
      </c>
      <c r="C934" s="19"/>
      <c r="D934" s="19" t="s">
        <v>76</v>
      </c>
      <c r="E934" s="19">
        <v>16</v>
      </c>
      <c r="F934" s="19" t="s">
        <v>5</v>
      </c>
      <c r="G934" s="2"/>
      <c r="H934" s="2"/>
      <c r="I934" s="2"/>
      <c r="J934" s="38"/>
      <c r="K934" s="2"/>
      <c r="L934" s="2"/>
      <c r="M934" s="2"/>
      <c r="N934" s="2"/>
      <c r="O934" s="2" t="s">
        <v>289</v>
      </c>
      <c r="P934" s="2" t="s">
        <v>998</v>
      </c>
      <c r="Q934" s="2"/>
      <c r="R934" s="38">
        <v>45923</v>
      </c>
      <c r="S934" s="2">
        <v>7</v>
      </c>
      <c r="T934" s="2">
        <v>174</v>
      </c>
    </row>
    <row r="935" spans="1:20" x14ac:dyDescent="0.2">
      <c r="A935" s="49" t="str">
        <f t="shared" si="33"/>
        <v>12/4-4.5</v>
      </c>
      <c r="B935" s="19" t="s">
        <v>1105</v>
      </c>
      <c r="C935" s="19" t="s">
        <v>76</v>
      </c>
      <c r="D935" s="19" t="s">
        <v>76</v>
      </c>
      <c r="E935" s="19">
        <v>12</v>
      </c>
      <c r="F935" s="19" t="s">
        <v>1106</v>
      </c>
      <c r="G935" s="2"/>
      <c r="H935" s="2"/>
      <c r="I935" s="2"/>
      <c r="J935" s="38"/>
      <c r="K935" s="2"/>
      <c r="L935" s="2"/>
      <c r="M935" s="2"/>
      <c r="N935" s="2"/>
      <c r="O935" s="2" t="s">
        <v>289</v>
      </c>
      <c r="P935" s="2" t="s">
        <v>1111</v>
      </c>
      <c r="Q935" s="2"/>
      <c r="R935" s="38">
        <v>45923</v>
      </c>
      <c r="S935" s="2">
        <v>2</v>
      </c>
      <c r="T935" s="2">
        <v>50</v>
      </c>
    </row>
    <row r="936" spans="1:20" x14ac:dyDescent="0.2">
      <c r="A936" s="49" t="str">
        <f t="shared" si="33"/>
        <v>17/8.5-9</v>
      </c>
      <c r="B936" s="19" t="s">
        <v>93</v>
      </c>
      <c r="C936" s="19" t="s">
        <v>76</v>
      </c>
      <c r="D936" s="19" t="s">
        <v>76</v>
      </c>
      <c r="E936" s="19">
        <v>17</v>
      </c>
      <c r="F936" s="19" t="s">
        <v>171</v>
      </c>
      <c r="G936" s="2"/>
      <c r="H936" s="2"/>
      <c r="I936" s="2"/>
      <c r="J936" s="38"/>
      <c r="K936" s="2"/>
      <c r="L936" s="2"/>
      <c r="M936" s="2"/>
      <c r="N936" s="2"/>
      <c r="O936" s="2" t="s">
        <v>289</v>
      </c>
      <c r="P936" s="2" t="s">
        <v>1004</v>
      </c>
      <c r="Q936" s="2"/>
      <c r="R936" s="38">
        <v>45924</v>
      </c>
      <c r="S936" s="2">
        <v>11</v>
      </c>
      <c r="T936" s="2">
        <v>275</v>
      </c>
    </row>
    <row r="937" spans="1:20" x14ac:dyDescent="0.2">
      <c r="A937" s="49" t="str">
        <f t="shared" si="33"/>
        <v>12/4-4.5</v>
      </c>
      <c r="B937" s="19" t="s">
        <v>93</v>
      </c>
      <c r="C937" s="19" t="s">
        <v>76</v>
      </c>
      <c r="D937" s="19" t="s">
        <v>76</v>
      </c>
      <c r="E937" s="19">
        <v>12</v>
      </c>
      <c r="F937" s="19" t="s">
        <v>1106</v>
      </c>
      <c r="G937" s="2"/>
      <c r="H937" s="2"/>
      <c r="I937" s="2"/>
      <c r="J937" s="38"/>
      <c r="K937" s="2"/>
      <c r="L937" s="2"/>
      <c r="M937" s="2"/>
      <c r="N937" s="2"/>
      <c r="O937" s="2" t="s">
        <v>289</v>
      </c>
      <c r="P937" s="2" t="s">
        <v>1111</v>
      </c>
      <c r="Q937" s="2"/>
      <c r="R937" s="38">
        <v>45924</v>
      </c>
      <c r="S937" s="2">
        <v>2</v>
      </c>
      <c r="T937" s="2">
        <v>45.2</v>
      </c>
    </row>
    <row r="938" spans="1:20" x14ac:dyDescent="0.2">
      <c r="A938" s="49" t="str">
        <f t="shared" si="33"/>
        <v>17/5</v>
      </c>
      <c r="B938" s="19" t="s">
        <v>92</v>
      </c>
      <c r="C938" s="19" t="s">
        <v>76</v>
      </c>
      <c r="D938" s="19" t="s">
        <v>76</v>
      </c>
      <c r="E938" s="19">
        <v>17</v>
      </c>
      <c r="F938" s="19">
        <v>5</v>
      </c>
      <c r="G938" s="2"/>
      <c r="H938" s="2"/>
      <c r="I938" s="2"/>
      <c r="J938" s="38"/>
      <c r="K938" s="2"/>
      <c r="L938" s="2"/>
      <c r="M938" s="2"/>
      <c r="N938" s="2"/>
      <c r="O938" s="2" t="s">
        <v>289</v>
      </c>
      <c r="P938" s="2" t="s">
        <v>1112</v>
      </c>
      <c r="Q938" s="2"/>
      <c r="R938" s="38">
        <v>45924</v>
      </c>
      <c r="S938" s="2">
        <v>4</v>
      </c>
      <c r="T938" s="2">
        <v>100</v>
      </c>
    </row>
    <row r="939" spans="1:20" x14ac:dyDescent="0.2">
      <c r="A939" s="49" t="str">
        <f t="shared" si="33"/>
        <v>17/8.5-9</v>
      </c>
      <c r="B939" s="19" t="s">
        <v>93</v>
      </c>
      <c r="C939" s="19" t="s">
        <v>76</v>
      </c>
      <c r="D939" s="19" t="s">
        <v>76</v>
      </c>
      <c r="E939" s="19">
        <v>17</v>
      </c>
      <c r="F939" s="19" t="s">
        <v>171</v>
      </c>
      <c r="G939" s="2"/>
      <c r="H939" s="2"/>
      <c r="I939" s="2"/>
      <c r="J939" s="38"/>
      <c r="K939" s="2"/>
      <c r="L939" s="2"/>
      <c r="M939" s="2"/>
      <c r="N939" s="2"/>
      <c r="O939" s="2" t="s">
        <v>289</v>
      </c>
      <c r="P939" s="2" t="s">
        <v>1004</v>
      </c>
      <c r="Q939" s="2"/>
      <c r="R939" s="38">
        <v>45924</v>
      </c>
      <c r="S939" s="2">
        <v>3</v>
      </c>
      <c r="T939" s="2">
        <v>75</v>
      </c>
    </row>
    <row r="940" spans="1:20" x14ac:dyDescent="0.2">
      <c r="A940" s="49" t="str">
        <f t="shared" si="33"/>
        <v>17/8.5-9</v>
      </c>
      <c r="B940" s="19" t="s">
        <v>506</v>
      </c>
      <c r="C940" s="19" t="s">
        <v>76</v>
      </c>
      <c r="D940" s="19" t="s">
        <v>76</v>
      </c>
      <c r="E940" s="19">
        <v>17</v>
      </c>
      <c r="F940" s="19" t="s">
        <v>171</v>
      </c>
      <c r="G940" s="2"/>
      <c r="H940" s="2"/>
      <c r="I940" s="2"/>
      <c r="J940" s="38"/>
      <c r="K940" s="2"/>
      <c r="L940" s="2"/>
      <c r="M940" s="2"/>
      <c r="N940" s="2"/>
      <c r="O940" s="2" t="s">
        <v>289</v>
      </c>
      <c r="P940" s="2" t="s">
        <v>1004</v>
      </c>
      <c r="Q940" s="2"/>
      <c r="R940" s="38">
        <v>45924</v>
      </c>
      <c r="S940" s="2">
        <v>8</v>
      </c>
      <c r="T940" s="2">
        <v>200</v>
      </c>
    </row>
    <row r="941" spans="1:20" x14ac:dyDescent="0.2">
      <c r="A941" s="49" t="str">
        <f t="shared" si="33"/>
        <v>17/8.5-9</v>
      </c>
      <c r="B941" s="19" t="s">
        <v>92</v>
      </c>
      <c r="C941" s="19" t="s">
        <v>76</v>
      </c>
      <c r="D941" s="19" t="s">
        <v>76</v>
      </c>
      <c r="E941" s="19">
        <v>17</v>
      </c>
      <c r="F941" s="19" t="s">
        <v>171</v>
      </c>
      <c r="G941" s="2"/>
      <c r="H941" s="2"/>
      <c r="I941" s="2"/>
      <c r="J941" s="38"/>
      <c r="K941" s="2"/>
      <c r="L941" s="2"/>
      <c r="M941" s="2"/>
      <c r="N941" s="2"/>
      <c r="O941" s="2" t="s">
        <v>289</v>
      </c>
      <c r="P941" s="2" t="s">
        <v>1004</v>
      </c>
      <c r="Q941" s="2"/>
      <c r="R941" s="38">
        <v>45924</v>
      </c>
      <c r="S941" s="2">
        <v>11</v>
      </c>
      <c r="T941" s="2">
        <v>275</v>
      </c>
    </row>
    <row r="942" spans="1:20" x14ac:dyDescent="0.2">
      <c r="A942" s="49" t="str">
        <f t="shared" si="33"/>
        <v>17/8.5-9</v>
      </c>
      <c r="B942" s="19" t="s">
        <v>864</v>
      </c>
      <c r="C942" s="19" t="s">
        <v>76</v>
      </c>
      <c r="D942" s="19" t="s">
        <v>76</v>
      </c>
      <c r="E942" s="19">
        <v>17</v>
      </c>
      <c r="F942" s="19" t="s">
        <v>171</v>
      </c>
      <c r="G942" s="2"/>
      <c r="H942" s="2"/>
      <c r="I942" s="2"/>
      <c r="J942" s="38"/>
      <c r="K942" s="2"/>
      <c r="L942" s="2"/>
      <c r="M942" s="2"/>
      <c r="N942" s="2"/>
      <c r="O942" s="2" t="s">
        <v>289</v>
      </c>
      <c r="P942" s="2" t="s">
        <v>1004</v>
      </c>
      <c r="Q942" s="2"/>
      <c r="R942" s="38">
        <v>45925</v>
      </c>
      <c r="S942" s="2">
        <v>11</v>
      </c>
      <c r="T942" s="2">
        <v>275</v>
      </c>
    </row>
    <row r="943" spans="1:20" x14ac:dyDescent="0.2">
      <c r="A943" s="49" t="str">
        <f t="shared" si="33"/>
        <v>17/8.5-9</v>
      </c>
      <c r="B943" s="19" t="s">
        <v>506</v>
      </c>
      <c r="C943" s="19" t="s">
        <v>76</v>
      </c>
      <c r="D943" s="19" t="s">
        <v>76</v>
      </c>
      <c r="E943" s="19">
        <v>17</v>
      </c>
      <c r="F943" s="19" t="s">
        <v>171</v>
      </c>
      <c r="G943" s="2"/>
      <c r="H943" s="2"/>
      <c r="I943" s="2"/>
      <c r="J943" s="38"/>
      <c r="K943" s="2"/>
      <c r="L943" s="2"/>
      <c r="M943" s="2"/>
      <c r="N943" s="2"/>
      <c r="O943" s="2" t="s">
        <v>289</v>
      </c>
      <c r="P943" s="2" t="s">
        <v>1004</v>
      </c>
      <c r="Q943" s="2"/>
      <c r="R943" s="38">
        <v>45925</v>
      </c>
      <c r="S943" s="2">
        <v>11</v>
      </c>
      <c r="T943" s="2">
        <v>275</v>
      </c>
    </row>
    <row r="944" spans="1:20" x14ac:dyDescent="0.2">
      <c r="A944" s="49" t="str">
        <f t="shared" si="33"/>
        <v>17/5.5-6</v>
      </c>
      <c r="B944" s="19" t="s">
        <v>864</v>
      </c>
      <c r="C944" s="19" t="s">
        <v>76</v>
      </c>
      <c r="D944" s="19" t="s">
        <v>76</v>
      </c>
      <c r="E944" s="19">
        <v>17</v>
      </c>
      <c r="F944" s="19" t="s">
        <v>5</v>
      </c>
      <c r="G944" s="2"/>
      <c r="H944" s="2"/>
      <c r="I944" s="2"/>
      <c r="J944" s="38"/>
      <c r="K944" s="2"/>
      <c r="L944" s="2"/>
      <c r="M944" s="2"/>
      <c r="N944" s="2"/>
      <c r="O944" s="2" t="s">
        <v>289</v>
      </c>
      <c r="P944" s="2" t="s">
        <v>845</v>
      </c>
      <c r="Q944" s="2"/>
      <c r="R944" s="38">
        <v>45925</v>
      </c>
      <c r="S944" s="2">
        <v>2</v>
      </c>
      <c r="T944" s="2">
        <v>50</v>
      </c>
    </row>
    <row r="945" spans="1:20" x14ac:dyDescent="0.2">
      <c r="A945" s="49" t="str">
        <f t="shared" si="33"/>
        <v>17/8.5-9</v>
      </c>
      <c r="B945" s="19" t="s">
        <v>168</v>
      </c>
      <c r="C945" s="19" t="s">
        <v>76</v>
      </c>
      <c r="D945" s="19" t="s">
        <v>76</v>
      </c>
      <c r="E945" s="19">
        <v>17</v>
      </c>
      <c r="F945" s="19" t="s">
        <v>171</v>
      </c>
      <c r="G945" s="2"/>
      <c r="H945" s="2"/>
      <c r="I945" s="2"/>
      <c r="J945" s="38"/>
      <c r="K945" s="2"/>
      <c r="L945" s="2"/>
      <c r="M945" s="2"/>
      <c r="N945" s="2"/>
      <c r="O945" s="2" t="s">
        <v>289</v>
      </c>
      <c r="P945" s="2" t="s">
        <v>1004</v>
      </c>
      <c r="Q945" s="2"/>
      <c r="R945" s="38">
        <v>45925</v>
      </c>
      <c r="S945" s="2">
        <v>10</v>
      </c>
      <c r="T945" s="2">
        <v>250</v>
      </c>
    </row>
    <row r="946" spans="1:20" x14ac:dyDescent="0.2">
      <c r="A946" s="49" t="str">
        <f t="shared" si="33"/>
        <v>17/8.5-9</v>
      </c>
      <c r="B946" s="19" t="s">
        <v>506</v>
      </c>
      <c r="C946" s="19" t="s">
        <v>76</v>
      </c>
      <c r="D946" s="19" t="s">
        <v>76</v>
      </c>
      <c r="E946" s="19">
        <v>17</v>
      </c>
      <c r="F946" s="19" t="s">
        <v>171</v>
      </c>
      <c r="G946" s="2"/>
      <c r="H946" s="2"/>
      <c r="I946" s="2"/>
      <c r="J946" s="38"/>
      <c r="K946" s="2"/>
      <c r="L946" s="2"/>
      <c r="M946" s="2"/>
      <c r="N946" s="2"/>
      <c r="O946" s="2" t="s">
        <v>289</v>
      </c>
      <c r="P946" s="2" t="s">
        <v>1004</v>
      </c>
      <c r="Q946" s="2"/>
      <c r="R946" s="38">
        <v>45925</v>
      </c>
      <c r="S946" s="2">
        <v>10</v>
      </c>
      <c r="T946" s="2">
        <v>250</v>
      </c>
    </row>
    <row r="947" spans="1:20" x14ac:dyDescent="0.2">
      <c r="A947" s="49" t="str">
        <f t="shared" si="33"/>
        <v>17/5.5-6</v>
      </c>
      <c r="B947" s="19" t="s">
        <v>506</v>
      </c>
      <c r="C947" s="19" t="s">
        <v>76</v>
      </c>
      <c r="D947" s="19" t="s">
        <v>76</v>
      </c>
      <c r="E947" s="19">
        <v>17</v>
      </c>
      <c r="F947" s="19" t="s">
        <v>5</v>
      </c>
      <c r="G947" s="2"/>
      <c r="H947" s="2"/>
      <c r="I947" s="2"/>
      <c r="J947" s="38"/>
      <c r="K947" s="2"/>
      <c r="L947" s="2"/>
      <c r="M947" s="2"/>
      <c r="N947" s="2"/>
      <c r="O947" s="2" t="s">
        <v>289</v>
      </c>
      <c r="P947" s="2" t="s">
        <v>845</v>
      </c>
      <c r="Q947" s="2"/>
      <c r="R947" s="38">
        <v>45925</v>
      </c>
      <c r="S947" s="2">
        <v>1</v>
      </c>
      <c r="T947" s="2">
        <v>25</v>
      </c>
    </row>
    <row r="948" spans="1:20" x14ac:dyDescent="0.2">
      <c r="A948" s="49" t="str">
        <f t="shared" si="33"/>
        <v>17/8.5-9</v>
      </c>
      <c r="B948" s="19" t="s">
        <v>506</v>
      </c>
      <c r="C948" s="19" t="s">
        <v>76</v>
      </c>
      <c r="D948" s="19" t="s">
        <v>76</v>
      </c>
      <c r="E948" s="19">
        <v>17</v>
      </c>
      <c r="F948" s="19" t="s">
        <v>171</v>
      </c>
      <c r="G948" s="2"/>
      <c r="H948" s="2"/>
      <c r="I948" s="2"/>
      <c r="J948" s="38"/>
      <c r="K948" s="2"/>
      <c r="L948" s="2"/>
      <c r="M948" s="2"/>
      <c r="N948" s="2"/>
      <c r="O948" s="2" t="s">
        <v>289</v>
      </c>
      <c r="P948" s="2" t="s">
        <v>1004</v>
      </c>
      <c r="Q948" s="2"/>
      <c r="R948" s="38">
        <v>45926</v>
      </c>
      <c r="S948" s="2">
        <v>11</v>
      </c>
      <c r="T948" s="2">
        <v>275</v>
      </c>
    </row>
    <row r="949" spans="1:20" x14ac:dyDescent="0.2">
      <c r="A949" s="49" t="str">
        <f t="shared" si="33"/>
        <v>17/8.5-9</v>
      </c>
      <c r="B949" s="19" t="s">
        <v>506</v>
      </c>
      <c r="C949" s="19" t="s">
        <v>76</v>
      </c>
      <c r="D949" s="19" t="s">
        <v>76</v>
      </c>
      <c r="E949" s="19">
        <v>17</v>
      </c>
      <c r="F949" s="19" t="s">
        <v>171</v>
      </c>
      <c r="G949" s="2"/>
      <c r="H949" s="2"/>
      <c r="I949" s="2"/>
      <c r="J949" s="38"/>
      <c r="K949" s="2"/>
      <c r="L949" s="2"/>
      <c r="M949" s="2"/>
      <c r="N949" s="2"/>
      <c r="O949" s="2" t="s">
        <v>289</v>
      </c>
      <c r="P949" s="2" t="s">
        <v>1004</v>
      </c>
      <c r="Q949" s="2"/>
      <c r="R949" s="38">
        <v>45926</v>
      </c>
      <c r="S949" s="2">
        <v>8</v>
      </c>
      <c r="T949" s="2">
        <v>200</v>
      </c>
    </row>
    <row r="950" spans="1:20" x14ac:dyDescent="0.2">
      <c r="A950" s="49" t="str">
        <f t="shared" si="33"/>
        <v>17/8.5-9</v>
      </c>
      <c r="B950" s="19" t="s">
        <v>506</v>
      </c>
      <c r="C950" s="19" t="s">
        <v>76</v>
      </c>
      <c r="D950" s="19" t="s">
        <v>76</v>
      </c>
      <c r="E950" s="19">
        <v>17</v>
      </c>
      <c r="F950" s="19" t="s">
        <v>171</v>
      </c>
      <c r="G950" s="2"/>
      <c r="H950" s="2"/>
      <c r="I950" s="2"/>
      <c r="J950" s="38"/>
      <c r="K950" s="2"/>
      <c r="L950" s="2"/>
      <c r="M950" s="2"/>
      <c r="N950" s="2"/>
      <c r="O950" s="2" t="s">
        <v>289</v>
      </c>
      <c r="P950" s="2" t="s">
        <v>1004</v>
      </c>
      <c r="Q950" s="2"/>
      <c r="R950" s="38">
        <v>45926</v>
      </c>
      <c r="S950" s="2">
        <v>8</v>
      </c>
      <c r="T950" s="2">
        <v>200</v>
      </c>
    </row>
    <row r="951" spans="1:20" x14ac:dyDescent="0.2">
      <c r="A951" s="49" t="str">
        <f t="shared" si="33"/>
        <v>17/8.5-9</v>
      </c>
      <c r="B951" s="19" t="s">
        <v>827</v>
      </c>
      <c r="C951" s="19" t="s">
        <v>76</v>
      </c>
      <c r="D951" s="19" t="s">
        <v>76</v>
      </c>
      <c r="E951" s="19">
        <v>17</v>
      </c>
      <c r="F951" s="19" t="s">
        <v>171</v>
      </c>
      <c r="G951" s="2"/>
      <c r="H951" s="2"/>
      <c r="I951" s="2"/>
      <c r="J951" s="38"/>
      <c r="K951" s="2"/>
      <c r="L951" s="2"/>
      <c r="M951" s="2"/>
      <c r="N951" s="2"/>
      <c r="O951" s="2" t="s">
        <v>289</v>
      </c>
      <c r="P951" s="2" t="s">
        <v>1004</v>
      </c>
      <c r="Q951" s="2"/>
      <c r="R951" s="38">
        <v>45926</v>
      </c>
      <c r="S951" s="2">
        <v>11</v>
      </c>
      <c r="T951" s="2">
        <v>270</v>
      </c>
    </row>
    <row r="952" spans="1:20" x14ac:dyDescent="0.2">
      <c r="A952" s="49" t="str">
        <f t="shared" si="33"/>
        <v>15/7</v>
      </c>
      <c r="B952" s="19" t="s">
        <v>506</v>
      </c>
      <c r="C952" s="19" t="s">
        <v>76</v>
      </c>
      <c r="D952" s="19" t="s">
        <v>76</v>
      </c>
      <c r="E952" s="19">
        <v>15</v>
      </c>
      <c r="F952" s="19">
        <v>7</v>
      </c>
      <c r="G952" s="2"/>
      <c r="H952" s="2"/>
      <c r="I952" s="2"/>
      <c r="J952" s="38"/>
      <c r="K952" s="2"/>
      <c r="L952" s="2"/>
      <c r="M952" s="2"/>
      <c r="N952" s="2"/>
      <c r="O952" s="2" t="s">
        <v>289</v>
      </c>
      <c r="P952" s="2" t="s">
        <v>1012</v>
      </c>
      <c r="Q952" s="2"/>
      <c r="R952" s="38">
        <v>45927</v>
      </c>
      <c r="S952" s="2">
        <v>8</v>
      </c>
      <c r="T952" s="2">
        <v>207.2</v>
      </c>
    </row>
    <row r="953" spans="1:20" x14ac:dyDescent="0.2">
      <c r="A953" s="49" t="str">
        <f t="shared" si="33"/>
        <v>19/7</v>
      </c>
      <c r="B953" s="19" t="s">
        <v>506</v>
      </c>
      <c r="C953" s="19" t="s">
        <v>76</v>
      </c>
      <c r="D953" s="19" t="s">
        <v>76</v>
      </c>
      <c r="E953" s="19">
        <v>19</v>
      </c>
      <c r="F953" s="19">
        <v>7</v>
      </c>
      <c r="G953" s="2"/>
      <c r="H953" s="2"/>
      <c r="I953" s="2"/>
      <c r="J953" s="38"/>
      <c r="K953" s="2"/>
      <c r="L953" s="2"/>
      <c r="M953" s="2"/>
      <c r="N953" s="2"/>
      <c r="O953" s="2" t="s">
        <v>289</v>
      </c>
      <c r="P953" s="2" t="s">
        <v>1013</v>
      </c>
      <c r="Q953" s="2"/>
      <c r="R953" s="38">
        <v>45927</v>
      </c>
      <c r="S953" s="2">
        <v>9</v>
      </c>
      <c r="T953" s="2">
        <v>227.5</v>
      </c>
    </row>
    <row r="954" spans="1:20" x14ac:dyDescent="0.2">
      <c r="A954" s="49" t="str">
        <f t="shared" si="33"/>
        <v>17/5.5-6</v>
      </c>
      <c r="B954" s="19" t="s">
        <v>827</v>
      </c>
      <c r="C954" s="19" t="s">
        <v>76</v>
      </c>
      <c r="D954" s="19" t="s">
        <v>76</v>
      </c>
      <c r="E954" s="19">
        <v>17</v>
      </c>
      <c r="F954" s="19" t="s">
        <v>5</v>
      </c>
      <c r="G954" s="2"/>
      <c r="H954" s="2"/>
      <c r="I954" s="2"/>
      <c r="J954" s="38"/>
      <c r="K954" s="2"/>
      <c r="L954" s="2"/>
      <c r="M954" s="2"/>
      <c r="N954" s="2"/>
      <c r="O954" s="2" t="s">
        <v>289</v>
      </c>
      <c r="P954" s="2" t="s">
        <v>1113</v>
      </c>
      <c r="Q954" s="2"/>
      <c r="R954" s="38">
        <v>45927</v>
      </c>
      <c r="S954" s="2">
        <v>3</v>
      </c>
      <c r="T954" s="2">
        <v>75</v>
      </c>
    </row>
    <row r="955" spans="1:20" x14ac:dyDescent="0.2">
      <c r="A955" s="49" t="str">
        <f t="shared" si="33"/>
        <v>17/5.5-6</v>
      </c>
      <c r="B955" s="19" t="s">
        <v>506</v>
      </c>
      <c r="C955" s="19" t="s">
        <v>76</v>
      </c>
      <c r="D955" s="19" t="s">
        <v>76</v>
      </c>
      <c r="E955" s="19">
        <v>17</v>
      </c>
      <c r="F955" s="19" t="s">
        <v>5</v>
      </c>
      <c r="G955" s="2"/>
      <c r="H955" s="2"/>
      <c r="I955" s="2"/>
      <c r="J955" s="38"/>
      <c r="K955" s="2"/>
      <c r="L955" s="2"/>
      <c r="M955" s="2"/>
      <c r="N955" s="2"/>
      <c r="O955" s="2" t="s">
        <v>289</v>
      </c>
      <c r="P955" s="2" t="s">
        <v>1113</v>
      </c>
      <c r="Q955" s="2"/>
      <c r="R955" s="38">
        <v>45927</v>
      </c>
      <c r="S955" s="2">
        <v>13</v>
      </c>
      <c r="T955" s="2">
        <v>325</v>
      </c>
    </row>
    <row r="956" spans="1:20" x14ac:dyDescent="0.2">
      <c r="A956" s="49" t="str">
        <f t="shared" si="33"/>
        <v>17/5.5-6</v>
      </c>
      <c r="B956" s="19" t="s">
        <v>506</v>
      </c>
      <c r="C956" s="19" t="s">
        <v>76</v>
      </c>
      <c r="D956" s="19" t="s">
        <v>76</v>
      </c>
      <c r="E956" s="19">
        <v>17</v>
      </c>
      <c r="F956" s="19" t="s">
        <v>5</v>
      </c>
      <c r="G956" s="2"/>
      <c r="H956" s="2"/>
      <c r="I956" s="2"/>
      <c r="J956" s="38"/>
      <c r="K956" s="2"/>
      <c r="L956" s="2"/>
      <c r="M956" s="2"/>
      <c r="N956" s="2"/>
      <c r="O956" s="2" t="s">
        <v>289</v>
      </c>
      <c r="P956" s="2" t="s">
        <v>1113</v>
      </c>
      <c r="Q956" s="2"/>
      <c r="R956" s="38">
        <v>45927</v>
      </c>
      <c r="S956" s="2">
        <v>14</v>
      </c>
      <c r="T956" s="2">
        <v>350</v>
      </c>
    </row>
    <row r="957" spans="1:20" x14ac:dyDescent="0.2">
      <c r="A957" s="49" t="str">
        <f t="shared" si="33"/>
        <v>17/5.5-6</v>
      </c>
      <c r="B957" s="19" t="s">
        <v>506</v>
      </c>
      <c r="C957" s="19" t="s">
        <v>76</v>
      </c>
      <c r="D957" s="19" t="s">
        <v>76</v>
      </c>
      <c r="E957" s="19">
        <v>17</v>
      </c>
      <c r="F957" s="19" t="s">
        <v>5</v>
      </c>
      <c r="G957" s="2"/>
      <c r="H957" s="2"/>
      <c r="I957" s="2"/>
      <c r="J957" s="38"/>
      <c r="K957" s="2"/>
      <c r="L957" s="2"/>
      <c r="M957" s="2"/>
      <c r="N957" s="2"/>
      <c r="O957" s="2" t="s">
        <v>289</v>
      </c>
      <c r="P957" s="2" t="s">
        <v>1113</v>
      </c>
      <c r="Q957" s="2"/>
      <c r="R957" s="38">
        <v>45928</v>
      </c>
      <c r="S957" s="2">
        <v>13</v>
      </c>
      <c r="T957" s="2">
        <v>325</v>
      </c>
    </row>
    <row r="958" spans="1:20" x14ac:dyDescent="0.2">
      <c r="A958" s="49" t="str">
        <f t="shared" si="33"/>
        <v>17/5.5-6</v>
      </c>
      <c r="B958" s="19" t="s">
        <v>506</v>
      </c>
      <c r="C958" s="19" t="s">
        <v>76</v>
      </c>
      <c r="D958" s="19" t="s">
        <v>76</v>
      </c>
      <c r="E958" s="19">
        <v>17</v>
      </c>
      <c r="F958" s="19" t="s">
        <v>5</v>
      </c>
      <c r="G958" s="2"/>
      <c r="H958" s="2"/>
      <c r="I958" s="2"/>
      <c r="J958" s="38"/>
      <c r="K958" s="2"/>
      <c r="L958" s="2"/>
      <c r="M958" s="2"/>
      <c r="N958" s="2"/>
      <c r="O958" s="2" t="s">
        <v>289</v>
      </c>
      <c r="P958" s="2" t="s">
        <v>1113</v>
      </c>
      <c r="Q958" s="2"/>
      <c r="R958" s="38">
        <v>45928</v>
      </c>
      <c r="S958" s="2">
        <v>14</v>
      </c>
      <c r="T958" s="2">
        <v>350</v>
      </c>
    </row>
    <row r="959" spans="1:20" x14ac:dyDescent="0.2">
      <c r="A959" s="49" t="str">
        <f t="shared" si="33"/>
        <v>17/5.5-6</v>
      </c>
      <c r="B959" s="19" t="s">
        <v>979</v>
      </c>
      <c r="C959" s="19" t="s">
        <v>76</v>
      </c>
      <c r="D959" s="19" t="s">
        <v>76</v>
      </c>
      <c r="E959" s="19">
        <v>17</v>
      </c>
      <c r="F959" s="19" t="s">
        <v>5</v>
      </c>
      <c r="G959" s="2"/>
      <c r="H959" s="2"/>
      <c r="I959" s="2"/>
      <c r="J959" s="38"/>
      <c r="K959" s="2"/>
      <c r="L959" s="2"/>
      <c r="M959" s="2"/>
      <c r="N959" s="2"/>
      <c r="O959" s="2" t="s">
        <v>289</v>
      </c>
      <c r="P959" s="2" t="s">
        <v>1113</v>
      </c>
      <c r="Q959" s="2"/>
      <c r="R959" s="38">
        <v>45928</v>
      </c>
      <c r="S959" s="2">
        <v>8</v>
      </c>
      <c r="T959" s="2">
        <v>200</v>
      </c>
    </row>
    <row r="960" spans="1:20" x14ac:dyDescent="0.2">
      <c r="A960" s="49" t="str">
        <f t="shared" si="33"/>
        <v>28/5</v>
      </c>
      <c r="B960" s="19" t="s">
        <v>979</v>
      </c>
      <c r="C960" s="19" t="s">
        <v>76</v>
      </c>
      <c r="D960" s="19" t="s">
        <v>76</v>
      </c>
      <c r="E960" s="19">
        <v>28</v>
      </c>
      <c r="F960" s="19">
        <v>5</v>
      </c>
      <c r="G960" s="2"/>
      <c r="H960" s="2"/>
      <c r="I960" s="2"/>
      <c r="J960" s="38"/>
      <c r="K960" s="2"/>
      <c r="L960" s="2"/>
      <c r="M960" s="2"/>
      <c r="N960" s="2"/>
      <c r="O960" s="2" t="s">
        <v>289</v>
      </c>
      <c r="P960" s="2" t="s">
        <v>1114</v>
      </c>
      <c r="Q960" s="2"/>
      <c r="R960" s="38">
        <v>45928</v>
      </c>
      <c r="S960" s="2">
        <v>5</v>
      </c>
      <c r="T960" s="2">
        <v>125</v>
      </c>
    </row>
    <row r="961" spans="1:20" x14ac:dyDescent="0.2">
      <c r="A961" s="49" t="str">
        <f t="shared" si="33"/>
        <v>17/5.5-6</v>
      </c>
      <c r="B961" s="19" t="s">
        <v>92</v>
      </c>
      <c r="C961" s="19" t="s">
        <v>76</v>
      </c>
      <c r="D961" s="19" t="s">
        <v>76</v>
      </c>
      <c r="E961" s="19">
        <v>17</v>
      </c>
      <c r="F961" s="19" t="s">
        <v>5</v>
      </c>
      <c r="G961" s="2"/>
      <c r="H961" s="2"/>
      <c r="I961" s="2"/>
      <c r="J961" s="38"/>
      <c r="K961" s="2"/>
      <c r="L961" s="2"/>
      <c r="M961" s="2"/>
      <c r="N961" s="2"/>
      <c r="O961" s="2" t="s">
        <v>289</v>
      </c>
      <c r="P961" s="2" t="s">
        <v>1113</v>
      </c>
      <c r="Q961" s="2"/>
      <c r="R961" s="38">
        <v>45929</v>
      </c>
      <c r="S961" s="2">
        <v>14</v>
      </c>
      <c r="T961" s="2">
        <v>350</v>
      </c>
    </row>
    <row r="962" spans="1:20" x14ac:dyDescent="0.2">
      <c r="A962" s="49" t="str">
        <f t="shared" si="33"/>
        <v>17/5.5-6</v>
      </c>
      <c r="B962" s="19" t="s">
        <v>92</v>
      </c>
      <c r="C962" s="19" t="s">
        <v>76</v>
      </c>
      <c r="D962" s="19" t="s">
        <v>76</v>
      </c>
      <c r="E962" s="19">
        <v>17</v>
      </c>
      <c r="F962" s="19" t="s">
        <v>5</v>
      </c>
      <c r="G962" s="2"/>
      <c r="H962" s="2"/>
      <c r="I962" s="2"/>
      <c r="J962" s="38"/>
      <c r="K962" s="2"/>
      <c r="L962" s="2"/>
      <c r="M962" s="2"/>
      <c r="N962" s="2"/>
      <c r="O962" s="2" t="s">
        <v>289</v>
      </c>
      <c r="P962" s="2" t="s">
        <v>1113</v>
      </c>
      <c r="Q962" s="2"/>
      <c r="R962" s="38">
        <v>45929</v>
      </c>
      <c r="S962" s="2">
        <v>9</v>
      </c>
      <c r="T962" s="2">
        <v>225</v>
      </c>
    </row>
    <row r="963" spans="1:20" x14ac:dyDescent="0.2">
      <c r="A963" s="49" t="str">
        <f t="shared" si="33"/>
        <v>28/5</v>
      </c>
      <c r="B963" s="19" t="s">
        <v>92</v>
      </c>
      <c r="C963" s="19" t="s">
        <v>76</v>
      </c>
      <c r="D963" s="19" t="s">
        <v>76</v>
      </c>
      <c r="E963" s="19">
        <v>28</v>
      </c>
      <c r="F963" s="19">
        <v>5</v>
      </c>
      <c r="G963" s="2"/>
      <c r="H963" s="2"/>
      <c r="I963" s="2"/>
      <c r="J963" s="38"/>
      <c r="K963" s="2"/>
      <c r="L963" s="2"/>
      <c r="M963" s="2"/>
      <c r="N963" s="2"/>
      <c r="O963" s="2" t="s">
        <v>289</v>
      </c>
      <c r="P963" s="2" t="s">
        <v>1115</v>
      </c>
      <c r="Q963" s="2"/>
      <c r="R963" s="38">
        <v>45929</v>
      </c>
      <c r="S963" s="2">
        <v>5</v>
      </c>
      <c r="T963" s="2">
        <v>125</v>
      </c>
    </row>
    <row r="964" spans="1:20" x14ac:dyDescent="0.2">
      <c r="A964" s="49" t="str">
        <f t="shared" si="33"/>
        <v>8/5</v>
      </c>
      <c r="B964" s="19" t="s">
        <v>92</v>
      </c>
      <c r="C964" s="19" t="s">
        <v>76</v>
      </c>
      <c r="D964" s="19" t="s">
        <v>76</v>
      </c>
      <c r="E964" s="19">
        <v>8</v>
      </c>
      <c r="F964" s="19">
        <v>5</v>
      </c>
      <c r="G964" s="2"/>
      <c r="H964" s="2"/>
      <c r="I964" s="2"/>
      <c r="J964" s="38"/>
      <c r="K964" s="2"/>
      <c r="L964" s="2"/>
      <c r="M964" s="2"/>
      <c r="N964" s="2"/>
      <c r="O964" s="2" t="s">
        <v>289</v>
      </c>
      <c r="P964" s="2" t="s">
        <v>1116</v>
      </c>
      <c r="Q964" s="2"/>
      <c r="R964" s="38">
        <v>45929</v>
      </c>
      <c r="S964" s="2">
        <v>1</v>
      </c>
      <c r="T964" s="2">
        <v>25</v>
      </c>
    </row>
    <row r="965" spans="1:20" x14ac:dyDescent="0.2">
      <c r="A965" s="49" t="str">
        <f t="shared" si="33"/>
        <v>14/5</v>
      </c>
      <c r="B965" s="19" t="s">
        <v>92</v>
      </c>
      <c r="C965" s="19" t="s">
        <v>76</v>
      </c>
      <c r="D965" s="19" t="s">
        <v>76</v>
      </c>
      <c r="E965" s="19">
        <v>14</v>
      </c>
      <c r="F965" s="19">
        <v>5</v>
      </c>
      <c r="G965" s="2"/>
      <c r="H965" s="2"/>
      <c r="I965" s="2"/>
      <c r="J965" s="38"/>
      <c r="K965" s="2"/>
      <c r="L965" s="2"/>
      <c r="M965" s="2"/>
      <c r="N965" s="2"/>
      <c r="O965" s="2" t="s">
        <v>289</v>
      </c>
      <c r="P965" s="2" t="s">
        <v>1117</v>
      </c>
      <c r="Q965" s="2"/>
      <c r="R965" s="38">
        <v>45929</v>
      </c>
      <c r="S965" s="2">
        <v>2</v>
      </c>
      <c r="T965" s="2">
        <v>50</v>
      </c>
    </row>
    <row r="966" spans="1:20" x14ac:dyDescent="0.2">
      <c r="A966" s="49" t="str">
        <f t="shared" ref="A966:A1016" si="34">CONCATENATE(E966,"/",F966)</f>
        <v>17/5.5-6</v>
      </c>
      <c r="B966" s="19" t="s">
        <v>92</v>
      </c>
      <c r="C966" s="19" t="s">
        <v>76</v>
      </c>
      <c r="D966" s="19" t="s">
        <v>76</v>
      </c>
      <c r="E966" s="19">
        <v>17</v>
      </c>
      <c r="F966" s="19" t="s">
        <v>5</v>
      </c>
      <c r="G966" s="2"/>
      <c r="H966" s="2"/>
      <c r="I966" s="2"/>
      <c r="J966" s="38"/>
      <c r="K966" s="2"/>
      <c r="L966" s="2"/>
      <c r="M966" s="2"/>
      <c r="N966" s="2"/>
      <c r="O966" s="2" t="s">
        <v>289</v>
      </c>
      <c r="P966" s="2" t="s">
        <v>1113</v>
      </c>
      <c r="Q966" s="2"/>
      <c r="R966" s="38">
        <v>45929</v>
      </c>
      <c r="S966" s="2">
        <v>8</v>
      </c>
      <c r="T966" s="2">
        <v>200</v>
      </c>
    </row>
    <row r="967" spans="1:20" x14ac:dyDescent="0.2">
      <c r="A967" s="49" t="str">
        <f t="shared" si="34"/>
        <v>12/6.5</v>
      </c>
      <c r="B967" s="19" t="s">
        <v>165</v>
      </c>
      <c r="C967" s="19" t="s">
        <v>76</v>
      </c>
      <c r="D967" s="19" t="s">
        <v>76</v>
      </c>
      <c r="E967" s="19" t="s">
        <v>14</v>
      </c>
      <c r="F967" s="19">
        <v>6.5</v>
      </c>
      <c r="G967" s="2"/>
      <c r="H967" s="2"/>
      <c r="I967" s="2"/>
      <c r="J967" s="38"/>
      <c r="K967" s="2"/>
      <c r="L967" s="2"/>
      <c r="M967" s="2"/>
      <c r="N967" s="2"/>
      <c r="O967" s="2" t="s">
        <v>233</v>
      </c>
      <c r="P967" s="2" t="s">
        <v>846</v>
      </c>
      <c r="Q967" s="2">
        <v>99</v>
      </c>
      <c r="R967" s="38">
        <v>45919</v>
      </c>
      <c r="S967" s="2">
        <v>8</v>
      </c>
      <c r="T967" s="2">
        <v>277.39</v>
      </c>
    </row>
    <row r="968" spans="1:20" x14ac:dyDescent="0.2">
      <c r="A968" s="49" t="str">
        <f t="shared" si="34"/>
        <v>14/7</v>
      </c>
      <c r="B968" s="19" t="s">
        <v>581</v>
      </c>
      <c r="C968" s="19" t="s">
        <v>76</v>
      </c>
      <c r="D968" s="19" t="s">
        <v>76</v>
      </c>
      <c r="E968" s="19">
        <v>14</v>
      </c>
      <c r="F968" s="19">
        <v>7</v>
      </c>
      <c r="G968" s="2"/>
      <c r="H968" s="2"/>
      <c r="I968" s="2"/>
      <c r="J968" s="38"/>
      <c r="K968" s="2"/>
      <c r="L968" s="2"/>
      <c r="M968" s="2"/>
      <c r="N968" s="2"/>
      <c r="O968" s="2" t="s">
        <v>233</v>
      </c>
      <c r="P968" s="2" t="s">
        <v>1119</v>
      </c>
      <c r="Q968" s="2">
        <v>100</v>
      </c>
      <c r="R968" s="38">
        <v>45919</v>
      </c>
      <c r="S968" s="2">
        <v>2</v>
      </c>
      <c r="T968" s="2">
        <v>112.08</v>
      </c>
    </row>
    <row r="969" spans="1:20" x14ac:dyDescent="0.2">
      <c r="A969" s="49" t="str">
        <f t="shared" si="34"/>
        <v>13/6.5</v>
      </c>
      <c r="B969" s="19" t="s">
        <v>165</v>
      </c>
      <c r="C969" s="19" t="s">
        <v>76</v>
      </c>
      <c r="D969" s="19" t="s">
        <v>76</v>
      </c>
      <c r="E969" s="19" t="s">
        <v>13</v>
      </c>
      <c r="F969" s="19">
        <v>6.5</v>
      </c>
      <c r="G969" s="2"/>
      <c r="H969" s="2"/>
      <c r="I969" s="2"/>
      <c r="J969" s="38"/>
      <c r="K969" s="2"/>
      <c r="L969" s="2"/>
      <c r="M969" s="2"/>
      <c r="N969" s="2"/>
      <c r="O969" s="2" t="s">
        <v>233</v>
      </c>
      <c r="P969" s="2" t="s">
        <v>847</v>
      </c>
      <c r="Q969" s="2">
        <v>101</v>
      </c>
      <c r="R969" s="38">
        <v>45919</v>
      </c>
      <c r="S969" s="2">
        <v>16</v>
      </c>
      <c r="T969" s="2">
        <v>606.29</v>
      </c>
    </row>
    <row r="970" spans="1:20" x14ac:dyDescent="0.2">
      <c r="A970" s="49" t="str">
        <f t="shared" si="34"/>
        <v>13/6.5</v>
      </c>
      <c r="B970" s="19" t="s">
        <v>165</v>
      </c>
      <c r="C970" s="19" t="s">
        <v>76</v>
      </c>
      <c r="D970" s="19" t="s">
        <v>76</v>
      </c>
      <c r="E970" s="19" t="s">
        <v>13</v>
      </c>
      <c r="F970" s="19">
        <v>6.5</v>
      </c>
      <c r="G970" s="2"/>
      <c r="H970" s="2"/>
      <c r="I970" s="2"/>
      <c r="J970" s="38"/>
      <c r="K970" s="2"/>
      <c r="L970" s="2"/>
      <c r="M970" s="2"/>
      <c r="N970" s="2"/>
      <c r="O970" s="2" t="s">
        <v>233</v>
      </c>
      <c r="P970" s="2" t="s">
        <v>847</v>
      </c>
      <c r="Q970" s="2">
        <v>102</v>
      </c>
      <c r="R970" s="38">
        <v>45919</v>
      </c>
      <c r="S970" s="2">
        <v>2</v>
      </c>
      <c r="T970" s="2">
        <v>62.53</v>
      </c>
    </row>
    <row r="971" spans="1:20" x14ac:dyDescent="0.2">
      <c r="A971" s="49" t="str">
        <f t="shared" si="34"/>
        <v>13/6.5</v>
      </c>
      <c r="B971" s="19" t="s">
        <v>165</v>
      </c>
      <c r="C971" s="19" t="s">
        <v>76</v>
      </c>
      <c r="D971" s="19" t="s">
        <v>76</v>
      </c>
      <c r="E971" s="19" t="s">
        <v>13</v>
      </c>
      <c r="F971" s="19">
        <v>6.5</v>
      </c>
      <c r="G971" s="2"/>
      <c r="H971" s="2"/>
      <c r="I971" s="2"/>
      <c r="J971" s="38"/>
      <c r="K971" s="2"/>
      <c r="L971" s="2"/>
      <c r="M971" s="2"/>
      <c r="N971" s="2"/>
      <c r="O971" s="2" t="s">
        <v>233</v>
      </c>
      <c r="P971" s="2" t="s">
        <v>847</v>
      </c>
      <c r="Q971" s="2">
        <v>107</v>
      </c>
      <c r="R971" s="38">
        <v>45922</v>
      </c>
      <c r="S971" s="2">
        <v>9</v>
      </c>
      <c r="T971" s="2">
        <v>386.26</v>
      </c>
    </row>
    <row r="972" spans="1:20" x14ac:dyDescent="0.2">
      <c r="A972" s="49" t="str">
        <f t="shared" si="34"/>
        <v>15/6.5</v>
      </c>
      <c r="B972" s="19" t="s">
        <v>165</v>
      </c>
      <c r="C972" s="19" t="s">
        <v>76</v>
      </c>
      <c r="D972" s="19" t="s">
        <v>76</v>
      </c>
      <c r="E972" s="19" t="s">
        <v>21</v>
      </c>
      <c r="F972" s="19">
        <v>6.5</v>
      </c>
      <c r="G972" s="2"/>
      <c r="H972" s="2"/>
      <c r="I972" s="2"/>
      <c r="J972" s="38"/>
      <c r="K972" s="2"/>
      <c r="L972" s="2"/>
      <c r="M972" s="2"/>
      <c r="N972" s="2"/>
      <c r="O972" s="2" t="s">
        <v>233</v>
      </c>
      <c r="P972" s="2" t="s">
        <v>994</v>
      </c>
      <c r="Q972" s="2">
        <v>108</v>
      </c>
      <c r="R972" s="38">
        <v>45922</v>
      </c>
      <c r="S972" s="2">
        <v>16</v>
      </c>
      <c r="T972" s="2">
        <v>572.25</v>
      </c>
    </row>
    <row r="973" spans="1:20" x14ac:dyDescent="0.2">
      <c r="A973" s="49" t="str">
        <f t="shared" si="34"/>
        <v>18/5-5.5</v>
      </c>
      <c r="B973" s="19" t="s">
        <v>85</v>
      </c>
      <c r="C973" s="19" t="s">
        <v>76</v>
      </c>
      <c r="D973" s="19" t="s">
        <v>76</v>
      </c>
      <c r="E973" s="19">
        <v>18</v>
      </c>
      <c r="F973" s="19" t="s">
        <v>41</v>
      </c>
      <c r="G973" s="2"/>
      <c r="H973" s="2"/>
      <c r="I973" s="2"/>
      <c r="J973" s="38"/>
      <c r="K973" s="2"/>
      <c r="L973" s="2"/>
      <c r="M973" s="2"/>
      <c r="N973" s="2"/>
      <c r="O973" s="2" t="s">
        <v>233</v>
      </c>
      <c r="P973" s="2" t="s">
        <v>1120</v>
      </c>
      <c r="Q973" s="2">
        <v>1162</v>
      </c>
      <c r="R973" s="38">
        <v>45924</v>
      </c>
      <c r="S973" s="2">
        <v>15</v>
      </c>
      <c r="T973" s="2">
        <v>924.82</v>
      </c>
    </row>
    <row r="974" spans="1:20" x14ac:dyDescent="0.2">
      <c r="A974" s="49" t="str">
        <f t="shared" si="34"/>
        <v>20/5-5.5</v>
      </c>
      <c r="B974" s="19" t="s">
        <v>85</v>
      </c>
      <c r="C974" s="19" t="s">
        <v>76</v>
      </c>
      <c r="D974" s="19" t="s">
        <v>76</v>
      </c>
      <c r="E974" s="19">
        <v>20</v>
      </c>
      <c r="F974" s="19" t="s">
        <v>41</v>
      </c>
      <c r="G974" s="2"/>
      <c r="H974" s="2"/>
      <c r="I974" s="2"/>
      <c r="J974" s="38"/>
      <c r="K974" s="2"/>
      <c r="L974" s="2"/>
      <c r="M974" s="2"/>
      <c r="N974" s="2"/>
      <c r="O974" s="2" t="s">
        <v>233</v>
      </c>
      <c r="P974" s="2" t="s">
        <v>1121</v>
      </c>
      <c r="Q974" s="2">
        <v>1162</v>
      </c>
      <c r="R974" s="38">
        <v>45924</v>
      </c>
      <c r="S974" s="2">
        <v>20</v>
      </c>
      <c r="T974" s="2">
        <v>1146.81</v>
      </c>
    </row>
    <row r="975" spans="1:20" x14ac:dyDescent="0.2">
      <c r="A975" s="49" t="str">
        <f t="shared" si="34"/>
        <v>19/6-6.5</v>
      </c>
      <c r="B975" s="19" t="s">
        <v>825</v>
      </c>
      <c r="C975" s="19" t="s">
        <v>76</v>
      </c>
      <c r="D975" s="19" t="s">
        <v>76</v>
      </c>
      <c r="E975" s="19">
        <v>19</v>
      </c>
      <c r="F975" s="19" t="s">
        <v>578</v>
      </c>
      <c r="G975" s="2"/>
      <c r="H975" s="2"/>
      <c r="I975" s="2"/>
      <c r="J975" s="38"/>
      <c r="K975" s="2"/>
      <c r="L975" s="2"/>
      <c r="M975" s="2"/>
      <c r="N975" s="2"/>
      <c r="O975" s="2" t="s">
        <v>233</v>
      </c>
      <c r="P975" s="2" t="s">
        <v>831</v>
      </c>
      <c r="Q975" s="2">
        <v>1162</v>
      </c>
      <c r="R975" s="38">
        <v>45924</v>
      </c>
      <c r="S975" s="2">
        <v>3</v>
      </c>
      <c r="T975" s="2">
        <v>93.6</v>
      </c>
    </row>
    <row r="976" spans="1:20" x14ac:dyDescent="0.2">
      <c r="A976" s="49" t="str">
        <f t="shared" si="34"/>
        <v>24/5-5.5</v>
      </c>
      <c r="B976" s="19" t="s">
        <v>257</v>
      </c>
      <c r="C976" s="19" t="s">
        <v>76</v>
      </c>
      <c r="D976" s="19" t="s">
        <v>76</v>
      </c>
      <c r="E976" s="19">
        <v>24</v>
      </c>
      <c r="F976" s="19" t="s">
        <v>41</v>
      </c>
      <c r="G976" s="2"/>
      <c r="H976" s="2"/>
      <c r="I976" s="2"/>
      <c r="J976" s="38"/>
      <c r="K976" s="2"/>
      <c r="L976" s="2"/>
      <c r="M976" s="2"/>
      <c r="N976" s="2"/>
      <c r="O976" s="2" t="s">
        <v>233</v>
      </c>
      <c r="P976" s="2" t="s">
        <v>1122</v>
      </c>
      <c r="Q976" s="2">
        <v>1163</v>
      </c>
      <c r="R976" s="38">
        <v>45925</v>
      </c>
      <c r="S976" s="2">
        <v>2</v>
      </c>
      <c r="T976" s="2">
        <v>107.64</v>
      </c>
    </row>
    <row r="977" spans="1:20" x14ac:dyDescent="0.2">
      <c r="A977" s="49" t="str">
        <f t="shared" si="34"/>
        <v>16/4.5-5</v>
      </c>
      <c r="B977" s="19" t="s">
        <v>164</v>
      </c>
      <c r="C977" s="19" t="s">
        <v>76</v>
      </c>
      <c r="D977" s="19" t="s">
        <v>76</v>
      </c>
      <c r="E977" s="19">
        <v>16</v>
      </c>
      <c r="F977" s="19" t="s">
        <v>44</v>
      </c>
      <c r="G977" s="2"/>
      <c r="H977" s="2"/>
      <c r="I977" s="2"/>
      <c r="J977" s="38"/>
      <c r="K977" s="2"/>
      <c r="L977" s="2"/>
      <c r="M977" s="2"/>
      <c r="N977" s="2"/>
      <c r="O977" s="2" t="s">
        <v>233</v>
      </c>
      <c r="P977" s="2" t="s">
        <v>1009</v>
      </c>
      <c r="Q977" s="2">
        <v>1163</v>
      </c>
      <c r="R977" s="38">
        <v>45925</v>
      </c>
      <c r="S977" s="2">
        <v>8</v>
      </c>
      <c r="T977" s="2">
        <v>419.69</v>
      </c>
    </row>
    <row r="978" spans="1:20" x14ac:dyDescent="0.2">
      <c r="A978" s="49" t="str">
        <f t="shared" si="34"/>
        <v>20/5-5.5</v>
      </c>
      <c r="B978" s="19" t="s">
        <v>85</v>
      </c>
      <c r="C978" s="19" t="s">
        <v>76</v>
      </c>
      <c r="D978" s="19" t="s">
        <v>76</v>
      </c>
      <c r="E978" s="19">
        <v>20</v>
      </c>
      <c r="F978" s="19" t="s">
        <v>41</v>
      </c>
      <c r="G978" s="2"/>
      <c r="H978" s="2"/>
      <c r="I978" s="2"/>
      <c r="J978" s="38"/>
      <c r="K978" s="2"/>
      <c r="L978" s="2"/>
      <c r="M978" s="2"/>
      <c r="N978" s="2"/>
      <c r="O978" s="2" t="s">
        <v>233</v>
      </c>
      <c r="P978" s="2" t="s">
        <v>1001</v>
      </c>
      <c r="Q978" s="2">
        <v>1163</v>
      </c>
      <c r="R978" s="38">
        <v>45925</v>
      </c>
      <c r="S978" s="2">
        <v>1</v>
      </c>
      <c r="T978" s="2">
        <v>65.599999999999994</v>
      </c>
    </row>
    <row r="979" spans="1:20" x14ac:dyDescent="0.2">
      <c r="A979" s="49" t="str">
        <f t="shared" si="34"/>
        <v>16/5-5.5</v>
      </c>
      <c r="B979" s="19" t="s">
        <v>257</v>
      </c>
      <c r="C979" s="19" t="s">
        <v>76</v>
      </c>
      <c r="D979" s="19" t="s">
        <v>76</v>
      </c>
      <c r="E979" s="19">
        <v>16</v>
      </c>
      <c r="F979" s="19" t="s">
        <v>41</v>
      </c>
      <c r="G979" s="2"/>
      <c r="H979" s="2"/>
      <c r="I979" s="2"/>
      <c r="J979" s="38"/>
      <c r="K979" s="2"/>
      <c r="L979" s="2"/>
      <c r="M979" s="2"/>
      <c r="N979" s="2"/>
      <c r="O979" s="2" t="s">
        <v>233</v>
      </c>
      <c r="P979" s="2" t="s">
        <v>589</v>
      </c>
      <c r="Q979" s="2">
        <v>1164</v>
      </c>
      <c r="R979" s="38">
        <v>45925</v>
      </c>
      <c r="S979" s="2">
        <v>12</v>
      </c>
      <c r="T979" s="2">
        <v>583.62</v>
      </c>
    </row>
    <row r="980" spans="1:20" x14ac:dyDescent="0.2">
      <c r="A980" s="49" t="str">
        <f t="shared" si="34"/>
        <v>6/7.5-8</v>
      </c>
      <c r="B980" s="19" t="s">
        <v>541</v>
      </c>
      <c r="C980" s="19" t="s">
        <v>76</v>
      </c>
      <c r="D980" s="19" t="s">
        <v>76</v>
      </c>
      <c r="E980" s="19">
        <v>6</v>
      </c>
      <c r="F980" s="19" t="s">
        <v>264</v>
      </c>
      <c r="G980" s="2"/>
      <c r="H980" s="2"/>
      <c r="I980" s="2"/>
      <c r="J980" s="38"/>
      <c r="K980" s="2"/>
      <c r="L980" s="2"/>
      <c r="M980" s="2"/>
      <c r="N980" s="2"/>
      <c r="O980" s="2" t="s">
        <v>233</v>
      </c>
      <c r="P980" s="2" t="s">
        <v>1000</v>
      </c>
      <c r="Q980" s="2">
        <v>1164</v>
      </c>
      <c r="R980" s="38">
        <v>45925</v>
      </c>
      <c r="S980" s="2">
        <v>8</v>
      </c>
      <c r="T980" s="2">
        <v>184.33</v>
      </c>
    </row>
    <row r="981" spans="1:20" x14ac:dyDescent="0.2">
      <c r="A981" s="49" t="str">
        <f t="shared" si="34"/>
        <v>17/5.5-6</v>
      </c>
      <c r="B981" s="19" t="s">
        <v>85</v>
      </c>
      <c r="C981" s="19" t="s">
        <v>76</v>
      </c>
      <c r="D981" s="19" t="s">
        <v>76</v>
      </c>
      <c r="E981" s="19">
        <v>17</v>
      </c>
      <c r="F981" s="19" t="s">
        <v>5</v>
      </c>
      <c r="G981" s="2"/>
      <c r="H981" s="2"/>
      <c r="I981" s="2"/>
      <c r="J981" s="38"/>
      <c r="K981" s="2"/>
      <c r="L981" s="2"/>
      <c r="M981" s="2"/>
      <c r="N981" s="2"/>
      <c r="O981" s="2" t="s">
        <v>233</v>
      </c>
      <c r="P981" s="2" t="s">
        <v>1123</v>
      </c>
      <c r="Q981" s="2">
        <v>1164</v>
      </c>
      <c r="R981" s="38">
        <v>45925</v>
      </c>
      <c r="S981" s="2">
        <v>21</v>
      </c>
      <c r="T981" s="2">
        <v>1041.1500000000001</v>
      </c>
    </row>
    <row r="982" spans="1:20" x14ac:dyDescent="0.2">
      <c r="A982" s="49" t="str">
        <f t="shared" si="34"/>
        <v>2.5/5</v>
      </c>
      <c r="B982" s="19" t="s">
        <v>168</v>
      </c>
      <c r="C982" s="19" t="s">
        <v>76</v>
      </c>
      <c r="D982" s="19" t="s">
        <v>76</v>
      </c>
      <c r="E982" s="19">
        <v>2.5</v>
      </c>
      <c r="F982" s="19">
        <v>5</v>
      </c>
      <c r="G982" s="2"/>
      <c r="H982" s="2"/>
      <c r="I982" s="2"/>
      <c r="J982" s="38"/>
      <c r="K982" s="2"/>
      <c r="L982" s="2"/>
      <c r="M982" s="2"/>
      <c r="N982" s="2"/>
      <c r="O982" s="2" t="s">
        <v>233</v>
      </c>
      <c r="P982" s="2" t="s">
        <v>1073</v>
      </c>
      <c r="Q982" s="2">
        <v>129</v>
      </c>
      <c r="R982" s="38">
        <v>45925</v>
      </c>
      <c r="S982" s="2">
        <v>10</v>
      </c>
      <c r="T982" s="2">
        <v>207.47</v>
      </c>
    </row>
    <row r="983" spans="1:20" x14ac:dyDescent="0.2">
      <c r="A983" s="49" t="str">
        <f t="shared" si="34"/>
        <v>4/5</v>
      </c>
      <c r="B983" s="19" t="s">
        <v>168</v>
      </c>
      <c r="C983" s="19" t="s">
        <v>76</v>
      </c>
      <c r="D983" s="19" t="s">
        <v>76</v>
      </c>
      <c r="E983" s="19">
        <v>4</v>
      </c>
      <c r="F983" s="19">
        <v>5</v>
      </c>
      <c r="G983" s="2"/>
      <c r="H983" s="2"/>
      <c r="I983" s="2"/>
      <c r="J983" s="38"/>
      <c r="K983" s="2"/>
      <c r="L983" s="2"/>
      <c r="M983" s="2"/>
      <c r="N983" s="2"/>
      <c r="O983" s="2" t="s">
        <v>233</v>
      </c>
      <c r="P983" s="2" t="s">
        <v>1028</v>
      </c>
      <c r="Q983" s="2">
        <v>129</v>
      </c>
      <c r="R983" s="38">
        <v>45925</v>
      </c>
      <c r="S983" s="2">
        <v>5</v>
      </c>
      <c r="T983" s="2">
        <v>95.19</v>
      </c>
    </row>
    <row r="984" spans="1:20" x14ac:dyDescent="0.2">
      <c r="A984" s="49" t="str">
        <f t="shared" si="34"/>
        <v>17/5.5-6</v>
      </c>
      <c r="B984" s="19" t="s">
        <v>85</v>
      </c>
      <c r="C984" s="19" t="s">
        <v>76</v>
      </c>
      <c r="D984" s="19" t="s">
        <v>76</v>
      </c>
      <c r="E984" s="19">
        <v>17</v>
      </c>
      <c r="F984" s="19" t="s">
        <v>5</v>
      </c>
      <c r="G984" s="2"/>
      <c r="H984" s="2"/>
      <c r="I984" s="2"/>
      <c r="J984" s="38"/>
      <c r="K984" s="2"/>
      <c r="L984" s="2"/>
      <c r="M984" s="2"/>
      <c r="N984" s="2"/>
      <c r="O984" s="2" t="s">
        <v>233</v>
      </c>
      <c r="P984" s="2" t="s">
        <v>1124</v>
      </c>
      <c r="Q984" s="2">
        <v>1165</v>
      </c>
      <c r="R984" s="38">
        <v>45926</v>
      </c>
      <c r="S984" s="2">
        <v>8</v>
      </c>
      <c r="T984" s="2">
        <v>398.43</v>
      </c>
    </row>
    <row r="985" spans="1:20" x14ac:dyDescent="0.2">
      <c r="A985" s="49" t="str">
        <f t="shared" si="34"/>
        <v>17/5.5-6</v>
      </c>
      <c r="B985" s="19" t="s">
        <v>85</v>
      </c>
      <c r="C985" s="19" t="s">
        <v>76</v>
      </c>
      <c r="D985" s="19" t="s">
        <v>76</v>
      </c>
      <c r="E985" s="19">
        <v>17</v>
      </c>
      <c r="F985" s="19" t="s">
        <v>5</v>
      </c>
      <c r="G985" s="2"/>
      <c r="H985" s="2"/>
      <c r="I985" s="2"/>
      <c r="J985" s="38"/>
      <c r="K985" s="2"/>
      <c r="L985" s="2"/>
      <c r="M985" s="2"/>
      <c r="N985" s="2"/>
      <c r="O985" s="2" t="s">
        <v>233</v>
      </c>
      <c r="P985" s="2" t="s">
        <v>1124</v>
      </c>
      <c r="Q985" s="2">
        <v>1165</v>
      </c>
      <c r="R985" s="38">
        <v>45926</v>
      </c>
      <c r="S985" s="2">
        <v>12</v>
      </c>
      <c r="T985" s="2">
        <v>622.55999999999995</v>
      </c>
    </row>
    <row r="986" spans="1:20" x14ac:dyDescent="0.2">
      <c r="A986" s="49" t="str">
        <f t="shared" si="34"/>
        <v>26/10</v>
      </c>
      <c r="B986" s="19" t="s">
        <v>580</v>
      </c>
      <c r="C986" s="19" t="s">
        <v>76</v>
      </c>
      <c r="D986" s="19" t="s">
        <v>76</v>
      </c>
      <c r="E986" s="19">
        <v>26</v>
      </c>
      <c r="F986" s="19" t="s">
        <v>16</v>
      </c>
      <c r="G986" s="2"/>
      <c r="H986" s="2"/>
      <c r="I986" s="2"/>
      <c r="J986" s="38"/>
      <c r="K986" s="2"/>
      <c r="L986" s="2"/>
      <c r="M986" s="2"/>
      <c r="N986" s="2"/>
      <c r="O986" s="2" t="s">
        <v>233</v>
      </c>
      <c r="P986" s="2" t="s">
        <v>1017</v>
      </c>
      <c r="Q986" s="2">
        <v>1166</v>
      </c>
      <c r="R986" s="38">
        <v>45927</v>
      </c>
      <c r="S986" s="2">
        <v>2</v>
      </c>
      <c r="T986" s="2">
        <v>126.69</v>
      </c>
    </row>
    <row r="987" spans="1:20" x14ac:dyDescent="0.2">
      <c r="A987" s="49" t="str">
        <f t="shared" si="34"/>
        <v>16/5-5.5</v>
      </c>
      <c r="B987" s="19" t="s">
        <v>257</v>
      </c>
      <c r="C987" s="19" t="s">
        <v>76</v>
      </c>
      <c r="D987" s="19" t="s">
        <v>76</v>
      </c>
      <c r="E987" s="19">
        <v>16</v>
      </c>
      <c r="F987" s="19" t="s">
        <v>41</v>
      </c>
      <c r="G987" s="2"/>
      <c r="H987" s="2"/>
      <c r="I987" s="2"/>
      <c r="J987" s="38"/>
      <c r="K987" s="2"/>
      <c r="L987" s="2"/>
      <c r="M987" s="2"/>
      <c r="N987" s="2"/>
      <c r="O987" s="2" t="s">
        <v>233</v>
      </c>
      <c r="P987" s="2" t="s">
        <v>589</v>
      </c>
      <c r="Q987" s="2">
        <v>1166</v>
      </c>
      <c r="R987" s="38">
        <v>45927</v>
      </c>
      <c r="S987" s="2">
        <v>10</v>
      </c>
      <c r="T987" s="2">
        <v>524.15</v>
      </c>
    </row>
    <row r="988" spans="1:20" x14ac:dyDescent="0.2">
      <c r="A988" s="49" t="str">
        <f t="shared" si="34"/>
        <v>24/5-5.5</v>
      </c>
      <c r="B988" s="19" t="s">
        <v>85</v>
      </c>
      <c r="C988" s="19" t="s">
        <v>76</v>
      </c>
      <c r="D988" s="19" t="s">
        <v>76</v>
      </c>
      <c r="E988" s="19">
        <v>24</v>
      </c>
      <c r="F988" s="19" t="s">
        <v>41</v>
      </c>
      <c r="G988" s="2"/>
      <c r="H988" s="2"/>
      <c r="I988" s="2"/>
      <c r="J988" s="38"/>
      <c r="K988" s="2"/>
      <c r="L988" s="2"/>
      <c r="M988" s="2"/>
      <c r="N988" s="2"/>
      <c r="O988" s="2" t="s">
        <v>233</v>
      </c>
      <c r="P988" s="2" t="s">
        <v>1018</v>
      </c>
      <c r="Q988" s="2">
        <v>1166</v>
      </c>
      <c r="R988" s="38">
        <v>45927</v>
      </c>
      <c r="S988" s="2">
        <v>19</v>
      </c>
      <c r="T988" s="2">
        <v>1007.36</v>
      </c>
    </row>
    <row r="989" spans="1:20" x14ac:dyDescent="0.2">
      <c r="A989" s="49" t="str">
        <f t="shared" si="34"/>
        <v>28/5-5.5</v>
      </c>
      <c r="B989" s="19" t="s">
        <v>257</v>
      </c>
      <c r="C989" s="19" t="s">
        <v>76</v>
      </c>
      <c r="D989" s="19" t="s">
        <v>76</v>
      </c>
      <c r="E989" s="19">
        <v>28</v>
      </c>
      <c r="F989" s="19" t="s">
        <v>41</v>
      </c>
      <c r="G989" s="2"/>
      <c r="H989" s="2"/>
      <c r="I989" s="2"/>
      <c r="J989" s="38"/>
      <c r="K989" s="2"/>
      <c r="L989" s="2"/>
      <c r="M989" s="2"/>
      <c r="N989" s="2"/>
      <c r="O989" s="2" t="s">
        <v>233</v>
      </c>
      <c r="P989" s="2" t="s">
        <v>1026</v>
      </c>
      <c r="Q989" s="2">
        <v>1167</v>
      </c>
      <c r="R989" s="38">
        <v>45929</v>
      </c>
      <c r="S989" s="2">
        <v>12</v>
      </c>
      <c r="T989" s="2">
        <v>733.53</v>
      </c>
    </row>
    <row r="990" spans="1:20" x14ac:dyDescent="0.2">
      <c r="A990" s="49" t="str">
        <f t="shared" si="34"/>
        <v>24/5-5.5</v>
      </c>
      <c r="B990" s="19" t="s">
        <v>85</v>
      </c>
      <c r="C990" s="19" t="s">
        <v>76</v>
      </c>
      <c r="D990" s="19" t="s">
        <v>76</v>
      </c>
      <c r="E990" s="19">
        <v>24</v>
      </c>
      <c r="F990" s="19" t="s">
        <v>41</v>
      </c>
      <c r="G990" s="2"/>
      <c r="H990" s="2"/>
      <c r="I990" s="2"/>
      <c r="J990" s="38"/>
      <c r="K990" s="2"/>
      <c r="L990" s="2"/>
      <c r="M990" s="2"/>
      <c r="N990" s="2"/>
      <c r="O990" s="2" t="s">
        <v>233</v>
      </c>
      <c r="P990" s="2" t="s">
        <v>1018</v>
      </c>
      <c r="Q990" s="2">
        <v>1167</v>
      </c>
      <c r="R990" s="38">
        <v>45929</v>
      </c>
      <c r="S990" s="2">
        <v>14</v>
      </c>
      <c r="T990" s="2">
        <v>576.87</v>
      </c>
    </row>
    <row r="991" spans="1:20" x14ac:dyDescent="0.2">
      <c r="A991" s="49" t="str">
        <f t="shared" si="34"/>
        <v>16/5-5.5</v>
      </c>
      <c r="B991" s="19" t="s">
        <v>1118</v>
      </c>
      <c r="C991" s="19" t="s">
        <v>76</v>
      </c>
      <c r="D991" s="19" t="s">
        <v>76</v>
      </c>
      <c r="E991" s="19">
        <v>16</v>
      </c>
      <c r="F991" s="19" t="s">
        <v>41</v>
      </c>
      <c r="G991" s="2"/>
      <c r="H991" s="2"/>
      <c r="I991" s="2"/>
      <c r="J991" s="38"/>
      <c r="K991" s="2"/>
      <c r="L991" s="2"/>
      <c r="M991" s="2"/>
      <c r="N991" s="2"/>
      <c r="O991" s="2" t="s">
        <v>233</v>
      </c>
      <c r="P991" s="2" t="s">
        <v>1125</v>
      </c>
      <c r="Q991" s="2">
        <v>1167</v>
      </c>
      <c r="R991" s="38">
        <v>45929</v>
      </c>
      <c r="S991" s="2">
        <v>7</v>
      </c>
      <c r="T991" s="2">
        <v>229.9</v>
      </c>
    </row>
    <row r="992" spans="1:20" x14ac:dyDescent="0.2">
      <c r="A992" s="49" t="str">
        <f t="shared" si="34"/>
        <v>11/5</v>
      </c>
      <c r="B992" s="19" t="s">
        <v>6</v>
      </c>
      <c r="C992" s="19" t="s">
        <v>76</v>
      </c>
      <c r="D992" s="19" t="s">
        <v>76</v>
      </c>
      <c r="E992" s="19" t="s">
        <v>15</v>
      </c>
      <c r="F992" s="24">
        <v>5</v>
      </c>
      <c r="G992" s="19"/>
      <c r="H992" s="2" t="s">
        <v>1164</v>
      </c>
      <c r="I992" s="2"/>
      <c r="J992" s="38">
        <v>45930</v>
      </c>
      <c r="K992" s="2">
        <v>60</v>
      </c>
      <c r="L992" s="2">
        <v>1075.19</v>
      </c>
      <c r="M992" s="2"/>
      <c r="N992" s="2">
        <v>1075.19</v>
      </c>
      <c r="O992" s="2"/>
      <c r="P992" s="2"/>
      <c r="Q992" s="2"/>
      <c r="R992" s="38"/>
      <c r="S992" s="2"/>
      <c r="T992" s="2"/>
    </row>
    <row r="993" spans="1:20" x14ac:dyDescent="0.2">
      <c r="A993" s="49" t="str">
        <f t="shared" si="34"/>
        <v>2/5.5-6</v>
      </c>
      <c r="B993" s="19" t="s">
        <v>83</v>
      </c>
      <c r="C993" s="19" t="s">
        <v>76</v>
      </c>
      <c r="D993" s="19" t="s">
        <v>76</v>
      </c>
      <c r="E993" s="19">
        <v>2</v>
      </c>
      <c r="F993" s="24" t="s">
        <v>5</v>
      </c>
      <c r="G993" s="19"/>
      <c r="H993" s="2" t="s">
        <v>1164</v>
      </c>
      <c r="I993" s="2"/>
      <c r="J993" s="38">
        <v>45930</v>
      </c>
      <c r="K993" s="2">
        <v>-10</v>
      </c>
      <c r="L993" s="2">
        <v>14.800000000000011</v>
      </c>
      <c r="M993" s="2"/>
      <c r="N993" s="2">
        <v>14.800000000000011</v>
      </c>
      <c r="O993" s="2"/>
      <c r="P993" s="2"/>
      <c r="Q993" s="2"/>
      <c r="R993" s="38"/>
      <c r="S993" s="2"/>
      <c r="T993" s="2"/>
    </row>
    <row r="994" spans="1:20" x14ac:dyDescent="0.2">
      <c r="A994" s="49" t="str">
        <f t="shared" si="34"/>
        <v>24/5</v>
      </c>
      <c r="B994" s="19" t="s">
        <v>6</v>
      </c>
      <c r="C994" s="19" t="s">
        <v>76</v>
      </c>
      <c r="D994" s="19" t="s">
        <v>76</v>
      </c>
      <c r="E994" s="19" t="s">
        <v>32</v>
      </c>
      <c r="F994" s="24">
        <v>5</v>
      </c>
      <c r="G994" s="19"/>
      <c r="H994" s="2" t="s">
        <v>1164</v>
      </c>
      <c r="I994" s="2"/>
      <c r="J994" s="38">
        <v>45930</v>
      </c>
      <c r="K994" s="2">
        <v>18</v>
      </c>
      <c r="L994" s="2">
        <v>126.47000000000025</v>
      </c>
      <c r="M994" s="2"/>
      <c r="N994" s="2">
        <v>126.47000000000025</v>
      </c>
      <c r="O994" s="2"/>
      <c r="P994" s="2"/>
      <c r="Q994" s="2"/>
      <c r="R994" s="38"/>
      <c r="S994" s="2"/>
      <c r="T994" s="2"/>
    </row>
    <row r="995" spans="1:20" x14ac:dyDescent="0.2">
      <c r="A995" s="49" t="str">
        <f t="shared" si="34"/>
        <v>18/5</v>
      </c>
      <c r="B995" s="19" t="s">
        <v>6</v>
      </c>
      <c r="C995" s="19" t="s">
        <v>76</v>
      </c>
      <c r="D995" s="19" t="s">
        <v>76</v>
      </c>
      <c r="E995" s="19" t="s">
        <v>22</v>
      </c>
      <c r="F995" s="24">
        <v>5</v>
      </c>
      <c r="G995" s="19"/>
      <c r="H995" s="2" t="s">
        <v>1164</v>
      </c>
      <c r="I995" s="2"/>
      <c r="J995" s="38">
        <v>45930</v>
      </c>
      <c r="K995" s="2">
        <v>72</v>
      </c>
      <c r="L995" s="2">
        <v>1694.4</v>
      </c>
      <c r="M995" s="2"/>
      <c r="N995" s="2">
        <v>1694.4</v>
      </c>
      <c r="O995" s="2"/>
      <c r="P995" s="2"/>
      <c r="Q995" s="2"/>
      <c r="R995" s="38"/>
      <c r="S995" s="2"/>
      <c r="T995" s="2"/>
    </row>
    <row r="996" spans="1:20" x14ac:dyDescent="0.2">
      <c r="A996" s="49" t="str">
        <f t="shared" si="34"/>
        <v>10/5</v>
      </c>
      <c r="B996" s="19" t="s">
        <v>6</v>
      </c>
      <c r="C996" s="19" t="s">
        <v>76</v>
      </c>
      <c r="D996" s="19" t="s">
        <v>76</v>
      </c>
      <c r="E996" s="19" t="s">
        <v>16</v>
      </c>
      <c r="F996" s="24">
        <v>5</v>
      </c>
      <c r="G996" s="19"/>
      <c r="H996" s="2" t="s">
        <v>1164</v>
      </c>
      <c r="I996" s="2"/>
      <c r="J996" s="38">
        <v>45930</v>
      </c>
      <c r="K996" s="2">
        <v>70</v>
      </c>
      <c r="L996" s="2">
        <v>542.16999999999962</v>
      </c>
      <c r="M996" s="2"/>
      <c r="N996" s="2">
        <v>542.16999999999962</v>
      </c>
      <c r="O996" s="2"/>
      <c r="P996" s="2"/>
      <c r="Q996" s="2"/>
      <c r="R996" s="38"/>
      <c r="S996" s="2"/>
      <c r="T996" s="2"/>
    </row>
    <row r="997" spans="1:20" x14ac:dyDescent="0.2">
      <c r="A997" s="49" t="str">
        <f t="shared" si="34"/>
        <v>4/5</v>
      </c>
      <c r="B997" s="19" t="s">
        <v>6</v>
      </c>
      <c r="C997" s="19" t="s">
        <v>76</v>
      </c>
      <c r="D997" s="19" t="s">
        <v>76</v>
      </c>
      <c r="E997" s="19" t="s">
        <v>26</v>
      </c>
      <c r="F997" s="24">
        <v>5</v>
      </c>
      <c r="G997" s="19"/>
      <c r="H997" s="2" t="s">
        <v>1164</v>
      </c>
      <c r="I997" s="2"/>
      <c r="J997" s="38">
        <v>45930</v>
      </c>
      <c r="K997" s="2">
        <v>3</v>
      </c>
      <c r="L997" s="2">
        <v>747.27999999999975</v>
      </c>
      <c r="M997" s="2"/>
      <c r="N997" s="2">
        <v>747.27999999999975</v>
      </c>
      <c r="O997" s="2"/>
      <c r="P997" s="2"/>
      <c r="Q997" s="2"/>
      <c r="R997" s="38"/>
      <c r="S997" s="2"/>
      <c r="T997" s="2"/>
    </row>
    <row r="998" spans="1:20" x14ac:dyDescent="0.2">
      <c r="A998" s="49" t="str">
        <f t="shared" si="34"/>
        <v>2.5/5</v>
      </c>
      <c r="B998" s="19" t="s">
        <v>6</v>
      </c>
      <c r="C998" s="19" t="s">
        <v>76</v>
      </c>
      <c r="D998" s="19" t="s">
        <v>76</v>
      </c>
      <c r="E998" s="19" t="s">
        <v>25</v>
      </c>
      <c r="F998" s="24">
        <v>5</v>
      </c>
      <c r="G998" s="19"/>
      <c r="H998" s="2" t="s">
        <v>1164</v>
      </c>
      <c r="I998" s="2"/>
      <c r="J998" s="38">
        <v>45930</v>
      </c>
      <c r="K998" s="2">
        <v>-45</v>
      </c>
      <c r="L998" s="2">
        <v>1059.1399999999999</v>
      </c>
      <c r="M998" s="2"/>
      <c r="N998" s="2">
        <v>1059.1399999999999</v>
      </c>
      <c r="O998" s="2"/>
      <c r="P998" s="2"/>
      <c r="Q998" s="2"/>
      <c r="R998" s="38"/>
      <c r="S998" s="2"/>
      <c r="T998" s="2"/>
    </row>
    <row r="999" spans="1:20" x14ac:dyDescent="0.2">
      <c r="A999" s="49" t="str">
        <f t="shared" si="34"/>
        <v>4.5/5</v>
      </c>
      <c r="B999" s="19" t="s">
        <v>161</v>
      </c>
      <c r="C999" s="19" t="s">
        <v>76</v>
      </c>
      <c r="D999" s="19" t="s">
        <v>76</v>
      </c>
      <c r="E999" s="19">
        <v>4.5</v>
      </c>
      <c r="F999" s="24">
        <v>5</v>
      </c>
      <c r="G999" s="19"/>
      <c r="H999" s="2" t="s">
        <v>1164</v>
      </c>
      <c r="I999" s="2"/>
      <c r="J999" s="38">
        <v>45930</v>
      </c>
      <c r="K999" s="2">
        <v>2</v>
      </c>
      <c r="L999" s="2">
        <v>80.5</v>
      </c>
      <c r="M999" s="2"/>
      <c r="N999" s="2">
        <v>80.5</v>
      </c>
      <c r="O999" s="2"/>
      <c r="P999" s="2"/>
      <c r="Q999" s="2"/>
      <c r="R999" s="38"/>
      <c r="S999" s="2"/>
      <c r="T999" s="2"/>
    </row>
    <row r="1000" spans="1:20" x14ac:dyDescent="0.2">
      <c r="A1000" s="49" t="str">
        <f t="shared" si="34"/>
        <v>18/4.5</v>
      </c>
      <c r="B1000" s="19" t="s">
        <v>162</v>
      </c>
      <c r="C1000" s="19" t="s">
        <v>76</v>
      </c>
      <c r="D1000" s="19" t="s">
        <v>76</v>
      </c>
      <c r="E1000" s="19">
        <v>18</v>
      </c>
      <c r="F1000" s="24">
        <v>4.5</v>
      </c>
      <c r="G1000" s="19"/>
      <c r="H1000" s="2" t="s">
        <v>1164</v>
      </c>
      <c r="I1000" s="2"/>
      <c r="J1000" s="38">
        <v>45930</v>
      </c>
      <c r="K1000" s="2">
        <v>2</v>
      </c>
      <c r="L1000" s="2">
        <v>14.650000000000006</v>
      </c>
      <c r="M1000" s="2"/>
      <c r="N1000" s="2">
        <v>14.650000000000006</v>
      </c>
      <c r="O1000" s="2"/>
      <c r="P1000" s="2"/>
      <c r="Q1000" s="2"/>
      <c r="R1000" s="38"/>
      <c r="S1000" s="2"/>
      <c r="T1000" s="2"/>
    </row>
    <row r="1001" spans="1:20" x14ac:dyDescent="0.2">
      <c r="A1001" s="49" t="str">
        <f t="shared" si="34"/>
        <v>3.5/5</v>
      </c>
      <c r="B1001" s="19" t="s">
        <v>6</v>
      </c>
      <c r="C1001" s="19" t="s">
        <v>76</v>
      </c>
      <c r="D1001" s="19" t="s">
        <v>76</v>
      </c>
      <c r="E1001" s="19" t="s">
        <v>42</v>
      </c>
      <c r="F1001" s="24" t="s">
        <v>40</v>
      </c>
      <c r="G1001" s="19"/>
      <c r="H1001" s="2" t="s">
        <v>1164</v>
      </c>
      <c r="I1001" s="2"/>
      <c r="J1001" s="38">
        <v>45930</v>
      </c>
      <c r="K1001" s="2">
        <v>9</v>
      </c>
      <c r="L1001" s="2">
        <v>180</v>
      </c>
      <c r="M1001" s="2"/>
      <c r="N1001" s="2">
        <v>180</v>
      </c>
      <c r="O1001" s="2"/>
      <c r="P1001" s="2"/>
      <c r="Q1001" s="2"/>
      <c r="R1001" s="38"/>
      <c r="S1001" s="2"/>
      <c r="T1001" s="2"/>
    </row>
    <row r="1002" spans="1:20" x14ac:dyDescent="0.2">
      <c r="A1002" s="49" t="str">
        <f t="shared" si="34"/>
        <v>19/6-6.5</v>
      </c>
      <c r="B1002" s="19" t="s">
        <v>92</v>
      </c>
      <c r="C1002" s="19" t="s">
        <v>76</v>
      </c>
      <c r="D1002" s="19" t="s">
        <v>76</v>
      </c>
      <c r="E1002" s="19">
        <v>19</v>
      </c>
      <c r="F1002" s="24" t="s">
        <v>578</v>
      </c>
      <c r="G1002" s="19"/>
      <c r="H1002" s="2" t="s">
        <v>1164</v>
      </c>
      <c r="I1002" s="2"/>
      <c r="J1002" s="38">
        <v>45930</v>
      </c>
      <c r="K1002" s="2">
        <v>3</v>
      </c>
      <c r="L1002" s="2">
        <v>93.899999999999977</v>
      </c>
      <c r="M1002" s="2"/>
      <c r="N1002" s="2">
        <v>93.899999999999977</v>
      </c>
      <c r="O1002" s="2"/>
      <c r="P1002" s="2"/>
      <c r="Q1002" s="2"/>
      <c r="R1002" s="38"/>
      <c r="S1002" s="2"/>
      <c r="T1002" s="2"/>
    </row>
    <row r="1003" spans="1:20" x14ac:dyDescent="0.2">
      <c r="A1003" s="49" t="str">
        <f t="shared" si="34"/>
        <v>5/5</v>
      </c>
      <c r="B1003" s="19" t="s">
        <v>6</v>
      </c>
      <c r="C1003" s="19" t="s">
        <v>76</v>
      </c>
      <c r="D1003" s="19" t="s">
        <v>76</v>
      </c>
      <c r="E1003" s="19" t="s">
        <v>40</v>
      </c>
      <c r="F1003" s="24">
        <v>5</v>
      </c>
      <c r="G1003" s="19"/>
      <c r="H1003" s="2" t="s">
        <v>1164</v>
      </c>
      <c r="I1003" s="2"/>
      <c r="J1003" s="38">
        <v>45930</v>
      </c>
      <c r="K1003" s="2">
        <v>14</v>
      </c>
      <c r="L1003" s="2">
        <v>603.5</v>
      </c>
      <c r="M1003" s="2"/>
      <c r="N1003" s="2">
        <v>603.5</v>
      </c>
      <c r="O1003" s="2"/>
      <c r="P1003" s="2"/>
      <c r="Q1003" s="2"/>
      <c r="R1003" s="38"/>
      <c r="S1003" s="2"/>
      <c r="T1003" s="2"/>
    </row>
    <row r="1004" spans="1:20" x14ac:dyDescent="0.2">
      <c r="A1004" s="49" t="str">
        <f t="shared" si="34"/>
        <v>20/8</v>
      </c>
      <c r="B1004" s="19" t="s">
        <v>168</v>
      </c>
      <c r="C1004" s="19" t="s">
        <v>76</v>
      </c>
      <c r="D1004" s="19" t="s">
        <v>76</v>
      </c>
      <c r="E1004" s="19">
        <v>20</v>
      </c>
      <c r="F1004" s="24">
        <v>8</v>
      </c>
      <c r="G1004" s="19"/>
      <c r="H1004" s="2" t="s">
        <v>1164</v>
      </c>
      <c r="I1004" s="2"/>
      <c r="J1004" s="38">
        <v>45930</v>
      </c>
      <c r="K1004" s="2">
        <v>7</v>
      </c>
      <c r="L1004" s="2">
        <v>0.92000000000001592</v>
      </c>
      <c r="M1004" s="2"/>
      <c r="N1004" s="2">
        <v>0.92000000000001592</v>
      </c>
      <c r="O1004" s="2"/>
      <c r="P1004" s="2"/>
      <c r="Q1004" s="2"/>
      <c r="R1004" s="38"/>
      <c r="S1004" s="2"/>
      <c r="T1004" s="2"/>
    </row>
    <row r="1005" spans="1:20" x14ac:dyDescent="0.2">
      <c r="A1005" s="49" t="str">
        <f t="shared" si="34"/>
        <v>14/5-5.5</v>
      </c>
      <c r="B1005" s="19" t="s">
        <v>92</v>
      </c>
      <c r="C1005" s="19" t="s">
        <v>76</v>
      </c>
      <c r="D1005" s="19" t="s">
        <v>76</v>
      </c>
      <c r="E1005" s="19">
        <v>14</v>
      </c>
      <c r="F1005" s="24" t="s">
        <v>41</v>
      </c>
      <c r="G1005" s="19"/>
      <c r="H1005" s="2" t="s">
        <v>1164</v>
      </c>
      <c r="I1005" s="2"/>
      <c r="J1005" s="38">
        <v>45930</v>
      </c>
      <c r="K1005" s="2">
        <v>7</v>
      </c>
      <c r="L1005" s="2">
        <v>175</v>
      </c>
      <c r="M1005" s="2"/>
      <c r="N1005" s="2">
        <v>175</v>
      </c>
      <c r="O1005" s="2"/>
      <c r="P1005" s="2"/>
      <c r="Q1005" s="2"/>
      <c r="R1005" s="38"/>
      <c r="S1005" s="2"/>
      <c r="T1005" s="2"/>
    </row>
    <row r="1006" spans="1:20" x14ac:dyDescent="0.2">
      <c r="A1006" s="49" t="str">
        <f t="shared" si="34"/>
        <v>9/5.5</v>
      </c>
      <c r="B1006" s="19" t="s">
        <v>165</v>
      </c>
      <c r="C1006" s="19" t="s">
        <v>76</v>
      </c>
      <c r="D1006" s="19" t="s">
        <v>76</v>
      </c>
      <c r="E1006" s="24">
        <v>9</v>
      </c>
      <c r="F1006" s="24">
        <v>5.5</v>
      </c>
      <c r="G1006" s="2"/>
      <c r="H1006" s="2" t="s">
        <v>1164</v>
      </c>
      <c r="I1006" s="2"/>
      <c r="J1006" s="38">
        <v>45930</v>
      </c>
      <c r="K1006" s="2">
        <v>0</v>
      </c>
      <c r="L1006" s="2">
        <v>2.2099999999999937</v>
      </c>
      <c r="M1006" s="2"/>
      <c r="N1006" s="2">
        <v>2.2099999999999937</v>
      </c>
      <c r="O1006" s="2"/>
      <c r="P1006" s="2"/>
      <c r="Q1006" s="2"/>
      <c r="R1006" s="38"/>
      <c r="S1006" s="2"/>
      <c r="T1006" s="2"/>
    </row>
    <row r="1007" spans="1:20" x14ac:dyDescent="0.2">
      <c r="A1007" s="49" t="str">
        <f t="shared" si="34"/>
        <v>15/6.5</v>
      </c>
      <c r="B1007" s="19" t="s">
        <v>165</v>
      </c>
      <c r="C1007" s="19" t="s">
        <v>76</v>
      </c>
      <c r="D1007" s="19" t="s">
        <v>76</v>
      </c>
      <c r="E1007" s="24">
        <v>15</v>
      </c>
      <c r="F1007" s="24">
        <v>6.5</v>
      </c>
      <c r="G1007" s="2"/>
      <c r="H1007" s="2" t="s">
        <v>1164</v>
      </c>
      <c r="I1007" s="2"/>
      <c r="J1007" s="38">
        <v>45930</v>
      </c>
      <c r="K1007" s="2">
        <v>2</v>
      </c>
      <c r="L1007" s="2">
        <v>130.2800000000002</v>
      </c>
      <c r="M1007" s="2"/>
      <c r="N1007" s="2">
        <v>130.2800000000002</v>
      </c>
      <c r="O1007" s="2"/>
      <c r="P1007" s="2"/>
      <c r="Q1007" s="2"/>
      <c r="R1007" s="38"/>
      <c r="S1007" s="2"/>
      <c r="T1007" s="2"/>
    </row>
    <row r="1008" spans="1:20" x14ac:dyDescent="0.2">
      <c r="A1008" s="49" t="str">
        <f t="shared" si="34"/>
        <v>5.5/10</v>
      </c>
      <c r="B1008" s="19" t="s">
        <v>603</v>
      </c>
      <c r="C1008" s="19" t="s">
        <v>76</v>
      </c>
      <c r="D1008" s="19" t="s">
        <v>76</v>
      </c>
      <c r="E1008" s="24">
        <v>5.5</v>
      </c>
      <c r="F1008" s="24">
        <v>10</v>
      </c>
      <c r="G1008" s="2"/>
      <c r="H1008" s="2" t="s">
        <v>1164</v>
      </c>
      <c r="I1008" s="2"/>
      <c r="J1008" s="38">
        <v>45930</v>
      </c>
      <c r="K1008" s="2">
        <v>-1</v>
      </c>
      <c r="L1008" s="2">
        <v>11.490000000000009</v>
      </c>
      <c r="M1008" s="2"/>
      <c r="N1008" s="2">
        <v>11.490000000000009</v>
      </c>
      <c r="O1008" s="2"/>
      <c r="P1008" s="2"/>
      <c r="Q1008" s="2"/>
      <c r="R1008" s="38"/>
      <c r="S1008" s="2"/>
      <c r="T1008" s="2"/>
    </row>
    <row r="1009" spans="1:20" x14ac:dyDescent="0.2">
      <c r="A1009" s="49" t="str">
        <f t="shared" si="34"/>
        <v>14/7</v>
      </c>
      <c r="B1009" s="19" t="s">
        <v>824</v>
      </c>
      <c r="C1009" s="19" t="s">
        <v>76</v>
      </c>
      <c r="D1009" s="19" t="s">
        <v>76</v>
      </c>
      <c r="E1009" s="24">
        <v>14</v>
      </c>
      <c r="F1009" s="24">
        <v>7</v>
      </c>
      <c r="G1009" s="2"/>
      <c r="H1009" s="2" t="s">
        <v>1164</v>
      </c>
      <c r="I1009" s="2"/>
      <c r="J1009" s="38">
        <v>45930</v>
      </c>
      <c r="K1009" s="2">
        <v>0</v>
      </c>
      <c r="L1009" s="2">
        <v>-0.29000000000000625</v>
      </c>
      <c r="M1009" s="2"/>
      <c r="N1009" s="2">
        <v>-0.29000000000000625</v>
      </c>
      <c r="O1009" s="2"/>
      <c r="P1009" s="2"/>
      <c r="Q1009" s="2"/>
      <c r="R1009" s="38"/>
      <c r="S1009" s="2"/>
      <c r="T1009" s="2"/>
    </row>
    <row r="1010" spans="1:20" x14ac:dyDescent="0.2">
      <c r="A1010" s="49" t="str">
        <f t="shared" si="34"/>
        <v>13/6.5</v>
      </c>
      <c r="B1010" s="19" t="s">
        <v>165</v>
      </c>
      <c r="C1010" s="19" t="s">
        <v>76</v>
      </c>
      <c r="D1010" s="19" t="s">
        <v>76</v>
      </c>
      <c r="E1010" s="24" t="s">
        <v>13</v>
      </c>
      <c r="F1010" s="24">
        <v>6.5</v>
      </c>
      <c r="G1010" s="2"/>
      <c r="H1010" s="2" t="s">
        <v>1164</v>
      </c>
      <c r="I1010" s="2"/>
      <c r="J1010" s="38">
        <v>45930</v>
      </c>
      <c r="K1010" s="2">
        <v>3</v>
      </c>
      <c r="L1010" s="2">
        <v>119.37</v>
      </c>
      <c r="M1010" s="2"/>
      <c r="N1010" s="2">
        <v>119.37</v>
      </c>
      <c r="O1010" s="2"/>
      <c r="P1010" s="2"/>
      <c r="Q1010" s="2"/>
      <c r="R1010" s="38"/>
      <c r="S1010" s="2"/>
      <c r="T1010" s="2"/>
    </row>
    <row r="1011" spans="1:20" x14ac:dyDescent="0.2">
      <c r="A1011" s="49" t="str">
        <f t="shared" si="34"/>
        <v>10/7</v>
      </c>
      <c r="B1011" s="19" t="s">
        <v>824</v>
      </c>
      <c r="C1011" s="19" t="s">
        <v>76</v>
      </c>
      <c r="D1011" s="19" t="s">
        <v>76</v>
      </c>
      <c r="E1011" s="24">
        <v>10</v>
      </c>
      <c r="F1011" s="24">
        <v>7</v>
      </c>
      <c r="G1011" s="2"/>
      <c r="H1011" s="2" t="s">
        <v>1164</v>
      </c>
      <c r="I1011" s="2"/>
      <c r="J1011" s="38">
        <v>45930</v>
      </c>
      <c r="K1011" s="2">
        <v>0</v>
      </c>
      <c r="L1011" s="2">
        <v>4.0499999999999972</v>
      </c>
      <c r="M1011" s="2"/>
      <c r="N1011" s="2">
        <v>4.0499999999999972</v>
      </c>
      <c r="O1011" s="2"/>
      <c r="P1011" s="2"/>
      <c r="Q1011" s="2"/>
      <c r="R1011" s="38"/>
      <c r="S1011" s="2"/>
      <c r="T1011" s="2"/>
    </row>
    <row r="1012" spans="1:20" x14ac:dyDescent="0.2">
      <c r="A1012" s="49" t="str">
        <f t="shared" si="34"/>
        <v>20/5-5.5</v>
      </c>
      <c r="B1012" s="19" t="s">
        <v>85</v>
      </c>
      <c r="C1012" s="19" t="s">
        <v>76</v>
      </c>
      <c r="D1012" s="19" t="s">
        <v>76</v>
      </c>
      <c r="E1012" s="24">
        <v>20</v>
      </c>
      <c r="F1012" s="24" t="s">
        <v>41</v>
      </c>
      <c r="G1012" s="2"/>
      <c r="H1012" s="2" t="s">
        <v>1164</v>
      </c>
      <c r="I1012" s="2"/>
      <c r="J1012" s="38">
        <v>45930</v>
      </c>
      <c r="K1012" s="2">
        <v>2</v>
      </c>
      <c r="L1012" s="2">
        <v>152.79999999999973</v>
      </c>
      <c r="M1012" s="2"/>
      <c r="N1012" s="2">
        <v>152.79999999999973</v>
      </c>
      <c r="O1012" s="2"/>
      <c r="P1012" s="2"/>
      <c r="Q1012" s="2"/>
      <c r="R1012" s="38"/>
      <c r="S1012" s="2"/>
      <c r="T1012" s="2"/>
    </row>
    <row r="1013" spans="1:20" x14ac:dyDescent="0.2">
      <c r="A1013" s="49" t="str">
        <f t="shared" si="34"/>
        <v>05/14</v>
      </c>
      <c r="B1013" s="19" t="s">
        <v>973</v>
      </c>
      <c r="C1013" s="19" t="s">
        <v>76</v>
      </c>
      <c r="D1013" s="19" t="s">
        <v>76</v>
      </c>
      <c r="E1013" s="24" t="s">
        <v>976</v>
      </c>
      <c r="F1013" s="24">
        <v>14</v>
      </c>
      <c r="G1013" s="2"/>
      <c r="H1013" s="2" t="s">
        <v>1164</v>
      </c>
      <c r="I1013" s="2"/>
      <c r="J1013" s="38">
        <v>45930</v>
      </c>
      <c r="K1013" s="2">
        <v>-4</v>
      </c>
      <c r="L1013" s="2">
        <v>6.1400000000000148</v>
      </c>
      <c r="M1013" s="2"/>
      <c r="N1013" s="2">
        <v>6.1400000000000148</v>
      </c>
      <c r="O1013" s="2"/>
      <c r="P1013" s="2"/>
      <c r="Q1013" s="2"/>
      <c r="R1013" s="38"/>
      <c r="S1013" s="2"/>
      <c r="T1013" s="2"/>
    </row>
    <row r="1014" spans="1:20" x14ac:dyDescent="0.2">
      <c r="A1014" s="49" t="str">
        <f t="shared" si="34"/>
        <v>16/5-5.5</v>
      </c>
      <c r="B1014" s="19" t="s">
        <v>257</v>
      </c>
      <c r="C1014" s="19" t="s">
        <v>76</v>
      </c>
      <c r="D1014" s="19" t="s">
        <v>76</v>
      </c>
      <c r="E1014" s="24">
        <v>16</v>
      </c>
      <c r="F1014" s="24" t="s">
        <v>41</v>
      </c>
      <c r="G1014" s="2"/>
      <c r="H1014" s="2" t="s">
        <v>1164</v>
      </c>
      <c r="I1014" s="2"/>
      <c r="J1014" s="38">
        <v>45930</v>
      </c>
      <c r="K1014" s="2">
        <v>7</v>
      </c>
      <c r="L1014" s="2">
        <v>196.21000000000004</v>
      </c>
      <c r="M1014" s="2"/>
      <c r="N1014" s="2">
        <v>196.21000000000004</v>
      </c>
      <c r="O1014" s="2"/>
      <c r="P1014" s="2"/>
      <c r="Q1014" s="2"/>
      <c r="R1014" s="38"/>
      <c r="S1014" s="2"/>
      <c r="T1014" s="2"/>
    </row>
    <row r="1015" spans="1:20" x14ac:dyDescent="0.2">
      <c r="A1015" s="49" t="str">
        <f t="shared" si="34"/>
        <v>8/4.5</v>
      </c>
      <c r="B1015" s="19" t="s">
        <v>190</v>
      </c>
      <c r="C1015" s="19" t="s">
        <v>76</v>
      </c>
      <c r="D1015" s="19" t="s">
        <v>76</v>
      </c>
      <c r="E1015" s="24">
        <v>8</v>
      </c>
      <c r="F1015" s="24">
        <v>4.5</v>
      </c>
      <c r="G1015" s="2"/>
      <c r="H1015" s="2" t="s">
        <v>1164</v>
      </c>
      <c r="I1015" s="2"/>
      <c r="J1015" s="38">
        <v>45930</v>
      </c>
      <c r="K1015" s="2">
        <v>-10</v>
      </c>
      <c r="L1015" s="2">
        <v>-417.98</v>
      </c>
      <c r="M1015" s="2"/>
      <c r="N1015" s="2">
        <v>-417.98</v>
      </c>
      <c r="O1015" s="2"/>
      <c r="P1015" s="2"/>
      <c r="Q1015" s="2"/>
      <c r="R1015" s="38"/>
      <c r="S1015" s="2"/>
      <c r="T1015" s="2"/>
    </row>
    <row r="1016" spans="1:20" x14ac:dyDescent="0.2">
      <c r="A1016" s="49" t="str">
        <f t="shared" si="34"/>
        <v>12/4-4.5</v>
      </c>
      <c r="B1016" s="19" t="s">
        <v>1105</v>
      </c>
      <c r="C1016" s="19" t="s">
        <v>76</v>
      </c>
      <c r="D1016" s="19" t="s">
        <v>76</v>
      </c>
      <c r="E1016" s="24">
        <v>12</v>
      </c>
      <c r="F1016" s="24" t="s">
        <v>1106</v>
      </c>
      <c r="G1016" s="2"/>
      <c r="H1016" s="2" t="s">
        <v>1164</v>
      </c>
      <c r="I1016" s="2"/>
      <c r="J1016" s="38">
        <v>45930</v>
      </c>
      <c r="K1016" s="2">
        <v>4</v>
      </c>
      <c r="L1016" s="2">
        <v>95.2</v>
      </c>
      <c r="M1016" s="2"/>
      <c r="N1016" s="2">
        <v>95.2</v>
      </c>
      <c r="O1016" s="2"/>
      <c r="P1016" s="2"/>
      <c r="Q1016" s="2"/>
      <c r="R1016" s="38"/>
      <c r="S1016" s="2"/>
      <c r="T1016" s="2"/>
    </row>
    <row r="1017" spans="1:20" x14ac:dyDescent="0.2">
      <c r="A1017" s="72"/>
      <c r="B1017" s="19"/>
      <c r="C1017" s="19"/>
      <c r="D1017" s="19"/>
      <c r="E1017" s="19"/>
      <c r="F1017" s="19"/>
      <c r="G1017" s="2"/>
      <c r="H1017" s="2"/>
      <c r="I1017" s="2"/>
      <c r="J1017" s="38"/>
      <c r="K1017" s="2"/>
      <c r="L1017" s="2"/>
      <c r="M1017" s="2"/>
      <c r="N1017" s="2"/>
      <c r="O1017" s="2"/>
      <c r="P1017" s="2"/>
      <c r="Q1017" s="2"/>
      <c r="R1017" s="38"/>
      <c r="S1017" s="2"/>
      <c r="T1017" s="2"/>
    </row>
    <row r="1018" spans="1:20" x14ac:dyDescent="0.2">
      <c r="A1018" s="72"/>
      <c r="B1018" s="19"/>
      <c r="C1018" s="19"/>
      <c r="D1018" s="19"/>
      <c r="E1018" s="19"/>
      <c r="F1018" s="19"/>
      <c r="G1018" s="2"/>
      <c r="H1018" s="2"/>
      <c r="I1018" s="2"/>
      <c r="J1018" s="38"/>
      <c r="K1018" s="2"/>
      <c r="L1018" s="2"/>
      <c r="M1018" s="2"/>
      <c r="N1018" s="2"/>
      <c r="O1018" s="2"/>
      <c r="P1018" s="2"/>
      <c r="Q1018" s="2"/>
      <c r="R1018" s="38"/>
      <c r="S1018" s="2"/>
      <c r="T1018" s="2"/>
    </row>
    <row r="1019" spans="1:20" x14ac:dyDescent="0.2">
      <c r="A1019" s="72"/>
      <c r="B1019" s="19"/>
      <c r="C1019" s="19"/>
      <c r="D1019" s="19"/>
      <c r="E1019" s="19"/>
      <c r="F1019" s="19"/>
      <c r="G1019" s="2"/>
      <c r="H1019" s="2"/>
      <c r="I1019" s="2"/>
      <c r="J1019" s="38"/>
      <c r="K1019" s="2"/>
      <c r="L1019" s="2"/>
      <c r="M1019" s="2"/>
      <c r="N1019" s="2"/>
      <c r="O1019" s="2"/>
      <c r="P1019" s="2"/>
      <c r="Q1019" s="2"/>
      <c r="R1019" s="38"/>
      <c r="S1019" s="2"/>
      <c r="T1019" s="2"/>
    </row>
    <row r="1020" spans="1:20" x14ac:dyDescent="0.2">
      <c r="A1020" s="72"/>
      <c r="B1020" s="19"/>
      <c r="C1020" s="19"/>
      <c r="D1020" s="19"/>
      <c r="E1020" s="19"/>
      <c r="F1020" s="19"/>
      <c r="G1020" s="2"/>
      <c r="H1020" s="2"/>
      <c r="I1020" s="2"/>
      <c r="J1020" s="38"/>
      <c r="K1020" s="2"/>
      <c r="L1020" s="2"/>
      <c r="M1020" s="2"/>
      <c r="N1020" s="2"/>
      <c r="O1020" s="2"/>
      <c r="P1020" s="2"/>
      <c r="Q1020" s="2"/>
      <c r="R1020" s="38"/>
      <c r="S1020" s="2"/>
      <c r="T1020" s="2"/>
    </row>
    <row r="1021" spans="1:20" x14ac:dyDescent="0.2">
      <c r="A1021" s="72"/>
      <c r="B1021" s="19"/>
      <c r="C1021" s="19"/>
      <c r="D1021" s="19"/>
      <c r="E1021" s="19"/>
      <c r="F1021" s="19"/>
      <c r="G1021" s="2"/>
      <c r="H1021" s="2"/>
      <c r="I1021" s="2"/>
      <c r="J1021" s="38"/>
      <c r="K1021" s="2"/>
      <c r="L1021" s="2"/>
      <c r="M1021" s="2"/>
      <c r="N1021" s="2"/>
      <c r="O1021" s="2"/>
      <c r="P1021" s="2"/>
      <c r="Q1021" s="2"/>
      <c r="R1021" s="38"/>
      <c r="S1021" s="2"/>
      <c r="T1021" s="2"/>
    </row>
    <row r="1022" spans="1:20" x14ac:dyDescent="0.2">
      <c r="A1022" s="72"/>
      <c r="B1022" s="19"/>
      <c r="C1022" s="19"/>
      <c r="D1022" s="19"/>
      <c r="E1022" s="19"/>
      <c r="F1022" s="19"/>
      <c r="G1022" s="2"/>
      <c r="H1022" s="2"/>
      <c r="I1022" s="2"/>
      <c r="J1022" s="38"/>
      <c r="K1022" s="2"/>
      <c r="L1022" s="2"/>
      <c r="M1022" s="2"/>
      <c r="N1022" s="2"/>
      <c r="O1022" s="2"/>
      <c r="P1022" s="2"/>
      <c r="Q1022" s="2"/>
      <c r="R1022" s="38"/>
      <c r="S1022" s="2"/>
      <c r="T1022" s="2"/>
    </row>
    <row r="1023" spans="1:20" x14ac:dyDescent="0.2">
      <c r="A1023" s="72"/>
      <c r="B1023" s="19"/>
      <c r="C1023" s="19"/>
      <c r="D1023" s="19"/>
      <c r="E1023" s="19"/>
      <c r="F1023" s="19"/>
      <c r="G1023" s="2"/>
      <c r="H1023" s="2"/>
      <c r="I1023" s="2"/>
      <c r="J1023" s="38"/>
      <c r="K1023" s="2"/>
      <c r="L1023" s="2"/>
      <c r="M1023" s="2"/>
      <c r="N1023" s="2"/>
      <c r="O1023" s="2"/>
      <c r="P1023" s="2"/>
      <c r="Q1023" s="2"/>
      <c r="R1023" s="38"/>
      <c r="S1023" s="2"/>
      <c r="T1023" s="2"/>
    </row>
    <row r="1024" spans="1:20" x14ac:dyDescent="0.2">
      <c r="A1024" s="72"/>
      <c r="B1024" s="19"/>
      <c r="C1024" s="19"/>
      <c r="D1024" s="19"/>
      <c r="E1024" s="19"/>
      <c r="F1024" s="19"/>
      <c r="G1024" s="2"/>
      <c r="H1024" s="2"/>
      <c r="I1024" s="2"/>
      <c r="J1024" s="38"/>
      <c r="K1024" s="2"/>
      <c r="L1024" s="2"/>
      <c r="M1024" s="2"/>
      <c r="N1024" s="2"/>
      <c r="O1024" s="2"/>
      <c r="P1024" s="2"/>
      <c r="Q1024" s="2"/>
      <c r="R1024" s="38"/>
      <c r="S1024" s="2"/>
      <c r="T1024" s="2"/>
    </row>
    <row r="1025" spans="1:20" x14ac:dyDescent="0.2">
      <c r="A1025" s="72"/>
      <c r="B1025" s="19"/>
      <c r="C1025" s="19"/>
      <c r="D1025" s="19"/>
      <c r="E1025" s="19"/>
      <c r="F1025" s="19"/>
      <c r="G1025" s="2"/>
      <c r="H1025" s="2"/>
      <c r="I1025" s="2"/>
      <c r="J1025" s="38"/>
      <c r="K1025" s="2"/>
      <c r="L1025" s="2"/>
      <c r="M1025" s="2"/>
      <c r="N1025" s="2"/>
      <c r="O1025" s="2"/>
      <c r="P1025" s="2"/>
      <c r="Q1025" s="2"/>
      <c r="R1025" s="38"/>
      <c r="S1025" s="2"/>
      <c r="T1025" s="2"/>
    </row>
    <row r="1026" spans="1:20" x14ac:dyDescent="0.2">
      <c r="A1026" s="72"/>
      <c r="B1026" s="19"/>
      <c r="C1026" s="19"/>
      <c r="D1026" s="19"/>
      <c r="E1026" s="19"/>
      <c r="F1026" s="19"/>
      <c r="G1026" s="2"/>
      <c r="H1026" s="2"/>
      <c r="I1026" s="2"/>
      <c r="J1026" s="38"/>
      <c r="K1026" s="2"/>
      <c r="L1026" s="2"/>
      <c r="M1026" s="2"/>
      <c r="N1026" s="2"/>
      <c r="O1026" s="2"/>
      <c r="P1026" s="2"/>
      <c r="Q1026" s="2"/>
      <c r="R1026" s="38"/>
      <c r="S1026" s="2"/>
      <c r="T1026" s="2"/>
    </row>
    <row r="1027" spans="1:20" x14ac:dyDescent="0.2">
      <c r="A1027" s="72"/>
      <c r="B1027" s="19"/>
      <c r="C1027" s="19"/>
      <c r="D1027" s="19"/>
      <c r="E1027" s="19"/>
      <c r="F1027" s="19"/>
      <c r="G1027" s="2"/>
      <c r="H1027" s="2"/>
      <c r="I1027" s="2"/>
      <c r="J1027" s="38"/>
      <c r="K1027" s="2"/>
      <c r="L1027" s="2"/>
      <c r="M1027" s="2"/>
      <c r="N1027" s="2"/>
      <c r="O1027" s="2"/>
      <c r="P1027" s="2"/>
      <c r="Q1027" s="2"/>
      <c r="R1027" s="38"/>
      <c r="S1027" s="2"/>
      <c r="T1027" s="2"/>
    </row>
    <row r="1028" spans="1:20" x14ac:dyDescent="0.2">
      <c r="A1028" s="72"/>
      <c r="B1028" s="19"/>
      <c r="C1028" s="19"/>
      <c r="D1028" s="19"/>
      <c r="E1028" s="19"/>
      <c r="F1028" s="19"/>
      <c r="G1028" s="2"/>
      <c r="H1028" s="2"/>
      <c r="I1028" s="2"/>
      <c r="J1028" s="38"/>
      <c r="K1028" s="2"/>
      <c r="L1028" s="2"/>
      <c r="M1028" s="2"/>
      <c r="N1028" s="2"/>
      <c r="O1028" s="2"/>
      <c r="P1028" s="2"/>
      <c r="Q1028" s="2"/>
      <c r="R1028" s="38"/>
      <c r="S1028" s="2"/>
      <c r="T1028" s="2"/>
    </row>
    <row r="1029" spans="1:20" x14ac:dyDescent="0.2">
      <c r="A1029" s="72"/>
      <c r="B1029" s="19"/>
      <c r="C1029" s="19"/>
      <c r="D1029" s="19"/>
      <c r="E1029" s="19"/>
      <c r="F1029" s="19"/>
      <c r="G1029" s="2"/>
      <c r="H1029" s="2"/>
      <c r="I1029" s="2"/>
      <c r="J1029" s="38"/>
      <c r="K1029" s="2"/>
      <c r="L1029" s="2"/>
      <c r="M1029" s="2"/>
      <c r="N1029" s="2"/>
      <c r="O1029" s="2"/>
      <c r="P1029" s="2"/>
      <c r="Q1029" s="2"/>
      <c r="R1029" s="38"/>
      <c r="S1029" s="2"/>
      <c r="T1029" s="2"/>
    </row>
    <row r="1030" spans="1:20" x14ac:dyDescent="0.2">
      <c r="A1030" s="72"/>
      <c r="B1030" s="19"/>
      <c r="C1030" s="19"/>
      <c r="D1030" s="19"/>
      <c r="E1030" s="19"/>
      <c r="F1030" s="19"/>
      <c r="G1030" s="2"/>
      <c r="H1030" s="2"/>
      <c r="I1030" s="2"/>
      <c r="J1030" s="38"/>
      <c r="K1030" s="2"/>
      <c r="L1030" s="2"/>
      <c r="M1030" s="2"/>
      <c r="N1030" s="2"/>
      <c r="O1030" s="2"/>
      <c r="P1030" s="2"/>
      <c r="Q1030" s="2"/>
      <c r="R1030" s="38"/>
      <c r="S1030" s="2"/>
      <c r="T1030" s="2"/>
    </row>
    <row r="1031" spans="1:20" x14ac:dyDescent="0.2">
      <c r="A1031" s="72"/>
      <c r="B1031" s="19"/>
      <c r="C1031" s="19"/>
      <c r="D1031" s="19"/>
      <c r="E1031" s="19"/>
      <c r="F1031" s="19"/>
      <c r="G1031" s="2"/>
      <c r="H1031" s="2"/>
      <c r="I1031" s="2"/>
      <c r="J1031" s="38"/>
      <c r="K1031" s="2"/>
      <c r="L1031" s="2"/>
      <c r="M1031" s="2"/>
      <c r="N1031" s="2"/>
      <c r="O1031" s="2"/>
      <c r="P1031" s="2"/>
      <c r="Q1031" s="2"/>
      <c r="R1031" s="38"/>
      <c r="S1031" s="2"/>
      <c r="T1031" s="2"/>
    </row>
    <row r="1032" spans="1:20" x14ac:dyDescent="0.2">
      <c r="A1032" s="72"/>
      <c r="B1032" s="19"/>
      <c r="C1032" s="19"/>
      <c r="D1032" s="19"/>
      <c r="E1032" s="19"/>
      <c r="F1032" s="19"/>
      <c r="G1032" s="2"/>
      <c r="H1032" s="2"/>
      <c r="I1032" s="2"/>
      <c r="J1032" s="38"/>
      <c r="K1032" s="2"/>
      <c r="L1032" s="2"/>
      <c r="M1032" s="2"/>
      <c r="N1032" s="2"/>
      <c r="O1032" s="2"/>
      <c r="P1032" s="2"/>
      <c r="Q1032" s="2"/>
      <c r="R1032" s="38"/>
      <c r="S1032" s="2"/>
      <c r="T1032" s="2"/>
    </row>
    <row r="1033" spans="1:20" x14ac:dyDescent="0.2">
      <c r="A1033" s="72"/>
      <c r="B1033" s="19"/>
      <c r="C1033" s="19"/>
      <c r="D1033" s="19"/>
      <c r="E1033" s="19"/>
      <c r="F1033" s="19"/>
      <c r="G1033" s="2"/>
      <c r="H1033" s="2"/>
      <c r="I1033" s="2"/>
      <c r="J1033" s="38"/>
      <c r="K1033" s="2"/>
      <c r="L1033" s="2"/>
      <c r="M1033" s="2"/>
      <c r="N1033" s="2"/>
      <c r="O1033" s="2"/>
      <c r="P1033" s="2"/>
      <c r="Q1033" s="2"/>
      <c r="R1033" s="38"/>
      <c r="S1033" s="2"/>
      <c r="T1033" s="2"/>
    </row>
    <row r="1034" spans="1:20" x14ac:dyDescent="0.2">
      <c r="A1034" s="72"/>
      <c r="B1034" s="19"/>
      <c r="C1034" s="19"/>
      <c r="D1034" s="19"/>
      <c r="E1034" s="19"/>
      <c r="F1034" s="19"/>
      <c r="G1034" s="2"/>
      <c r="H1034" s="2"/>
      <c r="I1034" s="2"/>
      <c r="J1034" s="38"/>
      <c r="K1034" s="2"/>
      <c r="L1034" s="2"/>
      <c r="M1034" s="2"/>
      <c r="N1034" s="2"/>
      <c r="O1034" s="2"/>
      <c r="P1034" s="2"/>
      <c r="Q1034" s="2"/>
      <c r="R1034" s="38"/>
      <c r="S1034" s="2"/>
      <c r="T1034" s="2"/>
    </row>
    <row r="1035" spans="1:20" x14ac:dyDescent="0.2">
      <c r="A1035" s="72"/>
      <c r="B1035" s="19"/>
      <c r="C1035" s="19"/>
      <c r="D1035" s="19"/>
      <c r="E1035" s="19"/>
      <c r="F1035" s="19"/>
      <c r="G1035" s="2"/>
      <c r="H1035" s="2"/>
      <c r="I1035" s="2"/>
      <c r="J1035" s="38"/>
      <c r="K1035" s="2"/>
      <c r="L1035" s="2"/>
      <c r="M1035" s="2"/>
      <c r="N1035" s="2"/>
      <c r="O1035" s="2"/>
      <c r="P1035" s="2"/>
      <c r="Q1035" s="2"/>
      <c r="R1035" s="38"/>
      <c r="S1035" s="2"/>
      <c r="T1035" s="2"/>
    </row>
    <row r="1036" spans="1:20" x14ac:dyDescent="0.2">
      <c r="A1036" s="72"/>
      <c r="B1036" s="19"/>
      <c r="C1036" s="19"/>
      <c r="D1036" s="19"/>
      <c r="E1036" s="19"/>
      <c r="F1036" s="19"/>
      <c r="G1036" s="2"/>
      <c r="H1036" s="2"/>
      <c r="I1036" s="2"/>
      <c r="J1036" s="38"/>
      <c r="K1036" s="2"/>
      <c r="L1036" s="2"/>
      <c r="M1036" s="2"/>
      <c r="N1036" s="2"/>
      <c r="O1036" s="2"/>
      <c r="P1036" s="2"/>
      <c r="Q1036" s="2"/>
      <c r="R1036" s="38"/>
      <c r="S1036" s="2"/>
      <c r="T1036" s="2"/>
    </row>
    <row r="1037" spans="1:20" x14ac:dyDescent="0.2">
      <c r="A1037" s="72"/>
      <c r="B1037" s="19"/>
      <c r="C1037" s="19"/>
      <c r="D1037" s="19"/>
      <c r="E1037" s="19"/>
      <c r="F1037" s="19"/>
      <c r="G1037" s="2"/>
      <c r="H1037" s="2"/>
      <c r="I1037" s="2"/>
      <c r="J1037" s="38"/>
      <c r="K1037" s="2"/>
      <c r="L1037" s="2"/>
      <c r="M1037" s="2"/>
      <c r="N1037" s="2"/>
      <c r="O1037" s="2"/>
      <c r="P1037" s="2"/>
      <c r="Q1037" s="2"/>
      <c r="R1037" s="38"/>
      <c r="S1037" s="2"/>
      <c r="T1037" s="2"/>
    </row>
    <row r="1038" spans="1:20" x14ac:dyDescent="0.2">
      <c r="A1038" s="72"/>
      <c r="B1038" s="19"/>
      <c r="C1038" s="19"/>
      <c r="D1038" s="19"/>
      <c r="E1038" s="19"/>
      <c r="F1038" s="19"/>
      <c r="G1038" s="2"/>
      <c r="H1038" s="2"/>
      <c r="I1038" s="2"/>
      <c r="J1038" s="38"/>
      <c r="K1038" s="2"/>
      <c r="L1038" s="2"/>
      <c r="M1038" s="2"/>
      <c r="N1038" s="2"/>
      <c r="O1038" s="2"/>
      <c r="P1038" s="2"/>
      <c r="Q1038" s="2"/>
      <c r="R1038" s="38"/>
      <c r="S1038" s="2"/>
      <c r="T1038" s="2"/>
    </row>
    <row r="1039" spans="1:20" x14ac:dyDescent="0.2">
      <c r="A1039" s="72"/>
      <c r="B1039" s="19"/>
      <c r="C1039" s="19"/>
      <c r="D1039" s="19"/>
      <c r="E1039" s="19"/>
      <c r="F1039" s="19"/>
      <c r="G1039" s="2"/>
      <c r="H1039" s="2"/>
      <c r="I1039" s="2"/>
      <c r="J1039" s="38"/>
      <c r="K1039" s="2"/>
      <c r="L1039" s="2"/>
      <c r="M1039" s="2"/>
      <c r="N1039" s="2"/>
      <c r="O1039" s="2"/>
      <c r="P1039" s="2"/>
      <c r="Q1039" s="2"/>
      <c r="R1039" s="38"/>
      <c r="S1039" s="2"/>
      <c r="T1039" s="2"/>
    </row>
    <row r="1040" spans="1:20" x14ac:dyDescent="0.2">
      <c r="A1040" s="72"/>
      <c r="B1040" s="19"/>
      <c r="C1040" s="19"/>
      <c r="D1040" s="19"/>
      <c r="E1040" s="19"/>
      <c r="F1040" s="19"/>
      <c r="G1040" s="2"/>
      <c r="H1040" s="2"/>
      <c r="I1040" s="2"/>
      <c r="J1040" s="38"/>
      <c r="K1040" s="2"/>
      <c r="L1040" s="2"/>
      <c r="M1040" s="2"/>
      <c r="N1040" s="2"/>
      <c r="O1040" s="2"/>
      <c r="P1040" s="2"/>
      <c r="Q1040" s="2"/>
      <c r="R1040" s="38"/>
      <c r="S1040" s="2"/>
      <c r="T1040" s="2"/>
    </row>
    <row r="1041" spans="1:20" x14ac:dyDescent="0.2">
      <c r="A1041" s="72"/>
      <c r="B1041" s="19"/>
      <c r="C1041" s="19"/>
      <c r="D1041" s="19"/>
      <c r="E1041" s="19"/>
      <c r="F1041" s="19"/>
      <c r="G1041" s="2"/>
      <c r="H1041" s="2"/>
      <c r="I1041" s="2"/>
      <c r="J1041" s="38"/>
      <c r="K1041" s="2"/>
      <c r="L1041" s="2"/>
      <c r="M1041" s="2"/>
      <c r="N1041" s="2"/>
      <c r="O1041" s="2"/>
      <c r="P1041" s="2"/>
      <c r="Q1041" s="2"/>
      <c r="R1041" s="38"/>
      <c r="S1041" s="2"/>
      <c r="T1041" s="2"/>
    </row>
    <row r="1042" spans="1:20" x14ac:dyDescent="0.2">
      <c r="A1042" s="72"/>
      <c r="B1042" s="19"/>
      <c r="C1042" s="19"/>
      <c r="D1042" s="19"/>
      <c r="E1042" s="19"/>
      <c r="F1042" s="19"/>
      <c r="G1042" s="2"/>
      <c r="H1042" s="2"/>
      <c r="I1042" s="2"/>
      <c r="J1042" s="38"/>
      <c r="K1042" s="2"/>
      <c r="L1042" s="2"/>
      <c r="M1042" s="2"/>
      <c r="N1042" s="2"/>
      <c r="O1042" s="2"/>
      <c r="P1042" s="2"/>
      <c r="Q1042" s="2"/>
      <c r="R1042" s="38"/>
      <c r="S1042" s="2"/>
      <c r="T1042" s="2"/>
    </row>
    <row r="1043" spans="1:20" x14ac:dyDescent="0.2">
      <c r="A1043" s="72"/>
      <c r="B1043" s="19"/>
      <c r="C1043" s="19"/>
      <c r="D1043" s="19"/>
      <c r="E1043" s="19"/>
      <c r="F1043" s="19"/>
      <c r="G1043" s="2"/>
      <c r="H1043" s="2"/>
      <c r="I1043" s="2"/>
      <c r="J1043" s="38"/>
      <c r="K1043" s="2"/>
      <c r="L1043" s="2"/>
      <c r="M1043" s="2"/>
      <c r="N1043" s="2"/>
      <c r="O1043" s="2"/>
      <c r="P1043" s="2"/>
      <c r="Q1043" s="2"/>
      <c r="R1043" s="38"/>
      <c r="S1043" s="2"/>
      <c r="T1043" s="2"/>
    </row>
    <row r="1044" spans="1:20" x14ac:dyDescent="0.2">
      <c r="A1044" s="72"/>
      <c r="B1044" s="19"/>
      <c r="C1044" s="19"/>
      <c r="D1044" s="19"/>
      <c r="E1044" s="19"/>
      <c r="F1044" s="19"/>
      <c r="G1044" s="2"/>
      <c r="H1044" s="2"/>
      <c r="I1044" s="2"/>
      <c r="J1044" s="38"/>
      <c r="K1044" s="2"/>
      <c r="L1044" s="2"/>
      <c r="M1044" s="2"/>
      <c r="N1044" s="2"/>
      <c r="O1044" s="2"/>
      <c r="P1044" s="2"/>
      <c r="Q1044" s="2"/>
      <c r="R1044" s="38"/>
      <c r="S1044" s="2"/>
      <c r="T1044" s="2"/>
    </row>
    <row r="1045" spans="1:20" x14ac:dyDescent="0.2">
      <c r="A1045" s="72"/>
      <c r="B1045" s="19"/>
      <c r="C1045" s="19"/>
      <c r="D1045" s="19"/>
      <c r="E1045" s="19"/>
      <c r="F1045" s="19"/>
      <c r="G1045" s="2"/>
      <c r="H1045" s="2"/>
      <c r="I1045" s="2"/>
      <c r="J1045" s="38"/>
      <c r="K1045" s="2"/>
      <c r="L1045" s="2"/>
      <c r="M1045" s="2"/>
      <c r="N1045" s="2"/>
      <c r="O1045" s="2"/>
      <c r="P1045" s="2"/>
      <c r="Q1045" s="2"/>
      <c r="R1045" s="38"/>
      <c r="S1045" s="2"/>
      <c r="T1045" s="2"/>
    </row>
    <row r="1046" spans="1:20" x14ac:dyDescent="0.2">
      <c r="A1046" s="72"/>
      <c r="B1046" s="19"/>
      <c r="C1046" s="19"/>
      <c r="D1046" s="19"/>
      <c r="E1046" s="19"/>
      <c r="F1046" s="19"/>
      <c r="G1046" s="2"/>
      <c r="H1046" s="2"/>
      <c r="I1046" s="2"/>
      <c r="J1046" s="38"/>
      <c r="K1046" s="2"/>
      <c r="L1046" s="2"/>
      <c r="M1046" s="2"/>
      <c r="N1046" s="2"/>
      <c r="O1046" s="2"/>
      <c r="P1046" s="2"/>
      <c r="Q1046" s="2"/>
      <c r="R1046" s="38"/>
      <c r="S1046" s="2"/>
      <c r="T1046" s="2"/>
    </row>
    <row r="1047" spans="1:20" x14ac:dyDescent="0.2">
      <c r="A1047" s="72"/>
      <c r="B1047" s="19"/>
      <c r="C1047" s="19"/>
      <c r="D1047" s="19"/>
      <c r="E1047" s="19"/>
      <c r="F1047" s="19"/>
      <c r="G1047" s="2"/>
      <c r="H1047" s="2"/>
      <c r="I1047" s="2"/>
      <c r="J1047" s="38"/>
      <c r="K1047" s="2"/>
      <c r="L1047" s="2"/>
      <c r="M1047" s="2"/>
      <c r="N1047" s="2"/>
      <c r="O1047" s="2"/>
      <c r="P1047" s="2"/>
      <c r="Q1047" s="2"/>
      <c r="R1047" s="38"/>
      <c r="S1047" s="2"/>
      <c r="T1047" s="2"/>
    </row>
    <row r="1048" spans="1:20" x14ac:dyDescent="0.2">
      <c r="A1048" s="72"/>
      <c r="B1048" s="19"/>
      <c r="C1048" s="19"/>
      <c r="D1048" s="19"/>
      <c r="E1048" s="19"/>
      <c r="F1048" s="19"/>
      <c r="G1048" s="2"/>
      <c r="H1048" s="2"/>
      <c r="I1048" s="2"/>
      <c r="J1048" s="38"/>
      <c r="K1048" s="2"/>
      <c r="L1048" s="2"/>
      <c r="M1048" s="2"/>
      <c r="N1048" s="2"/>
      <c r="O1048" s="2"/>
      <c r="P1048" s="2"/>
      <c r="Q1048" s="2"/>
      <c r="R1048" s="38"/>
      <c r="S1048" s="2"/>
      <c r="T1048" s="2"/>
    </row>
    <row r="1049" spans="1:20" x14ac:dyDescent="0.2">
      <c r="A1049" s="72"/>
      <c r="B1049" s="19"/>
      <c r="C1049" s="19"/>
      <c r="D1049" s="19"/>
      <c r="E1049" s="19"/>
      <c r="F1049" s="19"/>
      <c r="G1049" s="2"/>
      <c r="H1049" s="2"/>
      <c r="I1049" s="2"/>
      <c r="J1049" s="38"/>
      <c r="K1049" s="2"/>
      <c r="L1049" s="2"/>
      <c r="M1049" s="2"/>
      <c r="N1049" s="2"/>
      <c r="O1049" s="2"/>
      <c r="P1049" s="2"/>
      <c r="Q1049" s="2"/>
      <c r="R1049" s="38"/>
      <c r="S1049" s="2"/>
      <c r="T1049" s="2"/>
    </row>
    <row r="1050" spans="1:20" x14ac:dyDescent="0.2">
      <c r="A1050" s="72"/>
      <c r="B1050" s="19"/>
      <c r="C1050" s="19"/>
      <c r="D1050" s="19"/>
      <c r="E1050" s="19"/>
      <c r="F1050" s="19"/>
      <c r="G1050" s="2"/>
      <c r="H1050" s="2"/>
      <c r="I1050" s="2"/>
      <c r="J1050" s="38"/>
      <c r="K1050" s="2"/>
      <c r="L1050" s="2"/>
      <c r="M1050" s="2"/>
      <c r="N1050" s="2"/>
      <c r="O1050" s="2"/>
      <c r="P1050" s="2"/>
      <c r="Q1050" s="2"/>
      <c r="R1050" s="38"/>
      <c r="S1050" s="2"/>
      <c r="T1050" s="2"/>
    </row>
    <row r="1051" spans="1:20" x14ac:dyDescent="0.2">
      <c r="A1051" s="72"/>
      <c r="B1051" s="19"/>
      <c r="C1051" s="19"/>
      <c r="D1051" s="19"/>
      <c r="E1051" s="19"/>
      <c r="F1051" s="19"/>
      <c r="G1051" s="2"/>
      <c r="H1051" s="2"/>
      <c r="I1051" s="2"/>
      <c r="J1051" s="38"/>
      <c r="K1051" s="2"/>
      <c r="L1051" s="2"/>
      <c r="M1051" s="2"/>
      <c r="N1051" s="2"/>
      <c r="O1051" s="2"/>
      <c r="P1051" s="2"/>
      <c r="Q1051" s="2"/>
      <c r="R1051" s="38"/>
      <c r="S1051" s="2"/>
      <c r="T1051" s="2"/>
    </row>
    <row r="1052" spans="1:20" x14ac:dyDescent="0.2">
      <c r="A1052" s="72"/>
      <c r="B1052" s="19"/>
      <c r="C1052" s="19"/>
      <c r="D1052" s="19"/>
      <c r="E1052" s="19"/>
      <c r="F1052" s="19"/>
      <c r="G1052" s="2"/>
      <c r="H1052" s="2"/>
      <c r="I1052" s="2"/>
      <c r="J1052" s="38"/>
      <c r="K1052" s="2"/>
      <c r="L1052" s="2"/>
      <c r="M1052" s="2"/>
      <c r="N1052" s="2"/>
      <c r="O1052" s="2"/>
      <c r="P1052" s="2"/>
      <c r="Q1052" s="2"/>
      <c r="R1052" s="38"/>
      <c r="S1052" s="2"/>
      <c r="T1052" s="2"/>
    </row>
    <row r="1053" spans="1:20" x14ac:dyDescent="0.2">
      <c r="A1053" s="72"/>
      <c r="B1053" s="19"/>
      <c r="C1053" s="19"/>
      <c r="D1053" s="19"/>
      <c r="E1053" s="19"/>
      <c r="F1053" s="19"/>
      <c r="G1053" s="2"/>
      <c r="H1053" s="2"/>
      <c r="I1053" s="2"/>
      <c r="J1053" s="38"/>
      <c r="K1053" s="2"/>
      <c r="L1053" s="2"/>
      <c r="M1053" s="2"/>
      <c r="N1053" s="2"/>
      <c r="O1053" s="2"/>
      <c r="P1053" s="2"/>
      <c r="Q1053" s="2"/>
      <c r="R1053" s="38"/>
      <c r="S1053" s="2"/>
      <c r="T1053" s="2"/>
    </row>
    <row r="1054" spans="1:20" x14ac:dyDescent="0.2">
      <c r="A1054" s="72"/>
      <c r="B1054" s="19"/>
      <c r="C1054" s="19"/>
      <c r="D1054" s="19"/>
      <c r="E1054" s="19"/>
      <c r="F1054" s="19"/>
      <c r="G1054" s="2"/>
      <c r="H1054" s="2"/>
      <c r="I1054" s="2"/>
      <c r="J1054" s="38"/>
      <c r="K1054" s="2"/>
      <c r="L1054" s="2"/>
      <c r="M1054" s="2"/>
      <c r="N1054" s="2"/>
      <c r="O1054" s="2"/>
      <c r="P1054" s="2"/>
      <c r="Q1054" s="2"/>
      <c r="R1054" s="38"/>
      <c r="S1054" s="2"/>
      <c r="T1054" s="2"/>
    </row>
    <row r="1055" spans="1:20" x14ac:dyDescent="0.2">
      <c r="A1055" s="72"/>
      <c r="B1055" s="19"/>
      <c r="C1055" s="19"/>
      <c r="D1055" s="19"/>
      <c r="E1055" s="19"/>
      <c r="F1055" s="19"/>
      <c r="G1055" s="2"/>
      <c r="H1055" s="2"/>
      <c r="I1055" s="2"/>
      <c r="J1055" s="38"/>
      <c r="K1055" s="2"/>
      <c r="L1055" s="2"/>
      <c r="M1055" s="2"/>
      <c r="N1055" s="2"/>
      <c r="O1055" s="2"/>
      <c r="P1055" s="2"/>
      <c r="Q1055" s="2"/>
      <c r="R1055" s="38"/>
      <c r="S1055" s="2"/>
      <c r="T1055" s="2"/>
    </row>
    <row r="1056" spans="1:20" x14ac:dyDescent="0.2">
      <c r="A1056" s="72"/>
      <c r="B1056" s="19"/>
      <c r="C1056" s="19"/>
      <c r="D1056" s="19"/>
      <c r="E1056" s="19"/>
      <c r="F1056" s="19"/>
      <c r="G1056" s="2"/>
      <c r="H1056" s="2"/>
      <c r="I1056" s="2"/>
      <c r="J1056" s="38"/>
      <c r="K1056" s="2"/>
      <c r="L1056" s="2"/>
      <c r="M1056" s="2"/>
      <c r="N1056" s="2"/>
      <c r="O1056" s="2"/>
      <c r="P1056" s="2"/>
      <c r="Q1056" s="2"/>
      <c r="R1056" s="38"/>
      <c r="S1056" s="2"/>
      <c r="T1056" s="2"/>
    </row>
    <row r="1057" spans="1:20" x14ac:dyDescent="0.2">
      <c r="A1057" s="72"/>
      <c r="B1057" s="19"/>
      <c r="C1057" s="19"/>
      <c r="D1057" s="19"/>
      <c r="E1057" s="19"/>
      <c r="F1057" s="19"/>
      <c r="G1057" s="2"/>
      <c r="H1057" s="2"/>
      <c r="I1057" s="2"/>
      <c r="J1057" s="38"/>
      <c r="K1057" s="2"/>
      <c r="L1057" s="2"/>
      <c r="M1057" s="2"/>
      <c r="N1057" s="2"/>
      <c r="O1057" s="2"/>
      <c r="P1057" s="2"/>
      <c r="Q1057" s="2"/>
      <c r="R1057" s="38"/>
      <c r="S1057" s="2"/>
      <c r="T1057" s="2"/>
    </row>
    <row r="1058" spans="1:20" x14ac:dyDescent="0.2">
      <c r="A1058" s="72"/>
      <c r="B1058" s="19"/>
      <c r="C1058" s="19"/>
      <c r="D1058" s="19"/>
      <c r="E1058" s="19"/>
      <c r="F1058" s="19"/>
      <c r="G1058" s="2"/>
      <c r="H1058" s="2"/>
      <c r="I1058" s="2"/>
      <c r="J1058" s="38"/>
      <c r="K1058" s="2"/>
      <c r="L1058" s="2"/>
      <c r="M1058" s="2"/>
      <c r="N1058" s="2"/>
      <c r="O1058" s="2"/>
      <c r="P1058" s="2"/>
      <c r="Q1058" s="2"/>
      <c r="R1058" s="38"/>
      <c r="S1058" s="2"/>
      <c r="T1058" s="2"/>
    </row>
    <row r="1059" spans="1:20" x14ac:dyDescent="0.2">
      <c r="A1059" s="72"/>
      <c r="B1059" s="19"/>
      <c r="C1059" s="19"/>
      <c r="D1059" s="19"/>
      <c r="E1059" s="19"/>
      <c r="F1059" s="19"/>
      <c r="G1059" s="2"/>
      <c r="H1059" s="2"/>
      <c r="I1059" s="2"/>
      <c r="J1059" s="38"/>
      <c r="K1059" s="2"/>
      <c r="L1059" s="2"/>
      <c r="M1059" s="2"/>
      <c r="N1059" s="2"/>
      <c r="O1059" s="2"/>
      <c r="P1059" s="2"/>
      <c r="Q1059" s="2"/>
      <c r="R1059" s="38"/>
      <c r="S1059" s="2"/>
      <c r="T1059" s="2"/>
    </row>
    <row r="1060" spans="1:20" x14ac:dyDescent="0.2">
      <c r="A1060" s="72"/>
      <c r="B1060" s="19"/>
      <c r="C1060" s="19"/>
      <c r="D1060" s="19"/>
      <c r="E1060" s="19"/>
      <c r="F1060" s="19"/>
      <c r="G1060" s="2"/>
      <c r="H1060" s="2"/>
      <c r="I1060" s="2"/>
      <c r="J1060" s="38"/>
      <c r="K1060" s="2"/>
      <c r="L1060" s="2"/>
      <c r="M1060" s="2"/>
      <c r="N1060" s="2"/>
      <c r="O1060" s="2"/>
      <c r="P1060" s="2"/>
      <c r="Q1060" s="2"/>
      <c r="R1060" s="38"/>
      <c r="S1060" s="2"/>
      <c r="T1060" s="2"/>
    </row>
    <row r="1061" spans="1:20" x14ac:dyDescent="0.2">
      <c r="A1061" s="72"/>
      <c r="B1061" s="19"/>
      <c r="C1061" s="19"/>
      <c r="D1061" s="19"/>
      <c r="E1061" s="19"/>
      <c r="F1061" s="19"/>
      <c r="G1061" s="2"/>
      <c r="H1061" s="2"/>
      <c r="I1061" s="2"/>
      <c r="J1061" s="38"/>
      <c r="K1061" s="2"/>
      <c r="L1061" s="2"/>
      <c r="M1061" s="2"/>
      <c r="N1061" s="2"/>
      <c r="O1061" s="2"/>
      <c r="P1061" s="2"/>
      <c r="Q1061" s="2"/>
      <c r="R1061" s="38"/>
      <c r="S1061" s="2"/>
      <c r="T1061" s="2"/>
    </row>
    <row r="1062" spans="1:20" x14ac:dyDescent="0.2">
      <c r="A1062" s="72"/>
      <c r="B1062" s="19"/>
      <c r="C1062" s="19"/>
      <c r="D1062" s="19"/>
      <c r="E1062" s="19"/>
      <c r="F1062" s="19"/>
      <c r="G1062" s="2"/>
      <c r="H1062" s="2"/>
      <c r="I1062" s="2"/>
      <c r="J1062" s="38"/>
      <c r="K1062" s="2"/>
      <c r="L1062" s="2"/>
      <c r="M1062" s="2"/>
      <c r="N1062" s="2"/>
      <c r="O1062" s="2"/>
      <c r="P1062" s="2"/>
      <c r="Q1062" s="2"/>
      <c r="R1062" s="38"/>
      <c r="S1062" s="2"/>
      <c r="T1062" s="2"/>
    </row>
    <row r="1063" spans="1:20" x14ac:dyDescent="0.2">
      <c r="A1063" s="72"/>
      <c r="B1063" s="19"/>
      <c r="C1063" s="19"/>
      <c r="D1063" s="19"/>
      <c r="E1063" s="19"/>
      <c r="F1063" s="19"/>
      <c r="G1063" s="2"/>
      <c r="H1063" s="2"/>
      <c r="I1063" s="2"/>
      <c r="J1063" s="38"/>
      <c r="K1063" s="2"/>
      <c r="L1063" s="2"/>
      <c r="M1063" s="2"/>
      <c r="N1063" s="2"/>
      <c r="O1063" s="2"/>
      <c r="P1063" s="2"/>
      <c r="Q1063" s="2"/>
      <c r="R1063" s="38"/>
      <c r="S1063" s="2"/>
      <c r="T1063" s="2"/>
    </row>
    <row r="1064" spans="1:20" x14ac:dyDescent="0.2">
      <c r="A1064" s="72"/>
      <c r="B1064" s="19"/>
      <c r="C1064" s="19"/>
      <c r="D1064" s="19"/>
      <c r="E1064" s="19"/>
      <c r="F1064" s="19"/>
      <c r="G1064" s="2"/>
      <c r="H1064" s="2"/>
      <c r="I1064" s="2"/>
      <c r="J1064" s="38"/>
      <c r="K1064" s="2"/>
      <c r="L1064" s="2"/>
      <c r="M1064" s="2"/>
      <c r="N1064" s="2"/>
      <c r="O1064" s="2"/>
      <c r="P1064" s="2"/>
      <c r="Q1064" s="2"/>
      <c r="R1064" s="38"/>
      <c r="S1064" s="2"/>
      <c r="T1064" s="2"/>
    </row>
    <row r="1065" spans="1:20" x14ac:dyDescent="0.2">
      <c r="A1065" s="72"/>
      <c r="B1065" s="19"/>
      <c r="C1065" s="19"/>
      <c r="D1065" s="19"/>
      <c r="E1065" s="19"/>
      <c r="F1065" s="19"/>
      <c r="G1065" s="2"/>
      <c r="H1065" s="2"/>
      <c r="I1065" s="2"/>
      <c r="J1065" s="38"/>
      <c r="K1065" s="2"/>
      <c r="L1065" s="2"/>
      <c r="M1065" s="2"/>
      <c r="N1065" s="2"/>
      <c r="O1065" s="2"/>
      <c r="P1065" s="2"/>
      <c r="Q1065" s="2"/>
      <c r="R1065" s="38"/>
      <c r="S1065" s="2"/>
      <c r="T1065" s="2"/>
    </row>
    <row r="1066" spans="1:20" x14ac:dyDescent="0.2">
      <c r="A1066" s="72"/>
      <c r="B1066" s="19"/>
      <c r="C1066" s="19"/>
      <c r="D1066" s="19"/>
      <c r="E1066" s="19"/>
      <c r="F1066" s="19"/>
      <c r="G1066" s="2"/>
      <c r="H1066" s="2"/>
      <c r="I1066" s="2"/>
      <c r="J1066" s="38"/>
      <c r="K1066" s="2"/>
      <c r="L1066" s="2"/>
      <c r="M1066" s="2"/>
      <c r="N1066" s="2"/>
      <c r="O1066" s="2"/>
      <c r="P1066" s="2"/>
      <c r="Q1066" s="2"/>
      <c r="R1066" s="38"/>
      <c r="S1066" s="2"/>
      <c r="T1066" s="2"/>
    </row>
    <row r="1067" spans="1:20" x14ac:dyDescent="0.2">
      <c r="A1067" s="72"/>
      <c r="B1067" s="19"/>
      <c r="C1067" s="19"/>
      <c r="D1067" s="19"/>
      <c r="E1067" s="19"/>
      <c r="F1067" s="19"/>
      <c r="G1067" s="2"/>
      <c r="H1067" s="2"/>
      <c r="I1067" s="2"/>
      <c r="J1067" s="38"/>
      <c r="K1067" s="2"/>
      <c r="L1067" s="2"/>
      <c r="M1067" s="2"/>
      <c r="N1067" s="2"/>
      <c r="O1067" s="2"/>
      <c r="P1067" s="2"/>
      <c r="Q1067" s="2"/>
      <c r="R1067" s="38"/>
      <c r="S1067" s="2"/>
      <c r="T1067" s="2"/>
    </row>
    <row r="1068" spans="1:20" x14ac:dyDescent="0.2">
      <c r="A1068" s="72"/>
      <c r="B1068" s="19"/>
      <c r="C1068" s="19"/>
      <c r="D1068" s="19"/>
      <c r="E1068" s="19"/>
      <c r="F1068" s="19"/>
      <c r="G1068" s="2"/>
      <c r="H1068" s="2"/>
      <c r="I1068" s="2"/>
      <c r="J1068" s="38"/>
      <c r="K1068" s="2"/>
      <c r="L1068" s="2"/>
      <c r="M1068" s="2"/>
      <c r="N1068" s="2"/>
      <c r="O1068" s="2"/>
      <c r="P1068" s="2"/>
      <c r="Q1068" s="2"/>
      <c r="R1068" s="38"/>
      <c r="S1068" s="2"/>
      <c r="T1068" s="2"/>
    </row>
    <row r="1069" spans="1:20" x14ac:dyDescent="0.2">
      <c r="A1069" s="72"/>
      <c r="B1069" s="19"/>
      <c r="C1069" s="19"/>
      <c r="D1069" s="19"/>
      <c r="E1069" s="19"/>
      <c r="F1069" s="19"/>
      <c r="G1069" s="2"/>
      <c r="H1069" s="2"/>
      <c r="I1069" s="2"/>
      <c r="J1069" s="38"/>
      <c r="K1069" s="2"/>
      <c r="L1069" s="2"/>
      <c r="M1069" s="2"/>
      <c r="N1069" s="2"/>
      <c r="O1069" s="2"/>
      <c r="P1069" s="2"/>
      <c r="Q1069" s="2"/>
      <c r="R1069" s="38"/>
      <c r="S1069" s="2"/>
      <c r="T1069" s="2"/>
    </row>
    <row r="1070" spans="1:20" x14ac:dyDescent="0.2">
      <c r="A1070" s="72"/>
      <c r="B1070" s="19"/>
      <c r="C1070" s="19"/>
      <c r="D1070" s="19"/>
      <c r="E1070" s="19"/>
      <c r="F1070" s="19"/>
      <c r="G1070" s="2"/>
      <c r="H1070" s="2"/>
      <c r="I1070" s="2"/>
      <c r="J1070" s="38"/>
      <c r="K1070" s="2"/>
      <c r="L1070" s="2"/>
      <c r="M1070" s="2"/>
      <c r="N1070" s="2"/>
      <c r="O1070" s="2"/>
      <c r="P1070" s="2"/>
      <c r="Q1070" s="2"/>
      <c r="R1070" s="38"/>
      <c r="S1070" s="2"/>
      <c r="T1070" s="2"/>
    </row>
    <row r="1071" spans="1:20" x14ac:dyDescent="0.2">
      <c r="A1071" s="72"/>
      <c r="B1071" s="19"/>
      <c r="C1071" s="19"/>
      <c r="D1071" s="19"/>
      <c r="E1071" s="19"/>
      <c r="F1071" s="19"/>
      <c r="G1071" s="2"/>
      <c r="H1071" s="2"/>
      <c r="I1071" s="2"/>
      <c r="J1071" s="38"/>
      <c r="K1071" s="2"/>
      <c r="L1071" s="2"/>
      <c r="M1071" s="2"/>
      <c r="N1071" s="2"/>
      <c r="O1071" s="2"/>
      <c r="P1071" s="2"/>
      <c r="Q1071" s="2"/>
      <c r="R1071" s="38"/>
      <c r="S1071" s="2"/>
      <c r="T1071" s="2"/>
    </row>
    <row r="1072" spans="1:20" x14ac:dyDescent="0.2">
      <c r="A1072" s="72"/>
      <c r="B1072" s="19"/>
      <c r="C1072" s="19"/>
      <c r="D1072" s="19"/>
      <c r="E1072" s="19"/>
      <c r="F1072" s="19"/>
      <c r="G1072" s="2"/>
      <c r="H1072" s="2"/>
      <c r="I1072" s="2"/>
      <c r="J1072" s="38"/>
      <c r="K1072" s="2"/>
      <c r="L1072" s="2"/>
      <c r="M1072" s="2"/>
      <c r="N1072" s="2"/>
      <c r="O1072" s="2"/>
      <c r="P1072" s="2"/>
      <c r="Q1072" s="2"/>
      <c r="R1072" s="38"/>
      <c r="S1072" s="2"/>
      <c r="T1072" s="2"/>
    </row>
    <row r="1073" spans="1:20" x14ac:dyDescent="0.2">
      <c r="A1073" s="72"/>
      <c r="B1073" s="19"/>
      <c r="C1073" s="19"/>
      <c r="D1073" s="19"/>
      <c r="E1073" s="19"/>
      <c r="F1073" s="19"/>
      <c r="G1073" s="2"/>
      <c r="H1073" s="2"/>
      <c r="I1073" s="2"/>
      <c r="J1073" s="38"/>
      <c r="K1073" s="2"/>
      <c r="L1073" s="2"/>
      <c r="M1073" s="2"/>
      <c r="N1073" s="2"/>
      <c r="O1073" s="2"/>
      <c r="P1073" s="2"/>
      <c r="Q1073" s="2"/>
      <c r="R1073" s="38"/>
      <c r="S1073" s="2"/>
      <c r="T1073" s="2"/>
    </row>
    <row r="1074" spans="1:20" x14ac:dyDescent="0.2">
      <c r="A1074" s="72"/>
      <c r="B1074" s="19"/>
      <c r="C1074" s="19"/>
      <c r="D1074" s="19"/>
      <c r="E1074" s="19"/>
      <c r="F1074" s="19"/>
      <c r="G1074" s="2"/>
      <c r="H1074" s="2"/>
      <c r="I1074" s="2"/>
      <c r="J1074" s="38"/>
      <c r="K1074" s="2"/>
      <c r="L1074" s="2"/>
      <c r="M1074" s="2"/>
      <c r="N1074" s="2"/>
      <c r="O1074" s="2"/>
      <c r="P1074" s="2"/>
      <c r="Q1074" s="2"/>
      <c r="R1074" s="38"/>
      <c r="S1074" s="2"/>
      <c r="T1074" s="2"/>
    </row>
    <row r="1075" spans="1:20" x14ac:dyDescent="0.2">
      <c r="A1075" s="72"/>
      <c r="B1075" s="19"/>
      <c r="C1075" s="19"/>
      <c r="D1075" s="19"/>
      <c r="E1075" s="19"/>
      <c r="F1075" s="19"/>
      <c r="G1075" s="2"/>
      <c r="H1075" s="2"/>
      <c r="I1075" s="2"/>
      <c r="J1075" s="38"/>
      <c r="K1075" s="2"/>
      <c r="L1075" s="2"/>
      <c r="M1075" s="2"/>
      <c r="N1075" s="2"/>
      <c r="O1075" s="2"/>
      <c r="P1075" s="2"/>
      <c r="Q1075" s="2"/>
      <c r="R1075" s="38"/>
      <c r="S1075" s="2"/>
      <c r="T1075" s="2"/>
    </row>
    <row r="1076" spans="1:20" x14ac:dyDescent="0.2">
      <c r="A1076" s="72"/>
      <c r="B1076" s="19"/>
      <c r="C1076" s="19"/>
      <c r="D1076" s="19"/>
      <c r="E1076" s="19"/>
      <c r="F1076" s="19"/>
      <c r="G1076" s="2"/>
      <c r="H1076" s="2"/>
      <c r="I1076" s="2"/>
      <c r="J1076" s="38"/>
      <c r="K1076" s="2"/>
      <c r="L1076" s="2"/>
      <c r="M1076" s="2"/>
      <c r="N1076" s="2"/>
      <c r="O1076" s="2"/>
      <c r="P1076" s="2"/>
      <c r="Q1076" s="2"/>
      <c r="R1076" s="38"/>
      <c r="S1076" s="2"/>
      <c r="T1076" s="2"/>
    </row>
    <row r="1077" spans="1:20" x14ac:dyDescent="0.2">
      <c r="A1077" s="72"/>
      <c r="B1077" s="19"/>
      <c r="C1077" s="19"/>
      <c r="D1077" s="19"/>
      <c r="E1077" s="19"/>
      <c r="F1077" s="19"/>
      <c r="G1077" s="2"/>
      <c r="H1077" s="2"/>
      <c r="I1077" s="2"/>
      <c r="J1077" s="38"/>
      <c r="K1077" s="2"/>
      <c r="L1077" s="2"/>
      <c r="M1077" s="2"/>
      <c r="N1077" s="2"/>
      <c r="O1077" s="2"/>
      <c r="P1077" s="2"/>
      <c r="Q1077" s="2"/>
      <c r="R1077" s="38"/>
      <c r="S1077" s="2"/>
      <c r="T1077" s="2"/>
    </row>
    <row r="1078" spans="1:20" x14ac:dyDescent="0.2">
      <c r="A1078" s="72"/>
      <c r="B1078" s="19"/>
      <c r="C1078" s="19"/>
      <c r="D1078" s="19"/>
      <c r="E1078" s="19"/>
      <c r="F1078" s="19"/>
      <c r="G1078" s="2"/>
      <c r="H1078" s="2"/>
      <c r="I1078" s="2"/>
      <c r="J1078" s="38"/>
      <c r="K1078" s="2"/>
      <c r="L1078" s="2"/>
      <c r="M1078" s="2"/>
      <c r="N1078" s="2"/>
      <c r="O1078" s="2"/>
      <c r="P1078" s="2"/>
      <c r="Q1078" s="2"/>
      <c r="R1078" s="38"/>
      <c r="S1078" s="2"/>
      <c r="T1078" s="2"/>
    </row>
    <row r="1079" spans="1:20" x14ac:dyDescent="0.2">
      <c r="A1079" s="72"/>
      <c r="B1079" s="19"/>
      <c r="C1079" s="19"/>
      <c r="D1079" s="19"/>
      <c r="E1079" s="19"/>
      <c r="F1079" s="19"/>
      <c r="G1079" s="2"/>
      <c r="H1079" s="2"/>
      <c r="I1079" s="2"/>
      <c r="J1079" s="38"/>
      <c r="K1079" s="2"/>
      <c r="L1079" s="2"/>
      <c r="M1079" s="2"/>
      <c r="N1079" s="2"/>
      <c r="O1079" s="2"/>
      <c r="P1079" s="2"/>
      <c r="Q1079" s="2"/>
      <c r="R1079" s="38"/>
      <c r="S1079" s="2"/>
      <c r="T1079" s="2"/>
    </row>
    <row r="1080" spans="1:20" x14ac:dyDescent="0.2">
      <c r="A1080" s="72"/>
      <c r="B1080" s="19"/>
      <c r="C1080" s="19"/>
      <c r="D1080" s="19"/>
      <c r="E1080" s="19"/>
      <c r="F1080" s="19"/>
      <c r="G1080" s="2"/>
      <c r="H1080" s="2"/>
      <c r="I1080" s="2"/>
      <c r="J1080" s="38"/>
      <c r="K1080" s="2"/>
      <c r="L1080" s="2"/>
      <c r="M1080" s="2"/>
      <c r="N1080" s="2"/>
      <c r="O1080" s="2"/>
      <c r="P1080" s="2"/>
      <c r="Q1080" s="2"/>
      <c r="R1080" s="38"/>
      <c r="S1080" s="2"/>
      <c r="T1080" s="2"/>
    </row>
    <row r="1081" spans="1:20" x14ac:dyDescent="0.2">
      <c r="A1081" s="72"/>
      <c r="B1081" s="19"/>
      <c r="C1081" s="19"/>
      <c r="D1081" s="19"/>
      <c r="E1081" s="19"/>
      <c r="F1081" s="19"/>
      <c r="G1081" s="2"/>
      <c r="H1081" s="2"/>
      <c r="I1081" s="2"/>
      <c r="J1081" s="38"/>
      <c r="K1081" s="2"/>
      <c r="L1081" s="2"/>
      <c r="M1081" s="2"/>
      <c r="N1081" s="2"/>
      <c r="O1081" s="2"/>
      <c r="P1081" s="2"/>
      <c r="Q1081" s="2"/>
      <c r="R1081" s="38"/>
      <c r="S1081" s="2"/>
      <c r="T1081" s="2"/>
    </row>
    <row r="1082" spans="1:20" x14ac:dyDescent="0.2">
      <c r="A1082" s="72"/>
      <c r="B1082" s="19"/>
      <c r="C1082" s="19"/>
      <c r="D1082" s="19"/>
      <c r="E1082" s="19"/>
      <c r="F1082" s="19"/>
      <c r="G1082" s="2"/>
      <c r="H1082" s="2"/>
      <c r="I1082" s="2"/>
      <c r="J1082" s="38"/>
      <c r="K1082" s="2"/>
      <c r="L1082" s="2"/>
      <c r="M1082" s="2"/>
      <c r="N1082" s="2"/>
      <c r="O1082" s="2"/>
      <c r="P1082" s="2"/>
      <c r="Q1082" s="2"/>
      <c r="R1082" s="38"/>
      <c r="S1082" s="2"/>
      <c r="T1082" s="2"/>
    </row>
    <row r="1083" spans="1:20" x14ac:dyDescent="0.2">
      <c r="A1083" s="72"/>
      <c r="B1083" s="19"/>
      <c r="C1083" s="19"/>
      <c r="D1083" s="19"/>
      <c r="E1083" s="19"/>
      <c r="F1083" s="19"/>
      <c r="G1083" s="2"/>
      <c r="H1083" s="2"/>
      <c r="I1083" s="2"/>
      <c r="J1083" s="38"/>
      <c r="K1083" s="2"/>
      <c r="L1083" s="2"/>
      <c r="M1083" s="2"/>
      <c r="N1083" s="2"/>
      <c r="O1083" s="2"/>
      <c r="P1083" s="2"/>
      <c r="Q1083" s="2"/>
      <c r="R1083" s="38"/>
      <c r="S1083" s="2"/>
      <c r="T1083" s="2"/>
    </row>
    <row r="1084" spans="1:20" x14ac:dyDescent="0.2">
      <c r="A1084" s="72"/>
      <c r="B1084" s="19"/>
      <c r="C1084" s="19"/>
      <c r="D1084" s="19"/>
      <c r="E1084" s="19"/>
      <c r="F1084" s="19"/>
      <c r="G1084" s="2"/>
      <c r="H1084" s="2"/>
      <c r="I1084" s="2"/>
      <c r="J1084" s="38"/>
      <c r="K1084" s="2"/>
      <c r="L1084" s="2"/>
      <c r="M1084" s="2"/>
      <c r="N1084" s="2"/>
      <c r="O1084" s="2"/>
      <c r="P1084" s="2"/>
      <c r="Q1084" s="2"/>
      <c r="R1084" s="38"/>
      <c r="S1084" s="2"/>
      <c r="T1084" s="2"/>
    </row>
    <row r="1085" spans="1:20" x14ac:dyDescent="0.2">
      <c r="A1085" s="72"/>
      <c r="B1085" s="19"/>
      <c r="C1085" s="19"/>
      <c r="D1085" s="19"/>
      <c r="E1085" s="19"/>
      <c r="F1085" s="19"/>
      <c r="G1085" s="2"/>
      <c r="H1085" s="2"/>
      <c r="I1085" s="2"/>
      <c r="J1085" s="38"/>
      <c r="K1085" s="2"/>
      <c r="L1085" s="2"/>
      <c r="M1085" s="2"/>
      <c r="N1085" s="2"/>
      <c r="O1085" s="2"/>
      <c r="P1085" s="2"/>
      <c r="Q1085" s="2"/>
      <c r="R1085" s="38"/>
      <c r="S1085" s="2"/>
      <c r="T1085" s="2"/>
    </row>
    <row r="1086" spans="1:20" x14ac:dyDescent="0.2">
      <c r="A1086" s="72"/>
      <c r="B1086" s="19"/>
      <c r="C1086" s="19"/>
      <c r="D1086" s="19"/>
      <c r="E1086" s="19"/>
      <c r="F1086" s="19"/>
      <c r="G1086" s="2"/>
      <c r="H1086" s="2"/>
      <c r="I1086" s="2"/>
      <c r="J1086" s="38"/>
      <c r="K1086" s="2"/>
      <c r="L1086" s="2"/>
      <c r="M1086" s="2"/>
      <c r="N1086" s="2"/>
      <c r="O1086" s="2"/>
      <c r="P1086" s="2"/>
      <c r="Q1086" s="2"/>
      <c r="R1086" s="38"/>
      <c r="S1086" s="2"/>
      <c r="T1086" s="2"/>
    </row>
    <row r="1087" spans="1:20" x14ac:dyDescent="0.2">
      <c r="A1087" s="72"/>
      <c r="B1087" s="19"/>
      <c r="C1087" s="19"/>
      <c r="D1087" s="19"/>
      <c r="E1087" s="19"/>
      <c r="F1087" s="19"/>
      <c r="G1087" s="2"/>
      <c r="H1087" s="2"/>
      <c r="I1087" s="2"/>
      <c r="J1087" s="38"/>
      <c r="K1087" s="2"/>
      <c r="L1087" s="2"/>
      <c r="M1087" s="2"/>
      <c r="N1087" s="2"/>
      <c r="O1087" s="2"/>
      <c r="P1087" s="2"/>
      <c r="Q1087" s="2"/>
      <c r="R1087" s="38"/>
      <c r="S1087" s="2"/>
      <c r="T1087" s="2"/>
    </row>
    <row r="1088" spans="1:20" x14ac:dyDescent="0.2">
      <c r="A1088" s="72"/>
      <c r="B1088" s="19"/>
      <c r="C1088" s="19"/>
      <c r="D1088" s="19"/>
      <c r="E1088" s="19"/>
      <c r="F1088" s="19"/>
      <c r="G1088" s="2"/>
      <c r="H1088" s="2"/>
      <c r="I1088" s="2"/>
      <c r="J1088" s="38"/>
      <c r="K1088" s="2"/>
      <c r="L1088" s="2"/>
      <c r="M1088" s="2"/>
      <c r="N1088" s="2"/>
      <c r="O1088" s="2"/>
      <c r="P1088" s="2"/>
      <c r="Q1088" s="2"/>
      <c r="R1088" s="38"/>
      <c r="S1088" s="2"/>
      <c r="T1088" s="2"/>
    </row>
    <row r="1089" spans="1:20" x14ac:dyDescent="0.2">
      <c r="A1089" s="72"/>
      <c r="B1089" s="19"/>
      <c r="C1089" s="19"/>
      <c r="D1089" s="19"/>
      <c r="E1089" s="19"/>
      <c r="F1089" s="19"/>
      <c r="G1089" s="2"/>
      <c r="H1089" s="2"/>
      <c r="I1089" s="2"/>
      <c r="J1089" s="38"/>
      <c r="K1089" s="2"/>
      <c r="L1089" s="2"/>
      <c r="M1089" s="2"/>
      <c r="N1089" s="2"/>
      <c r="O1089" s="2"/>
      <c r="P1089" s="2"/>
      <c r="Q1089" s="2"/>
      <c r="R1089" s="38"/>
      <c r="S1089" s="2"/>
      <c r="T1089" s="2"/>
    </row>
    <row r="1090" spans="1:20" x14ac:dyDescent="0.2">
      <c r="A1090" s="72"/>
      <c r="B1090" s="19"/>
      <c r="C1090" s="19"/>
      <c r="D1090" s="19"/>
      <c r="E1090" s="19"/>
      <c r="F1090" s="19"/>
      <c r="G1090" s="2"/>
      <c r="H1090" s="2"/>
      <c r="I1090" s="2"/>
      <c r="J1090" s="38"/>
      <c r="K1090" s="2"/>
      <c r="L1090" s="2"/>
      <c r="M1090" s="2"/>
      <c r="N1090" s="2"/>
      <c r="O1090" s="2"/>
      <c r="P1090" s="2"/>
      <c r="Q1090" s="2"/>
      <c r="R1090" s="38"/>
      <c r="S1090" s="2"/>
      <c r="T1090" s="2"/>
    </row>
    <row r="1091" spans="1:20" x14ac:dyDescent="0.2">
      <c r="A1091" s="72"/>
      <c r="B1091" s="19"/>
      <c r="C1091" s="19"/>
      <c r="D1091" s="19"/>
      <c r="E1091" s="19"/>
      <c r="F1091" s="19"/>
      <c r="G1091" s="2"/>
      <c r="H1091" s="2"/>
      <c r="I1091" s="2"/>
      <c r="J1091" s="38"/>
      <c r="K1091" s="2"/>
      <c r="L1091" s="2"/>
      <c r="M1091" s="2"/>
      <c r="N1091" s="2"/>
      <c r="O1091" s="2"/>
      <c r="P1091" s="2"/>
      <c r="Q1091" s="2"/>
      <c r="R1091" s="38"/>
      <c r="S1091" s="2"/>
      <c r="T1091" s="2"/>
    </row>
    <row r="1092" spans="1:20" x14ac:dyDescent="0.2">
      <c r="A1092" s="72"/>
      <c r="B1092" s="19"/>
      <c r="C1092" s="19"/>
      <c r="D1092" s="19"/>
      <c r="E1092" s="19"/>
      <c r="F1092" s="19"/>
      <c r="G1092" s="2"/>
      <c r="H1092" s="2"/>
      <c r="I1092" s="2"/>
      <c r="J1092" s="38"/>
      <c r="K1092" s="2"/>
      <c r="L1092" s="2"/>
      <c r="M1092" s="2"/>
      <c r="N1092" s="2"/>
      <c r="O1092" s="2"/>
      <c r="P1092" s="2"/>
      <c r="Q1092" s="2"/>
      <c r="R1092" s="38"/>
      <c r="S1092" s="2"/>
      <c r="T1092" s="2"/>
    </row>
    <row r="1093" spans="1:20" x14ac:dyDescent="0.2">
      <c r="A1093" s="72"/>
      <c r="B1093" s="19"/>
      <c r="C1093" s="19"/>
      <c r="D1093" s="19"/>
      <c r="E1093" s="19"/>
      <c r="F1093" s="19"/>
      <c r="G1093" s="2"/>
      <c r="H1093" s="2"/>
      <c r="I1093" s="2"/>
      <c r="J1093" s="38"/>
      <c r="K1093" s="2"/>
      <c r="L1093" s="2"/>
      <c r="M1093" s="2"/>
      <c r="N1093" s="2"/>
      <c r="O1093" s="2"/>
      <c r="P1093" s="2"/>
      <c r="Q1093" s="2"/>
      <c r="R1093" s="38"/>
      <c r="S1093" s="2"/>
      <c r="T1093" s="2"/>
    </row>
    <row r="1094" spans="1:20" x14ac:dyDescent="0.2">
      <c r="A1094" s="72"/>
      <c r="B1094" s="19"/>
      <c r="C1094" s="19"/>
      <c r="D1094" s="19"/>
      <c r="E1094" s="19"/>
      <c r="F1094" s="19"/>
      <c r="G1094" s="2"/>
      <c r="H1094" s="2"/>
      <c r="I1094" s="2"/>
      <c r="J1094" s="38"/>
      <c r="K1094" s="2"/>
      <c r="L1094" s="2"/>
      <c r="M1094" s="2"/>
      <c r="N1094" s="2"/>
      <c r="O1094" s="2"/>
      <c r="P1094" s="2"/>
      <c r="Q1094" s="2"/>
      <c r="R1094" s="38"/>
      <c r="S1094" s="2"/>
      <c r="T1094" s="2"/>
    </row>
    <row r="1095" spans="1:20" x14ac:dyDescent="0.2">
      <c r="A1095" s="72"/>
      <c r="B1095" s="19"/>
      <c r="C1095" s="19"/>
      <c r="D1095" s="19"/>
      <c r="E1095" s="19"/>
      <c r="F1095" s="19"/>
      <c r="G1095" s="2"/>
      <c r="H1095" s="2"/>
      <c r="I1095" s="2"/>
      <c r="J1095" s="38"/>
      <c r="K1095" s="2"/>
      <c r="L1095" s="2"/>
      <c r="M1095" s="2"/>
      <c r="N1095" s="2"/>
      <c r="O1095" s="2"/>
      <c r="P1095" s="2"/>
      <c r="Q1095" s="2"/>
      <c r="R1095" s="38"/>
      <c r="S1095" s="2"/>
      <c r="T1095" s="2"/>
    </row>
    <row r="1096" spans="1:20" x14ac:dyDescent="0.2">
      <c r="A1096" s="72"/>
      <c r="B1096" s="19"/>
      <c r="C1096" s="19"/>
      <c r="D1096" s="19"/>
      <c r="E1096" s="19"/>
      <c r="F1096" s="19"/>
      <c r="G1096" s="2"/>
      <c r="H1096" s="2"/>
      <c r="I1096" s="2"/>
      <c r="J1096" s="38"/>
      <c r="K1096" s="2"/>
      <c r="L1096" s="2"/>
      <c r="M1096" s="2"/>
      <c r="N1096" s="2"/>
      <c r="O1096" s="2"/>
      <c r="P1096" s="2"/>
      <c r="Q1096" s="2"/>
      <c r="R1096" s="38"/>
      <c r="S1096" s="2"/>
      <c r="T1096" s="2"/>
    </row>
    <row r="1097" spans="1:20" x14ac:dyDescent="0.2">
      <c r="A1097" s="72"/>
      <c r="B1097" s="19"/>
      <c r="C1097" s="19"/>
      <c r="D1097" s="19"/>
      <c r="E1097" s="19"/>
      <c r="F1097" s="19"/>
      <c r="G1097" s="2"/>
      <c r="H1097" s="2"/>
      <c r="I1097" s="2"/>
      <c r="J1097" s="38"/>
      <c r="K1097" s="2"/>
      <c r="L1097" s="2"/>
      <c r="M1097" s="2"/>
      <c r="N1097" s="2"/>
      <c r="O1097" s="2"/>
      <c r="P1097" s="2"/>
      <c r="Q1097" s="2"/>
      <c r="R1097" s="38"/>
      <c r="S1097" s="2"/>
      <c r="T1097" s="2"/>
    </row>
    <row r="1098" spans="1:20" x14ac:dyDescent="0.2">
      <c r="A1098" s="72"/>
      <c r="B1098" s="19"/>
      <c r="C1098" s="19"/>
      <c r="D1098" s="19"/>
      <c r="E1098" s="19"/>
      <c r="F1098" s="19"/>
      <c r="G1098" s="2"/>
      <c r="H1098" s="2"/>
      <c r="I1098" s="2"/>
      <c r="J1098" s="38"/>
      <c r="K1098" s="2"/>
      <c r="L1098" s="2"/>
      <c r="M1098" s="2"/>
      <c r="N1098" s="2"/>
      <c r="O1098" s="2"/>
      <c r="P1098" s="2"/>
      <c r="Q1098" s="2"/>
      <c r="R1098" s="38"/>
      <c r="S1098" s="2"/>
      <c r="T1098" s="2"/>
    </row>
    <row r="1099" spans="1:20" x14ac:dyDescent="0.2">
      <c r="A1099" s="72"/>
      <c r="B1099" s="19"/>
      <c r="C1099" s="19"/>
      <c r="D1099" s="19"/>
      <c r="E1099" s="19"/>
      <c r="F1099" s="19"/>
      <c r="G1099" s="2"/>
      <c r="H1099" s="2"/>
      <c r="I1099" s="2"/>
      <c r="J1099" s="38"/>
      <c r="K1099" s="2"/>
      <c r="L1099" s="2"/>
      <c r="M1099" s="2"/>
      <c r="N1099" s="2"/>
      <c r="O1099" s="2"/>
      <c r="P1099" s="2"/>
      <c r="Q1099" s="2"/>
      <c r="R1099" s="38"/>
      <c r="S1099" s="2"/>
      <c r="T1099" s="2"/>
    </row>
    <row r="1100" spans="1:20" x14ac:dyDescent="0.2">
      <c r="A1100" s="72"/>
      <c r="B1100" s="19"/>
      <c r="C1100" s="19"/>
      <c r="D1100" s="19"/>
      <c r="E1100" s="19"/>
      <c r="F1100" s="19"/>
      <c r="G1100" s="2"/>
      <c r="H1100" s="2"/>
      <c r="I1100" s="2"/>
      <c r="J1100" s="38"/>
      <c r="K1100" s="2"/>
      <c r="L1100" s="2"/>
      <c r="M1100" s="2"/>
      <c r="N1100" s="2"/>
      <c r="O1100" s="2"/>
      <c r="P1100" s="2"/>
      <c r="Q1100" s="2"/>
      <c r="R1100" s="38"/>
      <c r="S1100" s="2"/>
      <c r="T1100" s="2"/>
    </row>
    <row r="1101" spans="1:20" x14ac:dyDescent="0.2">
      <c r="A1101" s="72"/>
      <c r="B1101" s="19"/>
      <c r="C1101" s="19"/>
      <c r="D1101" s="19"/>
      <c r="E1101" s="19"/>
      <c r="F1101" s="19"/>
      <c r="G1101" s="2"/>
      <c r="H1101" s="2"/>
      <c r="I1101" s="2"/>
      <c r="J1101" s="38"/>
      <c r="K1101" s="2"/>
      <c r="L1101" s="2"/>
      <c r="M1101" s="2"/>
      <c r="N1101" s="2"/>
      <c r="O1101" s="2"/>
      <c r="P1101" s="2"/>
      <c r="Q1101" s="2"/>
      <c r="R1101" s="38"/>
      <c r="S1101" s="2"/>
      <c r="T1101" s="2"/>
    </row>
    <row r="1102" spans="1:20" x14ac:dyDescent="0.2">
      <c r="A1102" s="72"/>
      <c r="B1102" s="19"/>
      <c r="C1102" s="19"/>
      <c r="D1102" s="19"/>
      <c r="E1102" s="19"/>
      <c r="F1102" s="19"/>
      <c r="G1102" s="2"/>
      <c r="H1102" s="2"/>
      <c r="I1102" s="2"/>
      <c r="J1102" s="38"/>
      <c r="K1102" s="2"/>
      <c r="L1102" s="2"/>
      <c r="M1102" s="2"/>
      <c r="N1102" s="2"/>
      <c r="O1102" s="2"/>
      <c r="P1102" s="2"/>
      <c r="Q1102" s="2"/>
      <c r="R1102" s="38"/>
      <c r="S1102" s="2"/>
      <c r="T1102" s="2"/>
    </row>
    <row r="1103" spans="1:20" x14ac:dyDescent="0.2">
      <c r="A1103" s="72"/>
      <c r="B1103" s="19"/>
      <c r="C1103" s="19"/>
      <c r="D1103" s="19"/>
      <c r="E1103" s="19"/>
      <c r="F1103" s="19"/>
      <c r="G1103" s="2"/>
      <c r="H1103" s="2"/>
      <c r="I1103" s="2"/>
      <c r="J1103" s="38"/>
      <c r="K1103" s="2"/>
      <c r="L1103" s="2"/>
      <c r="M1103" s="2"/>
      <c r="N1103" s="2"/>
      <c r="O1103" s="2"/>
      <c r="P1103" s="2"/>
      <c r="Q1103" s="2"/>
      <c r="R1103" s="38"/>
      <c r="S1103" s="2"/>
      <c r="T1103" s="2"/>
    </row>
    <row r="1104" spans="1:20" x14ac:dyDescent="0.2">
      <c r="A1104" s="72"/>
      <c r="B1104" s="19"/>
      <c r="C1104" s="19"/>
      <c r="D1104" s="19"/>
      <c r="E1104" s="19"/>
      <c r="F1104" s="19"/>
      <c r="G1104" s="2"/>
      <c r="H1104" s="2"/>
      <c r="I1104" s="2"/>
      <c r="J1104" s="38"/>
      <c r="K1104" s="2"/>
      <c r="L1104" s="2"/>
      <c r="M1104" s="2"/>
      <c r="N1104" s="2"/>
      <c r="O1104" s="2"/>
      <c r="P1104" s="2"/>
      <c r="Q1104" s="2"/>
      <c r="R1104" s="38"/>
      <c r="S1104" s="2"/>
      <c r="T1104" s="2"/>
    </row>
    <row r="1105" spans="1:20" x14ac:dyDescent="0.2">
      <c r="A1105" s="72"/>
      <c r="B1105" s="19"/>
      <c r="C1105" s="19"/>
      <c r="D1105" s="19"/>
      <c r="E1105" s="19"/>
      <c r="F1105" s="19"/>
      <c r="G1105" s="2"/>
      <c r="H1105" s="2"/>
      <c r="I1105" s="2"/>
      <c r="J1105" s="38"/>
      <c r="K1105" s="2"/>
      <c r="L1105" s="2"/>
      <c r="M1105" s="2"/>
      <c r="N1105" s="2"/>
      <c r="O1105" s="2"/>
      <c r="P1105" s="2"/>
      <c r="Q1105" s="2"/>
      <c r="R1105" s="38"/>
      <c r="S1105" s="2"/>
      <c r="T1105" s="2"/>
    </row>
    <row r="1106" spans="1:20" x14ac:dyDescent="0.2">
      <c r="A1106" s="72"/>
      <c r="B1106" s="19"/>
      <c r="C1106" s="19"/>
      <c r="D1106" s="19"/>
      <c r="E1106" s="19"/>
      <c r="F1106" s="19"/>
      <c r="G1106" s="2"/>
      <c r="H1106" s="2"/>
      <c r="I1106" s="2"/>
      <c r="J1106" s="38"/>
      <c r="K1106" s="2"/>
      <c r="L1106" s="2"/>
      <c r="M1106" s="2"/>
      <c r="N1106" s="2"/>
      <c r="O1106" s="2"/>
      <c r="P1106" s="2"/>
      <c r="Q1106" s="2"/>
      <c r="R1106" s="38"/>
      <c r="S1106" s="2"/>
      <c r="T1106" s="2"/>
    </row>
    <row r="1107" spans="1:20" x14ac:dyDescent="0.2">
      <c r="A1107" s="72"/>
      <c r="B1107" s="19"/>
      <c r="C1107" s="19"/>
      <c r="D1107" s="19"/>
      <c r="E1107" s="19"/>
      <c r="F1107" s="19"/>
      <c r="G1107" s="2"/>
      <c r="H1107" s="2"/>
      <c r="I1107" s="2"/>
      <c r="J1107" s="38"/>
      <c r="K1107" s="2"/>
      <c r="L1107" s="2"/>
      <c r="M1107" s="2"/>
      <c r="N1107" s="2"/>
      <c r="O1107" s="2"/>
      <c r="P1107" s="2"/>
      <c r="Q1107" s="2"/>
      <c r="R1107" s="38"/>
      <c r="S1107" s="2"/>
      <c r="T1107" s="2"/>
    </row>
    <row r="1108" spans="1:20" x14ac:dyDescent="0.2">
      <c r="A1108" s="72"/>
      <c r="B1108" s="19"/>
      <c r="C1108" s="19"/>
      <c r="D1108" s="19"/>
      <c r="E1108" s="19"/>
      <c r="F1108" s="19"/>
      <c r="G1108" s="2"/>
      <c r="H1108" s="2"/>
      <c r="I1108" s="2"/>
      <c r="J1108" s="38"/>
      <c r="K1108" s="2"/>
      <c r="L1108" s="2"/>
      <c r="M1108" s="2"/>
      <c r="N1108" s="2"/>
      <c r="O1108" s="2"/>
      <c r="P1108" s="2"/>
      <c r="Q1108" s="2"/>
      <c r="R1108" s="38"/>
      <c r="S1108" s="2"/>
      <c r="T1108" s="2"/>
    </row>
    <row r="1109" spans="1:20" x14ac:dyDescent="0.2">
      <c r="A1109" s="72"/>
      <c r="B1109" s="19"/>
      <c r="C1109" s="19"/>
      <c r="D1109" s="19"/>
      <c r="E1109" s="19"/>
      <c r="F1109" s="19"/>
      <c r="G1109" s="2"/>
      <c r="H1109" s="2"/>
      <c r="I1109" s="2"/>
      <c r="J1109" s="38"/>
      <c r="K1109" s="2"/>
      <c r="L1109" s="2"/>
      <c r="M1109" s="2"/>
      <c r="N1109" s="2"/>
      <c r="O1109" s="2"/>
      <c r="P1109" s="2"/>
      <c r="Q1109" s="2"/>
      <c r="R1109" s="38"/>
      <c r="S1109" s="2"/>
      <c r="T1109" s="2"/>
    </row>
    <row r="1110" spans="1:20" x14ac:dyDescent="0.2">
      <c r="A1110" s="72"/>
      <c r="B1110" s="19"/>
      <c r="C1110" s="19"/>
      <c r="D1110" s="19"/>
      <c r="E1110" s="19"/>
      <c r="F1110" s="19"/>
      <c r="G1110" s="2"/>
      <c r="H1110" s="2"/>
      <c r="I1110" s="2"/>
      <c r="J1110" s="38"/>
      <c r="K1110" s="2"/>
      <c r="L1110" s="2"/>
      <c r="M1110" s="2"/>
      <c r="N1110" s="2"/>
      <c r="O1110" s="2"/>
      <c r="P1110" s="2"/>
      <c r="Q1110" s="2"/>
      <c r="R1110" s="38"/>
      <c r="S1110" s="2"/>
      <c r="T1110" s="2"/>
    </row>
    <row r="1111" spans="1:20" x14ac:dyDescent="0.2">
      <c r="A1111" s="72"/>
      <c r="B1111" s="19"/>
      <c r="C1111" s="19"/>
      <c r="D1111" s="19"/>
      <c r="E1111" s="19"/>
      <c r="F1111" s="19"/>
      <c r="G1111" s="2"/>
      <c r="H1111" s="2"/>
      <c r="I1111" s="2"/>
      <c r="J1111" s="38"/>
      <c r="K1111" s="2"/>
      <c r="L1111" s="2"/>
      <c r="M1111" s="2"/>
      <c r="N1111" s="2"/>
      <c r="O1111" s="2"/>
      <c r="P1111" s="2"/>
      <c r="Q1111" s="2"/>
      <c r="R1111" s="38"/>
      <c r="S1111" s="2"/>
      <c r="T1111" s="2"/>
    </row>
    <row r="1112" spans="1:20" x14ac:dyDescent="0.2">
      <c r="A1112" s="72"/>
      <c r="B1112" s="19"/>
      <c r="C1112" s="19"/>
      <c r="D1112" s="19"/>
      <c r="E1112" s="19"/>
      <c r="F1112" s="19"/>
      <c r="G1112" s="2"/>
      <c r="H1112" s="2"/>
      <c r="I1112" s="2"/>
      <c r="J1112" s="38"/>
      <c r="K1112" s="2"/>
      <c r="L1112" s="2"/>
      <c r="M1112" s="2"/>
      <c r="N1112" s="2"/>
      <c r="O1112" s="2"/>
      <c r="P1112" s="2"/>
      <c r="Q1112" s="2"/>
      <c r="R1112" s="38"/>
      <c r="S1112" s="2"/>
      <c r="T1112" s="2"/>
    </row>
    <row r="1113" spans="1:20" x14ac:dyDescent="0.2">
      <c r="A1113" s="72"/>
      <c r="B1113" s="19"/>
      <c r="C1113" s="19"/>
      <c r="D1113" s="19"/>
      <c r="E1113" s="19"/>
      <c r="F1113" s="19"/>
      <c r="G1113" s="2"/>
      <c r="H1113" s="2"/>
      <c r="I1113" s="2"/>
      <c r="J1113" s="38"/>
      <c r="K1113" s="2"/>
      <c r="L1113" s="2"/>
      <c r="M1113" s="2"/>
      <c r="N1113" s="2"/>
      <c r="O1113" s="2"/>
      <c r="P1113" s="2"/>
      <c r="Q1113" s="2"/>
      <c r="R1113" s="38"/>
      <c r="S1113" s="2"/>
      <c r="T1113" s="2"/>
    </row>
    <row r="1114" spans="1:20" x14ac:dyDescent="0.2">
      <c r="A1114" s="72"/>
      <c r="B1114" s="19"/>
      <c r="C1114" s="19"/>
      <c r="D1114" s="19"/>
      <c r="E1114" s="19"/>
      <c r="F1114" s="19"/>
      <c r="G1114" s="2"/>
      <c r="H1114" s="2"/>
      <c r="I1114" s="2"/>
      <c r="J1114" s="38"/>
      <c r="K1114" s="2"/>
      <c r="L1114" s="2"/>
      <c r="M1114" s="2"/>
      <c r="N1114" s="2"/>
      <c r="O1114" s="2"/>
      <c r="P1114" s="2"/>
      <c r="Q1114" s="2"/>
      <c r="R1114" s="38"/>
      <c r="S1114" s="2"/>
      <c r="T1114" s="2"/>
    </row>
    <row r="1115" spans="1:20" x14ac:dyDescent="0.2">
      <c r="A1115" s="72"/>
      <c r="B1115" s="19"/>
      <c r="C1115" s="19"/>
      <c r="D1115" s="19"/>
      <c r="E1115" s="19"/>
      <c r="F1115" s="19"/>
      <c r="G1115" s="2"/>
      <c r="H1115" s="2"/>
      <c r="I1115" s="2"/>
      <c r="J1115" s="38"/>
      <c r="K1115" s="2"/>
      <c r="L1115" s="2"/>
      <c r="M1115" s="2"/>
      <c r="N1115" s="2"/>
      <c r="O1115" s="2"/>
      <c r="P1115" s="2"/>
      <c r="Q1115" s="2"/>
      <c r="R1115" s="38"/>
      <c r="S1115" s="2"/>
      <c r="T1115" s="2"/>
    </row>
  </sheetData>
  <autoFilter ref="A1:R492" xr:uid="{18CDA429-3C3D-49FA-8031-FF1CC660E102}">
    <sortState xmlns:xlrd2="http://schemas.microsoft.com/office/spreadsheetml/2017/richdata2" ref="A2:R73">
      <sortCondition sortBy="cellColor" ref="A1" dxfId="8"/>
    </sortState>
  </autoFilter>
  <conditionalFormatting sqref="A1:A73 A75:A1048576">
    <cfRule type="duplicateValues" dxfId="7" priority="2"/>
  </conditionalFormatting>
  <conditionalFormatting sqref="A74">
    <cfRule type="duplicateValues" dxfId="6" priority="1"/>
  </conditionalFormatting>
  <pageMargins left="0.21" right="0.17" top="0.39" bottom="0.17" header="0.3" footer="0.3"/>
  <pageSetup paperSize="5" scale="60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CADB4-65A3-4B69-85BE-75F56179E9A6}">
  <dimension ref="A1:S300"/>
  <sheetViews>
    <sheetView tabSelected="1" workbookViewId="0">
      <selection activeCell="F6" sqref="F6"/>
    </sheetView>
  </sheetViews>
  <sheetFormatPr defaultColWidth="10.140625" defaultRowHeight="12.75" x14ac:dyDescent="0.2"/>
  <cols>
    <col min="1" max="1" width="13.140625" bestFit="1" customWidth="1"/>
    <col min="2" max="2" width="14.5703125" bestFit="1" customWidth="1"/>
    <col min="3" max="3" width="10.28515625" bestFit="1" customWidth="1"/>
    <col min="4" max="4" width="15.28515625" bestFit="1" customWidth="1"/>
    <col min="5" max="5" width="17.28515625" bestFit="1" customWidth="1"/>
    <col min="6" max="6" width="9.140625" bestFit="1" customWidth="1"/>
    <col min="7" max="7" width="12.140625" bestFit="1" customWidth="1"/>
    <col min="8" max="8" width="14.28515625" bestFit="1" customWidth="1"/>
    <col min="9" max="9" width="13" bestFit="1" customWidth="1"/>
    <col min="10" max="10" width="14.7109375" bestFit="1" customWidth="1"/>
    <col min="11" max="11" width="13.42578125" bestFit="1" customWidth="1"/>
    <col min="12" max="12" width="16.5703125" bestFit="1" customWidth="1"/>
    <col min="13" max="13" width="15.28515625" bestFit="1" customWidth="1"/>
    <col min="14" max="14" width="11.140625" bestFit="1" customWidth="1"/>
    <col min="15" max="15" width="13.28515625" bestFit="1" customWidth="1"/>
    <col min="16" max="16" width="14.28515625" bestFit="1" customWidth="1"/>
    <col min="18" max="18" width="13" bestFit="1" customWidth="1"/>
    <col min="19" max="19" width="17.7109375" bestFit="1" customWidth="1"/>
  </cols>
  <sheetData>
    <row r="1" spans="1:19" ht="15.75" thickBot="1" x14ac:dyDescent="0.25">
      <c r="A1" s="31" t="s">
        <v>73</v>
      </c>
      <c r="B1" s="14" t="s">
        <v>58</v>
      </c>
      <c r="C1" s="14" t="s">
        <v>59</v>
      </c>
      <c r="D1" s="15" t="s">
        <v>60</v>
      </c>
      <c r="E1" s="14" t="s">
        <v>61</v>
      </c>
      <c r="F1" s="14" t="s">
        <v>7</v>
      </c>
      <c r="G1" s="14" t="s">
        <v>8</v>
      </c>
      <c r="H1" s="14" t="s">
        <v>62</v>
      </c>
      <c r="I1" s="14" t="s">
        <v>63</v>
      </c>
      <c r="J1" s="14" t="s">
        <v>64</v>
      </c>
      <c r="K1" s="14" t="s">
        <v>65</v>
      </c>
      <c r="L1" s="14" t="s">
        <v>66</v>
      </c>
      <c r="M1" s="14" t="s">
        <v>67</v>
      </c>
      <c r="N1" s="16" t="s">
        <v>68</v>
      </c>
      <c r="O1" s="16" t="s">
        <v>69</v>
      </c>
      <c r="P1" s="16" t="s">
        <v>70</v>
      </c>
      <c r="Q1" s="16"/>
      <c r="R1" s="16" t="s">
        <v>71</v>
      </c>
      <c r="S1" s="17" t="s">
        <v>72</v>
      </c>
    </row>
    <row r="2" spans="1:19" x14ac:dyDescent="0.2">
      <c r="A2" s="9" t="s">
        <v>74</v>
      </c>
      <c r="C2" s="7" t="str">
        <f t="shared" ref="C2:C33" si="0">+A2</f>
        <v>(blank)</v>
      </c>
      <c r="D2" s="12">
        <f>_xlfn.MAXIFS('PP F.G ROLL'!J:J,'PP F.G ROLL'!A:A,'PP ROLL STOCK'!C2)</f>
        <v>0</v>
      </c>
      <c r="E2" s="22" t="str" cm="1">
        <f t="array" ref="E2">IFERROR(VLOOKUP(C2,'PP F.G ROLL'!A:T,{2,5,6},0),"-")</f>
        <v>-</v>
      </c>
      <c r="F2" s="23"/>
      <c r="G2" s="23"/>
      <c r="H2" s="13">
        <f>SUMIFS('PP F.G ROLL'!K:K,'PP F.G ROLL'!$A:$A,'PP ROLL STOCK'!$C2)</f>
        <v>0</v>
      </c>
      <c r="I2" s="13">
        <f>SUMIFS('PP F.G ROLL'!N:N,'PP F.G ROLL'!$A:$A,'PP ROLL STOCK'!$C2)</f>
        <v>0</v>
      </c>
      <c r="J2" s="13">
        <f>SUMIFS('PP F.G ROLL'!S:S,'PP F.G ROLL'!$A:$A,'PP ROLL STOCK'!$C2)</f>
        <v>0</v>
      </c>
      <c r="K2" s="13">
        <f>SUMIFS('PP F.G ROLL'!T:T,'PP F.G ROLL'!$A:$A,'PP ROLL STOCK'!$C2)</f>
        <v>0</v>
      </c>
      <c r="L2" s="8">
        <f>+H2-J2</f>
        <v>0</v>
      </c>
      <c r="M2" s="8">
        <f>+I2-K2</f>
        <v>0</v>
      </c>
      <c r="N2" s="13" t="str">
        <f>IFERROR(VLOOKUP(C2,'[1]MIX SALE ORDER'!$A:$E,4,),"OTHERS")</f>
        <v>OTHERS</v>
      </c>
      <c r="O2" s="13" t="e">
        <f>VLOOKUP(C2,'PP F.G ROLL'!A:T,4,0)</f>
        <v>#N/A</v>
      </c>
      <c r="P2" cm="1">
        <f t="array" ref="P2:P300">_xlfn.XLOOKUP(R$2:R$300,'SAP CODE'!F:F,'SAP CODE'!A:A)</f>
        <v>179</v>
      </c>
      <c r="Q2" t="s">
        <v>199</v>
      </c>
      <c r="R2" t="str">
        <f>CONCATENATE(F2,Q2,G2,)</f>
        <v>/</v>
      </c>
    </row>
    <row r="3" spans="1:19" x14ac:dyDescent="0.2">
      <c r="A3" s="9" t="s">
        <v>95</v>
      </c>
      <c r="C3" s="5" t="str">
        <f t="shared" si="0"/>
        <v>14/5</v>
      </c>
      <c r="D3" s="10">
        <f>_xlfn.MAXIFS('PP F.G ROLL'!J:J,'PP F.G ROLL'!A:A,'PP ROLL STOCK'!C3)</f>
        <v>45917</v>
      </c>
      <c r="E3" s="22" t="str" cm="1">
        <f t="array" ref="E3:G3">IFERROR(VLOOKUP(C3,'PP F.G ROLL'!A:T,{2,5,6},0),"-")</f>
        <v>STOCK</v>
      </c>
      <c r="F3" s="24" t="str">
        <v>14</v>
      </c>
      <c r="G3" s="24">
        <v>5</v>
      </c>
      <c r="H3" s="13">
        <f>SUMIFS('PP F.G ROLL'!K:K,'PP F.G ROLL'!$A:$A,'PP ROLL STOCK'!$C3)</f>
        <v>136</v>
      </c>
      <c r="I3" s="13">
        <f>SUMIFS('PP F.G ROLL'!N:N,'PP F.G ROLL'!$A:$A,'PP ROLL STOCK'!$C3)</f>
        <v>5456.5399999999991</v>
      </c>
      <c r="J3" s="13">
        <f>SUMIFS('PP F.G ROLL'!S:S,'PP F.G ROLL'!$A:$A,'PP ROLL STOCK'!$C3)</f>
        <v>150</v>
      </c>
      <c r="K3" s="13">
        <f>SUMIFS('PP F.G ROLL'!T:T,'PP F.G ROLL'!$A:$A,'PP ROLL STOCK'!$C3)</f>
        <v>4246.8</v>
      </c>
      <c r="L3" s="6">
        <f t="shared" ref="L3:L66" si="1">+H3-J3</f>
        <v>-14</v>
      </c>
      <c r="M3" s="6">
        <f t="shared" ref="M3:M66" si="2">+I3-K3</f>
        <v>1209.7399999999989</v>
      </c>
      <c r="N3" s="11" t="str">
        <f>IFERROR(VLOOKUP(C3,'[1]MIX SALE ORDER'!$A:$E,4,),"OTHERS")</f>
        <v>OTHERS</v>
      </c>
      <c r="O3" s="11" t="str">
        <f>VLOOKUP(C3,'PP F.G ROLL'!A:T,4,0)</f>
        <v>PP</v>
      </c>
      <c r="P3" t="e">
        <v>#N/A</v>
      </c>
      <c r="Q3" t="s">
        <v>199</v>
      </c>
      <c r="R3" t="str">
        <f t="shared" ref="R3:R66" si="3">CONCATENATE(F3,Q3,G3,)</f>
        <v>14/5</v>
      </c>
    </row>
    <row r="4" spans="1:19" x14ac:dyDescent="0.2">
      <c r="A4" s="9" t="s">
        <v>96</v>
      </c>
      <c r="C4" s="5" t="str">
        <f t="shared" si="0"/>
        <v>13/5</v>
      </c>
      <c r="D4" s="10">
        <f>_xlfn.MAXIFS('PP F.G ROLL'!J:J,'PP F.G ROLL'!A:A,'PP ROLL STOCK'!C4)</f>
        <v>45904</v>
      </c>
      <c r="E4" s="22" t="str" cm="1">
        <f t="array" ref="E4:G4">IFERROR(VLOOKUP(C4,'PP F.G ROLL'!A:T,{2,5,6},0),"-")</f>
        <v>STOCK</v>
      </c>
      <c r="F4" s="24" t="str">
        <v>13</v>
      </c>
      <c r="G4" s="24">
        <v>5</v>
      </c>
      <c r="H4" s="13">
        <f>SUMIFS('PP F.G ROLL'!K:K,'PP F.G ROLL'!$A:$A,'PP ROLL STOCK'!$C4)</f>
        <v>48</v>
      </c>
      <c r="I4" s="13">
        <f>SUMIFS('PP F.G ROLL'!N:N,'PP F.G ROLL'!$A:$A,'PP ROLL STOCK'!$C4)</f>
        <v>2157.84</v>
      </c>
      <c r="J4" s="13">
        <f>SUMIFS('PP F.G ROLL'!S:S,'PP F.G ROLL'!$A:$A,'PP ROLL STOCK'!$C4)</f>
        <v>73</v>
      </c>
      <c r="K4" s="13">
        <f>SUMIFS('PP F.G ROLL'!T:T,'PP F.G ROLL'!$A:$A,'PP ROLL STOCK'!$C4)</f>
        <v>1825</v>
      </c>
      <c r="L4" s="6">
        <f t="shared" si="1"/>
        <v>-25</v>
      </c>
      <c r="M4" s="6">
        <f t="shared" si="2"/>
        <v>332.84000000000015</v>
      </c>
      <c r="N4" s="11" t="str">
        <f>IFERROR(VLOOKUP(C4,'[1]MIX SALE ORDER'!$A:$E,4,),"OTHERS")</f>
        <v>OTHERS</v>
      </c>
      <c r="O4" s="11" t="str">
        <f>VLOOKUP(C4,'PP F.G ROLL'!A:T,4,0)</f>
        <v>PP</v>
      </c>
      <c r="P4" t="e">
        <v>#N/A</v>
      </c>
      <c r="Q4" t="s">
        <v>199</v>
      </c>
      <c r="R4" t="str">
        <f t="shared" si="3"/>
        <v>13/5</v>
      </c>
    </row>
    <row r="5" spans="1:19" x14ac:dyDescent="0.2">
      <c r="A5" s="9" t="s">
        <v>97</v>
      </c>
      <c r="C5" s="5" t="str">
        <f t="shared" si="0"/>
        <v>12/5</v>
      </c>
      <c r="D5" s="10">
        <f>_xlfn.MAXIFS('PP F.G ROLL'!J:J,'PP F.G ROLL'!A:A,'PP ROLL STOCK'!C5)</f>
        <v>45929</v>
      </c>
      <c r="E5" s="22" t="str" cm="1">
        <f t="array" ref="E5:G5">IFERROR(VLOOKUP(C5,'PP F.G ROLL'!A:T,{2,5,6},0),"-")</f>
        <v>STOCK</v>
      </c>
      <c r="F5" s="24" t="str">
        <v>12</v>
      </c>
      <c r="G5" s="24">
        <v>5</v>
      </c>
      <c r="H5" s="13">
        <f>SUMIFS('PP F.G ROLL'!K:K,'PP F.G ROLL'!$A:$A,'PP ROLL STOCK'!$C5)</f>
        <v>70</v>
      </c>
      <c r="I5" s="13">
        <f>SUMIFS('PP F.G ROLL'!N:N,'PP F.G ROLL'!$A:$A,'PP ROLL STOCK'!$C5)</f>
        <v>3100.9999999999995</v>
      </c>
      <c r="J5" s="13">
        <f>SUMIFS('PP F.G ROLL'!S:S,'PP F.G ROLL'!$A:$A,'PP ROLL STOCK'!$C5)</f>
        <v>113</v>
      </c>
      <c r="K5" s="13">
        <f>SUMIFS('PP F.G ROLL'!T:T,'PP F.G ROLL'!$A:$A,'PP ROLL STOCK'!$C5)</f>
        <v>2974.5</v>
      </c>
      <c r="L5" s="6">
        <f t="shared" si="1"/>
        <v>-43</v>
      </c>
      <c r="M5" s="6">
        <f t="shared" si="2"/>
        <v>126.49999999999955</v>
      </c>
      <c r="N5" s="11" t="str">
        <f>IFERROR(VLOOKUP(C5,'[1]MIX SALE ORDER'!$A:$E,4,),"OTHERS")</f>
        <v>OTHERS</v>
      </c>
      <c r="O5" s="11" t="str">
        <f>VLOOKUP(C5,'PP F.G ROLL'!A:T,4,0)</f>
        <v>PP</v>
      </c>
      <c r="P5" t="e">
        <v>#N/A</v>
      </c>
      <c r="Q5" t="s">
        <v>199</v>
      </c>
      <c r="R5" t="str">
        <f t="shared" si="3"/>
        <v>12/5</v>
      </c>
    </row>
    <row r="6" spans="1:19" x14ac:dyDescent="0.2">
      <c r="A6" s="9" t="s">
        <v>98</v>
      </c>
      <c r="C6" s="5" t="str">
        <f t="shared" si="0"/>
        <v>11/5</v>
      </c>
      <c r="D6" s="10">
        <f>_xlfn.MAXIFS('PP F.G ROLL'!J:J,'PP F.G ROLL'!A:A,'PP ROLL STOCK'!C6)</f>
        <v>45930</v>
      </c>
      <c r="E6" s="22" t="str" cm="1">
        <f t="array" ref="E6:G6">IFERROR(VLOOKUP(C6,'PP F.G ROLL'!A:T,{2,5,6},0),"-")</f>
        <v>STOCK</v>
      </c>
      <c r="F6" s="24" t="str">
        <v>11</v>
      </c>
      <c r="G6" s="24">
        <v>5</v>
      </c>
      <c r="H6" s="13">
        <f>SUMIFS('PP F.G ROLL'!K:K,'PP F.G ROLL'!$A:$A,'PP ROLL STOCK'!$C6)</f>
        <v>115</v>
      </c>
      <c r="I6" s="13">
        <f>SUMIFS('PP F.G ROLL'!N:N,'PP F.G ROLL'!$A:$A,'PP ROLL STOCK'!$C6)</f>
        <v>3325</v>
      </c>
      <c r="J6" s="13">
        <f>SUMIFS('PP F.G ROLL'!S:S,'PP F.G ROLL'!$A:$A,'PP ROLL STOCK'!$C6)</f>
        <v>115</v>
      </c>
      <c r="K6" s="13">
        <f>SUMIFS('PP F.G ROLL'!T:T,'PP F.G ROLL'!$A:$A,'PP ROLL STOCK'!$C6)</f>
        <v>3325</v>
      </c>
      <c r="L6" s="6">
        <f t="shared" si="1"/>
        <v>0</v>
      </c>
      <c r="M6" s="6">
        <f t="shared" si="2"/>
        <v>0</v>
      </c>
      <c r="N6" s="11" t="str">
        <f>IFERROR(VLOOKUP(C6,'[1]MIX SALE ORDER'!$A:$E,4,),"OTHERS")</f>
        <v>OTHERS</v>
      </c>
      <c r="O6" s="11" t="str">
        <f>VLOOKUP(C6,'PP F.G ROLL'!A:T,4,0)</f>
        <v>PP</v>
      </c>
      <c r="P6" t="str">
        <v>FGPTPPR000037</v>
      </c>
      <c r="Q6" t="s">
        <v>199</v>
      </c>
      <c r="R6" t="str">
        <f t="shared" si="3"/>
        <v>11/5</v>
      </c>
    </row>
    <row r="7" spans="1:19" x14ac:dyDescent="0.2">
      <c r="A7" s="9" t="s">
        <v>99</v>
      </c>
      <c r="C7" s="5" t="str">
        <f t="shared" si="0"/>
        <v>8/5</v>
      </c>
      <c r="D7" s="10">
        <f>_xlfn.MAXIFS('PP F.G ROLL'!J:J,'PP F.G ROLL'!A:A,'PP ROLL STOCK'!C7)</f>
        <v>45927</v>
      </c>
      <c r="E7" s="22" t="str" cm="1">
        <f t="array" ref="E7:G7">IFERROR(VLOOKUP(C7,'PP F.G ROLL'!A:T,{2,5,6},0),"-")</f>
        <v>STOCK</v>
      </c>
      <c r="F7" s="24" t="str">
        <v>8</v>
      </c>
      <c r="G7" s="24">
        <v>5</v>
      </c>
      <c r="H7" s="13">
        <f>SUMIFS('PP F.G ROLL'!K:K,'PP F.G ROLL'!$A:$A,'PP ROLL STOCK'!$C7)</f>
        <v>145</v>
      </c>
      <c r="I7" s="13">
        <f>SUMIFS('PP F.G ROLL'!N:N,'PP F.G ROLL'!$A:$A,'PP ROLL STOCK'!$C7)</f>
        <v>5038.8000000000011</v>
      </c>
      <c r="J7" s="13">
        <f>SUMIFS('PP F.G ROLL'!S:S,'PP F.G ROLL'!$A:$A,'PP ROLL STOCK'!$C7)</f>
        <v>167</v>
      </c>
      <c r="K7" s="13">
        <f>SUMIFS('PP F.G ROLL'!T:T,'PP F.G ROLL'!$A:$A,'PP ROLL STOCK'!$C7)</f>
        <v>4300</v>
      </c>
      <c r="L7" s="6">
        <f t="shared" si="1"/>
        <v>-22</v>
      </c>
      <c r="M7" s="6">
        <f t="shared" si="2"/>
        <v>738.80000000000109</v>
      </c>
      <c r="N7" s="11" t="str">
        <f>IFERROR(VLOOKUP(C7,'[1]MIX SALE ORDER'!$A:$E,4,),"OTHERS")</f>
        <v>OTHERS</v>
      </c>
      <c r="O7" s="11" t="str">
        <f>VLOOKUP(C7,'PP F.G ROLL'!A:T,4,0)</f>
        <v>PP</v>
      </c>
      <c r="P7" t="e">
        <v>#N/A</v>
      </c>
      <c r="Q7" t="s">
        <v>199</v>
      </c>
      <c r="R7" t="str">
        <f t="shared" si="3"/>
        <v>8/5</v>
      </c>
    </row>
    <row r="8" spans="1:19" x14ac:dyDescent="0.2">
      <c r="A8" s="9" t="s">
        <v>100</v>
      </c>
      <c r="C8" s="5" t="str">
        <f t="shared" si="0"/>
        <v>7/5</v>
      </c>
      <c r="D8" s="10">
        <f>_xlfn.MAXIFS('PP F.G ROLL'!J:J,'PP F.G ROLL'!A:A,'PP ROLL STOCK'!C8)</f>
        <v>45929</v>
      </c>
      <c r="E8" s="22" t="str" cm="1">
        <f t="array" ref="E8:G8">IFERROR(VLOOKUP(C8,'PP F.G ROLL'!A:T,{2,5,6},0),"-")</f>
        <v>STOCK</v>
      </c>
      <c r="F8" s="24" t="str">
        <v>7</v>
      </c>
      <c r="G8" s="24">
        <v>5</v>
      </c>
      <c r="H8" s="13">
        <f>SUMIFS('PP F.G ROLL'!K:K,'PP F.G ROLL'!$A:$A,'PP ROLL STOCK'!$C8)</f>
        <v>115</v>
      </c>
      <c r="I8" s="13">
        <f>SUMIFS('PP F.G ROLL'!N:N,'PP F.G ROLL'!$A:$A,'PP ROLL STOCK'!$C8)</f>
        <v>3362.3400000000006</v>
      </c>
      <c r="J8" s="13">
        <f>SUMIFS('PP F.G ROLL'!S:S,'PP F.G ROLL'!$A:$A,'PP ROLL STOCK'!$C8)</f>
        <v>101</v>
      </c>
      <c r="K8" s="13">
        <f>SUMIFS('PP F.G ROLL'!T:T,'PP F.G ROLL'!$A:$A,'PP ROLL STOCK'!$C8)</f>
        <v>2515.12</v>
      </c>
      <c r="L8" s="6">
        <f t="shared" si="1"/>
        <v>14</v>
      </c>
      <c r="M8" s="6">
        <f t="shared" si="2"/>
        <v>847.22000000000071</v>
      </c>
      <c r="N8" s="11" t="str">
        <f>IFERROR(VLOOKUP(C8,'[1]MIX SALE ORDER'!$A:$E,4,),"OTHERS")</f>
        <v>OTHERS</v>
      </c>
      <c r="O8" s="11" t="str">
        <f>VLOOKUP(C8,'PP F.G ROLL'!A:T,4,0)</f>
        <v>PP</v>
      </c>
      <c r="P8" t="str">
        <v>FGPTPPR000002</v>
      </c>
      <c r="Q8" t="s">
        <v>199</v>
      </c>
      <c r="R8" t="str">
        <f t="shared" si="3"/>
        <v>7/5</v>
      </c>
    </row>
    <row r="9" spans="1:19" x14ac:dyDescent="0.2">
      <c r="A9" s="9" t="s">
        <v>101</v>
      </c>
      <c r="C9" s="5" t="str">
        <f t="shared" si="0"/>
        <v>6/5</v>
      </c>
      <c r="D9" s="10">
        <f>_xlfn.MAXIFS('PP F.G ROLL'!J:J,'PP F.G ROLL'!A:A,'PP ROLL STOCK'!C9)</f>
        <v>45929</v>
      </c>
      <c r="E9" s="22" t="str" cm="1">
        <f t="array" ref="E9:G9">IFERROR(VLOOKUP(C9,'PP F.G ROLL'!A:T,{2,5,6},0),"-")</f>
        <v>STOCK</v>
      </c>
      <c r="F9" s="24" t="str">
        <v>6</v>
      </c>
      <c r="G9" s="24">
        <v>5</v>
      </c>
      <c r="H9" s="13">
        <f>SUMIFS('PP F.G ROLL'!K:K,'PP F.G ROLL'!$A:$A,'PP ROLL STOCK'!$C9)</f>
        <v>86</v>
      </c>
      <c r="I9" s="13">
        <f>SUMIFS('PP F.G ROLL'!N:N,'PP F.G ROLL'!$A:$A,'PP ROLL STOCK'!$C9)</f>
        <v>2404.7300000000005</v>
      </c>
      <c r="J9" s="13">
        <f>SUMIFS('PP F.G ROLL'!S:S,'PP F.G ROLL'!$A:$A,'PP ROLL STOCK'!$C9)</f>
        <v>85</v>
      </c>
      <c r="K9" s="13">
        <f>SUMIFS('PP F.G ROLL'!T:T,'PP F.G ROLL'!$A:$A,'PP ROLL STOCK'!$C9)</f>
        <v>2125</v>
      </c>
      <c r="L9" s="6">
        <f t="shared" si="1"/>
        <v>1</v>
      </c>
      <c r="M9" s="6">
        <f t="shared" si="2"/>
        <v>279.73000000000047</v>
      </c>
      <c r="N9" s="11" t="str">
        <f>IFERROR(VLOOKUP(C9,'[1]MIX SALE ORDER'!$A:$E,4,),"OTHERS")</f>
        <v>OTHERS</v>
      </c>
      <c r="O9" s="11" t="str">
        <f>VLOOKUP(C9,'PP F.G ROLL'!A:T,4,0)</f>
        <v>PP</v>
      </c>
      <c r="P9" t="e">
        <v>#N/A</v>
      </c>
      <c r="Q9" t="s">
        <v>199</v>
      </c>
      <c r="R9" t="str">
        <f t="shared" si="3"/>
        <v>6/5</v>
      </c>
    </row>
    <row r="10" spans="1:19" x14ac:dyDescent="0.2">
      <c r="A10" s="9" t="s">
        <v>102</v>
      </c>
      <c r="C10" s="5" t="str">
        <f t="shared" si="0"/>
        <v>14/6.5</v>
      </c>
      <c r="D10" s="10">
        <f>_xlfn.MAXIFS('PP F.G ROLL'!J:J,'PP F.G ROLL'!A:A,'PP ROLL STOCK'!C10)</f>
        <v>45870</v>
      </c>
      <c r="E10" s="22" t="str" cm="1">
        <f t="array" ref="E10:G10">IFERROR(VLOOKUP(C10,'PP F.G ROLL'!A:T,{2,5,6},0),"-")</f>
        <v>STOCK</v>
      </c>
      <c r="F10" s="24" t="str">
        <v>14</v>
      </c>
      <c r="G10" s="24">
        <v>6.5</v>
      </c>
      <c r="H10" s="13">
        <f>SUMIFS('PP F.G ROLL'!K:K,'PP F.G ROLL'!$A:$A,'PP ROLL STOCK'!$C10)</f>
        <v>12</v>
      </c>
      <c r="I10" s="13">
        <f>SUMIFS('PP F.G ROLL'!N:N,'PP F.G ROLL'!$A:$A,'PP ROLL STOCK'!$C10)</f>
        <v>478.2</v>
      </c>
      <c r="J10" s="13">
        <f>SUMIFS('PP F.G ROLL'!S:S,'PP F.G ROLL'!$A:$A,'PP ROLL STOCK'!$C10)</f>
        <v>0</v>
      </c>
      <c r="K10" s="13">
        <f>SUMIFS('PP F.G ROLL'!T:T,'PP F.G ROLL'!$A:$A,'PP ROLL STOCK'!$C10)</f>
        <v>0</v>
      </c>
      <c r="L10" s="6">
        <f t="shared" si="1"/>
        <v>12</v>
      </c>
      <c r="M10" s="6">
        <f t="shared" si="2"/>
        <v>478.2</v>
      </c>
      <c r="N10" s="11" t="str">
        <f>IFERROR(VLOOKUP(C10,'[1]MIX SALE ORDER'!$A:$E,4,),"OTHERS")</f>
        <v>OTHERS</v>
      </c>
      <c r="O10" s="11" t="str">
        <f>VLOOKUP(C10,'PP F.G ROLL'!A:T,4,0)</f>
        <v>PP</v>
      </c>
      <c r="P10" t="e">
        <v>#N/A</v>
      </c>
      <c r="Q10" t="s">
        <v>199</v>
      </c>
      <c r="R10" t="str">
        <f t="shared" si="3"/>
        <v>14/6.5</v>
      </c>
    </row>
    <row r="11" spans="1:19" x14ac:dyDescent="0.2">
      <c r="A11" s="9" t="s">
        <v>103</v>
      </c>
      <c r="C11" s="5" t="str">
        <f t="shared" si="0"/>
        <v>15/6</v>
      </c>
      <c r="D11" s="10">
        <f>_xlfn.MAXIFS('PP F.G ROLL'!J:J,'PP F.G ROLL'!A:A,'PP ROLL STOCK'!C11)</f>
        <v>45870</v>
      </c>
      <c r="E11" s="22" t="str" cm="1">
        <f t="array" ref="E11:G11">IFERROR(VLOOKUP(C11,'PP F.G ROLL'!A:T,{2,5,6},0),"-")</f>
        <v>STOCK</v>
      </c>
      <c r="F11" s="24" t="str">
        <v>15</v>
      </c>
      <c r="G11" s="24">
        <v>6</v>
      </c>
      <c r="H11" s="13">
        <f>SUMIFS('PP F.G ROLL'!K:K,'PP F.G ROLL'!$A:$A,'PP ROLL STOCK'!$C11)</f>
        <v>7</v>
      </c>
      <c r="I11" s="13">
        <f>SUMIFS('PP F.G ROLL'!N:N,'PP F.G ROLL'!$A:$A,'PP ROLL STOCK'!$C11)</f>
        <v>212.5</v>
      </c>
      <c r="J11" s="13">
        <f>SUMIFS('PP F.G ROLL'!S:S,'PP F.G ROLL'!$A:$A,'PP ROLL STOCK'!$C11)</f>
        <v>0</v>
      </c>
      <c r="K11" s="13">
        <f>SUMIFS('PP F.G ROLL'!T:T,'PP F.G ROLL'!$A:$A,'PP ROLL STOCK'!$C11)</f>
        <v>0</v>
      </c>
      <c r="L11" s="6">
        <f t="shared" si="1"/>
        <v>7</v>
      </c>
      <c r="M11" s="6">
        <f t="shared" si="2"/>
        <v>212.5</v>
      </c>
      <c r="N11" s="11" t="str">
        <f>IFERROR(VLOOKUP(C11,'[1]MIX SALE ORDER'!$A:$E,4,),"OTHERS")</f>
        <v>OTHERS</v>
      </c>
      <c r="O11" s="11" t="str">
        <f>VLOOKUP(C11,'PP F.G ROLL'!A:T,4,0)</f>
        <v>PP</v>
      </c>
      <c r="P11" t="str">
        <v>FGPTPPR000034</v>
      </c>
      <c r="Q11" t="s">
        <v>199</v>
      </c>
      <c r="R11" t="str">
        <f t="shared" si="3"/>
        <v>15/6</v>
      </c>
    </row>
    <row r="12" spans="1:19" x14ac:dyDescent="0.2">
      <c r="A12" s="9" t="s">
        <v>104</v>
      </c>
      <c r="C12" s="5" t="str">
        <f t="shared" si="0"/>
        <v>18/4</v>
      </c>
      <c r="D12" s="10">
        <f>_xlfn.MAXIFS('PP F.G ROLL'!J:J,'PP F.G ROLL'!A:A,'PP ROLL STOCK'!C12)</f>
        <v>45870</v>
      </c>
      <c r="E12" s="22" t="str" cm="1">
        <f t="array" ref="E12:G12">IFERROR(VLOOKUP(C12,'PP F.G ROLL'!A:T,{2,5,6},0),"-")</f>
        <v>STOCK</v>
      </c>
      <c r="F12" s="24" t="str">
        <v>18</v>
      </c>
      <c r="G12" s="24">
        <v>4</v>
      </c>
      <c r="H12" s="13">
        <f>SUMIFS('PP F.G ROLL'!K:K,'PP F.G ROLL'!$A:$A,'PP ROLL STOCK'!$C12)</f>
        <v>15</v>
      </c>
      <c r="I12" s="13">
        <f>SUMIFS('PP F.G ROLL'!N:N,'PP F.G ROLL'!$A:$A,'PP ROLL STOCK'!$C12)</f>
        <v>670</v>
      </c>
      <c r="J12" s="13">
        <f>SUMIFS('PP F.G ROLL'!S:S,'PP F.G ROLL'!$A:$A,'PP ROLL STOCK'!$C12)</f>
        <v>4</v>
      </c>
      <c r="K12" s="13">
        <f>SUMIFS('PP F.G ROLL'!T:T,'PP F.G ROLL'!$A:$A,'PP ROLL STOCK'!$C12)</f>
        <v>100</v>
      </c>
      <c r="L12" s="6">
        <f t="shared" si="1"/>
        <v>11</v>
      </c>
      <c r="M12" s="6">
        <f t="shared" si="2"/>
        <v>570</v>
      </c>
      <c r="N12" s="11" t="str">
        <f>IFERROR(VLOOKUP(C12,'[1]MIX SALE ORDER'!$A:$E,4,),"OTHERS")</f>
        <v>OTHERS</v>
      </c>
      <c r="O12" s="11" t="str">
        <f>VLOOKUP(C12,'PP F.G ROLL'!A:T,4,0)</f>
        <v>PP</v>
      </c>
      <c r="P12" t="e">
        <v>#N/A</v>
      </c>
      <c r="Q12" t="s">
        <v>199</v>
      </c>
      <c r="R12" t="str">
        <f t="shared" si="3"/>
        <v>18/4</v>
      </c>
    </row>
    <row r="13" spans="1:19" x14ac:dyDescent="0.2">
      <c r="A13" s="9" t="s">
        <v>105</v>
      </c>
      <c r="C13" s="5" t="str">
        <f t="shared" si="0"/>
        <v>7/4</v>
      </c>
      <c r="D13" s="10">
        <f>_xlfn.MAXIFS('PP F.G ROLL'!J:J,'PP F.G ROLL'!A:A,'PP ROLL STOCK'!C13)</f>
        <v>45904</v>
      </c>
      <c r="E13" s="22" t="str" cm="1">
        <f t="array" ref="E13:G13">IFERROR(VLOOKUP(C13,'PP F.G ROLL'!A:T,{2,5,6},0),"-")</f>
        <v>STOCK</v>
      </c>
      <c r="F13" s="24" t="str">
        <v>7</v>
      </c>
      <c r="G13" s="24">
        <v>4</v>
      </c>
      <c r="H13" s="13">
        <f>SUMIFS('PP F.G ROLL'!K:K,'PP F.G ROLL'!$A:$A,'PP ROLL STOCK'!$C13)</f>
        <v>8</v>
      </c>
      <c r="I13" s="13">
        <f>SUMIFS('PP F.G ROLL'!N:N,'PP F.G ROLL'!$A:$A,'PP ROLL STOCK'!$C13)</f>
        <v>209.67000000000002</v>
      </c>
      <c r="J13" s="13">
        <f>SUMIFS('PP F.G ROLL'!S:S,'PP F.G ROLL'!$A:$A,'PP ROLL STOCK'!$C13)</f>
        <v>8</v>
      </c>
      <c r="K13" s="13">
        <f>SUMIFS('PP F.G ROLL'!T:T,'PP F.G ROLL'!$A:$A,'PP ROLL STOCK'!$C13)</f>
        <v>195</v>
      </c>
      <c r="L13" s="6">
        <f t="shared" si="1"/>
        <v>0</v>
      </c>
      <c r="M13" s="6">
        <f t="shared" si="2"/>
        <v>14.670000000000016</v>
      </c>
      <c r="N13" s="11" t="str">
        <f>IFERROR(VLOOKUP(C13,'[1]MIX SALE ORDER'!$A:$E,4,),"OTHERS")</f>
        <v>OTHERS</v>
      </c>
      <c r="O13" s="11" t="str">
        <f>VLOOKUP(C13,'PP F.G ROLL'!A:T,4,0)</f>
        <v>PP</v>
      </c>
      <c r="P13" t="e">
        <v>#N/A</v>
      </c>
      <c r="Q13" t="s">
        <v>199</v>
      </c>
      <c r="R13" t="str">
        <f t="shared" si="3"/>
        <v>7/4</v>
      </c>
    </row>
    <row r="14" spans="1:19" x14ac:dyDescent="0.2">
      <c r="A14" s="9" t="s">
        <v>106</v>
      </c>
      <c r="C14" s="5" t="str">
        <f t="shared" si="0"/>
        <v>8/4</v>
      </c>
      <c r="D14" s="10">
        <f>_xlfn.MAXIFS('PP F.G ROLL'!J:J,'PP F.G ROLL'!A:A,'PP ROLL STOCK'!C14)</f>
        <v>45870</v>
      </c>
      <c r="E14" s="22" t="str" cm="1">
        <f t="array" ref="E14:G14">IFERROR(VLOOKUP(C14,'PP F.G ROLL'!A:T,{2,5,6},0),"-")</f>
        <v>STOCK</v>
      </c>
      <c r="F14" s="24" t="str">
        <v>8</v>
      </c>
      <c r="G14" s="24">
        <v>4</v>
      </c>
      <c r="H14" s="13">
        <f>SUMIFS('PP F.G ROLL'!K:K,'PP F.G ROLL'!$A:$A,'PP ROLL STOCK'!$C14)</f>
        <v>9</v>
      </c>
      <c r="I14" s="13">
        <f>SUMIFS('PP F.G ROLL'!N:N,'PP F.G ROLL'!$A:$A,'PP ROLL STOCK'!$C14)</f>
        <v>272.8</v>
      </c>
      <c r="J14" s="13">
        <f>SUMIFS('PP F.G ROLL'!S:S,'PP F.G ROLL'!$A:$A,'PP ROLL STOCK'!$C14)</f>
        <v>7</v>
      </c>
      <c r="K14" s="13">
        <f>SUMIFS('PP F.G ROLL'!T:T,'PP F.G ROLL'!$A:$A,'PP ROLL STOCK'!$C14)</f>
        <v>175</v>
      </c>
      <c r="L14" s="6">
        <f t="shared" si="1"/>
        <v>2</v>
      </c>
      <c r="M14" s="6">
        <f t="shared" si="2"/>
        <v>97.800000000000011</v>
      </c>
      <c r="N14" s="11" t="str">
        <f>IFERROR(VLOOKUP(C14,'[1]MIX SALE ORDER'!$A:$E,4,),"OTHERS")</f>
        <v>OTHERS</v>
      </c>
      <c r="O14" s="11" t="str">
        <f>VLOOKUP(C14,'PP F.G ROLL'!A:T,4,0)</f>
        <v>PP</v>
      </c>
      <c r="P14" t="e">
        <v>#N/A</v>
      </c>
      <c r="Q14" t="s">
        <v>199</v>
      </c>
      <c r="R14" t="str">
        <f t="shared" si="3"/>
        <v>8/4</v>
      </c>
    </row>
    <row r="15" spans="1:19" x14ac:dyDescent="0.2">
      <c r="A15" s="9" t="s">
        <v>107</v>
      </c>
      <c r="C15" s="5" t="str">
        <f t="shared" si="0"/>
        <v>9/4</v>
      </c>
      <c r="D15" s="10">
        <f>_xlfn.MAXIFS('PP F.G ROLL'!J:J,'PP F.G ROLL'!A:A,'PP ROLL STOCK'!C15)</f>
        <v>45870</v>
      </c>
      <c r="E15" s="22" t="str" cm="1">
        <f t="array" ref="E15:G15">IFERROR(VLOOKUP(C15,'PP F.G ROLL'!A:T,{2,5,6},0),"-")</f>
        <v>STOCK</v>
      </c>
      <c r="F15" s="24" t="str">
        <v>9</v>
      </c>
      <c r="G15" s="24">
        <v>4</v>
      </c>
      <c r="H15" s="13">
        <f>SUMIFS('PP F.G ROLL'!K:K,'PP F.G ROLL'!$A:$A,'PP ROLL STOCK'!$C15)</f>
        <v>3</v>
      </c>
      <c r="I15" s="13">
        <f>SUMIFS('PP F.G ROLL'!N:N,'PP F.G ROLL'!$A:$A,'PP ROLL STOCK'!$C15)</f>
        <v>101.3</v>
      </c>
      <c r="J15" s="13">
        <f>SUMIFS('PP F.G ROLL'!S:S,'PP F.G ROLL'!$A:$A,'PP ROLL STOCK'!$C15)</f>
        <v>4</v>
      </c>
      <c r="K15" s="13">
        <f>SUMIFS('PP F.G ROLL'!T:T,'PP F.G ROLL'!$A:$A,'PP ROLL STOCK'!$C15)</f>
        <v>100</v>
      </c>
      <c r="L15" s="6">
        <f t="shared" si="1"/>
        <v>-1</v>
      </c>
      <c r="M15" s="6">
        <f t="shared" si="2"/>
        <v>1.2999999999999972</v>
      </c>
      <c r="N15" s="11" t="str">
        <f>IFERROR(VLOOKUP(C15,'[1]MIX SALE ORDER'!$A:$E,4,),"OTHERS")</f>
        <v>OTHERS</v>
      </c>
      <c r="O15" s="11" t="str">
        <f>VLOOKUP(C15,'PP F.G ROLL'!A:T,4,0)</f>
        <v>PP</v>
      </c>
      <c r="P15" t="e">
        <v>#N/A</v>
      </c>
      <c r="Q15" t="s">
        <v>199</v>
      </c>
      <c r="R15" t="str">
        <f t="shared" si="3"/>
        <v>9/4</v>
      </c>
    </row>
    <row r="16" spans="1:19" x14ac:dyDescent="0.2">
      <c r="A16" s="9" t="s">
        <v>108</v>
      </c>
      <c r="C16" s="5" t="str">
        <f t="shared" si="0"/>
        <v>2/5.5-6</v>
      </c>
      <c r="D16" s="10">
        <f>_xlfn.MAXIFS('PP F.G ROLL'!J:J,'PP F.G ROLL'!A:A,'PP ROLL STOCK'!C16)</f>
        <v>45930</v>
      </c>
      <c r="E16" s="22" t="str" cm="1">
        <f t="array" ref="E16:G16">IFERROR(VLOOKUP(C16,'PP F.G ROLL'!A:T,{2,5,6},0),"-")</f>
        <v>جیلانی پولی سٹاک</v>
      </c>
      <c r="F16" s="24">
        <v>2</v>
      </c>
      <c r="G16" s="24" t="str">
        <v>5.5-6</v>
      </c>
      <c r="H16" s="13">
        <f>SUMIFS('PP F.G ROLL'!K:K,'PP F.G ROLL'!$A:$A,'PP ROLL STOCK'!$C16)</f>
        <v>6</v>
      </c>
      <c r="I16" s="13">
        <f>SUMIFS('PP F.G ROLL'!N:N,'PP F.G ROLL'!$A:$A,'PP ROLL STOCK'!$C16)</f>
        <v>180</v>
      </c>
      <c r="J16" s="13">
        <f>SUMIFS('PP F.G ROLL'!S:S,'PP F.G ROLL'!$A:$A,'PP ROLL STOCK'!$C16)</f>
        <v>6</v>
      </c>
      <c r="K16" s="13">
        <f>SUMIFS('PP F.G ROLL'!T:T,'PP F.G ROLL'!$A:$A,'PP ROLL STOCK'!$C16)</f>
        <v>180</v>
      </c>
      <c r="L16" s="6">
        <f t="shared" si="1"/>
        <v>0</v>
      </c>
      <c r="M16" s="6">
        <f t="shared" si="2"/>
        <v>0</v>
      </c>
      <c r="N16" s="11" t="str">
        <f>IFERROR(VLOOKUP(C16,'[1]MIX SALE ORDER'!$A:$E,4,),"OTHERS")</f>
        <v>OTHERS</v>
      </c>
      <c r="O16" s="11" t="str">
        <f>VLOOKUP(C16,'PP F.G ROLL'!A:T,4,0)</f>
        <v>PP</v>
      </c>
      <c r="P16" t="e">
        <v>#N/A</v>
      </c>
      <c r="Q16" t="s">
        <v>199</v>
      </c>
      <c r="R16" t="str">
        <f t="shared" si="3"/>
        <v>2/5.5-6</v>
      </c>
    </row>
    <row r="17" spans="1:18" x14ac:dyDescent="0.2">
      <c r="A17" s="9" t="s">
        <v>109</v>
      </c>
      <c r="C17" s="5" t="str">
        <f t="shared" si="0"/>
        <v>24/5</v>
      </c>
      <c r="D17" s="10">
        <f>_xlfn.MAXIFS('PP F.G ROLL'!J:J,'PP F.G ROLL'!A:A,'PP ROLL STOCK'!C17)</f>
        <v>45930</v>
      </c>
      <c r="E17" s="22" t="str" cm="1">
        <f t="array" ref="E17:G17">IFERROR(VLOOKUP(C17,'PP F.G ROLL'!A:T,{2,5,6},0),"-")</f>
        <v>STOCK</v>
      </c>
      <c r="F17" s="24" t="str">
        <v>24</v>
      </c>
      <c r="G17" s="24">
        <v>5</v>
      </c>
      <c r="H17" s="13">
        <f>SUMIFS('PP F.G ROLL'!K:K,'PP F.G ROLL'!$A:$A,'PP ROLL STOCK'!$C17)</f>
        <v>68</v>
      </c>
      <c r="I17" s="13">
        <f>SUMIFS('PP F.G ROLL'!N:N,'PP F.G ROLL'!$A:$A,'PP ROLL STOCK'!$C17)</f>
        <v>2440.5</v>
      </c>
      <c r="J17" s="13">
        <f>SUMIFS('PP F.G ROLL'!S:S,'PP F.G ROLL'!$A:$A,'PP ROLL STOCK'!$C17)</f>
        <v>68</v>
      </c>
      <c r="K17" s="13">
        <f>SUMIFS('PP F.G ROLL'!T:T,'PP F.G ROLL'!$A:$A,'PP ROLL STOCK'!$C17)</f>
        <v>2440.5</v>
      </c>
      <c r="L17" s="6">
        <f t="shared" si="1"/>
        <v>0</v>
      </c>
      <c r="M17" s="6">
        <f t="shared" si="2"/>
        <v>0</v>
      </c>
      <c r="N17" s="11" t="str">
        <f>IFERROR(VLOOKUP(C17,'[1]MIX SALE ORDER'!$A:$E,4,),"OTHERS")</f>
        <v>OTHERS</v>
      </c>
      <c r="O17" s="11" t="str">
        <f>VLOOKUP(C17,'PP F.G ROLL'!A:T,4,0)</f>
        <v>PP</v>
      </c>
      <c r="P17" t="e">
        <v>#N/A</v>
      </c>
      <c r="Q17" t="s">
        <v>199</v>
      </c>
      <c r="R17" t="str">
        <f t="shared" si="3"/>
        <v>24/5</v>
      </c>
    </row>
    <row r="18" spans="1:18" x14ac:dyDescent="0.2">
      <c r="A18" s="9" t="s">
        <v>110</v>
      </c>
      <c r="C18" s="5" t="str">
        <f t="shared" si="0"/>
        <v>20/5</v>
      </c>
      <c r="D18" s="10">
        <f>_xlfn.MAXIFS('PP F.G ROLL'!J:J,'PP F.G ROLL'!A:A,'PP ROLL STOCK'!C18)</f>
        <v>45924</v>
      </c>
      <c r="E18" s="22" t="str" cm="1">
        <f t="array" ref="E18:G18">IFERROR(VLOOKUP(C18,'PP F.G ROLL'!A:T,{2,5,6},0),"-")</f>
        <v>STOCK</v>
      </c>
      <c r="F18" s="24" t="str">
        <v>20</v>
      </c>
      <c r="G18" s="24">
        <v>5</v>
      </c>
      <c r="H18" s="13">
        <f>SUMIFS('PP F.G ROLL'!K:K,'PP F.G ROLL'!$A:$A,'PP ROLL STOCK'!$C18)</f>
        <v>39</v>
      </c>
      <c r="I18" s="13">
        <f>SUMIFS('PP F.G ROLL'!N:N,'PP F.G ROLL'!$A:$A,'PP ROLL STOCK'!$C18)</f>
        <v>2062.64</v>
      </c>
      <c r="J18" s="13">
        <f>SUMIFS('PP F.G ROLL'!S:S,'PP F.G ROLL'!$A:$A,'PP ROLL STOCK'!$C18)</f>
        <v>46</v>
      </c>
      <c r="K18" s="13">
        <f>SUMIFS('PP F.G ROLL'!T:T,'PP F.G ROLL'!$A:$A,'PP ROLL STOCK'!$C18)</f>
        <v>1131.2</v>
      </c>
      <c r="L18" s="6">
        <f t="shared" si="1"/>
        <v>-7</v>
      </c>
      <c r="M18" s="6">
        <f t="shared" si="2"/>
        <v>931.43999999999983</v>
      </c>
      <c r="N18" s="11" t="str">
        <f>IFERROR(VLOOKUP(C18,'[1]MIX SALE ORDER'!$A:$E,4,),"OTHERS")</f>
        <v>OTHERS</v>
      </c>
      <c r="O18" s="11" t="str">
        <f>VLOOKUP(C18,'PP F.G ROLL'!A:T,4,0)</f>
        <v>PP</v>
      </c>
      <c r="P18" t="e">
        <v>#N/A</v>
      </c>
      <c r="Q18" t="s">
        <v>199</v>
      </c>
      <c r="R18" t="str">
        <f t="shared" si="3"/>
        <v>20/5</v>
      </c>
    </row>
    <row r="19" spans="1:18" x14ac:dyDescent="0.2">
      <c r="A19" s="9" t="s">
        <v>111</v>
      </c>
      <c r="C19" s="5" t="str">
        <f t="shared" si="0"/>
        <v>19/5</v>
      </c>
      <c r="D19" s="10">
        <f>_xlfn.MAXIFS('PP F.G ROLL'!J:J,'PP F.G ROLL'!A:A,'PP ROLL STOCK'!C19)</f>
        <v>45870</v>
      </c>
      <c r="E19" s="22" t="str" cm="1">
        <f t="array" ref="E19:G19">IFERROR(VLOOKUP(C19,'PP F.G ROLL'!A:T,{2,5,6},0),"-")</f>
        <v>STOCK</v>
      </c>
      <c r="F19" s="24" t="str">
        <v>19</v>
      </c>
      <c r="G19" s="24">
        <v>5</v>
      </c>
      <c r="H19" s="13">
        <f>SUMIFS('PP F.G ROLL'!K:K,'PP F.G ROLL'!$A:$A,'PP ROLL STOCK'!$C19)</f>
        <v>10</v>
      </c>
      <c r="I19" s="13">
        <f>SUMIFS('PP F.G ROLL'!N:N,'PP F.G ROLL'!$A:$A,'PP ROLL STOCK'!$C19)</f>
        <v>547</v>
      </c>
      <c r="J19" s="13">
        <f>SUMIFS('PP F.G ROLL'!S:S,'PP F.G ROLL'!$A:$A,'PP ROLL STOCK'!$C19)</f>
        <v>0</v>
      </c>
      <c r="K19" s="13">
        <f>SUMIFS('PP F.G ROLL'!T:T,'PP F.G ROLL'!$A:$A,'PP ROLL STOCK'!$C19)</f>
        <v>0</v>
      </c>
      <c r="L19" s="6">
        <f t="shared" si="1"/>
        <v>10</v>
      </c>
      <c r="M19" s="6">
        <f t="shared" si="2"/>
        <v>547</v>
      </c>
      <c r="N19" s="11" t="str">
        <f>IFERROR(VLOOKUP(C19,'[1]MIX SALE ORDER'!$A:$E,4,),"OTHERS")</f>
        <v>OTHERS</v>
      </c>
      <c r="O19" s="11" t="str">
        <f>VLOOKUP(C19,'PP F.G ROLL'!A:T,4,0)</f>
        <v>PP</v>
      </c>
      <c r="P19" t="e">
        <v>#N/A</v>
      </c>
      <c r="Q19" t="s">
        <v>199</v>
      </c>
      <c r="R19" t="str">
        <f t="shared" si="3"/>
        <v>19/5</v>
      </c>
    </row>
    <row r="20" spans="1:18" x14ac:dyDescent="0.2">
      <c r="A20" s="9" t="s">
        <v>112</v>
      </c>
      <c r="C20" s="5" t="str">
        <f t="shared" si="0"/>
        <v>17/5</v>
      </c>
      <c r="D20" s="10">
        <f>_xlfn.MAXIFS('PP F.G ROLL'!J:J,'PP F.G ROLL'!A:A,'PP ROLL STOCK'!C20)</f>
        <v>45870</v>
      </c>
      <c r="E20" s="22" t="str" cm="1">
        <f t="array" ref="E20:G20">IFERROR(VLOOKUP(C20,'PP F.G ROLL'!A:T,{2,5,6},0),"-")</f>
        <v>STOCK</v>
      </c>
      <c r="F20" s="24" t="str">
        <v>17</v>
      </c>
      <c r="G20" s="24">
        <v>5</v>
      </c>
      <c r="H20" s="13">
        <f>SUMIFS('PP F.G ROLL'!K:K,'PP F.G ROLL'!$A:$A,'PP ROLL STOCK'!$C20)</f>
        <v>4</v>
      </c>
      <c r="I20" s="13">
        <f>SUMIFS('PP F.G ROLL'!N:N,'PP F.G ROLL'!$A:$A,'PP ROLL STOCK'!$C20)</f>
        <v>135.19999999999999</v>
      </c>
      <c r="J20" s="13">
        <f>SUMIFS('PP F.G ROLL'!S:S,'PP F.G ROLL'!$A:$A,'PP ROLL STOCK'!$C20)</f>
        <v>4</v>
      </c>
      <c r="K20" s="13">
        <f>SUMIFS('PP F.G ROLL'!T:T,'PP F.G ROLL'!$A:$A,'PP ROLL STOCK'!$C20)</f>
        <v>100</v>
      </c>
      <c r="L20" s="6">
        <f t="shared" si="1"/>
        <v>0</v>
      </c>
      <c r="M20" s="6">
        <f t="shared" si="2"/>
        <v>35.199999999999989</v>
      </c>
      <c r="N20" s="11" t="str">
        <f>IFERROR(VLOOKUP(C20,'[1]MIX SALE ORDER'!$A:$E,4,),"OTHERS")</f>
        <v>OTHERS</v>
      </c>
      <c r="O20" s="11" t="str">
        <f>VLOOKUP(C20,'PP F.G ROLL'!A:T,4,0)</f>
        <v>PP</v>
      </c>
      <c r="P20" t="str">
        <v>FGPTPPR000012</v>
      </c>
      <c r="Q20" t="s">
        <v>199</v>
      </c>
      <c r="R20" t="str">
        <f t="shared" si="3"/>
        <v>17/5</v>
      </c>
    </row>
    <row r="21" spans="1:18" x14ac:dyDescent="0.2">
      <c r="A21" s="9" t="s">
        <v>113</v>
      </c>
      <c r="C21" s="5" t="str">
        <f t="shared" si="0"/>
        <v>18/5</v>
      </c>
      <c r="D21" s="10">
        <f>_xlfn.MAXIFS('PP F.G ROLL'!J:J,'PP F.G ROLL'!A:A,'PP ROLL STOCK'!C21)</f>
        <v>45930</v>
      </c>
      <c r="E21" s="22" t="str" cm="1">
        <f t="array" ref="E21:G21">IFERROR(VLOOKUP(C21,'PP F.G ROLL'!A:T,{2,5,6},0),"-")</f>
        <v>STOCK</v>
      </c>
      <c r="F21" s="24" t="str">
        <v>18</v>
      </c>
      <c r="G21" s="24">
        <v>5</v>
      </c>
      <c r="H21" s="13">
        <f>SUMIFS('PP F.G ROLL'!K:K,'PP F.G ROLL'!$A:$A,'PP ROLL STOCK'!$C21)</f>
        <v>79</v>
      </c>
      <c r="I21" s="13">
        <f>SUMIFS('PP F.G ROLL'!N:N,'PP F.G ROLL'!$A:$A,'PP ROLL STOCK'!$C21)</f>
        <v>1979.8000000000002</v>
      </c>
      <c r="J21" s="13">
        <f>SUMIFS('PP F.G ROLL'!S:S,'PP F.G ROLL'!$A:$A,'PP ROLL STOCK'!$C21)</f>
        <v>79</v>
      </c>
      <c r="K21" s="13">
        <f>SUMIFS('PP F.G ROLL'!T:T,'PP F.G ROLL'!$A:$A,'PP ROLL STOCK'!$C21)</f>
        <v>1979.8</v>
      </c>
      <c r="L21" s="6">
        <f t="shared" si="1"/>
        <v>0</v>
      </c>
      <c r="M21" s="6">
        <f t="shared" si="2"/>
        <v>0</v>
      </c>
      <c r="N21" s="11" t="str">
        <f>IFERROR(VLOOKUP(C21,'[1]MIX SALE ORDER'!$A:$E,4,),"OTHERS")</f>
        <v>OTHERS</v>
      </c>
      <c r="O21" s="11" t="str">
        <f>VLOOKUP(C21,'PP F.G ROLL'!A:T,4,0)</f>
        <v>PP</v>
      </c>
      <c r="P21" t="e">
        <v>#N/A</v>
      </c>
      <c r="Q21" t="s">
        <v>199</v>
      </c>
      <c r="R21" t="str">
        <f t="shared" si="3"/>
        <v>18/5</v>
      </c>
    </row>
    <row r="22" spans="1:18" x14ac:dyDescent="0.2">
      <c r="A22" s="9" t="s">
        <v>114</v>
      </c>
      <c r="C22" s="5" t="str">
        <f t="shared" si="0"/>
        <v>16/5</v>
      </c>
      <c r="D22" s="10">
        <f>_xlfn.MAXIFS('PP F.G ROLL'!J:J,'PP F.G ROLL'!A:A,'PP ROLL STOCK'!C22)</f>
        <v>45929</v>
      </c>
      <c r="E22" s="22" t="str" cm="1">
        <f t="array" ref="E22:G22">IFERROR(VLOOKUP(C22,'PP F.G ROLL'!A:T,{2,5,6},0),"-")</f>
        <v>STOCK</v>
      </c>
      <c r="F22" s="24" t="str">
        <v>16</v>
      </c>
      <c r="G22" s="24">
        <v>5</v>
      </c>
      <c r="H22" s="13">
        <f>SUMIFS('PP F.G ROLL'!K:K,'PP F.G ROLL'!$A:$A,'PP ROLL STOCK'!$C22)</f>
        <v>74</v>
      </c>
      <c r="I22" s="13">
        <f>SUMIFS('PP F.G ROLL'!N:N,'PP F.G ROLL'!$A:$A,'PP ROLL STOCK'!$C22)</f>
        <v>3245.2799999999997</v>
      </c>
      <c r="J22" s="13">
        <f>SUMIFS('PP F.G ROLL'!S:S,'PP F.G ROLL'!$A:$A,'PP ROLL STOCK'!$C22)</f>
        <v>35</v>
      </c>
      <c r="K22" s="13">
        <f>SUMIFS('PP F.G ROLL'!T:T,'PP F.G ROLL'!$A:$A,'PP ROLL STOCK'!$C22)</f>
        <v>951.31</v>
      </c>
      <c r="L22" s="6">
        <f t="shared" si="1"/>
        <v>39</v>
      </c>
      <c r="M22" s="6">
        <f t="shared" si="2"/>
        <v>2293.9699999999998</v>
      </c>
      <c r="N22" s="11" t="str">
        <f>IFERROR(VLOOKUP(C22,'[1]MIX SALE ORDER'!$A:$E,4,),"OTHERS")</f>
        <v>OTHERS</v>
      </c>
      <c r="O22" s="11" t="str">
        <f>VLOOKUP(C22,'PP F.G ROLL'!A:T,4,0)</f>
        <v>PP</v>
      </c>
      <c r="P22" t="str">
        <v>FGPTPPR000011</v>
      </c>
      <c r="Q22" t="s">
        <v>199</v>
      </c>
      <c r="R22" t="str">
        <f t="shared" si="3"/>
        <v>16/5</v>
      </c>
    </row>
    <row r="23" spans="1:18" x14ac:dyDescent="0.2">
      <c r="A23" s="9" t="s">
        <v>115</v>
      </c>
      <c r="C23" s="5" t="str">
        <f t="shared" si="0"/>
        <v>15/5</v>
      </c>
      <c r="D23" s="10">
        <f>_xlfn.MAXIFS('PP F.G ROLL'!J:J,'PP F.G ROLL'!A:A,'PP ROLL STOCK'!C23)</f>
        <v>45870</v>
      </c>
      <c r="E23" s="22" t="str" cm="1">
        <f t="array" ref="E23:G23">IFERROR(VLOOKUP(C23,'PP F.G ROLL'!A:T,{2,5,6},0),"-")</f>
        <v>STOCK</v>
      </c>
      <c r="F23" s="24" t="str">
        <v>15</v>
      </c>
      <c r="G23" s="24">
        <v>5</v>
      </c>
      <c r="H23" s="13">
        <f>SUMIFS('PP F.G ROLL'!K:K,'PP F.G ROLL'!$A:$A,'PP ROLL STOCK'!$C23)</f>
        <v>26</v>
      </c>
      <c r="I23" s="13">
        <f>SUMIFS('PP F.G ROLL'!N:N,'PP F.G ROLL'!$A:$A,'PP ROLL STOCK'!$C23)</f>
        <v>957</v>
      </c>
      <c r="J23" s="13">
        <f>SUMIFS('PP F.G ROLL'!S:S,'PP F.G ROLL'!$A:$A,'PP ROLL STOCK'!$C23)</f>
        <v>0</v>
      </c>
      <c r="K23" s="13">
        <f>SUMIFS('PP F.G ROLL'!T:T,'PP F.G ROLL'!$A:$A,'PP ROLL STOCK'!$C23)</f>
        <v>0</v>
      </c>
      <c r="L23" s="6">
        <f t="shared" si="1"/>
        <v>26</v>
      </c>
      <c r="M23" s="6">
        <f t="shared" si="2"/>
        <v>957</v>
      </c>
      <c r="N23" s="11" t="str">
        <f>IFERROR(VLOOKUP(C23,'[1]MIX SALE ORDER'!$A:$E,4,),"OTHERS")</f>
        <v>OTHERS</v>
      </c>
      <c r="O23" s="11" t="str">
        <f>VLOOKUP(C23,'PP F.G ROLL'!A:T,4,0)</f>
        <v>PP</v>
      </c>
      <c r="P23" t="str">
        <v>FGPTPPR000010</v>
      </c>
      <c r="Q23" t="s">
        <v>199</v>
      </c>
      <c r="R23" t="str">
        <f t="shared" si="3"/>
        <v>15/5</v>
      </c>
    </row>
    <row r="24" spans="1:18" x14ac:dyDescent="0.2">
      <c r="A24" s="9" t="s">
        <v>116</v>
      </c>
      <c r="C24" s="5" t="str">
        <f t="shared" si="0"/>
        <v>2/6.5</v>
      </c>
      <c r="D24" s="10">
        <f>_xlfn.MAXIFS('PP F.G ROLL'!J:J,'PP F.G ROLL'!A:A,'PP ROLL STOCK'!C24)</f>
        <v>45870</v>
      </c>
      <c r="E24" s="22" t="str" cm="1">
        <f t="array" ref="E24:G24">IFERROR(VLOOKUP(C24,'PP F.G ROLL'!A:T,{2,5,6},0),"-")</f>
        <v>STOCK</v>
      </c>
      <c r="F24" s="24" t="str">
        <v>2</v>
      </c>
      <c r="G24" s="24">
        <v>6.5</v>
      </c>
      <c r="H24" s="13">
        <f>SUMIFS('PP F.G ROLL'!K:K,'PP F.G ROLL'!$A:$A,'PP ROLL STOCK'!$C24)</f>
        <v>4</v>
      </c>
      <c r="I24" s="13">
        <f>SUMIFS('PP F.G ROLL'!N:N,'PP F.G ROLL'!$A:$A,'PP ROLL STOCK'!$C24)</f>
        <v>185.2</v>
      </c>
      <c r="J24" s="13">
        <f>SUMIFS('PP F.G ROLL'!S:S,'PP F.G ROLL'!$A:$A,'PP ROLL STOCK'!$C24)</f>
        <v>0</v>
      </c>
      <c r="K24" s="13">
        <f>SUMIFS('PP F.G ROLL'!T:T,'PP F.G ROLL'!$A:$A,'PP ROLL STOCK'!$C24)</f>
        <v>0</v>
      </c>
      <c r="L24" s="6">
        <f t="shared" si="1"/>
        <v>4</v>
      </c>
      <c r="M24" s="6">
        <f t="shared" si="2"/>
        <v>185.2</v>
      </c>
      <c r="N24" s="11" t="str">
        <f>IFERROR(VLOOKUP(C24,'[1]MIX SALE ORDER'!$A:$E,4,),"OTHERS")</f>
        <v>OTHERS</v>
      </c>
      <c r="O24" s="11" t="str">
        <f>VLOOKUP(C24,'PP F.G ROLL'!A:T,4,0)</f>
        <v>PP</v>
      </c>
      <c r="P24" t="e">
        <v>#N/A</v>
      </c>
      <c r="Q24" t="s">
        <v>199</v>
      </c>
      <c r="R24" t="str">
        <f t="shared" si="3"/>
        <v>2/6.5</v>
      </c>
    </row>
    <row r="25" spans="1:18" x14ac:dyDescent="0.2">
      <c r="A25" s="9" t="s">
        <v>117</v>
      </c>
      <c r="C25" s="5" t="str">
        <f t="shared" si="0"/>
        <v>19/4</v>
      </c>
      <c r="D25" s="10">
        <f>_xlfn.MAXIFS('PP F.G ROLL'!J:J,'PP F.G ROLL'!A:A,'PP ROLL STOCK'!C25)</f>
        <v>45870</v>
      </c>
      <c r="E25" s="22" t="str" cm="1">
        <f t="array" ref="E25:G25">IFERROR(VLOOKUP(C25,'PP F.G ROLL'!A:T,{2,5,6},0),"-")</f>
        <v>STOCK</v>
      </c>
      <c r="F25" s="24" t="str">
        <v>19</v>
      </c>
      <c r="G25" s="24">
        <v>4</v>
      </c>
      <c r="H25" s="13">
        <f>SUMIFS('PP F.G ROLL'!K:K,'PP F.G ROLL'!$A:$A,'PP ROLL STOCK'!$C25)</f>
        <v>1</v>
      </c>
      <c r="I25" s="13">
        <f>SUMIFS('PP F.G ROLL'!N:N,'PP F.G ROLL'!$A:$A,'PP ROLL STOCK'!$C25)</f>
        <v>20.100000000000001</v>
      </c>
      <c r="J25" s="13">
        <f>SUMIFS('PP F.G ROLL'!S:S,'PP F.G ROLL'!$A:$A,'PP ROLL STOCK'!$C25)</f>
        <v>0</v>
      </c>
      <c r="K25" s="13">
        <f>SUMIFS('PP F.G ROLL'!T:T,'PP F.G ROLL'!$A:$A,'PP ROLL STOCK'!$C25)</f>
        <v>0</v>
      </c>
      <c r="L25" s="6">
        <f t="shared" si="1"/>
        <v>1</v>
      </c>
      <c r="M25" s="6">
        <f t="shared" si="2"/>
        <v>20.100000000000001</v>
      </c>
      <c r="N25" s="11" t="str">
        <f>IFERROR(VLOOKUP(C25,'[1]MIX SALE ORDER'!$A:$E,4,),"OTHERS")</f>
        <v>OTHERS</v>
      </c>
      <c r="O25" s="11" t="str">
        <f>VLOOKUP(C25,'PP F.G ROLL'!A:T,4,0)</f>
        <v>PP</v>
      </c>
      <c r="P25" t="e">
        <v>#N/A</v>
      </c>
      <c r="Q25" t="s">
        <v>199</v>
      </c>
      <c r="R25" t="str">
        <f t="shared" si="3"/>
        <v>19/4</v>
      </c>
    </row>
    <row r="26" spans="1:18" x14ac:dyDescent="0.2">
      <c r="A26" s="9" t="s">
        <v>118</v>
      </c>
      <c r="C26" s="5" t="str">
        <f t="shared" si="0"/>
        <v>24/4</v>
      </c>
      <c r="D26" s="10">
        <f>_xlfn.MAXIFS('PP F.G ROLL'!J:J,'PP F.G ROLL'!A:A,'PP ROLL STOCK'!C26)</f>
        <v>45870</v>
      </c>
      <c r="E26" s="22" t="str" cm="1">
        <f t="array" ref="E26:G26">IFERROR(VLOOKUP(C26,'PP F.G ROLL'!A:T,{2,5,6},0),"-")</f>
        <v>STOCK</v>
      </c>
      <c r="F26" s="24" t="str">
        <v>24</v>
      </c>
      <c r="G26" s="24">
        <v>4</v>
      </c>
      <c r="H26" s="13">
        <f>SUMIFS('PP F.G ROLL'!K:K,'PP F.G ROLL'!$A:$A,'PP ROLL STOCK'!$C26)</f>
        <v>1</v>
      </c>
      <c r="I26" s="13">
        <f>SUMIFS('PP F.G ROLL'!N:N,'PP F.G ROLL'!$A:$A,'PP ROLL STOCK'!$C26)</f>
        <v>39.6</v>
      </c>
      <c r="J26" s="13">
        <f>SUMIFS('PP F.G ROLL'!S:S,'PP F.G ROLL'!$A:$A,'PP ROLL STOCK'!$C26)</f>
        <v>0</v>
      </c>
      <c r="K26" s="13">
        <f>SUMIFS('PP F.G ROLL'!T:T,'PP F.G ROLL'!$A:$A,'PP ROLL STOCK'!$C26)</f>
        <v>0</v>
      </c>
      <c r="L26" s="6">
        <f t="shared" si="1"/>
        <v>1</v>
      </c>
      <c r="M26" s="6">
        <f t="shared" si="2"/>
        <v>39.6</v>
      </c>
      <c r="N26" s="11" t="str">
        <f>IFERROR(VLOOKUP(C26,'[1]MIX SALE ORDER'!$A:$E,4,),"OTHERS")</f>
        <v>OTHERS</v>
      </c>
      <c r="O26" s="11" t="str">
        <f>VLOOKUP(C26,'PP F.G ROLL'!A:T,4,0)</f>
        <v>PP</v>
      </c>
      <c r="P26" t="e">
        <v>#N/A</v>
      </c>
      <c r="Q26" t="s">
        <v>199</v>
      </c>
      <c r="R26" t="str">
        <f t="shared" si="3"/>
        <v>24/4</v>
      </c>
    </row>
    <row r="27" spans="1:18" x14ac:dyDescent="0.2">
      <c r="A27" s="9" t="s">
        <v>119</v>
      </c>
      <c r="C27" s="5" t="str">
        <f t="shared" si="0"/>
        <v>6/4</v>
      </c>
      <c r="D27" s="10">
        <f>_xlfn.MAXIFS('PP F.G ROLL'!J:J,'PP F.G ROLL'!A:A,'PP ROLL STOCK'!C27)</f>
        <v>45870</v>
      </c>
      <c r="E27" s="22" t="str" cm="1">
        <f t="array" ref="E27:G27">IFERROR(VLOOKUP(C27,'PP F.G ROLL'!A:T,{2,5,6},0),"-")</f>
        <v>STOCK</v>
      </c>
      <c r="F27" s="24" t="str">
        <v>6</v>
      </c>
      <c r="G27" s="24">
        <v>4</v>
      </c>
      <c r="H27" s="13">
        <f>SUMIFS('PP F.G ROLL'!K:K,'PP F.G ROLL'!$A:$A,'PP ROLL STOCK'!$C27)</f>
        <v>6</v>
      </c>
      <c r="I27" s="13">
        <f>SUMIFS('PP F.G ROLL'!N:N,'PP F.G ROLL'!$A:$A,'PP ROLL STOCK'!$C27)</f>
        <v>191.4</v>
      </c>
      <c r="J27" s="13">
        <f>SUMIFS('PP F.G ROLL'!S:S,'PP F.G ROLL'!$A:$A,'PP ROLL STOCK'!$C27)</f>
        <v>0</v>
      </c>
      <c r="K27" s="13">
        <f>SUMIFS('PP F.G ROLL'!T:T,'PP F.G ROLL'!$A:$A,'PP ROLL STOCK'!$C27)</f>
        <v>0</v>
      </c>
      <c r="L27" s="6">
        <f t="shared" si="1"/>
        <v>6</v>
      </c>
      <c r="M27" s="6">
        <f t="shared" si="2"/>
        <v>191.4</v>
      </c>
      <c r="N27" s="11" t="str">
        <f>IFERROR(VLOOKUP(C27,'[1]MIX SALE ORDER'!$A:$E,4,),"OTHERS")</f>
        <v>OTHERS</v>
      </c>
      <c r="O27" s="11" t="str">
        <f>VLOOKUP(C27,'PP F.G ROLL'!A:T,4,0)</f>
        <v>PP</v>
      </c>
      <c r="P27" t="e">
        <v>#N/A</v>
      </c>
      <c r="Q27" t="s">
        <v>199</v>
      </c>
      <c r="R27" t="str">
        <f t="shared" si="3"/>
        <v>6/4</v>
      </c>
    </row>
    <row r="28" spans="1:18" x14ac:dyDescent="0.2">
      <c r="A28" s="9" t="s">
        <v>120</v>
      </c>
      <c r="C28" s="5" t="str">
        <f t="shared" si="0"/>
        <v>12/6.5</v>
      </c>
      <c r="D28" s="10">
        <f>_xlfn.MAXIFS('PP F.G ROLL'!J:J,'PP F.G ROLL'!A:A,'PP ROLL STOCK'!C28)</f>
        <v>45918</v>
      </c>
      <c r="E28" s="22" t="str" cm="1">
        <f t="array" ref="E28:G28">IFERROR(VLOOKUP(C28,'PP F.G ROLL'!A:T,{2,5,6},0),"-")</f>
        <v>STOCK</v>
      </c>
      <c r="F28" s="24" t="str">
        <v>12</v>
      </c>
      <c r="G28" s="24">
        <v>6.5</v>
      </c>
      <c r="H28" s="13">
        <f>SUMIFS('PP F.G ROLL'!K:K,'PP F.G ROLL'!$A:$A,'PP ROLL STOCK'!$C28)</f>
        <v>13</v>
      </c>
      <c r="I28" s="13">
        <f>SUMIFS('PP F.G ROLL'!N:N,'PP F.G ROLL'!$A:$A,'PP ROLL STOCK'!$C28)</f>
        <v>395.74</v>
      </c>
      <c r="J28" s="13">
        <f>SUMIFS('PP F.G ROLL'!S:S,'PP F.G ROLL'!$A:$A,'PP ROLL STOCK'!$C28)</f>
        <v>8</v>
      </c>
      <c r="K28" s="13">
        <f>SUMIFS('PP F.G ROLL'!T:T,'PP F.G ROLL'!$A:$A,'PP ROLL STOCK'!$C28)</f>
        <v>277.39</v>
      </c>
      <c r="L28" s="6">
        <f t="shared" si="1"/>
        <v>5</v>
      </c>
      <c r="M28" s="6">
        <f t="shared" si="2"/>
        <v>118.35000000000002</v>
      </c>
      <c r="N28" s="11" t="str">
        <f>IFERROR(VLOOKUP(C28,'[1]MIX SALE ORDER'!$A:$E,4,),"OTHERS")</f>
        <v>OTHERS</v>
      </c>
      <c r="O28" s="11" t="str">
        <f>VLOOKUP(C28,'PP F.G ROLL'!A:T,4,0)</f>
        <v>PP</v>
      </c>
      <c r="P28" t="e">
        <v>#N/A</v>
      </c>
      <c r="Q28" t="s">
        <v>199</v>
      </c>
      <c r="R28" t="str">
        <f t="shared" si="3"/>
        <v>12/6.5</v>
      </c>
    </row>
    <row r="29" spans="1:18" x14ac:dyDescent="0.2">
      <c r="A29" s="9" t="s">
        <v>121</v>
      </c>
      <c r="C29" s="5" t="str">
        <f t="shared" si="0"/>
        <v>17/7</v>
      </c>
      <c r="D29" s="10">
        <f>_xlfn.MAXIFS('PP F.G ROLL'!J:J,'PP F.G ROLL'!A:A,'PP ROLL STOCK'!C29)</f>
        <v>45870</v>
      </c>
      <c r="E29" s="22" t="str" cm="1">
        <f t="array" ref="E29:G29">IFERROR(VLOOKUP(C29,'PP F.G ROLL'!A:T,{2,5,6},0),"-")</f>
        <v>STOCK</v>
      </c>
      <c r="F29" s="24" t="str">
        <v>17</v>
      </c>
      <c r="G29" s="24">
        <v>7</v>
      </c>
      <c r="H29" s="13">
        <f>SUMIFS('PP F.G ROLL'!K:K,'PP F.G ROLL'!$A:$A,'PP ROLL STOCK'!$C29)</f>
        <v>7</v>
      </c>
      <c r="I29" s="13">
        <f>SUMIFS('PP F.G ROLL'!N:N,'PP F.G ROLL'!$A:$A,'PP ROLL STOCK'!$C29)</f>
        <v>333.1</v>
      </c>
      <c r="J29" s="13">
        <f>SUMIFS('PP F.G ROLL'!S:S,'PP F.G ROLL'!$A:$A,'PP ROLL STOCK'!$C29)</f>
        <v>8</v>
      </c>
      <c r="K29" s="13">
        <f>SUMIFS('PP F.G ROLL'!T:T,'PP F.G ROLL'!$A:$A,'PP ROLL STOCK'!$C29)</f>
        <v>200</v>
      </c>
      <c r="L29" s="6">
        <f t="shared" si="1"/>
        <v>-1</v>
      </c>
      <c r="M29" s="6">
        <f t="shared" si="2"/>
        <v>133.10000000000002</v>
      </c>
      <c r="N29" s="11" t="str">
        <f>IFERROR(VLOOKUP(C29,'[1]MIX SALE ORDER'!$A:$E,4,),"OTHERS")</f>
        <v>OTHERS</v>
      </c>
      <c r="O29" s="11" t="str">
        <f>VLOOKUP(C29,'PP F.G ROLL'!A:T,4,0)</f>
        <v>PP</v>
      </c>
      <c r="P29" t="e">
        <v>#N/A</v>
      </c>
      <c r="Q29" t="s">
        <v>199</v>
      </c>
      <c r="R29" t="str">
        <f t="shared" si="3"/>
        <v>17/7</v>
      </c>
    </row>
    <row r="30" spans="1:18" x14ac:dyDescent="0.2">
      <c r="A30" s="9" t="s">
        <v>122</v>
      </c>
      <c r="C30" s="5" t="str">
        <f t="shared" si="0"/>
        <v>15/4</v>
      </c>
      <c r="D30" s="10">
        <f>_xlfn.MAXIFS('PP F.G ROLL'!J:J,'PP F.G ROLL'!A:A,'PP ROLL STOCK'!C30)</f>
        <v>45870</v>
      </c>
      <c r="E30" s="22" t="str" cm="1">
        <f t="array" ref="E30:G30">IFERROR(VLOOKUP(C30,'PP F.G ROLL'!A:T,{2,5,6},0),"-")</f>
        <v>STOCK</v>
      </c>
      <c r="F30" s="24" t="str">
        <v>15</v>
      </c>
      <c r="G30" s="24">
        <v>4</v>
      </c>
      <c r="H30" s="13">
        <f>SUMIFS('PP F.G ROLL'!K:K,'PP F.G ROLL'!$A:$A,'PP ROLL STOCK'!$C30)</f>
        <v>7</v>
      </c>
      <c r="I30" s="13">
        <f>SUMIFS('PP F.G ROLL'!N:N,'PP F.G ROLL'!$A:$A,'PP ROLL STOCK'!$C30)</f>
        <v>489.5</v>
      </c>
      <c r="J30" s="13">
        <f>SUMIFS('PP F.G ROLL'!S:S,'PP F.G ROLL'!$A:$A,'PP ROLL STOCK'!$C30)</f>
        <v>0</v>
      </c>
      <c r="K30" s="13">
        <f>SUMIFS('PP F.G ROLL'!T:T,'PP F.G ROLL'!$A:$A,'PP ROLL STOCK'!$C30)</f>
        <v>0</v>
      </c>
      <c r="L30" s="6">
        <f t="shared" si="1"/>
        <v>7</v>
      </c>
      <c r="M30" s="6">
        <f t="shared" si="2"/>
        <v>489.5</v>
      </c>
      <c r="N30" s="11" t="str">
        <f>IFERROR(VLOOKUP(C30,'[1]MIX SALE ORDER'!$A:$E,4,),"OTHERS")</f>
        <v>OTHERS</v>
      </c>
      <c r="O30" s="11" t="str">
        <f>VLOOKUP(C30,'PP F.G ROLL'!A:T,4,0)</f>
        <v>PP</v>
      </c>
      <c r="P30" t="e">
        <v>#N/A</v>
      </c>
      <c r="Q30" t="s">
        <v>199</v>
      </c>
      <c r="R30" t="str">
        <f t="shared" si="3"/>
        <v>15/4</v>
      </c>
    </row>
    <row r="31" spans="1:18" x14ac:dyDescent="0.2">
      <c r="A31" s="9" t="s">
        <v>123</v>
      </c>
      <c r="C31" s="5" t="str">
        <f t="shared" si="0"/>
        <v>16/8</v>
      </c>
      <c r="D31" s="10">
        <f>_xlfn.MAXIFS('PP F.G ROLL'!J:J,'PP F.G ROLL'!A:A,'PP ROLL STOCK'!C31)</f>
        <v>45905</v>
      </c>
      <c r="E31" s="22" t="str" cm="1">
        <f t="array" ref="E31:G31">IFERROR(VLOOKUP(C31,'PP F.G ROLL'!A:T,{2,5,6},0),"-")</f>
        <v>STOCK</v>
      </c>
      <c r="F31" s="24" t="str">
        <v>16</v>
      </c>
      <c r="G31" s="24">
        <v>8</v>
      </c>
      <c r="H31" s="13">
        <f>SUMIFS('PP F.G ROLL'!K:K,'PP F.G ROLL'!$A:$A,'PP ROLL STOCK'!$C31)</f>
        <v>15</v>
      </c>
      <c r="I31" s="13">
        <f>SUMIFS('PP F.G ROLL'!N:N,'PP F.G ROLL'!$A:$A,'PP ROLL STOCK'!$C31)</f>
        <v>307.83</v>
      </c>
      <c r="J31" s="13">
        <f>SUMIFS('PP F.G ROLL'!S:S,'PP F.G ROLL'!$A:$A,'PP ROLL STOCK'!$C31)</f>
        <v>0</v>
      </c>
      <c r="K31" s="13">
        <f>SUMIFS('PP F.G ROLL'!T:T,'PP F.G ROLL'!$A:$A,'PP ROLL STOCK'!$C31)</f>
        <v>0</v>
      </c>
      <c r="L31" s="6">
        <f t="shared" si="1"/>
        <v>15</v>
      </c>
      <c r="M31" s="6">
        <f t="shared" si="2"/>
        <v>307.83</v>
      </c>
      <c r="N31" s="11" t="str">
        <f>IFERROR(VLOOKUP(C31,'[1]MIX SALE ORDER'!$A:$E,4,),"OTHERS")</f>
        <v>OTHERS</v>
      </c>
      <c r="O31" s="11" t="str">
        <f>VLOOKUP(C31,'PP F.G ROLL'!A:T,4,0)</f>
        <v>PP</v>
      </c>
      <c r="P31" t="e">
        <v>#N/A</v>
      </c>
      <c r="Q31" t="s">
        <v>199</v>
      </c>
      <c r="R31" t="str">
        <f t="shared" si="3"/>
        <v>16/8</v>
      </c>
    </row>
    <row r="32" spans="1:18" x14ac:dyDescent="0.2">
      <c r="A32" s="9" t="s">
        <v>124</v>
      </c>
      <c r="C32" s="5" t="str">
        <f t="shared" si="0"/>
        <v>15/7</v>
      </c>
      <c r="D32" s="10">
        <f>_xlfn.MAXIFS('PP F.G ROLL'!J:J,'PP F.G ROLL'!A:A,'PP ROLL STOCK'!C32)</f>
        <v>45925</v>
      </c>
      <c r="E32" s="22" t="str" cm="1">
        <f t="array" ref="E32:G32">IFERROR(VLOOKUP(C32,'PP F.G ROLL'!A:T,{2,5,6},0),"-")</f>
        <v>STOCK</v>
      </c>
      <c r="F32" s="24" t="str">
        <v>15</v>
      </c>
      <c r="G32" s="24">
        <v>7</v>
      </c>
      <c r="H32" s="13">
        <f>SUMIFS('PP F.G ROLL'!K:K,'PP F.G ROLL'!$A:$A,'PP ROLL STOCK'!$C32)</f>
        <v>17</v>
      </c>
      <c r="I32" s="13">
        <f>SUMIFS('PP F.G ROLL'!N:N,'PP F.G ROLL'!$A:$A,'PP ROLL STOCK'!$C32)</f>
        <v>633.98</v>
      </c>
      <c r="J32" s="13">
        <f>SUMIFS('PP F.G ROLL'!S:S,'PP F.G ROLL'!$A:$A,'PP ROLL STOCK'!$C32)</f>
        <v>24</v>
      </c>
      <c r="K32" s="13">
        <f>SUMIFS('PP F.G ROLL'!T:T,'PP F.G ROLL'!$A:$A,'PP ROLL STOCK'!$C32)</f>
        <v>605.70000000000005</v>
      </c>
      <c r="L32" s="6">
        <f t="shared" si="1"/>
        <v>-7</v>
      </c>
      <c r="M32" s="6">
        <f t="shared" si="2"/>
        <v>28.279999999999973</v>
      </c>
      <c r="N32" s="11" t="str">
        <f>IFERROR(VLOOKUP(C32,'[1]MIX SALE ORDER'!$A:$E,4,),"OTHERS")</f>
        <v>OTHERS</v>
      </c>
      <c r="O32" s="11" t="str">
        <f>VLOOKUP(C32,'PP F.G ROLL'!A:T,4,0)</f>
        <v>PP</v>
      </c>
      <c r="P32" t="e">
        <v>#N/A</v>
      </c>
      <c r="Q32" t="s">
        <v>199</v>
      </c>
      <c r="R32" t="str">
        <f t="shared" si="3"/>
        <v>15/7</v>
      </c>
    </row>
    <row r="33" spans="1:18" x14ac:dyDescent="0.2">
      <c r="A33" s="9" t="s">
        <v>125</v>
      </c>
      <c r="C33" s="5" t="str">
        <f t="shared" si="0"/>
        <v>8/6.5</v>
      </c>
      <c r="D33" s="10">
        <f>_xlfn.MAXIFS('PP F.G ROLL'!J:J,'PP F.G ROLL'!A:A,'PP ROLL STOCK'!C33)</f>
        <v>45870</v>
      </c>
      <c r="E33" s="22" t="str" cm="1">
        <f t="array" ref="E33:G33">IFERROR(VLOOKUP(C33,'PP F.G ROLL'!A:T,{2,5,6},0),"-")</f>
        <v>STOCK</v>
      </c>
      <c r="F33" s="24" t="str">
        <v>8</v>
      </c>
      <c r="G33" s="24">
        <v>6.5</v>
      </c>
      <c r="H33" s="13">
        <f>SUMIFS('PP F.G ROLL'!K:K,'PP F.G ROLL'!$A:$A,'PP ROLL STOCK'!$C33)</f>
        <v>2</v>
      </c>
      <c r="I33" s="13">
        <f>SUMIFS('PP F.G ROLL'!N:N,'PP F.G ROLL'!$A:$A,'PP ROLL STOCK'!$C33)</f>
        <v>271.39999999999998</v>
      </c>
      <c r="J33" s="13">
        <f>SUMIFS('PP F.G ROLL'!S:S,'PP F.G ROLL'!$A:$A,'PP ROLL STOCK'!$C33)</f>
        <v>0</v>
      </c>
      <c r="K33" s="13">
        <f>SUMIFS('PP F.G ROLL'!T:T,'PP F.G ROLL'!$A:$A,'PP ROLL STOCK'!$C33)</f>
        <v>0</v>
      </c>
      <c r="L33" s="6">
        <f t="shared" si="1"/>
        <v>2</v>
      </c>
      <c r="M33" s="6">
        <f t="shared" si="2"/>
        <v>271.39999999999998</v>
      </c>
      <c r="N33" s="11" t="str">
        <f>IFERROR(VLOOKUP(C33,'[1]MIX SALE ORDER'!$A:$E,4,),"OTHERS")</f>
        <v>OTHERS</v>
      </c>
      <c r="O33" s="11" t="str">
        <f>VLOOKUP(C33,'PP F.G ROLL'!A:T,4,0)</f>
        <v>PP</v>
      </c>
      <c r="P33" t="e">
        <v>#N/A</v>
      </c>
      <c r="Q33" t="s">
        <v>199</v>
      </c>
      <c r="R33" t="str">
        <f t="shared" si="3"/>
        <v>8/6.5</v>
      </c>
    </row>
    <row r="34" spans="1:18" x14ac:dyDescent="0.2">
      <c r="A34" s="9" t="s">
        <v>126</v>
      </c>
      <c r="C34" s="5" t="str">
        <f t="shared" ref="C34:C65" si="4">+A34</f>
        <v>18/7</v>
      </c>
      <c r="D34" s="10">
        <f>_xlfn.MAXIFS('PP F.G ROLL'!J:J,'PP F.G ROLL'!A:A,'PP ROLL STOCK'!C34)</f>
        <v>45905</v>
      </c>
      <c r="E34" s="22" t="str" cm="1">
        <f t="array" ref="E34:G34">IFERROR(VLOOKUP(C34,'PP F.G ROLL'!A:T,{2,5,6},0),"-")</f>
        <v>STOCK</v>
      </c>
      <c r="F34" s="24" t="str">
        <v>18</v>
      </c>
      <c r="G34" s="24">
        <v>7</v>
      </c>
      <c r="H34" s="13">
        <f>SUMIFS('PP F.G ROLL'!K:K,'PP F.G ROLL'!$A:$A,'PP ROLL STOCK'!$C34)</f>
        <v>13</v>
      </c>
      <c r="I34" s="13">
        <f>SUMIFS('PP F.G ROLL'!N:N,'PP F.G ROLL'!$A:$A,'PP ROLL STOCK'!$C34)</f>
        <v>309.52</v>
      </c>
      <c r="J34" s="13">
        <f>SUMIFS('PP F.G ROLL'!S:S,'PP F.G ROLL'!$A:$A,'PP ROLL STOCK'!$C34)</f>
        <v>7</v>
      </c>
      <c r="K34" s="13">
        <f>SUMIFS('PP F.G ROLL'!T:T,'PP F.G ROLL'!$A:$A,'PP ROLL STOCK'!$C34)</f>
        <v>287.03000000000003</v>
      </c>
      <c r="L34" s="6">
        <f t="shared" si="1"/>
        <v>6</v>
      </c>
      <c r="M34" s="6">
        <f t="shared" si="2"/>
        <v>22.489999999999952</v>
      </c>
      <c r="N34" s="11" t="str">
        <f>IFERROR(VLOOKUP(C34,'[1]MIX SALE ORDER'!$A:$E,4,),"OTHERS")</f>
        <v>OTHERS</v>
      </c>
      <c r="O34" s="11" t="str">
        <f>VLOOKUP(C34,'PP F.G ROLL'!A:T,4,0)</f>
        <v>PP</v>
      </c>
      <c r="P34" t="e">
        <v>#N/A</v>
      </c>
      <c r="Q34" t="s">
        <v>199</v>
      </c>
      <c r="R34" t="str">
        <f t="shared" si="3"/>
        <v>18/7</v>
      </c>
    </row>
    <row r="35" spans="1:18" x14ac:dyDescent="0.2">
      <c r="A35" s="9" t="s">
        <v>127</v>
      </c>
      <c r="C35" s="5" t="str">
        <f t="shared" si="4"/>
        <v>8/10</v>
      </c>
      <c r="D35" s="10">
        <f>_xlfn.MAXIFS('PP F.G ROLL'!J:J,'PP F.G ROLL'!A:A,'PP ROLL STOCK'!C35)</f>
        <v>45915</v>
      </c>
      <c r="E35" s="22" t="str" cm="1">
        <f t="array" ref="E35:G35">IFERROR(VLOOKUP(C35,'PP F.G ROLL'!A:T,{2,5,6},0),"-")</f>
        <v>STOCK</v>
      </c>
      <c r="F35" s="24" t="str">
        <v>8</v>
      </c>
      <c r="G35" s="24">
        <v>10</v>
      </c>
      <c r="H35" s="13">
        <f>SUMIFS('PP F.G ROLL'!K:K,'PP F.G ROLL'!$A:$A,'PP ROLL STOCK'!$C35)</f>
        <v>7</v>
      </c>
      <c r="I35" s="13">
        <f>SUMIFS('PP F.G ROLL'!N:N,'PP F.G ROLL'!$A:$A,'PP ROLL STOCK'!$C35)</f>
        <v>189.34</v>
      </c>
      <c r="J35" s="13">
        <f>SUMIFS('PP F.G ROLL'!S:S,'PP F.G ROLL'!$A:$A,'PP ROLL STOCK'!$C35)</f>
        <v>6</v>
      </c>
      <c r="K35" s="13">
        <f>SUMIFS('PP F.G ROLL'!T:T,'PP F.G ROLL'!$A:$A,'PP ROLL STOCK'!$C35)</f>
        <v>160.25</v>
      </c>
      <c r="L35" s="6">
        <f t="shared" si="1"/>
        <v>1</v>
      </c>
      <c r="M35" s="6">
        <f t="shared" si="2"/>
        <v>29.090000000000003</v>
      </c>
      <c r="N35" s="11" t="str">
        <f>IFERROR(VLOOKUP(C35,'[1]MIX SALE ORDER'!$A:$E,4,),"OTHERS")</f>
        <v>OTHERS</v>
      </c>
      <c r="O35" s="11" t="str">
        <f>VLOOKUP(C35,'PP F.G ROLL'!A:T,4,0)</f>
        <v>PP</v>
      </c>
      <c r="P35" t="e">
        <v>#N/A</v>
      </c>
      <c r="Q35" t="s">
        <v>199</v>
      </c>
      <c r="R35" t="str">
        <f t="shared" si="3"/>
        <v>8/10</v>
      </c>
    </row>
    <row r="36" spans="1:18" x14ac:dyDescent="0.2">
      <c r="A36" s="9" t="s">
        <v>128</v>
      </c>
      <c r="C36" s="5" t="str">
        <f t="shared" si="4"/>
        <v>9/10</v>
      </c>
      <c r="D36" s="10">
        <f>_xlfn.MAXIFS('PP F.G ROLL'!J:J,'PP F.G ROLL'!A:A,'PP ROLL STOCK'!C36)</f>
        <v>45870</v>
      </c>
      <c r="E36" s="22" t="str" cm="1">
        <f t="array" ref="E36:G36">IFERROR(VLOOKUP(C36,'PP F.G ROLL'!A:T,{2,5,6},0),"-")</f>
        <v>STOCK</v>
      </c>
      <c r="F36" s="24" t="str">
        <v>9</v>
      </c>
      <c r="G36" s="24">
        <v>10</v>
      </c>
      <c r="H36" s="13">
        <f>SUMIFS('PP F.G ROLL'!K:K,'PP F.G ROLL'!$A:$A,'PP ROLL STOCK'!$C36)</f>
        <v>1</v>
      </c>
      <c r="I36" s="13">
        <f>SUMIFS('PP F.G ROLL'!N:N,'PP F.G ROLL'!$A:$A,'PP ROLL STOCK'!$C36)</f>
        <v>30.1</v>
      </c>
      <c r="J36" s="13">
        <f>SUMIFS('PP F.G ROLL'!S:S,'PP F.G ROLL'!$A:$A,'PP ROLL STOCK'!$C36)</f>
        <v>0</v>
      </c>
      <c r="K36" s="13">
        <f>SUMIFS('PP F.G ROLL'!T:T,'PP F.G ROLL'!$A:$A,'PP ROLL STOCK'!$C36)</f>
        <v>0</v>
      </c>
      <c r="L36" s="6">
        <f t="shared" si="1"/>
        <v>1</v>
      </c>
      <c r="M36" s="6">
        <f t="shared" si="2"/>
        <v>30.1</v>
      </c>
      <c r="N36" s="11" t="str">
        <f>IFERROR(VLOOKUP(C36,'[1]MIX SALE ORDER'!$A:$E,4,),"OTHERS")</f>
        <v>OTHERS</v>
      </c>
      <c r="O36" s="11" t="str">
        <f>VLOOKUP(C36,'PP F.G ROLL'!A:T,4,0)</f>
        <v>PP</v>
      </c>
      <c r="P36" t="e">
        <v>#N/A</v>
      </c>
      <c r="Q36" t="s">
        <v>199</v>
      </c>
      <c r="R36" t="str">
        <f t="shared" si="3"/>
        <v>9/10</v>
      </c>
    </row>
    <row r="37" spans="1:18" x14ac:dyDescent="0.2">
      <c r="A37" s="9" t="s">
        <v>129</v>
      </c>
      <c r="C37" s="5" t="str">
        <f t="shared" si="4"/>
        <v>16/7</v>
      </c>
      <c r="D37" s="10">
        <f>_xlfn.MAXIFS('PP F.G ROLL'!J:J,'PP F.G ROLL'!A:A,'PP ROLL STOCK'!C37)</f>
        <v>45870</v>
      </c>
      <c r="E37" s="22" t="str" cm="1">
        <f t="array" ref="E37:G37">IFERROR(VLOOKUP(C37,'PP F.G ROLL'!A:T,{2,5,6},0),"-")</f>
        <v>STOCK</v>
      </c>
      <c r="F37" s="24" t="str">
        <v>16</v>
      </c>
      <c r="G37" s="24">
        <v>7</v>
      </c>
      <c r="H37" s="13">
        <f>SUMIFS('PP F.G ROLL'!K:K,'PP F.G ROLL'!$A:$A,'PP ROLL STOCK'!$C37)</f>
        <v>2</v>
      </c>
      <c r="I37" s="13">
        <f>SUMIFS('PP F.G ROLL'!N:N,'PP F.G ROLL'!$A:$A,'PP ROLL STOCK'!$C37)</f>
        <v>169.8</v>
      </c>
      <c r="J37" s="13">
        <f>SUMIFS('PP F.G ROLL'!S:S,'PP F.G ROLL'!$A:$A,'PP ROLL STOCK'!$C37)</f>
        <v>0</v>
      </c>
      <c r="K37" s="13">
        <f>SUMIFS('PP F.G ROLL'!T:T,'PP F.G ROLL'!$A:$A,'PP ROLL STOCK'!$C37)</f>
        <v>0</v>
      </c>
      <c r="L37" s="6">
        <f t="shared" si="1"/>
        <v>2</v>
      </c>
      <c r="M37" s="6">
        <f t="shared" si="2"/>
        <v>169.8</v>
      </c>
      <c r="N37" s="11" t="str">
        <f>IFERROR(VLOOKUP(C37,'[1]MIX SALE ORDER'!$A:$E,4,),"OTHERS")</f>
        <v>OTHERS</v>
      </c>
      <c r="O37" s="11" t="str">
        <f>VLOOKUP(C37,'PP F.G ROLL'!A:T,4,0)</f>
        <v>PP</v>
      </c>
      <c r="P37" t="str">
        <v>FGPTPPR000038</v>
      </c>
      <c r="Q37" t="s">
        <v>199</v>
      </c>
      <c r="R37" t="str">
        <f t="shared" si="3"/>
        <v>16/7</v>
      </c>
    </row>
    <row r="38" spans="1:18" x14ac:dyDescent="0.2">
      <c r="A38" s="9" t="s">
        <v>130</v>
      </c>
      <c r="C38" s="5" t="str">
        <f t="shared" si="4"/>
        <v>20/12</v>
      </c>
      <c r="D38" s="10">
        <f>_xlfn.MAXIFS('PP F.G ROLL'!J:J,'PP F.G ROLL'!A:A,'PP ROLL STOCK'!C38)</f>
        <v>45870</v>
      </c>
      <c r="E38" s="22" t="str" cm="1">
        <f t="array" ref="E38:G38">IFERROR(VLOOKUP(C38,'PP F.G ROLL'!A:T,{2,5,6},0),"-")</f>
        <v>STOCK</v>
      </c>
      <c r="F38" s="24" t="str">
        <v>20</v>
      </c>
      <c r="G38" s="24">
        <v>12</v>
      </c>
      <c r="H38" s="13">
        <f>SUMIFS('PP F.G ROLL'!K:K,'PP F.G ROLL'!$A:$A,'PP ROLL STOCK'!$C38)</f>
        <v>1</v>
      </c>
      <c r="I38" s="13">
        <f>SUMIFS('PP F.G ROLL'!N:N,'PP F.G ROLL'!$A:$A,'PP ROLL STOCK'!$C38)</f>
        <v>33</v>
      </c>
      <c r="J38" s="13">
        <f>SUMIFS('PP F.G ROLL'!S:S,'PP F.G ROLL'!$A:$A,'PP ROLL STOCK'!$C38)</f>
        <v>0</v>
      </c>
      <c r="K38" s="13">
        <f>SUMIFS('PP F.G ROLL'!T:T,'PP F.G ROLL'!$A:$A,'PP ROLL STOCK'!$C38)</f>
        <v>0</v>
      </c>
      <c r="L38" s="6">
        <f t="shared" si="1"/>
        <v>1</v>
      </c>
      <c r="M38" s="6">
        <f t="shared" si="2"/>
        <v>33</v>
      </c>
      <c r="N38" s="11" t="str">
        <f>IFERROR(VLOOKUP(C38,'[1]MIX SALE ORDER'!$A:$E,4,),"OTHERS")</f>
        <v>OTHERS</v>
      </c>
      <c r="O38" s="11" t="str">
        <f>VLOOKUP(C38,'PP F.G ROLL'!A:T,4,0)</f>
        <v>PP</v>
      </c>
      <c r="P38" t="e">
        <v>#N/A</v>
      </c>
      <c r="Q38" t="s">
        <v>199</v>
      </c>
      <c r="R38" t="str">
        <f t="shared" si="3"/>
        <v>20/12</v>
      </c>
    </row>
    <row r="39" spans="1:18" x14ac:dyDescent="0.2">
      <c r="A39" s="9" t="s">
        <v>131</v>
      </c>
      <c r="C39" s="5" t="str">
        <f t="shared" si="4"/>
        <v>22/15</v>
      </c>
      <c r="D39" s="10">
        <f>_xlfn.MAXIFS('PP F.G ROLL'!J:J,'PP F.G ROLL'!A:A,'PP ROLL STOCK'!C39)</f>
        <v>45870</v>
      </c>
      <c r="E39" s="22" t="str" cm="1">
        <f t="array" ref="E39:G39">IFERROR(VLOOKUP(C39,'PP F.G ROLL'!A:T,{2,5,6},0),"-")</f>
        <v>STOCK</v>
      </c>
      <c r="F39" s="24" t="str">
        <v>22</v>
      </c>
      <c r="G39" s="24">
        <v>15</v>
      </c>
      <c r="H39" s="13">
        <f>SUMIFS('PP F.G ROLL'!K:K,'PP F.G ROLL'!$A:$A,'PP ROLL STOCK'!$C39)</f>
        <v>1</v>
      </c>
      <c r="I39" s="13">
        <f>SUMIFS('PP F.G ROLL'!N:N,'PP F.G ROLL'!$A:$A,'PP ROLL STOCK'!$C39)</f>
        <v>43.8</v>
      </c>
      <c r="J39" s="13">
        <f>SUMIFS('PP F.G ROLL'!S:S,'PP F.G ROLL'!$A:$A,'PP ROLL STOCK'!$C39)</f>
        <v>0</v>
      </c>
      <c r="K39" s="13">
        <f>SUMIFS('PP F.G ROLL'!T:T,'PP F.G ROLL'!$A:$A,'PP ROLL STOCK'!$C39)</f>
        <v>0</v>
      </c>
      <c r="L39" s="6">
        <f t="shared" si="1"/>
        <v>1</v>
      </c>
      <c r="M39" s="6">
        <f t="shared" si="2"/>
        <v>43.8</v>
      </c>
      <c r="N39" s="11" t="str">
        <f>IFERROR(VLOOKUP(C39,'[1]MIX SALE ORDER'!$A:$E,4,),"OTHERS")</f>
        <v>OTHERS</v>
      </c>
      <c r="O39" s="11" t="str">
        <f>VLOOKUP(C39,'PP F.G ROLL'!A:T,4,0)</f>
        <v>PP</v>
      </c>
      <c r="P39" t="e">
        <v>#N/A</v>
      </c>
      <c r="Q39" t="s">
        <v>199</v>
      </c>
      <c r="R39" t="str">
        <f t="shared" si="3"/>
        <v>22/15</v>
      </c>
    </row>
    <row r="40" spans="1:18" x14ac:dyDescent="0.2">
      <c r="A40" s="9" t="s">
        <v>132</v>
      </c>
      <c r="C40" s="5" t="str">
        <f t="shared" si="4"/>
        <v>18/10</v>
      </c>
      <c r="D40" s="10">
        <f>_xlfn.MAXIFS('PP F.G ROLL'!J:J,'PP F.G ROLL'!A:A,'PP ROLL STOCK'!C40)</f>
        <v>45870</v>
      </c>
      <c r="E40" s="22" t="str" cm="1">
        <f t="array" ref="E40:G40">IFERROR(VLOOKUP(C40,'PP F.G ROLL'!A:T,{2,5,6},0),"-")</f>
        <v>STOCK</v>
      </c>
      <c r="F40" s="24" t="str">
        <v>18</v>
      </c>
      <c r="G40" s="24">
        <v>10</v>
      </c>
      <c r="H40" s="13">
        <f>SUMIFS('PP F.G ROLL'!K:K,'PP F.G ROLL'!$A:$A,'PP ROLL STOCK'!$C40)</f>
        <v>2</v>
      </c>
      <c r="I40" s="13">
        <f>SUMIFS('PP F.G ROLL'!N:N,'PP F.G ROLL'!$A:$A,'PP ROLL STOCK'!$C40)</f>
        <v>111.4</v>
      </c>
      <c r="J40" s="13">
        <f>SUMIFS('PP F.G ROLL'!S:S,'PP F.G ROLL'!$A:$A,'PP ROLL STOCK'!$C40)</f>
        <v>0</v>
      </c>
      <c r="K40" s="13">
        <f>SUMIFS('PP F.G ROLL'!T:T,'PP F.G ROLL'!$A:$A,'PP ROLL STOCK'!$C40)</f>
        <v>0</v>
      </c>
      <c r="L40" s="6">
        <f t="shared" si="1"/>
        <v>2</v>
      </c>
      <c r="M40" s="6">
        <f t="shared" si="2"/>
        <v>111.4</v>
      </c>
      <c r="N40" s="11" t="str">
        <f>IFERROR(VLOOKUP(C40,'[1]MIX SALE ORDER'!$A:$E,4,),"OTHERS")</f>
        <v>OTHERS</v>
      </c>
      <c r="O40" s="11" t="str">
        <f>VLOOKUP(C40,'PP F.G ROLL'!A:T,4,0)</f>
        <v>PP</v>
      </c>
      <c r="P40" t="e">
        <v>#N/A</v>
      </c>
      <c r="Q40" t="s">
        <v>199</v>
      </c>
      <c r="R40" t="str">
        <f t="shared" si="3"/>
        <v>18/10</v>
      </c>
    </row>
    <row r="41" spans="1:18" x14ac:dyDescent="0.2">
      <c r="A41" s="9" t="s">
        <v>133</v>
      </c>
      <c r="C41" s="5" t="str">
        <f t="shared" si="4"/>
        <v>7/15</v>
      </c>
      <c r="D41" s="10">
        <f>_xlfn.MAXIFS('PP F.G ROLL'!J:J,'PP F.G ROLL'!A:A,'PP ROLL STOCK'!C41)</f>
        <v>45870</v>
      </c>
      <c r="E41" s="22" t="str" cm="1">
        <f t="array" ref="E41:G41">IFERROR(VLOOKUP(C41,'PP F.G ROLL'!A:T,{2,5,6},0),"-")</f>
        <v>STOCK</v>
      </c>
      <c r="F41" s="24" t="str">
        <v>7</v>
      </c>
      <c r="G41" s="24">
        <v>15</v>
      </c>
      <c r="H41" s="13">
        <f>SUMIFS('PP F.G ROLL'!K:K,'PP F.G ROLL'!$A:$A,'PP ROLL STOCK'!$C41)</f>
        <v>1</v>
      </c>
      <c r="I41" s="13">
        <f>SUMIFS('PP F.G ROLL'!N:N,'PP F.G ROLL'!$A:$A,'PP ROLL STOCK'!$C41)</f>
        <v>19.3</v>
      </c>
      <c r="J41" s="13">
        <f>SUMIFS('PP F.G ROLL'!S:S,'PP F.G ROLL'!$A:$A,'PP ROLL STOCK'!$C41)</f>
        <v>0</v>
      </c>
      <c r="K41" s="13">
        <f>SUMIFS('PP F.G ROLL'!T:T,'PP F.G ROLL'!$A:$A,'PP ROLL STOCK'!$C41)</f>
        <v>0</v>
      </c>
      <c r="L41" s="6">
        <f t="shared" si="1"/>
        <v>1</v>
      </c>
      <c r="M41" s="6">
        <f t="shared" si="2"/>
        <v>19.3</v>
      </c>
      <c r="N41" s="11" t="str">
        <f>IFERROR(VLOOKUP(C41,'[1]MIX SALE ORDER'!$A:$E,4,),"OTHERS")</f>
        <v>OTHERS</v>
      </c>
      <c r="O41" s="11" t="str">
        <f>VLOOKUP(C41,'PP F.G ROLL'!A:T,4,0)</f>
        <v>PP</v>
      </c>
      <c r="P41" t="e">
        <v>#N/A</v>
      </c>
      <c r="Q41" t="s">
        <v>199</v>
      </c>
      <c r="R41" t="str">
        <f t="shared" si="3"/>
        <v>7/15</v>
      </c>
    </row>
    <row r="42" spans="1:18" x14ac:dyDescent="0.2">
      <c r="A42" s="9" t="s">
        <v>134</v>
      </c>
      <c r="C42" s="5" t="str">
        <f t="shared" si="4"/>
        <v>10/5</v>
      </c>
      <c r="D42" s="10">
        <f>_xlfn.MAXIFS('PP F.G ROLL'!J:J,'PP F.G ROLL'!A:A,'PP ROLL STOCK'!C42)</f>
        <v>45930</v>
      </c>
      <c r="E42" s="22" t="str" cm="1">
        <f t="array" ref="E42:G42">IFERROR(VLOOKUP(C42,'PP F.G ROLL'!A:T,{2,5,6},0),"-")</f>
        <v>STOCK</v>
      </c>
      <c r="F42" s="24" t="str">
        <v>10</v>
      </c>
      <c r="G42" s="24">
        <v>5</v>
      </c>
      <c r="H42" s="13">
        <f>SUMIFS('PP F.G ROLL'!K:K,'PP F.G ROLL'!$A:$A,'PP ROLL STOCK'!$C42)</f>
        <v>167</v>
      </c>
      <c r="I42" s="13">
        <f>SUMIFS('PP F.G ROLL'!N:N,'PP F.G ROLL'!$A:$A,'PP ROLL STOCK'!$C42)</f>
        <v>4575</v>
      </c>
      <c r="J42" s="13">
        <f>SUMIFS('PP F.G ROLL'!S:S,'PP F.G ROLL'!$A:$A,'PP ROLL STOCK'!$C42)</f>
        <v>167</v>
      </c>
      <c r="K42" s="13">
        <f>SUMIFS('PP F.G ROLL'!T:T,'PP F.G ROLL'!$A:$A,'PP ROLL STOCK'!$C42)</f>
        <v>4575</v>
      </c>
      <c r="L42" s="6">
        <f t="shared" si="1"/>
        <v>0</v>
      </c>
      <c r="M42" s="6">
        <f t="shared" si="2"/>
        <v>0</v>
      </c>
      <c r="N42" s="11" t="str">
        <f>IFERROR(VLOOKUP(C42,'[1]MIX SALE ORDER'!$A:$E,4,),"OTHERS")</f>
        <v>OTHERS</v>
      </c>
      <c r="O42" s="11" t="str">
        <f>VLOOKUP(C42,'PP F.G ROLL'!A:T,4,0)</f>
        <v>PP</v>
      </c>
      <c r="P42" t="e">
        <v>#N/A</v>
      </c>
      <c r="Q42" t="s">
        <v>199</v>
      </c>
      <c r="R42" t="str">
        <f t="shared" si="3"/>
        <v>10/5</v>
      </c>
    </row>
    <row r="43" spans="1:18" x14ac:dyDescent="0.2">
      <c r="A43" s="9" t="s">
        <v>135</v>
      </c>
      <c r="C43" s="5" t="str">
        <f t="shared" si="4"/>
        <v>9/5</v>
      </c>
      <c r="D43" s="10">
        <f>_xlfn.MAXIFS('PP F.G ROLL'!J:J,'PP F.G ROLL'!A:A,'PP ROLL STOCK'!C43)</f>
        <v>45911</v>
      </c>
      <c r="E43" s="22" t="str" cm="1">
        <f t="array" ref="E43:G43">IFERROR(VLOOKUP(C43,'PP F.G ROLL'!A:T,{2,5,6},0),"-")</f>
        <v>STOCK</v>
      </c>
      <c r="F43" s="24" t="str">
        <v>9</v>
      </c>
      <c r="G43" s="24">
        <v>5</v>
      </c>
      <c r="H43" s="13">
        <f>SUMIFS('PP F.G ROLL'!K:K,'PP F.G ROLL'!$A:$A,'PP ROLL STOCK'!$C43)</f>
        <v>187</v>
      </c>
      <c r="I43" s="13">
        <f>SUMIFS('PP F.G ROLL'!N:N,'PP F.G ROLL'!$A:$A,'PP ROLL STOCK'!$C43)</f>
        <v>4078.9900000000002</v>
      </c>
      <c r="J43" s="13">
        <f>SUMIFS('PP F.G ROLL'!S:S,'PP F.G ROLL'!$A:$A,'PP ROLL STOCK'!$C43)</f>
        <v>151</v>
      </c>
      <c r="K43" s="13">
        <f>SUMIFS('PP F.G ROLL'!T:T,'PP F.G ROLL'!$A:$A,'PP ROLL STOCK'!$C43)</f>
        <v>3775</v>
      </c>
      <c r="L43" s="6">
        <f t="shared" si="1"/>
        <v>36</v>
      </c>
      <c r="M43" s="6">
        <f t="shared" si="2"/>
        <v>303.99000000000024</v>
      </c>
      <c r="N43" s="11" t="str">
        <f>IFERROR(VLOOKUP(C43,'[1]MIX SALE ORDER'!$A:$E,4,),"OTHERS")</f>
        <v>OTHERS</v>
      </c>
      <c r="O43" s="11" t="str">
        <f>VLOOKUP(C43,'PP F.G ROLL'!A:T,4,0)</f>
        <v>PP</v>
      </c>
      <c r="P43" t="str">
        <v>FGPTPPR000004</v>
      </c>
      <c r="Q43" t="s">
        <v>199</v>
      </c>
      <c r="R43" t="str">
        <f t="shared" si="3"/>
        <v>9/5</v>
      </c>
    </row>
    <row r="44" spans="1:18" x14ac:dyDescent="0.2">
      <c r="A44" s="9" t="s">
        <v>136</v>
      </c>
      <c r="C44" s="5" t="str">
        <f t="shared" si="4"/>
        <v>1.5/5.5-6</v>
      </c>
      <c r="D44" s="10">
        <f>_xlfn.MAXIFS('PP F.G ROLL'!J:J,'PP F.G ROLL'!A:A,'PP ROLL STOCK'!C44)</f>
        <v>45870</v>
      </c>
      <c r="E44" s="22" t="str" cm="1">
        <f t="array" ref="E44:G44">IFERROR(VLOOKUP(C44,'PP F.G ROLL'!A:T,{2,5,6},0),"-")</f>
        <v>STOCK</v>
      </c>
      <c r="F44" s="24" t="str">
        <v>1.5</v>
      </c>
      <c r="G44" s="24" t="str">
        <v>5.5-6</v>
      </c>
      <c r="H44" s="13">
        <f>SUMIFS('PP F.G ROLL'!K:K,'PP F.G ROLL'!$A:$A,'PP ROLL STOCK'!$C44)</f>
        <v>7</v>
      </c>
      <c r="I44" s="13">
        <f>SUMIFS('PP F.G ROLL'!N:N,'PP F.G ROLL'!$A:$A,'PP ROLL STOCK'!$C44)</f>
        <v>136.94999999999999</v>
      </c>
      <c r="J44" s="13">
        <f>SUMIFS('PP F.G ROLL'!S:S,'PP F.G ROLL'!$A:$A,'PP ROLL STOCK'!$C44)</f>
        <v>0</v>
      </c>
      <c r="K44" s="13">
        <f>SUMIFS('PP F.G ROLL'!T:T,'PP F.G ROLL'!$A:$A,'PP ROLL STOCK'!$C44)</f>
        <v>0</v>
      </c>
      <c r="L44" s="6">
        <f t="shared" si="1"/>
        <v>7</v>
      </c>
      <c r="M44" s="6">
        <f t="shared" si="2"/>
        <v>136.94999999999999</v>
      </c>
      <c r="N44" s="11" t="str">
        <f>IFERROR(VLOOKUP(C44,'[1]MIX SALE ORDER'!$A:$E,4,),"OTHERS")</f>
        <v>OTHERS</v>
      </c>
      <c r="O44" s="11" t="str">
        <f>VLOOKUP(C44,'PP F.G ROLL'!A:T,4,0)</f>
        <v>PP</v>
      </c>
      <c r="P44" t="e">
        <v>#N/A</v>
      </c>
      <c r="Q44" t="s">
        <v>199</v>
      </c>
      <c r="R44" t="str">
        <f t="shared" si="3"/>
        <v>1.5/5.5-6</v>
      </c>
    </row>
    <row r="45" spans="1:18" x14ac:dyDescent="0.2">
      <c r="A45" s="9" t="s">
        <v>137</v>
      </c>
      <c r="C45" s="5" t="str">
        <f t="shared" si="4"/>
        <v>14/4</v>
      </c>
      <c r="D45" s="10">
        <f>_xlfn.MAXIFS('PP F.G ROLL'!J:J,'PP F.G ROLL'!A:A,'PP ROLL STOCK'!C45)</f>
        <v>45870</v>
      </c>
      <c r="E45" s="22" t="str" cm="1">
        <f t="array" ref="E45:G45">IFERROR(VLOOKUP(C45,'PP F.G ROLL'!A:T,{2,5,6},0),"-")</f>
        <v>STOCK</v>
      </c>
      <c r="F45" s="24" t="str">
        <v>14</v>
      </c>
      <c r="G45" s="24">
        <v>4</v>
      </c>
      <c r="H45" s="13">
        <f>SUMIFS('PP F.G ROLL'!K:K,'PP F.G ROLL'!$A:$A,'PP ROLL STOCK'!$C45)</f>
        <v>17</v>
      </c>
      <c r="I45" s="13">
        <f>SUMIFS('PP F.G ROLL'!N:N,'PP F.G ROLL'!$A:$A,'PP ROLL STOCK'!$C45)</f>
        <v>67.2</v>
      </c>
      <c r="J45" s="13">
        <f>SUMIFS('PP F.G ROLL'!S:S,'PP F.G ROLL'!$A:$A,'PP ROLL STOCK'!$C45)</f>
        <v>0</v>
      </c>
      <c r="K45" s="13">
        <f>SUMIFS('PP F.G ROLL'!T:T,'PP F.G ROLL'!$A:$A,'PP ROLL STOCK'!$C45)</f>
        <v>0</v>
      </c>
      <c r="L45" s="6">
        <f t="shared" si="1"/>
        <v>17</v>
      </c>
      <c r="M45" s="6">
        <f t="shared" si="2"/>
        <v>67.2</v>
      </c>
      <c r="N45" s="11" t="str">
        <f>IFERROR(VLOOKUP(C45,'[1]MIX SALE ORDER'!$A:$E,4,),"OTHERS")</f>
        <v>OTHERS</v>
      </c>
      <c r="O45" s="11" t="str">
        <f>VLOOKUP(C45,'PP F.G ROLL'!A:T,4,0)</f>
        <v>PP</v>
      </c>
      <c r="P45" t="e">
        <v>#N/A</v>
      </c>
      <c r="Q45" t="s">
        <v>199</v>
      </c>
      <c r="R45" t="str">
        <f t="shared" si="3"/>
        <v>14/4</v>
      </c>
    </row>
    <row r="46" spans="1:18" x14ac:dyDescent="0.2">
      <c r="A46" s="9" t="s">
        <v>138</v>
      </c>
      <c r="C46" s="5" t="str">
        <f t="shared" si="4"/>
        <v>16/4</v>
      </c>
      <c r="D46" s="10">
        <f>_xlfn.MAXIFS('PP F.G ROLL'!J:J,'PP F.G ROLL'!A:A,'PP ROLL STOCK'!C46)</f>
        <v>45870</v>
      </c>
      <c r="E46" s="22" t="str" cm="1">
        <f t="array" ref="E46:G46">IFERROR(VLOOKUP(C46,'PP F.G ROLL'!A:T,{2,5,6},0),"-")</f>
        <v>STOCK</v>
      </c>
      <c r="F46" s="24" t="str">
        <v>16</v>
      </c>
      <c r="G46" s="24">
        <v>4</v>
      </c>
      <c r="H46" s="13">
        <f>SUMIFS('PP F.G ROLL'!K:K,'PP F.G ROLL'!$A:$A,'PP ROLL STOCK'!$C46)</f>
        <v>4</v>
      </c>
      <c r="I46" s="13">
        <f>SUMIFS('PP F.G ROLL'!N:N,'PP F.G ROLL'!$A:$A,'PP ROLL STOCK'!$C46)</f>
        <v>30.2</v>
      </c>
      <c r="J46" s="13">
        <f>SUMIFS('PP F.G ROLL'!S:S,'PP F.G ROLL'!$A:$A,'PP ROLL STOCK'!$C46)</f>
        <v>0</v>
      </c>
      <c r="K46" s="13">
        <f>SUMIFS('PP F.G ROLL'!T:T,'PP F.G ROLL'!$A:$A,'PP ROLL STOCK'!$C46)</f>
        <v>0</v>
      </c>
      <c r="L46" s="6">
        <f t="shared" si="1"/>
        <v>4</v>
      </c>
      <c r="M46" s="6">
        <f t="shared" si="2"/>
        <v>30.2</v>
      </c>
      <c r="N46" s="11" t="str">
        <f>IFERROR(VLOOKUP(C46,'[1]MIX SALE ORDER'!$A:$E,4,),"OTHERS")</f>
        <v>OTHERS</v>
      </c>
      <c r="O46" s="11" t="str">
        <f>VLOOKUP(C46,'PP F.G ROLL'!A:T,4,0)</f>
        <v>PP</v>
      </c>
      <c r="P46" t="e">
        <v>#N/A</v>
      </c>
      <c r="Q46" t="s">
        <v>199</v>
      </c>
      <c r="R46" t="str">
        <f t="shared" si="3"/>
        <v>16/4</v>
      </c>
    </row>
    <row r="47" spans="1:18" x14ac:dyDescent="0.2">
      <c r="A47" s="9" t="s">
        <v>139</v>
      </c>
      <c r="C47" s="5" t="str">
        <f t="shared" si="4"/>
        <v>12/4</v>
      </c>
      <c r="D47" s="10">
        <f>_xlfn.MAXIFS('PP F.G ROLL'!J:J,'PP F.G ROLL'!A:A,'PP ROLL STOCK'!C47)</f>
        <v>45912</v>
      </c>
      <c r="E47" s="22" t="str" cm="1">
        <f t="array" ref="E47:G47">IFERROR(VLOOKUP(C47,'PP F.G ROLL'!A:T,{2,5,6},0),"-")</f>
        <v>STOCK</v>
      </c>
      <c r="F47" s="24" t="str">
        <v>12</v>
      </c>
      <c r="G47" s="24">
        <v>4</v>
      </c>
      <c r="H47" s="13">
        <f>SUMIFS('PP F.G ROLL'!K:K,'PP F.G ROLL'!$A:$A,'PP ROLL STOCK'!$C47)</f>
        <v>3</v>
      </c>
      <c r="I47" s="13">
        <f>SUMIFS('PP F.G ROLL'!N:N,'PP F.G ROLL'!$A:$A,'PP ROLL STOCK'!$C47)</f>
        <v>101.48</v>
      </c>
      <c r="J47" s="13">
        <f>SUMIFS('PP F.G ROLL'!S:S,'PP F.G ROLL'!$A:$A,'PP ROLL STOCK'!$C47)</f>
        <v>0</v>
      </c>
      <c r="K47" s="13">
        <f>SUMIFS('PP F.G ROLL'!T:T,'PP F.G ROLL'!$A:$A,'PP ROLL STOCK'!$C47)</f>
        <v>100</v>
      </c>
      <c r="L47" s="6">
        <f t="shared" si="1"/>
        <v>3</v>
      </c>
      <c r="M47" s="6">
        <f t="shared" si="2"/>
        <v>1.480000000000004</v>
      </c>
      <c r="N47" s="11" t="str">
        <f>IFERROR(VLOOKUP(C47,'[1]MIX SALE ORDER'!$A:$E,4,),"OTHERS")</f>
        <v>OTHERS</v>
      </c>
      <c r="O47" s="11" t="str">
        <f>VLOOKUP(C47,'PP F.G ROLL'!A:T,4,0)</f>
        <v>PP</v>
      </c>
      <c r="P47" t="e">
        <v>#N/A</v>
      </c>
      <c r="Q47" t="s">
        <v>199</v>
      </c>
      <c r="R47" t="str">
        <f t="shared" si="3"/>
        <v>12/4</v>
      </c>
    </row>
    <row r="48" spans="1:18" x14ac:dyDescent="0.2">
      <c r="A48" s="9" t="s">
        <v>140</v>
      </c>
      <c r="C48" s="5" t="str">
        <f t="shared" si="4"/>
        <v>26/5</v>
      </c>
      <c r="D48" s="10">
        <f>_xlfn.MAXIFS('PP F.G ROLL'!J:J,'PP F.G ROLL'!A:A,'PP ROLL STOCK'!C48)</f>
        <v>45911</v>
      </c>
      <c r="E48" s="22" t="str" cm="1">
        <f t="array" ref="E48:G48">IFERROR(VLOOKUP(C48,'PP F.G ROLL'!A:T,{2,5,6},0),"-")</f>
        <v>STOCK</v>
      </c>
      <c r="F48" s="24" t="str">
        <v>26</v>
      </c>
      <c r="G48" s="24">
        <v>5</v>
      </c>
      <c r="H48" s="13">
        <f>SUMIFS('PP F.G ROLL'!K:K,'PP F.G ROLL'!$A:$A,'PP ROLL STOCK'!$C48)</f>
        <v>10</v>
      </c>
      <c r="I48" s="13">
        <f>SUMIFS('PP F.G ROLL'!N:N,'PP F.G ROLL'!$A:$A,'PP ROLL STOCK'!$C48)</f>
        <v>547.75</v>
      </c>
      <c r="J48" s="13">
        <f>SUMIFS('PP F.G ROLL'!S:S,'PP F.G ROLL'!$A:$A,'PP ROLL STOCK'!$C48)</f>
        <v>0</v>
      </c>
      <c r="K48" s="13">
        <f>SUMIFS('PP F.G ROLL'!T:T,'PP F.G ROLL'!$A:$A,'PP ROLL STOCK'!$C48)</f>
        <v>0</v>
      </c>
      <c r="L48" s="6">
        <f t="shared" si="1"/>
        <v>10</v>
      </c>
      <c r="M48" s="6">
        <f t="shared" si="2"/>
        <v>547.75</v>
      </c>
      <c r="N48" s="11" t="str">
        <f>IFERROR(VLOOKUP(C48,'[1]MIX SALE ORDER'!$A:$E,4,),"OTHERS")</f>
        <v>OTHERS</v>
      </c>
      <c r="O48" s="11" t="str">
        <f>VLOOKUP(C48,'PP F.G ROLL'!A:T,4,0)</f>
        <v>PP</v>
      </c>
      <c r="P48" t="e">
        <v>#N/A</v>
      </c>
      <c r="Q48" t="s">
        <v>199</v>
      </c>
      <c r="R48" t="str">
        <f t="shared" si="3"/>
        <v>26/5</v>
      </c>
    </row>
    <row r="49" spans="1:18" x14ac:dyDescent="0.2">
      <c r="A49" s="9" t="s">
        <v>141</v>
      </c>
      <c r="C49" s="5" t="str">
        <f t="shared" si="4"/>
        <v>27/5</v>
      </c>
      <c r="D49" s="10">
        <f>_xlfn.MAXIFS('PP F.G ROLL'!J:J,'PP F.G ROLL'!A:A,'PP ROLL STOCK'!C49)</f>
        <v>45870</v>
      </c>
      <c r="E49" s="22" t="str" cm="1">
        <f t="array" ref="E49:G49">IFERROR(VLOOKUP(C49,'PP F.G ROLL'!A:T,{2,5,6},0),"-")</f>
        <v>STOCK</v>
      </c>
      <c r="F49" s="24" t="str">
        <v>27</v>
      </c>
      <c r="G49" s="24">
        <v>5</v>
      </c>
      <c r="H49" s="13">
        <f>SUMIFS('PP F.G ROLL'!K:K,'PP F.G ROLL'!$A:$A,'PP ROLL STOCK'!$C49)</f>
        <v>4</v>
      </c>
      <c r="I49" s="13">
        <f>SUMIFS('PP F.G ROLL'!N:N,'PP F.G ROLL'!$A:$A,'PP ROLL STOCK'!$C49)</f>
        <v>44.2</v>
      </c>
      <c r="J49" s="13">
        <f>SUMIFS('PP F.G ROLL'!S:S,'PP F.G ROLL'!$A:$A,'PP ROLL STOCK'!$C49)</f>
        <v>0</v>
      </c>
      <c r="K49" s="13">
        <f>SUMIFS('PP F.G ROLL'!T:T,'PP F.G ROLL'!$A:$A,'PP ROLL STOCK'!$C49)</f>
        <v>0</v>
      </c>
      <c r="L49" s="6">
        <f t="shared" si="1"/>
        <v>4</v>
      </c>
      <c r="M49" s="6">
        <f t="shared" si="2"/>
        <v>44.2</v>
      </c>
      <c r="N49" s="11" t="str">
        <f>IFERROR(VLOOKUP(C49,'[1]MIX SALE ORDER'!$A:$E,4,),"OTHERS")</f>
        <v>OTHERS</v>
      </c>
      <c r="O49" s="11" t="str">
        <f>VLOOKUP(C49,'PP F.G ROLL'!A:T,4,0)</f>
        <v>PP</v>
      </c>
      <c r="P49" t="e">
        <v>#N/A</v>
      </c>
      <c r="Q49" t="s">
        <v>199</v>
      </c>
      <c r="R49" t="str">
        <f t="shared" si="3"/>
        <v>27/5</v>
      </c>
    </row>
    <row r="50" spans="1:18" x14ac:dyDescent="0.2">
      <c r="A50" s="9" t="s">
        <v>142</v>
      </c>
      <c r="C50" s="5" t="str">
        <f t="shared" si="4"/>
        <v>28/5</v>
      </c>
      <c r="D50" s="10">
        <f>_xlfn.MAXIFS('PP F.G ROLL'!J:J,'PP F.G ROLL'!A:A,'PP ROLL STOCK'!C50)</f>
        <v>45928</v>
      </c>
      <c r="E50" s="22" t="str" cm="1">
        <f t="array" ref="E50:G50">IFERROR(VLOOKUP(C50,'PP F.G ROLL'!A:T,{2,5,6},0),"-")</f>
        <v>STOCK</v>
      </c>
      <c r="F50" s="24" t="str">
        <v>28</v>
      </c>
      <c r="G50" s="24">
        <v>5</v>
      </c>
      <c r="H50" s="13">
        <f>SUMIFS('PP F.G ROLL'!K:K,'PP F.G ROLL'!$A:$A,'PP ROLL STOCK'!$C50)</f>
        <v>20</v>
      </c>
      <c r="I50" s="13">
        <f>SUMIFS('PP F.G ROLL'!N:N,'PP F.G ROLL'!$A:$A,'PP ROLL STOCK'!$C50)</f>
        <v>1123.0700000000002</v>
      </c>
      <c r="J50" s="13">
        <f>SUMIFS('PP F.G ROLL'!S:S,'PP F.G ROLL'!$A:$A,'PP ROLL STOCK'!$C50)</f>
        <v>18</v>
      </c>
      <c r="K50" s="13">
        <f>SUMIFS('PP F.G ROLL'!T:T,'PP F.G ROLL'!$A:$A,'PP ROLL STOCK'!$C50)</f>
        <v>439.2</v>
      </c>
      <c r="L50" s="6">
        <f t="shared" si="1"/>
        <v>2</v>
      </c>
      <c r="M50" s="6">
        <f t="shared" si="2"/>
        <v>683.87000000000012</v>
      </c>
      <c r="N50" s="11" t="str">
        <f>IFERROR(VLOOKUP(C50,'[1]MIX SALE ORDER'!$A:$E,4,),"OTHERS")</f>
        <v>OTHERS</v>
      </c>
      <c r="O50" s="11" t="str">
        <f>VLOOKUP(C50,'PP F.G ROLL'!A:T,4,0)</f>
        <v>PP</v>
      </c>
      <c r="P50" t="e">
        <v>#N/A</v>
      </c>
      <c r="Q50" t="s">
        <v>199</v>
      </c>
      <c r="R50" t="str">
        <f t="shared" si="3"/>
        <v>28/5</v>
      </c>
    </row>
    <row r="51" spans="1:18" x14ac:dyDescent="0.2">
      <c r="A51" s="9" t="s">
        <v>143</v>
      </c>
      <c r="C51" s="5" t="str">
        <f t="shared" si="4"/>
        <v>28/4</v>
      </c>
      <c r="D51" s="10">
        <f>_xlfn.MAXIFS('PP F.G ROLL'!J:J,'PP F.G ROLL'!A:A,'PP ROLL STOCK'!C51)</f>
        <v>45870</v>
      </c>
      <c r="E51" s="22" t="str" cm="1">
        <f t="array" ref="E51:G51">IFERROR(VLOOKUP(C51,'PP F.G ROLL'!A:T,{2,5,6},0),"-")</f>
        <v>STOCK</v>
      </c>
      <c r="F51" s="24" t="str">
        <v>28</v>
      </c>
      <c r="G51" s="24">
        <v>4</v>
      </c>
      <c r="H51" s="13">
        <f>SUMIFS('PP F.G ROLL'!K:K,'PP F.G ROLL'!$A:$A,'PP ROLL STOCK'!$C51)</f>
        <v>1</v>
      </c>
      <c r="I51" s="13">
        <f>SUMIFS('PP F.G ROLL'!N:N,'PP F.G ROLL'!$A:$A,'PP ROLL STOCK'!$C51)</f>
        <v>58.2</v>
      </c>
      <c r="J51" s="13">
        <f>SUMIFS('PP F.G ROLL'!S:S,'PP F.G ROLL'!$A:$A,'PP ROLL STOCK'!$C51)</f>
        <v>0</v>
      </c>
      <c r="K51" s="13">
        <f>SUMIFS('PP F.G ROLL'!T:T,'PP F.G ROLL'!$A:$A,'PP ROLL STOCK'!$C51)</f>
        <v>0</v>
      </c>
      <c r="L51" s="6">
        <f t="shared" si="1"/>
        <v>1</v>
      </c>
      <c r="M51" s="6">
        <f t="shared" si="2"/>
        <v>58.2</v>
      </c>
      <c r="N51" s="11" t="str">
        <f>IFERROR(VLOOKUP(C51,'[1]MIX SALE ORDER'!$A:$E,4,),"OTHERS")</f>
        <v>OTHERS</v>
      </c>
      <c r="O51" s="11" t="str">
        <f>VLOOKUP(C51,'PP F.G ROLL'!A:T,4,0)</f>
        <v>PP</v>
      </c>
      <c r="P51" t="e">
        <v>#N/A</v>
      </c>
      <c r="Q51" t="s">
        <v>199</v>
      </c>
      <c r="R51" t="str">
        <f t="shared" si="3"/>
        <v>28/4</v>
      </c>
    </row>
    <row r="52" spans="1:18" x14ac:dyDescent="0.2">
      <c r="A52" s="9" t="s">
        <v>144</v>
      </c>
      <c r="C52" s="5" t="str">
        <f t="shared" si="4"/>
        <v>27/6</v>
      </c>
      <c r="D52" s="10">
        <f>_xlfn.MAXIFS('PP F.G ROLL'!J:J,'PP F.G ROLL'!A:A,'PP ROLL STOCK'!C52)</f>
        <v>45870</v>
      </c>
      <c r="E52" s="22" t="str" cm="1">
        <f t="array" ref="E52:G52">IFERROR(VLOOKUP(C52,'PP F.G ROLL'!A:T,{2,5,6},0),"-")</f>
        <v>STOCK</v>
      </c>
      <c r="F52" s="24" t="str">
        <v>27</v>
      </c>
      <c r="G52" s="24">
        <v>6</v>
      </c>
      <c r="H52" s="13">
        <f>SUMIFS('PP F.G ROLL'!K:K,'PP F.G ROLL'!$A:$A,'PP ROLL STOCK'!$C52)</f>
        <v>2</v>
      </c>
      <c r="I52" s="13">
        <f>SUMIFS('PP F.G ROLL'!N:N,'PP F.G ROLL'!$A:$A,'PP ROLL STOCK'!$C52)</f>
        <v>110.6</v>
      </c>
      <c r="J52" s="13">
        <f>SUMIFS('PP F.G ROLL'!S:S,'PP F.G ROLL'!$A:$A,'PP ROLL STOCK'!$C52)</f>
        <v>0</v>
      </c>
      <c r="K52" s="13">
        <f>SUMIFS('PP F.G ROLL'!T:T,'PP F.G ROLL'!$A:$A,'PP ROLL STOCK'!$C52)</f>
        <v>0</v>
      </c>
      <c r="L52" s="6">
        <f t="shared" si="1"/>
        <v>2</v>
      </c>
      <c r="M52" s="6">
        <f t="shared" si="2"/>
        <v>110.6</v>
      </c>
      <c r="N52" s="11" t="str">
        <f>IFERROR(VLOOKUP(C52,'[1]MIX SALE ORDER'!$A:$E,4,),"OTHERS")</f>
        <v>OTHERS</v>
      </c>
      <c r="O52" s="11" t="str">
        <f>VLOOKUP(C52,'PP F.G ROLL'!A:T,4,0)</f>
        <v>PP</v>
      </c>
      <c r="P52" t="e">
        <v>#N/A</v>
      </c>
      <c r="Q52" t="s">
        <v>199</v>
      </c>
      <c r="R52" t="str">
        <f t="shared" si="3"/>
        <v>27/6</v>
      </c>
    </row>
    <row r="53" spans="1:18" x14ac:dyDescent="0.2">
      <c r="A53" s="9" t="s">
        <v>145</v>
      </c>
      <c r="C53" s="5" t="str">
        <f t="shared" si="4"/>
        <v>16/6</v>
      </c>
      <c r="D53" s="10">
        <f>_xlfn.MAXIFS('PP F.G ROLL'!J:J,'PP F.G ROLL'!A:A,'PP ROLL STOCK'!C53)</f>
        <v>45870</v>
      </c>
      <c r="E53" s="22" t="str" cm="1">
        <f t="array" ref="E53:G53">IFERROR(VLOOKUP(C53,'PP F.G ROLL'!A:T,{2,5,6},0),"-")</f>
        <v>STOCK</v>
      </c>
      <c r="F53" s="24" t="str">
        <v>16</v>
      </c>
      <c r="G53" s="24">
        <v>6</v>
      </c>
      <c r="H53" s="13">
        <f>SUMIFS('PP F.G ROLL'!K:K,'PP F.G ROLL'!$A:$A,'PP ROLL STOCK'!$C53)</f>
        <v>53</v>
      </c>
      <c r="I53" s="13">
        <f>SUMIFS('PP F.G ROLL'!N:N,'PP F.G ROLL'!$A:$A,'PP ROLL STOCK'!$C53)</f>
        <v>1340</v>
      </c>
      <c r="J53" s="13">
        <f>SUMIFS('PP F.G ROLL'!S:S,'PP F.G ROLL'!$A:$A,'PP ROLL STOCK'!$C53)</f>
        <v>53</v>
      </c>
      <c r="K53" s="13">
        <f>SUMIFS('PP F.G ROLL'!T:T,'PP F.G ROLL'!$A:$A,'PP ROLL STOCK'!$C53)</f>
        <v>1321.4</v>
      </c>
      <c r="L53" s="6">
        <f t="shared" si="1"/>
        <v>0</v>
      </c>
      <c r="M53" s="6">
        <f t="shared" si="2"/>
        <v>18.599999999999909</v>
      </c>
      <c r="N53" s="11" t="str">
        <f>IFERROR(VLOOKUP(C53,'[1]MIX SALE ORDER'!$A:$E,4,),"OTHERS")</f>
        <v>OTHERS</v>
      </c>
      <c r="O53" s="11" t="str">
        <f>VLOOKUP(C53,'PP F.G ROLL'!A:T,4,0)</f>
        <v>PP</v>
      </c>
      <c r="P53" t="str">
        <v>MKM0001</v>
      </c>
      <c r="Q53" t="s">
        <v>199</v>
      </c>
      <c r="R53" t="str">
        <f t="shared" si="3"/>
        <v>16/6</v>
      </c>
    </row>
    <row r="54" spans="1:18" x14ac:dyDescent="0.2">
      <c r="A54" s="9" t="s">
        <v>146</v>
      </c>
      <c r="C54" s="5" t="str">
        <f t="shared" si="4"/>
        <v>14/10-11</v>
      </c>
      <c r="D54" s="10">
        <f>_xlfn.MAXIFS('PP F.G ROLL'!J:J,'PP F.G ROLL'!A:A,'PP ROLL STOCK'!C54)</f>
        <v>45870</v>
      </c>
      <c r="E54" s="22" t="str" cm="1">
        <f t="array" ref="E54:G54">IFERROR(VLOOKUP(C54,'PP F.G ROLL'!A:T,{2,5,6},0),"-")</f>
        <v>STOCK</v>
      </c>
      <c r="F54" s="24" t="str">
        <v>14</v>
      </c>
      <c r="G54" s="24" t="str">
        <v>10-11</v>
      </c>
      <c r="H54" s="13">
        <f>SUMIFS('PP F.G ROLL'!K:K,'PP F.G ROLL'!$A:$A,'PP ROLL STOCK'!$C54)</f>
        <v>1</v>
      </c>
      <c r="I54" s="13">
        <f>SUMIFS('PP F.G ROLL'!N:N,'PP F.G ROLL'!$A:$A,'PP ROLL STOCK'!$C54)</f>
        <v>48.6</v>
      </c>
      <c r="J54" s="13">
        <f>SUMIFS('PP F.G ROLL'!S:S,'PP F.G ROLL'!$A:$A,'PP ROLL STOCK'!$C54)</f>
        <v>0</v>
      </c>
      <c r="K54" s="13">
        <f>SUMIFS('PP F.G ROLL'!T:T,'PP F.G ROLL'!$A:$A,'PP ROLL STOCK'!$C54)</f>
        <v>0</v>
      </c>
      <c r="L54" s="6">
        <f t="shared" si="1"/>
        <v>1</v>
      </c>
      <c r="M54" s="6">
        <f t="shared" si="2"/>
        <v>48.6</v>
      </c>
      <c r="N54" s="11" t="str">
        <f>IFERROR(VLOOKUP(C54,'[1]MIX SALE ORDER'!$A:$E,4,),"OTHERS")</f>
        <v>OTHERS</v>
      </c>
      <c r="O54" s="11" t="str">
        <f>VLOOKUP(C54,'PP F.G ROLL'!A:T,4,0)</f>
        <v>PP</v>
      </c>
      <c r="P54" t="e">
        <v>#N/A</v>
      </c>
      <c r="Q54" t="s">
        <v>199</v>
      </c>
      <c r="R54" t="str">
        <f t="shared" si="3"/>
        <v>14/10-11</v>
      </c>
    </row>
    <row r="55" spans="1:18" x14ac:dyDescent="0.2">
      <c r="A55" s="9" t="s">
        <v>147</v>
      </c>
      <c r="C55" s="5" t="str">
        <f t="shared" si="4"/>
        <v>21/6.5</v>
      </c>
      <c r="D55" s="10">
        <f>_xlfn.MAXIFS('PP F.G ROLL'!J:J,'PP F.G ROLL'!A:A,'PP ROLL STOCK'!C55)</f>
        <v>45870</v>
      </c>
      <c r="E55" s="22" t="str" cm="1">
        <f t="array" ref="E55:G55">IFERROR(VLOOKUP(C55,'PP F.G ROLL'!A:T,{2,5,6},0),"-")</f>
        <v>STOCK</v>
      </c>
      <c r="F55" s="24" t="str">
        <v>21</v>
      </c>
      <c r="G55" s="24">
        <v>6.5</v>
      </c>
      <c r="H55" s="13">
        <f>SUMIFS('PP F.G ROLL'!K:K,'PP F.G ROLL'!$A:$A,'PP ROLL STOCK'!$C55)</f>
        <v>2</v>
      </c>
      <c r="I55" s="13">
        <f>SUMIFS('PP F.G ROLL'!N:N,'PP F.G ROLL'!$A:$A,'PP ROLL STOCK'!$C55)</f>
        <v>108.8</v>
      </c>
      <c r="J55" s="13">
        <f>SUMIFS('PP F.G ROLL'!S:S,'PP F.G ROLL'!$A:$A,'PP ROLL STOCK'!$C55)</f>
        <v>0</v>
      </c>
      <c r="K55" s="13">
        <f>SUMIFS('PP F.G ROLL'!T:T,'PP F.G ROLL'!$A:$A,'PP ROLL STOCK'!$C55)</f>
        <v>0</v>
      </c>
      <c r="L55" s="6">
        <f t="shared" si="1"/>
        <v>2</v>
      </c>
      <c r="M55" s="6">
        <f t="shared" si="2"/>
        <v>108.8</v>
      </c>
      <c r="N55" s="11" t="str">
        <f>IFERROR(VLOOKUP(C55,'[1]MIX SALE ORDER'!$A:$E,4,),"OTHERS")</f>
        <v>OTHERS</v>
      </c>
      <c r="O55" s="11" t="str">
        <f>VLOOKUP(C55,'PP F.G ROLL'!A:T,4,0)</f>
        <v>PP</v>
      </c>
      <c r="P55" t="e">
        <v>#N/A</v>
      </c>
      <c r="Q55" t="s">
        <v>199</v>
      </c>
      <c r="R55" t="str">
        <f t="shared" si="3"/>
        <v>21/6.5</v>
      </c>
    </row>
    <row r="56" spans="1:18" x14ac:dyDescent="0.2">
      <c r="A56" s="9" t="s">
        <v>148</v>
      </c>
      <c r="C56" s="5" t="str">
        <f t="shared" si="4"/>
        <v>23/5</v>
      </c>
      <c r="D56" s="10">
        <f>_xlfn.MAXIFS('PP F.G ROLL'!J:J,'PP F.G ROLL'!A:A,'PP ROLL STOCK'!C56)</f>
        <v>45910</v>
      </c>
      <c r="E56" s="22" t="str" cm="1">
        <f t="array" ref="E56:G56">IFERROR(VLOOKUP(C56,'PP F.G ROLL'!A:T,{2,5,6},0),"-")</f>
        <v>STOCK</v>
      </c>
      <c r="F56" s="24" t="str">
        <v>23</v>
      </c>
      <c r="G56" s="24">
        <v>5</v>
      </c>
      <c r="H56" s="13">
        <f>SUMIFS('PP F.G ROLL'!K:K,'PP F.G ROLL'!$A:$A,'PP ROLL STOCK'!$C56)</f>
        <v>6</v>
      </c>
      <c r="I56" s="13">
        <f>SUMIFS('PP F.G ROLL'!N:N,'PP F.G ROLL'!$A:$A,'PP ROLL STOCK'!$C56)</f>
        <v>270.04000000000002</v>
      </c>
      <c r="J56" s="13">
        <f>SUMIFS('PP F.G ROLL'!S:S,'PP F.G ROLL'!$A:$A,'PP ROLL STOCK'!$C56)</f>
        <v>8</v>
      </c>
      <c r="K56" s="13">
        <f>SUMIFS('PP F.G ROLL'!T:T,'PP F.G ROLL'!$A:$A,'PP ROLL STOCK'!$C56)</f>
        <v>204.9</v>
      </c>
      <c r="L56" s="6">
        <f t="shared" si="1"/>
        <v>-2</v>
      </c>
      <c r="M56" s="6">
        <f t="shared" si="2"/>
        <v>65.140000000000015</v>
      </c>
      <c r="N56" s="11" t="str">
        <f>IFERROR(VLOOKUP(C56,'[1]MIX SALE ORDER'!$A:$E,4,),"OTHERS")</f>
        <v>OTHERS</v>
      </c>
      <c r="O56" s="11" t="str">
        <f>VLOOKUP(C56,'PP F.G ROLL'!A:T,4,0)</f>
        <v>PP</v>
      </c>
      <c r="P56" t="e">
        <v>#N/A</v>
      </c>
      <c r="Q56" t="s">
        <v>199</v>
      </c>
      <c r="R56" t="str">
        <f t="shared" si="3"/>
        <v>23/5</v>
      </c>
    </row>
    <row r="57" spans="1:18" x14ac:dyDescent="0.2">
      <c r="A57" s="9" t="s">
        <v>149</v>
      </c>
      <c r="C57" s="5" t="str">
        <f t="shared" si="4"/>
        <v>8/8</v>
      </c>
      <c r="D57" s="10">
        <f>_xlfn.MAXIFS('PP F.G ROLL'!J:J,'PP F.G ROLL'!A:A,'PP ROLL STOCK'!C57)</f>
        <v>45870</v>
      </c>
      <c r="E57" s="22" t="str" cm="1">
        <f t="array" ref="E57:G57">IFERROR(VLOOKUP(C57,'PP F.G ROLL'!A:T,{2,5,6},0),"-")</f>
        <v>STOCK</v>
      </c>
      <c r="F57" s="24" t="str">
        <v>8</v>
      </c>
      <c r="G57" s="24">
        <v>8</v>
      </c>
      <c r="H57" s="13">
        <f>SUMIFS('PP F.G ROLL'!K:K,'PP F.G ROLL'!$A:$A,'PP ROLL STOCK'!$C57)</f>
        <v>1</v>
      </c>
      <c r="I57" s="13">
        <f>SUMIFS('PP F.G ROLL'!N:N,'PP F.G ROLL'!$A:$A,'PP ROLL STOCK'!$C57)</f>
        <v>33.200000000000003</v>
      </c>
      <c r="J57" s="13">
        <f>SUMIFS('PP F.G ROLL'!S:S,'PP F.G ROLL'!$A:$A,'PP ROLL STOCK'!$C57)</f>
        <v>0</v>
      </c>
      <c r="K57" s="13">
        <f>SUMIFS('PP F.G ROLL'!T:T,'PP F.G ROLL'!$A:$A,'PP ROLL STOCK'!$C57)</f>
        <v>0</v>
      </c>
      <c r="L57" s="6">
        <f t="shared" si="1"/>
        <v>1</v>
      </c>
      <c r="M57" s="6">
        <f t="shared" si="2"/>
        <v>33.200000000000003</v>
      </c>
      <c r="N57" s="11" t="str">
        <f>IFERROR(VLOOKUP(C57,'[1]MIX SALE ORDER'!$A:$E,4,),"OTHERS")</f>
        <v>OTHERS</v>
      </c>
      <c r="O57" s="11" t="str">
        <f>VLOOKUP(C57,'PP F.G ROLL'!A:T,4,0)</f>
        <v>PP</v>
      </c>
      <c r="P57" t="e">
        <v>#N/A</v>
      </c>
      <c r="Q57" t="s">
        <v>199</v>
      </c>
      <c r="R57" t="str">
        <f t="shared" si="3"/>
        <v>8/8</v>
      </c>
    </row>
    <row r="58" spans="1:18" x14ac:dyDescent="0.2">
      <c r="A58" s="9" t="s">
        <v>150</v>
      </c>
      <c r="C58" s="5" t="str">
        <f t="shared" si="4"/>
        <v>5/4.5</v>
      </c>
      <c r="D58" s="10">
        <f>_xlfn.MAXIFS('PP F.G ROLL'!J:J,'PP F.G ROLL'!A:A,'PP ROLL STOCK'!C58)</f>
        <v>45924</v>
      </c>
      <c r="E58" s="22" t="str" cm="1">
        <f t="array" ref="E58:G58">IFERROR(VLOOKUP(C58,'PP F.G ROLL'!A:T,{2,5,6},0),"-")</f>
        <v>STOCK</v>
      </c>
      <c r="F58" s="24" t="str">
        <v>5</v>
      </c>
      <c r="G58" s="24">
        <v>4.5</v>
      </c>
      <c r="H58" s="13">
        <f>SUMIFS('PP F.G ROLL'!K:K,'PP F.G ROLL'!$A:$A,'PP ROLL STOCK'!$C58)</f>
        <v>48</v>
      </c>
      <c r="I58" s="13">
        <f>SUMIFS('PP F.G ROLL'!N:N,'PP F.G ROLL'!$A:$A,'PP ROLL STOCK'!$C58)</f>
        <v>754.94</v>
      </c>
      <c r="J58" s="13">
        <f>SUMIFS('PP F.G ROLL'!S:S,'PP F.G ROLL'!$A:$A,'PP ROLL STOCK'!$C58)</f>
        <v>0</v>
      </c>
      <c r="K58" s="13">
        <f>SUMIFS('PP F.G ROLL'!T:T,'PP F.G ROLL'!$A:$A,'PP ROLL STOCK'!$C58)</f>
        <v>0</v>
      </c>
      <c r="L58" s="6">
        <f t="shared" si="1"/>
        <v>48</v>
      </c>
      <c r="M58" s="6">
        <f t="shared" si="2"/>
        <v>754.94</v>
      </c>
      <c r="N58" s="11" t="str">
        <f>IFERROR(VLOOKUP(C58,'[1]MIX SALE ORDER'!$A:$E,4,),"OTHERS")</f>
        <v>OTHERS</v>
      </c>
      <c r="O58" s="11" t="str">
        <f>VLOOKUP(C58,'PP F.G ROLL'!A:T,4,0)</f>
        <v>PP</v>
      </c>
      <c r="P58" t="e">
        <v>#N/A</v>
      </c>
      <c r="Q58" t="s">
        <v>199</v>
      </c>
      <c r="R58" t="str">
        <f t="shared" si="3"/>
        <v>5/4.5</v>
      </c>
    </row>
    <row r="59" spans="1:18" x14ac:dyDescent="0.2">
      <c r="A59" s="9" t="s">
        <v>151</v>
      </c>
      <c r="C59" s="5" t="str">
        <f t="shared" si="4"/>
        <v>4.5/4.5-5</v>
      </c>
      <c r="D59" s="10">
        <f>_xlfn.MAXIFS('PP F.G ROLL'!J:J,'PP F.G ROLL'!A:A,'PP ROLL STOCK'!C59)</f>
        <v>45870</v>
      </c>
      <c r="E59" s="22" t="str" cm="1">
        <f t="array" ref="E59:G59">IFERROR(VLOOKUP(C59,'PP F.G ROLL'!A:T,{2,5,6},0),"-")</f>
        <v>STOCK</v>
      </c>
      <c r="F59" s="24" t="str">
        <v>4.5</v>
      </c>
      <c r="G59" s="24" t="str">
        <v>4.5-5</v>
      </c>
      <c r="H59" s="13">
        <f>SUMIFS('PP F.G ROLL'!K:K,'PP F.G ROLL'!$A:$A,'PP ROLL STOCK'!$C59)</f>
        <v>6</v>
      </c>
      <c r="I59" s="13">
        <f>SUMIFS('PP F.G ROLL'!N:N,'PP F.G ROLL'!$A:$A,'PP ROLL STOCK'!$C59)</f>
        <v>60</v>
      </c>
      <c r="J59" s="13">
        <f>SUMIFS('PP F.G ROLL'!S:S,'PP F.G ROLL'!$A:$A,'PP ROLL STOCK'!$C59)</f>
        <v>0</v>
      </c>
      <c r="K59" s="13">
        <f>SUMIFS('PP F.G ROLL'!T:T,'PP F.G ROLL'!$A:$A,'PP ROLL STOCK'!$C59)</f>
        <v>0</v>
      </c>
      <c r="L59" s="6">
        <f t="shared" si="1"/>
        <v>6</v>
      </c>
      <c r="M59" s="6">
        <f t="shared" si="2"/>
        <v>60</v>
      </c>
      <c r="N59" s="11" t="str">
        <f>IFERROR(VLOOKUP(C59,'[1]MIX SALE ORDER'!$A:$E,4,),"OTHERS")</f>
        <v>OTHERS</v>
      </c>
      <c r="O59" s="11" t="str">
        <f>VLOOKUP(C59,'PP F.G ROLL'!A:T,4,0)</f>
        <v>PP</v>
      </c>
      <c r="P59" t="e">
        <v>#N/A</v>
      </c>
      <c r="Q59" t="s">
        <v>199</v>
      </c>
      <c r="R59" t="str">
        <f t="shared" si="3"/>
        <v>4.5/4.5-5</v>
      </c>
    </row>
    <row r="60" spans="1:18" x14ac:dyDescent="0.2">
      <c r="A60" s="9" t="s">
        <v>152</v>
      </c>
      <c r="C60" s="5" t="str">
        <f t="shared" si="4"/>
        <v>3.5/5.5-6</v>
      </c>
      <c r="D60" s="10">
        <f>_xlfn.MAXIFS('PP F.G ROLL'!J:J,'PP F.G ROLL'!A:A,'PP ROLL STOCK'!C60)</f>
        <v>45919</v>
      </c>
      <c r="E60" s="22" t="str" cm="1">
        <f t="array" ref="E60:G60">IFERROR(VLOOKUP(C60,'PP F.G ROLL'!A:T,{2,5,6},0),"-")</f>
        <v>جیلانی پولی سٹاک</v>
      </c>
      <c r="F60" s="24">
        <v>3.5</v>
      </c>
      <c r="G60" s="24" t="str">
        <v>5.5-6</v>
      </c>
      <c r="H60" s="13">
        <f>SUMIFS('PP F.G ROLL'!K:K,'PP F.G ROLL'!$A:$A,'PP ROLL STOCK'!$C60)</f>
        <v>79</v>
      </c>
      <c r="I60" s="13">
        <f>SUMIFS('PP F.G ROLL'!N:N,'PP F.G ROLL'!$A:$A,'PP ROLL STOCK'!$C60)</f>
        <v>1091.6500000000001</v>
      </c>
      <c r="J60" s="13">
        <f>SUMIFS('PP F.G ROLL'!S:S,'PP F.G ROLL'!$A:$A,'PP ROLL STOCK'!$C60)</f>
        <v>0</v>
      </c>
      <c r="K60" s="13">
        <f>SUMIFS('PP F.G ROLL'!T:T,'PP F.G ROLL'!$A:$A,'PP ROLL STOCK'!$C60)</f>
        <v>0</v>
      </c>
      <c r="L60" s="6">
        <f t="shared" si="1"/>
        <v>79</v>
      </c>
      <c r="M60" s="6">
        <f t="shared" si="2"/>
        <v>1091.6500000000001</v>
      </c>
      <c r="N60" s="11" t="str">
        <f>IFERROR(VLOOKUP(C60,'[1]MIX SALE ORDER'!$A:$E,4,),"OTHERS")</f>
        <v>OTHERS</v>
      </c>
      <c r="O60" s="11" t="str">
        <f>VLOOKUP(C60,'PP F.G ROLL'!A:T,4,0)</f>
        <v>PP</v>
      </c>
      <c r="P60" t="e">
        <v>#N/A</v>
      </c>
      <c r="Q60" t="s">
        <v>199</v>
      </c>
      <c r="R60" t="str">
        <f t="shared" si="3"/>
        <v>3.5/5.5-6</v>
      </c>
    </row>
    <row r="61" spans="1:18" x14ac:dyDescent="0.2">
      <c r="A61" s="9" t="s">
        <v>153</v>
      </c>
      <c r="C61" s="5" t="str">
        <f t="shared" si="4"/>
        <v>20/6</v>
      </c>
      <c r="D61" s="10">
        <f>_xlfn.MAXIFS('PP F.G ROLL'!J:J,'PP F.G ROLL'!A:A,'PP ROLL STOCK'!C61)</f>
        <v>45902</v>
      </c>
      <c r="E61" s="22" t="str" cm="1">
        <f t="array" ref="E61:G61">IFERROR(VLOOKUP(C61,'PP F.G ROLL'!A:T,{2,5,6},0),"-")</f>
        <v>العمر پلاسٹک گوجرانوالہ</v>
      </c>
      <c r="F61" s="24">
        <v>20</v>
      </c>
      <c r="G61" s="24">
        <v>6</v>
      </c>
      <c r="H61" s="13">
        <f>SUMIFS('PP F.G ROLL'!K:K,'PP F.G ROLL'!$A:$A,'PP ROLL STOCK'!$C61)</f>
        <v>42</v>
      </c>
      <c r="I61" s="13">
        <f>SUMIFS('PP F.G ROLL'!N:N,'PP F.G ROLL'!$A:$A,'PP ROLL STOCK'!$C61)</f>
        <v>1067.9000000000001</v>
      </c>
      <c r="J61" s="13">
        <f>SUMIFS('PP F.G ROLL'!S:S,'PP F.G ROLL'!$A:$A,'PP ROLL STOCK'!$C61)</f>
        <v>42</v>
      </c>
      <c r="K61" s="13">
        <f>SUMIFS('PP F.G ROLL'!T:T,'PP F.G ROLL'!$A:$A,'PP ROLL STOCK'!$C61)</f>
        <v>1067.9000000000001</v>
      </c>
      <c r="L61" s="6">
        <f t="shared" si="1"/>
        <v>0</v>
      </c>
      <c r="M61" s="6">
        <f t="shared" si="2"/>
        <v>0</v>
      </c>
      <c r="N61" s="11" t="str">
        <f>IFERROR(VLOOKUP(C61,'[1]MIX SALE ORDER'!$A:$E,4,),"OTHERS")</f>
        <v>OTHERS</v>
      </c>
      <c r="O61" s="11" t="str">
        <f>VLOOKUP(C61,'PP F.G ROLL'!A:T,4,0)</f>
        <v>PP</v>
      </c>
      <c r="P61" t="e">
        <v>#N/A</v>
      </c>
      <c r="Q61" t="s">
        <v>199</v>
      </c>
      <c r="R61" t="str">
        <f t="shared" si="3"/>
        <v>20/6</v>
      </c>
    </row>
    <row r="62" spans="1:18" x14ac:dyDescent="0.2">
      <c r="A62" s="9" t="s">
        <v>154</v>
      </c>
      <c r="C62" s="5" t="str">
        <f t="shared" si="4"/>
        <v>10/8</v>
      </c>
      <c r="D62" s="10">
        <f>_xlfn.MAXIFS('PP F.G ROLL'!J:J,'PP F.G ROLL'!A:A,'PP ROLL STOCK'!C62)</f>
        <v>45927</v>
      </c>
      <c r="E62" s="22" t="str" cm="1">
        <f t="array" ref="E62:G62">IFERROR(VLOOKUP(C62,'PP F.G ROLL'!A:T,{2,5,6},0),"-")</f>
        <v>بلال ازعظم مال کینٹ</v>
      </c>
      <c r="F62" s="24">
        <v>10</v>
      </c>
      <c r="G62" s="24">
        <v>8</v>
      </c>
      <c r="H62" s="13">
        <f>SUMIFS('PP F.G ROLL'!K:K,'PP F.G ROLL'!$A:$A,'PP ROLL STOCK'!$C62)</f>
        <v>8</v>
      </c>
      <c r="I62" s="13">
        <f>SUMIFS('PP F.G ROLL'!N:N,'PP F.G ROLL'!$A:$A,'PP ROLL STOCK'!$C62)</f>
        <v>225.85999999999999</v>
      </c>
      <c r="J62" s="13">
        <f>SUMIFS('PP F.G ROLL'!S:S,'PP F.G ROLL'!$A:$A,'PP ROLL STOCK'!$C62)</f>
        <v>8</v>
      </c>
      <c r="K62" s="13">
        <f>SUMIFS('PP F.G ROLL'!T:T,'PP F.G ROLL'!$A:$A,'PP ROLL STOCK'!$C62)</f>
        <v>221.2</v>
      </c>
      <c r="L62" s="6">
        <f t="shared" si="1"/>
        <v>0</v>
      </c>
      <c r="M62" s="6">
        <f t="shared" si="2"/>
        <v>4.6599999999999966</v>
      </c>
      <c r="N62" s="11" t="str">
        <f>IFERROR(VLOOKUP(C62,'[1]MIX SALE ORDER'!$A:$E,4,),"OTHERS")</f>
        <v>OTHERS</v>
      </c>
      <c r="O62" s="11" t="str">
        <f>VLOOKUP(C62,'PP F.G ROLL'!A:T,4,0)</f>
        <v>PP</v>
      </c>
      <c r="P62" t="e">
        <v>#N/A</v>
      </c>
      <c r="Q62" t="s">
        <v>199</v>
      </c>
      <c r="R62" t="str">
        <f t="shared" si="3"/>
        <v>10/8</v>
      </c>
    </row>
    <row r="63" spans="1:18" x14ac:dyDescent="0.2">
      <c r="A63" s="9" t="s">
        <v>155</v>
      </c>
      <c r="C63" s="5" t="str">
        <f t="shared" si="4"/>
        <v>22/6</v>
      </c>
      <c r="D63" s="10">
        <f>_xlfn.MAXIFS('PP F.G ROLL'!J:J,'PP F.G ROLL'!A:A,'PP ROLL STOCK'!C63)</f>
        <v>45870</v>
      </c>
      <c r="E63" s="22" t="str" cm="1">
        <f t="array" ref="E63:G63">IFERROR(VLOOKUP(C63,'PP F.G ROLL'!A:T,{2,5,6},0),"-")</f>
        <v>STOCK</v>
      </c>
      <c r="F63" s="24" t="str">
        <v>22</v>
      </c>
      <c r="G63" s="24">
        <v>6</v>
      </c>
      <c r="H63" s="13">
        <f>SUMIFS('PP F.G ROLL'!K:K,'PP F.G ROLL'!$A:$A,'PP ROLL STOCK'!$C63)</f>
        <v>10</v>
      </c>
      <c r="I63" s="13">
        <f>SUMIFS('PP F.G ROLL'!N:N,'PP F.G ROLL'!$A:$A,'PP ROLL STOCK'!$C63)</f>
        <v>266.89999999999998</v>
      </c>
      <c r="J63" s="13">
        <f>SUMIFS('PP F.G ROLL'!S:S,'PP F.G ROLL'!$A:$A,'PP ROLL STOCK'!$C63)</f>
        <v>10</v>
      </c>
      <c r="K63" s="13">
        <f>SUMIFS('PP F.G ROLL'!T:T,'PP F.G ROLL'!$A:$A,'PP ROLL STOCK'!$C63)</f>
        <v>251.3</v>
      </c>
      <c r="L63" s="6">
        <f t="shared" si="1"/>
        <v>0</v>
      </c>
      <c r="M63" s="6">
        <f t="shared" si="2"/>
        <v>15.599999999999966</v>
      </c>
      <c r="N63" s="11" t="str">
        <f>IFERROR(VLOOKUP(C63,'[1]MIX SALE ORDER'!$A:$E,4,),"OTHERS")</f>
        <v>OTHERS</v>
      </c>
      <c r="O63" s="11" t="str">
        <f>VLOOKUP(C63,'PP F.G ROLL'!A:T,4,0)</f>
        <v>PP</v>
      </c>
      <c r="P63" t="str">
        <v>MKM0904</v>
      </c>
      <c r="Q63" t="s">
        <v>199</v>
      </c>
      <c r="R63" t="str">
        <f t="shared" si="3"/>
        <v>22/6</v>
      </c>
    </row>
    <row r="64" spans="1:18" x14ac:dyDescent="0.2">
      <c r="A64" s="9" t="s">
        <v>156</v>
      </c>
      <c r="C64" s="5" t="str">
        <f t="shared" si="4"/>
        <v>4/5</v>
      </c>
      <c r="D64" s="10">
        <f>_xlfn.MAXIFS('PP F.G ROLL'!J:J,'PP F.G ROLL'!A:A,'PP ROLL STOCK'!C64)</f>
        <v>45930</v>
      </c>
      <c r="E64" s="22" t="str" cm="1">
        <f t="array" ref="E64:G64">IFERROR(VLOOKUP(C64,'PP F.G ROLL'!A:T,{2,5,6},0),"-")</f>
        <v>STOCK</v>
      </c>
      <c r="F64" s="24" t="str">
        <v>4</v>
      </c>
      <c r="G64" s="24">
        <v>5</v>
      </c>
      <c r="H64" s="13">
        <f>SUMIFS('PP F.G ROLL'!K:K,'PP F.G ROLL'!$A:$A,'PP ROLL STOCK'!$C64)</f>
        <v>172</v>
      </c>
      <c r="I64" s="13">
        <f>SUMIFS('PP F.G ROLL'!N:N,'PP F.G ROLL'!$A:$A,'PP ROLL STOCK'!$C64)</f>
        <v>3680.19</v>
      </c>
      <c r="J64" s="13">
        <f>SUMIFS('PP F.G ROLL'!S:S,'PP F.G ROLL'!$A:$A,'PP ROLL STOCK'!$C64)</f>
        <v>172</v>
      </c>
      <c r="K64" s="13">
        <f>SUMIFS('PP F.G ROLL'!T:T,'PP F.G ROLL'!$A:$A,'PP ROLL STOCK'!$C64)</f>
        <v>3680.19</v>
      </c>
      <c r="L64" s="6">
        <f t="shared" si="1"/>
        <v>0</v>
      </c>
      <c r="M64" s="6">
        <f t="shared" si="2"/>
        <v>0</v>
      </c>
      <c r="N64" s="11" t="str">
        <f>IFERROR(VLOOKUP(C64,'[1]MIX SALE ORDER'!$A:$E,4,),"OTHERS")</f>
        <v>OTHERS</v>
      </c>
      <c r="O64" s="11" t="str">
        <f>VLOOKUP(C64,'PP F.G ROLL'!A:T,4,0)</f>
        <v>PP</v>
      </c>
      <c r="P64" t="str">
        <v>FGPTPPR000027</v>
      </c>
      <c r="Q64" t="s">
        <v>199</v>
      </c>
      <c r="R64" t="str">
        <f t="shared" si="3"/>
        <v>4/5</v>
      </c>
    </row>
    <row r="65" spans="1:18" x14ac:dyDescent="0.2">
      <c r="A65" s="9" t="s">
        <v>157</v>
      </c>
      <c r="C65" s="5" t="str">
        <f t="shared" si="4"/>
        <v>2.5/5</v>
      </c>
      <c r="D65" s="10">
        <f>_xlfn.MAXIFS('PP F.G ROLL'!J:J,'PP F.G ROLL'!A:A,'PP ROLL STOCK'!C65)</f>
        <v>45930</v>
      </c>
      <c r="E65" s="22" t="str" cm="1">
        <f t="array" ref="E65:G65">IFERROR(VLOOKUP(C65,'PP F.G ROLL'!A:T,{2,5,6},0),"-")</f>
        <v>STOCK</v>
      </c>
      <c r="F65" s="24" t="str">
        <v>2.5</v>
      </c>
      <c r="G65" s="24">
        <v>5</v>
      </c>
      <c r="H65" s="13">
        <f>SUMIFS('PP F.G ROLL'!K:K,'PP F.G ROLL'!$A:$A,'PP ROLL STOCK'!$C65)</f>
        <v>120</v>
      </c>
      <c r="I65" s="13">
        <f>SUMIFS('PP F.G ROLL'!N:N,'PP F.G ROLL'!$A:$A,'PP ROLL STOCK'!$C65)</f>
        <v>2870.72</v>
      </c>
      <c r="J65" s="13">
        <f>SUMIFS('PP F.G ROLL'!S:S,'PP F.G ROLL'!$A:$A,'PP ROLL STOCK'!$C65)</f>
        <v>120</v>
      </c>
      <c r="K65" s="13">
        <f>SUMIFS('PP F.G ROLL'!T:T,'PP F.G ROLL'!$A:$A,'PP ROLL STOCK'!$C65)</f>
        <v>2870.72</v>
      </c>
      <c r="L65" s="6">
        <f t="shared" si="1"/>
        <v>0</v>
      </c>
      <c r="M65" s="6">
        <f t="shared" si="2"/>
        <v>0</v>
      </c>
      <c r="N65" s="11" t="str">
        <f>IFERROR(VLOOKUP(C65,'[1]MIX SALE ORDER'!$A:$E,4,),"OTHERS")</f>
        <v>OTHERS</v>
      </c>
      <c r="O65" s="11" t="str">
        <f>VLOOKUP(C65,'PP F.G ROLL'!A:T,4,0)</f>
        <v>PP</v>
      </c>
      <c r="P65" t="str">
        <v>FGPTPPR000026</v>
      </c>
      <c r="Q65" t="s">
        <v>199</v>
      </c>
      <c r="R65" t="str">
        <f t="shared" si="3"/>
        <v>2.5/5</v>
      </c>
    </row>
    <row r="66" spans="1:18" x14ac:dyDescent="0.2">
      <c r="A66" s="9" t="s">
        <v>158</v>
      </c>
      <c r="C66" s="5" t="str">
        <f t="shared" ref="C66:C75" si="5">+A66</f>
        <v>11/7</v>
      </c>
      <c r="D66" s="10">
        <f>_xlfn.MAXIFS('PP F.G ROLL'!J:J,'PP F.G ROLL'!A:A,'PP ROLL STOCK'!C66)</f>
        <v>45927</v>
      </c>
      <c r="E66" s="22" t="str" cm="1">
        <f t="array" ref="E66:G66">IFERROR(VLOOKUP(C66,'PP F.G ROLL'!A:T,{2,5,6},0),"-")</f>
        <v>STOCK</v>
      </c>
      <c r="F66" s="24" t="str">
        <v>11</v>
      </c>
      <c r="G66" s="24">
        <v>7</v>
      </c>
      <c r="H66" s="13">
        <f>SUMIFS('PP F.G ROLL'!K:K,'PP F.G ROLL'!$A:$A,'PP ROLL STOCK'!$C66)</f>
        <v>6</v>
      </c>
      <c r="I66" s="13">
        <f>SUMIFS('PP F.G ROLL'!N:N,'PP F.G ROLL'!$A:$A,'PP ROLL STOCK'!$C66)</f>
        <v>202.54</v>
      </c>
      <c r="J66" s="13">
        <f>SUMIFS('PP F.G ROLL'!S:S,'PP F.G ROLL'!$A:$A,'PP ROLL STOCK'!$C66)</f>
        <v>4</v>
      </c>
      <c r="K66" s="13">
        <f>SUMIFS('PP F.G ROLL'!T:T,'PP F.G ROLL'!$A:$A,'PP ROLL STOCK'!$C66)</f>
        <v>92.9</v>
      </c>
      <c r="L66" s="6">
        <f t="shared" si="1"/>
        <v>2</v>
      </c>
      <c r="M66" s="6">
        <f t="shared" si="2"/>
        <v>109.63999999999999</v>
      </c>
      <c r="N66" s="11" t="str">
        <f>IFERROR(VLOOKUP(C66,'[1]MIX SALE ORDER'!$A:$E,4,),"OTHERS")</f>
        <v>OTHERS</v>
      </c>
      <c r="O66" s="11" t="str">
        <f>VLOOKUP(C66,'PP F.G ROLL'!A:T,4,0)</f>
        <v>PP</v>
      </c>
      <c r="P66" t="e">
        <v>#N/A</v>
      </c>
      <c r="Q66" t="s">
        <v>199</v>
      </c>
      <c r="R66" t="str">
        <f t="shared" si="3"/>
        <v>11/7</v>
      </c>
    </row>
    <row r="67" spans="1:18" x14ac:dyDescent="0.2">
      <c r="A67" s="9" t="s">
        <v>159</v>
      </c>
      <c r="C67" s="5" t="str">
        <f t="shared" si="5"/>
        <v>13/7</v>
      </c>
      <c r="D67" s="10">
        <f>_xlfn.MAXIFS('PP F.G ROLL'!J:J,'PP F.G ROLL'!A:A,'PP ROLL STOCK'!C67)</f>
        <v>45920</v>
      </c>
      <c r="E67" s="22" t="str" cm="1">
        <f t="array" ref="E67:G67">IFERROR(VLOOKUP(C67,'PP F.G ROLL'!A:T,{2,5,6},0),"-")</f>
        <v>STOCK</v>
      </c>
      <c r="F67" s="24" t="str">
        <v>13</v>
      </c>
      <c r="G67" s="24">
        <v>7</v>
      </c>
      <c r="H67" s="13">
        <f>SUMIFS('PP F.G ROLL'!K:K,'PP F.G ROLL'!$A:$A,'PP ROLL STOCK'!$C67)</f>
        <v>15</v>
      </c>
      <c r="I67" s="13">
        <f>SUMIFS('PP F.G ROLL'!N:N,'PP F.G ROLL'!$A:$A,'PP ROLL STOCK'!$C67)</f>
        <v>654.04</v>
      </c>
      <c r="J67" s="13">
        <f>SUMIFS('PP F.G ROLL'!S:S,'PP F.G ROLL'!$A:$A,'PP ROLL STOCK'!$C67)</f>
        <v>25</v>
      </c>
      <c r="K67" s="13">
        <f>SUMIFS('PP F.G ROLL'!T:T,'PP F.G ROLL'!$A:$A,'PP ROLL STOCK'!$C67)</f>
        <v>605.20000000000005</v>
      </c>
      <c r="L67" s="6">
        <f t="shared" ref="L67:L75" si="6">+H67-J67</f>
        <v>-10</v>
      </c>
      <c r="M67" s="6">
        <f t="shared" ref="M67:M75" si="7">+I67-K67</f>
        <v>48.839999999999918</v>
      </c>
      <c r="N67" s="11" t="str">
        <f>IFERROR(VLOOKUP(C67,'[1]MIX SALE ORDER'!$A:$E,4,),"OTHERS")</f>
        <v>OTHERS</v>
      </c>
      <c r="O67" s="11" t="str">
        <f>VLOOKUP(C67,'PP F.G ROLL'!A:T,4,0)</f>
        <v>PP</v>
      </c>
      <c r="P67" t="e">
        <v>#N/A</v>
      </c>
      <c r="Q67" t="s">
        <v>199</v>
      </c>
      <c r="R67" t="str">
        <f t="shared" ref="R67:R97" si="8">CONCATENATE(F67,Q67,G67,)</f>
        <v>13/7</v>
      </c>
    </row>
    <row r="68" spans="1:18" x14ac:dyDescent="0.2">
      <c r="A68" s="9" t="s">
        <v>175</v>
      </c>
      <c r="C68" s="5" t="str">
        <f t="shared" si="5"/>
        <v>4.5/5</v>
      </c>
      <c r="D68" s="10">
        <f>_xlfn.MAXIFS('PP F.G ROLL'!J:J,'PP F.G ROLL'!A:A,'PP ROLL STOCK'!C68)</f>
        <v>45930</v>
      </c>
      <c r="E68" s="22" t="str" cm="1">
        <f t="array" ref="E68:G68">IFERROR(VLOOKUP(C68,'PP F.G ROLL'!A:T,{2,5,6},0),"-")</f>
        <v>بلال سویاں سرگودھا</v>
      </c>
      <c r="F68" s="24">
        <v>4.5</v>
      </c>
      <c r="G68" s="24">
        <v>5</v>
      </c>
      <c r="H68" s="13">
        <f>SUMIFS('PP F.G ROLL'!K:K,'PP F.G ROLL'!$A:$A,'PP ROLL STOCK'!$C68)</f>
        <v>10</v>
      </c>
      <c r="I68" s="13">
        <f>SUMIFS('PP F.G ROLL'!N:N,'PP F.G ROLL'!$A:$A,'PP ROLL STOCK'!$C68)</f>
        <v>217</v>
      </c>
      <c r="J68" s="13">
        <f>SUMIFS('PP F.G ROLL'!S:S,'PP F.G ROLL'!$A:$A,'PP ROLL STOCK'!$C68)</f>
        <v>10</v>
      </c>
      <c r="K68" s="13">
        <f>SUMIFS('PP F.G ROLL'!T:T,'PP F.G ROLL'!$A:$A,'PP ROLL STOCK'!$C68)</f>
        <v>217</v>
      </c>
      <c r="L68" s="6">
        <f t="shared" si="6"/>
        <v>0</v>
      </c>
      <c r="M68" s="6">
        <f t="shared" si="7"/>
        <v>0</v>
      </c>
      <c r="N68" s="11" t="str">
        <f>IFERROR(VLOOKUP(C68,'[1]MIX SALE ORDER'!$A:$E,4,),"OTHERS")</f>
        <v>OTHERS</v>
      </c>
      <c r="O68" s="11" t="str">
        <f>VLOOKUP(C68,'PP F.G ROLL'!A:T,4,0)</f>
        <v>PP</v>
      </c>
      <c r="P68" t="e">
        <v>#N/A</v>
      </c>
      <c r="Q68" t="s">
        <v>199</v>
      </c>
      <c r="R68" t="str">
        <f t="shared" si="8"/>
        <v>4.5/5</v>
      </c>
    </row>
    <row r="69" spans="1:18" x14ac:dyDescent="0.2">
      <c r="A69" s="9" t="s">
        <v>176</v>
      </c>
      <c r="C69" s="5" t="str">
        <f t="shared" si="5"/>
        <v>3.5/4.5</v>
      </c>
      <c r="D69" s="10">
        <f>_xlfn.MAXIFS('PP F.G ROLL'!J:J,'PP F.G ROLL'!A:A,'PP ROLL STOCK'!C69)</f>
        <v>45918</v>
      </c>
      <c r="E69" s="22" t="str" cm="1">
        <f t="array" ref="E69:G69">IFERROR(VLOOKUP(C69,'PP F.G ROLL'!A:T,{2,5,6},0),"-")</f>
        <v>اصف پلاسٹک سرگودھا</v>
      </c>
      <c r="F69" s="24">
        <v>3.5</v>
      </c>
      <c r="G69" s="24">
        <v>4.5</v>
      </c>
      <c r="H69" s="13">
        <f>SUMIFS('PP F.G ROLL'!K:K,'PP F.G ROLL'!$A:$A,'PP ROLL STOCK'!$C69)</f>
        <v>40</v>
      </c>
      <c r="I69" s="13">
        <f>SUMIFS('PP F.G ROLL'!N:N,'PP F.G ROLL'!$A:$A,'PP ROLL STOCK'!$C69)</f>
        <v>517.66999999999996</v>
      </c>
      <c r="J69" s="13">
        <f>SUMIFS('PP F.G ROLL'!S:S,'PP F.G ROLL'!$A:$A,'PP ROLL STOCK'!$C69)</f>
        <v>15</v>
      </c>
      <c r="K69" s="13">
        <f>SUMIFS('PP F.G ROLL'!T:T,'PP F.G ROLL'!$A:$A,'PP ROLL STOCK'!$C69)</f>
        <v>320.89999999999998</v>
      </c>
      <c r="L69" s="6">
        <f t="shared" si="6"/>
        <v>25</v>
      </c>
      <c r="M69" s="6">
        <f t="shared" si="7"/>
        <v>196.76999999999998</v>
      </c>
      <c r="N69" s="11" t="str">
        <f>IFERROR(VLOOKUP(C69,'[1]MIX SALE ORDER'!$A:$E,4,),"OTHERS")</f>
        <v>OTHERS</v>
      </c>
      <c r="O69" s="11" t="str">
        <f>VLOOKUP(C69,'PP F.G ROLL'!A:T,4,0)</f>
        <v>PP</v>
      </c>
      <c r="P69" t="e">
        <v>#N/A</v>
      </c>
      <c r="Q69" t="s">
        <v>199</v>
      </c>
      <c r="R69" t="str">
        <f t="shared" si="8"/>
        <v>3.5/4.5</v>
      </c>
    </row>
    <row r="70" spans="1:18" x14ac:dyDescent="0.2">
      <c r="A70" s="9" t="s">
        <v>177</v>
      </c>
      <c r="C70" s="5" t="str">
        <f t="shared" si="5"/>
        <v>21/24</v>
      </c>
      <c r="D70" s="10">
        <f>_xlfn.MAXIFS('PP F.G ROLL'!J:J,'PP F.G ROLL'!A:A,'PP ROLL STOCK'!C70)</f>
        <v>45902</v>
      </c>
      <c r="E70" s="22" t="str" cm="1">
        <f t="array" ref="E70:G70">IFERROR(VLOOKUP(C70,'PP F.G ROLL'!A:T,{2,5,6},0),"-")</f>
        <v>Usman Amin</v>
      </c>
      <c r="F70" s="24">
        <v>21</v>
      </c>
      <c r="G70" s="24" t="str">
        <v>24</v>
      </c>
      <c r="H70" s="13">
        <f>SUMIFS('PP F.G ROLL'!K:K,'PP F.G ROLL'!$A:$A,'PP ROLL STOCK'!$C70)</f>
        <v>12</v>
      </c>
      <c r="I70" s="13">
        <f>SUMIFS('PP F.G ROLL'!N:N,'PP F.G ROLL'!$A:$A,'PP ROLL STOCK'!$C70)</f>
        <v>515.80000000000007</v>
      </c>
      <c r="J70" s="13">
        <f>SUMIFS('PP F.G ROLL'!S:S,'PP F.G ROLL'!$A:$A,'PP ROLL STOCK'!$C70)</f>
        <v>0</v>
      </c>
      <c r="K70" s="13">
        <f>SUMIFS('PP F.G ROLL'!T:T,'PP F.G ROLL'!$A:$A,'PP ROLL STOCK'!$C70)</f>
        <v>0</v>
      </c>
      <c r="L70" s="6">
        <f t="shared" si="6"/>
        <v>12</v>
      </c>
      <c r="M70" s="6">
        <f t="shared" si="7"/>
        <v>515.80000000000007</v>
      </c>
      <c r="N70" s="11" t="str">
        <f>IFERROR(VLOOKUP(C70,'[1]MIX SALE ORDER'!$A:$E,4,),"OTHERS")</f>
        <v>OTHERS</v>
      </c>
      <c r="O70" s="11" t="str">
        <f>VLOOKUP(C70,'PP F.G ROLL'!A:T,4,0)</f>
        <v>PP</v>
      </c>
      <c r="P70" t="e">
        <v>#N/A</v>
      </c>
      <c r="Q70" t="s">
        <v>199</v>
      </c>
      <c r="R70" t="str">
        <f t="shared" si="8"/>
        <v>21/24</v>
      </c>
    </row>
    <row r="71" spans="1:18" x14ac:dyDescent="0.2">
      <c r="A71" s="9" t="s">
        <v>178</v>
      </c>
      <c r="C71" s="5" t="str">
        <f t="shared" si="5"/>
        <v>17/5.5-6</v>
      </c>
      <c r="D71" s="10">
        <f>_xlfn.MAXIFS('PP F.G ROLL'!J:J,'PP F.G ROLL'!A:A,'PP ROLL STOCK'!C71)</f>
        <v>45929</v>
      </c>
      <c r="E71" s="22" t="str" cm="1">
        <f t="array" ref="E71:G71">IFERROR(VLOOKUP(C71,'PP F.G ROLL'!A:T,{2,5,6},0),"-")</f>
        <v>ریفلیکٹ پیک لاہور</v>
      </c>
      <c r="F71" s="24">
        <v>17</v>
      </c>
      <c r="G71" s="24" t="str">
        <v>5.5-6</v>
      </c>
      <c r="H71" s="13">
        <f>SUMIFS('PP F.G ROLL'!K:K,'PP F.G ROLL'!$A:$A,'PP ROLL STOCK'!$C71)</f>
        <v>347</v>
      </c>
      <c r="I71" s="13">
        <f>SUMIFS('PP F.G ROLL'!N:N,'PP F.G ROLL'!$A:$A,'PP ROLL STOCK'!$C71)</f>
        <v>17430.420000000006</v>
      </c>
      <c r="J71" s="13">
        <f>SUMIFS('PP F.G ROLL'!S:S,'PP F.G ROLL'!$A:$A,'PP ROLL STOCK'!$C71)</f>
        <v>536</v>
      </c>
      <c r="K71" s="13">
        <f>SUMIFS('PP F.G ROLL'!T:T,'PP F.G ROLL'!$A:$A,'PP ROLL STOCK'!$C71)</f>
        <v>16037.14</v>
      </c>
      <c r="L71" s="6">
        <f t="shared" si="6"/>
        <v>-189</v>
      </c>
      <c r="M71" s="6">
        <f t="shared" si="7"/>
        <v>1393.2800000000061</v>
      </c>
      <c r="N71" s="11" t="str">
        <f>IFERROR(VLOOKUP(C71,'[1]MIX SALE ORDER'!$A:$E,4,),"OTHERS")</f>
        <v>OTHERS</v>
      </c>
      <c r="O71" s="11" t="str">
        <f>VLOOKUP(C71,'PP F.G ROLL'!A:T,4,0)</f>
        <v>PP</v>
      </c>
      <c r="P71" t="e">
        <v>#N/A</v>
      </c>
      <c r="Q71" t="s">
        <v>199</v>
      </c>
      <c r="R71" t="str">
        <f t="shared" si="8"/>
        <v>17/5.5-6</v>
      </c>
    </row>
    <row r="72" spans="1:18" x14ac:dyDescent="0.2">
      <c r="A72" s="9" t="s">
        <v>179</v>
      </c>
      <c r="C72" s="5" t="str">
        <f t="shared" si="5"/>
        <v>20/10</v>
      </c>
      <c r="D72" s="10">
        <f>_xlfn.MAXIFS('PP F.G ROLL'!J:J,'PP F.G ROLL'!A:A,'PP ROLL STOCK'!C72)</f>
        <v>45903</v>
      </c>
      <c r="E72" s="22" t="str" cm="1">
        <f t="array" ref="E72:G72">IFERROR(VLOOKUP(C72,'PP F.G ROLL'!A:T,{2,5,6},0),"-")</f>
        <v>Usman Arif Butt Gujranwala</v>
      </c>
      <c r="F72" s="24">
        <v>20</v>
      </c>
      <c r="G72" s="24">
        <v>10</v>
      </c>
      <c r="H72" s="13">
        <f>SUMIFS('PP F.G ROLL'!K:K,'PP F.G ROLL'!$A:$A,'PP ROLL STOCK'!$C72)</f>
        <v>6</v>
      </c>
      <c r="I72" s="13">
        <f>SUMIFS('PP F.G ROLL'!N:N,'PP F.G ROLL'!$A:$A,'PP ROLL STOCK'!$C72)</f>
        <v>298.32</v>
      </c>
      <c r="J72" s="13">
        <f>SUMIFS('PP F.G ROLL'!S:S,'PP F.G ROLL'!$A:$A,'PP ROLL STOCK'!$C72)</f>
        <v>0</v>
      </c>
      <c r="K72" s="13">
        <f>SUMIFS('PP F.G ROLL'!T:T,'PP F.G ROLL'!$A:$A,'PP ROLL STOCK'!$C72)</f>
        <v>0</v>
      </c>
      <c r="L72" s="6">
        <f t="shared" si="6"/>
        <v>6</v>
      </c>
      <c r="M72" s="6">
        <f t="shared" si="7"/>
        <v>298.32</v>
      </c>
      <c r="N72" s="11" t="str">
        <f>IFERROR(VLOOKUP(C72,'[1]MIX SALE ORDER'!$A:$E,4,),"OTHERS")</f>
        <v>OTHERS</v>
      </c>
      <c r="O72" s="11" t="str">
        <f>VLOOKUP(C72,'PP F.G ROLL'!A:T,4,0)</f>
        <v>PP</v>
      </c>
      <c r="P72" t="e">
        <v>#N/A</v>
      </c>
      <c r="Q72" t="s">
        <v>199</v>
      </c>
      <c r="R72" t="str">
        <f t="shared" si="8"/>
        <v>20/10</v>
      </c>
    </row>
    <row r="73" spans="1:18" x14ac:dyDescent="0.2">
      <c r="A73" s="9" t="s">
        <v>180</v>
      </c>
      <c r="C73" s="5" t="str">
        <f t="shared" si="5"/>
        <v>19/7</v>
      </c>
      <c r="D73" s="10">
        <f>_xlfn.MAXIFS('PP F.G ROLL'!J:J,'PP F.G ROLL'!A:A,'PP ROLL STOCK'!C73)</f>
        <v>45926</v>
      </c>
      <c r="E73" s="22" t="str" cm="1">
        <f t="array" ref="E73:G73">IFERROR(VLOOKUP(C73,'PP F.G ROLL'!A:T,{2,5,6},0),"-")</f>
        <v>ایم عمران پاکستان مارکیٹ</v>
      </c>
      <c r="F73" s="24">
        <v>19</v>
      </c>
      <c r="G73" s="24">
        <v>7</v>
      </c>
      <c r="H73" s="13">
        <f>SUMIFS('PP F.G ROLL'!K:K,'PP F.G ROLL'!$A:$A,'PP ROLL STOCK'!$C73)</f>
        <v>20</v>
      </c>
      <c r="I73" s="13">
        <f>SUMIFS('PP F.G ROLL'!N:N,'PP F.G ROLL'!$A:$A,'PP ROLL STOCK'!$C73)</f>
        <v>809.97000000000014</v>
      </c>
      <c r="J73" s="13">
        <f>SUMIFS('PP F.G ROLL'!S:S,'PP F.G ROLL'!$A:$A,'PP ROLL STOCK'!$C73)</f>
        <v>13</v>
      </c>
      <c r="K73" s="13">
        <f>SUMIFS('PP F.G ROLL'!T:T,'PP F.G ROLL'!$A:$A,'PP ROLL STOCK'!$C73)</f>
        <v>327.5</v>
      </c>
      <c r="L73" s="6">
        <f t="shared" si="6"/>
        <v>7</v>
      </c>
      <c r="M73" s="6">
        <f t="shared" si="7"/>
        <v>482.47000000000014</v>
      </c>
      <c r="N73" s="11" t="str">
        <f>IFERROR(VLOOKUP(C73,'[1]MIX SALE ORDER'!$A:$E,4,),"OTHERS")</f>
        <v>OTHERS</v>
      </c>
      <c r="O73" s="11" t="str">
        <f>VLOOKUP(C73,'PP F.G ROLL'!A:T,4,0)</f>
        <v>PP</v>
      </c>
      <c r="P73" t="e">
        <v>#N/A</v>
      </c>
      <c r="Q73" t="s">
        <v>199</v>
      </c>
      <c r="R73" t="str">
        <f t="shared" si="8"/>
        <v>19/7</v>
      </c>
    </row>
    <row r="74" spans="1:18" x14ac:dyDescent="0.2">
      <c r="A74" s="9" t="s">
        <v>181</v>
      </c>
      <c r="C74" s="5" t="str">
        <f t="shared" si="5"/>
        <v>23/7</v>
      </c>
      <c r="D74" s="10">
        <f>_xlfn.MAXIFS('PP F.G ROLL'!J:J,'PP F.G ROLL'!A:A,'PP ROLL STOCK'!C74)</f>
        <v>45903</v>
      </c>
      <c r="E74" s="22" t="str" cm="1">
        <f t="array" ref="E74:G74">IFERROR(VLOOKUP(C74,'PP F.G ROLL'!A:T,{2,5,6},0),"-")</f>
        <v>ایم عمران پاکستان مارکیٹ</v>
      </c>
      <c r="F74" s="24">
        <v>23</v>
      </c>
      <c r="G74" s="24">
        <v>7</v>
      </c>
      <c r="H74" s="13">
        <f>SUMIFS('PP F.G ROLL'!K:K,'PP F.G ROLL'!$A:$A,'PP ROLL STOCK'!$C74)</f>
        <v>12</v>
      </c>
      <c r="I74" s="13">
        <f>SUMIFS('PP F.G ROLL'!N:N,'PP F.G ROLL'!$A:$A,'PP ROLL STOCK'!$C74)</f>
        <v>497.89</v>
      </c>
      <c r="J74" s="13">
        <f>SUMIFS('PP F.G ROLL'!S:S,'PP F.G ROLL'!$A:$A,'PP ROLL STOCK'!$C74)</f>
        <v>7</v>
      </c>
      <c r="K74" s="13">
        <f>SUMIFS('PP F.G ROLL'!T:T,'PP F.G ROLL'!$A:$A,'PP ROLL STOCK'!$C74)</f>
        <v>292.89</v>
      </c>
      <c r="L74" s="6">
        <f t="shared" si="6"/>
        <v>5</v>
      </c>
      <c r="M74" s="6">
        <f t="shared" si="7"/>
        <v>205</v>
      </c>
      <c r="N74" s="11" t="str">
        <f>IFERROR(VLOOKUP(C74,'[1]MIX SALE ORDER'!$A:$E,4,),"OTHERS")</f>
        <v>OTHERS</v>
      </c>
      <c r="O74" s="11" t="str">
        <f>VLOOKUP(C74,'PP F.G ROLL'!A:T,4,0)</f>
        <v>PP</v>
      </c>
      <c r="P74" t="str">
        <v>FGPTPPR000022</v>
      </c>
      <c r="Q74" t="s">
        <v>199</v>
      </c>
      <c r="R74" t="str">
        <f t="shared" si="8"/>
        <v>23/7</v>
      </c>
    </row>
    <row r="75" spans="1:18" x14ac:dyDescent="0.2">
      <c r="A75" s="9" t="s">
        <v>182</v>
      </c>
      <c r="C75" s="5" t="str">
        <f t="shared" si="5"/>
        <v>28/5-5.5</v>
      </c>
      <c r="D75" s="10">
        <f>_xlfn.MAXIFS('PP F.G ROLL'!J:J,'PP F.G ROLL'!A:A,'PP ROLL STOCK'!C75)</f>
        <v>45929</v>
      </c>
      <c r="E75" s="22" t="str" cm="1">
        <f t="array" ref="E75:G75">IFERROR(VLOOKUP(C75,'PP F.G ROLL'!A:T,{2,5,6},0),"-")</f>
        <v>Jilani plastic</v>
      </c>
      <c r="F75" s="24">
        <v>28</v>
      </c>
      <c r="G75" s="24" t="str">
        <v>5-5.5</v>
      </c>
      <c r="H75" s="13">
        <f>SUMIFS('PP F.G ROLL'!K:K,'PP F.G ROLL'!$A:$A,'PP ROLL STOCK'!$C75)</f>
        <v>40</v>
      </c>
      <c r="I75" s="13">
        <f>SUMIFS('PP F.G ROLL'!N:N,'PP F.G ROLL'!$A:$A,'PP ROLL STOCK'!$C75)</f>
        <v>2193.6499999999996</v>
      </c>
      <c r="J75" s="13">
        <f>SUMIFS('PP F.G ROLL'!S:S,'PP F.G ROLL'!$A:$A,'PP ROLL STOCK'!$C75)</f>
        <v>34</v>
      </c>
      <c r="K75" s="13">
        <f>SUMIFS('PP F.G ROLL'!T:T,'PP F.G ROLL'!$A:$A,'PP ROLL STOCK'!$C75)</f>
        <v>1900.3999999999999</v>
      </c>
      <c r="L75" s="6">
        <f t="shared" si="6"/>
        <v>6</v>
      </c>
      <c r="M75" s="6">
        <f t="shared" si="7"/>
        <v>293.24999999999977</v>
      </c>
      <c r="N75" s="11" t="str">
        <f>IFERROR(VLOOKUP(C75,'[1]MIX SALE ORDER'!$A:$E,4,),"OTHERS")</f>
        <v>OTHERS</v>
      </c>
      <c r="O75" s="11" t="str">
        <f>VLOOKUP(C75,'PP F.G ROLL'!A:T,4,0)</f>
        <v>PP</v>
      </c>
      <c r="P75" t="e">
        <v>#N/A</v>
      </c>
      <c r="Q75" t="s">
        <v>199</v>
      </c>
      <c r="R75" t="str">
        <f t="shared" si="8"/>
        <v>28/5-5.5</v>
      </c>
    </row>
    <row r="76" spans="1:18" x14ac:dyDescent="0.2">
      <c r="A76" s="9" t="s">
        <v>183</v>
      </c>
      <c r="C76" s="5" t="str">
        <f t="shared" ref="C76:C84" si="9">+A76</f>
        <v>2/5</v>
      </c>
      <c r="D76" s="10">
        <f>_xlfn.MAXIFS('PP F.G ROLL'!J:J,'PP F.G ROLL'!A:A,'PP ROLL STOCK'!C76)</f>
        <v>45907</v>
      </c>
      <c r="E76" s="22" t="str" cm="1">
        <f t="array" ref="E76:G76">IFERROR(VLOOKUP(C76,'PP F.G ROLL'!A:T,{2,5,6},0),"-")</f>
        <v>STOCK</v>
      </c>
      <c r="F76" s="24" t="str">
        <v>2</v>
      </c>
      <c r="G76" s="24">
        <v>5</v>
      </c>
      <c r="H76" s="13">
        <f>SUMIFS('PP F.G ROLL'!K:K,'PP F.G ROLL'!$A:$A,'PP ROLL STOCK'!$C76)</f>
        <v>97</v>
      </c>
      <c r="I76" s="13">
        <f>SUMIFS('PP F.G ROLL'!N:N,'PP F.G ROLL'!$A:$A,'PP ROLL STOCK'!$C76)</f>
        <v>1315.3999999999999</v>
      </c>
      <c r="J76" s="13">
        <f>SUMIFS('PP F.G ROLL'!S:S,'PP F.G ROLL'!$A:$A,'PP ROLL STOCK'!$C76)</f>
        <v>57</v>
      </c>
      <c r="K76" s="13">
        <f>SUMIFS('PP F.G ROLL'!T:T,'PP F.G ROLL'!$A:$A,'PP ROLL STOCK'!$C76)</f>
        <v>1147.5900000000001</v>
      </c>
      <c r="L76" s="6">
        <f t="shared" ref="L76:L84" si="10">+H76-J76</f>
        <v>40</v>
      </c>
      <c r="M76" s="6">
        <f t="shared" ref="M76:M84" si="11">+I76-K76</f>
        <v>167.80999999999972</v>
      </c>
      <c r="N76" s="11" t="str">
        <f>IFERROR(VLOOKUP(C76,'[1]MIX SALE ORDER'!$A:$E,4,),"OTHERS")</f>
        <v>OTHERS</v>
      </c>
      <c r="O76" s="11" t="str">
        <f>VLOOKUP(C76,'PP F.G ROLL'!A:T,4,0)</f>
        <v>PP</v>
      </c>
      <c r="P76" t="str">
        <v>FGPTPPR000025</v>
      </c>
      <c r="Q76" t="s">
        <v>199</v>
      </c>
      <c r="R76" t="str">
        <f t="shared" si="8"/>
        <v>2/5</v>
      </c>
    </row>
    <row r="77" spans="1:18" x14ac:dyDescent="0.2">
      <c r="A77" s="9" t="s">
        <v>184</v>
      </c>
      <c r="C77" s="5" t="str">
        <f t="shared" si="9"/>
        <v>18/4.5</v>
      </c>
      <c r="D77" s="10">
        <f>_xlfn.MAXIFS('PP F.G ROLL'!J:J,'PP F.G ROLL'!A:A,'PP ROLL STOCK'!C77)</f>
        <v>45930</v>
      </c>
      <c r="E77" s="22" t="str" cm="1">
        <f t="array" ref="E77:G77">IFERROR(VLOOKUP(C77,'PP F.G ROLL'!A:T,{2,5,6},0),"-")</f>
        <v>اصف پلاسٹک سرگودھا</v>
      </c>
      <c r="F77" s="24">
        <v>18</v>
      </c>
      <c r="G77" s="24">
        <v>4.5</v>
      </c>
      <c r="H77" s="13">
        <f>SUMIFS('PP F.G ROLL'!K:K,'PP F.G ROLL'!$A:$A,'PP ROLL STOCK'!$C77)</f>
        <v>4</v>
      </c>
      <c r="I77" s="13">
        <f>SUMIFS('PP F.G ROLL'!N:N,'PP F.G ROLL'!$A:$A,'PP ROLL STOCK'!$C77)</f>
        <v>100</v>
      </c>
      <c r="J77" s="13">
        <f>SUMIFS('PP F.G ROLL'!S:S,'PP F.G ROLL'!$A:$A,'PP ROLL STOCK'!$C77)</f>
        <v>4</v>
      </c>
      <c r="K77" s="13">
        <f>SUMIFS('PP F.G ROLL'!T:T,'PP F.G ROLL'!$A:$A,'PP ROLL STOCK'!$C77)</f>
        <v>100</v>
      </c>
      <c r="L77" s="6">
        <f t="shared" si="10"/>
        <v>0</v>
      </c>
      <c r="M77" s="6">
        <f t="shared" si="11"/>
        <v>0</v>
      </c>
      <c r="N77" s="11" t="str">
        <f>IFERROR(VLOOKUP(C77,'[1]MIX SALE ORDER'!$A:$E,4,),"OTHERS")</f>
        <v>OTHERS</v>
      </c>
      <c r="O77" s="11" t="str">
        <f>VLOOKUP(C77,'PP F.G ROLL'!A:T,4,0)</f>
        <v>PP</v>
      </c>
      <c r="P77" t="e">
        <v>#N/A</v>
      </c>
      <c r="Q77" t="s">
        <v>199</v>
      </c>
      <c r="R77" t="str">
        <f t="shared" si="8"/>
        <v>18/4.5</v>
      </c>
    </row>
    <row r="78" spans="1:18" x14ac:dyDescent="0.2">
      <c r="A78" s="9" t="s">
        <v>185</v>
      </c>
      <c r="C78" s="5" t="str">
        <f t="shared" si="9"/>
        <v>26/8.5-9</v>
      </c>
      <c r="D78" s="10">
        <f>_xlfn.MAXIFS('PP F.G ROLL'!J:J,'PP F.G ROLL'!A:A,'PP ROLL STOCK'!C78)</f>
        <v>45901</v>
      </c>
      <c r="E78" s="22" t="str" cm="1">
        <f t="array" ref="E78:G78">IFERROR(VLOOKUP(C78,'PP F.G ROLL'!A:T,{2,5,6},0),"-")</f>
        <v>Atlas Honda LTD (SKP)</v>
      </c>
      <c r="F78" s="24">
        <v>26</v>
      </c>
      <c r="G78" s="24" t="str">
        <v>8.5-9</v>
      </c>
      <c r="H78" s="13">
        <f>SUMIFS('PP F.G ROLL'!K:K,'PP F.G ROLL'!$A:$A,'PP ROLL STOCK'!$C78)</f>
        <v>5</v>
      </c>
      <c r="I78" s="13">
        <f>SUMIFS('PP F.G ROLL'!N:N,'PP F.G ROLL'!$A:$A,'PP ROLL STOCK'!$C78)</f>
        <v>213.96</v>
      </c>
      <c r="J78" s="13">
        <f>SUMIFS('PP F.G ROLL'!S:S,'PP F.G ROLL'!$A:$A,'PP ROLL STOCK'!$C78)</f>
        <v>4</v>
      </c>
      <c r="K78" s="13">
        <f>SUMIFS('PP F.G ROLL'!T:T,'PP F.G ROLL'!$A:$A,'PP ROLL STOCK'!$C78)</f>
        <v>115.5</v>
      </c>
      <c r="L78" s="6">
        <f t="shared" si="10"/>
        <v>1</v>
      </c>
      <c r="M78" s="6">
        <f t="shared" si="11"/>
        <v>98.460000000000008</v>
      </c>
      <c r="N78" s="11" t="str">
        <f>IFERROR(VLOOKUP(C78,'[1]MIX SALE ORDER'!$A:$E,4,),"OTHERS")</f>
        <v>OTHERS</v>
      </c>
      <c r="O78" s="11" t="str">
        <f>VLOOKUP(C78,'PP F.G ROLL'!A:T,4,0)</f>
        <v>PP</v>
      </c>
      <c r="P78" t="e">
        <v>#N/A</v>
      </c>
      <c r="Q78" t="s">
        <v>199</v>
      </c>
      <c r="R78" t="str">
        <f t="shared" si="8"/>
        <v>26/8.5-9</v>
      </c>
    </row>
    <row r="79" spans="1:18" x14ac:dyDescent="0.2">
      <c r="A79" s="9" t="s">
        <v>194</v>
      </c>
      <c r="C79" s="5" t="str">
        <f t="shared" si="9"/>
        <v>18/6</v>
      </c>
      <c r="D79" s="10">
        <f>_xlfn.MAXIFS('PP F.G ROLL'!J:J,'PP F.G ROLL'!A:A,'PP ROLL STOCK'!C79)</f>
        <v>45904</v>
      </c>
      <c r="E79" s="22" t="str" cm="1">
        <f t="array" ref="E79:G79">IFERROR(VLOOKUP(C79,'PP F.G ROLL'!A:T,{2,5,6},0),"-")</f>
        <v>العمر پلاسٹک گوجرانوالہ</v>
      </c>
      <c r="F79" s="24">
        <v>18</v>
      </c>
      <c r="G79" s="24">
        <v>6</v>
      </c>
      <c r="H79" s="13">
        <f>SUMIFS('PP F.G ROLL'!K:K,'PP F.G ROLL'!$A:$A,'PP ROLL STOCK'!$C79)</f>
        <v>6</v>
      </c>
      <c r="I79" s="13">
        <f>SUMIFS('PP F.G ROLL'!N:N,'PP F.G ROLL'!$A:$A,'PP ROLL STOCK'!$C79)</f>
        <v>268.15999999999997</v>
      </c>
      <c r="J79" s="13">
        <f>SUMIFS('PP F.G ROLL'!S:S,'PP F.G ROLL'!$A:$A,'PP ROLL STOCK'!$C79)</f>
        <v>0</v>
      </c>
      <c r="K79" s="13">
        <f>SUMIFS('PP F.G ROLL'!T:T,'PP F.G ROLL'!$A:$A,'PP ROLL STOCK'!$C79)</f>
        <v>0</v>
      </c>
      <c r="L79" s="6">
        <f t="shared" si="10"/>
        <v>6</v>
      </c>
      <c r="M79" s="6">
        <f t="shared" si="11"/>
        <v>268.15999999999997</v>
      </c>
      <c r="N79" s="11" t="str">
        <f>IFERROR(VLOOKUP(C79,'[1]MIX SALE ORDER'!$A:$E,4,),"OTHERS")</f>
        <v>OTHERS</v>
      </c>
      <c r="O79" s="11" t="str">
        <f>VLOOKUP(C79,'PP F.G ROLL'!A:T,4,0)</f>
        <v>PP</v>
      </c>
      <c r="P79" t="e">
        <v>#N/A</v>
      </c>
      <c r="Q79" t="s">
        <v>199</v>
      </c>
      <c r="R79" t="str">
        <f t="shared" si="8"/>
        <v>18/6</v>
      </c>
    </row>
    <row r="80" spans="1:18" x14ac:dyDescent="0.2">
      <c r="A80" s="9" t="s">
        <v>195</v>
      </c>
      <c r="C80" s="5" t="str">
        <f t="shared" si="9"/>
        <v>14/10</v>
      </c>
      <c r="D80" s="10">
        <f>_xlfn.MAXIFS('PP F.G ROLL'!J:J,'PP F.G ROLL'!A:A,'PP ROLL STOCK'!C80)</f>
        <v>45904</v>
      </c>
      <c r="E80" s="22" t="str" cm="1">
        <f t="array" ref="E80:G80">IFERROR(VLOOKUP(C80,'PP F.G ROLL'!A:T,{2,5,6},0),"-")</f>
        <v>Usman Arif Butt Gujranwala</v>
      </c>
      <c r="F80" s="24">
        <v>14</v>
      </c>
      <c r="G80" s="24">
        <v>10</v>
      </c>
      <c r="H80" s="13">
        <f>SUMIFS('PP F.G ROLL'!K:K,'PP F.G ROLL'!$A:$A,'PP ROLL STOCK'!$C80)</f>
        <v>14</v>
      </c>
      <c r="I80" s="13">
        <f>SUMIFS('PP F.G ROLL'!N:N,'PP F.G ROLL'!$A:$A,'PP ROLL STOCK'!$C80)</f>
        <v>638.49</v>
      </c>
      <c r="J80" s="13">
        <f>SUMIFS('PP F.G ROLL'!S:S,'PP F.G ROLL'!$A:$A,'PP ROLL STOCK'!$C80)</f>
        <v>10</v>
      </c>
      <c r="K80" s="13">
        <f>SUMIFS('PP F.G ROLL'!T:T,'PP F.G ROLL'!$A:$A,'PP ROLL STOCK'!$C80)</f>
        <v>438.72</v>
      </c>
      <c r="L80" s="6">
        <f t="shared" si="10"/>
        <v>4</v>
      </c>
      <c r="M80" s="6">
        <f t="shared" si="11"/>
        <v>199.76999999999998</v>
      </c>
      <c r="N80" s="11" t="str">
        <f>IFERROR(VLOOKUP(C80,'[1]MIX SALE ORDER'!$A:$E,4,),"OTHERS")</f>
        <v>OTHERS</v>
      </c>
      <c r="O80" s="11" t="str">
        <f>VLOOKUP(C80,'PP F.G ROLL'!A:T,4,0)</f>
        <v>PP</v>
      </c>
      <c r="P80" t="e">
        <v>#N/A</v>
      </c>
      <c r="Q80" t="s">
        <v>199</v>
      </c>
      <c r="R80" t="str">
        <f t="shared" si="8"/>
        <v>14/10</v>
      </c>
    </row>
    <row r="81" spans="1:18" x14ac:dyDescent="0.2">
      <c r="A81" s="9" t="s">
        <v>196</v>
      </c>
      <c r="C81" s="5" t="str">
        <f t="shared" si="9"/>
        <v>14/4.5</v>
      </c>
      <c r="D81" s="10">
        <f>_xlfn.MAXIFS('PP F.G ROLL'!J:J,'PP F.G ROLL'!A:A,'PP ROLL STOCK'!C81)</f>
        <v>45917</v>
      </c>
      <c r="E81" s="22" t="str" cm="1">
        <f t="array" ref="E81:G81">IFERROR(VLOOKUP(C81,'PP F.G ROLL'!A:T,{2,5,6},0),"-")</f>
        <v>اصف پلاسٹک سرگودھا</v>
      </c>
      <c r="F81" s="24">
        <v>14</v>
      </c>
      <c r="G81" s="24">
        <v>4.5</v>
      </c>
      <c r="H81" s="13">
        <f>SUMIFS('PP F.G ROLL'!K:K,'PP F.G ROLL'!$A:$A,'PP ROLL STOCK'!$C81)</f>
        <v>19</v>
      </c>
      <c r="I81" s="13">
        <f>SUMIFS('PP F.G ROLL'!N:N,'PP F.G ROLL'!$A:$A,'PP ROLL STOCK'!$C81)</f>
        <v>940.57999999999993</v>
      </c>
      <c r="J81" s="13">
        <f>SUMIFS('PP F.G ROLL'!S:S,'PP F.G ROLL'!$A:$A,'PP ROLL STOCK'!$C81)</f>
        <v>8</v>
      </c>
      <c r="K81" s="13">
        <f>SUMIFS('PP F.G ROLL'!T:T,'PP F.G ROLL'!$A:$A,'PP ROLL STOCK'!$C81)</f>
        <v>200</v>
      </c>
      <c r="L81" s="6">
        <f t="shared" si="10"/>
        <v>11</v>
      </c>
      <c r="M81" s="6">
        <f t="shared" si="11"/>
        <v>740.57999999999993</v>
      </c>
      <c r="N81" s="11" t="str">
        <f>IFERROR(VLOOKUP(C81,'[1]MIX SALE ORDER'!$A:$E,4,),"OTHERS")</f>
        <v>OTHERS</v>
      </c>
      <c r="O81" s="11" t="str">
        <f>VLOOKUP(C81,'PP F.G ROLL'!A:T,4,0)</f>
        <v>PP</v>
      </c>
      <c r="P81" t="e">
        <v>#N/A</v>
      </c>
      <c r="Q81" t="s">
        <v>199</v>
      </c>
      <c r="R81" t="str">
        <f t="shared" si="8"/>
        <v>14/4.5</v>
      </c>
    </row>
    <row r="82" spans="1:18" x14ac:dyDescent="0.2">
      <c r="A82" s="9" t="s">
        <v>197</v>
      </c>
      <c r="C82" s="5" t="str">
        <f t="shared" si="9"/>
        <v>10/15</v>
      </c>
      <c r="D82" s="10">
        <f>_xlfn.MAXIFS('PP F.G ROLL'!J:J,'PP F.G ROLL'!A:A,'PP ROLL STOCK'!C82)</f>
        <v>45908</v>
      </c>
      <c r="E82" s="22" t="str" cm="1">
        <f t="array" ref="E82:G82">IFERROR(VLOOKUP(C82,'PP F.G ROLL'!A:T,{2,5,6},0),"-")</f>
        <v>ایم دین پنڈی</v>
      </c>
      <c r="F82" s="24">
        <v>10</v>
      </c>
      <c r="G82" s="24">
        <v>15</v>
      </c>
      <c r="H82" s="13">
        <f>SUMIFS('PP F.G ROLL'!K:K,'PP F.G ROLL'!$A:$A,'PP ROLL STOCK'!$C82)</f>
        <v>16</v>
      </c>
      <c r="I82" s="13">
        <f>SUMIFS('PP F.G ROLL'!N:N,'PP F.G ROLL'!$A:$A,'PP ROLL STOCK'!$C82)</f>
        <v>567.19999999999993</v>
      </c>
      <c r="J82" s="13">
        <f>SUMIFS('PP F.G ROLL'!S:S,'PP F.G ROLL'!$A:$A,'PP ROLL STOCK'!$C82)</f>
        <v>10</v>
      </c>
      <c r="K82" s="13">
        <f>SUMIFS('PP F.G ROLL'!T:T,'PP F.G ROLL'!$A:$A,'PP ROLL STOCK'!$C82)</f>
        <v>300.3</v>
      </c>
      <c r="L82" s="6">
        <f t="shared" si="10"/>
        <v>6</v>
      </c>
      <c r="M82" s="6">
        <f t="shared" si="11"/>
        <v>266.89999999999992</v>
      </c>
      <c r="N82" s="11" t="str">
        <f>IFERROR(VLOOKUP(C82,'[1]MIX SALE ORDER'!$A:$E,4,),"OTHERS")</f>
        <v>OTHERS</v>
      </c>
      <c r="O82" s="11" t="str">
        <f>VLOOKUP(C82,'PP F.G ROLL'!A:T,4,0)</f>
        <v>PP</v>
      </c>
      <c r="P82" t="e">
        <v>#N/A</v>
      </c>
      <c r="Q82" t="s">
        <v>199</v>
      </c>
      <c r="R82" t="str">
        <f t="shared" si="8"/>
        <v>10/15</v>
      </c>
    </row>
    <row r="83" spans="1:18" x14ac:dyDescent="0.2">
      <c r="A83" s="9" t="s">
        <v>198</v>
      </c>
      <c r="C83" s="5" t="str">
        <f t="shared" si="9"/>
        <v>12/6.5-7</v>
      </c>
      <c r="D83" s="10">
        <f>_xlfn.MAXIFS('PP F.G ROLL'!J:J,'PP F.G ROLL'!A:A,'PP ROLL STOCK'!C83)</f>
        <v>45906</v>
      </c>
      <c r="E83" s="22" t="str" cm="1">
        <f t="array" ref="E83:G83">IFERROR(VLOOKUP(C83,'PP F.G ROLL'!A:T,{2,5,6},0),"-")</f>
        <v>لیاقت -لنڈا بازار</v>
      </c>
      <c r="F83" s="24">
        <v>12</v>
      </c>
      <c r="G83" s="24" t="str">
        <v>6.5-7</v>
      </c>
      <c r="H83" s="13">
        <f>SUMIFS('PP F.G ROLL'!K:K,'PP F.G ROLL'!$A:$A,'PP ROLL STOCK'!$C83)</f>
        <v>8</v>
      </c>
      <c r="I83" s="13">
        <f>SUMIFS('PP F.G ROLL'!N:N,'PP F.G ROLL'!$A:$A,'PP ROLL STOCK'!$C83)</f>
        <v>239.51000000000002</v>
      </c>
      <c r="J83" s="13">
        <f>SUMIFS('PP F.G ROLL'!S:S,'PP F.G ROLL'!$A:$A,'PP ROLL STOCK'!$C83)</f>
        <v>2</v>
      </c>
      <c r="K83" s="13">
        <f>SUMIFS('PP F.G ROLL'!T:T,'PP F.G ROLL'!$A:$A,'PP ROLL STOCK'!$C83)</f>
        <v>50</v>
      </c>
      <c r="L83" s="6">
        <f t="shared" si="10"/>
        <v>6</v>
      </c>
      <c r="M83" s="6">
        <f t="shared" si="11"/>
        <v>189.51000000000002</v>
      </c>
      <c r="N83" s="11" t="str">
        <f>IFERROR(VLOOKUP(C83,'[1]MIX SALE ORDER'!$A:$E,4,),"OTHERS")</f>
        <v>OTHERS</v>
      </c>
      <c r="O83" s="11" t="str">
        <f>VLOOKUP(C83,'PP F.G ROLL'!A:T,4,0)</f>
        <v>PP</v>
      </c>
      <c r="P83" t="e">
        <v>#N/A</v>
      </c>
      <c r="Q83" t="s">
        <v>199</v>
      </c>
      <c r="R83" t="str">
        <f t="shared" si="8"/>
        <v>12/6.5-7</v>
      </c>
    </row>
    <row r="84" spans="1:18" x14ac:dyDescent="0.2">
      <c r="A84" s="9" t="s">
        <v>304</v>
      </c>
      <c r="C84" s="5" t="str">
        <f t="shared" si="9"/>
        <v>12/4.5</v>
      </c>
      <c r="D84" s="10">
        <f>_xlfn.MAXIFS('PP F.G ROLL'!J:J,'PP F.G ROLL'!A:A,'PP ROLL STOCK'!C84)</f>
        <v>45918</v>
      </c>
      <c r="E84" s="22" t="str" cm="1">
        <f t="array" ref="E84:G84">IFERROR(VLOOKUP(C84,'PP F.G ROLL'!A:T,{2,5,6},0),"-")</f>
        <v>اصف پلاسٹک سرگودھا</v>
      </c>
      <c r="F84" s="24">
        <v>12</v>
      </c>
      <c r="G84" s="24">
        <v>4.5</v>
      </c>
      <c r="H84" s="13">
        <f>SUMIFS('PP F.G ROLL'!K:K,'PP F.G ROLL'!$A:$A,'PP ROLL STOCK'!$C84)</f>
        <v>19</v>
      </c>
      <c r="I84" s="13">
        <f>SUMIFS('PP F.G ROLL'!N:N,'PP F.G ROLL'!$A:$A,'PP ROLL STOCK'!$C84)</f>
        <v>945.55</v>
      </c>
      <c r="J84" s="13">
        <f>SUMIFS('PP F.G ROLL'!S:S,'PP F.G ROLL'!$A:$A,'PP ROLL STOCK'!$C84)</f>
        <v>20</v>
      </c>
      <c r="K84" s="13">
        <f>SUMIFS('PP F.G ROLL'!T:T,'PP F.G ROLL'!$A:$A,'PP ROLL STOCK'!$C84)</f>
        <v>500</v>
      </c>
      <c r="L84" s="6">
        <f t="shared" si="10"/>
        <v>-1</v>
      </c>
      <c r="M84" s="6">
        <f t="shared" si="11"/>
        <v>445.54999999999995</v>
      </c>
      <c r="N84" s="11" t="str">
        <f>IFERROR(VLOOKUP(C84,'[1]MIX SALE ORDER'!$A:$E,4,),"OTHERS")</f>
        <v>OTHERS</v>
      </c>
      <c r="O84" s="11" t="str">
        <f>VLOOKUP(C84,'PP F.G ROLL'!A:T,4,0)</f>
        <v>PP</v>
      </c>
      <c r="P84" t="e">
        <v>#N/A</v>
      </c>
      <c r="Q84" t="s">
        <v>199</v>
      </c>
      <c r="R84" t="str">
        <f t="shared" si="8"/>
        <v>12/4.5</v>
      </c>
    </row>
    <row r="85" spans="1:18" x14ac:dyDescent="0.2">
      <c r="A85" s="9" t="s">
        <v>305</v>
      </c>
      <c r="C85" s="5" t="str">
        <f t="shared" ref="C85:C89" si="12">+A85</f>
        <v>11/6.5-7</v>
      </c>
      <c r="D85" s="10">
        <f>_xlfn.MAXIFS('PP F.G ROLL'!J:J,'PP F.G ROLL'!A:A,'PP ROLL STOCK'!C85)</f>
        <v>45906</v>
      </c>
      <c r="E85" s="22" t="str" cm="1">
        <f t="array" ref="E85:G85">IFERROR(VLOOKUP(C85,'PP F.G ROLL'!A:T,{2,5,6},0),"-")</f>
        <v>لیاقت -لنڈا بازار</v>
      </c>
      <c r="F85" s="24">
        <v>11</v>
      </c>
      <c r="G85" s="24" t="str">
        <v>6.5-7</v>
      </c>
      <c r="H85" s="13">
        <f>SUMIFS('PP F.G ROLL'!K:K,'PP F.G ROLL'!$A:$A,'PP ROLL STOCK'!$C85)</f>
        <v>4</v>
      </c>
      <c r="I85" s="13">
        <f>SUMIFS('PP F.G ROLL'!N:N,'PP F.G ROLL'!$A:$A,'PP ROLL STOCK'!$C85)</f>
        <v>107.37</v>
      </c>
      <c r="J85" s="13">
        <f>SUMIFS('PP F.G ROLL'!S:S,'PP F.G ROLL'!$A:$A,'PP ROLL STOCK'!$C85)</f>
        <v>4</v>
      </c>
      <c r="K85" s="13">
        <f>SUMIFS('PP F.G ROLL'!T:T,'PP F.G ROLL'!$A:$A,'PP ROLL STOCK'!$C85)</f>
        <v>100</v>
      </c>
      <c r="L85" s="6">
        <f t="shared" ref="L85:L89" si="13">+H85-J85</f>
        <v>0</v>
      </c>
      <c r="M85" s="6">
        <f t="shared" ref="M85:M89" si="14">+I85-K85</f>
        <v>7.3700000000000045</v>
      </c>
      <c r="N85" s="11" t="str">
        <f>IFERROR(VLOOKUP(C85,'[1]MIX SALE ORDER'!$A:$E,4,),"OTHERS")</f>
        <v>OTHERS</v>
      </c>
      <c r="O85" s="11" t="str">
        <f>VLOOKUP(C85,'PP F.G ROLL'!A:T,4,0)</f>
        <v>PP</v>
      </c>
      <c r="P85" t="e">
        <v>#N/A</v>
      </c>
      <c r="Q85" t="s">
        <v>199</v>
      </c>
      <c r="R85" t="str">
        <f t="shared" si="8"/>
        <v>11/6.5-7</v>
      </c>
    </row>
    <row r="86" spans="1:18" x14ac:dyDescent="0.2">
      <c r="A86" s="9" t="s">
        <v>306</v>
      </c>
      <c r="C86" s="5" t="str">
        <f t="shared" si="12"/>
        <v>11/5-5.5</v>
      </c>
      <c r="D86" s="10">
        <f>_xlfn.MAXIFS('PP F.G ROLL'!J:J,'PP F.G ROLL'!A:A,'PP ROLL STOCK'!C86)</f>
        <v>45928</v>
      </c>
      <c r="E86" s="22" t="str" cm="1">
        <f t="array" ref="E86:G86">IFERROR(VLOOKUP(C86,'PP F.G ROLL'!A:T,{2,5,6},0),"-")</f>
        <v>سٹاک</v>
      </c>
      <c r="F86" s="24">
        <v>11</v>
      </c>
      <c r="G86" s="24" t="str">
        <v>5-5.5</v>
      </c>
      <c r="H86" s="13">
        <f>SUMIFS('PP F.G ROLL'!K:K,'PP F.G ROLL'!$A:$A,'PP ROLL STOCK'!$C86)</f>
        <v>38</v>
      </c>
      <c r="I86" s="13">
        <f>SUMIFS('PP F.G ROLL'!N:N,'PP F.G ROLL'!$A:$A,'PP ROLL STOCK'!$C86)</f>
        <v>1843.44</v>
      </c>
      <c r="J86" s="13">
        <f>SUMIFS('PP F.G ROLL'!S:S,'PP F.G ROLL'!$A:$A,'PP ROLL STOCK'!$C86)</f>
        <v>0</v>
      </c>
      <c r="K86" s="13">
        <f>SUMIFS('PP F.G ROLL'!T:T,'PP F.G ROLL'!$A:$A,'PP ROLL STOCK'!$C86)</f>
        <v>0</v>
      </c>
      <c r="L86" s="6">
        <f t="shared" si="13"/>
        <v>38</v>
      </c>
      <c r="M86" s="6">
        <f t="shared" si="14"/>
        <v>1843.44</v>
      </c>
      <c r="N86" s="11" t="str">
        <f>IFERROR(VLOOKUP(C86,'[1]MIX SALE ORDER'!$A:$E,4,),"OTHERS")</f>
        <v>OTHERS</v>
      </c>
      <c r="O86" s="11" t="str">
        <f>VLOOKUP(C86,'PP F.G ROLL'!A:T,4,0)</f>
        <v>PP</v>
      </c>
      <c r="P86" t="e">
        <v>#N/A</v>
      </c>
      <c r="Q86" t="s">
        <v>199</v>
      </c>
      <c r="R86" t="str">
        <f t="shared" si="8"/>
        <v>11/5-5.5</v>
      </c>
    </row>
    <row r="87" spans="1:18" x14ac:dyDescent="0.2">
      <c r="A87" s="9" t="s">
        <v>307</v>
      </c>
      <c r="C87" s="5" t="str">
        <f t="shared" si="12"/>
        <v>3.5/5</v>
      </c>
      <c r="D87" s="10">
        <f>_xlfn.MAXIFS('PP F.G ROLL'!J:J,'PP F.G ROLL'!A:A,'PP ROLL STOCK'!C87)</f>
        <v>45930</v>
      </c>
      <c r="E87" s="22" t="str" cm="1">
        <f t="array" ref="E87:G87">IFERROR(VLOOKUP(C87,'PP F.G ROLL'!A:T,{2,5,6},0),"-")</f>
        <v>STOCK</v>
      </c>
      <c r="F87" s="24" t="str">
        <v>3.5</v>
      </c>
      <c r="G87" s="24" t="str">
        <v>5</v>
      </c>
      <c r="H87" s="13">
        <f>SUMIFS('PP F.G ROLL'!K:K,'PP F.G ROLL'!$A:$A,'PP ROLL STOCK'!$C87)</f>
        <v>20</v>
      </c>
      <c r="I87" s="13">
        <f>SUMIFS('PP F.G ROLL'!N:N,'PP F.G ROLL'!$A:$A,'PP ROLL STOCK'!$C87)</f>
        <v>400</v>
      </c>
      <c r="J87" s="13">
        <f>SUMIFS('PP F.G ROLL'!S:S,'PP F.G ROLL'!$A:$A,'PP ROLL STOCK'!$C87)</f>
        <v>20</v>
      </c>
      <c r="K87" s="13">
        <f>SUMIFS('PP F.G ROLL'!T:T,'PP F.G ROLL'!$A:$A,'PP ROLL STOCK'!$C87)</f>
        <v>400</v>
      </c>
      <c r="L87" s="6">
        <f t="shared" si="13"/>
        <v>0</v>
      </c>
      <c r="M87" s="6">
        <f t="shared" si="14"/>
        <v>0</v>
      </c>
      <c r="N87" s="11" t="str">
        <f>IFERROR(VLOOKUP(C87,'[1]MIX SALE ORDER'!$A:$E,4,),"OTHERS")</f>
        <v>OTHERS</v>
      </c>
      <c r="O87" s="11" t="str">
        <f>VLOOKUP(C87,'PP F.G ROLL'!A:T,4,0)</f>
        <v>PP</v>
      </c>
      <c r="P87" t="str">
        <v>FGPTPPR000031</v>
      </c>
      <c r="Q87" t="s">
        <v>199</v>
      </c>
      <c r="R87" t="str">
        <f t="shared" si="8"/>
        <v>3.5/5</v>
      </c>
    </row>
    <row r="88" spans="1:18" x14ac:dyDescent="0.2">
      <c r="A88" s="9" t="s">
        <v>312</v>
      </c>
      <c r="C88" s="5" t="str">
        <f t="shared" si="12"/>
        <v>16/15</v>
      </c>
      <c r="D88" s="10">
        <f>_xlfn.MAXIFS('PP F.G ROLL'!J:J,'PP F.G ROLL'!A:A,'PP ROLL STOCK'!C88)</f>
        <v>45905</v>
      </c>
      <c r="E88" s="22" t="str" cm="1">
        <f t="array" ref="E88:G88">IFERROR(VLOOKUP(C88,'PP F.G ROLL'!A:T,{2,5,6},0),"-")</f>
        <v>ایم دین پنڈی</v>
      </c>
      <c r="F88" s="24">
        <v>16</v>
      </c>
      <c r="G88" s="24">
        <v>15</v>
      </c>
      <c r="H88" s="13">
        <f>SUMIFS('PP F.G ROLL'!K:K,'PP F.G ROLL'!$A:$A,'PP ROLL STOCK'!$C88)</f>
        <v>9</v>
      </c>
      <c r="I88" s="13">
        <f>SUMIFS('PP F.G ROLL'!N:N,'PP F.G ROLL'!$A:$A,'PP ROLL STOCK'!$C88)</f>
        <v>260</v>
      </c>
      <c r="J88" s="13">
        <f>SUMIFS('PP F.G ROLL'!S:S,'PP F.G ROLL'!$A:$A,'PP ROLL STOCK'!$C88)</f>
        <v>9</v>
      </c>
      <c r="K88" s="13">
        <f>SUMIFS('PP F.G ROLL'!T:T,'PP F.G ROLL'!$A:$A,'PP ROLL STOCK'!$C88)</f>
        <v>259.8</v>
      </c>
      <c r="L88" s="6">
        <f t="shared" si="13"/>
        <v>0</v>
      </c>
      <c r="M88" s="6">
        <f t="shared" si="14"/>
        <v>0.19999999999998863</v>
      </c>
      <c r="N88" s="11" t="str">
        <f>IFERROR(VLOOKUP(C88,'[1]MIX SALE ORDER'!$A:$E,4,),"OTHERS")</f>
        <v>OTHERS</v>
      </c>
      <c r="O88" s="11" t="str">
        <f>VLOOKUP(C88,'PP F.G ROLL'!A:T,4,0)</f>
        <v>PP</v>
      </c>
      <c r="P88" t="e">
        <v>#N/A</v>
      </c>
      <c r="Q88" t="s">
        <v>199</v>
      </c>
      <c r="R88" t="str">
        <f t="shared" si="8"/>
        <v>16/15</v>
      </c>
    </row>
    <row r="89" spans="1:18" x14ac:dyDescent="0.2">
      <c r="A89" s="9" t="s">
        <v>521</v>
      </c>
      <c r="C89" s="5" t="str">
        <f t="shared" si="12"/>
        <v>4/4.5</v>
      </c>
      <c r="D89" s="10">
        <f>_xlfn.MAXIFS('PP F.G ROLL'!J:J,'PP F.G ROLL'!A:A,'PP ROLL STOCK'!C89)</f>
        <v>45920</v>
      </c>
      <c r="E89" s="22" t="str" cm="1">
        <f t="array" ref="E89:G89">IFERROR(VLOOKUP(C89,'PP F.G ROLL'!A:T,{2,5,6},0),"-")</f>
        <v>اصف پلاسٹک سرگودھا</v>
      </c>
      <c r="F89" s="24">
        <v>4</v>
      </c>
      <c r="G89" s="24">
        <v>4.5</v>
      </c>
      <c r="H89" s="13">
        <f>SUMIFS('PP F.G ROLL'!K:K,'PP F.G ROLL'!$A:$A,'PP ROLL STOCK'!$C89)</f>
        <v>45</v>
      </c>
      <c r="I89" s="13">
        <f>SUMIFS('PP F.G ROLL'!N:N,'PP F.G ROLL'!$A:$A,'PP ROLL STOCK'!$C89)</f>
        <v>611.65</v>
      </c>
      <c r="J89" s="13">
        <f>SUMIFS('PP F.G ROLL'!S:S,'PP F.G ROLL'!$A:$A,'PP ROLL STOCK'!$C89)</f>
        <v>15</v>
      </c>
      <c r="K89" s="13">
        <f>SUMIFS('PP F.G ROLL'!T:T,'PP F.G ROLL'!$A:$A,'PP ROLL STOCK'!$C89)</f>
        <v>294</v>
      </c>
      <c r="L89" s="6">
        <f t="shared" si="13"/>
        <v>30</v>
      </c>
      <c r="M89" s="6">
        <f t="shared" si="14"/>
        <v>317.64999999999998</v>
      </c>
      <c r="N89" s="11" t="str">
        <f>IFERROR(VLOOKUP(C89,'[1]MIX SALE ORDER'!$A:$E,4,),"OTHERS")</f>
        <v>OTHERS</v>
      </c>
      <c r="O89" s="11" t="str">
        <f>VLOOKUP(C89,'PP F.G ROLL'!A:T,4,0)</f>
        <v>PP</v>
      </c>
      <c r="P89" t="e">
        <v>#N/A</v>
      </c>
      <c r="Q89" t="s">
        <v>199</v>
      </c>
      <c r="R89" t="str">
        <f t="shared" si="8"/>
        <v>4/4.5</v>
      </c>
    </row>
    <row r="90" spans="1:18" x14ac:dyDescent="0.2">
      <c r="A90" s="9" t="s">
        <v>522</v>
      </c>
      <c r="C90" s="5" t="str">
        <f t="shared" ref="C90:C97" si="15">+A90</f>
        <v>17/8.5-9</v>
      </c>
      <c r="D90" s="10">
        <f>_xlfn.MAXIFS('PP F.G ROLL'!J:J,'PP F.G ROLL'!A:A,'PP ROLL STOCK'!C90)</f>
        <v>45926</v>
      </c>
      <c r="E90" s="22" t="str" cm="1">
        <f t="array" ref="E90:G90">IFERROR(VLOOKUP(C90,'PP F.G ROLL'!A:T,{2,5,6},0),"-")</f>
        <v>ایم بلال وحدت روڈ</v>
      </c>
      <c r="F90" s="24">
        <v>17</v>
      </c>
      <c r="G90" s="24" t="str">
        <v>8.5-9</v>
      </c>
      <c r="H90" s="13">
        <f>SUMIFS('PP F.G ROLL'!K:K,'PP F.G ROLL'!$A:$A,'PP ROLL STOCK'!$C90)</f>
        <v>101</v>
      </c>
      <c r="I90" s="13">
        <f>SUMIFS('PP F.G ROLL'!N:N,'PP F.G ROLL'!$A:$A,'PP ROLL STOCK'!$C90)</f>
        <v>5074.3999999999996</v>
      </c>
      <c r="J90" s="13">
        <f>SUMIFS('PP F.G ROLL'!S:S,'PP F.G ROLL'!$A:$A,'PP ROLL STOCK'!$C90)</f>
        <v>200</v>
      </c>
      <c r="K90" s="13">
        <f>SUMIFS('PP F.G ROLL'!T:T,'PP F.G ROLL'!$A:$A,'PP ROLL STOCK'!$C90)</f>
        <v>5009.2</v>
      </c>
      <c r="L90" s="6">
        <f t="shared" ref="L90:L97" si="16">+H90-J90</f>
        <v>-99</v>
      </c>
      <c r="M90" s="6">
        <f t="shared" ref="M90:M97" si="17">+I90-K90</f>
        <v>65.199999999999818</v>
      </c>
      <c r="N90" s="11" t="str">
        <f>IFERROR(VLOOKUP(C90,'[1]MIX SALE ORDER'!$A:$E,4,),"OTHERS")</f>
        <v>OTHERS</v>
      </c>
      <c r="O90" s="11" t="str">
        <f>VLOOKUP(C90,'PP F.G ROLL'!A:T,4,0)</f>
        <v>PP</v>
      </c>
      <c r="P90" t="e">
        <v>#N/A</v>
      </c>
      <c r="Q90" t="s">
        <v>199</v>
      </c>
      <c r="R90" t="str">
        <f t="shared" si="8"/>
        <v>17/8.5-9</v>
      </c>
    </row>
    <row r="91" spans="1:18" x14ac:dyDescent="0.2">
      <c r="A91" s="9" t="s">
        <v>523</v>
      </c>
      <c r="C91" s="5" t="str">
        <f t="shared" si="15"/>
        <v>3/5</v>
      </c>
      <c r="D91" s="10">
        <f>_xlfn.MAXIFS('PP F.G ROLL'!J:J,'PP F.G ROLL'!A:A,'PP ROLL STOCK'!C91)</f>
        <v>45870</v>
      </c>
      <c r="E91" s="22" t="str" cm="1">
        <f t="array" ref="E91:G91">IFERROR(VLOOKUP(C91,'PP F.G ROLL'!A:T,{2,5,6},0),"-")</f>
        <v>STOCK</v>
      </c>
      <c r="F91" s="24" t="str">
        <v>3</v>
      </c>
      <c r="G91" s="24">
        <v>5</v>
      </c>
      <c r="H91" s="13">
        <f>SUMIFS('PP F.G ROLL'!K:K,'PP F.G ROLL'!$A:$A,'PP ROLL STOCK'!$C91)</f>
        <v>102</v>
      </c>
      <c r="I91" s="13">
        <f>SUMIFS('PP F.G ROLL'!N:N,'PP F.G ROLL'!$A:$A,'PP ROLL STOCK'!$C91)</f>
        <v>1696.4</v>
      </c>
      <c r="J91" s="13">
        <f>SUMIFS('PP F.G ROLL'!S:S,'PP F.G ROLL'!$A:$A,'PP ROLL STOCK'!$C91)</f>
        <v>41</v>
      </c>
      <c r="K91" s="13">
        <f>SUMIFS('PP F.G ROLL'!T:T,'PP F.G ROLL'!$A:$A,'PP ROLL STOCK'!$C91)</f>
        <v>835</v>
      </c>
      <c r="L91" s="6">
        <f t="shared" si="16"/>
        <v>61</v>
      </c>
      <c r="M91" s="6">
        <f t="shared" si="17"/>
        <v>861.40000000000009</v>
      </c>
      <c r="N91" s="11" t="str">
        <f>IFERROR(VLOOKUP(C91,'[1]MIX SALE ORDER'!$A:$E,4,),"OTHERS")</f>
        <v>OTHERS</v>
      </c>
      <c r="O91" s="11" t="str">
        <f>VLOOKUP(C91,'PP F.G ROLL'!A:T,4,0)</f>
        <v>PP</v>
      </c>
      <c r="P91" t="str">
        <v>FGPTPPR000028</v>
      </c>
      <c r="Q91" t="s">
        <v>199</v>
      </c>
      <c r="R91" t="str">
        <f t="shared" si="8"/>
        <v>3/5</v>
      </c>
    </row>
    <row r="92" spans="1:18" x14ac:dyDescent="0.2">
      <c r="A92" s="9" t="s">
        <v>552</v>
      </c>
      <c r="C92" s="5" t="str">
        <f t="shared" si="15"/>
        <v>8/7.5-8</v>
      </c>
      <c r="D92" s="10">
        <f>_xlfn.MAXIFS('PP F.G ROLL'!J:J,'PP F.G ROLL'!A:A,'PP ROLL STOCK'!C92)</f>
        <v>45909</v>
      </c>
      <c r="E92" s="22" t="str" cm="1">
        <f t="array" ref="E92:G92">IFERROR(VLOOKUP(C92,'PP F.G ROLL'!A:T,{2,5,6},0),"-")</f>
        <v>Ibtsam Traders Sheikhupura</v>
      </c>
      <c r="F92" s="24">
        <v>8</v>
      </c>
      <c r="G92" s="24" t="str">
        <v>7.5-8</v>
      </c>
      <c r="H92" s="13">
        <f>SUMIFS('PP F.G ROLL'!K:K,'PP F.G ROLL'!$A:$A,'PP ROLL STOCK'!$C92)</f>
        <v>4</v>
      </c>
      <c r="I92" s="13">
        <f>SUMIFS('PP F.G ROLL'!N:N,'PP F.G ROLL'!$A:$A,'PP ROLL STOCK'!$C92)</f>
        <v>123.27000000000001</v>
      </c>
      <c r="J92" s="13">
        <f>SUMIFS('PP F.G ROLL'!S:S,'PP F.G ROLL'!$A:$A,'PP ROLL STOCK'!$C92)</f>
        <v>4</v>
      </c>
      <c r="K92" s="13">
        <f>SUMIFS('PP F.G ROLL'!T:T,'PP F.G ROLL'!$A:$A,'PP ROLL STOCK'!$C92)</f>
        <v>123.27000000000001</v>
      </c>
      <c r="L92" s="6">
        <f t="shared" si="16"/>
        <v>0</v>
      </c>
      <c r="M92" s="6">
        <f t="shared" si="17"/>
        <v>0</v>
      </c>
      <c r="N92" s="11" t="str">
        <f>IFERROR(VLOOKUP(C92,'[1]MIX SALE ORDER'!$A:$E,4,),"OTHERS")</f>
        <v>OTHERS</v>
      </c>
      <c r="O92" s="11" t="str">
        <f>VLOOKUP(C92,'PP F.G ROLL'!A:T,4,0)</f>
        <v>PP</v>
      </c>
      <c r="P92" t="e">
        <v>#N/A</v>
      </c>
      <c r="Q92" t="s">
        <v>199</v>
      </c>
      <c r="R92" t="str">
        <f t="shared" si="8"/>
        <v>8/7.5-8</v>
      </c>
    </row>
    <row r="93" spans="1:18" x14ac:dyDescent="0.2">
      <c r="A93" s="9" t="s">
        <v>553</v>
      </c>
      <c r="C93" s="5" t="str">
        <f t="shared" si="15"/>
        <v>6/7.5-8</v>
      </c>
      <c r="D93" s="10">
        <f>_xlfn.MAXIFS('PP F.G ROLL'!J:J,'PP F.G ROLL'!A:A,'PP ROLL STOCK'!C93)</f>
        <v>45924</v>
      </c>
      <c r="E93" s="22" t="str" cm="1">
        <f t="array" ref="E93:G93">IFERROR(VLOOKUP(C93,'PP F.G ROLL'!A:T,{2,5,6},0),"-")</f>
        <v>Ibtsam Traders Sheikhupura</v>
      </c>
      <c r="F93" s="24">
        <v>6</v>
      </c>
      <c r="G93" s="24" t="str">
        <v>7.5-8</v>
      </c>
      <c r="H93" s="13">
        <f>SUMIFS('PP F.G ROLL'!K:K,'PP F.G ROLL'!$A:$A,'PP ROLL STOCK'!$C93)</f>
        <v>20</v>
      </c>
      <c r="I93" s="13">
        <f>SUMIFS('PP F.G ROLL'!N:N,'PP F.G ROLL'!$A:$A,'PP ROLL STOCK'!$C93)</f>
        <v>325.63</v>
      </c>
      <c r="J93" s="13">
        <f>SUMIFS('PP F.G ROLL'!S:S,'PP F.G ROLL'!$A:$A,'PP ROLL STOCK'!$C93)</f>
        <v>13</v>
      </c>
      <c r="K93" s="13">
        <f>SUMIFS('PP F.G ROLL'!T:T,'PP F.G ROLL'!$A:$A,'PP ROLL STOCK'!$C93)</f>
        <v>304</v>
      </c>
      <c r="L93" s="6">
        <f t="shared" si="16"/>
        <v>7</v>
      </c>
      <c r="M93" s="6">
        <f t="shared" si="17"/>
        <v>21.629999999999995</v>
      </c>
      <c r="N93" s="11" t="str">
        <f>IFERROR(VLOOKUP(C93,'[1]MIX SALE ORDER'!$A:$E,4,),"OTHERS")</f>
        <v>OTHERS</v>
      </c>
      <c r="O93" s="11" t="str">
        <f>VLOOKUP(C93,'PP F.G ROLL'!A:T,4,0)</f>
        <v>PP</v>
      </c>
      <c r="P93" t="e">
        <v>#N/A</v>
      </c>
      <c r="Q93" t="s">
        <v>199</v>
      </c>
      <c r="R93" t="str">
        <f t="shared" si="8"/>
        <v>6/7.5-8</v>
      </c>
    </row>
    <row r="94" spans="1:18" x14ac:dyDescent="0.2">
      <c r="A94" s="9" t="s">
        <v>554</v>
      </c>
      <c r="C94" s="5" t="str">
        <f t="shared" si="15"/>
        <v>6/4.5</v>
      </c>
      <c r="D94" s="10">
        <f>_xlfn.MAXIFS('PP F.G ROLL'!J:J,'PP F.G ROLL'!A:A,'PP ROLL STOCK'!C94)</f>
        <v>45910</v>
      </c>
      <c r="E94" s="22" t="str" cm="1">
        <f t="array" ref="E94:G94">IFERROR(VLOOKUP(C94,'PP F.G ROLL'!A:T,{2,5,6},0),"-")</f>
        <v>اصف سرگودھا</v>
      </c>
      <c r="F94" s="24">
        <v>6</v>
      </c>
      <c r="G94" s="24">
        <v>4.5</v>
      </c>
      <c r="H94" s="13">
        <f>SUMIFS('PP F.G ROLL'!K:K,'PP F.G ROLL'!$A:$A,'PP ROLL STOCK'!$C94)</f>
        <v>20</v>
      </c>
      <c r="I94" s="13">
        <f>SUMIFS('PP F.G ROLL'!N:N,'PP F.G ROLL'!$A:$A,'PP ROLL STOCK'!$C94)</f>
        <v>531.95000000000005</v>
      </c>
      <c r="J94" s="13">
        <f>SUMIFS('PP F.G ROLL'!S:S,'PP F.G ROLL'!$A:$A,'PP ROLL STOCK'!$C94)</f>
        <v>20</v>
      </c>
      <c r="K94" s="13">
        <f>SUMIFS('PP F.G ROLL'!T:T,'PP F.G ROLL'!$A:$A,'PP ROLL STOCK'!$C94)</f>
        <v>500</v>
      </c>
      <c r="L94" s="6">
        <f t="shared" si="16"/>
        <v>0</v>
      </c>
      <c r="M94" s="6">
        <f t="shared" si="17"/>
        <v>31.950000000000045</v>
      </c>
      <c r="N94" s="11" t="str">
        <f>IFERROR(VLOOKUP(C94,'[1]MIX SALE ORDER'!$A:$E,4,),"OTHERS")</f>
        <v>OTHERS</v>
      </c>
      <c r="O94" s="11" t="str">
        <f>VLOOKUP(C94,'PP F.G ROLL'!A:T,4,0)</f>
        <v>PP</v>
      </c>
      <c r="P94" t="e">
        <v>#N/A</v>
      </c>
      <c r="Q94" t="s">
        <v>199</v>
      </c>
      <c r="R94" t="str">
        <f t="shared" si="8"/>
        <v>6/4.5</v>
      </c>
    </row>
    <row r="95" spans="1:18" x14ac:dyDescent="0.2">
      <c r="A95" s="9" t="s">
        <v>633</v>
      </c>
      <c r="C95" s="5" t="str">
        <f t="shared" si="15"/>
        <v>19/6-6.5</v>
      </c>
      <c r="D95" s="10">
        <f>_xlfn.MAXIFS('PP F.G ROLL'!J:J,'PP F.G ROLL'!A:A,'PP ROLL STOCK'!C95)</f>
        <v>45930</v>
      </c>
      <c r="E95" s="22" t="str" cm="1">
        <f t="array" ref="E95:G95">IFERROR(VLOOKUP(C95,'PP F.G ROLL'!A:T,{2,5,6},0),"-")</f>
        <v>ریفلیکٹ پیک لاہور</v>
      </c>
      <c r="F95" s="24">
        <v>19</v>
      </c>
      <c r="G95" s="24" t="str">
        <v>6-6.5</v>
      </c>
      <c r="H95" s="13">
        <f>SUMIFS('PP F.G ROLL'!K:K,'PP F.G ROLL'!$A:$A,'PP ROLL STOCK'!$C95)</f>
        <v>8</v>
      </c>
      <c r="I95" s="13">
        <f>SUMIFS('PP F.G ROLL'!N:N,'PP F.G ROLL'!$A:$A,'PP ROLL STOCK'!$C95)</f>
        <v>296.16999999999996</v>
      </c>
      <c r="J95" s="13">
        <f>SUMIFS('PP F.G ROLL'!S:S,'PP F.G ROLL'!$A:$A,'PP ROLL STOCK'!$C95)</f>
        <v>8</v>
      </c>
      <c r="K95" s="13">
        <f>SUMIFS('PP F.G ROLL'!T:T,'PP F.G ROLL'!$A:$A,'PP ROLL STOCK'!$C95)</f>
        <v>296.16999999999996</v>
      </c>
      <c r="L95" s="6">
        <f t="shared" si="16"/>
        <v>0</v>
      </c>
      <c r="M95" s="6">
        <f t="shared" si="17"/>
        <v>0</v>
      </c>
      <c r="N95" s="11" t="str">
        <f>IFERROR(VLOOKUP(C95,'[1]MIX SALE ORDER'!$A:$E,4,),"OTHERS")</f>
        <v>OTHERS</v>
      </c>
      <c r="O95" s="11" t="str">
        <f>VLOOKUP(C95,'PP F.G ROLL'!A:T,4,0)</f>
        <v>PP</v>
      </c>
      <c r="P95" t="e">
        <v>#N/A</v>
      </c>
      <c r="Q95" t="s">
        <v>199</v>
      </c>
      <c r="R95" t="str">
        <f t="shared" si="8"/>
        <v>19/6-6.5</v>
      </c>
    </row>
    <row r="96" spans="1:18" x14ac:dyDescent="0.2">
      <c r="A96" s="9" t="s">
        <v>634</v>
      </c>
      <c r="C96" s="5" t="str">
        <f t="shared" si="15"/>
        <v>26/10</v>
      </c>
      <c r="D96" s="10">
        <f>_xlfn.MAXIFS('PP F.G ROLL'!J:J,'PP F.G ROLL'!A:A,'PP ROLL STOCK'!C96)</f>
        <v>45926</v>
      </c>
      <c r="E96" s="22" t="str" cm="1">
        <f t="array" ref="E96:G96">IFERROR(VLOOKUP(C96,'PP F.G ROLL'!A:T,{2,5,6},0),"-")</f>
        <v>عائشہ ٹریڈرز دادیددز</v>
      </c>
      <c r="F96" s="24">
        <v>26</v>
      </c>
      <c r="G96" s="24" t="str">
        <v>10</v>
      </c>
      <c r="H96" s="13">
        <f>SUMIFS('PP F.G ROLL'!K:K,'PP F.G ROLL'!$A:$A,'PP ROLL STOCK'!$C96)</f>
        <v>11</v>
      </c>
      <c r="I96" s="13">
        <f>SUMIFS('PP F.G ROLL'!N:N,'PP F.G ROLL'!$A:$A,'PP ROLL STOCK'!$C96)</f>
        <v>466.39</v>
      </c>
      <c r="J96" s="13">
        <f>SUMIFS('PP F.G ROLL'!S:S,'PP F.G ROLL'!$A:$A,'PP ROLL STOCK'!$C96)</f>
        <v>13</v>
      </c>
      <c r="K96" s="13">
        <f>SUMIFS('PP F.G ROLL'!T:T,'PP F.G ROLL'!$A:$A,'PP ROLL STOCK'!$C96)</f>
        <v>427.34999999999997</v>
      </c>
      <c r="L96" s="6">
        <f t="shared" si="16"/>
        <v>-2</v>
      </c>
      <c r="M96" s="6">
        <f t="shared" si="17"/>
        <v>39.04000000000002</v>
      </c>
      <c r="N96" s="11" t="str">
        <f>IFERROR(VLOOKUP(C96,'[1]MIX SALE ORDER'!$A:$E,4,),"OTHERS")</f>
        <v>OTHERS</v>
      </c>
      <c r="O96" s="11" t="str">
        <f>VLOOKUP(C96,'PP F.G ROLL'!A:T,4,0)</f>
        <v>PP</v>
      </c>
      <c r="P96" t="e">
        <v>#N/A</v>
      </c>
      <c r="Q96" t="s">
        <v>199</v>
      </c>
      <c r="R96" t="str">
        <f t="shared" si="8"/>
        <v>26/10</v>
      </c>
    </row>
    <row r="97" spans="1:18" x14ac:dyDescent="0.2">
      <c r="A97" s="9" t="s">
        <v>635</v>
      </c>
      <c r="C97" s="5" t="str">
        <f t="shared" si="15"/>
        <v>16/6-6.5</v>
      </c>
      <c r="D97" s="10">
        <f>_xlfn.MAXIFS('PP F.G ROLL'!J:J,'PP F.G ROLL'!A:A,'PP ROLL STOCK'!C97)</f>
        <v>45911</v>
      </c>
      <c r="E97" s="22" t="str" cm="1">
        <f t="array" ref="E97:G97">IFERROR(VLOOKUP(C97,'PP F.G ROLL'!A:T,{2,5,6},0),"-")</f>
        <v>Jilani Poly Stock</v>
      </c>
      <c r="F97" s="24">
        <v>16</v>
      </c>
      <c r="G97" s="24" t="str">
        <v>6-6.5</v>
      </c>
      <c r="H97" s="13">
        <f>SUMIFS('PP F.G ROLL'!K:K,'PP F.G ROLL'!$A:$A,'PP ROLL STOCK'!$C97)</f>
        <v>2</v>
      </c>
      <c r="I97" s="13">
        <f>SUMIFS('PP F.G ROLL'!N:N,'PP F.G ROLL'!$A:$A,'PP ROLL STOCK'!$C97)</f>
        <v>96.8</v>
      </c>
      <c r="J97" s="13">
        <f>SUMIFS('PP F.G ROLL'!S:S,'PP F.G ROLL'!$A:$A,'PP ROLL STOCK'!$C97)</f>
        <v>2</v>
      </c>
      <c r="K97" s="13">
        <f>SUMIFS('PP F.G ROLL'!T:T,'PP F.G ROLL'!$A:$A,'PP ROLL STOCK'!$C97)</f>
        <v>96.8</v>
      </c>
      <c r="L97" s="6">
        <f t="shared" si="16"/>
        <v>0</v>
      </c>
      <c r="M97" s="6">
        <f t="shared" si="17"/>
        <v>0</v>
      </c>
      <c r="N97" s="11" t="str">
        <f>IFERROR(VLOOKUP(C97,'[1]MIX SALE ORDER'!$A:$E,4,),"OTHERS")</f>
        <v>OTHERS</v>
      </c>
      <c r="O97" s="11" t="str">
        <f>VLOOKUP(C97,'PP F.G ROLL'!A:T,4,0)</f>
        <v>PP</v>
      </c>
      <c r="P97" t="e">
        <v>#N/A</v>
      </c>
      <c r="Q97" t="s">
        <v>199</v>
      </c>
      <c r="R97" t="str">
        <f t="shared" si="8"/>
        <v>16/6-6.5</v>
      </c>
    </row>
    <row r="98" spans="1:18" x14ac:dyDescent="0.2">
      <c r="A98" s="9" t="s">
        <v>636</v>
      </c>
      <c r="C98" s="5" t="str">
        <f t="shared" ref="C98:C101" si="18">+A98</f>
        <v>18/5-5.5</v>
      </c>
      <c r="D98" s="10">
        <f>_xlfn.MAXIFS('PP F.G ROLL'!J:J,'PP F.G ROLL'!A:A,'PP ROLL STOCK'!C98)</f>
        <v>45923</v>
      </c>
      <c r="E98" s="22" t="str" cm="1">
        <f t="array" ref="E98:G98">IFERROR(VLOOKUP(C98,'PP F.G ROLL'!A:T,{2,5,6},0),"-")</f>
        <v>ہیڈ افس سٹاک لاہور</v>
      </c>
      <c r="F98" s="24">
        <v>18</v>
      </c>
      <c r="G98" s="24" t="str">
        <v>5-5.5</v>
      </c>
      <c r="H98" s="13">
        <f>SUMIFS('PP F.G ROLL'!K:K,'PP F.G ROLL'!$A:$A,'PP ROLL STOCK'!$C98)</f>
        <v>67</v>
      </c>
      <c r="I98" s="13">
        <f>SUMIFS('PP F.G ROLL'!N:N,'PP F.G ROLL'!$A:$A,'PP ROLL STOCK'!$C98)</f>
        <v>3350.23</v>
      </c>
      <c r="J98" s="13">
        <f>SUMIFS('PP F.G ROLL'!S:S,'PP F.G ROLL'!$A:$A,'PP ROLL STOCK'!$C98)</f>
        <v>15</v>
      </c>
      <c r="K98" s="13">
        <f>SUMIFS('PP F.G ROLL'!T:T,'PP F.G ROLL'!$A:$A,'PP ROLL STOCK'!$C98)</f>
        <v>2012.0100000000002</v>
      </c>
      <c r="L98" s="6">
        <f t="shared" ref="L98:L101" si="19">+H98-J98</f>
        <v>52</v>
      </c>
      <c r="M98" s="6">
        <f t="shared" ref="M98:M101" si="20">+I98-K98</f>
        <v>1338.2199999999998</v>
      </c>
      <c r="N98" s="11" t="str">
        <f>IFERROR(VLOOKUP(C98,'[1]MIX SALE ORDER'!$A:$E,4,),"OTHERS")</f>
        <v>OTHERS</v>
      </c>
      <c r="O98" s="11" t="str">
        <f>VLOOKUP(C98,'PP F.G ROLL'!A:T,4,0)</f>
        <v>PP</v>
      </c>
      <c r="P98" t="e">
        <v>#N/A</v>
      </c>
    </row>
    <row r="99" spans="1:18" x14ac:dyDescent="0.2">
      <c r="A99" s="9" t="s">
        <v>637</v>
      </c>
      <c r="C99" s="5" t="str">
        <f t="shared" si="18"/>
        <v>5/5</v>
      </c>
      <c r="D99" s="10">
        <f>_xlfn.MAXIFS('PP F.G ROLL'!J:J,'PP F.G ROLL'!A:A,'PP ROLL STOCK'!C99)</f>
        <v>45930</v>
      </c>
      <c r="E99" s="22" t="str" cm="1">
        <f t="array" ref="E99:G99">IFERROR(VLOOKUP(C99,'PP F.G ROLL'!A:T,{2,5,6},0),"-")</f>
        <v>STOCK</v>
      </c>
      <c r="F99" s="24" t="str">
        <v>5</v>
      </c>
      <c r="G99" s="24">
        <v>5</v>
      </c>
      <c r="H99" s="13">
        <f>SUMIFS('PP F.G ROLL'!K:K,'PP F.G ROLL'!$A:$A,'PP ROLL STOCK'!$C99)</f>
        <v>37</v>
      </c>
      <c r="I99" s="13">
        <f>SUMIFS('PP F.G ROLL'!N:N,'PP F.G ROLL'!$A:$A,'PP ROLL STOCK'!$C99)</f>
        <v>925</v>
      </c>
      <c r="J99" s="13">
        <f>SUMIFS('PP F.G ROLL'!S:S,'PP F.G ROLL'!$A:$A,'PP ROLL STOCK'!$C99)</f>
        <v>37</v>
      </c>
      <c r="K99" s="13">
        <f>SUMIFS('PP F.G ROLL'!T:T,'PP F.G ROLL'!$A:$A,'PP ROLL STOCK'!$C99)</f>
        <v>925</v>
      </c>
      <c r="L99" s="6">
        <f t="shared" si="19"/>
        <v>0</v>
      </c>
      <c r="M99" s="6">
        <f t="shared" si="20"/>
        <v>0</v>
      </c>
      <c r="N99" s="11" t="str">
        <f>IFERROR(VLOOKUP(C99,'[1]MIX SALE ORDER'!$A:$E,4,),"OTHERS")</f>
        <v>OTHERS</v>
      </c>
      <c r="O99" s="11" t="str">
        <f>VLOOKUP(C99,'PP F.G ROLL'!A:T,4,0)</f>
        <v>PP</v>
      </c>
      <c r="P99" t="e">
        <v>#N/A</v>
      </c>
    </row>
    <row r="100" spans="1:18" x14ac:dyDescent="0.2">
      <c r="A100" s="9" t="s">
        <v>717</v>
      </c>
      <c r="C100" s="5" t="str">
        <f t="shared" si="18"/>
        <v>4/5-5.5</v>
      </c>
      <c r="D100" s="10">
        <f>_xlfn.MAXIFS('PP F.G ROLL'!J:J,'PP F.G ROLL'!A:A,'PP ROLL STOCK'!C100)</f>
        <v>45928</v>
      </c>
      <c r="E100" s="22" t="str" cm="1">
        <f t="array" ref="E100:G100">IFERROR(VLOOKUP(C100,'PP F.G ROLL'!A:T,{2,5,6},0),"-")</f>
        <v>سٹاک</v>
      </c>
      <c r="F100" s="24">
        <v>4</v>
      </c>
      <c r="G100" s="24" t="str">
        <v>5-5.5</v>
      </c>
      <c r="H100" s="13">
        <f>SUMIFS('PP F.G ROLL'!K:K,'PP F.G ROLL'!$A:$A,'PP ROLL STOCK'!$C100)</f>
        <v>99</v>
      </c>
      <c r="I100" s="13">
        <f>SUMIFS('PP F.G ROLL'!N:N,'PP F.G ROLL'!$A:$A,'PP ROLL STOCK'!$C100)</f>
        <v>1442.1399999999999</v>
      </c>
      <c r="J100" s="13">
        <f>SUMIFS('PP F.G ROLL'!S:S,'PP F.G ROLL'!$A:$A,'PP ROLL STOCK'!$C100)</f>
        <v>0</v>
      </c>
      <c r="K100" s="13">
        <f>SUMIFS('PP F.G ROLL'!T:T,'PP F.G ROLL'!$A:$A,'PP ROLL STOCK'!$C100)</f>
        <v>0</v>
      </c>
      <c r="L100" s="6">
        <f t="shared" si="19"/>
        <v>99</v>
      </c>
      <c r="M100" s="6">
        <f t="shared" si="20"/>
        <v>1442.1399999999999</v>
      </c>
      <c r="N100" s="11" t="str">
        <f>IFERROR(VLOOKUP(C100,'[1]MIX SALE ORDER'!$A:$E,4,),"OTHERS")</f>
        <v>OTHERS</v>
      </c>
      <c r="O100" s="11" t="str">
        <f>VLOOKUP(C100,'PP F.G ROLL'!A:T,4,0)</f>
        <v>PP</v>
      </c>
      <c r="P100" t="e">
        <v>#N/A</v>
      </c>
    </row>
    <row r="101" spans="1:18" x14ac:dyDescent="0.2">
      <c r="A101" s="9" t="s">
        <v>718</v>
      </c>
      <c r="C101" s="5" t="str">
        <f t="shared" si="18"/>
        <v>9/5-5.5</v>
      </c>
      <c r="D101" s="10">
        <f>_xlfn.MAXIFS('PP F.G ROLL'!J:J,'PP F.G ROLL'!A:A,'PP ROLL STOCK'!C101)</f>
        <v>45913</v>
      </c>
      <c r="E101" s="22" t="str" cm="1">
        <f t="array" ref="E101:G101">IFERROR(VLOOKUP(C101,'PP F.G ROLL'!A:T,{2,5,6},0),"-")</f>
        <v>سٹاک</v>
      </c>
      <c r="F101" s="24">
        <v>9</v>
      </c>
      <c r="G101" s="24" t="str">
        <v>5-5.5</v>
      </c>
      <c r="H101" s="13">
        <f>SUMIFS('PP F.G ROLL'!K:K,'PP F.G ROLL'!$A:$A,'PP ROLL STOCK'!$C101)</f>
        <v>25</v>
      </c>
      <c r="I101" s="13">
        <f>SUMIFS('PP F.G ROLL'!N:N,'PP F.G ROLL'!$A:$A,'PP ROLL STOCK'!$C101)</f>
        <v>803.18999999999994</v>
      </c>
      <c r="J101" s="13">
        <f>SUMIFS('PP F.G ROLL'!S:S,'PP F.G ROLL'!$A:$A,'PP ROLL STOCK'!$C101)</f>
        <v>0</v>
      </c>
      <c r="K101" s="13">
        <f>SUMIFS('PP F.G ROLL'!T:T,'PP F.G ROLL'!$A:$A,'PP ROLL STOCK'!$C101)</f>
        <v>0</v>
      </c>
      <c r="L101" s="6">
        <f t="shared" si="19"/>
        <v>25</v>
      </c>
      <c r="M101" s="6">
        <f t="shared" si="20"/>
        <v>803.18999999999994</v>
      </c>
      <c r="N101" s="11" t="str">
        <f>IFERROR(VLOOKUP(C101,'[1]MIX SALE ORDER'!$A:$E,4,),"OTHERS")</f>
        <v>OTHERS</v>
      </c>
      <c r="O101" s="11" t="str">
        <f>VLOOKUP(C101,'PP F.G ROLL'!A:T,4,0)</f>
        <v>PP</v>
      </c>
      <c r="P101" t="e">
        <v>#N/A</v>
      </c>
    </row>
    <row r="102" spans="1:18" x14ac:dyDescent="0.2">
      <c r="A102" s="9" t="s">
        <v>719</v>
      </c>
      <c r="C102" s="5" t="str">
        <f t="shared" ref="C102:C109" si="21">+A102</f>
        <v>20/8</v>
      </c>
      <c r="D102" s="10">
        <f>_xlfn.MAXIFS('PP F.G ROLL'!J:J,'PP F.G ROLL'!A:A,'PP ROLL STOCK'!C102)</f>
        <v>45930</v>
      </c>
      <c r="E102" s="22" t="str" cm="1">
        <f t="array" ref="E102:G102">IFERROR(VLOOKUP(C102,'PP F.G ROLL'!A:T,{2,5,6},0),"-")</f>
        <v>محبوب مقبول گوجرانوالہ</v>
      </c>
      <c r="F102" s="24">
        <v>20</v>
      </c>
      <c r="G102" s="24">
        <v>8</v>
      </c>
      <c r="H102" s="13">
        <f>SUMIFS('PP F.G ROLL'!K:K,'PP F.G ROLL'!$A:$A,'PP ROLL STOCK'!$C102)</f>
        <v>15</v>
      </c>
      <c r="I102" s="13">
        <f>SUMIFS('PP F.G ROLL'!N:N,'PP F.G ROLL'!$A:$A,'PP ROLL STOCK'!$C102)</f>
        <v>372.6</v>
      </c>
      <c r="J102" s="13">
        <f>SUMIFS('PP F.G ROLL'!S:S,'PP F.G ROLL'!$A:$A,'PP ROLL STOCK'!$C102)</f>
        <v>15</v>
      </c>
      <c r="K102" s="13">
        <f>SUMIFS('PP F.G ROLL'!T:T,'PP F.G ROLL'!$A:$A,'PP ROLL STOCK'!$C102)</f>
        <v>372.6</v>
      </c>
      <c r="L102" s="6">
        <f t="shared" ref="L102:L109" si="22">+H102-J102</f>
        <v>0</v>
      </c>
      <c r="M102" s="6">
        <f t="shared" ref="M102:M109" si="23">+I102-K102</f>
        <v>0</v>
      </c>
      <c r="N102" s="11" t="str">
        <f>IFERROR(VLOOKUP(C102,'[1]MIX SALE ORDER'!$A:$E,4,),"OTHERS")</f>
        <v>OTHERS</v>
      </c>
      <c r="O102" s="11" t="str">
        <f>VLOOKUP(C102,'PP F.G ROLL'!A:T,4,0)</f>
        <v>PP</v>
      </c>
      <c r="P102" t="e">
        <v>#N/A</v>
      </c>
    </row>
    <row r="103" spans="1:18" x14ac:dyDescent="0.2">
      <c r="A103" s="9" t="s">
        <v>720</v>
      </c>
      <c r="C103" s="5" t="str">
        <f t="shared" si="21"/>
        <v>22/8</v>
      </c>
      <c r="D103" s="10">
        <f>_xlfn.MAXIFS('PP F.G ROLL'!J:J,'PP F.G ROLL'!A:A,'PP ROLL STOCK'!C103)</f>
        <v>45913</v>
      </c>
      <c r="E103" s="22" t="str" cm="1">
        <f t="array" ref="E103:G103">IFERROR(VLOOKUP(C103,'PP F.G ROLL'!A:T,{2,5,6},0),"-")</f>
        <v>محبوب مقبول گوجرانوالہ</v>
      </c>
      <c r="F103" s="24">
        <v>22</v>
      </c>
      <c r="G103" s="24">
        <v>8</v>
      </c>
      <c r="H103" s="13">
        <f>SUMIFS('PP F.G ROLL'!K:K,'PP F.G ROLL'!$A:$A,'PP ROLL STOCK'!$C103)</f>
        <v>10</v>
      </c>
      <c r="I103" s="13">
        <f>SUMIFS('PP F.G ROLL'!N:N,'PP F.G ROLL'!$A:$A,'PP ROLL STOCK'!$C103)</f>
        <v>430.17999999999995</v>
      </c>
      <c r="J103" s="13">
        <f>SUMIFS('PP F.G ROLL'!S:S,'PP F.G ROLL'!$A:$A,'PP ROLL STOCK'!$C103)</f>
        <v>15</v>
      </c>
      <c r="K103" s="13">
        <f>SUMIFS('PP F.G ROLL'!T:T,'PP F.G ROLL'!$A:$A,'PP ROLL STOCK'!$C103)</f>
        <v>379.7</v>
      </c>
      <c r="L103" s="6">
        <f t="shared" si="22"/>
        <v>-5</v>
      </c>
      <c r="M103" s="6">
        <f t="shared" si="23"/>
        <v>50.479999999999961</v>
      </c>
      <c r="N103" s="11" t="str">
        <f>IFERROR(VLOOKUP(C103,'[1]MIX SALE ORDER'!$A:$E,4,),"OTHERS")</f>
        <v>OTHERS</v>
      </c>
      <c r="O103" s="11" t="str">
        <f>VLOOKUP(C103,'PP F.G ROLL'!A:T,4,0)</f>
        <v>PP</v>
      </c>
      <c r="P103" t="e">
        <v>#N/A</v>
      </c>
    </row>
    <row r="104" spans="1:18" x14ac:dyDescent="0.2">
      <c r="A104" s="9" t="s">
        <v>721</v>
      </c>
      <c r="C104" s="5" t="str">
        <f t="shared" si="21"/>
        <v>12/10</v>
      </c>
      <c r="D104" s="10">
        <f>_xlfn.MAXIFS('PP F.G ROLL'!J:J,'PP F.G ROLL'!A:A,'PP ROLL STOCK'!C104)</f>
        <v>45912</v>
      </c>
      <c r="E104" s="22" t="str" cm="1">
        <f t="array" ref="E104:G104">IFERROR(VLOOKUP(C104,'PP F.G ROLL'!A:T,{2,5,6},0),"-")</f>
        <v>خرم پلاسٹک لالہ موسہ</v>
      </c>
      <c r="F104" s="24">
        <v>12</v>
      </c>
      <c r="G104" s="24">
        <v>10</v>
      </c>
      <c r="H104" s="13">
        <f>SUMIFS('PP F.G ROLL'!K:K,'PP F.G ROLL'!$A:$A,'PP ROLL STOCK'!$C104)</f>
        <v>2</v>
      </c>
      <c r="I104" s="13">
        <f>SUMIFS('PP F.G ROLL'!N:N,'PP F.G ROLL'!$A:$A,'PP ROLL STOCK'!$C104)</f>
        <v>63.030000000000008</v>
      </c>
      <c r="J104" s="13">
        <f>SUMIFS('PP F.G ROLL'!S:S,'PP F.G ROLL'!$A:$A,'PP ROLL STOCK'!$C104)</f>
        <v>2</v>
      </c>
      <c r="K104" s="13">
        <f>SUMIFS('PP F.G ROLL'!T:T,'PP F.G ROLL'!$A:$A,'PP ROLL STOCK'!$C104)</f>
        <v>61.3</v>
      </c>
      <c r="L104" s="6">
        <f t="shared" si="22"/>
        <v>0</v>
      </c>
      <c r="M104" s="6">
        <f t="shared" si="23"/>
        <v>1.7300000000000111</v>
      </c>
      <c r="N104" s="11" t="str">
        <f>IFERROR(VLOOKUP(C104,'[1]MIX SALE ORDER'!$A:$E,4,),"OTHERS")</f>
        <v>OTHERS</v>
      </c>
      <c r="O104" s="11" t="str">
        <f>VLOOKUP(C104,'PP F.G ROLL'!A:T,4,0)</f>
        <v>PP</v>
      </c>
      <c r="P104" t="e">
        <v>#N/A</v>
      </c>
    </row>
    <row r="105" spans="1:18" x14ac:dyDescent="0.2">
      <c r="A105" s="9" t="s">
        <v>722</v>
      </c>
      <c r="C105" s="5" t="str">
        <f t="shared" si="21"/>
        <v>14/5-5.5</v>
      </c>
      <c r="D105" s="10">
        <f>_xlfn.MAXIFS('PP F.G ROLL'!J:J,'PP F.G ROLL'!A:A,'PP ROLL STOCK'!C105)</f>
        <v>45930</v>
      </c>
      <c r="E105" s="22" t="str" cm="1">
        <f t="array" ref="E105:G105">IFERROR(VLOOKUP(C105,'PP F.G ROLL'!A:T,{2,5,6},0),"-")</f>
        <v>ریفلیکٹ پیک لاہور</v>
      </c>
      <c r="F105" s="24">
        <v>14</v>
      </c>
      <c r="G105" s="24" t="str">
        <v>5-5.5</v>
      </c>
      <c r="H105" s="13">
        <f>SUMIFS('PP F.G ROLL'!K:K,'PP F.G ROLL'!$A:$A,'PP ROLL STOCK'!$C105)</f>
        <v>7</v>
      </c>
      <c r="I105" s="13">
        <f>SUMIFS('PP F.G ROLL'!N:N,'PP F.G ROLL'!$A:$A,'PP ROLL STOCK'!$C105)</f>
        <v>175</v>
      </c>
      <c r="J105" s="13">
        <f>SUMIFS('PP F.G ROLL'!S:S,'PP F.G ROLL'!$A:$A,'PP ROLL STOCK'!$C105)</f>
        <v>7</v>
      </c>
      <c r="K105" s="13">
        <f>SUMIFS('PP F.G ROLL'!T:T,'PP F.G ROLL'!$A:$A,'PP ROLL STOCK'!$C105)</f>
        <v>175</v>
      </c>
      <c r="L105" s="6">
        <f t="shared" si="22"/>
        <v>0</v>
      </c>
      <c r="M105" s="6">
        <f t="shared" si="23"/>
        <v>0</v>
      </c>
      <c r="N105" s="11" t="str">
        <f>IFERROR(VLOOKUP(C105,'[1]MIX SALE ORDER'!$A:$E,4,),"OTHERS")</f>
        <v>OTHERS</v>
      </c>
      <c r="O105" s="11" t="str">
        <f>VLOOKUP(C105,'PP F.G ROLL'!A:T,4,0)</f>
        <v>PP</v>
      </c>
      <c r="P105" t="e">
        <v>#N/A</v>
      </c>
    </row>
    <row r="106" spans="1:18" x14ac:dyDescent="0.2">
      <c r="A106" s="9" t="s">
        <v>1126</v>
      </c>
      <c r="C106" s="5" t="str">
        <f t="shared" si="21"/>
        <v>2.5/5.5-6</v>
      </c>
      <c r="D106" s="10">
        <f>_xlfn.MAXIFS('PP F.G ROLL'!J:J,'PP F.G ROLL'!A:A,'PP ROLL STOCK'!C106)</f>
        <v>45929</v>
      </c>
      <c r="E106" s="22" t="str" cm="1">
        <f t="array" ref="E106:G106">IFERROR(VLOOKUP(C106,'PP F.G ROLL'!A:T,{2,5,6},0),"-")</f>
        <v>سٹاک</v>
      </c>
      <c r="F106" s="24">
        <v>2.5</v>
      </c>
      <c r="G106" s="24" t="str">
        <v>5.5-6</v>
      </c>
      <c r="H106" s="13">
        <f>SUMIFS('PP F.G ROLL'!K:K,'PP F.G ROLL'!$A:$A,'PP ROLL STOCK'!$C106)</f>
        <v>114</v>
      </c>
      <c r="I106" s="13">
        <f>SUMIFS('PP F.G ROLL'!N:N,'PP F.G ROLL'!$A:$A,'PP ROLL STOCK'!$C106)</f>
        <v>1396.8699999999997</v>
      </c>
      <c r="J106" s="13">
        <f>SUMIFS('PP F.G ROLL'!S:S,'PP F.G ROLL'!$A:$A,'PP ROLL STOCK'!$C106)</f>
        <v>2</v>
      </c>
      <c r="K106" s="13">
        <f>SUMIFS('PP F.G ROLL'!T:T,'PP F.G ROLL'!$A:$A,'PP ROLL STOCK'!$C106)</f>
        <v>40</v>
      </c>
      <c r="L106" s="6">
        <f t="shared" si="22"/>
        <v>112</v>
      </c>
      <c r="M106" s="6">
        <f t="shared" si="23"/>
        <v>1356.8699999999997</v>
      </c>
      <c r="N106" s="11" t="str">
        <f>IFERROR(VLOOKUP(C106,'[1]MIX SALE ORDER'!$A:$E,4,),"OTHERS")</f>
        <v>OTHERS</v>
      </c>
      <c r="O106" s="11" t="str">
        <f>VLOOKUP(C106,'PP F.G ROLL'!A:T,4,0)</f>
        <v>PP</v>
      </c>
      <c r="P106" t="e">
        <v>#N/A</v>
      </c>
    </row>
    <row r="107" spans="1:18" x14ac:dyDescent="0.2">
      <c r="A107" s="9" t="s">
        <v>753</v>
      </c>
      <c r="C107" s="5" t="str">
        <f t="shared" si="21"/>
        <v>5/5.5-6</v>
      </c>
      <c r="D107" s="10">
        <f>_xlfn.MAXIFS('PP F.G ROLL'!J:J,'PP F.G ROLL'!A:A,'PP ROLL STOCK'!C107)</f>
        <v>45915</v>
      </c>
      <c r="E107" s="22" t="str" cm="1">
        <f t="array" ref="E107:G107">IFERROR(VLOOKUP(C107,'PP F.G ROLL'!A:T,{2,5,6},0),"-")</f>
        <v>سٹاک</v>
      </c>
      <c r="F107" s="24">
        <v>5</v>
      </c>
      <c r="G107" s="24" t="str">
        <v>5.5-6</v>
      </c>
      <c r="H107" s="13">
        <f>SUMIFS('PP F.G ROLL'!K:K,'PP F.G ROLL'!$A:$A,'PP ROLL STOCK'!$C107)</f>
        <v>36</v>
      </c>
      <c r="I107" s="13">
        <f>SUMIFS('PP F.G ROLL'!N:N,'PP F.G ROLL'!$A:$A,'PP ROLL STOCK'!$C107)</f>
        <v>623.42999999999995</v>
      </c>
      <c r="J107" s="13">
        <f>SUMIFS('PP F.G ROLL'!S:S,'PP F.G ROLL'!$A:$A,'PP ROLL STOCK'!$C107)</f>
        <v>0</v>
      </c>
      <c r="K107" s="13">
        <f>SUMIFS('PP F.G ROLL'!T:T,'PP F.G ROLL'!$A:$A,'PP ROLL STOCK'!$C107)</f>
        <v>0</v>
      </c>
      <c r="L107" s="6">
        <f t="shared" si="22"/>
        <v>36</v>
      </c>
      <c r="M107" s="6">
        <f t="shared" si="23"/>
        <v>623.42999999999995</v>
      </c>
      <c r="N107" s="11" t="str">
        <f>IFERROR(VLOOKUP(C107,'[1]MIX SALE ORDER'!$A:$E,4,),"OTHERS")</f>
        <v>OTHERS</v>
      </c>
      <c r="O107" s="11" t="str">
        <f>VLOOKUP(C107,'PP F.G ROLL'!A:T,4,0)</f>
        <v>PP</v>
      </c>
      <c r="P107" t="e">
        <v>#N/A</v>
      </c>
    </row>
    <row r="108" spans="1:18" x14ac:dyDescent="0.2">
      <c r="A108" s="9" t="s">
        <v>1127</v>
      </c>
      <c r="C108" s="5" t="str">
        <f t="shared" si="21"/>
        <v>3/5.5-6</v>
      </c>
      <c r="D108" s="10">
        <f>_xlfn.MAXIFS('PP F.G ROLL'!J:J,'PP F.G ROLL'!A:A,'PP ROLL STOCK'!C108)</f>
        <v>45917</v>
      </c>
      <c r="E108" s="22" t="str" cm="1">
        <f t="array" ref="E108:G108">IFERROR(VLOOKUP(C108,'PP F.G ROLL'!A:T,{2,5,6},0),"-")</f>
        <v>جیلانی پولی سٹاک</v>
      </c>
      <c r="F108" s="24">
        <v>3</v>
      </c>
      <c r="G108" s="24" t="str">
        <v>5.5-6</v>
      </c>
      <c r="H108" s="13">
        <f>SUMIFS('PP F.G ROLL'!K:K,'PP F.G ROLL'!$A:$A,'PP ROLL STOCK'!$C108)</f>
        <v>29</v>
      </c>
      <c r="I108" s="13">
        <f>SUMIFS('PP F.G ROLL'!N:N,'PP F.G ROLL'!$A:$A,'PP ROLL STOCK'!$C108)</f>
        <v>406.91</v>
      </c>
      <c r="J108" s="13">
        <f>SUMIFS('PP F.G ROLL'!S:S,'PP F.G ROLL'!$A:$A,'PP ROLL STOCK'!$C108)</f>
        <v>0</v>
      </c>
      <c r="K108" s="13">
        <f>SUMIFS('PP F.G ROLL'!T:T,'PP F.G ROLL'!$A:$A,'PP ROLL STOCK'!$C108)</f>
        <v>0</v>
      </c>
      <c r="L108" s="6">
        <f t="shared" si="22"/>
        <v>29</v>
      </c>
      <c r="M108" s="6">
        <f t="shared" si="23"/>
        <v>406.91</v>
      </c>
      <c r="N108" s="11" t="str">
        <f>IFERROR(VLOOKUP(C108,'[1]MIX SALE ORDER'!$A:$E,4,),"OTHERS")</f>
        <v>OTHERS</v>
      </c>
      <c r="O108" s="11" t="str">
        <f>VLOOKUP(C108,'PP F.G ROLL'!A:T,4,0)</f>
        <v>PP</v>
      </c>
      <c r="P108" t="e">
        <v>#N/A</v>
      </c>
    </row>
    <row r="109" spans="1:18" x14ac:dyDescent="0.2">
      <c r="A109" s="9" t="s">
        <v>1128</v>
      </c>
      <c r="C109" s="5" t="str">
        <f t="shared" si="21"/>
        <v>9/5.5</v>
      </c>
      <c r="D109" s="10">
        <f>_xlfn.MAXIFS('PP F.G ROLL'!J:J,'PP F.G ROLL'!A:A,'PP ROLL STOCK'!C109)</f>
        <v>45930</v>
      </c>
      <c r="E109" s="22" t="str" cm="1">
        <f t="array" ref="E109:G109">IFERROR(VLOOKUP(C109,'PP F.G ROLL'!A:T,{2,5,6},0),"-")</f>
        <v>ایم عمران پاکستان مارکیٹ</v>
      </c>
      <c r="F109" s="24">
        <v>9</v>
      </c>
      <c r="G109" s="24">
        <v>5.5</v>
      </c>
      <c r="H109" s="13">
        <f>SUMIFS('PP F.G ROLL'!K:K,'PP F.G ROLL'!$A:$A,'PP ROLL STOCK'!$C109)</f>
        <v>2</v>
      </c>
      <c r="I109" s="13">
        <f>SUMIFS('PP F.G ROLL'!N:N,'PP F.G ROLL'!$A:$A,'PP ROLL STOCK'!$C109)</f>
        <v>52.97</v>
      </c>
      <c r="J109" s="13">
        <f>SUMIFS('PP F.G ROLL'!S:S,'PP F.G ROLL'!$A:$A,'PP ROLL STOCK'!$C109)</f>
        <v>2</v>
      </c>
      <c r="K109" s="13">
        <f>SUMIFS('PP F.G ROLL'!T:T,'PP F.G ROLL'!$A:$A,'PP ROLL STOCK'!$C109)</f>
        <v>52.97</v>
      </c>
      <c r="L109" s="6">
        <f t="shared" si="22"/>
        <v>0</v>
      </c>
      <c r="M109" s="6">
        <f t="shared" si="23"/>
        <v>0</v>
      </c>
      <c r="N109" s="11" t="str">
        <f>IFERROR(VLOOKUP(C109,'[1]MIX SALE ORDER'!$A:$E,4,),"OTHERS")</f>
        <v>OTHERS</v>
      </c>
      <c r="O109" s="11" t="str">
        <f>VLOOKUP(C109,'PP F.G ROLL'!A:T,4,0)</f>
        <v>PP</v>
      </c>
      <c r="P109" t="e">
        <v>#N/A</v>
      </c>
    </row>
    <row r="110" spans="1:18" x14ac:dyDescent="0.2">
      <c r="A110" s="9" t="s">
        <v>1129</v>
      </c>
      <c r="C110" s="5" t="str">
        <f t="shared" ref="C110:C146" si="24">+A110</f>
        <v>15/6.5</v>
      </c>
      <c r="D110" s="10">
        <f>_xlfn.MAXIFS('PP F.G ROLL'!J:J,'PP F.G ROLL'!A:A,'PP ROLL STOCK'!C110)</f>
        <v>45930</v>
      </c>
      <c r="E110" s="22" t="str" cm="1">
        <f t="array" ref="E110:G110">IFERROR(VLOOKUP(C110,'PP F.G ROLL'!A:T,{2,5,6},0),"-")</f>
        <v>ایم عمران پاکستان مارکیٹ</v>
      </c>
      <c r="F110" s="24">
        <v>15</v>
      </c>
      <c r="G110" s="24">
        <v>6.5</v>
      </c>
      <c r="H110" s="13">
        <f>SUMIFS('PP F.G ROLL'!K:K,'PP F.G ROLL'!$A:$A,'PP ROLL STOCK'!$C110)</f>
        <v>43</v>
      </c>
      <c r="I110" s="13">
        <f>SUMIFS('PP F.G ROLL'!N:N,'PP F.G ROLL'!$A:$A,'PP ROLL STOCK'!$C110)</f>
        <v>1592.0900000000001</v>
      </c>
      <c r="J110" s="13">
        <f>SUMIFS('PP F.G ROLL'!S:S,'PP F.G ROLL'!$A:$A,'PP ROLL STOCK'!$C110)</f>
        <v>43</v>
      </c>
      <c r="K110" s="13">
        <f>SUMIFS('PP F.G ROLL'!T:T,'PP F.G ROLL'!$A:$A,'PP ROLL STOCK'!$C110)</f>
        <v>1592.0900000000001</v>
      </c>
      <c r="L110" s="6">
        <f t="shared" ref="L110:L146" si="25">+H110-J110</f>
        <v>0</v>
      </c>
      <c r="M110" s="6">
        <f t="shared" ref="M110:M146" si="26">+I110-K110</f>
        <v>0</v>
      </c>
      <c r="N110" s="11" t="str">
        <f>IFERROR(VLOOKUP(C110,'[1]MIX SALE ORDER'!$A:$E,4,),"OTHERS")</f>
        <v>OTHERS</v>
      </c>
      <c r="O110" s="11" t="str">
        <f>VLOOKUP(C110,'PP F.G ROLL'!A:T,4,0)</f>
        <v>PP</v>
      </c>
      <c r="P110" t="e">
        <v>#N/A</v>
      </c>
    </row>
    <row r="111" spans="1:18" x14ac:dyDescent="0.2">
      <c r="A111" s="9" t="s">
        <v>1130</v>
      </c>
      <c r="C111" s="5" t="str">
        <f t="shared" si="24"/>
        <v>5.5/10</v>
      </c>
      <c r="D111" s="10">
        <f>_xlfn.MAXIFS('PP F.G ROLL'!J:J,'PP F.G ROLL'!A:A,'PP ROLL STOCK'!C111)</f>
        <v>45930</v>
      </c>
      <c r="E111" s="22" t="str" cm="1">
        <f t="array" ref="E111:G111">IFERROR(VLOOKUP(C111,'PP F.G ROLL'!A:T,{2,5,6},0),"-")</f>
        <v>خرم پلاسٹک لالہ موسہ</v>
      </c>
      <c r="F111" s="24">
        <v>5.5</v>
      </c>
      <c r="G111" s="24">
        <v>10</v>
      </c>
      <c r="H111" s="13">
        <f>SUMIFS('PP F.G ROLL'!K:K,'PP F.G ROLL'!$A:$A,'PP ROLL STOCK'!$C111)</f>
        <v>3</v>
      </c>
      <c r="I111" s="13">
        <f>SUMIFS('PP F.G ROLL'!N:N,'PP F.G ROLL'!$A:$A,'PP ROLL STOCK'!$C111)</f>
        <v>77.400000000000006</v>
      </c>
      <c r="J111" s="13">
        <f>SUMIFS('PP F.G ROLL'!S:S,'PP F.G ROLL'!$A:$A,'PP ROLL STOCK'!$C111)</f>
        <v>3</v>
      </c>
      <c r="K111" s="13">
        <f>SUMIFS('PP F.G ROLL'!T:T,'PP F.G ROLL'!$A:$A,'PP ROLL STOCK'!$C111)</f>
        <v>77.400000000000006</v>
      </c>
      <c r="L111" s="6">
        <f t="shared" si="25"/>
        <v>0</v>
      </c>
      <c r="M111" s="6">
        <f t="shared" si="26"/>
        <v>0</v>
      </c>
      <c r="N111" s="11" t="str">
        <f>IFERROR(VLOOKUP(C111,'[1]MIX SALE ORDER'!$A:$E,4,),"OTHERS")</f>
        <v>OTHERS</v>
      </c>
      <c r="O111" s="11" t="str">
        <f>VLOOKUP(C111,'PP F.G ROLL'!A:T,4,0)</f>
        <v>PP</v>
      </c>
      <c r="P111" t="e">
        <v>#N/A</v>
      </c>
    </row>
    <row r="112" spans="1:18" x14ac:dyDescent="0.2">
      <c r="A112" s="9" t="s">
        <v>1131</v>
      </c>
      <c r="C112" s="5" t="str">
        <f t="shared" si="24"/>
        <v>26/14</v>
      </c>
      <c r="D112" s="10">
        <f>_xlfn.MAXIFS('PP F.G ROLL'!J:J,'PP F.G ROLL'!A:A,'PP ROLL STOCK'!C112)</f>
        <v>45916</v>
      </c>
      <c r="E112" s="22" t="str" cm="1">
        <f t="array" ref="E112:G112">IFERROR(VLOOKUP(C112,'PP F.G ROLL'!A:T,{2,5,6},0),"-")</f>
        <v>شمس القمر سٹال اعظم مارکیٹ</v>
      </c>
      <c r="F112" s="24">
        <v>26</v>
      </c>
      <c r="G112" s="24">
        <v>14</v>
      </c>
      <c r="H112" s="13">
        <f>SUMIFS('PP F.G ROLL'!K:K,'PP F.G ROLL'!$A:$A,'PP ROLL STOCK'!$C112)</f>
        <v>6</v>
      </c>
      <c r="I112" s="13">
        <f>SUMIFS('PP F.G ROLL'!N:N,'PP F.G ROLL'!$A:$A,'PP ROLL STOCK'!$C112)</f>
        <v>251.84</v>
      </c>
      <c r="J112" s="13">
        <f>SUMIFS('PP F.G ROLL'!S:S,'PP F.G ROLL'!$A:$A,'PP ROLL STOCK'!$C112)</f>
        <v>10</v>
      </c>
      <c r="K112" s="13">
        <f>SUMIFS('PP F.G ROLL'!T:T,'PP F.G ROLL'!$A:$A,'PP ROLL STOCK'!$C112)</f>
        <v>243.55</v>
      </c>
      <c r="L112" s="6">
        <f t="shared" si="25"/>
        <v>-4</v>
      </c>
      <c r="M112" s="6">
        <f t="shared" si="26"/>
        <v>8.289999999999992</v>
      </c>
      <c r="N112" s="11" t="str">
        <f>IFERROR(VLOOKUP(C112,'[1]MIX SALE ORDER'!$A:$E,4,),"OTHERS")</f>
        <v>OTHERS</v>
      </c>
      <c r="O112" s="11" t="str">
        <f>VLOOKUP(C112,'PP F.G ROLL'!A:T,4,0)</f>
        <v>PP</v>
      </c>
      <c r="P112" t="e">
        <v>#N/A</v>
      </c>
    </row>
    <row r="113" spans="1:16" x14ac:dyDescent="0.2">
      <c r="A113" s="9" t="s">
        <v>1132</v>
      </c>
      <c r="C113" s="5" t="str">
        <f t="shared" si="24"/>
        <v>24/5-5.5</v>
      </c>
      <c r="D113" s="10">
        <f>_xlfn.MAXIFS('PP F.G ROLL'!J:J,'PP F.G ROLL'!A:A,'PP ROLL STOCK'!C113)</f>
        <v>45927</v>
      </c>
      <c r="E113" s="22" t="str" cm="1">
        <f t="array" ref="E113:G113">IFERROR(VLOOKUP(C113,'PP F.G ROLL'!A:T,{2,5,6},0),"-")</f>
        <v>Jilani plastic</v>
      </c>
      <c r="F113" s="24">
        <v>24</v>
      </c>
      <c r="G113" s="24" t="str">
        <v>5-5.5</v>
      </c>
      <c r="H113" s="13">
        <f>SUMIFS('PP F.G ROLL'!K:K,'PP F.G ROLL'!$A:$A,'PP ROLL STOCK'!$C113)</f>
        <v>61</v>
      </c>
      <c r="I113" s="13">
        <f>SUMIFS('PP F.G ROLL'!N:N,'PP F.G ROLL'!$A:$A,'PP ROLL STOCK'!$C113)</f>
        <v>3255.06</v>
      </c>
      <c r="J113" s="13">
        <f>SUMIFS('PP F.G ROLL'!S:S,'PP F.G ROLL'!$A:$A,'PP ROLL STOCK'!$C113)</f>
        <v>49</v>
      </c>
      <c r="K113" s="13">
        <f>SUMIFS('PP F.G ROLL'!T:T,'PP F.G ROLL'!$A:$A,'PP ROLL STOCK'!$C113)</f>
        <v>2473.58</v>
      </c>
      <c r="L113" s="6">
        <f t="shared" si="25"/>
        <v>12</v>
      </c>
      <c r="M113" s="6">
        <f t="shared" si="26"/>
        <v>781.48</v>
      </c>
      <c r="N113" s="11" t="str">
        <f>IFERROR(VLOOKUP(C113,'[1]MIX SALE ORDER'!$A:$E,4,),"OTHERS")</f>
        <v>OTHERS</v>
      </c>
      <c r="O113" s="11" t="str">
        <f>VLOOKUP(C113,'PP F.G ROLL'!A:T,4,0)</f>
        <v>PP</v>
      </c>
      <c r="P113" t="e">
        <v>#N/A</v>
      </c>
    </row>
    <row r="114" spans="1:16" x14ac:dyDescent="0.2">
      <c r="A114" s="9" t="s">
        <v>1133</v>
      </c>
      <c r="C114" s="5" t="str">
        <f t="shared" si="24"/>
        <v>4.5/4.5</v>
      </c>
      <c r="D114" s="10">
        <f>_xlfn.MAXIFS('PP F.G ROLL'!J:J,'PP F.G ROLL'!A:A,'PP ROLL STOCK'!C114)</f>
        <v>45918</v>
      </c>
      <c r="E114" s="22" t="str" cm="1">
        <f t="array" ref="E114:G114">IFERROR(VLOOKUP(C114,'PP F.G ROLL'!A:T,{2,5,6},0),"-")</f>
        <v>اصف سرگودھا</v>
      </c>
      <c r="F114" s="24">
        <v>4.5</v>
      </c>
      <c r="G114" s="24">
        <v>4.5</v>
      </c>
      <c r="H114" s="13">
        <f>SUMIFS('PP F.G ROLL'!K:K,'PP F.G ROLL'!$A:$A,'PP ROLL STOCK'!$C114)</f>
        <v>31</v>
      </c>
      <c r="I114" s="13">
        <f>SUMIFS('PP F.G ROLL'!N:N,'PP F.G ROLL'!$A:$A,'PP ROLL STOCK'!$C114)</f>
        <v>365.52</v>
      </c>
      <c r="J114" s="13">
        <f>SUMIFS('PP F.G ROLL'!S:S,'PP F.G ROLL'!$A:$A,'PP ROLL STOCK'!$C114)</f>
        <v>9</v>
      </c>
      <c r="K114" s="13">
        <f>SUMIFS('PP F.G ROLL'!T:T,'PP F.G ROLL'!$A:$A,'PP ROLL STOCK'!$C114)</f>
        <v>177.6</v>
      </c>
      <c r="L114" s="6">
        <f t="shared" si="25"/>
        <v>22</v>
      </c>
      <c r="M114" s="6">
        <f t="shared" si="26"/>
        <v>187.92</v>
      </c>
      <c r="N114" s="11" t="str">
        <f>IFERROR(VLOOKUP(C114,'[1]MIX SALE ORDER'!$A:$E,4,),"OTHERS")</f>
        <v>OTHERS</v>
      </c>
      <c r="O114" s="11" t="str">
        <f>VLOOKUP(C114,'PP F.G ROLL'!A:T,4,0)</f>
        <v>PP</v>
      </c>
      <c r="P114" t="e">
        <v>#N/A</v>
      </c>
    </row>
    <row r="115" spans="1:16" x14ac:dyDescent="0.2">
      <c r="A115" s="9" t="s">
        <v>1134</v>
      </c>
      <c r="C115" s="5" t="str">
        <f t="shared" si="24"/>
        <v>7/4.5</v>
      </c>
      <c r="D115" s="10">
        <f>_xlfn.MAXIFS('PP F.G ROLL'!J:J,'PP F.G ROLL'!A:A,'PP ROLL STOCK'!C115)</f>
        <v>45917</v>
      </c>
      <c r="E115" s="22" t="str" cm="1">
        <f t="array" ref="E115:G115">IFERROR(VLOOKUP(C115,'PP F.G ROLL'!A:T,{2,5,6},0),"-")</f>
        <v>اصف سرگودھا</v>
      </c>
      <c r="F115" s="24">
        <v>7</v>
      </c>
      <c r="G115" s="24">
        <v>4.5</v>
      </c>
      <c r="H115" s="13">
        <f>SUMIFS('PP F.G ROLL'!K:K,'PP F.G ROLL'!$A:$A,'PP ROLL STOCK'!$C115)</f>
        <v>9</v>
      </c>
      <c r="I115" s="13">
        <f>SUMIFS('PP F.G ROLL'!N:N,'PP F.G ROLL'!$A:$A,'PP ROLL STOCK'!$C115)</f>
        <v>258.27000000000004</v>
      </c>
      <c r="J115" s="13">
        <f>SUMIFS('PP F.G ROLL'!S:S,'PP F.G ROLL'!$A:$A,'PP ROLL STOCK'!$C115)</f>
        <v>0</v>
      </c>
      <c r="K115" s="13">
        <f>SUMIFS('PP F.G ROLL'!T:T,'PP F.G ROLL'!$A:$A,'PP ROLL STOCK'!$C115)</f>
        <v>0</v>
      </c>
      <c r="L115" s="6">
        <f t="shared" si="25"/>
        <v>9</v>
      </c>
      <c r="M115" s="6">
        <f t="shared" si="26"/>
        <v>258.27000000000004</v>
      </c>
      <c r="N115" s="11" t="str">
        <f>IFERROR(VLOOKUP(C115,'[1]MIX SALE ORDER'!$A:$E,4,),"OTHERS")</f>
        <v>OTHERS</v>
      </c>
      <c r="O115" s="11" t="str">
        <f>VLOOKUP(C115,'PP F.G ROLL'!A:T,4,0)</f>
        <v>PP</v>
      </c>
      <c r="P115" t="e">
        <v>#N/A</v>
      </c>
    </row>
    <row r="116" spans="1:16" x14ac:dyDescent="0.2">
      <c r="A116" s="9" t="s">
        <v>1135</v>
      </c>
      <c r="C116" s="5" t="str">
        <f t="shared" si="24"/>
        <v>9/4.5</v>
      </c>
      <c r="D116" s="10">
        <f>_xlfn.MAXIFS('PP F.G ROLL'!J:J,'PP F.G ROLL'!A:A,'PP ROLL STOCK'!C116)</f>
        <v>45919</v>
      </c>
      <c r="E116" s="22" t="str" cm="1">
        <f t="array" ref="E116:G116">IFERROR(VLOOKUP(C116,'PP F.G ROLL'!A:T,{2,5,6},0),"-")</f>
        <v>اصف سرگودھا</v>
      </c>
      <c r="F116" s="24">
        <v>9</v>
      </c>
      <c r="G116" s="24">
        <v>4.5</v>
      </c>
      <c r="H116" s="13">
        <f>SUMIFS('PP F.G ROLL'!K:K,'PP F.G ROLL'!$A:$A,'PP ROLL STOCK'!$C116)</f>
        <v>25</v>
      </c>
      <c r="I116" s="13">
        <f>SUMIFS('PP F.G ROLL'!N:N,'PP F.G ROLL'!$A:$A,'PP ROLL STOCK'!$C116)</f>
        <v>916.96</v>
      </c>
      <c r="J116" s="13">
        <f>SUMIFS('PP F.G ROLL'!S:S,'PP F.G ROLL'!$A:$A,'PP ROLL STOCK'!$C116)</f>
        <v>2</v>
      </c>
      <c r="K116" s="13">
        <f>SUMIFS('PP F.G ROLL'!T:T,'PP F.G ROLL'!$A:$A,'PP ROLL STOCK'!$C116)</f>
        <v>50</v>
      </c>
      <c r="L116" s="6">
        <f t="shared" si="25"/>
        <v>23</v>
      </c>
      <c r="M116" s="6">
        <f t="shared" si="26"/>
        <v>866.96</v>
      </c>
      <c r="N116" s="11" t="str">
        <f>IFERROR(VLOOKUP(C116,'[1]MIX SALE ORDER'!$A:$E,4,),"OTHERS")</f>
        <v>OTHERS</v>
      </c>
      <c r="O116" s="11" t="str">
        <f>VLOOKUP(C116,'PP F.G ROLL'!A:T,4,0)</f>
        <v>PP</v>
      </c>
      <c r="P116" t="e">
        <v>#N/A</v>
      </c>
    </row>
    <row r="117" spans="1:16" x14ac:dyDescent="0.2">
      <c r="A117" s="9" t="s">
        <v>1136</v>
      </c>
      <c r="C117" s="5" t="str">
        <f t="shared" si="24"/>
        <v>14/7</v>
      </c>
      <c r="D117" s="10">
        <f>_xlfn.MAXIFS('PP F.G ROLL'!J:J,'PP F.G ROLL'!A:A,'PP ROLL STOCK'!C117)</f>
        <v>45930</v>
      </c>
      <c r="E117" s="22" t="str" cm="1">
        <f t="array" ref="E117:G117">IFERROR(VLOOKUP(C117,'PP F.G ROLL'!A:T,{2,5,6},0),"-")</f>
        <v>بلال جاوید فیصل اباد</v>
      </c>
      <c r="F117" s="24">
        <v>14</v>
      </c>
      <c r="G117" s="24">
        <v>7</v>
      </c>
      <c r="H117" s="13">
        <f>SUMIFS('PP F.G ROLL'!K:K,'PP F.G ROLL'!$A:$A,'PP ROLL STOCK'!$C117)</f>
        <v>2</v>
      </c>
      <c r="I117" s="13">
        <f>SUMIFS('PP F.G ROLL'!N:N,'PP F.G ROLL'!$A:$A,'PP ROLL STOCK'!$C117)</f>
        <v>112.08</v>
      </c>
      <c r="J117" s="13">
        <f>SUMIFS('PP F.G ROLL'!S:S,'PP F.G ROLL'!$A:$A,'PP ROLL STOCK'!$C117)</f>
        <v>2</v>
      </c>
      <c r="K117" s="13">
        <f>SUMIFS('PP F.G ROLL'!T:T,'PP F.G ROLL'!$A:$A,'PP ROLL STOCK'!$C117)</f>
        <v>112.08</v>
      </c>
      <c r="L117" s="6">
        <f t="shared" si="25"/>
        <v>0</v>
      </c>
      <c r="M117" s="6">
        <f t="shared" si="26"/>
        <v>0</v>
      </c>
      <c r="N117" s="11" t="str">
        <f>IFERROR(VLOOKUP(C117,'[1]MIX SALE ORDER'!$A:$E,4,),"OTHERS")</f>
        <v>OTHERS</v>
      </c>
      <c r="O117" s="11" t="str">
        <f>VLOOKUP(C117,'PP F.G ROLL'!A:T,4,0)</f>
        <v>PP</v>
      </c>
      <c r="P117" t="e">
        <v>#N/A</v>
      </c>
    </row>
    <row r="118" spans="1:16" x14ac:dyDescent="0.2">
      <c r="A118" s="9" t="s">
        <v>1137</v>
      </c>
      <c r="C118" s="5" t="str">
        <f t="shared" si="24"/>
        <v>13/6.5</v>
      </c>
      <c r="D118" s="10">
        <f>_xlfn.MAXIFS('PP F.G ROLL'!J:J,'PP F.G ROLL'!A:A,'PP ROLL STOCK'!C118)</f>
        <v>45930</v>
      </c>
      <c r="E118" s="22" t="str" cm="1">
        <f t="array" ref="E118:G118">IFERROR(VLOOKUP(C118,'PP F.G ROLL'!A:T,{2,5,6},0),"-")</f>
        <v>ایم عمران پاکستان مارکیٹ</v>
      </c>
      <c r="F118" s="24" t="str">
        <v>13</v>
      </c>
      <c r="G118" s="24">
        <v>6.5</v>
      </c>
      <c r="H118" s="13">
        <f>SUMIFS('PP F.G ROLL'!K:K,'PP F.G ROLL'!$A:$A,'PP ROLL STOCK'!$C118)</f>
        <v>27</v>
      </c>
      <c r="I118" s="13">
        <f>SUMIFS('PP F.G ROLL'!N:N,'PP F.G ROLL'!$A:$A,'PP ROLL STOCK'!$C118)</f>
        <v>1055.08</v>
      </c>
      <c r="J118" s="13">
        <f>SUMIFS('PP F.G ROLL'!S:S,'PP F.G ROLL'!$A:$A,'PP ROLL STOCK'!$C118)</f>
        <v>27</v>
      </c>
      <c r="K118" s="13">
        <f>SUMIFS('PP F.G ROLL'!T:T,'PP F.G ROLL'!$A:$A,'PP ROLL STOCK'!$C118)</f>
        <v>1055.08</v>
      </c>
      <c r="L118" s="6">
        <f t="shared" si="25"/>
        <v>0</v>
      </c>
      <c r="M118" s="6">
        <f t="shared" si="26"/>
        <v>0</v>
      </c>
      <c r="N118" s="11" t="str">
        <f>IFERROR(VLOOKUP(C118,'[1]MIX SALE ORDER'!$A:$E,4,),"OTHERS")</f>
        <v>OTHERS</v>
      </c>
      <c r="O118" s="11" t="str">
        <f>VLOOKUP(C118,'PP F.G ROLL'!A:T,4,0)</f>
        <v>PP</v>
      </c>
      <c r="P118" t="e">
        <v>#N/A</v>
      </c>
    </row>
    <row r="119" spans="1:16" x14ac:dyDescent="0.2">
      <c r="A119" s="9" t="s">
        <v>1138</v>
      </c>
      <c r="C119" s="5" t="str">
        <f t="shared" si="24"/>
        <v>6/5-5.5</v>
      </c>
      <c r="D119" s="10">
        <f>_xlfn.MAXIFS('PP F.G ROLL'!J:J,'PP F.G ROLL'!A:A,'PP ROLL STOCK'!C119)</f>
        <v>45919</v>
      </c>
      <c r="E119" s="22" t="str" cm="1">
        <f t="array" ref="E119:G119">IFERROR(VLOOKUP(C119,'PP F.G ROLL'!A:T,{2,5,6},0),"-")</f>
        <v>سٹاک</v>
      </c>
      <c r="F119" s="24">
        <v>6</v>
      </c>
      <c r="G119" s="24" t="str">
        <v>5-5.5</v>
      </c>
      <c r="H119" s="13">
        <f>SUMIFS('PP F.G ROLL'!K:K,'PP F.G ROLL'!$A:$A,'PP ROLL STOCK'!$C119)</f>
        <v>4</v>
      </c>
      <c r="I119" s="13">
        <f>SUMIFS('PP F.G ROLL'!N:N,'PP F.G ROLL'!$A:$A,'PP ROLL STOCK'!$C119)</f>
        <v>106.00999999999999</v>
      </c>
      <c r="J119" s="13">
        <f>SUMIFS('PP F.G ROLL'!S:S,'PP F.G ROLL'!$A:$A,'PP ROLL STOCK'!$C119)</f>
        <v>0</v>
      </c>
      <c r="K119" s="13">
        <f>SUMIFS('PP F.G ROLL'!T:T,'PP F.G ROLL'!$A:$A,'PP ROLL STOCK'!$C119)</f>
        <v>0</v>
      </c>
      <c r="L119" s="6">
        <f t="shared" si="25"/>
        <v>4</v>
      </c>
      <c r="M119" s="6">
        <f t="shared" si="26"/>
        <v>106.00999999999999</v>
      </c>
      <c r="N119" s="11" t="str">
        <f>IFERROR(VLOOKUP(C119,'[1]MIX SALE ORDER'!$A:$E,4,),"OTHERS")</f>
        <v>OTHERS</v>
      </c>
      <c r="O119" s="11" t="str">
        <f>VLOOKUP(C119,'PP F.G ROLL'!A:T,4,0)</f>
        <v>PP</v>
      </c>
      <c r="P119" t="e">
        <v>#N/A</v>
      </c>
    </row>
    <row r="120" spans="1:16" x14ac:dyDescent="0.2">
      <c r="A120" s="9" t="s">
        <v>1139</v>
      </c>
      <c r="C120" s="5" t="str">
        <f t="shared" si="24"/>
        <v>10/4.5</v>
      </c>
      <c r="D120" s="10">
        <f>_xlfn.MAXIFS('PP F.G ROLL'!J:J,'PP F.G ROLL'!A:A,'PP ROLL STOCK'!C120)</f>
        <v>45926</v>
      </c>
      <c r="E120" s="22" t="str" cm="1">
        <f t="array" ref="E120:G120">IFERROR(VLOOKUP(C120,'PP F.G ROLL'!A:T,{2,5,6},0),"-")</f>
        <v>آصف پلاسٹک سرگوھا</v>
      </c>
      <c r="F120" s="24">
        <v>10</v>
      </c>
      <c r="G120" s="24">
        <v>4.5</v>
      </c>
      <c r="H120" s="13">
        <f>SUMIFS('PP F.G ROLL'!K:K,'PP F.G ROLL'!$A:$A,'PP ROLL STOCK'!$C120)</f>
        <v>27</v>
      </c>
      <c r="I120" s="13">
        <f>SUMIFS('PP F.G ROLL'!N:N,'PP F.G ROLL'!$A:$A,'PP ROLL STOCK'!$C120)</f>
        <v>1025.7800000000002</v>
      </c>
      <c r="J120" s="13">
        <f>SUMIFS('PP F.G ROLL'!S:S,'PP F.G ROLL'!$A:$A,'PP ROLL STOCK'!$C120)</f>
        <v>8</v>
      </c>
      <c r="K120" s="13">
        <f>SUMIFS('PP F.G ROLL'!T:T,'PP F.G ROLL'!$A:$A,'PP ROLL STOCK'!$C120)</f>
        <v>200</v>
      </c>
      <c r="L120" s="6">
        <f t="shared" si="25"/>
        <v>19</v>
      </c>
      <c r="M120" s="6">
        <f t="shared" si="26"/>
        <v>825.7800000000002</v>
      </c>
      <c r="N120" s="11" t="str">
        <f>IFERROR(VLOOKUP(C120,'[1]MIX SALE ORDER'!$A:$E,4,),"OTHERS")</f>
        <v>OTHERS</v>
      </c>
      <c r="O120" s="11" t="str">
        <f>VLOOKUP(C120,'PP F.G ROLL'!A:T,4,0)</f>
        <v>PP</v>
      </c>
      <c r="P120" t="e">
        <v>#N/A</v>
      </c>
    </row>
    <row r="121" spans="1:16" x14ac:dyDescent="0.2">
      <c r="A121" s="9" t="s">
        <v>199</v>
      </c>
      <c r="C121" s="5" t="str">
        <f t="shared" si="24"/>
        <v>/</v>
      </c>
      <c r="D121" s="10">
        <f>_xlfn.MAXIFS('PP F.G ROLL'!J:J,'PP F.G ROLL'!A:A,'PP ROLL STOCK'!C121)</f>
        <v>45921</v>
      </c>
      <c r="E121" s="22" t="str" cm="1">
        <f t="array" ref="E121:G121">IFERROR(VLOOKUP(C121,'PP F.G ROLL'!A:T,{2,5,6},0),"-")</f>
        <v>-</v>
      </c>
      <c r="F121" s="24">
        <v>0</v>
      </c>
      <c r="G121" s="24">
        <v>0</v>
      </c>
      <c r="H121" s="13">
        <f>SUMIFS('PP F.G ROLL'!K:K,'PP F.G ROLL'!$A:$A,'PP ROLL STOCK'!$C121)</f>
        <v>0</v>
      </c>
      <c r="I121" s="13">
        <f>SUMIFS('PP F.G ROLL'!N:N,'PP F.G ROLL'!$A:$A,'PP ROLL STOCK'!$C121)</f>
        <v>0</v>
      </c>
      <c r="J121" s="13">
        <f>SUMIFS('PP F.G ROLL'!S:S,'PP F.G ROLL'!$A:$A,'PP ROLL STOCK'!$C121)</f>
        <v>0</v>
      </c>
      <c r="K121" s="13">
        <f>SUMIFS('PP F.G ROLL'!T:T,'PP F.G ROLL'!$A:$A,'PP ROLL STOCK'!$C121)</f>
        <v>0</v>
      </c>
      <c r="L121" s="6">
        <f t="shared" si="25"/>
        <v>0</v>
      </c>
      <c r="M121" s="6">
        <f t="shared" si="26"/>
        <v>0</v>
      </c>
      <c r="N121" s="11" t="str">
        <f>IFERROR(VLOOKUP(C121,'[1]MIX SALE ORDER'!$A:$E,4,),"OTHERS")</f>
        <v>OTHERS</v>
      </c>
      <c r="O121" s="11" t="str">
        <f>VLOOKUP(C121,'PP F.G ROLL'!A:T,4,0)</f>
        <v>PP</v>
      </c>
      <c r="P121" t="e">
        <v>#N/A</v>
      </c>
    </row>
    <row r="122" spans="1:16" x14ac:dyDescent="0.2">
      <c r="A122" s="9" t="s">
        <v>1140</v>
      </c>
      <c r="C122" s="5" t="str">
        <f t="shared" si="24"/>
        <v>10/14</v>
      </c>
      <c r="D122" s="10">
        <f>_xlfn.MAXIFS('PP F.G ROLL'!J:J,'PP F.G ROLL'!A:A,'PP ROLL STOCK'!C122)</f>
        <v>45922</v>
      </c>
      <c r="E122" s="22" t="str" cm="1">
        <f t="array" ref="E122:G122">IFERROR(VLOOKUP(C122,'PP F.G ROLL'!A:T,{2,5,6},0),"-")</f>
        <v>ملک خالد سلیم فیصل آباد</v>
      </c>
      <c r="F122" s="24" t="str">
        <v>10</v>
      </c>
      <c r="G122" s="24">
        <v>14</v>
      </c>
      <c r="H122" s="13">
        <f>SUMIFS('PP F.G ROLL'!K:K,'PP F.G ROLL'!$A:$A,'PP ROLL STOCK'!$C122)</f>
        <v>6</v>
      </c>
      <c r="I122" s="13">
        <f>SUMIFS('PP F.G ROLL'!N:N,'PP F.G ROLL'!$A:$A,'PP ROLL STOCK'!$C122)</f>
        <v>197.42000000000002</v>
      </c>
      <c r="J122" s="13">
        <f>SUMIFS('PP F.G ROLL'!S:S,'PP F.G ROLL'!$A:$A,'PP ROLL STOCK'!$C122)</f>
        <v>8</v>
      </c>
      <c r="K122" s="13">
        <f>SUMIFS('PP F.G ROLL'!T:T,'PP F.G ROLL'!$A:$A,'PP ROLL STOCK'!$C122)</f>
        <v>192.8</v>
      </c>
      <c r="L122" s="6">
        <f t="shared" si="25"/>
        <v>-2</v>
      </c>
      <c r="M122" s="6">
        <f t="shared" si="26"/>
        <v>4.6200000000000045</v>
      </c>
      <c r="N122" s="11" t="str">
        <f>IFERROR(VLOOKUP(C122,'[1]MIX SALE ORDER'!$A:$E,4,),"OTHERS")</f>
        <v>OTHERS</v>
      </c>
      <c r="O122" s="11" t="str">
        <f>VLOOKUP(C122,'PP F.G ROLL'!A:T,4,0)</f>
        <v>PP</v>
      </c>
      <c r="P122" t="e">
        <v>#N/A</v>
      </c>
    </row>
    <row r="123" spans="1:16" x14ac:dyDescent="0.2">
      <c r="A123" s="9" t="s">
        <v>1141</v>
      </c>
      <c r="C123" s="5" t="str">
        <f t="shared" si="24"/>
        <v>10/7</v>
      </c>
      <c r="D123" s="10">
        <f>_xlfn.MAXIFS('PP F.G ROLL'!J:J,'PP F.G ROLL'!A:A,'PP ROLL STOCK'!C123)</f>
        <v>45930</v>
      </c>
      <c r="E123" s="22" t="str" cm="1">
        <f t="array" ref="E123:G123">IFERROR(VLOOKUP(C123,'PP F.G ROLL'!A:T,{2,5,6},0),"-")</f>
        <v>بلال جاوید فیصل اباد</v>
      </c>
      <c r="F123" s="24">
        <v>10</v>
      </c>
      <c r="G123" s="24">
        <v>7</v>
      </c>
      <c r="H123" s="13">
        <f>SUMIFS('PP F.G ROLL'!K:K,'PP F.G ROLL'!$A:$A,'PP ROLL STOCK'!$C123)</f>
        <v>4</v>
      </c>
      <c r="I123" s="13">
        <f>SUMIFS('PP F.G ROLL'!N:N,'PP F.G ROLL'!$A:$A,'PP ROLL STOCK'!$C123)</f>
        <v>103.4</v>
      </c>
      <c r="J123" s="13">
        <f>SUMIFS('PP F.G ROLL'!S:S,'PP F.G ROLL'!$A:$A,'PP ROLL STOCK'!$C123)</f>
        <v>4</v>
      </c>
      <c r="K123" s="13">
        <f>SUMIFS('PP F.G ROLL'!T:T,'PP F.G ROLL'!$A:$A,'PP ROLL STOCK'!$C123)</f>
        <v>103.4</v>
      </c>
      <c r="L123" s="6">
        <f t="shared" si="25"/>
        <v>0</v>
      </c>
      <c r="M123" s="6">
        <f t="shared" si="26"/>
        <v>0</v>
      </c>
      <c r="N123" s="11" t="str">
        <f>IFERROR(VLOOKUP(C123,'[1]MIX SALE ORDER'!$A:$E,4,),"OTHERS")</f>
        <v>OTHERS</v>
      </c>
      <c r="O123" s="11" t="str">
        <f>VLOOKUP(C123,'PP F.G ROLL'!A:T,4,0)</f>
        <v>PP</v>
      </c>
      <c r="P123" t="e">
        <v>#N/A</v>
      </c>
    </row>
    <row r="124" spans="1:16" x14ac:dyDescent="0.2">
      <c r="A124" s="9" t="s">
        <v>1142</v>
      </c>
      <c r="C124" s="5" t="str">
        <f t="shared" si="24"/>
        <v>10/5-5.5</v>
      </c>
      <c r="D124" s="10">
        <f>_xlfn.MAXIFS('PP F.G ROLL'!J:J,'PP F.G ROLL'!A:A,'PP ROLL STOCK'!C124)</f>
        <v>45929</v>
      </c>
      <c r="E124" s="22" t="str" cm="1">
        <f t="array" ref="E124:G124">IFERROR(VLOOKUP(C124,'PP F.G ROLL'!A:T,{2,5,6},0),"-")</f>
        <v>سٹاک</v>
      </c>
      <c r="F124" s="24">
        <v>10</v>
      </c>
      <c r="G124" s="24" t="str">
        <v>5-5.5</v>
      </c>
      <c r="H124" s="13">
        <f>SUMIFS('PP F.G ROLL'!K:K,'PP F.G ROLL'!$A:$A,'PP ROLL STOCK'!$C124)</f>
        <v>24</v>
      </c>
      <c r="I124" s="13">
        <f>SUMIFS('PP F.G ROLL'!N:N,'PP F.G ROLL'!$A:$A,'PP ROLL STOCK'!$C124)</f>
        <v>1094.7599999999998</v>
      </c>
      <c r="J124" s="13">
        <f>SUMIFS('PP F.G ROLL'!S:S,'PP F.G ROLL'!$A:$A,'PP ROLL STOCK'!$C124)</f>
        <v>0</v>
      </c>
      <c r="K124" s="13">
        <f>SUMIFS('PP F.G ROLL'!T:T,'PP F.G ROLL'!$A:$A,'PP ROLL STOCK'!$C124)</f>
        <v>0</v>
      </c>
      <c r="L124" s="6">
        <f t="shared" si="25"/>
        <v>24</v>
      </c>
      <c r="M124" s="6">
        <f t="shared" si="26"/>
        <v>1094.7599999999998</v>
      </c>
      <c r="N124" s="11" t="str">
        <f>IFERROR(VLOOKUP(C124,'[1]MIX SALE ORDER'!$A:$E,4,),"OTHERS")</f>
        <v>OTHERS</v>
      </c>
      <c r="O124" s="11" t="str">
        <f>VLOOKUP(C124,'PP F.G ROLL'!A:T,4,0)</f>
        <v>PP</v>
      </c>
      <c r="P124" t="e">
        <v>#N/A</v>
      </c>
    </row>
    <row r="125" spans="1:16" x14ac:dyDescent="0.2">
      <c r="A125" s="9" t="s">
        <v>1143</v>
      </c>
      <c r="C125" s="5" t="str">
        <f t="shared" si="24"/>
        <v>16/5.5-6</v>
      </c>
      <c r="D125" s="10">
        <f>_xlfn.MAXIFS('PP F.G ROLL'!J:J,'PP F.G ROLL'!A:A,'PP ROLL STOCK'!C125)</f>
        <v>45923</v>
      </c>
      <c r="E125" s="22" t="str" cm="1">
        <f t="array" ref="E125:G125">IFERROR(VLOOKUP(C125,'PP F.G ROLL'!A:T,{2,5,6},0),"-")</f>
        <v>ریفلیکٹ پیک لاہور</v>
      </c>
      <c r="F125" s="24">
        <v>16</v>
      </c>
      <c r="G125" s="24" t="str">
        <v>5.5-6</v>
      </c>
      <c r="H125" s="13">
        <f>SUMIFS('PP F.G ROLL'!K:K,'PP F.G ROLL'!$A:$A,'PP ROLL STOCK'!$C125)</f>
        <v>10</v>
      </c>
      <c r="I125" s="13">
        <f>SUMIFS('PP F.G ROLL'!N:N,'PP F.G ROLL'!$A:$A,'PP ROLL STOCK'!$C125)</f>
        <v>507.4799999999999</v>
      </c>
      <c r="J125" s="13">
        <f>SUMIFS('PP F.G ROLL'!S:S,'PP F.G ROLL'!$A:$A,'PP ROLL STOCK'!$C125)</f>
        <v>20</v>
      </c>
      <c r="K125" s="13">
        <f>SUMIFS('PP F.G ROLL'!T:T,'PP F.G ROLL'!$A:$A,'PP ROLL STOCK'!$C125)</f>
        <v>499</v>
      </c>
      <c r="L125" s="6">
        <f t="shared" si="25"/>
        <v>-10</v>
      </c>
      <c r="M125" s="6">
        <f t="shared" si="26"/>
        <v>8.4799999999999045</v>
      </c>
      <c r="N125" s="11" t="str">
        <f>IFERROR(VLOOKUP(C125,'[1]MIX SALE ORDER'!$A:$E,4,),"OTHERS")</f>
        <v>OTHERS</v>
      </c>
      <c r="O125" s="11" t="str">
        <f>VLOOKUP(C125,'PP F.G ROLL'!A:T,4,0)</f>
        <v>PP</v>
      </c>
      <c r="P125" t="e">
        <v>#N/A</v>
      </c>
    </row>
    <row r="126" spans="1:16" x14ac:dyDescent="0.2">
      <c r="A126" s="9" t="s">
        <v>1144</v>
      </c>
      <c r="C126" s="5" t="str">
        <f t="shared" si="24"/>
        <v>6/6</v>
      </c>
      <c r="D126" s="10">
        <f>_xlfn.MAXIFS('PP F.G ROLL'!J:J,'PP F.G ROLL'!A:A,'PP ROLL STOCK'!C126)</f>
        <v>45923</v>
      </c>
      <c r="E126" s="22" t="str" cm="1">
        <f t="array" ref="E126:G126">IFERROR(VLOOKUP(C126,'PP F.G ROLL'!A:T,{2,5,6},0),"-")</f>
        <v>اے ایس کلاتھ -اعظم مارکیٹ</v>
      </c>
      <c r="F126" s="24">
        <v>6</v>
      </c>
      <c r="G126" s="24">
        <v>6</v>
      </c>
      <c r="H126" s="13">
        <f>SUMIFS('PP F.G ROLL'!K:K,'PP F.G ROLL'!$A:$A,'PP ROLL STOCK'!$C126)</f>
        <v>1</v>
      </c>
      <c r="I126" s="13">
        <f>SUMIFS('PP F.G ROLL'!N:N,'PP F.G ROLL'!$A:$A,'PP ROLL STOCK'!$C126)</f>
        <v>205.14000000000001</v>
      </c>
      <c r="J126" s="13">
        <f>SUMIFS('PP F.G ROLL'!S:S,'PP F.G ROLL'!$A:$A,'PP ROLL STOCK'!$C126)</f>
        <v>0</v>
      </c>
      <c r="K126" s="13">
        <f>SUMIFS('PP F.G ROLL'!T:T,'PP F.G ROLL'!$A:$A,'PP ROLL STOCK'!$C126)</f>
        <v>0</v>
      </c>
      <c r="L126" s="6">
        <f t="shared" si="25"/>
        <v>1</v>
      </c>
      <c r="M126" s="6">
        <f t="shared" si="26"/>
        <v>205.14000000000001</v>
      </c>
      <c r="N126" s="11" t="str">
        <f>IFERROR(VLOOKUP(C126,'[1]MIX SALE ORDER'!$A:$E,4,),"OTHERS")</f>
        <v>OTHERS</v>
      </c>
      <c r="O126" s="11" t="str">
        <f>VLOOKUP(C126,'PP F.G ROLL'!A:T,4,0)</f>
        <v>PP</v>
      </c>
      <c r="P126" t="e">
        <v>#N/A</v>
      </c>
    </row>
    <row r="127" spans="1:16" x14ac:dyDescent="0.2">
      <c r="A127" s="9" t="s">
        <v>1145</v>
      </c>
      <c r="C127" s="5" t="str">
        <f t="shared" si="24"/>
        <v>20/5-5.5</v>
      </c>
      <c r="D127" s="10">
        <f>_xlfn.MAXIFS('PP F.G ROLL'!J:J,'PP F.G ROLL'!A:A,'PP ROLL STOCK'!C127)</f>
        <v>45930</v>
      </c>
      <c r="E127" s="22" t="str" cm="1">
        <f t="array" ref="E127:G127">IFERROR(VLOOKUP(C127,'PP F.G ROLL'!A:T,{2,5,6},0),"-")</f>
        <v>Jilani plastic</v>
      </c>
      <c r="F127" s="24">
        <v>20</v>
      </c>
      <c r="G127" s="24" t="str">
        <v>5-5.5</v>
      </c>
      <c r="H127" s="13">
        <f>SUMIFS('PP F.G ROLL'!K:K,'PP F.G ROLL'!$A:$A,'PP ROLL STOCK'!$C127)</f>
        <v>21</v>
      </c>
      <c r="I127" s="13">
        <f>SUMIFS('PP F.G ROLL'!N:N,'PP F.G ROLL'!$A:$A,'PP ROLL STOCK'!$C127)</f>
        <v>1212.4099999999999</v>
      </c>
      <c r="J127" s="13">
        <f>SUMIFS('PP F.G ROLL'!S:S,'PP F.G ROLL'!$A:$A,'PP ROLL STOCK'!$C127)</f>
        <v>21</v>
      </c>
      <c r="K127" s="13">
        <f>SUMIFS('PP F.G ROLL'!T:T,'PP F.G ROLL'!$A:$A,'PP ROLL STOCK'!$C127)</f>
        <v>1212.4099999999999</v>
      </c>
      <c r="L127" s="6">
        <f t="shared" si="25"/>
        <v>0</v>
      </c>
      <c r="M127" s="6">
        <f t="shared" si="26"/>
        <v>0</v>
      </c>
      <c r="N127" s="11" t="str">
        <f>IFERROR(VLOOKUP(C127,'[1]MIX SALE ORDER'!$A:$E,4,),"OTHERS")</f>
        <v>OTHERS</v>
      </c>
      <c r="O127" s="11" t="str">
        <f>VLOOKUP(C127,'PP F.G ROLL'!A:T,4,0)</f>
        <v>PP</v>
      </c>
      <c r="P127" t="e">
        <v>#N/A</v>
      </c>
    </row>
    <row r="128" spans="1:16" x14ac:dyDescent="0.2">
      <c r="A128" s="9" t="s">
        <v>1146</v>
      </c>
      <c r="C128" s="5" t="str">
        <f t="shared" si="24"/>
        <v>16/5-6</v>
      </c>
      <c r="D128" s="10">
        <f>_xlfn.MAXIFS('PP F.G ROLL'!J:J,'PP F.G ROLL'!A:A,'PP ROLL STOCK'!C128)</f>
        <v>45923</v>
      </c>
      <c r="E128" s="22" t="str" cm="1">
        <f t="array" ref="E128:G128">IFERROR(VLOOKUP(C128,'PP F.G ROLL'!A:T,{2,5,6},0),"-")</f>
        <v>Cakes and Bakes Lahore</v>
      </c>
      <c r="F128" s="24">
        <v>16</v>
      </c>
      <c r="G128" s="24" t="str">
        <v>5-6</v>
      </c>
      <c r="H128" s="13">
        <f>SUMIFS('PP F.G ROLL'!K:K,'PP F.G ROLL'!$A:$A,'PP ROLL STOCK'!$C128)</f>
        <v>4</v>
      </c>
      <c r="I128" s="13">
        <f>SUMIFS('PP F.G ROLL'!N:N,'PP F.G ROLL'!$A:$A,'PP ROLL STOCK'!$C128)</f>
        <v>166.43</v>
      </c>
      <c r="J128" s="13">
        <f>SUMIFS('PP F.G ROLL'!S:S,'PP F.G ROLL'!$A:$A,'PP ROLL STOCK'!$C128)</f>
        <v>0</v>
      </c>
      <c r="K128" s="13">
        <f>SUMIFS('PP F.G ROLL'!T:T,'PP F.G ROLL'!$A:$A,'PP ROLL STOCK'!$C128)</f>
        <v>0</v>
      </c>
      <c r="L128" s="6">
        <f t="shared" si="25"/>
        <v>4</v>
      </c>
      <c r="M128" s="6">
        <f t="shared" si="26"/>
        <v>166.43</v>
      </c>
      <c r="N128" s="11" t="str">
        <f>IFERROR(VLOOKUP(C128,'[1]MIX SALE ORDER'!$A:$E,4,),"OTHERS")</f>
        <v>OTHERS</v>
      </c>
      <c r="O128" s="11" t="str">
        <f>VLOOKUP(C128,'PP F.G ROLL'!A:T,4,0)</f>
        <v>PP</v>
      </c>
      <c r="P128" t="e">
        <v>#N/A</v>
      </c>
    </row>
    <row r="129" spans="1:16" x14ac:dyDescent="0.2">
      <c r="A129" s="9" t="s">
        <v>1147</v>
      </c>
      <c r="C129" s="5" t="str">
        <f t="shared" si="24"/>
        <v>16/4.5</v>
      </c>
      <c r="D129" s="10">
        <f>_xlfn.MAXIFS('PP F.G ROLL'!J:J,'PP F.G ROLL'!A:A,'PP ROLL STOCK'!C129)</f>
        <v>45925</v>
      </c>
      <c r="E129" s="22" t="str" cm="1">
        <f t="array" ref="E129:G129">IFERROR(VLOOKUP(C129,'PP F.G ROLL'!A:T,{2,5,6},0),"-")</f>
        <v>اصف سرگودھا</v>
      </c>
      <c r="F129" s="24">
        <v>16</v>
      </c>
      <c r="G129" s="24">
        <v>4.5</v>
      </c>
      <c r="H129" s="13">
        <f>SUMIFS('PP F.G ROLL'!K:K,'PP F.G ROLL'!$A:$A,'PP ROLL STOCK'!$C129)</f>
        <v>9</v>
      </c>
      <c r="I129" s="13">
        <f>SUMIFS('PP F.G ROLL'!N:N,'PP F.G ROLL'!$A:$A,'PP ROLL STOCK'!$C129)</f>
        <v>401.91999999999996</v>
      </c>
      <c r="J129" s="13">
        <f>SUMIFS('PP F.G ROLL'!S:S,'PP F.G ROLL'!$A:$A,'PP ROLL STOCK'!$C129)</f>
        <v>0</v>
      </c>
      <c r="K129" s="13">
        <f>SUMIFS('PP F.G ROLL'!T:T,'PP F.G ROLL'!$A:$A,'PP ROLL STOCK'!$C129)</f>
        <v>0</v>
      </c>
      <c r="L129" s="6">
        <f t="shared" si="25"/>
        <v>9</v>
      </c>
      <c r="M129" s="6">
        <f t="shared" si="26"/>
        <v>401.91999999999996</v>
      </c>
      <c r="N129" s="11" t="str">
        <f>IFERROR(VLOOKUP(C129,'[1]MIX SALE ORDER'!$A:$E,4,),"OTHERS")</f>
        <v>OTHERS</v>
      </c>
      <c r="O129" s="11" t="str">
        <f>VLOOKUP(C129,'PP F.G ROLL'!A:T,4,0)</f>
        <v>PP</v>
      </c>
      <c r="P129" t="e">
        <v>#N/A</v>
      </c>
    </row>
    <row r="130" spans="1:16" x14ac:dyDescent="0.2">
      <c r="A130" s="9" t="s">
        <v>1148</v>
      </c>
      <c r="C130" s="5" t="str">
        <f t="shared" si="24"/>
        <v>2/12</v>
      </c>
      <c r="D130" s="10">
        <f>_xlfn.MAXIFS('PP F.G ROLL'!J:J,'PP F.G ROLL'!A:A,'PP ROLL STOCK'!C130)</f>
        <v>45926</v>
      </c>
      <c r="E130" s="22" t="str" cm="1">
        <f t="array" ref="E130:G130">IFERROR(VLOOKUP(C130,'PP F.G ROLL'!A:T,{2,5,6},0),"-")</f>
        <v>ہجویری ٹریڈرز اردو بازار</v>
      </c>
      <c r="F130" s="24">
        <v>2</v>
      </c>
      <c r="G130" s="24">
        <v>12</v>
      </c>
      <c r="H130" s="13">
        <f>SUMIFS('PP F.G ROLL'!K:K,'PP F.G ROLL'!$A:$A,'PP ROLL STOCK'!$C130)</f>
        <v>53</v>
      </c>
      <c r="I130" s="13">
        <f>SUMIFS('PP F.G ROLL'!N:N,'PP F.G ROLL'!$A:$A,'PP ROLL STOCK'!$C130)</f>
        <v>529.25</v>
      </c>
      <c r="J130" s="13">
        <f>SUMIFS('PP F.G ROLL'!S:S,'PP F.G ROLL'!$A:$A,'PP ROLL STOCK'!$C130)</f>
        <v>11</v>
      </c>
      <c r="K130" s="13">
        <f>SUMIFS('PP F.G ROLL'!T:T,'PP F.G ROLL'!$A:$A,'PP ROLL STOCK'!$C130)</f>
        <v>275</v>
      </c>
      <c r="L130" s="6">
        <f t="shared" si="25"/>
        <v>42</v>
      </c>
      <c r="M130" s="6">
        <f t="shared" si="26"/>
        <v>254.25</v>
      </c>
      <c r="N130" s="11" t="str">
        <f>IFERROR(VLOOKUP(C130,'[1]MIX SALE ORDER'!$A:$E,4,),"OTHERS")</f>
        <v>OTHERS</v>
      </c>
      <c r="O130" s="11" t="str">
        <f>VLOOKUP(C130,'PP F.G ROLL'!A:T,4,0)</f>
        <v>PP</v>
      </c>
      <c r="P130" t="e">
        <v>#N/A</v>
      </c>
    </row>
    <row r="131" spans="1:16" x14ac:dyDescent="0.2">
      <c r="A131" s="9" t="s">
        <v>1149</v>
      </c>
      <c r="C131" s="5" t="str">
        <f t="shared" si="24"/>
        <v>05/14</v>
      </c>
      <c r="D131" s="10">
        <f>_xlfn.MAXIFS('PP F.G ROLL'!J:J,'PP F.G ROLL'!A:A,'PP ROLL STOCK'!C131)</f>
        <v>45930</v>
      </c>
      <c r="E131" s="22" t="str" cm="1">
        <f t="array" ref="E131:G131">IFERROR(VLOOKUP(C131,'PP F.G ROLL'!A:T,{2,5,6},0),"-")</f>
        <v>ملک خالد سلیم فیصل آباد</v>
      </c>
      <c r="F131" s="24" t="str">
        <v>05</v>
      </c>
      <c r="G131" s="24">
        <v>14</v>
      </c>
      <c r="H131" s="13">
        <f>SUMIFS('PP F.G ROLL'!K:K,'PP F.G ROLL'!$A:$A,'PP ROLL STOCK'!$C131)</f>
        <v>8</v>
      </c>
      <c r="I131" s="13">
        <f>SUMIFS('PP F.G ROLL'!N:N,'PP F.G ROLL'!$A:$A,'PP ROLL STOCK'!$C131)</f>
        <v>205.8</v>
      </c>
      <c r="J131" s="13">
        <f>SUMIFS('PP F.G ROLL'!S:S,'PP F.G ROLL'!$A:$A,'PP ROLL STOCK'!$C131)</f>
        <v>8</v>
      </c>
      <c r="K131" s="13">
        <f>SUMIFS('PP F.G ROLL'!T:T,'PP F.G ROLL'!$A:$A,'PP ROLL STOCK'!$C131)</f>
        <v>205.8</v>
      </c>
      <c r="L131" s="6">
        <f t="shared" si="25"/>
        <v>0</v>
      </c>
      <c r="M131" s="6">
        <f t="shared" si="26"/>
        <v>0</v>
      </c>
      <c r="N131" s="11" t="str">
        <f>IFERROR(VLOOKUP(C131,'[1]MIX SALE ORDER'!$A:$E,4,),"OTHERS")</f>
        <v>OTHERS</v>
      </c>
      <c r="O131" s="11" t="str">
        <f>VLOOKUP(C131,'PP F.G ROLL'!A:T,4,0)</f>
        <v>PP</v>
      </c>
      <c r="P131" t="e">
        <v>#N/A</v>
      </c>
    </row>
    <row r="132" spans="1:16" x14ac:dyDescent="0.2">
      <c r="A132" s="9" t="s">
        <v>1150</v>
      </c>
      <c r="C132" s="5" t="str">
        <f t="shared" si="24"/>
        <v>9/7</v>
      </c>
      <c r="D132" s="10">
        <f>_xlfn.MAXIFS('PP F.G ROLL'!J:J,'PP F.G ROLL'!A:A,'PP ROLL STOCK'!C132)</f>
        <v>45924</v>
      </c>
      <c r="E132" s="22" t="str" cm="1">
        <f t="array" ref="E132:G132">IFERROR(VLOOKUP(C132,'PP F.G ROLL'!A:T,{2,5,6},0),"-")</f>
        <v>زوالقرنین Pکامونکی</v>
      </c>
      <c r="F132" s="24">
        <v>9</v>
      </c>
      <c r="G132" s="24">
        <v>7</v>
      </c>
      <c r="H132" s="13">
        <f>SUMIFS('PP F.G ROLL'!K:K,'PP F.G ROLL'!$A:$A,'PP ROLL STOCK'!$C132)</f>
        <v>11</v>
      </c>
      <c r="I132" s="13">
        <f>SUMIFS('PP F.G ROLL'!N:N,'PP F.G ROLL'!$A:$A,'PP ROLL STOCK'!$C132)</f>
        <v>343.64</v>
      </c>
      <c r="J132" s="13">
        <f>SUMIFS('PP F.G ROLL'!S:S,'PP F.G ROLL'!$A:$A,'PP ROLL STOCK'!$C132)</f>
        <v>4</v>
      </c>
      <c r="K132" s="13">
        <f>SUMIFS('PP F.G ROLL'!T:T,'PP F.G ROLL'!$A:$A,'PP ROLL STOCK'!$C132)</f>
        <v>108.5</v>
      </c>
      <c r="L132" s="6">
        <f t="shared" si="25"/>
        <v>7</v>
      </c>
      <c r="M132" s="6">
        <f t="shared" si="26"/>
        <v>235.14</v>
      </c>
      <c r="N132" s="11" t="str">
        <f>IFERROR(VLOOKUP(C132,'[1]MIX SALE ORDER'!$A:$E,4,),"OTHERS")</f>
        <v>OTHERS</v>
      </c>
      <c r="O132" s="11" t="str">
        <f>VLOOKUP(C132,'PP F.G ROLL'!A:T,4,0)</f>
        <v>PP</v>
      </c>
      <c r="P132" t="e">
        <v>#N/A</v>
      </c>
    </row>
    <row r="133" spans="1:16" x14ac:dyDescent="0.2">
      <c r="A133" s="9" t="s">
        <v>1151</v>
      </c>
      <c r="C133" s="5" t="str">
        <f t="shared" si="24"/>
        <v>16/4.5-5</v>
      </c>
      <c r="D133" s="10">
        <f>_xlfn.MAXIFS('PP F.G ROLL'!J:J,'PP F.G ROLL'!A:A,'PP ROLL STOCK'!C133)</f>
        <v>45924</v>
      </c>
      <c r="E133" s="22" t="str" cm="1">
        <f t="array" ref="E133:G133">IFERROR(VLOOKUP(C133,'PP F.G ROLL'!A:T,{2,5,6},0),"-")</f>
        <v>Usman Arif Butt Gujranwala</v>
      </c>
      <c r="F133" s="24">
        <v>16</v>
      </c>
      <c r="G133" s="24" t="str">
        <v>4.5-5</v>
      </c>
      <c r="H133" s="13">
        <f>SUMIFS('PP F.G ROLL'!K:K,'PP F.G ROLL'!$A:$A,'PP ROLL STOCK'!$C133)</f>
        <v>9</v>
      </c>
      <c r="I133" s="13">
        <f>SUMIFS('PP F.G ROLL'!N:N,'PP F.G ROLL'!$A:$A,'PP ROLL STOCK'!$C133)</f>
        <v>439.98999999999995</v>
      </c>
      <c r="J133" s="13">
        <f>SUMIFS('PP F.G ROLL'!S:S,'PP F.G ROLL'!$A:$A,'PP ROLL STOCK'!$C133)</f>
        <v>8</v>
      </c>
      <c r="K133" s="13">
        <f>SUMIFS('PP F.G ROLL'!T:T,'PP F.G ROLL'!$A:$A,'PP ROLL STOCK'!$C133)</f>
        <v>419.69</v>
      </c>
      <c r="L133" s="6">
        <f t="shared" si="25"/>
        <v>1</v>
      </c>
      <c r="M133" s="6">
        <f t="shared" si="26"/>
        <v>20.299999999999955</v>
      </c>
      <c r="N133" s="11" t="str">
        <f>IFERROR(VLOOKUP(C133,'[1]MIX SALE ORDER'!$A:$E,4,),"OTHERS")</f>
        <v>OTHERS</v>
      </c>
      <c r="O133" s="11" t="str">
        <f>VLOOKUP(C133,'PP F.G ROLL'!A:T,4,0)</f>
        <v>PP</v>
      </c>
      <c r="P133" t="e">
        <v>#N/A</v>
      </c>
    </row>
    <row r="134" spans="1:16" x14ac:dyDescent="0.2">
      <c r="A134" s="9" t="s">
        <v>1152</v>
      </c>
      <c r="C134" s="5" t="str">
        <f t="shared" si="24"/>
        <v>16/5-5.5</v>
      </c>
      <c r="D134" s="10">
        <f>_xlfn.MAXIFS('PP F.G ROLL'!J:J,'PP F.G ROLL'!A:A,'PP ROLL STOCK'!C134)</f>
        <v>45930</v>
      </c>
      <c r="E134" s="22" t="str" cm="1">
        <f t="array" ref="E134:G134">IFERROR(VLOOKUP(C134,'PP F.G ROLL'!A:T,{2,5,6},0),"-")</f>
        <v>Jilani Poly Stock</v>
      </c>
      <c r="F134" s="24">
        <v>16</v>
      </c>
      <c r="G134" s="24" t="str">
        <v>5-5.5</v>
      </c>
      <c r="H134" s="13">
        <f>SUMIFS('PP F.G ROLL'!K:K,'PP F.G ROLL'!$A:$A,'PP ROLL STOCK'!$C134)</f>
        <v>29</v>
      </c>
      <c r="I134" s="13">
        <f>SUMIFS('PP F.G ROLL'!N:N,'PP F.G ROLL'!$A:$A,'PP ROLL STOCK'!$C134)</f>
        <v>1337.67</v>
      </c>
      <c r="J134" s="13">
        <f>SUMIFS('PP F.G ROLL'!S:S,'PP F.G ROLL'!$A:$A,'PP ROLL STOCK'!$C134)</f>
        <v>29</v>
      </c>
      <c r="K134" s="13">
        <f>SUMIFS('PP F.G ROLL'!T:T,'PP F.G ROLL'!$A:$A,'PP ROLL STOCK'!$C134)</f>
        <v>1337.67</v>
      </c>
      <c r="L134" s="6">
        <f t="shared" si="25"/>
        <v>0</v>
      </c>
      <c r="M134" s="6">
        <f t="shared" si="26"/>
        <v>0</v>
      </c>
      <c r="N134" s="11" t="str">
        <f>IFERROR(VLOOKUP(C134,'[1]MIX SALE ORDER'!$A:$E,4,),"OTHERS")</f>
        <v>OTHERS</v>
      </c>
      <c r="O134" s="11" t="str">
        <f>VLOOKUP(C134,'PP F.G ROLL'!A:T,4,0)</f>
        <v>PP</v>
      </c>
      <c r="P134" t="e">
        <v>#N/A</v>
      </c>
    </row>
    <row r="135" spans="1:16" x14ac:dyDescent="0.2">
      <c r="A135" s="9" t="s">
        <v>1153</v>
      </c>
      <c r="C135" s="5" t="str">
        <f t="shared" si="24"/>
        <v>8/4.5</v>
      </c>
      <c r="D135" s="10">
        <f>_xlfn.MAXIFS('PP F.G ROLL'!J:J,'PP F.G ROLL'!A:A,'PP ROLL STOCK'!C135)</f>
        <v>45930</v>
      </c>
      <c r="E135" s="22" t="str" cm="1">
        <f t="array" ref="E135:G135">IFERROR(VLOOKUP(C135,'PP F.G ROLL'!A:T,{2,5,6},0),"-")</f>
        <v>اصف سرگودھا</v>
      </c>
      <c r="F135" s="24">
        <v>8</v>
      </c>
      <c r="G135" s="24">
        <v>4.5</v>
      </c>
      <c r="H135" s="13">
        <f>SUMIFS('PP F.G ROLL'!K:K,'PP F.G ROLL'!$A:$A,'PP ROLL STOCK'!$C135)</f>
        <v>7</v>
      </c>
      <c r="I135" s="13">
        <f>SUMIFS('PP F.G ROLL'!N:N,'PP F.G ROLL'!$A:$A,'PP ROLL STOCK'!$C135)</f>
        <v>175</v>
      </c>
      <c r="J135" s="13">
        <f>SUMIFS('PP F.G ROLL'!S:S,'PP F.G ROLL'!$A:$A,'PP ROLL STOCK'!$C135)</f>
        <v>7</v>
      </c>
      <c r="K135" s="13">
        <f>SUMIFS('PP F.G ROLL'!T:T,'PP F.G ROLL'!$A:$A,'PP ROLL STOCK'!$C135)</f>
        <v>175</v>
      </c>
      <c r="L135" s="6">
        <f t="shared" si="25"/>
        <v>0</v>
      </c>
      <c r="M135" s="6">
        <f t="shared" si="26"/>
        <v>0</v>
      </c>
      <c r="N135" s="11" t="str">
        <f>IFERROR(VLOOKUP(C135,'[1]MIX SALE ORDER'!$A:$E,4,),"OTHERS")</f>
        <v>OTHERS</v>
      </c>
      <c r="O135" s="11" t="str">
        <f>VLOOKUP(C135,'PP F.G ROLL'!A:T,4,0)</f>
        <v>PP</v>
      </c>
      <c r="P135" t="e">
        <v>#N/A</v>
      </c>
    </row>
    <row r="136" spans="1:16" x14ac:dyDescent="0.2">
      <c r="A136" s="9" t="s">
        <v>1154</v>
      </c>
      <c r="C136" s="5" t="str">
        <f t="shared" si="24"/>
        <v>11/6.5</v>
      </c>
      <c r="D136" s="10">
        <f>_xlfn.MAXIFS('PP F.G ROLL'!J:J,'PP F.G ROLL'!A:A,'PP ROLL STOCK'!C136)</f>
        <v>45927</v>
      </c>
      <c r="E136" s="22" t="str" cm="1">
        <f t="array" ref="E136:G136">IFERROR(VLOOKUP(C136,'PP F.G ROLL'!A:T,{2,5,6},0),"-")</f>
        <v>ایم عمران پاکستان مارکیٹ</v>
      </c>
      <c r="F136" s="24" t="str">
        <v>11</v>
      </c>
      <c r="G136" s="24">
        <v>6.5</v>
      </c>
      <c r="H136" s="13">
        <f>SUMIFS('PP F.G ROLL'!K:K,'PP F.G ROLL'!$A:$A,'PP ROLL STOCK'!$C136)</f>
        <v>10</v>
      </c>
      <c r="I136" s="13">
        <f>SUMIFS('PP F.G ROLL'!N:N,'PP F.G ROLL'!$A:$A,'PP ROLL STOCK'!$C136)</f>
        <v>463.76000000000005</v>
      </c>
      <c r="J136" s="13">
        <f>SUMIFS('PP F.G ROLL'!S:S,'PP F.G ROLL'!$A:$A,'PP ROLL STOCK'!$C136)</f>
        <v>0</v>
      </c>
      <c r="K136" s="13">
        <f>SUMIFS('PP F.G ROLL'!T:T,'PP F.G ROLL'!$A:$A,'PP ROLL STOCK'!$C136)</f>
        <v>0</v>
      </c>
      <c r="L136" s="6">
        <f t="shared" si="25"/>
        <v>10</v>
      </c>
      <c r="M136" s="6">
        <f t="shared" si="26"/>
        <v>463.76000000000005</v>
      </c>
      <c r="N136" s="11" t="str">
        <f>IFERROR(VLOOKUP(C136,'[1]MIX SALE ORDER'!$A:$E,4,),"OTHERS")</f>
        <v>OTHERS</v>
      </c>
      <c r="O136" s="11" t="str">
        <f>VLOOKUP(C136,'PP F.G ROLL'!A:T,4,0)</f>
        <v>PP</v>
      </c>
      <c r="P136" t="e">
        <v>#N/A</v>
      </c>
    </row>
    <row r="137" spans="1:16" x14ac:dyDescent="0.2">
      <c r="A137" s="9" t="s">
        <v>1155</v>
      </c>
      <c r="C137" s="5" t="str">
        <f t="shared" si="24"/>
        <v>11/4.5</v>
      </c>
      <c r="D137" s="10">
        <f>_xlfn.MAXIFS('PP F.G ROLL'!J:J,'PP F.G ROLL'!A:A,'PP ROLL STOCK'!C137)</f>
        <v>45927</v>
      </c>
      <c r="E137" s="22" t="str" cm="1">
        <f t="array" ref="E137:G137">IFERROR(VLOOKUP(C137,'PP F.G ROLL'!A:T,{2,5,6},0),"-")</f>
        <v>آصف پلاسٹک سرگوھا</v>
      </c>
      <c r="F137" s="24">
        <v>11</v>
      </c>
      <c r="G137" s="24">
        <v>4.5</v>
      </c>
      <c r="H137" s="13">
        <f>SUMIFS('PP F.G ROLL'!K:K,'PP F.G ROLL'!$A:$A,'PP ROLL STOCK'!$C137)</f>
        <v>4</v>
      </c>
      <c r="I137" s="13">
        <f>SUMIFS('PP F.G ROLL'!N:N,'PP F.G ROLL'!$A:$A,'PP ROLL STOCK'!$C137)</f>
        <v>155.26999999999998</v>
      </c>
      <c r="J137" s="13">
        <f>SUMIFS('PP F.G ROLL'!S:S,'PP F.G ROLL'!$A:$A,'PP ROLL STOCK'!$C137)</f>
        <v>4</v>
      </c>
      <c r="K137" s="13">
        <f>SUMIFS('PP F.G ROLL'!T:T,'PP F.G ROLL'!$A:$A,'PP ROLL STOCK'!$C137)</f>
        <v>100</v>
      </c>
      <c r="L137" s="6">
        <f t="shared" si="25"/>
        <v>0</v>
      </c>
      <c r="M137" s="6">
        <f t="shared" si="26"/>
        <v>55.269999999999982</v>
      </c>
      <c r="N137" s="11" t="str">
        <f>IFERROR(VLOOKUP(C137,'[1]MIX SALE ORDER'!$A:$E,4,),"OTHERS")</f>
        <v>OTHERS</v>
      </c>
      <c r="O137" s="11" t="str">
        <f>VLOOKUP(C137,'PP F.G ROLL'!A:T,4,0)</f>
        <v>PP</v>
      </c>
      <c r="P137" t="e">
        <v>#N/A</v>
      </c>
    </row>
    <row r="138" spans="1:16" x14ac:dyDescent="0.2">
      <c r="A138" s="9" t="s">
        <v>1156</v>
      </c>
      <c r="C138" s="5" t="str">
        <f t="shared" si="24"/>
        <v>10.5/2.5-5</v>
      </c>
      <c r="D138" s="10">
        <f>_xlfn.MAXIFS('PP F.G ROLL'!J:J,'PP F.G ROLL'!A:A,'PP ROLL STOCK'!C138)</f>
        <v>45929</v>
      </c>
      <c r="E138" s="22" t="str" cm="1">
        <f t="array" ref="E138:G138">IFERROR(VLOOKUP(C138,'PP F.G ROLL'!A:T,{2,5,6},0),"-")</f>
        <v>خواجہ فرقان ٹمبر مارکیٹ</v>
      </c>
      <c r="F138" s="24">
        <v>10.5</v>
      </c>
      <c r="G138" s="24" t="str">
        <v>2.5-5</v>
      </c>
      <c r="H138" s="13">
        <f>SUMIFS('PP F.G ROLL'!K:K,'PP F.G ROLL'!$A:$A,'PP ROLL STOCK'!$C138)</f>
        <v>33</v>
      </c>
      <c r="I138" s="13">
        <f>SUMIFS('PP F.G ROLL'!N:N,'PP F.G ROLL'!$A:$A,'PP ROLL STOCK'!$C138)</f>
        <v>1248.28</v>
      </c>
      <c r="J138" s="13">
        <f>SUMIFS('PP F.G ROLL'!S:S,'PP F.G ROLL'!$A:$A,'PP ROLL STOCK'!$C138)</f>
        <v>0</v>
      </c>
      <c r="K138" s="13">
        <f>SUMIFS('PP F.G ROLL'!T:T,'PP F.G ROLL'!$A:$A,'PP ROLL STOCK'!$C138)</f>
        <v>0</v>
      </c>
      <c r="L138" s="6">
        <f t="shared" si="25"/>
        <v>33</v>
      </c>
      <c r="M138" s="6">
        <f t="shared" si="26"/>
        <v>1248.28</v>
      </c>
      <c r="N138" s="11" t="str">
        <f>IFERROR(VLOOKUP(C138,'[1]MIX SALE ORDER'!$A:$E,4,),"OTHERS")</f>
        <v>OTHERS</v>
      </c>
      <c r="O138" s="11" t="str">
        <f>VLOOKUP(C138,'PP F.G ROLL'!A:T,4,0)</f>
        <v>PP</v>
      </c>
      <c r="P138" t="e">
        <v>#N/A</v>
      </c>
    </row>
    <row r="139" spans="1:16" x14ac:dyDescent="0.2">
      <c r="A139" s="9" t="s">
        <v>1157</v>
      </c>
      <c r="C139" s="5" t="str">
        <f t="shared" si="24"/>
        <v>17/7-7.5/14-15</v>
      </c>
      <c r="D139" s="10">
        <f>_xlfn.MAXIFS('PP F.G ROLL'!J:J,'PP F.G ROLL'!A:A,'PP ROLL STOCK'!C139)</f>
        <v>45929</v>
      </c>
      <c r="E139" s="22" t="str" cm="1">
        <f t="array" ref="E139:G139">IFERROR(VLOOKUP(C139,'PP F.G ROLL'!A:T,{2,5,6},0),"-")</f>
        <v>Cakes and Bakes Lahore</v>
      </c>
      <c r="F139" s="24">
        <v>17</v>
      </c>
      <c r="G139" s="24" t="str">
        <v>7-7.5/14-15</v>
      </c>
      <c r="H139" s="13">
        <f>SUMIFS('PP F.G ROLL'!K:K,'PP F.G ROLL'!$A:$A,'PP ROLL STOCK'!$C139)</f>
        <v>5</v>
      </c>
      <c r="I139" s="13">
        <f>SUMIFS('PP F.G ROLL'!N:N,'PP F.G ROLL'!$A:$A,'PP ROLL STOCK'!$C139)</f>
        <v>195.70999999999998</v>
      </c>
      <c r="J139" s="13">
        <f>SUMIFS('PP F.G ROLL'!S:S,'PP F.G ROLL'!$A:$A,'PP ROLL STOCK'!$C139)</f>
        <v>0</v>
      </c>
      <c r="K139" s="13">
        <f>SUMIFS('PP F.G ROLL'!T:T,'PP F.G ROLL'!$A:$A,'PP ROLL STOCK'!$C139)</f>
        <v>0</v>
      </c>
      <c r="L139" s="6">
        <f t="shared" si="25"/>
        <v>5</v>
      </c>
      <c r="M139" s="6">
        <f t="shared" si="26"/>
        <v>195.70999999999998</v>
      </c>
      <c r="N139" s="11" t="str">
        <f>IFERROR(VLOOKUP(C139,'[1]MIX SALE ORDER'!$A:$E,4,),"OTHERS")</f>
        <v>OTHERS</v>
      </c>
      <c r="O139" s="11" t="str">
        <f>VLOOKUP(C139,'PP F.G ROLL'!A:T,4,0)</f>
        <v>PP</v>
      </c>
      <c r="P139" t="e">
        <v>#N/A</v>
      </c>
    </row>
    <row r="140" spans="1:16" x14ac:dyDescent="0.2">
      <c r="A140" s="9" t="s">
        <v>1158</v>
      </c>
      <c r="C140" s="5" t="str">
        <f t="shared" si="24"/>
        <v>16/7-7.5/14-15</v>
      </c>
      <c r="D140" s="10">
        <f>_xlfn.MAXIFS('PP F.G ROLL'!J:J,'PP F.G ROLL'!A:A,'PP ROLL STOCK'!C140)</f>
        <v>45929</v>
      </c>
      <c r="E140" s="22" t="str" cm="1">
        <f t="array" ref="E140:G140">IFERROR(VLOOKUP(C140,'PP F.G ROLL'!A:T,{2,5,6},0),"-")</f>
        <v>Cakes and Bakes Lahore</v>
      </c>
      <c r="F140" s="24">
        <v>16</v>
      </c>
      <c r="G140" s="24" t="str">
        <v>7-7.5/14-15</v>
      </c>
      <c r="H140" s="13">
        <f>SUMIFS('PP F.G ROLL'!K:K,'PP F.G ROLL'!$A:$A,'PP ROLL STOCK'!$C140)</f>
        <v>4</v>
      </c>
      <c r="I140" s="13">
        <f>SUMIFS('PP F.G ROLL'!N:N,'PP F.G ROLL'!$A:$A,'PP ROLL STOCK'!$C140)</f>
        <v>124.13999999999999</v>
      </c>
      <c r="J140" s="13">
        <f>SUMIFS('PP F.G ROLL'!S:S,'PP F.G ROLL'!$A:$A,'PP ROLL STOCK'!$C140)</f>
        <v>0</v>
      </c>
      <c r="K140" s="13">
        <f>SUMIFS('PP F.G ROLL'!T:T,'PP F.G ROLL'!$A:$A,'PP ROLL STOCK'!$C140)</f>
        <v>0</v>
      </c>
      <c r="L140" s="6">
        <f t="shared" si="25"/>
        <v>4</v>
      </c>
      <c r="M140" s="6">
        <f t="shared" si="26"/>
        <v>124.13999999999999</v>
      </c>
      <c r="N140" s="11" t="str">
        <f>IFERROR(VLOOKUP(C140,'[1]MIX SALE ORDER'!$A:$E,4,),"OTHERS")</f>
        <v>OTHERS</v>
      </c>
      <c r="O140" s="11" t="str">
        <f>VLOOKUP(C140,'PP F.G ROLL'!A:T,4,0)</f>
        <v>PP</v>
      </c>
      <c r="P140" t="e">
        <v>#N/A</v>
      </c>
    </row>
    <row r="141" spans="1:16" x14ac:dyDescent="0.2">
      <c r="A141" s="9" t="s">
        <v>1159</v>
      </c>
      <c r="C141" s="5" t="str">
        <f t="shared" si="24"/>
        <v>07/5</v>
      </c>
      <c r="D141" s="10">
        <f>_xlfn.MAXIFS('PP F.G ROLL'!J:J,'PP F.G ROLL'!A:A,'PP ROLL STOCK'!C141)</f>
        <v>45929</v>
      </c>
      <c r="E141" s="22" t="str" cm="1">
        <f t="array" ref="E141:G141">IFERROR(VLOOKUP(C141,'PP F.G ROLL'!A:T,{2,5,6},0),"-")</f>
        <v>ملک خالد سلیم فیصل آباد</v>
      </c>
      <c r="F141" s="24" t="str">
        <v>07</v>
      </c>
      <c r="G141" s="24">
        <v>5</v>
      </c>
      <c r="H141" s="13">
        <f>SUMIFS('PP F.G ROLL'!K:K,'PP F.G ROLL'!$A:$A,'PP ROLL STOCK'!$C141)</f>
        <v>115</v>
      </c>
      <c r="I141" s="13">
        <f>SUMIFS('PP F.G ROLL'!N:N,'PP F.G ROLL'!$A:$A,'PP ROLL STOCK'!$C141)</f>
        <v>3362.3400000000006</v>
      </c>
      <c r="J141" s="13">
        <f>SUMIFS('PP F.G ROLL'!S:S,'PP F.G ROLL'!$A:$A,'PP ROLL STOCK'!$C141)</f>
        <v>101</v>
      </c>
      <c r="K141" s="13">
        <f>SUMIFS('PP F.G ROLL'!T:T,'PP F.G ROLL'!$A:$A,'PP ROLL STOCK'!$C141)</f>
        <v>2515.12</v>
      </c>
      <c r="L141" s="6">
        <f t="shared" si="25"/>
        <v>14</v>
      </c>
      <c r="M141" s="6">
        <f t="shared" si="26"/>
        <v>847.22000000000071</v>
      </c>
      <c r="N141" s="11" t="str">
        <f>IFERROR(VLOOKUP(C141,'[1]MIX SALE ORDER'!$A:$E,4,),"OTHERS")</f>
        <v>OTHERS</v>
      </c>
      <c r="O141" s="11" t="str">
        <f>VLOOKUP(C141,'PP F.G ROLL'!A:T,4,0)</f>
        <v>PP</v>
      </c>
      <c r="P141" t="e">
        <v>#N/A</v>
      </c>
    </row>
    <row r="142" spans="1:16" x14ac:dyDescent="0.2">
      <c r="A142" s="9" t="s">
        <v>1160</v>
      </c>
      <c r="C142" s="5" t="str">
        <f t="shared" si="24"/>
        <v>08/5</v>
      </c>
      <c r="D142" s="10">
        <f>_xlfn.MAXIFS('PP F.G ROLL'!J:J,'PP F.G ROLL'!A:A,'PP ROLL STOCK'!C142)</f>
        <v>45927</v>
      </c>
      <c r="E142" s="22" t="str" cm="1">
        <f t="array" ref="E142:G142">IFERROR(VLOOKUP(C142,'PP F.G ROLL'!A:T,{2,5,6},0),"-")</f>
        <v>ملک خالد سلیم فیصل آباد</v>
      </c>
      <c r="F142" s="24" t="str">
        <v>08</v>
      </c>
      <c r="G142" s="24">
        <v>5</v>
      </c>
      <c r="H142" s="13">
        <f>SUMIFS('PP F.G ROLL'!K:K,'PP F.G ROLL'!$A:$A,'PP ROLL STOCK'!$C142)</f>
        <v>145</v>
      </c>
      <c r="I142" s="13">
        <f>SUMIFS('PP F.G ROLL'!N:N,'PP F.G ROLL'!$A:$A,'PP ROLL STOCK'!$C142)</f>
        <v>5038.8000000000011</v>
      </c>
      <c r="J142" s="13">
        <f>SUMIFS('PP F.G ROLL'!S:S,'PP F.G ROLL'!$A:$A,'PP ROLL STOCK'!$C142)</f>
        <v>167</v>
      </c>
      <c r="K142" s="13">
        <f>SUMIFS('PP F.G ROLL'!T:T,'PP F.G ROLL'!$A:$A,'PP ROLL STOCK'!$C142)</f>
        <v>4300</v>
      </c>
      <c r="L142" s="6">
        <f t="shared" si="25"/>
        <v>-22</v>
      </c>
      <c r="M142" s="6">
        <f t="shared" si="26"/>
        <v>738.80000000000109</v>
      </c>
      <c r="N142" s="11" t="str">
        <f>IFERROR(VLOOKUP(C142,'[1]MIX SALE ORDER'!$A:$E,4,),"OTHERS")</f>
        <v>OTHERS</v>
      </c>
      <c r="O142" s="11" t="str">
        <f>VLOOKUP(C142,'PP F.G ROLL'!A:T,4,0)</f>
        <v>PP</v>
      </c>
      <c r="P142" t="e">
        <v>#N/A</v>
      </c>
    </row>
    <row r="143" spans="1:16" x14ac:dyDescent="0.2">
      <c r="A143" s="9" t="s">
        <v>1161</v>
      </c>
      <c r="C143" s="5" t="str">
        <f t="shared" si="24"/>
        <v>05/5</v>
      </c>
      <c r="D143" s="10">
        <f>_xlfn.MAXIFS('PP F.G ROLL'!J:J,'PP F.G ROLL'!A:A,'PP ROLL STOCK'!C143)</f>
        <v>45930</v>
      </c>
      <c r="E143" s="22" t="str" cm="1">
        <f t="array" ref="E143:G143">IFERROR(VLOOKUP(C143,'PP F.G ROLL'!A:T,{2,5,6},0),"-")</f>
        <v>ملک خالد سلیم فیصل آباد</v>
      </c>
      <c r="F143" s="24" t="str">
        <v>05</v>
      </c>
      <c r="G143" s="24">
        <v>5</v>
      </c>
      <c r="H143" s="13">
        <f>SUMIFS('PP F.G ROLL'!K:K,'PP F.G ROLL'!$A:$A,'PP ROLL STOCK'!$C143)</f>
        <v>37</v>
      </c>
      <c r="I143" s="13">
        <f>SUMIFS('PP F.G ROLL'!N:N,'PP F.G ROLL'!$A:$A,'PP ROLL STOCK'!$C143)</f>
        <v>925</v>
      </c>
      <c r="J143" s="13">
        <f>SUMIFS('PP F.G ROLL'!S:S,'PP F.G ROLL'!$A:$A,'PP ROLL STOCK'!$C143)</f>
        <v>37</v>
      </c>
      <c r="K143" s="13">
        <f>SUMIFS('PP F.G ROLL'!T:T,'PP F.G ROLL'!$A:$A,'PP ROLL STOCK'!$C143)</f>
        <v>925</v>
      </c>
      <c r="L143" s="6">
        <f t="shared" si="25"/>
        <v>0</v>
      </c>
      <c r="M143" s="6">
        <f t="shared" si="26"/>
        <v>0</v>
      </c>
      <c r="N143" s="11" t="str">
        <f>IFERROR(VLOOKUP(C143,'[1]MIX SALE ORDER'!$A:$E,4,),"OTHERS")</f>
        <v>OTHERS</v>
      </c>
      <c r="O143" s="11" t="str">
        <f>VLOOKUP(C143,'PP F.G ROLL'!A:T,4,0)</f>
        <v>PP</v>
      </c>
      <c r="P143" t="e">
        <v>#N/A</v>
      </c>
    </row>
    <row r="144" spans="1:16" x14ac:dyDescent="0.2">
      <c r="A144" s="9" t="s">
        <v>1162</v>
      </c>
      <c r="C144" s="5" t="str">
        <f t="shared" si="24"/>
        <v>06/5</v>
      </c>
      <c r="D144" s="10">
        <f>_xlfn.MAXIFS('PP F.G ROLL'!J:J,'PP F.G ROLL'!A:A,'PP ROLL STOCK'!C144)</f>
        <v>45929</v>
      </c>
      <c r="E144" s="22" t="str" cm="1">
        <f t="array" ref="E144:G144">IFERROR(VLOOKUP(C144,'PP F.G ROLL'!A:T,{2,5,6},0),"-")</f>
        <v>ملک خالد سلیم فیصل آباد</v>
      </c>
      <c r="F144" s="24" t="str">
        <v>06</v>
      </c>
      <c r="G144" s="24">
        <v>5</v>
      </c>
      <c r="H144" s="13">
        <f>SUMIFS('PP F.G ROLL'!K:K,'PP F.G ROLL'!$A:$A,'PP ROLL STOCK'!$C144)</f>
        <v>86</v>
      </c>
      <c r="I144" s="13">
        <f>SUMIFS('PP F.G ROLL'!N:N,'PP F.G ROLL'!$A:$A,'PP ROLL STOCK'!$C144)</f>
        <v>2404.7300000000005</v>
      </c>
      <c r="J144" s="13">
        <f>SUMIFS('PP F.G ROLL'!S:S,'PP F.G ROLL'!$A:$A,'PP ROLL STOCK'!$C144)</f>
        <v>85</v>
      </c>
      <c r="K144" s="13">
        <f>SUMIFS('PP F.G ROLL'!T:T,'PP F.G ROLL'!$A:$A,'PP ROLL STOCK'!$C144)</f>
        <v>2125</v>
      </c>
      <c r="L144" s="6">
        <f t="shared" si="25"/>
        <v>1</v>
      </c>
      <c r="M144" s="6">
        <f t="shared" si="26"/>
        <v>279.73000000000047</v>
      </c>
      <c r="N144" s="11" t="str">
        <f>IFERROR(VLOOKUP(C144,'[1]MIX SALE ORDER'!$A:$E,4,),"OTHERS")</f>
        <v>OTHERS</v>
      </c>
      <c r="O144" s="11" t="str">
        <f>VLOOKUP(C144,'PP F.G ROLL'!A:T,4,0)</f>
        <v>PP</v>
      </c>
      <c r="P144" t="e">
        <v>#N/A</v>
      </c>
    </row>
    <row r="145" spans="1:16" x14ac:dyDescent="0.2">
      <c r="A145" s="9" t="s">
        <v>1163</v>
      </c>
      <c r="C145" s="5" t="str">
        <f t="shared" si="24"/>
        <v>12/4-4.5</v>
      </c>
      <c r="D145" s="10">
        <f>_xlfn.MAXIFS('PP F.G ROLL'!J:J,'PP F.G ROLL'!A:A,'PP ROLL STOCK'!C145)</f>
        <v>45930</v>
      </c>
      <c r="E145" s="22" t="str" cm="1">
        <f t="array" ref="E145:G145">IFERROR(VLOOKUP(C145,'PP F.G ROLL'!A:T,{2,5,6},0),"-")</f>
        <v>حاجی اسماعیل وہاڑی</v>
      </c>
      <c r="F145" s="24">
        <v>12</v>
      </c>
      <c r="G145" s="24" t="str">
        <v>4-4.5</v>
      </c>
      <c r="H145" s="13">
        <f>SUMIFS('PP F.G ROLL'!K:K,'PP F.G ROLL'!$A:$A,'PP ROLL STOCK'!$C145)</f>
        <v>4</v>
      </c>
      <c r="I145" s="13">
        <f>SUMIFS('PP F.G ROLL'!N:N,'PP F.G ROLL'!$A:$A,'PP ROLL STOCK'!$C145)</f>
        <v>95.2</v>
      </c>
      <c r="J145" s="13">
        <f>SUMIFS('PP F.G ROLL'!S:S,'PP F.G ROLL'!$A:$A,'PP ROLL STOCK'!$C145)</f>
        <v>4</v>
      </c>
      <c r="K145" s="13">
        <f>SUMIFS('PP F.G ROLL'!T:T,'PP F.G ROLL'!$A:$A,'PP ROLL STOCK'!$C145)</f>
        <v>95.2</v>
      </c>
      <c r="L145" s="6">
        <f t="shared" si="25"/>
        <v>0</v>
      </c>
      <c r="M145" s="6">
        <f t="shared" si="26"/>
        <v>0</v>
      </c>
      <c r="N145" s="11" t="str">
        <f>IFERROR(VLOOKUP(C145,'[1]MIX SALE ORDER'!$A:$E,4,),"OTHERS")</f>
        <v>OTHERS</v>
      </c>
      <c r="O145" s="11" t="str">
        <f>VLOOKUP(C145,'PP F.G ROLL'!A:T,4,0)</f>
        <v>PP</v>
      </c>
      <c r="P145" t="e">
        <v>#N/A</v>
      </c>
    </row>
    <row r="146" spans="1:16" x14ac:dyDescent="0.2">
      <c r="A146" s="9" t="s">
        <v>75</v>
      </c>
      <c r="C146" s="5" t="str">
        <f t="shared" si="24"/>
        <v>Grand Total</v>
      </c>
      <c r="D146" s="10">
        <f>_xlfn.MAXIFS('PP F.G ROLL'!J:J,'PP F.G ROLL'!A:A,'PP ROLL STOCK'!C146)</f>
        <v>0</v>
      </c>
      <c r="E146" s="22" t="str" cm="1">
        <f t="array" ref="E146">IFERROR(VLOOKUP(C146,'PP F.G ROLL'!A:T,{2,5,6},0),"-")</f>
        <v>-</v>
      </c>
      <c r="F146" s="24"/>
      <c r="G146" s="24"/>
      <c r="H146" s="13">
        <f>SUMIFS('PP F.G ROLL'!K:K,'PP F.G ROLL'!$A:$A,'PP ROLL STOCK'!$C146)</f>
        <v>0</v>
      </c>
      <c r="I146" s="13">
        <f>SUMIFS('PP F.G ROLL'!N:N,'PP F.G ROLL'!$A:$A,'PP ROLL STOCK'!$C146)</f>
        <v>0</v>
      </c>
      <c r="J146" s="13">
        <f>SUMIFS('PP F.G ROLL'!S:S,'PP F.G ROLL'!$A:$A,'PP ROLL STOCK'!$C146)</f>
        <v>0</v>
      </c>
      <c r="K146" s="13">
        <f>SUMIFS('PP F.G ROLL'!T:T,'PP F.G ROLL'!$A:$A,'PP ROLL STOCK'!$C146)</f>
        <v>0</v>
      </c>
      <c r="L146" s="6">
        <f t="shared" si="25"/>
        <v>0</v>
      </c>
      <c r="M146" s="6">
        <f t="shared" si="26"/>
        <v>0</v>
      </c>
      <c r="N146" s="11" t="str">
        <f>IFERROR(VLOOKUP(C146,'[1]MIX SALE ORDER'!$A:$E,4,),"OTHERS")</f>
        <v>OTHERS</v>
      </c>
      <c r="O146" s="11" t="e">
        <f>VLOOKUP(C146,'PP F.G ROLL'!A:T,4,0)</f>
        <v>#N/A</v>
      </c>
      <c r="P146" t="e">
        <v>#N/A</v>
      </c>
    </row>
    <row r="147" spans="1:16" x14ac:dyDescent="0.2">
      <c r="P147" t="e">
        <v>#N/A</v>
      </c>
    </row>
    <row r="148" spans="1:16" x14ac:dyDescent="0.2">
      <c r="P148" t="e">
        <v>#N/A</v>
      </c>
    </row>
    <row r="149" spans="1:16" x14ac:dyDescent="0.2">
      <c r="P149" t="e">
        <v>#N/A</v>
      </c>
    </row>
    <row r="150" spans="1:16" x14ac:dyDescent="0.2">
      <c r="P150" t="e">
        <v>#N/A</v>
      </c>
    </row>
    <row r="151" spans="1:16" x14ac:dyDescent="0.2">
      <c r="P151" t="e">
        <v>#N/A</v>
      </c>
    </row>
    <row r="152" spans="1:16" x14ac:dyDescent="0.2">
      <c r="P152" t="e">
        <v>#N/A</v>
      </c>
    </row>
    <row r="153" spans="1:16" x14ac:dyDescent="0.2">
      <c r="P153" t="e">
        <v>#N/A</v>
      </c>
    </row>
    <row r="154" spans="1:16" x14ac:dyDescent="0.2">
      <c r="P154" t="e">
        <v>#N/A</v>
      </c>
    </row>
    <row r="155" spans="1:16" x14ac:dyDescent="0.2">
      <c r="P155" t="e">
        <v>#N/A</v>
      </c>
    </row>
    <row r="156" spans="1:16" x14ac:dyDescent="0.2">
      <c r="P156" t="e">
        <v>#N/A</v>
      </c>
    </row>
    <row r="157" spans="1:16" x14ac:dyDescent="0.2">
      <c r="P157" t="e">
        <v>#N/A</v>
      </c>
    </row>
    <row r="158" spans="1:16" x14ac:dyDescent="0.2">
      <c r="P158" t="e">
        <v>#N/A</v>
      </c>
    </row>
    <row r="159" spans="1:16" x14ac:dyDescent="0.2">
      <c r="P159" t="e">
        <v>#N/A</v>
      </c>
    </row>
    <row r="160" spans="1:16" x14ac:dyDescent="0.2">
      <c r="P160" t="e">
        <v>#N/A</v>
      </c>
    </row>
    <row r="161" spans="16:16" x14ac:dyDescent="0.2">
      <c r="P161" t="e">
        <v>#N/A</v>
      </c>
    </row>
    <row r="162" spans="16:16" x14ac:dyDescent="0.2">
      <c r="P162" t="e">
        <v>#N/A</v>
      </c>
    </row>
    <row r="163" spans="16:16" x14ac:dyDescent="0.2">
      <c r="P163" t="e">
        <v>#N/A</v>
      </c>
    </row>
    <row r="164" spans="16:16" x14ac:dyDescent="0.2">
      <c r="P164" t="e">
        <v>#N/A</v>
      </c>
    </row>
    <row r="165" spans="16:16" x14ac:dyDescent="0.2">
      <c r="P165" t="e">
        <v>#N/A</v>
      </c>
    </row>
    <row r="166" spans="16:16" x14ac:dyDescent="0.2">
      <c r="P166" t="e">
        <v>#N/A</v>
      </c>
    </row>
    <row r="167" spans="16:16" x14ac:dyDescent="0.2">
      <c r="P167" t="e">
        <v>#N/A</v>
      </c>
    </row>
    <row r="168" spans="16:16" x14ac:dyDescent="0.2">
      <c r="P168" t="e">
        <v>#N/A</v>
      </c>
    </row>
    <row r="169" spans="16:16" x14ac:dyDescent="0.2">
      <c r="P169" t="e">
        <v>#N/A</v>
      </c>
    </row>
    <row r="170" spans="16:16" x14ac:dyDescent="0.2">
      <c r="P170" t="e">
        <v>#N/A</v>
      </c>
    </row>
    <row r="171" spans="16:16" x14ac:dyDescent="0.2">
      <c r="P171" t="e">
        <v>#N/A</v>
      </c>
    </row>
    <row r="172" spans="16:16" x14ac:dyDescent="0.2">
      <c r="P172" t="e">
        <v>#N/A</v>
      </c>
    </row>
    <row r="173" spans="16:16" x14ac:dyDescent="0.2">
      <c r="P173" t="e">
        <v>#N/A</v>
      </c>
    </row>
    <row r="174" spans="16:16" x14ac:dyDescent="0.2">
      <c r="P174" t="e">
        <v>#N/A</v>
      </c>
    </row>
    <row r="175" spans="16:16" x14ac:dyDescent="0.2">
      <c r="P175" t="e">
        <v>#N/A</v>
      </c>
    </row>
    <row r="176" spans="16:16" x14ac:dyDescent="0.2">
      <c r="P176" t="e">
        <v>#N/A</v>
      </c>
    </row>
    <row r="177" spans="16:16" x14ac:dyDescent="0.2">
      <c r="P177" t="e">
        <v>#N/A</v>
      </c>
    </row>
    <row r="178" spans="16:16" x14ac:dyDescent="0.2">
      <c r="P178" t="e">
        <v>#N/A</v>
      </c>
    </row>
    <row r="179" spans="16:16" x14ac:dyDescent="0.2">
      <c r="P179" t="e">
        <v>#N/A</v>
      </c>
    </row>
    <row r="180" spans="16:16" x14ac:dyDescent="0.2">
      <c r="P180" t="e">
        <v>#N/A</v>
      </c>
    </row>
    <row r="181" spans="16:16" x14ac:dyDescent="0.2">
      <c r="P181" t="e">
        <v>#N/A</v>
      </c>
    </row>
    <row r="182" spans="16:16" x14ac:dyDescent="0.2">
      <c r="P182" t="e">
        <v>#N/A</v>
      </c>
    </row>
    <row r="183" spans="16:16" x14ac:dyDescent="0.2">
      <c r="P183" t="e">
        <v>#N/A</v>
      </c>
    </row>
    <row r="184" spans="16:16" x14ac:dyDescent="0.2">
      <c r="P184" t="e">
        <v>#N/A</v>
      </c>
    </row>
    <row r="185" spans="16:16" x14ac:dyDescent="0.2">
      <c r="P185" t="e">
        <v>#N/A</v>
      </c>
    </row>
    <row r="186" spans="16:16" x14ac:dyDescent="0.2">
      <c r="P186" t="e">
        <v>#N/A</v>
      </c>
    </row>
    <row r="187" spans="16:16" x14ac:dyDescent="0.2">
      <c r="P187" t="e">
        <v>#N/A</v>
      </c>
    </row>
    <row r="188" spans="16:16" x14ac:dyDescent="0.2">
      <c r="P188" t="e">
        <v>#N/A</v>
      </c>
    </row>
    <row r="189" spans="16:16" x14ac:dyDescent="0.2">
      <c r="P189" t="e">
        <v>#N/A</v>
      </c>
    </row>
    <row r="190" spans="16:16" x14ac:dyDescent="0.2">
      <c r="P190" t="e">
        <v>#N/A</v>
      </c>
    </row>
    <row r="191" spans="16:16" x14ac:dyDescent="0.2">
      <c r="P191" t="e">
        <v>#N/A</v>
      </c>
    </row>
    <row r="192" spans="16:16" x14ac:dyDescent="0.2">
      <c r="P192" t="e">
        <v>#N/A</v>
      </c>
    </row>
    <row r="193" spans="16:16" x14ac:dyDescent="0.2">
      <c r="P193" t="e">
        <v>#N/A</v>
      </c>
    </row>
    <row r="194" spans="16:16" x14ac:dyDescent="0.2">
      <c r="P194" t="e">
        <v>#N/A</v>
      </c>
    </row>
    <row r="195" spans="16:16" x14ac:dyDescent="0.2">
      <c r="P195" t="e">
        <v>#N/A</v>
      </c>
    </row>
    <row r="196" spans="16:16" x14ac:dyDescent="0.2">
      <c r="P196" t="e">
        <v>#N/A</v>
      </c>
    </row>
    <row r="197" spans="16:16" x14ac:dyDescent="0.2">
      <c r="P197" t="e">
        <v>#N/A</v>
      </c>
    </row>
    <row r="198" spans="16:16" x14ac:dyDescent="0.2">
      <c r="P198" t="e">
        <v>#N/A</v>
      </c>
    </row>
    <row r="199" spans="16:16" x14ac:dyDescent="0.2">
      <c r="P199" t="e">
        <v>#N/A</v>
      </c>
    </row>
    <row r="200" spans="16:16" x14ac:dyDescent="0.2">
      <c r="P200" t="e">
        <v>#N/A</v>
      </c>
    </row>
    <row r="201" spans="16:16" x14ac:dyDescent="0.2">
      <c r="P201" t="e">
        <v>#N/A</v>
      </c>
    </row>
    <row r="202" spans="16:16" x14ac:dyDescent="0.2">
      <c r="P202" t="e">
        <v>#N/A</v>
      </c>
    </row>
    <row r="203" spans="16:16" x14ac:dyDescent="0.2">
      <c r="P203" t="e">
        <v>#N/A</v>
      </c>
    </row>
    <row r="204" spans="16:16" x14ac:dyDescent="0.2">
      <c r="P204" t="e">
        <v>#N/A</v>
      </c>
    </row>
    <row r="205" spans="16:16" x14ac:dyDescent="0.2">
      <c r="P205" t="e">
        <v>#N/A</v>
      </c>
    </row>
    <row r="206" spans="16:16" x14ac:dyDescent="0.2">
      <c r="P206" t="e">
        <v>#N/A</v>
      </c>
    </row>
    <row r="207" spans="16:16" x14ac:dyDescent="0.2">
      <c r="P207" t="e">
        <v>#N/A</v>
      </c>
    </row>
    <row r="208" spans="16:16" x14ac:dyDescent="0.2">
      <c r="P208" t="e">
        <v>#N/A</v>
      </c>
    </row>
    <row r="209" spans="16:16" x14ac:dyDescent="0.2">
      <c r="P209" t="e">
        <v>#N/A</v>
      </c>
    </row>
    <row r="210" spans="16:16" x14ac:dyDescent="0.2">
      <c r="P210" t="e">
        <v>#N/A</v>
      </c>
    </row>
    <row r="211" spans="16:16" x14ac:dyDescent="0.2">
      <c r="P211" t="e">
        <v>#N/A</v>
      </c>
    </row>
    <row r="212" spans="16:16" x14ac:dyDescent="0.2">
      <c r="P212" t="e">
        <v>#N/A</v>
      </c>
    </row>
    <row r="213" spans="16:16" x14ac:dyDescent="0.2">
      <c r="P213" t="e">
        <v>#N/A</v>
      </c>
    </row>
    <row r="214" spans="16:16" x14ac:dyDescent="0.2">
      <c r="P214" t="e">
        <v>#N/A</v>
      </c>
    </row>
    <row r="215" spans="16:16" x14ac:dyDescent="0.2">
      <c r="P215" t="e">
        <v>#N/A</v>
      </c>
    </row>
    <row r="216" spans="16:16" x14ac:dyDescent="0.2">
      <c r="P216" t="e">
        <v>#N/A</v>
      </c>
    </row>
    <row r="217" spans="16:16" x14ac:dyDescent="0.2">
      <c r="P217" t="e">
        <v>#N/A</v>
      </c>
    </row>
    <row r="218" spans="16:16" x14ac:dyDescent="0.2">
      <c r="P218" t="e">
        <v>#N/A</v>
      </c>
    </row>
    <row r="219" spans="16:16" x14ac:dyDescent="0.2">
      <c r="P219" t="e">
        <v>#N/A</v>
      </c>
    </row>
    <row r="220" spans="16:16" x14ac:dyDescent="0.2">
      <c r="P220" t="e">
        <v>#N/A</v>
      </c>
    </row>
    <row r="221" spans="16:16" x14ac:dyDescent="0.2">
      <c r="P221" t="e">
        <v>#N/A</v>
      </c>
    </row>
    <row r="222" spans="16:16" x14ac:dyDescent="0.2">
      <c r="P222" t="e">
        <v>#N/A</v>
      </c>
    </row>
    <row r="223" spans="16:16" x14ac:dyDescent="0.2">
      <c r="P223" t="e">
        <v>#N/A</v>
      </c>
    </row>
    <row r="224" spans="16:16" x14ac:dyDescent="0.2">
      <c r="P224" t="e">
        <v>#N/A</v>
      </c>
    </row>
    <row r="225" spans="16:16" x14ac:dyDescent="0.2">
      <c r="P225" t="e">
        <v>#N/A</v>
      </c>
    </row>
    <row r="226" spans="16:16" x14ac:dyDescent="0.2">
      <c r="P226" t="e">
        <v>#N/A</v>
      </c>
    </row>
    <row r="227" spans="16:16" x14ac:dyDescent="0.2">
      <c r="P227" t="e">
        <v>#N/A</v>
      </c>
    </row>
    <row r="228" spans="16:16" x14ac:dyDescent="0.2">
      <c r="P228" t="e">
        <v>#N/A</v>
      </c>
    </row>
    <row r="229" spans="16:16" x14ac:dyDescent="0.2">
      <c r="P229" t="e">
        <v>#N/A</v>
      </c>
    </row>
    <row r="230" spans="16:16" x14ac:dyDescent="0.2">
      <c r="P230" t="e">
        <v>#N/A</v>
      </c>
    </row>
    <row r="231" spans="16:16" x14ac:dyDescent="0.2">
      <c r="P231" t="e">
        <v>#N/A</v>
      </c>
    </row>
    <row r="232" spans="16:16" x14ac:dyDescent="0.2">
      <c r="P232" t="e">
        <v>#N/A</v>
      </c>
    </row>
    <row r="233" spans="16:16" x14ac:dyDescent="0.2">
      <c r="P233" t="e">
        <v>#N/A</v>
      </c>
    </row>
    <row r="234" spans="16:16" x14ac:dyDescent="0.2">
      <c r="P234" t="e">
        <v>#N/A</v>
      </c>
    </row>
    <row r="235" spans="16:16" x14ac:dyDescent="0.2">
      <c r="P235" t="e">
        <v>#N/A</v>
      </c>
    </row>
    <row r="236" spans="16:16" x14ac:dyDescent="0.2">
      <c r="P236" t="e">
        <v>#N/A</v>
      </c>
    </row>
    <row r="237" spans="16:16" x14ac:dyDescent="0.2">
      <c r="P237" t="e">
        <v>#N/A</v>
      </c>
    </row>
    <row r="238" spans="16:16" x14ac:dyDescent="0.2">
      <c r="P238" t="e">
        <v>#N/A</v>
      </c>
    </row>
    <row r="239" spans="16:16" x14ac:dyDescent="0.2">
      <c r="P239" t="e">
        <v>#N/A</v>
      </c>
    </row>
    <row r="240" spans="16:16" x14ac:dyDescent="0.2">
      <c r="P240" t="e">
        <v>#N/A</v>
      </c>
    </row>
    <row r="241" spans="16:16" x14ac:dyDescent="0.2">
      <c r="P241" t="e">
        <v>#N/A</v>
      </c>
    </row>
    <row r="242" spans="16:16" x14ac:dyDescent="0.2">
      <c r="P242" t="e">
        <v>#N/A</v>
      </c>
    </row>
    <row r="243" spans="16:16" x14ac:dyDescent="0.2">
      <c r="P243" t="e">
        <v>#N/A</v>
      </c>
    </row>
    <row r="244" spans="16:16" x14ac:dyDescent="0.2">
      <c r="P244" t="e">
        <v>#N/A</v>
      </c>
    </row>
    <row r="245" spans="16:16" x14ac:dyDescent="0.2">
      <c r="P245" t="e">
        <v>#N/A</v>
      </c>
    </row>
    <row r="246" spans="16:16" x14ac:dyDescent="0.2">
      <c r="P246" t="e">
        <v>#N/A</v>
      </c>
    </row>
    <row r="247" spans="16:16" x14ac:dyDescent="0.2">
      <c r="P247" t="e">
        <v>#N/A</v>
      </c>
    </row>
    <row r="248" spans="16:16" x14ac:dyDescent="0.2">
      <c r="P248" t="e">
        <v>#N/A</v>
      </c>
    </row>
    <row r="249" spans="16:16" x14ac:dyDescent="0.2">
      <c r="P249" t="e">
        <v>#N/A</v>
      </c>
    </row>
    <row r="250" spans="16:16" x14ac:dyDescent="0.2">
      <c r="P250" t="e">
        <v>#N/A</v>
      </c>
    </row>
    <row r="251" spans="16:16" x14ac:dyDescent="0.2">
      <c r="P251" t="e">
        <v>#N/A</v>
      </c>
    </row>
    <row r="252" spans="16:16" x14ac:dyDescent="0.2">
      <c r="P252" t="e">
        <v>#N/A</v>
      </c>
    </row>
    <row r="253" spans="16:16" x14ac:dyDescent="0.2">
      <c r="P253" t="e">
        <v>#N/A</v>
      </c>
    </row>
    <row r="254" spans="16:16" x14ac:dyDescent="0.2">
      <c r="P254" t="e">
        <v>#N/A</v>
      </c>
    </row>
    <row r="255" spans="16:16" x14ac:dyDescent="0.2">
      <c r="P255" t="e">
        <v>#N/A</v>
      </c>
    </row>
    <row r="256" spans="16:16" x14ac:dyDescent="0.2">
      <c r="P256" t="e">
        <v>#N/A</v>
      </c>
    </row>
    <row r="257" spans="16:16" x14ac:dyDescent="0.2">
      <c r="P257" t="e">
        <v>#N/A</v>
      </c>
    </row>
    <row r="258" spans="16:16" x14ac:dyDescent="0.2">
      <c r="P258" t="e">
        <v>#N/A</v>
      </c>
    </row>
    <row r="259" spans="16:16" x14ac:dyDescent="0.2">
      <c r="P259" t="e">
        <v>#N/A</v>
      </c>
    </row>
    <row r="260" spans="16:16" x14ac:dyDescent="0.2">
      <c r="P260" t="e">
        <v>#N/A</v>
      </c>
    </row>
    <row r="261" spans="16:16" x14ac:dyDescent="0.2">
      <c r="P261" t="e">
        <v>#N/A</v>
      </c>
    </row>
    <row r="262" spans="16:16" x14ac:dyDescent="0.2">
      <c r="P262" t="e">
        <v>#N/A</v>
      </c>
    </row>
    <row r="263" spans="16:16" x14ac:dyDescent="0.2">
      <c r="P263" t="e">
        <v>#N/A</v>
      </c>
    </row>
    <row r="264" spans="16:16" x14ac:dyDescent="0.2">
      <c r="P264" t="e">
        <v>#N/A</v>
      </c>
    </row>
    <row r="265" spans="16:16" x14ac:dyDescent="0.2">
      <c r="P265" t="e">
        <v>#N/A</v>
      </c>
    </row>
    <row r="266" spans="16:16" x14ac:dyDescent="0.2">
      <c r="P266" t="e">
        <v>#N/A</v>
      </c>
    </row>
    <row r="267" spans="16:16" x14ac:dyDescent="0.2">
      <c r="P267" t="e">
        <v>#N/A</v>
      </c>
    </row>
    <row r="268" spans="16:16" x14ac:dyDescent="0.2">
      <c r="P268" t="e">
        <v>#N/A</v>
      </c>
    </row>
    <row r="269" spans="16:16" x14ac:dyDescent="0.2">
      <c r="P269" t="e">
        <v>#N/A</v>
      </c>
    </row>
    <row r="270" spans="16:16" x14ac:dyDescent="0.2">
      <c r="P270" t="e">
        <v>#N/A</v>
      </c>
    </row>
    <row r="271" spans="16:16" x14ac:dyDescent="0.2">
      <c r="P271" t="e">
        <v>#N/A</v>
      </c>
    </row>
    <row r="272" spans="16:16" x14ac:dyDescent="0.2">
      <c r="P272" t="e">
        <v>#N/A</v>
      </c>
    </row>
    <row r="273" spans="16:16" x14ac:dyDescent="0.2">
      <c r="P273" t="e">
        <v>#N/A</v>
      </c>
    </row>
    <row r="274" spans="16:16" x14ac:dyDescent="0.2">
      <c r="P274" t="e">
        <v>#N/A</v>
      </c>
    </row>
    <row r="275" spans="16:16" x14ac:dyDescent="0.2">
      <c r="P275" t="e">
        <v>#N/A</v>
      </c>
    </row>
    <row r="276" spans="16:16" x14ac:dyDescent="0.2">
      <c r="P276" t="e">
        <v>#N/A</v>
      </c>
    </row>
    <row r="277" spans="16:16" x14ac:dyDescent="0.2">
      <c r="P277" t="e">
        <v>#N/A</v>
      </c>
    </row>
    <row r="278" spans="16:16" x14ac:dyDescent="0.2">
      <c r="P278" t="e">
        <v>#N/A</v>
      </c>
    </row>
    <row r="279" spans="16:16" x14ac:dyDescent="0.2">
      <c r="P279" t="e">
        <v>#N/A</v>
      </c>
    </row>
    <row r="280" spans="16:16" x14ac:dyDescent="0.2">
      <c r="P280" t="e">
        <v>#N/A</v>
      </c>
    </row>
    <row r="281" spans="16:16" x14ac:dyDescent="0.2">
      <c r="P281" t="e">
        <v>#N/A</v>
      </c>
    </row>
    <row r="282" spans="16:16" x14ac:dyDescent="0.2">
      <c r="P282" t="e">
        <v>#N/A</v>
      </c>
    </row>
    <row r="283" spans="16:16" x14ac:dyDescent="0.2">
      <c r="P283" t="e">
        <v>#N/A</v>
      </c>
    </row>
    <row r="284" spans="16:16" x14ac:dyDescent="0.2">
      <c r="P284" t="e">
        <v>#N/A</v>
      </c>
    </row>
    <row r="285" spans="16:16" x14ac:dyDescent="0.2">
      <c r="P285" t="e">
        <v>#N/A</v>
      </c>
    </row>
    <row r="286" spans="16:16" x14ac:dyDescent="0.2">
      <c r="P286" t="e">
        <v>#N/A</v>
      </c>
    </row>
    <row r="287" spans="16:16" x14ac:dyDescent="0.2">
      <c r="P287" t="e">
        <v>#N/A</v>
      </c>
    </row>
    <row r="288" spans="16:16" x14ac:dyDescent="0.2">
      <c r="P288" t="e">
        <v>#N/A</v>
      </c>
    </row>
    <row r="289" spans="16:16" x14ac:dyDescent="0.2">
      <c r="P289" t="e">
        <v>#N/A</v>
      </c>
    </row>
    <row r="290" spans="16:16" x14ac:dyDescent="0.2">
      <c r="P290" t="e">
        <v>#N/A</v>
      </c>
    </row>
    <row r="291" spans="16:16" x14ac:dyDescent="0.2">
      <c r="P291" t="e">
        <v>#N/A</v>
      </c>
    </row>
    <row r="292" spans="16:16" x14ac:dyDescent="0.2">
      <c r="P292" t="e">
        <v>#N/A</v>
      </c>
    </row>
    <row r="293" spans="16:16" x14ac:dyDescent="0.2">
      <c r="P293" t="e">
        <v>#N/A</v>
      </c>
    </row>
    <row r="294" spans="16:16" x14ac:dyDescent="0.2">
      <c r="P294" t="e">
        <v>#N/A</v>
      </c>
    </row>
    <row r="295" spans="16:16" x14ac:dyDescent="0.2">
      <c r="P295" t="e">
        <v>#N/A</v>
      </c>
    </row>
    <row r="296" spans="16:16" x14ac:dyDescent="0.2">
      <c r="P296" t="e">
        <v>#N/A</v>
      </c>
    </row>
    <row r="297" spans="16:16" x14ac:dyDescent="0.2">
      <c r="P297" t="e">
        <v>#N/A</v>
      </c>
    </row>
    <row r="298" spans="16:16" x14ac:dyDescent="0.2">
      <c r="P298" t="e">
        <v>#N/A</v>
      </c>
    </row>
    <row r="299" spans="16:16" x14ac:dyDescent="0.2">
      <c r="P299" t="e">
        <v>#N/A</v>
      </c>
    </row>
    <row r="300" spans="16:16" x14ac:dyDescent="0.2">
      <c r="P300" t="e">
        <v>#N/A</v>
      </c>
    </row>
  </sheetData>
  <autoFilter ref="B1:S300" xr:uid="{5B8CADB4-65A3-4B69-85BE-75F56179E9A6}"/>
  <conditionalFormatting sqref="L1:M1">
    <cfRule type="cellIs" dxfId="5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F164-7339-45C5-A0D2-7062B5323BAD}">
  <dimension ref="A1:N79"/>
  <sheetViews>
    <sheetView topLeftCell="A2" workbookViewId="0">
      <pane ySplit="1" topLeftCell="A3" activePane="bottomLeft" state="frozen"/>
      <selection activeCell="A2" sqref="A2"/>
      <selection pane="bottomLeft" activeCell="B43" sqref="B43"/>
    </sheetView>
  </sheetViews>
  <sheetFormatPr defaultRowHeight="12.75" x14ac:dyDescent="0.2"/>
  <cols>
    <col min="1" max="1" width="7" bestFit="1" customWidth="1"/>
    <col min="2" max="2" width="10" bestFit="1" customWidth="1"/>
    <col min="3" max="3" width="11.5703125" bestFit="1" customWidth="1"/>
    <col min="4" max="4" width="18.7109375" bestFit="1" customWidth="1"/>
    <col min="5" max="5" width="12" bestFit="1" customWidth="1"/>
    <col min="6" max="7" width="8.140625" bestFit="1" customWidth="1"/>
  </cols>
  <sheetData>
    <row r="1" spans="1:14" ht="34.5" customHeight="1" x14ac:dyDescent="0.2">
      <c r="F1" s="32">
        <v>45902</v>
      </c>
      <c r="G1" s="32">
        <v>45905</v>
      </c>
    </row>
    <row r="2" spans="1:14" ht="34.5" customHeight="1" x14ac:dyDescent="0.25">
      <c r="A2" s="36" t="s">
        <v>77</v>
      </c>
      <c r="B2" s="36" t="s">
        <v>80</v>
      </c>
      <c r="C2" s="36" t="s">
        <v>78</v>
      </c>
      <c r="D2" s="36" t="s">
        <v>79</v>
      </c>
      <c r="E2" s="36" t="s">
        <v>81</v>
      </c>
      <c r="F2" s="36" t="s">
        <v>82</v>
      </c>
      <c r="G2" s="36" t="s">
        <v>6</v>
      </c>
      <c r="H2" s="32">
        <v>45905</v>
      </c>
      <c r="N2" t="s">
        <v>160</v>
      </c>
    </row>
    <row r="3" spans="1:14" x14ac:dyDescent="0.2">
      <c r="A3" s="18" t="s">
        <v>12</v>
      </c>
      <c r="B3" s="18">
        <v>5</v>
      </c>
      <c r="C3" s="1">
        <v>1165</v>
      </c>
      <c r="D3">
        <f>SUMIFS('[2]PP PRD'!$Q:$Q,'[2]PP PRD'!$G:$G,A:A,'[2]PP PRD'!$H:$H,B:B,'[2]PP PRD'!$D:$D,$H$2)</f>
        <v>735.44</v>
      </c>
      <c r="E3">
        <f>SUMIFS('[2]PP BOTTOM SEAL'!$L:$L,'[2]PP BOTTOM SEAL'!$I:$I,A3,'[2]PP BOTTOM SEAL'!$H:$H,B3,'[2]PP BOTTOM SEAL'!$D:$D,$F$1)</f>
        <v>0</v>
      </c>
      <c r="F3">
        <f>SUMIFS('[2]PP SIDE SEAL'!$L:$L,'[2]PP SIDE SEAL'!$I:$I,A3,'[2]PP SIDE SEAL'!$H:$H,B3,'[2]PP SIDE SEAL'!$D:$D,$F$1)</f>
        <v>0</v>
      </c>
      <c r="G3">
        <f>+C3-E3</f>
        <v>1165</v>
      </c>
      <c r="L3" s="18" t="s">
        <v>12</v>
      </c>
      <c r="M3" s="18">
        <v>5</v>
      </c>
      <c r="N3" s="1">
        <f>38+44+45+65+25+29+61+57+51+38+41+50+58+60+32+54+52+50+44+50+36+50+26+52+57</f>
        <v>1165</v>
      </c>
    </row>
    <row r="4" spans="1:14" x14ac:dyDescent="0.2">
      <c r="A4" s="19" t="s">
        <v>13</v>
      </c>
      <c r="B4" s="19">
        <v>5</v>
      </c>
      <c r="C4" s="2">
        <v>-765</v>
      </c>
      <c r="D4">
        <f>SUMIFS('[2]PP PRD'!$Q:$Q,'[2]PP PRD'!$G:$G,A:A,'[2]PP PRD'!$H:$H,B:B,'[2]PP PRD'!$D:$D,$H$2)</f>
        <v>0</v>
      </c>
      <c r="E4">
        <f>SUMIFS('[2]PP BOTTOM SEAL'!$L:$L,'[2]PP BOTTOM SEAL'!$I:$I,A4,'[2]PP BOTTOM SEAL'!$H:$H,B4,'[2]PP BOTTOM SEAL'!$D:$D,$F$1)</f>
        <v>400</v>
      </c>
      <c r="F4">
        <f>SUMIFS('[2]PP SIDE SEAL'!$L:$L,'[2]PP SIDE SEAL'!$I:$I,A4,'[2]PP SIDE SEAL'!$H:$H,B4,'[2]PP SIDE SEAL'!$D:$D,$F$1)</f>
        <v>225</v>
      </c>
      <c r="G4">
        <f t="shared" ref="G4:G66" si="0">+C4-E4</f>
        <v>-1165</v>
      </c>
      <c r="L4" s="19" t="s">
        <v>13</v>
      </c>
      <c r="M4" s="19">
        <v>5</v>
      </c>
      <c r="N4" s="2">
        <f>45+40+54+37+36+49+32+44+38+43+25+47+51+51+65+34+28+38+50+15+13</f>
        <v>835</v>
      </c>
    </row>
    <row r="5" spans="1:14" x14ac:dyDescent="0.2">
      <c r="A5" s="19" t="s">
        <v>14</v>
      </c>
      <c r="B5" s="19">
        <v>5</v>
      </c>
      <c r="C5" s="2">
        <v>1365</v>
      </c>
      <c r="D5">
        <f>SUMIFS('[2]PP PRD'!$Q:$Q,'[2]PP PRD'!$G:$G,A:A,'[2]PP PRD'!$H:$H,B:B,'[2]PP PRD'!$D:$D,$H$2)</f>
        <v>356.21999999999997</v>
      </c>
      <c r="E5">
        <f>SUMIFS('[2]PP BOTTOM SEAL'!$L:$L,'[2]PP BOTTOM SEAL'!$I:$I,A5,'[2]PP BOTTOM SEAL'!$H:$H,B5,'[2]PP BOTTOM SEAL'!$D:$D,$F$1)</f>
        <v>0</v>
      </c>
      <c r="F5">
        <f>SUMIFS('[2]PP SIDE SEAL'!$L:$L,'[2]PP SIDE SEAL'!$I:$I,A5,'[2]PP SIDE SEAL'!$H:$H,B5,'[2]PP SIDE SEAL'!$D:$D,$F$1)</f>
        <v>0</v>
      </c>
      <c r="G5">
        <f t="shared" si="0"/>
        <v>1365</v>
      </c>
      <c r="L5" s="19" t="s">
        <v>14</v>
      </c>
      <c r="M5" s="19">
        <v>5</v>
      </c>
      <c r="N5" s="2">
        <f>41+51+55+44+43+41+43+38+41+48+48+43+44+41+18+43+44+45+44+23+16+54+45+49+43+41+35+53+46+53+50+42</f>
        <v>1365</v>
      </c>
    </row>
    <row r="6" spans="1:14" x14ac:dyDescent="0.2">
      <c r="A6" s="19" t="s">
        <v>15</v>
      </c>
      <c r="B6" s="19">
        <v>5</v>
      </c>
      <c r="C6" s="2">
        <v>1113</v>
      </c>
      <c r="D6">
        <f>SUMIFS('[2]PP PRD'!$Q:$Q,'[2]PP PRD'!$G:$G,A:A,'[2]PP PRD'!$H:$H,B:B,'[2]PP PRD'!$D:$D,$H$2)</f>
        <v>0</v>
      </c>
      <c r="E6">
        <f>SUMIFS('[2]PP BOTTOM SEAL'!$L:$L,'[2]PP BOTTOM SEAL'!$I:$I,A6,'[2]PP BOTTOM SEAL'!$H:$H,B6,'[2]PP BOTTOM SEAL'!$D:$D,$F$1)</f>
        <v>0</v>
      </c>
      <c r="F6">
        <f>SUMIFS('[2]PP SIDE SEAL'!$L:$L,'[2]PP SIDE SEAL'!$I:$I,A6,'[2]PP SIDE SEAL'!$H:$H,B6,'[2]PP SIDE SEAL'!$D:$D,$F$1)</f>
        <v>150</v>
      </c>
      <c r="G6">
        <f t="shared" si="0"/>
        <v>1113</v>
      </c>
      <c r="L6" s="19" t="s">
        <v>15</v>
      </c>
      <c r="M6" s="19">
        <v>5</v>
      </c>
      <c r="N6" s="2">
        <f>60+43+50+46+22+17+44+39+50+44+47+42+42+43+43+47+46+53+48+47+44+46+51+55+37+32</f>
        <v>1138</v>
      </c>
    </row>
    <row r="7" spans="1:14" x14ac:dyDescent="0.2">
      <c r="A7" s="19" t="s">
        <v>18</v>
      </c>
      <c r="B7" s="19">
        <v>5</v>
      </c>
      <c r="C7" s="2">
        <v>-565</v>
      </c>
      <c r="D7">
        <f>SUMIFS('[2]PP PRD'!$Q:$Q,'[2]PP PRD'!$G:$G,A:A,'[2]PP PRD'!$H:$H,B:B,'[2]PP PRD'!$D:$D,$H$2)</f>
        <v>409.5200000000001</v>
      </c>
      <c r="E7">
        <f>SUMIFS('[2]PP BOTTOM SEAL'!$L:$L,'[2]PP BOTTOM SEAL'!$I:$I,A7,'[2]PP BOTTOM SEAL'!$H:$H,B7,'[2]PP BOTTOM SEAL'!$D:$D,$F$1)</f>
        <v>450</v>
      </c>
      <c r="F7">
        <f>SUMIFS('[2]PP SIDE SEAL'!$L:$L,'[2]PP SIDE SEAL'!$I:$I,A7,'[2]PP SIDE SEAL'!$H:$H,B7,'[2]PP SIDE SEAL'!$D:$D,$F$1)</f>
        <v>0</v>
      </c>
      <c r="G7">
        <f t="shared" si="0"/>
        <v>-1015</v>
      </c>
      <c r="L7" s="19" t="s">
        <v>18</v>
      </c>
      <c r="M7" s="19">
        <v>5</v>
      </c>
      <c r="N7" s="2">
        <f>16+34+27+30+41+40+38+45+34+34+31+34+27+27+34+21+39+30+21+28+34+44+39+42+34+27+38+35+35+36+21+25+23+31+31+39+30+40</f>
        <v>1235</v>
      </c>
    </row>
    <row r="8" spans="1:14" x14ac:dyDescent="0.2">
      <c r="A8" s="19" t="s">
        <v>19</v>
      </c>
      <c r="B8" s="19">
        <v>5</v>
      </c>
      <c r="C8" s="2">
        <v>3</v>
      </c>
      <c r="D8">
        <f>SUMIFS('[2]PP PRD'!$Q:$Q,'[2]PP PRD'!$G:$G,A:A,'[2]PP PRD'!$H:$H,B:B,'[2]PP PRD'!$D:$D,$H$2)</f>
        <v>0</v>
      </c>
      <c r="E8">
        <f>SUMIFS('[2]PP BOTTOM SEAL'!$L:$L,'[2]PP BOTTOM SEAL'!$I:$I,A8,'[2]PP BOTTOM SEAL'!$H:$H,B8,'[2]PP BOTTOM SEAL'!$D:$D,$F$1)</f>
        <v>0</v>
      </c>
      <c r="F8">
        <f>SUMIFS('[2]PP SIDE SEAL'!$L:$L,'[2]PP SIDE SEAL'!$I:$I,A8,'[2]PP SIDE SEAL'!$H:$H,B8,'[2]PP SIDE SEAL'!$D:$D,$F$1)</f>
        <v>0</v>
      </c>
      <c r="G8">
        <f t="shared" si="0"/>
        <v>3</v>
      </c>
      <c r="L8" s="19" t="s">
        <v>19</v>
      </c>
      <c r="M8" s="19">
        <v>5</v>
      </c>
      <c r="N8" s="2">
        <f>29+34+36+38+33+40+44+10+18+32+39</f>
        <v>353</v>
      </c>
    </row>
    <row r="9" spans="1:14" x14ac:dyDescent="0.2">
      <c r="A9" s="19" t="s">
        <v>20</v>
      </c>
      <c r="B9" s="19">
        <v>5</v>
      </c>
      <c r="C9" s="2">
        <v>1029</v>
      </c>
      <c r="D9">
        <f>SUMIFS('[2]PP PRD'!$Q:$Q,'[2]PP PRD'!$G:$G,A:A,'[2]PP PRD'!$H:$H,B:B,'[2]PP PRD'!$D:$D,$H$2)</f>
        <v>0</v>
      </c>
      <c r="E9">
        <f>SUMIFS('[2]PP BOTTOM SEAL'!$L:$L,'[2]PP BOTTOM SEAL'!$I:$I,A9,'[2]PP BOTTOM SEAL'!$H:$H,B9,'[2]PP BOTTOM SEAL'!$D:$D,$F$1)</f>
        <v>0</v>
      </c>
      <c r="F9">
        <f>SUMIFS('[2]PP SIDE SEAL'!$L:$L,'[2]PP SIDE SEAL'!$I:$I,A9,'[2]PP SIDE SEAL'!$H:$H,B9,'[2]PP SIDE SEAL'!$D:$D,$F$1)</f>
        <v>0</v>
      </c>
      <c r="G9">
        <f t="shared" si="0"/>
        <v>1029</v>
      </c>
      <c r="L9" s="19" t="s">
        <v>20</v>
      </c>
      <c r="M9" s="19">
        <v>5</v>
      </c>
      <c r="N9" s="2">
        <f>36+33+33+34+25+22+28+28+14+11+32+29+28+30+31+33+31+33+32+33+32+35+34+36+34+34+30+35+36+36+35+38+38</f>
        <v>1029</v>
      </c>
    </row>
    <row r="10" spans="1:14" x14ac:dyDescent="0.2">
      <c r="A10" s="19" t="s">
        <v>12</v>
      </c>
      <c r="B10" s="19">
        <v>6.5</v>
      </c>
      <c r="C10" s="2">
        <v>495</v>
      </c>
      <c r="D10">
        <f>SUMIFS('[2]PP PRD'!$Q:$Q,'[2]PP PRD'!$G:$G,A:A,'[2]PP PRD'!$H:$H,B:B,'[2]PP PRD'!$D:$D,$H$2)</f>
        <v>0</v>
      </c>
      <c r="E10">
        <f>SUMIFS('[2]PP BOTTOM SEAL'!$L:$L,'[2]PP BOTTOM SEAL'!$I:$I,A10,'[2]PP BOTTOM SEAL'!$H:$H,B10,'[2]PP BOTTOM SEAL'!$D:$D,$F$1)</f>
        <v>0</v>
      </c>
      <c r="F10">
        <f>SUMIFS('[2]PP SIDE SEAL'!$L:$L,'[2]PP SIDE SEAL'!$I:$I,A10,'[2]PP SIDE SEAL'!$H:$H,B10,'[2]PP SIDE SEAL'!$D:$D,$F$1)</f>
        <v>0</v>
      </c>
      <c r="G10">
        <f t="shared" si="0"/>
        <v>495</v>
      </c>
      <c r="L10" s="19" t="s">
        <v>12</v>
      </c>
      <c r="M10" s="19">
        <v>6.5</v>
      </c>
      <c r="N10" s="2">
        <f>49+36+45+44+41+41+43+48+35+35+35+43</f>
        <v>495</v>
      </c>
    </row>
    <row r="11" spans="1:14" x14ac:dyDescent="0.2">
      <c r="A11" s="19" t="s">
        <v>21</v>
      </c>
      <c r="B11" s="19">
        <v>6</v>
      </c>
      <c r="C11" s="2">
        <v>223</v>
      </c>
      <c r="D11">
        <f>SUMIFS('[2]PP PRD'!$Q:$Q,'[2]PP PRD'!$G:$G,A:A,'[2]PP PRD'!$H:$H,B:B,'[2]PP PRD'!$D:$D,$H$2)</f>
        <v>0</v>
      </c>
      <c r="E11">
        <f>SUMIFS('[2]PP BOTTOM SEAL'!$L:$L,'[2]PP BOTTOM SEAL'!$I:$I,A11,'[2]PP BOTTOM SEAL'!$H:$H,B11,'[2]PP BOTTOM SEAL'!$D:$D,$F$1)</f>
        <v>0</v>
      </c>
      <c r="F11">
        <f>SUMIFS('[2]PP SIDE SEAL'!$L:$L,'[2]PP SIDE SEAL'!$I:$I,A11,'[2]PP SIDE SEAL'!$H:$H,B11,'[2]PP SIDE SEAL'!$D:$D,$F$1)</f>
        <v>0</v>
      </c>
      <c r="G11">
        <f t="shared" si="0"/>
        <v>223</v>
      </c>
      <c r="L11" s="19" t="s">
        <v>21</v>
      </c>
      <c r="M11" s="19">
        <v>6</v>
      </c>
      <c r="N11" s="2">
        <f>24+32+36+32+31+34+34</f>
        <v>223</v>
      </c>
    </row>
    <row r="12" spans="1:14" x14ac:dyDescent="0.2">
      <c r="A12" s="19" t="s">
        <v>22</v>
      </c>
      <c r="B12" s="19">
        <v>4</v>
      </c>
      <c r="C12" s="2">
        <v>697</v>
      </c>
      <c r="D12">
        <f>SUMIFS('[2]PP PRD'!$Q:$Q,'[2]PP PRD'!$G:$G,A:A,'[2]PP PRD'!$H:$H,B:B,'[2]PP PRD'!$D:$D,$H$2)</f>
        <v>0</v>
      </c>
      <c r="E12">
        <f>SUMIFS('[2]PP BOTTOM SEAL'!$L:$L,'[2]PP BOTTOM SEAL'!$I:$I,A12,'[2]PP BOTTOM SEAL'!$H:$H,B12,'[2]PP BOTTOM SEAL'!$D:$D,$F$1)</f>
        <v>0</v>
      </c>
      <c r="F12">
        <f>SUMIFS('[2]PP SIDE SEAL'!$L:$L,'[2]PP SIDE SEAL'!$I:$I,A12,'[2]PP SIDE SEAL'!$H:$H,B12,'[2]PP SIDE SEAL'!$D:$D,$F$1)</f>
        <v>0</v>
      </c>
      <c r="G12">
        <f t="shared" si="0"/>
        <v>697</v>
      </c>
      <c r="L12" s="19" t="s">
        <v>22</v>
      </c>
      <c r="M12" s="19">
        <v>4</v>
      </c>
      <c r="N12" s="2">
        <f>46+48+40+33+50+42+43+53+52+52+55+30+53+47+53</f>
        <v>697</v>
      </c>
    </row>
    <row r="13" spans="1:14" x14ac:dyDescent="0.2">
      <c r="A13" s="19" t="s">
        <v>19</v>
      </c>
      <c r="B13" s="19">
        <v>4</v>
      </c>
      <c r="C13" s="2">
        <v>81</v>
      </c>
      <c r="D13">
        <f>SUMIFS('[2]PP PRD'!$Q:$Q,'[2]PP PRD'!$G:$G,A:A,'[2]PP PRD'!$H:$H,B:B,'[2]PP PRD'!$D:$D,$H$2)</f>
        <v>0</v>
      </c>
      <c r="E13">
        <f>SUMIFS('[2]PP BOTTOM SEAL'!$L:$L,'[2]PP BOTTOM SEAL'!$I:$I,A13,'[2]PP BOTTOM SEAL'!$H:$H,B13,'[2]PP BOTTOM SEAL'!$D:$D,$F$1)</f>
        <v>0</v>
      </c>
      <c r="F13">
        <f>SUMIFS('[2]PP SIDE SEAL'!$L:$L,'[2]PP SIDE SEAL'!$I:$I,A13,'[2]PP SIDE SEAL'!$H:$H,B13,'[2]PP SIDE SEAL'!$D:$D,$F$1)</f>
        <v>0</v>
      </c>
      <c r="G13">
        <f t="shared" si="0"/>
        <v>81</v>
      </c>
      <c r="L13" s="19" t="s">
        <v>19</v>
      </c>
      <c r="M13" s="19">
        <v>4</v>
      </c>
      <c r="N13" s="2">
        <f>14+23+24+20</f>
        <v>81</v>
      </c>
    </row>
    <row r="14" spans="1:14" x14ac:dyDescent="0.2">
      <c r="A14" s="19" t="s">
        <v>18</v>
      </c>
      <c r="B14" s="19">
        <v>4</v>
      </c>
      <c r="C14" s="2">
        <v>256</v>
      </c>
      <c r="D14">
        <f>SUMIFS('[2]PP PRD'!$Q:$Q,'[2]PP PRD'!$G:$G,A:A,'[2]PP PRD'!$H:$H,B:B,'[2]PP PRD'!$D:$D,$H$2)</f>
        <v>0</v>
      </c>
      <c r="E14">
        <f>SUMIFS('[2]PP BOTTOM SEAL'!$L:$L,'[2]PP BOTTOM SEAL'!$I:$I,A14,'[2]PP BOTTOM SEAL'!$H:$H,B14,'[2]PP BOTTOM SEAL'!$D:$D,$F$1)</f>
        <v>0</v>
      </c>
      <c r="F14">
        <f>SUMIFS('[2]PP SIDE SEAL'!$L:$L,'[2]PP SIDE SEAL'!$I:$I,A14,'[2]PP SIDE SEAL'!$H:$H,B14,'[2]PP SIDE SEAL'!$D:$D,$F$1)</f>
        <v>0</v>
      </c>
      <c r="G14">
        <f t="shared" si="0"/>
        <v>256</v>
      </c>
      <c r="L14" s="19" t="s">
        <v>18</v>
      </c>
      <c r="M14" s="19">
        <v>4</v>
      </c>
      <c r="N14" s="2">
        <f>35+37+34+34+33+31+32+20</f>
        <v>256</v>
      </c>
    </row>
    <row r="15" spans="1:14" x14ac:dyDescent="0.2">
      <c r="A15" s="19" t="s">
        <v>17</v>
      </c>
      <c r="B15" s="19">
        <v>4</v>
      </c>
      <c r="C15" s="2">
        <v>104</v>
      </c>
      <c r="D15">
        <f>SUMIFS('[2]PP PRD'!$Q:$Q,'[2]PP PRD'!$G:$G,A:A,'[2]PP PRD'!$H:$H,B:B,'[2]PP PRD'!$D:$D,$H$2)</f>
        <v>0</v>
      </c>
      <c r="E15">
        <f>SUMIFS('[2]PP BOTTOM SEAL'!$L:$L,'[2]PP BOTTOM SEAL'!$I:$I,A15,'[2]PP BOTTOM SEAL'!$H:$H,B15,'[2]PP BOTTOM SEAL'!$D:$D,$F$1)</f>
        <v>0</v>
      </c>
      <c r="F15">
        <f>SUMIFS('[2]PP SIDE SEAL'!$L:$L,'[2]PP SIDE SEAL'!$I:$I,A15,'[2]PP SIDE SEAL'!$H:$H,B15,'[2]PP SIDE SEAL'!$D:$D,$F$1)</f>
        <v>0</v>
      </c>
      <c r="G15">
        <f t="shared" si="0"/>
        <v>104</v>
      </c>
      <c r="L15" s="19" t="s">
        <v>17</v>
      </c>
      <c r="M15" s="19">
        <v>4</v>
      </c>
      <c r="N15" s="2">
        <f>42+31+31</f>
        <v>104</v>
      </c>
    </row>
    <row r="16" spans="1:14" x14ac:dyDescent="0.2">
      <c r="A16" s="19" t="s">
        <v>23</v>
      </c>
      <c r="B16" s="19" t="s">
        <v>5</v>
      </c>
      <c r="C16" s="2">
        <v>184</v>
      </c>
      <c r="D16">
        <f>SUMIFS('[2]PP PRD'!$Q:$Q,'[2]PP PRD'!$G:$G,A:A,'[2]PP PRD'!$H:$H,B:B,'[2]PP PRD'!$D:$D,$H$2)</f>
        <v>0</v>
      </c>
      <c r="E16">
        <f>SUMIFS('[2]PP BOTTOM SEAL'!$L:$L,'[2]PP BOTTOM SEAL'!$I:$I,A16,'[2]PP BOTTOM SEAL'!$H:$H,B16,'[2]PP BOTTOM SEAL'!$D:$D,$F$1)</f>
        <v>0</v>
      </c>
      <c r="F16">
        <f>SUMIFS('[2]PP SIDE SEAL'!$L:$L,'[2]PP SIDE SEAL'!$I:$I,A16,'[2]PP SIDE SEAL'!$H:$H,B16,'[2]PP SIDE SEAL'!$D:$D,$F$1)</f>
        <v>0</v>
      </c>
      <c r="G16">
        <f t="shared" si="0"/>
        <v>184</v>
      </c>
      <c r="L16" s="19" t="s">
        <v>23</v>
      </c>
      <c r="M16" s="19" t="s">
        <v>5</v>
      </c>
      <c r="N16" s="2">
        <f>20+20+21+21+21+22+23+20+21+20+18+18+19+20+20</f>
        <v>304</v>
      </c>
    </row>
    <row r="17" spans="1:14" x14ac:dyDescent="0.2">
      <c r="A17" s="19" t="s">
        <v>32</v>
      </c>
      <c r="B17" s="19">
        <v>5</v>
      </c>
      <c r="C17" s="2">
        <v>895</v>
      </c>
      <c r="D17">
        <f>SUMIFS('[2]PP PRD'!$Q:$Q,'[2]PP PRD'!$G:$G,A:A,'[2]PP PRD'!$H:$H,B:B,'[2]PP PRD'!$D:$D,$H$2)</f>
        <v>0</v>
      </c>
      <c r="E17">
        <f>SUMIFS('[2]PP BOTTOM SEAL'!$L:$L,'[2]PP BOTTOM SEAL'!$I:$I,A17,'[2]PP BOTTOM SEAL'!$H:$H,B17,'[2]PP BOTTOM SEAL'!$D:$D,$F$1)</f>
        <v>0</v>
      </c>
      <c r="F17">
        <f>SUMIFS('[2]PP SIDE SEAL'!$L:$L,'[2]PP SIDE SEAL'!$I:$I,A17,'[2]PP SIDE SEAL'!$H:$H,B17,'[2]PP SIDE SEAL'!$D:$D,$F$1)</f>
        <v>0</v>
      </c>
      <c r="G17">
        <f t="shared" si="0"/>
        <v>895</v>
      </c>
      <c r="L17" s="19" t="s">
        <v>32</v>
      </c>
      <c r="M17" s="19">
        <v>5</v>
      </c>
      <c r="N17" s="2">
        <f>51+66+62+56+54+61+55+63+55+55+54+56+56+57+22+23+49</f>
        <v>895</v>
      </c>
    </row>
    <row r="18" spans="1:14" x14ac:dyDescent="0.2">
      <c r="A18" s="19" t="s">
        <v>33</v>
      </c>
      <c r="B18" s="19">
        <v>5</v>
      </c>
      <c r="C18" s="2">
        <v>1666</v>
      </c>
      <c r="D18">
        <f>SUMIFS('[2]PP PRD'!$Q:$Q,'[2]PP PRD'!$G:$G,A:A,'[2]PP PRD'!$H:$H,B:B,'[2]PP PRD'!$D:$D,$H$2)</f>
        <v>0</v>
      </c>
      <c r="E18">
        <f>SUMIFS('[2]PP BOTTOM SEAL'!$L:$L,'[2]PP BOTTOM SEAL'!$I:$I,A18,'[2]PP BOTTOM SEAL'!$H:$H,B18,'[2]PP BOTTOM SEAL'!$D:$D,$F$1)</f>
        <v>0</v>
      </c>
      <c r="F18">
        <f>SUMIFS('[2]PP SIDE SEAL'!$L:$L,'[2]PP SIDE SEAL'!$I:$I,A18,'[2]PP SIDE SEAL'!$H:$H,B18,'[2]PP SIDE SEAL'!$D:$D,$F$1)</f>
        <v>305</v>
      </c>
      <c r="G18">
        <f t="shared" si="0"/>
        <v>1666</v>
      </c>
      <c r="L18" s="19" t="s">
        <v>33</v>
      </c>
      <c r="M18" s="19">
        <v>5</v>
      </c>
      <c r="N18" s="2">
        <f>35+41+42+66+58+62+51+70+66+44+53+49+64+54+47+58+49+64+54+47+58+49+54+44+49+60+62+51+48+65+52</f>
        <v>1666</v>
      </c>
    </row>
    <row r="19" spans="1:14" x14ac:dyDescent="0.2">
      <c r="A19" s="19" t="s">
        <v>34</v>
      </c>
      <c r="B19" s="19">
        <v>5</v>
      </c>
      <c r="C19" s="2">
        <v>566</v>
      </c>
      <c r="D19">
        <f>SUMIFS('[2]PP PRD'!$Q:$Q,'[2]PP PRD'!$G:$G,A:A,'[2]PP PRD'!$H:$H,B:B,'[2]PP PRD'!$D:$D,$H$2)</f>
        <v>0</v>
      </c>
      <c r="E19">
        <f>SUMIFS('[2]PP BOTTOM SEAL'!$L:$L,'[2]PP BOTTOM SEAL'!$I:$I,A19,'[2]PP BOTTOM SEAL'!$H:$H,B19,'[2]PP BOTTOM SEAL'!$D:$D,$F$1)</f>
        <v>0</v>
      </c>
      <c r="F19">
        <f>SUMIFS('[2]PP SIDE SEAL'!$L:$L,'[2]PP SIDE SEAL'!$I:$I,A19,'[2]PP SIDE SEAL'!$H:$H,B19,'[2]PP SIDE SEAL'!$D:$D,$F$1)</f>
        <v>0</v>
      </c>
      <c r="G19">
        <f t="shared" si="0"/>
        <v>566</v>
      </c>
      <c r="L19" s="19" t="s">
        <v>34</v>
      </c>
      <c r="M19" s="19">
        <v>5</v>
      </c>
      <c r="N19" s="2">
        <f>69+57+32+52+64+57+60+60+50+65</f>
        <v>566</v>
      </c>
    </row>
    <row r="20" spans="1:14" x14ac:dyDescent="0.2">
      <c r="A20" s="19" t="s">
        <v>35</v>
      </c>
      <c r="B20" s="19">
        <v>5</v>
      </c>
      <c r="C20" s="2">
        <v>142</v>
      </c>
      <c r="D20">
        <f>SUMIFS('[2]PP PRD'!$Q:$Q,'[2]PP PRD'!$G:$G,A:A,'[2]PP PRD'!$H:$H,B:B,'[2]PP PRD'!$D:$D,$H$2)</f>
        <v>0</v>
      </c>
      <c r="E20">
        <f>SUMIFS('[2]PP BOTTOM SEAL'!$L:$L,'[2]PP BOTTOM SEAL'!$I:$I,A20,'[2]PP BOTTOM SEAL'!$H:$H,B20,'[2]PP BOTTOM SEAL'!$D:$D,$F$1)</f>
        <v>0</v>
      </c>
      <c r="F20">
        <f>SUMIFS('[2]PP SIDE SEAL'!$L:$L,'[2]PP SIDE SEAL'!$I:$I,A20,'[2]PP SIDE SEAL'!$H:$H,B20,'[2]PP SIDE SEAL'!$D:$D,$F$1)</f>
        <v>0</v>
      </c>
      <c r="G20">
        <f t="shared" si="0"/>
        <v>142</v>
      </c>
      <c r="L20" s="19" t="s">
        <v>35</v>
      </c>
      <c r="M20" s="19">
        <v>5</v>
      </c>
      <c r="N20" s="2">
        <f>25+27+34+56</f>
        <v>142</v>
      </c>
    </row>
    <row r="21" spans="1:14" x14ac:dyDescent="0.2">
      <c r="A21" s="19" t="s">
        <v>36</v>
      </c>
      <c r="B21" s="19">
        <v>5</v>
      </c>
      <c r="C21" s="2">
        <v>225</v>
      </c>
      <c r="D21">
        <f>SUMIFS('[2]PP PRD'!$Q:$Q,'[2]PP PRD'!$G:$G,A:A,'[2]PP PRD'!$H:$H,B:B,'[2]PP PRD'!$D:$D,$H$2)</f>
        <v>0</v>
      </c>
      <c r="E21">
        <f>SUMIFS('[2]PP BOTTOM SEAL'!$L:$L,'[2]PP BOTTOM SEAL'!$I:$I,A21,'[2]PP BOTTOM SEAL'!$H:$H,B21,'[2]PP BOTTOM SEAL'!$D:$D,$F$1)</f>
        <v>0</v>
      </c>
      <c r="F21">
        <f>SUMIFS('[2]PP SIDE SEAL'!$L:$L,'[2]PP SIDE SEAL'!$I:$I,A21,'[2]PP SIDE SEAL'!$H:$H,B21,'[2]PP SIDE SEAL'!$D:$D,$F$1)</f>
        <v>0</v>
      </c>
      <c r="G21">
        <f t="shared" si="0"/>
        <v>225</v>
      </c>
      <c r="L21" s="19" t="s">
        <v>36</v>
      </c>
      <c r="M21" s="19">
        <v>5</v>
      </c>
      <c r="N21" s="2">
        <f>63+74+33+55</f>
        <v>225</v>
      </c>
    </row>
    <row r="22" spans="1:14" x14ac:dyDescent="0.2">
      <c r="A22" s="19" t="s">
        <v>22</v>
      </c>
      <c r="B22" s="19">
        <v>5</v>
      </c>
      <c r="C22" s="2">
        <v>298</v>
      </c>
      <c r="D22">
        <f>SUMIFS('[2]PP PRD'!$Q:$Q,'[2]PP PRD'!$G:$G,A:A,'[2]PP PRD'!$H:$H,B:B,'[2]PP PRD'!$D:$D,$H$2)</f>
        <v>0</v>
      </c>
      <c r="E22">
        <f>SUMIFS('[2]PP BOTTOM SEAL'!$L:$L,'[2]PP BOTTOM SEAL'!$I:$I,A22,'[2]PP BOTTOM SEAL'!$H:$H,B22,'[2]PP BOTTOM SEAL'!$D:$D,$F$1)</f>
        <v>0</v>
      </c>
      <c r="F22">
        <f>SUMIFS('[2]PP SIDE SEAL'!$L:$L,'[2]PP SIDE SEAL'!$I:$I,A22,'[2]PP SIDE SEAL'!$H:$H,B22,'[2]PP SIDE SEAL'!$D:$D,$F$1)</f>
        <v>0</v>
      </c>
      <c r="G22">
        <f t="shared" si="0"/>
        <v>298</v>
      </c>
      <c r="L22" s="19" t="s">
        <v>22</v>
      </c>
      <c r="M22" s="19">
        <v>5</v>
      </c>
      <c r="N22" s="2">
        <f>31+30+40+46+46+56+49</f>
        <v>298</v>
      </c>
    </row>
    <row r="23" spans="1:14" x14ac:dyDescent="0.2">
      <c r="A23" s="19" t="s">
        <v>28</v>
      </c>
      <c r="B23" s="19">
        <v>5</v>
      </c>
      <c r="C23" s="2">
        <v>180</v>
      </c>
      <c r="D23">
        <f>SUMIFS('[2]PP PRD'!$Q:$Q,'[2]PP PRD'!$G:$G,A:A,'[2]PP PRD'!$H:$H,B:B,'[2]PP PRD'!$D:$D,$H$2)</f>
        <v>606.47</v>
      </c>
      <c r="E23">
        <f>SUMIFS('[2]PP BOTTOM SEAL'!$L:$L,'[2]PP BOTTOM SEAL'!$I:$I,A23,'[2]PP BOTTOM SEAL'!$H:$H,B23,'[2]PP BOTTOM SEAL'!$D:$D,$F$1)</f>
        <v>0</v>
      </c>
      <c r="F23">
        <f>SUMIFS('[2]PP SIDE SEAL'!$L:$L,'[2]PP SIDE SEAL'!$I:$I,A23,'[2]PP SIDE SEAL'!$H:$H,B23,'[2]PP SIDE SEAL'!$D:$D,$F$1)</f>
        <v>0</v>
      </c>
      <c r="G23">
        <f t="shared" si="0"/>
        <v>180</v>
      </c>
      <c r="L23" s="19" t="s">
        <v>28</v>
      </c>
      <c r="M23" s="19">
        <v>5</v>
      </c>
      <c r="N23" s="2">
        <f>12+20+18+34+33+25+38</f>
        <v>180</v>
      </c>
    </row>
    <row r="24" spans="1:14" x14ac:dyDescent="0.2">
      <c r="A24" s="19" t="s">
        <v>21</v>
      </c>
      <c r="B24" s="19">
        <v>5</v>
      </c>
      <c r="C24" s="2">
        <v>996</v>
      </c>
      <c r="D24">
        <f>SUMIFS('[2]PP PRD'!$Q:$Q,'[2]PP PRD'!$G:$G,A:A,'[2]PP PRD'!$H:$H,B:B,'[2]PP PRD'!$D:$D,$H$2)</f>
        <v>0</v>
      </c>
      <c r="E24">
        <f>SUMIFS('[2]PP BOTTOM SEAL'!$L:$L,'[2]PP BOTTOM SEAL'!$I:$I,A24,'[2]PP BOTTOM SEAL'!$H:$H,B24,'[2]PP BOTTOM SEAL'!$D:$D,$F$1)</f>
        <v>0</v>
      </c>
      <c r="F24">
        <f>SUMIFS('[2]PP SIDE SEAL'!$L:$L,'[2]PP SIDE SEAL'!$I:$I,A24,'[2]PP SIDE SEAL'!$H:$H,B24,'[2]PP SIDE SEAL'!$D:$D,$F$1)</f>
        <v>0</v>
      </c>
      <c r="G24">
        <f t="shared" si="0"/>
        <v>996</v>
      </c>
      <c r="L24" s="19" t="s">
        <v>21</v>
      </c>
      <c r="M24" s="19">
        <v>5</v>
      </c>
      <c r="N24" s="2">
        <f>18+38+34+54+56+42+29+33+29+25+27+54+51+48+44+52+53+31+21+26+37+24+42+51+38+39</f>
        <v>996</v>
      </c>
    </row>
    <row r="25" spans="1:14" x14ac:dyDescent="0.2">
      <c r="A25" s="19" t="s">
        <v>23</v>
      </c>
      <c r="B25" s="19">
        <v>6.5</v>
      </c>
      <c r="C25" s="2">
        <v>186</v>
      </c>
      <c r="D25">
        <f>SUMIFS('[2]PP PRD'!$Q:$Q,'[2]PP PRD'!$G:$G,A:A,'[2]PP PRD'!$H:$H,B:B,'[2]PP PRD'!$D:$D,$H$2)</f>
        <v>0</v>
      </c>
      <c r="E25">
        <f>SUMIFS('[2]PP BOTTOM SEAL'!$L:$L,'[2]PP BOTTOM SEAL'!$I:$I,A25,'[2]PP BOTTOM SEAL'!$H:$H,B25,'[2]PP BOTTOM SEAL'!$D:$D,$F$1)</f>
        <v>0</v>
      </c>
      <c r="F25">
        <f>SUMIFS('[2]PP SIDE SEAL'!$L:$L,'[2]PP SIDE SEAL'!$I:$I,A25,'[2]PP SIDE SEAL'!$H:$H,B25,'[2]PP SIDE SEAL'!$D:$D,$F$1)</f>
        <v>0</v>
      </c>
      <c r="G25">
        <f t="shared" si="0"/>
        <v>186</v>
      </c>
      <c r="L25" s="19" t="s">
        <v>23</v>
      </c>
      <c r="M25" s="19">
        <v>6.5</v>
      </c>
      <c r="N25" s="2">
        <f>37+52+50+47</f>
        <v>186</v>
      </c>
    </row>
    <row r="26" spans="1:14" x14ac:dyDescent="0.2">
      <c r="A26" s="19" t="s">
        <v>34</v>
      </c>
      <c r="B26" s="19">
        <v>4</v>
      </c>
      <c r="C26" s="2">
        <v>22</v>
      </c>
      <c r="D26">
        <f>SUMIFS('[2]PP PRD'!$Q:$Q,'[2]PP PRD'!$G:$G,A:A,'[2]PP PRD'!$H:$H,B:B,'[2]PP PRD'!$D:$D,$H$2)</f>
        <v>0</v>
      </c>
      <c r="E26">
        <f>SUMIFS('[2]PP BOTTOM SEAL'!$L:$L,'[2]PP BOTTOM SEAL'!$I:$I,A26,'[2]PP BOTTOM SEAL'!$H:$H,B26,'[2]PP BOTTOM SEAL'!$D:$D,$F$1)</f>
        <v>0</v>
      </c>
      <c r="F26">
        <f>SUMIFS('[2]PP SIDE SEAL'!$L:$L,'[2]PP SIDE SEAL'!$I:$I,A26,'[2]PP SIDE SEAL'!$H:$H,B26,'[2]PP SIDE SEAL'!$D:$D,$F$1)</f>
        <v>0</v>
      </c>
      <c r="G26">
        <f t="shared" si="0"/>
        <v>22</v>
      </c>
      <c r="L26" s="19" t="s">
        <v>34</v>
      </c>
      <c r="M26" s="19">
        <v>4</v>
      </c>
      <c r="N26" s="2">
        <v>22</v>
      </c>
    </row>
    <row r="27" spans="1:14" x14ac:dyDescent="0.2">
      <c r="A27" s="19" t="s">
        <v>32</v>
      </c>
      <c r="B27" s="19">
        <v>4</v>
      </c>
      <c r="C27" s="2">
        <v>42</v>
      </c>
      <c r="D27">
        <f>SUMIFS('[2]PP PRD'!$Q:$Q,'[2]PP PRD'!$G:$G,A:A,'[2]PP PRD'!$H:$H,B:B,'[2]PP PRD'!$D:$D,$H$2)</f>
        <v>0</v>
      </c>
      <c r="E27">
        <f>SUMIFS('[2]PP BOTTOM SEAL'!$L:$L,'[2]PP BOTTOM SEAL'!$I:$I,A27,'[2]PP BOTTOM SEAL'!$H:$H,B27,'[2]PP BOTTOM SEAL'!$D:$D,$F$1)</f>
        <v>0</v>
      </c>
      <c r="F27">
        <f>SUMIFS('[2]PP SIDE SEAL'!$L:$L,'[2]PP SIDE SEAL'!$I:$I,A27,'[2]PP SIDE SEAL'!$H:$H,B27,'[2]PP SIDE SEAL'!$D:$D,$F$1)</f>
        <v>0</v>
      </c>
      <c r="G27">
        <f t="shared" si="0"/>
        <v>42</v>
      </c>
      <c r="L27" s="19" t="s">
        <v>32</v>
      </c>
      <c r="M27" s="19">
        <v>4</v>
      </c>
      <c r="N27" s="2">
        <v>42</v>
      </c>
    </row>
    <row r="28" spans="1:14" x14ac:dyDescent="0.2">
      <c r="A28" s="19" t="s">
        <v>15</v>
      </c>
      <c r="B28" s="19">
        <v>6.5</v>
      </c>
      <c r="C28" s="2">
        <v>129</v>
      </c>
      <c r="D28">
        <f>SUMIFS('[2]PP PRD'!$Q:$Q,'[2]PP PRD'!$G:$G,A:A,'[2]PP PRD'!$H:$H,B:B,'[2]PP PRD'!$D:$D,$H$2)</f>
        <v>0</v>
      </c>
      <c r="E28">
        <f>SUMIFS('[2]PP BOTTOM SEAL'!$L:$L,'[2]PP BOTTOM SEAL'!$I:$I,A28,'[2]PP BOTTOM SEAL'!$H:$H,B28,'[2]PP BOTTOM SEAL'!$D:$D,$F$1)</f>
        <v>0</v>
      </c>
      <c r="F28">
        <f>SUMIFS('[2]PP SIDE SEAL'!$L:$L,'[2]PP SIDE SEAL'!$I:$I,A28,'[2]PP SIDE SEAL'!$H:$H,B28,'[2]PP SIDE SEAL'!$D:$D,$F$1)</f>
        <v>0</v>
      </c>
      <c r="G28">
        <f t="shared" si="0"/>
        <v>129</v>
      </c>
      <c r="L28" s="19" t="s">
        <v>15</v>
      </c>
      <c r="M28" s="19">
        <v>6.5</v>
      </c>
      <c r="N28" s="2">
        <f>41+45+15+28</f>
        <v>129</v>
      </c>
    </row>
    <row r="29" spans="1:14" x14ac:dyDescent="0.2">
      <c r="A29" s="19" t="s">
        <v>20</v>
      </c>
      <c r="B29" s="19">
        <v>4</v>
      </c>
      <c r="C29" s="2">
        <v>195</v>
      </c>
      <c r="D29">
        <f>SUMIFS('[2]PP PRD'!$Q:$Q,'[2]PP PRD'!$G:$G,A:A,'[2]PP PRD'!$H:$H,B:B,'[2]PP PRD'!$D:$D,$H$2)</f>
        <v>0</v>
      </c>
      <c r="E29">
        <f>SUMIFS('[2]PP BOTTOM SEAL'!$L:$L,'[2]PP BOTTOM SEAL'!$I:$I,A29,'[2]PP BOTTOM SEAL'!$H:$H,B29,'[2]PP BOTTOM SEAL'!$D:$D,$F$1)</f>
        <v>0</v>
      </c>
      <c r="F29">
        <f>SUMIFS('[2]PP SIDE SEAL'!$L:$L,'[2]PP SIDE SEAL'!$I:$I,A29,'[2]PP SIDE SEAL'!$H:$H,B29,'[2]PP SIDE SEAL'!$D:$D,$F$1)</f>
        <v>0</v>
      </c>
      <c r="G29">
        <f t="shared" si="0"/>
        <v>195</v>
      </c>
      <c r="L29" s="19" t="s">
        <v>20</v>
      </c>
      <c r="M29" s="19">
        <v>4</v>
      </c>
      <c r="N29" s="2">
        <f>29+29+35+30+38+34</f>
        <v>195</v>
      </c>
    </row>
    <row r="30" spans="1:14" x14ac:dyDescent="0.2">
      <c r="A30" s="19" t="s">
        <v>13</v>
      </c>
      <c r="B30" s="19">
        <v>6.5</v>
      </c>
      <c r="C30" s="2">
        <v>71</v>
      </c>
      <c r="D30">
        <f>SUMIFS('[2]PP PRD'!$Q:$Q,'[2]PP PRD'!$G:$G,A:A,'[2]PP PRD'!$H:$H,B:B,'[2]PP PRD'!$D:$D,$H$2)</f>
        <v>0</v>
      </c>
      <c r="E30">
        <f>SUMIFS('[2]PP BOTTOM SEAL'!$L:$L,'[2]PP BOTTOM SEAL'!$I:$I,A30,'[2]PP BOTTOM SEAL'!$H:$H,B30,'[2]PP BOTTOM SEAL'!$D:$D,$F$1)</f>
        <v>0</v>
      </c>
      <c r="F30">
        <f>SUMIFS('[2]PP SIDE SEAL'!$L:$L,'[2]PP SIDE SEAL'!$I:$I,A30,'[2]PP SIDE SEAL'!$H:$H,B30,'[2]PP SIDE SEAL'!$D:$D,$F$1)</f>
        <v>0</v>
      </c>
      <c r="G30">
        <f t="shared" si="0"/>
        <v>71</v>
      </c>
      <c r="L30" s="19" t="s">
        <v>13</v>
      </c>
      <c r="M30" s="19">
        <v>6.5</v>
      </c>
      <c r="N30" s="2">
        <f>26+45</f>
        <v>71</v>
      </c>
    </row>
    <row r="31" spans="1:14" x14ac:dyDescent="0.2">
      <c r="A31" s="19" t="s">
        <v>14</v>
      </c>
      <c r="B31" s="19">
        <v>6.5</v>
      </c>
      <c r="C31" s="2">
        <v>189</v>
      </c>
      <c r="D31">
        <f>SUMIFS('[2]PP PRD'!$Q:$Q,'[2]PP PRD'!$G:$G,A:A,'[2]PP PRD'!$H:$H,B:B,'[2]PP PRD'!$D:$D,$H$2)</f>
        <v>0</v>
      </c>
      <c r="E31">
        <f>SUMIFS('[2]PP BOTTOM SEAL'!$L:$L,'[2]PP BOTTOM SEAL'!$I:$I,A31,'[2]PP BOTTOM SEAL'!$H:$H,B31,'[2]PP BOTTOM SEAL'!$D:$D,$F$1)</f>
        <v>0</v>
      </c>
      <c r="F31">
        <f>SUMIFS('[2]PP SIDE SEAL'!$L:$L,'[2]PP SIDE SEAL'!$I:$I,A31,'[2]PP SIDE SEAL'!$H:$H,B31,'[2]PP SIDE SEAL'!$D:$D,$F$1)</f>
        <v>0</v>
      </c>
      <c r="G31">
        <f t="shared" si="0"/>
        <v>189</v>
      </c>
      <c r="L31" s="19" t="s">
        <v>14</v>
      </c>
      <c r="M31" s="19">
        <v>6.5</v>
      </c>
      <c r="N31" s="2">
        <f>20+26+26+51+17+16+33</f>
        <v>189</v>
      </c>
    </row>
    <row r="32" spans="1:14" x14ac:dyDescent="0.2">
      <c r="A32" s="19" t="s">
        <v>35</v>
      </c>
      <c r="B32" s="19">
        <v>7</v>
      </c>
      <c r="C32" s="2">
        <v>345</v>
      </c>
      <c r="D32">
        <f>SUMIFS('[2]PP PRD'!$Q:$Q,'[2]PP PRD'!$G:$G,A:A,'[2]PP PRD'!$H:$H,B:B,'[2]PP PRD'!$D:$D,$H$2)</f>
        <v>0</v>
      </c>
      <c r="E32">
        <f>SUMIFS('[2]PP BOTTOM SEAL'!$L:$L,'[2]PP BOTTOM SEAL'!$I:$I,A32,'[2]PP BOTTOM SEAL'!$H:$H,B32,'[2]PP BOTTOM SEAL'!$D:$D,$F$1)</f>
        <v>0</v>
      </c>
      <c r="F32">
        <f>SUMIFS('[2]PP SIDE SEAL'!$L:$L,'[2]PP SIDE SEAL'!$I:$I,A32,'[2]PP SIDE SEAL'!$H:$H,B32,'[2]PP SIDE SEAL'!$D:$D,$F$1)</f>
        <v>0</v>
      </c>
      <c r="G32">
        <f t="shared" si="0"/>
        <v>345</v>
      </c>
      <c r="L32" s="19" t="s">
        <v>35</v>
      </c>
      <c r="M32" s="19">
        <v>7</v>
      </c>
      <c r="N32" s="2">
        <f>20+23+65+60+57+62+58</f>
        <v>345</v>
      </c>
    </row>
    <row r="33" spans="1:14" x14ac:dyDescent="0.2">
      <c r="A33" s="19" t="s">
        <v>21</v>
      </c>
      <c r="B33" s="19">
        <v>4</v>
      </c>
      <c r="C33" s="2">
        <v>500</v>
      </c>
      <c r="D33">
        <f>SUMIFS('[2]PP PRD'!$Q:$Q,'[2]PP PRD'!$G:$G,A:A,'[2]PP PRD'!$H:$H,B:B,'[2]PP PRD'!$D:$D,$H$2)</f>
        <v>0</v>
      </c>
      <c r="E33">
        <f>SUMIFS('[2]PP BOTTOM SEAL'!$L:$L,'[2]PP BOTTOM SEAL'!$I:$I,A33,'[2]PP BOTTOM SEAL'!$H:$H,B33,'[2]PP BOTTOM SEAL'!$D:$D,$F$1)</f>
        <v>0</v>
      </c>
      <c r="F33">
        <f>SUMIFS('[2]PP SIDE SEAL'!$L:$L,'[2]PP SIDE SEAL'!$I:$I,A33,'[2]PP SIDE SEAL'!$H:$H,B33,'[2]PP SIDE SEAL'!$D:$D,$F$1)</f>
        <v>0</v>
      </c>
      <c r="G33">
        <f t="shared" si="0"/>
        <v>500</v>
      </c>
      <c r="L33" s="19" t="s">
        <v>21</v>
      </c>
      <c r="M33" s="19">
        <v>4</v>
      </c>
      <c r="N33" s="2">
        <f>34+51+53+54+47+66+51+50+39+55</f>
        <v>500</v>
      </c>
    </row>
    <row r="34" spans="1:14" x14ac:dyDescent="0.2">
      <c r="A34" s="19" t="s">
        <v>28</v>
      </c>
      <c r="B34" s="19">
        <v>8</v>
      </c>
      <c r="C34" s="2">
        <v>58</v>
      </c>
      <c r="D34">
        <f>SUMIFS('[2]PP PRD'!$Q:$Q,'[2]PP PRD'!$G:$G,A:A,'[2]PP PRD'!$H:$H,B:B,'[2]PP PRD'!$D:$D,$H$2)</f>
        <v>265.83</v>
      </c>
      <c r="E34">
        <f>SUMIFS('[2]PP BOTTOM SEAL'!$L:$L,'[2]PP BOTTOM SEAL'!$I:$I,A34,'[2]PP BOTTOM SEAL'!$H:$H,B34,'[2]PP BOTTOM SEAL'!$D:$D,$F$1)</f>
        <v>0</v>
      </c>
      <c r="F34">
        <f>SUMIFS('[2]PP SIDE SEAL'!$L:$L,'[2]PP SIDE SEAL'!$I:$I,A34,'[2]PP SIDE SEAL'!$H:$H,B34,'[2]PP SIDE SEAL'!$D:$D,$F$1)</f>
        <v>0</v>
      </c>
      <c r="G34">
        <f t="shared" si="0"/>
        <v>58</v>
      </c>
      <c r="L34" s="19" t="s">
        <v>28</v>
      </c>
      <c r="M34" s="19">
        <v>8</v>
      </c>
      <c r="N34" s="2">
        <f>28+30</f>
        <v>58</v>
      </c>
    </row>
    <row r="35" spans="1:14" x14ac:dyDescent="0.2">
      <c r="A35" s="19" t="s">
        <v>21</v>
      </c>
      <c r="B35" s="19">
        <v>7</v>
      </c>
      <c r="C35" s="2">
        <v>35</v>
      </c>
      <c r="D35">
        <f>SUMIFS('[2]PP PRD'!$Q:$Q,'[2]PP PRD'!$G:$G,A:A,'[2]PP PRD'!$H:$H,B:B,'[2]PP PRD'!$D:$D,$H$2)</f>
        <v>0</v>
      </c>
      <c r="E35">
        <f>SUMIFS('[2]PP BOTTOM SEAL'!$L:$L,'[2]PP BOTTOM SEAL'!$I:$I,A35,'[2]PP BOTTOM SEAL'!$H:$H,B35,'[2]PP BOTTOM SEAL'!$D:$D,$F$1)</f>
        <v>0</v>
      </c>
      <c r="F35">
        <f>SUMIFS('[2]PP SIDE SEAL'!$L:$L,'[2]PP SIDE SEAL'!$I:$I,A35,'[2]PP SIDE SEAL'!$H:$H,B35,'[2]PP SIDE SEAL'!$D:$D,$F$1)</f>
        <v>0</v>
      </c>
      <c r="G35">
        <f t="shared" si="0"/>
        <v>35</v>
      </c>
      <c r="L35" s="19" t="s">
        <v>21</v>
      </c>
      <c r="M35" s="19">
        <v>7</v>
      </c>
      <c r="N35" s="2">
        <f>17+18</f>
        <v>35</v>
      </c>
    </row>
    <row r="36" spans="1:14" x14ac:dyDescent="0.2">
      <c r="A36" s="19" t="s">
        <v>18</v>
      </c>
      <c r="B36" s="19">
        <v>6.5</v>
      </c>
      <c r="C36" s="2">
        <v>273</v>
      </c>
      <c r="D36">
        <f>SUMIFS('[2]PP PRD'!$Q:$Q,'[2]PP PRD'!$G:$G,A:A,'[2]PP PRD'!$H:$H,B:B,'[2]PP PRD'!$D:$D,$H$2)</f>
        <v>0</v>
      </c>
      <c r="E36">
        <f>SUMIFS('[2]PP BOTTOM SEAL'!$L:$L,'[2]PP BOTTOM SEAL'!$I:$I,A36,'[2]PP BOTTOM SEAL'!$H:$H,B36,'[2]PP BOTTOM SEAL'!$D:$D,$F$1)</f>
        <v>0</v>
      </c>
      <c r="F36">
        <f>SUMIFS('[2]PP SIDE SEAL'!$L:$L,'[2]PP SIDE SEAL'!$I:$I,A36,'[2]PP SIDE SEAL'!$H:$H,B36,'[2]PP SIDE SEAL'!$D:$D,$F$1)</f>
        <v>0</v>
      </c>
      <c r="G36">
        <f t="shared" si="0"/>
        <v>273</v>
      </c>
      <c r="L36" s="19" t="s">
        <v>18</v>
      </c>
      <c r="M36" s="19">
        <v>6.5</v>
      </c>
      <c r="N36" s="2">
        <f>27+46+40+40+40+40+40</f>
        <v>273</v>
      </c>
    </row>
    <row r="37" spans="1:14" x14ac:dyDescent="0.2">
      <c r="A37" s="19" t="s">
        <v>22</v>
      </c>
      <c r="B37" s="19">
        <v>7</v>
      </c>
      <c r="C37" s="2">
        <v>51</v>
      </c>
      <c r="D37">
        <f>SUMIFS('[2]PP PRD'!$Q:$Q,'[2]PP PRD'!$G:$G,A:A,'[2]PP PRD'!$H:$H,B:B,'[2]PP PRD'!$D:$D,$H$2)</f>
        <v>121.97999999999999</v>
      </c>
      <c r="E37">
        <f>SUMIFS('[2]PP BOTTOM SEAL'!$L:$L,'[2]PP BOTTOM SEAL'!$I:$I,A37,'[2]PP BOTTOM SEAL'!$H:$H,B37,'[2]PP BOTTOM SEAL'!$D:$D,$F$1)</f>
        <v>0</v>
      </c>
      <c r="F37">
        <f>SUMIFS('[2]PP SIDE SEAL'!$L:$L,'[2]PP SIDE SEAL'!$I:$I,A37,'[2]PP SIDE SEAL'!$H:$H,B37,'[2]PP SIDE SEAL'!$D:$D,$F$1)</f>
        <v>0</v>
      </c>
      <c r="G37">
        <f t="shared" si="0"/>
        <v>51</v>
      </c>
      <c r="L37" s="19" t="s">
        <v>22</v>
      </c>
      <c r="M37" s="19">
        <v>7</v>
      </c>
      <c r="N37" s="2">
        <v>51</v>
      </c>
    </row>
    <row r="38" spans="1:14" x14ac:dyDescent="0.2">
      <c r="A38" s="19" t="s">
        <v>18</v>
      </c>
      <c r="B38" s="19">
        <v>4</v>
      </c>
      <c r="C38" s="2">
        <v>24</v>
      </c>
      <c r="D38">
        <f>SUMIFS('[2]PP PRD'!$Q:$Q,'[2]PP PRD'!$G:$G,A:A,'[2]PP PRD'!$H:$H,B:B,'[2]PP PRD'!$D:$D,$H$2)</f>
        <v>0</v>
      </c>
      <c r="E38">
        <f>SUMIFS('[2]PP BOTTOM SEAL'!$L:$L,'[2]PP BOTTOM SEAL'!$I:$I,A38,'[2]PP BOTTOM SEAL'!$H:$H,B38,'[2]PP BOTTOM SEAL'!$D:$D,$F$1)</f>
        <v>0</v>
      </c>
      <c r="F38">
        <f>SUMIFS('[2]PP SIDE SEAL'!$L:$L,'[2]PP SIDE SEAL'!$I:$I,A38,'[2]PP SIDE SEAL'!$H:$H,B38,'[2]PP SIDE SEAL'!$D:$D,$F$1)</f>
        <v>0</v>
      </c>
      <c r="G38">
        <f t="shared" si="0"/>
        <v>24</v>
      </c>
      <c r="L38" s="19" t="s">
        <v>18</v>
      </c>
      <c r="M38" s="19">
        <v>4</v>
      </c>
      <c r="N38" s="2">
        <v>24</v>
      </c>
    </row>
    <row r="39" spans="1:14" x14ac:dyDescent="0.2">
      <c r="A39" s="19" t="s">
        <v>18</v>
      </c>
      <c r="B39" s="19">
        <v>10</v>
      </c>
      <c r="C39" s="2">
        <v>27</v>
      </c>
      <c r="D39">
        <f>SUMIFS('[2]PP PRD'!$Q:$Q,'[2]PP PRD'!$G:$G,A:A,'[2]PP PRD'!$H:$H,B:B,'[2]PP PRD'!$D:$D,$H$2)</f>
        <v>0</v>
      </c>
      <c r="E39">
        <f>SUMIFS('[2]PP BOTTOM SEAL'!$L:$L,'[2]PP BOTTOM SEAL'!$I:$I,A39,'[2]PP BOTTOM SEAL'!$H:$H,B39,'[2]PP BOTTOM SEAL'!$D:$D,$F$1)</f>
        <v>0</v>
      </c>
      <c r="F39">
        <f>SUMIFS('[2]PP SIDE SEAL'!$L:$L,'[2]PP SIDE SEAL'!$I:$I,A39,'[2]PP SIDE SEAL'!$H:$H,B39,'[2]PP SIDE SEAL'!$D:$D,$F$1)</f>
        <v>0</v>
      </c>
      <c r="G39">
        <f t="shared" si="0"/>
        <v>27</v>
      </c>
      <c r="L39" s="19" t="s">
        <v>18</v>
      </c>
      <c r="M39" s="19">
        <v>10</v>
      </c>
      <c r="N39" s="2">
        <v>27</v>
      </c>
    </row>
    <row r="40" spans="1:14" x14ac:dyDescent="0.2">
      <c r="A40" s="19" t="s">
        <v>17</v>
      </c>
      <c r="B40" s="19">
        <v>10</v>
      </c>
      <c r="C40" s="2">
        <v>31</v>
      </c>
      <c r="D40">
        <f>SUMIFS('[2]PP PRD'!$Q:$Q,'[2]PP PRD'!$G:$G,A:A,'[2]PP PRD'!$H:$H,B:B,'[2]PP PRD'!$D:$D,$H$2)</f>
        <v>0</v>
      </c>
      <c r="E40">
        <f>SUMIFS('[2]PP BOTTOM SEAL'!$L:$L,'[2]PP BOTTOM SEAL'!$I:$I,A40,'[2]PP BOTTOM SEAL'!$H:$H,B40,'[2]PP BOTTOM SEAL'!$D:$D,$F$1)</f>
        <v>0</v>
      </c>
      <c r="F40">
        <f>SUMIFS('[2]PP SIDE SEAL'!$L:$L,'[2]PP SIDE SEAL'!$I:$I,A40,'[2]PP SIDE SEAL'!$H:$H,B40,'[2]PP SIDE SEAL'!$D:$D,$F$1)</f>
        <v>0</v>
      </c>
      <c r="G40">
        <f t="shared" si="0"/>
        <v>31</v>
      </c>
      <c r="L40" s="19" t="s">
        <v>17</v>
      </c>
      <c r="M40" s="19">
        <v>10</v>
      </c>
      <c r="N40" s="2">
        <v>31</v>
      </c>
    </row>
    <row r="41" spans="1:14" x14ac:dyDescent="0.2">
      <c r="A41" s="19" t="s">
        <v>28</v>
      </c>
      <c r="B41" s="19">
        <v>7</v>
      </c>
      <c r="C41" s="2">
        <v>181</v>
      </c>
      <c r="D41">
        <f>SUMIFS('[2]PP PRD'!$Q:$Q,'[2]PP PRD'!$G:$G,A:A,'[2]PP PRD'!$H:$H,B:B,'[2]PP PRD'!$D:$D,$H$2)</f>
        <v>0</v>
      </c>
      <c r="E41">
        <f>SUMIFS('[2]PP BOTTOM SEAL'!$L:$L,'[2]PP BOTTOM SEAL'!$I:$I,A41,'[2]PP BOTTOM SEAL'!$H:$H,B41,'[2]PP BOTTOM SEAL'!$D:$D,$F$1)</f>
        <v>0</v>
      </c>
      <c r="F41">
        <f>SUMIFS('[2]PP SIDE SEAL'!$L:$L,'[2]PP SIDE SEAL'!$I:$I,A41,'[2]PP SIDE SEAL'!$H:$H,B41,'[2]PP SIDE SEAL'!$D:$D,$F$1)</f>
        <v>0</v>
      </c>
      <c r="G41">
        <f t="shared" si="0"/>
        <v>181</v>
      </c>
      <c r="L41" s="19" t="s">
        <v>28</v>
      </c>
      <c r="M41" s="19">
        <v>7</v>
      </c>
      <c r="N41" s="2">
        <f>47+80+54</f>
        <v>181</v>
      </c>
    </row>
    <row r="42" spans="1:14" x14ac:dyDescent="0.2">
      <c r="A42" s="19" t="s">
        <v>33</v>
      </c>
      <c r="B42" s="19">
        <v>12</v>
      </c>
      <c r="C42" s="2">
        <v>35</v>
      </c>
      <c r="D42">
        <f>SUMIFS('[2]PP PRD'!$Q:$Q,'[2]PP PRD'!$G:$G,A:A,'[2]PP PRD'!$H:$H,B:B,'[2]PP PRD'!$D:$D,$H$2)</f>
        <v>0</v>
      </c>
      <c r="E42">
        <f>SUMIFS('[2]PP BOTTOM SEAL'!$L:$L,'[2]PP BOTTOM SEAL'!$I:$I,A42,'[2]PP BOTTOM SEAL'!$H:$H,B42,'[2]PP BOTTOM SEAL'!$D:$D,$F$1)</f>
        <v>0</v>
      </c>
      <c r="F42">
        <f>SUMIFS('[2]PP SIDE SEAL'!$L:$L,'[2]PP SIDE SEAL'!$I:$I,A42,'[2]PP SIDE SEAL'!$H:$H,B42,'[2]PP SIDE SEAL'!$D:$D,$F$1)</f>
        <v>0</v>
      </c>
      <c r="G42">
        <f t="shared" si="0"/>
        <v>35</v>
      </c>
      <c r="L42" s="19" t="s">
        <v>33</v>
      </c>
      <c r="M42" s="19">
        <v>12</v>
      </c>
      <c r="N42" s="2">
        <v>35</v>
      </c>
    </row>
    <row r="43" spans="1:14" x14ac:dyDescent="0.2">
      <c r="A43" s="19" t="s">
        <v>36</v>
      </c>
      <c r="B43" s="19">
        <v>15</v>
      </c>
      <c r="C43" s="2">
        <v>46</v>
      </c>
      <c r="D43">
        <f>SUMIFS('[2]PP PRD'!$Q:$Q,'[2]PP PRD'!$G:$G,A:A,'[2]PP PRD'!$H:$H,B:B,'[2]PP PRD'!$D:$D,$H$2)</f>
        <v>0</v>
      </c>
      <c r="E43">
        <f>SUMIFS('[2]PP BOTTOM SEAL'!$L:$L,'[2]PP BOTTOM SEAL'!$I:$I,A43,'[2]PP BOTTOM SEAL'!$H:$H,B43,'[2]PP BOTTOM SEAL'!$D:$D,$F$1)</f>
        <v>0</v>
      </c>
      <c r="F43">
        <f>SUMIFS('[2]PP SIDE SEAL'!$L:$L,'[2]PP SIDE SEAL'!$I:$I,A43,'[2]PP SIDE SEAL'!$H:$H,B43,'[2]PP SIDE SEAL'!$D:$D,$F$1)</f>
        <v>0</v>
      </c>
      <c r="G43">
        <f t="shared" si="0"/>
        <v>46</v>
      </c>
      <c r="L43" s="19" t="s">
        <v>36</v>
      </c>
      <c r="M43" s="19">
        <v>15</v>
      </c>
      <c r="N43" s="2">
        <v>46</v>
      </c>
    </row>
    <row r="44" spans="1:14" x14ac:dyDescent="0.2">
      <c r="A44" s="19" t="s">
        <v>22</v>
      </c>
      <c r="B44" s="19">
        <v>10</v>
      </c>
      <c r="C44" s="2">
        <v>115</v>
      </c>
      <c r="D44">
        <f>SUMIFS('[2]PP PRD'!$Q:$Q,'[2]PP PRD'!$G:$G,A:A,'[2]PP PRD'!$H:$H,B:B,'[2]PP PRD'!$D:$D,$H$2)</f>
        <v>0</v>
      </c>
      <c r="E44">
        <f>SUMIFS('[2]PP BOTTOM SEAL'!$L:$L,'[2]PP BOTTOM SEAL'!$I:$I,A44,'[2]PP BOTTOM SEAL'!$H:$H,B44,'[2]PP BOTTOM SEAL'!$D:$D,$F$1)</f>
        <v>0</v>
      </c>
      <c r="F44">
        <f>SUMIFS('[2]PP SIDE SEAL'!$L:$L,'[2]PP SIDE SEAL'!$I:$I,A44,'[2]PP SIDE SEAL'!$H:$H,B44,'[2]PP SIDE SEAL'!$D:$D,$F$1)</f>
        <v>0</v>
      </c>
      <c r="G44">
        <f t="shared" si="0"/>
        <v>115</v>
      </c>
      <c r="L44" s="19" t="s">
        <v>22</v>
      </c>
      <c r="M44" s="19">
        <v>10</v>
      </c>
      <c r="N44" s="2">
        <f>56+59</f>
        <v>115</v>
      </c>
    </row>
    <row r="45" spans="1:14" x14ac:dyDescent="0.2">
      <c r="A45" s="19" t="s">
        <v>19</v>
      </c>
      <c r="B45" s="19">
        <v>15</v>
      </c>
      <c r="C45" s="2">
        <v>20</v>
      </c>
      <c r="D45">
        <f>SUMIFS('[2]PP PRD'!$Q:$Q,'[2]PP PRD'!$G:$G,A:A,'[2]PP PRD'!$H:$H,B:B,'[2]PP PRD'!$D:$D,$H$2)</f>
        <v>0</v>
      </c>
      <c r="E45">
        <f>SUMIFS('[2]PP BOTTOM SEAL'!$L:$L,'[2]PP BOTTOM SEAL'!$I:$I,A45,'[2]PP BOTTOM SEAL'!$H:$H,B45,'[2]PP BOTTOM SEAL'!$D:$D,$F$1)</f>
        <v>0</v>
      </c>
      <c r="F45">
        <f>SUMIFS('[2]PP SIDE SEAL'!$L:$L,'[2]PP SIDE SEAL'!$I:$I,A45,'[2]PP SIDE SEAL'!$H:$H,B45,'[2]PP SIDE SEAL'!$D:$D,$F$1)</f>
        <v>0</v>
      </c>
      <c r="G45">
        <f t="shared" si="0"/>
        <v>20</v>
      </c>
      <c r="L45" s="19" t="s">
        <v>19</v>
      </c>
      <c r="M45" s="19">
        <v>15</v>
      </c>
      <c r="N45" s="2">
        <v>20</v>
      </c>
    </row>
    <row r="46" spans="1:14" x14ac:dyDescent="0.2">
      <c r="A46" s="19" t="s">
        <v>16</v>
      </c>
      <c r="B46" s="19">
        <v>5</v>
      </c>
      <c r="C46" s="2">
        <v>-1320</v>
      </c>
      <c r="D46">
        <f>SUMIFS('[2]PP PRD'!$Q:$Q,'[2]PP PRD'!$G:$G,A:A,'[2]PP PRD'!$H:$H,B:B,'[2]PP PRD'!$D:$D,$H$2)</f>
        <v>0</v>
      </c>
      <c r="E46">
        <f>SUMIFS('[2]PP BOTTOM SEAL'!$L:$L,'[2]PP BOTTOM SEAL'!$I:$I,A46,'[2]PP BOTTOM SEAL'!$H:$H,B46,'[2]PP BOTTOM SEAL'!$D:$D,$F$1)</f>
        <v>375</v>
      </c>
      <c r="F46">
        <f>SUMIFS('[2]PP SIDE SEAL'!$L:$L,'[2]PP SIDE SEAL'!$I:$I,A46,'[2]PP SIDE SEAL'!$H:$H,B46,'[2]PP SIDE SEAL'!$D:$D,$F$1)</f>
        <v>0</v>
      </c>
      <c r="G46">
        <f t="shared" si="0"/>
        <v>-1695</v>
      </c>
      <c r="L46" s="19" t="s">
        <v>16</v>
      </c>
      <c r="M46" s="19">
        <v>5</v>
      </c>
      <c r="N46" s="2">
        <f>11+12+35+43+51+28</f>
        <v>180</v>
      </c>
    </row>
    <row r="47" spans="1:14" x14ac:dyDescent="0.2">
      <c r="A47" s="19" t="s">
        <v>17</v>
      </c>
      <c r="B47" s="19">
        <v>5</v>
      </c>
      <c r="C47" s="2">
        <v>152</v>
      </c>
      <c r="D47">
        <f>SUMIFS('[2]PP PRD'!$Q:$Q,'[2]PP PRD'!$G:$G,A:A,'[2]PP PRD'!$H:$H,B:B,'[2]PP PRD'!$D:$D,$H$2)</f>
        <v>0</v>
      </c>
      <c r="E47">
        <f>SUMIFS('[2]PP BOTTOM SEAL'!$L:$L,'[2]PP BOTTOM SEAL'!$I:$I,A47,'[2]PP BOTTOM SEAL'!$H:$H,B47,'[2]PP BOTTOM SEAL'!$D:$D,$F$1)</f>
        <v>25</v>
      </c>
      <c r="F47">
        <f>SUMIFS('[2]PP SIDE SEAL'!$L:$L,'[2]PP SIDE SEAL'!$I:$I,A47,'[2]PP SIDE SEAL'!$H:$H,B47,'[2]PP SIDE SEAL'!$D:$D,$F$1)</f>
        <v>0</v>
      </c>
      <c r="G47">
        <f t="shared" si="0"/>
        <v>127</v>
      </c>
      <c r="L47" s="19" t="s">
        <v>17</v>
      </c>
      <c r="M47" s="19">
        <v>5</v>
      </c>
      <c r="N47" s="2">
        <f>35+34+47+48+52+36</f>
        <v>252</v>
      </c>
    </row>
    <row r="48" spans="1:14" x14ac:dyDescent="0.2">
      <c r="A48" s="19" t="s">
        <v>24</v>
      </c>
      <c r="B48" s="19" t="s">
        <v>5</v>
      </c>
      <c r="C48" s="2">
        <v>138</v>
      </c>
      <c r="D48">
        <f>SUMIFS('[2]PP PRD'!$Q:$Q,'[2]PP PRD'!$G:$G,A:A,'[2]PP PRD'!$H:$H,B:B,'[2]PP PRD'!$D:$D,$H$2)</f>
        <v>0</v>
      </c>
      <c r="E48">
        <f>SUMIFS('[2]PP BOTTOM SEAL'!$L:$L,'[2]PP BOTTOM SEAL'!$I:$I,A48,'[2]PP BOTTOM SEAL'!$H:$H,B48,'[2]PP BOTTOM SEAL'!$D:$D,$F$1)</f>
        <v>0</v>
      </c>
      <c r="F48">
        <f>SUMIFS('[2]PP SIDE SEAL'!$L:$L,'[2]PP SIDE SEAL'!$I:$I,A48,'[2]PP SIDE SEAL'!$H:$H,B48,'[2]PP SIDE SEAL'!$D:$D,$F$1)</f>
        <v>0</v>
      </c>
      <c r="G48">
        <f t="shared" si="0"/>
        <v>138</v>
      </c>
      <c r="L48" s="19" t="s">
        <v>24</v>
      </c>
      <c r="M48" s="19" t="s">
        <v>5</v>
      </c>
      <c r="N48" s="2">
        <f>20+20+21+21+19+19+18</f>
        <v>138</v>
      </c>
    </row>
    <row r="49" spans="1:14" x14ac:dyDescent="0.2">
      <c r="A49" s="19" t="s">
        <v>25</v>
      </c>
      <c r="B49" s="19" t="s">
        <v>5</v>
      </c>
      <c r="C49" s="2">
        <v>480</v>
      </c>
      <c r="D49">
        <f>SUMIFS('[2]PP PRD'!$Q:$Q,'[2]PP PRD'!$G:$G,A:A,'[2]PP PRD'!$H:$H,B:B,'[2]PP PRD'!$D:$D,$H$2)</f>
        <v>189.24</v>
      </c>
      <c r="E49">
        <f>SUMIFS('[2]PP BOTTOM SEAL'!$L:$L,'[2]PP BOTTOM SEAL'!$I:$I,A49,'[2]PP BOTTOM SEAL'!$H:$H,B49,'[2]PP BOTTOM SEAL'!$D:$D,$F$1)</f>
        <v>0</v>
      </c>
      <c r="F49">
        <f>SUMIFS('[2]PP SIDE SEAL'!$L:$L,'[2]PP SIDE SEAL'!$I:$I,A49,'[2]PP SIDE SEAL'!$H:$H,B49,'[2]PP SIDE SEAL'!$D:$D,$F$1)</f>
        <v>0</v>
      </c>
      <c r="G49">
        <f t="shared" si="0"/>
        <v>480</v>
      </c>
      <c r="L49" s="19" t="s">
        <v>25</v>
      </c>
      <c r="M49" s="19" t="s">
        <v>5</v>
      </c>
      <c r="N49" s="2">
        <f>112+368</f>
        <v>480</v>
      </c>
    </row>
    <row r="50" spans="1:14" x14ac:dyDescent="0.2">
      <c r="A50" s="19" t="s">
        <v>26</v>
      </c>
      <c r="B50" s="19" t="s">
        <v>5</v>
      </c>
      <c r="C50" s="2">
        <v>97</v>
      </c>
      <c r="D50">
        <f>SUMIFS('[2]PP PRD'!$Q:$Q,'[2]PP PRD'!$G:$G,A:A,'[2]PP PRD'!$H:$H,B:B,'[2]PP PRD'!$D:$D,$H$2)</f>
        <v>0</v>
      </c>
      <c r="E50">
        <f>SUMIFS('[2]PP BOTTOM SEAL'!$L:$L,'[2]PP BOTTOM SEAL'!$I:$I,A50,'[2]PP BOTTOM SEAL'!$H:$H,B50,'[2]PP BOTTOM SEAL'!$D:$D,$F$1)</f>
        <v>0</v>
      </c>
      <c r="F50">
        <f>SUMIFS('[2]PP SIDE SEAL'!$L:$L,'[2]PP SIDE SEAL'!$I:$I,A50,'[2]PP SIDE SEAL'!$H:$H,B50,'[2]PP SIDE SEAL'!$D:$D,$F$1)</f>
        <v>0</v>
      </c>
      <c r="G50">
        <f t="shared" si="0"/>
        <v>97</v>
      </c>
      <c r="L50" s="19" t="s">
        <v>26</v>
      </c>
      <c r="M50" s="19" t="s">
        <v>5</v>
      </c>
      <c r="N50" s="2">
        <f>19+21+20+18+19</f>
        <v>97</v>
      </c>
    </row>
    <row r="51" spans="1:14" x14ac:dyDescent="0.2">
      <c r="A51" s="19" t="s">
        <v>27</v>
      </c>
      <c r="B51" s="19" t="s">
        <v>5</v>
      </c>
      <c r="C51" s="2">
        <v>564</v>
      </c>
      <c r="D51">
        <f>SUMIFS('[2]PP PRD'!$Q:$Q,'[2]PP PRD'!$G:$G,A:A,'[2]PP PRD'!$H:$H,B:B,'[2]PP PRD'!$D:$D,$H$2)</f>
        <v>0</v>
      </c>
      <c r="E51">
        <f>SUMIFS('[2]PP BOTTOM SEAL'!$L:$L,'[2]PP BOTTOM SEAL'!$I:$I,A51,'[2]PP BOTTOM SEAL'!$H:$H,B51,'[2]PP BOTTOM SEAL'!$D:$D,$F$1)</f>
        <v>0</v>
      </c>
      <c r="F51">
        <f>SUMIFS('[2]PP SIDE SEAL'!$L:$L,'[2]PP SIDE SEAL'!$I:$I,A51,'[2]PP SIDE SEAL'!$H:$H,B51,'[2]PP SIDE SEAL'!$D:$D,$F$1)</f>
        <v>0</v>
      </c>
      <c r="G51">
        <f t="shared" si="0"/>
        <v>564</v>
      </c>
      <c r="L51" s="19" t="s">
        <v>27</v>
      </c>
      <c r="M51" s="19" t="s">
        <v>5</v>
      </c>
      <c r="N51" s="2">
        <f>22+20+30+23+21+23+22+23+23+21+24+18+23+24+23+24+23+17+17+26+21+25+27+19+25</f>
        <v>564</v>
      </c>
    </row>
    <row r="52" spans="1:14" x14ac:dyDescent="0.2">
      <c r="A52" s="19" t="s">
        <v>12</v>
      </c>
      <c r="B52" s="19">
        <v>4</v>
      </c>
      <c r="C52" s="2">
        <v>91</v>
      </c>
      <c r="D52">
        <f>SUMIFS('[2]PP PRD'!$Q:$Q,'[2]PP PRD'!$G:$G,A:A,'[2]PP PRD'!$H:$H,B:B,'[2]PP PRD'!$D:$D,$H$2)</f>
        <v>0</v>
      </c>
      <c r="E52">
        <f>SUMIFS('[2]PP BOTTOM SEAL'!$L:$L,'[2]PP BOTTOM SEAL'!$I:$I,A52,'[2]PP BOTTOM SEAL'!$H:$H,B52,'[2]PP BOTTOM SEAL'!$D:$D,$F$1)</f>
        <v>0</v>
      </c>
      <c r="F52">
        <f>SUMIFS('[2]PP SIDE SEAL'!$L:$L,'[2]PP SIDE SEAL'!$I:$I,A52,'[2]PP SIDE SEAL'!$H:$H,B52,'[2]PP SIDE SEAL'!$D:$D,$F$1)</f>
        <v>0</v>
      </c>
      <c r="G52">
        <f t="shared" si="0"/>
        <v>91</v>
      </c>
      <c r="L52" s="19" t="s">
        <v>12</v>
      </c>
      <c r="M52" s="19">
        <v>4</v>
      </c>
      <c r="N52" s="2">
        <f>47+14+12+18</f>
        <v>91</v>
      </c>
    </row>
    <row r="53" spans="1:14" x14ac:dyDescent="0.2">
      <c r="A53" s="19" t="s">
        <v>28</v>
      </c>
      <c r="B53" s="19">
        <v>4</v>
      </c>
      <c r="C53" s="2">
        <v>35</v>
      </c>
      <c r="D53">
        <f>SUMIFS('[2]PP PRD'!$Q:$Q,'[2]PP PRD'!$G:$G,A:A,'[2]PP PRD'!$H:$H,B:B,'[2]PP PRD'!$D:$D,$H$2)</f>
        <v>0</v>
      </c>
      <c r="E53">
        <f>SUMIFS('[2]PP BOTTOM SEAL'!$L:$L,'[2]PP BOTTOM SEAL'!$I:$I,A53,'[2]PP BOTTOM SEAL'!$H:$H,B53,'[2]PP BOTTOM SEAL'!$D:$D,$F$1)</f>
        <v>0</v>
      </c>
      <c r="F53">
        <f>SUMIFS('[2]PP SIDE SEAL'!$L:$L,'[2]PP SIDE SEAL'!$I:$I,A53,'[2]PP SIDE SEAL'!$H:$H,B53,'[2]PP SIDE SEAL'!$D:$D,$F$1)</f>
        <v>0</v>
      </c>
      <c r="G53">
        <f t="shared" si="0"/>
        <v>35</v>
      </c>
      <c r="L53" s="19" t="s">
        <v>28</v>
      </c>
      <c r="M53" s="19">
        <v>4</v>
      </c>
      <c r="N53" s="2">
        <v>35</v>
      </c>
    </row>
    <row r="54" spans="1:14" x14ac:dyDescent="0.2">
      <c r="A54" s="19" t="s">
        <v>14</v>
      </c>
      <c r="B54" s="19">
        <v>4</v>
      </c>
      <c r="C54" s="2">
        <v>47</v>
      </c>
      <c r="D54">
        <f>SUMIFS('[2]PP PRD'!$Q:$Q,'[2]PP PRD'!$G:$G,A:A,'[2]PP PRD'!$H:$H,B:B,'[2]PP PRD'!$D:$D,$H$2)</f>
        <v>0</v>
      </c>
      <c r="E54">
        <f>SUMIFS('[2]PP BOTTOM SEAL'!$L:$L,'[2]PP BOTTOM SEAL'!$I:$I,A54,'[2]PP BOTTOM SEAL'!$H:$H,B54,'[2]PP BOTTOM SEAL'!$D:$D,$F$1)</f>
        <v>0</v>
      </c>
      <c r="F54">
        <f>SUMIFS('[2]PP SIDE SEAL'!$L:$L,'[2]PP SIDE SEAL'!$I:$I,A54,'[2]PP SIDE SEAL'!$H:$H,B54,'[2]PP SIDE SEAL'!$D:$D,$F$1)</f>
        <v>0</v>
      </c>
      <c r="G54">
        <f t="shared" si="0"/>
        <v>47</v>
      </c>
      <c r="L54" s="19" t="s">
        <v>14</v>
      </c>
      <c r="M54" s="19">
        <v>4</v>
      </c>
      <c r="N54" s="2">
        <f>25+22</f>
        <v>47</v>
      </c>
    </row>
    <row r="55" spans="1:14" x14ac:dyDescent="0.2">
      <c r="A55" s="19" t="s">
        <v>29</v>
      </c>
      <c r="B55" s="19">
        <v>5</v>
      </c>
      <c r="C55" s="2">
        <v>236</v>
      </c>
      <c r="D55">
        <f>SUMIFS('[2]PP PRD'!$Q:$Q,'[2]PP PRD'!$G:$G,A:A,'[2]PP PRD'!$H:$H,B:B,'[2]PP PRD'!$D:$D,$H$2)</f>
        <v>0</v>
      </c>
      <c r="E55">
        <f>SUMIFS('[2]PP BOTTOM SEAL'!$L:$L,'[2]PP BOTTOM SEAL'!$I:$I,A55,'[2]PP BOTTOM SEAL'!$H:$H,B55,'[2]PP BOTTOM SEAL'!$D:$D,$F$1)</f>
        <v>0</v>
      </c>
      <c r="F55">
        <f>SUMIFS('[2]PP SIDE SEAL'!$L:$L,'[2]PP SIDE SEAL'!$I:$I,A55,'[2]PP SIDE SEAL'!$H:$H,B55,'[2]PP SIDE SEAL'!$D:$D,$F$1)</f>
        <v>0</v>
      </c>
      <c r="G55">
        <f t="shared" si="0"/>
        <v>236</v>
      </c>
      <c r="L55" s="19" t="s">
        <v>29</v>
      </c>
      <c r="M55" s="19">
        <v>5</v>
      </c>
      <c r="N55" s="2">
        <f>31+67+71+67</f>
        <v>236</v>
      </c>
    </row>
    <row r="56" spans="1:14" x14ac:dyDescent="0.2">
      <c r="A56" s="19" t="s">
        <v>30</v>
      </c>
      <c r="B56" s="19">
        <v>5</v>
      </c>
      <c r="C56" s="2">
        <v>55</v>
      </c>
      <c r="D56">
        <f>SUMIFS('[2]PP PRD'!$Q:$Q,'[2]PP PRD'!$G:$G,A:A,'[2]PP PRD'!$H:$H,B:B,'[2]PP PRD'!$D:$D,$H$2)</f>
        <v>0</v>
      </c>
      <c r="E56">
        <f>SUMIFS('[2]PP BOTTOM SEAL'!$L:$L,'[2]PP BOTTOM SEAL'!$I:$I,A56,'[2]PP BOTTOM SEAL'!$H:$H,B56,'[2]PP BOTTOM SEAL'!$D:$D,$F$1)</f>
        <v>0</v>
      </c>
      <c r="F56">
        <f>SUMIFS('[2]PP SIDE SEAL'!$L:$L,'[2]PP SIDE SEAL'!$I:$I,A56,'[2]PP SIDE SEAL'!$H:$H,B56,'[2]PP SIDE SEAL'!$D:$D,$F$1)</f>
        <v>0</v>
      </c>
      <c r="G56">
        <f t="shared" si="0"/>
        <v>55</v>
      </c>
      <c r="L56" s="19" t="s">
        <v>30</v>
      </c>
      <c r="M56" s="19">
        <v>5</v>
      </c>
      <c r="N56" s="2">
        <v>55</v>
      </c>
    </row>
    <row r="57" spans="1:14" x14ac:dyDescent="0.2">
      <c r="A57" s="19" t="s">
        <v>31</v>
      </c>
      <c r="B57" s="19">
        <v>5</v>
      </c>
      <c r="C57" s="2">
        <v>328</v>
      </c>
      <c r="D57">
        <f>SUMIFS('[2]PP PRD'!$Q:$Q,'[2]PP PRD'!$G:$G,A:A,'[2]PP PRD'!$H:$H,B:B,'[2]PP PRD'!$D:$D,$H$2)</f>
        <v>0</v>
      </c>
      <c r="E57">
        <f>SUMIFS('[2]PP BOTTOM SEAL'!$L:$L,'[2]PP BOTTOM SEAL'!$I:$I,A57,'[2]PP BOTTOM SEAL'!$H:$H,B57,'[2]PP BOTTOM SEAL'!$D:$D,$F$1)</f>
        <v>0</v>
      </c>
      <c r="F57">
        <f>SUMIFS('[2]PP SIDE SEAL'!$L:$L,'[2]PP SIDE SEAL'!$I:$I,A57,'[2]PP SIDE SEAL'!$H:$H,B57,'[2]PP SIDE SEAL'!$D:$D,$F$1)</f>
        <v>0</v>
      </c>
      <c r="G57">
        <f t="shared" si="0"/>
        <v>328</v>
      </c>
      <c r="L57" s="19" t="s">
        <v>31</v>
      </c>
      <c r="M57" s="19">
        <v>5</v>
      </c>
      <c r="N57" s="2">
        <f>58+58+61+55+55+41</f>
        <v>328</v>
      </c>
    </row>
    <row r="58" spans="1:14" x14ac:dyDescent="0.2">
      <c r="A58" s="19" t="s">
        <v>31</v>
      </c>
      <c r="B58" s="19">
        <v>4</v>
      </c>
      <c r="C58" s="2">
        <v>61</v>
      </c>
      <c r="D58">
        <f>SUMIFS('[2]PP PRD'!$Q:$Q,'[2]PP PRD'!$G:$G,A:A,'[2]PP PRD'!$H:$H,B:B,'[2]PP PRD'!$D:$D,$H$2)</f>
        <v>0</v>
      </c>
      <c r="E58">
        <f>SUMIFS('[2]PP BOTTOM SEAL'!$L:$L,'[2]PP BOTTOM SEAL'!$I:$I,A58,'[2]PP BOTTOM SEAL'!$H:$H,B58,'[2]PP BOTTOM SEAL'!$D:$D,$F$1)</f>
        <v>0</v>
      </c>
      <c r="F58">
        <f>SUMIFS('[2]PP SIDE SEAL'!$L:$L,'[2]PP SIDE SEAL'!$I:$I,A58,'[2]PP SIDE SEAL'!$H:$H,B58,'[2]PP SIDE SEAL'!$D:$D,$F$1)</f>
        <v>0</v>
      </c>
      <c r="G58">
        <f t="shared" si="0"/>
        <v>61</v>
      </c>
      <c r="L58" s="19" t="s">
        <v>31</v>
      </c>
      <c r="M58" s="19">
        <v>4</v>
      </c>
      <c r="N58" s="2">
        <v>61</v>
      </c>
    </row>
    <row r="59" spans="1:14" x14ac:dyDescent="0.2">
      <c r="A59" s="19" t="s">
        <v>30</v>
      </c>
      <c r="B59" s="19">
        <v>6</v>
      </c>
      <c r="C59" s="2">
        <v>116</v>
      </c>
      <c r="D59">
        <f>SUMIFS('[2]PP PRD'!$Q:$Q,'[2]PP PRD'!$G:$G,A:A,'[2]PP PRD'!$H:$H,B:B,'[2]PP PRD'!$D:$D,$H$2)</f>
        <v>0</v>
      </c>
      <c r="E59">
        <f>SUMIFS('[2]PP BOTTOM SEAL'!$L:$L,'[2]PP BOTTOM SEAL'!$I:$I,A59,'[2]PP BOTTOM SEAL'!$H:$H,B59,'[2]PP BOTTOM SEAL'!$D:$D,$F$1)</f>
        <v>0</v>
      </c>
      <c r="F59">
        <f>SUMIFS('[2]PP SIDE SEAL'!$L:$L,'[2]PP SIDE SEAL'!$I:$I,A59,'[2]PP SIDE SEAL'!$H:$H,B59,'[2]PP SIDE SEAL'!$D:$D,$F$1)</f>
        <v>0</v>
      </c>
      <c r="G59">
        <f t="shared" si="0"/>
        <v>116</v>
      </c>
      <c r="L59" s="19" t="s">
        <v>30</v>
      </c>
      <c r="M59" s="19">
        <v>6</v>
      </c>
      <c r="N59" s="2">
        <f>58+58</f>
        <v>116</v>
      </c>
    </row>
    <row r="60" spans="1:14" x14ac:dyDescent="0.2">
      <c r="A60" s="19" t="s">
        <v>28</v>
      </c>
      <c r="B60" s="19">
        <v>6</v>
      </c>
      <c r="C60" s="2">
        <v>-147.6</v>
      </c>
      <c r="D60">
        <f>SUMIFS('[2]PP PRD'!$Q:$Q,'[2]PP PRD'!$G:$G,A:A,'[2]PP PRD'!$H:$H,B:B,'[2]PP PRD'!$D:$D,$H$2)</f>
        <v>0</v>
      </c>
      <c r="E60">
        <f>SUMIFS('[2]PP BOTTOM SEAL'!$L:$L,'[2]PP BOTTOM SEAL'!$I:$I,A60,'[2]PP BOTTOM SEAL'!$H:$H,B60,'[2]PP BOTTOM SEAL'!$D:$D,$F$1)</f>
        <v>146.4</v>
      </c>
      <c r="F60">
        <f>SUMIFS('[2]PP SIDE SEAL'!$L:$L,'[2]PP SIDE SEAL'!$I:$I,A60,'[2]PP SIDE SEAL'!$H:$H,B60,'[2]PP SIDE SEAL'!$D:$D,$F$1)</f>
        <v>0</v>
      </c>
      <c r="G60">
        <f t="shared" si="0"/>
        <v>-294</v>
      </c>
      <c r="L60" s="19" t="s">
        <v>28</v>
      </c>
      <c r="M60" s="19">
        <v>6</v>
      </c>
      <c r="N60" s="2">
        <f>47+42+43+52+35+33+35+61+41+45+47+33+41+54+36+47+51+46+49+50+54+50+52+48+51+52+46+48+50+49</f>
        <v>1388</v>
      </c>
    </row>
    <row r="61" spans="1:14" x14ac:dyDescent="0.2">
      <c r="A61" s="20" t="s">
        <v>12</v>
      </c>
      <c r="B61" s="21" t="s">
        <v>37</v>
      </c>
      <c r="C61" s="4">
        <v>50</v>
      </c>
      <c r="D61">
        <f>SUMIFS('[2]PP PRD'!$Q:$Q,'[2]PP PRD'!$G:$G,A:A,'[2]PP PRD'!$H:$H,B:B,'[2]PP PRD'!$D:$D,$H$2)</f>
        <v>0</v>
      </c>
      <c r="E61">
        <f>SUMIFS('[2]PP BOTTOM SEAL'!$L:$L,'[2]PP BOTTOM SEAL'!$I:$I,A61,'[2]PP BOTTOM SEAL'!$H:$H,B61,'[2]PP BOTTOM SEAL'!$D:$D,$F$1)</f>
        <v>0</v>
      </c>
      <c r="F61">
        <f>SUMIFS('[2]PP SIDE SEAL'!$L:$L,'[2]PP SIDE SEAL'!$I:$I,A61,'[2]PP SIDE SEAL'!$H:$H,B61,'[2]PP SIDE SEAL'!$D:$D,$F$1)</f>
        <v>0</v>
      </c>
      <c r="G61">
        <f t="shared" si="0"/>
        <v>50</v>
      </c>
      <c r="L61" s="20" t="s">
        <v>12</v>
      </c>
      <c r="M61" s="21" t="s">
        <v>37</v>
      </c>
      <c r="N61" s="4">
        <v>50</v>
      </c>
    </row>
    <row r="62" spans="1:14" x14ac:dyDescent="0.2">
      <c r="A62" s="19" t="s">
        <v>38</v>
      </c>
      <c r="B62" s="19">
        <v>6.5</v>
      </c>
      <c r="C62" s="2">
        <v>113</v>
      </c>
      <c r="D62">
        <f>SUMIFS('[2]PP PRD'!$Q:$Q,'[2]PP PRD'!$G:$G,A:A,'[2]PP PRD'!$H:$H,B:B,'[2]PP PRD'!$D:$D,$H$2)</f>
        <v>0</v>
      </c>
      <c r="E62">
        <f>SUMIFS('[2]PP BOTTOM SEAL'!$L:$L,'[2]PP BOTTOM SEAL'!$I:$I,A62,'[2]PP BOTTOM SEAL'!$H:$H,B62,'[2]PP BOTTOM SEAL'!$D:$D,$F$1)</f>
        <v>0</v>
      </c>
      <c r="F62">
        <f>SUMIFS('[2]PP SIDE SEAL'!$L:$L,'[2]PP SIDE SEAL'!$I:$I,A62,'[2]PP SIDE SEAL'!$H:$H,B62,'[2]PP SIDE SEAL'!$D:$D,$F$1)</f>
        <v>0</v>
      </c>
      <c r="G62">
        <f t="shared" si="0"/>
        <v>113</v>
      </c>
      <c r="L62" s="19" t="s">
        <v>38</v>
      </c>
      <c r="M62" s="19">
        <v>6.5</v>
      </c>
      <c r="N62" s="2">
        <f>58+55</f>
        <v>113</v>
      </c>
    </row>
    <row r="63" spans="1:14" x14ac:dyDescent="0.2">
      <c r="A63" s="19" t="s">
        <v>39</v>
      </c>
      <c r="B63" s="19">
        <v>5</v>
      </c>
      <c r="C63" s="2">
        <v>71</v>
      </c>
      <c r="D63">
        <f>SUMIFS('[2]PP PRD'!$Q:$Q,'[2]PP PRD'!$G:$G,A:A,'[2]PP PRD'!$H:$H,B:B,'[2]PP PRD'!$D:$D,$H$2)</f>
        <v>0</v>
      </c>
      <c r="E63">
        <f>SUMIFS('[2]PP BOTTOM SEAL'!$L:$L,'[2]PP BOTTOM SEAL'!$I:$I,A63,'[2]PP BOTTOM SEAL'!$H:$H,B63,'[2]PP BOTTOM SEAL'!$D:$D,$F$1)</f>
        <v>0</v>
      </c>
      <c r="F63">
        <f>SUMIFS('[2]PP SIDE SEAL'!$L:$L,'[2]PP SIDE SEAL'!$I:$I,A63,'[2]PP SIDE SEAL'!$H:$H,B63,'[2]PP SIDE SEAL'!$D:$D,$F$1)</f>
        <v>0</v>
      </c>
      <c r="G63">
        <f t="shared" si="0"/>
        <v>71</v>
      </c>
      <c r="L63" s="19" t="s">
        <v>39</v>
      </c>
      <c r="M63" s="19">
        <v>5</v>
      </c>
      <c r="N63" s="2">
        <f>44+27</f>
        <v>71</v>
      </c>
    </row>
    <row r="64" spans="1:14" x14ac:dyDescent="0.2">
      <c r="A64" s="19" t="s">
        <v>18</v>
      </c>
      <c r="B64" s="19">
        <v>8</v>
      </c>
      <c r="C64" s="2">
        <v>34</v>
      </c>
      <c r="D64">
        <f>SUMIFS('[2]PP PRD'!$Q:$Q,'[2]PP PRD'!$G:$G,A:A,'[2]PP PRD'!$H:$H,B:B,'[2]PP PRD'!$D:$D,$H$2)</f>
        <v>0</v>
      </c>
      <c r="E64">
        <f>SUMIFS('[2]PP BOTTOM SEAL'!$L:$L,'[2]PP BOTTOM SEAL'!$I:$I,A64,'[2]PP BOTTOM SEAL'!$H:$H,B64,'[2]PP BOTTOM SEAL'!$D:$D,$F$1)</f>
        <v>0</v>
      </c>
      <c r="F64">
        <f>SUMIFS('[2]PP SIDE SEAL'!$L:$L,'[2]PP SIDE SEAL'!$I:$I,A64,'[2]PP SIDE SEAL'!$H:$H,B64,'[2]PP SIDE SEAL'!$D:$D,$F$1)</f>
        <v>0</v>
      </c>
      <c r="G64">
        <f t="shared" si="0"/>
        <v>34</v>
      </c>
      <c r="L64" s="19" t="s">
        <v>18</v>
      </c>
      <c r="M64" s="19">
        <v>8</v>
      </c>
      <c r="N64" s="2">
        <v>34</v>
      </c>
    </row>
    <row r="65" spans="1:14" x14ac:dyDescent="0.2">
      <c r="A65" s="19" t="s">
        <v>17</v>
      </c>
      <c r="B65" s="19">
        <v>5.6</v>
      </c>
      <c r="C65" s="2">
        <v>1791</v>
      </c>
      <c r="D65">
        <f>SUMIFS('[2]PP PRD'!$Q:$Q,'[2]PP PRD'!$G:$G,A:A,'[2]PP PRD'!$H:$H,B:B,'[2]PP PRD'!$D:$D,$H$2)</f>
        <v>0</v>
      </c>
      <c r="E65">
        <f>SUMIFS('[2]PP BOTTOM SEAL'!$L:$L,'[2]PP BOTTOM SEAL'!$I:$I,A65,'[2]PP BOTTOM SEAL'!$H:$H,B65,'[2]PP BOTTOM SEAL'!$D:$D,$F$1)</f>
        <v>0</v>
      </c>
      <c r="F65">
        <f>SUMIFS('[2]PP SIDE SEAL'!$L:$L,'[2]PP SIDE SEAL'!$I:$I,A65,'[2]PP SIDE SEAL'!$H:$H,B65,'[2]PP SIDE SEAL'!$D:$D,$F$1)</f>
        <v>0</v>
      </c>
      <c r="G65">
        <f t="shared" si="0"/>
        <v>1791</v>
      </c>
      <c r="L65" s="19" t="s">
        <v>17</v>
      </c>
      <c r="M65" s="19">
        <v>5.6</v>
      </c>
      <c r="N65" s="2">
        <f>10+13+17+15+15+16+17+18+16+16+16+17+16+20+20+12+10+13+15+14+14+18+18+18+14+16+17+16+16+19+10+17+16+14+14+14+15+15+16+15+15+15+15+15+14+18+15+6+15+14+14+15+14+14+13+12+16+15+16+19+17+9+17+15+15+15+15+13+13+14+14+14+15+15+15+16+18+7+16+13+14+13+11+12+11+15+15+15+15+16+16+16+15+15+16+15+14+12+12+13+14+16+15+15+16+17+14+14+15+15+14+12+14+17+16+12+24+12+16+14+14</f>
        <v>1791</v>
      </c>
    </row>
    <row r="66" spans="1:14" x14ac:dyDescent="0.2">
      <c r="A66" s="19" t="s">
        <v>40</v>
      </c>
      <c r="B66" s="19">
        <v>4.5</v>
      </c>
      <c r="C66" s="2">
        <v>14</v>
      </c>
      <c r="D66">
        <f>SUMIFS('[2]PP PRD'!$Q:$Q,'[2]PP PRD'!$G:$G,A:A,'[2]PP PRD'!$H:$H,B:B,'[2]PP PRD'!$D:$D,$H$2)</f>
        <v>0</v>
      </c>
      <c r="E66">
        <f>SUMIFS('[2]PP BOTTOM SEAL'!$L:$L,'[2]PP BOTTOM SEAL'!$I:$I,A66,'[2]PP BOTTOM SEAL'!$H:$H,B66,'[2]PP BOTTOM SEAL'!$D:$D,$F$1)</f>
        <v>0</v>
      </c>
      <c r="F66">
        <f>SUMIFS('[2]PP SIDE SEAL'!$L:$L,'[2]PP SIDE SEAL'!$I:$I,A66,'[2]PP SIDE SEAL'!$H:$H,B66,'[2]PP SIDE SEAL'!$D:$D,$F$1)</f>
        <v>0</v>
      </c>
      <c r="G66">
        <f t="shared" si="0"/>
        <v>14</v>
      </c>
      <c r="L66" s="19" t="s">
        <v>40</v>
      </c>
      <c r="M66" s="19">
        <v>4.5</v>
      </c>
      <c r="N66" s="2">
        <v>14</v>
      </c>
    </row>
    <row r="67" spans="1:14" x14ac:dyDescent="0.2">
      <c r="A67" s="19" t="s">
        <v>40</v>
      </c>
      <c r="B67" s="19" t="s">
        <v>41</v>
      </c>
      <c r="C67" s="2">
        <v>333</v>
      </c>
      <c r="D67">
        <f>SUMIFS('[2]PP PRD'!$Q:$Q,'[2]PP PRD'!$G:$G,A:A,'[2]PP PRD'!$H:$H,B:B,'[2]PP PRD'!$D:$D,$H$2)</f>
        <v>0</v>
      </c>
      <c r="E67">
        <f>SUMIFS('[2]PP BOTTOM SEAL'!$L:$L,'[2]PP BOTTOM SEAL'!$I:$I,A67,'[2]PP BOTTOM SEAL'!$H:$H,B67,'[2]PP BOTTOM SEAL'!$D:$D,$F$1)</f>
        <v>0</v>
      </c>
      <c r="F67">
        <f>SUMIFS('[2]PP SIDE SEAL'!$L:$L,'[2]PP SIDE SEAL'!$I:$I,A67,'[2]PP SIDE SEAL'!$H:$H,B67,'[2]PP SIDE SEAL'!$D:$D,$F$1)</f>
        <v>0</v>
      </c>
      <c r="G67">
        <f t="shared" ref="G67:G73" si="1">+C67-E67</f>
        <v>333</v>
      </c>
      <c r="L67" s="19" t="s">
        <v>40</v>
      </c>
      <c r="M67" s="19" t="s">
        <v>41</v>
      </c>
      <c r="N67" s="2">
        <f>9+13+18+13+14+15+16+17+19+21+20+21+10+8+10+10+13+12+13+15+15+13+18</f>
        <v>333</v>
      </c>
    </row>
    <row r="68" spans="1:14" x14ac:dyDescent="0.2">
      <c r="A68" s="19" t="s">
        <v>42</v>
      </c>
      <c r="B68" s="19" t="s">
        <v>41</v>
      </c>
      <c r="C68" s="2">
        <v>175</v>
      </c>
      <c r="D68">
        <f>SUMIFS('[2]PP PRD'!$Q:$Q,'[2]PP PRD'!$G:$G,A:A,'[2]PP PRD'!$H:$H,B:B,'[2]PP PRD'!$D:$D,$H$2)</f>
        <v>0</v>
      </c>
      <c r="E68">
        <f>SUMIFS('[2]PP BOTTOM SEAL'!$L:$L,'[2]PP BOTTOM SEAL'!$I:$I,A68,'[2]PP BOTTOM SEAL'!$H:$H,B68,'[2]PP BOTTOM SEAL'!$D:$D,$F$1)</f>
        <v>0</v>
      </c>
      <c r="F68">
        <f>SUMIFS('[2]PP SIDE SEAL'!$L:$L,'[2]PP SIDE SEAL'!$I:$I,A68,'[2]PP SIDE SEAL'!$H:$H,B68,'[2]PP SIDE SEAL'!$D:$D,$F$1)</f>
        <v>0</v>
      </c>
      <c r="G68">
        <f t="shared" si="1"/>
        <v>175</v>
      </c>
      <c r="L68" s="19" t="s">
        <v>42</v>
      </c>
      <c r="M68" s="19" t="s">
        <v>41</v>
      </c>
      <c r="N68" s="2">
        <f>12+8+10+15+20+18+21+17+17+17+10+10</f>
        <v>175</v>
      </c>
    </row>
    <row r="69" spans="1:14" x14ac:dyDescent="0.2">
      <c r="A69" s="19" t="s">
        <v>43</v>
      </c>
      <c r="B69" s="19" t="s">
        <v>44</v>
      </c>
      <c r="C69" s="2">
        <v>87</v>
      </c>
      <c r="D69">
        <f>SUMIFS('[2]PP PRD'!$Q:$Q,'[2]PP PRD'!$G:$G,A:A,'[2]PP PRD'!$H:$H,B:B,'[2]PP PRD'!$D:$D,$H$2)</f>
        <v>0</v>
      </c>
      <c r="E69">
        <f>SUMIFS('[2]PP BOTTOM SEAL'!$L:$L,'[2]PP BOTTOM SEAL'!$I:$I,A69,'[2]PP BOTTOM SEAL'!$H:$H,B69,'[2]PP BOTTOM SEAL'!$D:$D,$F$1)</f>
        <v>0</v>
      </c>
      <c r="F69">
        <f>SUMIFS('[2]PP SIDE SEAL'!$L:$L,'[2]PP SIDE SEAL'!$I:$I,A69,'[2]PP SIDE SEAL'!$H:$H,B69,'[2]PP SIDE SEAL'!$D:$D,$F$1)</f>
        <v>0</v>
      </c>
      <c r="G69">
        <f t="shared" si="1"/>
        <v>87</v>
      </c>
      <c r="L69" s="19" t="s">
        <v>43</v>
      </c>
      <c r="M69" s="19" t="s">
        <v>44</v>
      </c>
      <c r="N69" s="2">
        <f>11+11+13+15+19+18</f>
        <v>87</v>
      </c>
    </row>
    <row r="70" spans="1:14" x14ac:dyDescent="0.2">
      <c r="A70" s="19" t="s">
        <v>27</v>
      </c>
      <c r="B70" s="19" t="s">
        <v>41</v>
      </c>
      <c r="C70" s="2">
        <v>1071</v>
      </c>
      <c r="D70">
        <f>SUMIFS('[2]PP PRD'!$Q:$Q,'[2]PP PRD'!$G:$G,A:A,'[2]PP PRD'!$H:$H,B:B,'[2]PP PRD'!$D:$D,$H$2)</f>
        <v>0</v>
      </c>
      <c r="E70">
        <f>SUMIFS('[2]PP BOTTOM SEAL'!$L:$L,'[2]PP BOTTOM SEAL'!$I:$I,A70,'[2]PP BOTTOM SEAL'!$H:$H,B70,'[2]PP BOTTOM SEAL'!$D:$D,$F$1)</f>
        <v>0</v>
      </c>
      <c r="F70">
        <f>SUMIFS('[2]PP SIDE SEAL'!$L:$L,'[2]PP SIDE SEAL'!$I:$I,A70,'[2]PP SIDE SEAL'!$H:$H,B70,'[2]PP SIDE SEAL'!$D:$D,$F$1)</f>
        <v>0</v>
      </c>
      <c r="G70">
        <f t="shared" si="1"/>
        <v>1071</v>
      </c>
      <c r="L70" s="19" t="s">
        <v>27</v>
      </c>
      <c r="M70" s="19" t="s">
        <v>41</v>
      </c>
      <c r="N70" s="2">
        <f>11+18+14+13+16+15+15+14+14+14+12+16+15+16+14+11+11+10+12+12+11+10+10+15+14+12+14+15+15+16+15+14+15+15+15+14+14+14+16+16+15+14+16+12+11+15+15+15+15+17+15+13+17+16+15+15+15+14+16+13+11+15+14+13+16+16+16+16+15+15+15+16+16+15+15</f>
        <v>1071</v>
      </c>
    </row>
    <row r="71" spans="1:14" x14ac:dyDescent="0.2">
      <c r="A71" s="19" t="s">
        <v>26</v>
      </c>
      <c r="B71" s="19" t="s">
        <v>5</v>
      </c>
      <c r="C71" s="2">
        <v>191</v>
      </c>
      <c r="D71">
        <f>SUMIFS('[2]PP PRD'!$Q:$Q,'[2]PP PRD'!$G:$G,A:A,'[2]PP PRD'!$H:$H,B:B,'[2]PP PRD'!$D:$D,$H$2)</f>
        <v>0</v>
      </c>
      <c r="E71">
        <f>SUMIFS('[2]PP BOTTOM SEAL'!$L:$L,'[2]PP BOTTOM SEAL'!$I:$I,A71,'[2]PP BOTTOM SEAL'!$H:$H,B71,'[2]PP BOTTOM SEAL'!$D:$D,$F$1)</f>
        <v>0</v>
      </c>
      <c r="F71">
        <f>SUMIFS('[2]PP SIDE SEAL'!$L:$L,'[2]PP SIDE SEAL'!$I:$I,A71,'[2]PP SIDE SEAL'!$H:$H,B71,'[2]PP SIDE SEAL'!$D:$D,$F$1)</f>
        <v>0</v>
      </c>
      <c r="G71">
        <f t="shared" si="1"/>
        <v>191</v>
      </c>
      <c r="L71" s="19" t="s">
        <v>26</v>
      </c>
      <c r="M71" s="19" t="s">
        <v>5</v>
      </c>
      <c r="N71" s="2">
        <f>10+10+14+12+14+16+15+14+14+16+20+19+17</f>
        <v>191</v>
      </c>
    </row>
    <row r="72" spans="1:14" x14ac:dyDescent="0.2">
      <c r="A72" s="19" t="s">
        <v>23</v>
      </c>
      <c r="B72" s="19" t="s">
        <v>5</v>
      </c>
      <c r="C72" s="2">
        <v>204</v>
      </c>
      <c r="D72">
        <f>SUMIFS('[2]PP PRD'!$Q:$Q,'[2]PP PRD'!$G:$G,A:A,'[2]PP PRD'!$H:$H,B:B,'[2]PP PRD'!$D:$D,$H$2)</f>
        <v>0</v>
      </c>
      <c r="E72">
        <f>SUMIFS('[2]PP BOTTOM SEAL'!$L:$L,'[2]PP BOTTOM SEAL'!$I:$I,A72,'[2]PP BOTTOM SEAL'!$H:$H,B72,'[2]PP BOTTOM SEAL'!$D:$D,$F$1)</f>
        <v>0</v>
      </c>
      <c r="F72">
        <f>SUMIFS('[2]PP SIDE SEAL'!$L:$L,'[2]PP SIDE SEAL'!$I:$I,A72,'[2]PP SIDE SEAL'!$H:$H,B72,'[2]PP SIDE SEAL'!$D:$D,$F$1)</f>
        <v>0</v>
      </c>
      <c r="G72">
        <f t="shared" si="1"/>
        <v>204</v>
      </c>
      <c r="L72" s="19" t="s">
        <v>23</v>
      </c>
      <c r="M72" s="19" t="s">
        <v>5</v>
      </c>
      <c r="N72" s="2">
        <f>6+8+10+9+8+9+8+10+8+9+9+9+8+5+7+6+6+11+11+12+12+11+9+9+9+14+12+6+5+5+6+5+7+7+7+7+8+8+8</f>
        <v>324</v>
      </c>
    </row>
    <row r="73" spans="1:14" x14ac:dyDescent="0.2">
      <c r="A73" s="19" t="s">
        <v>27</v>
      </c>
      <c r="B73" s="19" t="s">
        <v>41</v>
      </c>
      <c r="C73" s="2">
        <v>92</v>
      </c>
      <c r="D73">
        <f>SUMIFS('[2]PP PRD'!$Q:$Q,'[2]PP PRD'!$G:$G,A:A,'[2]PP PRD'!$H:$H,B:B,'[2]PP PRD'!$D:$D,$H$2)</f>
        <v>0</v>
      </c>
      <c r="E73">
        <f>SUMIFS('[2]PP BOTTOM SEAL'!$L:$L,'[2]PP BOTTOM SEAL'!$I:$I,A73,'[2]PP BOTTOM SEAL'!$H:$H,B73,'[2]PP BOTTOM SEAL'!$D:$D,$F$1)</f>
        <v>0</v>
      </c>
      <c r="F73">
        <f>SUMIFS('[2]PP SIDE SEAL'!$L:$L,'[2]PP SIDE SEAL'!$I:$I,A73,'[2]PP SIDE SEAL'!$H:$H,B73,'[2]PP SIDE SEAL'!$D:$D,$F$1)</f>
        <v>0</v>
      </c>
      <c r="G73">
        <f t="shared" si="1"/>
        <v>92</v>
      </c>
      <c r="L73" s="19" t="s">
        <v>27</v>
      </c>
      <c r="M73" s="19" t="s">
        <v>41</v>
      </c>
      <c r="N73" s="2">
        <f>42+50</f>
        <v>92</v>
      </c>
    </row>
    <row r="74" spans="1:14" x14ac:dyDescent="0.2">
      <c r="A74" s="19">
        <v>22</v>
      </c>
      <c r="B74" s="19">
        <v>6</v>
      </c>
      <c r="C74" s="2">
        <v>0</v>
      </c>
      <c r="D74">
        <f>SUMIFS('[2]PP PRD'!$Q:$Q,'[2]PP PRD'!$G:$G,A:A,'[2]PP PRD'!$H:$H,B:B,'[2]PP PRD'!$D:$D,$H$2)</f>
        <v>0</v>
      </c>
      <c r="E74">
        <f>SUMIFS('[2]PP BOTTOM SEAL'!$L:$L,'[2]PP BOTTOM SEAL'!$I:$I,A74,'[2]PP BOTTOM SEAL'!$H:$H,B74,'[2]PP BOTTOM SEAL'!$D:$D,$F$1)</f>
        <v>0</v>
      </c>
      <c r="F74">
        <f>SUMIFS('[2]PP SIDE SEAL'!$L:$L,'[2]PP SIDE SEAL'!$I:$I,A74,'[2]PP SIDE SEAL'!$H:$H,B74,'[2]PP SIDE SEAL'!$D:$D,$F$1)</f>
        <v>0</v>
      </c>
      <c r="G74">
        <f t="shared" ref="G74" si="2">+C74-E74</f>
        <v>0</v>
      </c>
      <c r="L74" s="19">
        <v>22</v>
      </c>
      <c r="M74" s="19">
        <v>6</v>
      </c>
    </row>
    <row r="75" spans="1:14" x14ac:dyDescent="0.2">
      <c r="A75" s="19">
        <v>3.5</v>
      </c>
      <c r="B75" s="19" t="s">
        <v>5</v>
      </c>
      <c r="C75" s="2">
        <v>0</v>
      </c>
      <c r="D75">
        <f>SUMIFS('[2]PP PRD'!$Q:$Q,'[2]PP PRD'!$G:$G,A:A,'[2]PP PRD'!$H:$H,B:B,'[2]PP PRD'!$D:$D,$H$2)</f>
        <v>0</v>
      </c>
      <c r="E75">
        <f>SUMIFS('[2]PP BOTTOM SEAL'!$L:$L,'[2]PP BOTTOM SEAL'!$I:$I,A75,'[2]PP BOTTOM SEAL'!$H:$H,B75,'[2]PP BOTTOM SEAL'!$D:$D,$F$1)</f>
        <v>0</v>
      </c>
      <c r="F75">
        <f>SUMIFS('[2]PP SIDE SEAL'!$L:$L,'[2]PP SIDE SEAL'!$I:$I,A75,'[2]PP SIDE SEAL'!$H:$H,B75,'[2]PP SIDE SEAL'!$D:$D,$F$1)</f>
        <v>0</v>
      </c>
      <c r="G75">
        <f t="shared" ref="G75" si="3">+C75-E75</f>
        <v>0</v>
      </c>
      <c r="L75" s="19">
        <v>3.5</v>
      </c>
      <c r="M75" s="19" t="s">
        <v>5</v>
      </c>
    </row>
    <row r="76" spans="1:14" x14ac:dyDescent="0.2">
      <c r="A76" s="19">
        <v>9</v>
      </c>
      <c r="B76" s="19" t="s">
        <v>41</v>
      </c>
      <c r="C76" s="2">
        <v>0</v>
      </c>
      <c r="D76">
        <f>SUMIFS('[2]PP PRD'!$Q:$Q,'[2]PP PRD'!$G:$G,A:A,'[2]PP PRD'!$H:$H,B:B,'[2]PP PRD'!$D:$D,$H$2)</f>
        <v>0</v>
      </c>
      <c r="E76">
        <f>SUMIFS('[2]PP BOTTOM SEAL'!$L:$L,'[2]PP BOTTOM SEAL'!$I:$I,A76,'[2]PP BOTTOM SEAL'!$H:$H,B76,'[2]PP BOTTOM SEAL'!$D:$D,$F$1)</f>
        <v>0</v>
      </c>
      <c r="F76">
        <f>SUMIFS('[2]PP SIDE SEAL'!$L:$L,'[2]PP SIDE SEAL'!$I:$I,A76,'[2]PP SIDE SEAL'!$H:$H,B76,'[2]PP SIDE SEAL'!$D:$D,$F$1)</f>
        <v>0</v>
      </c>
      <c r="G76">
        <f t="shared" ref="G76" si="4">+C76-E76</f>
        <v>0</v>
      </c>
      <c r="L76" s="19">
        <v>9</v>
      </c>
      <c r="M76" s="19" t="s">
        <v>41</v>
      </c>
    </row>
    <row r="77" spans="1:14" x14ac:dyDescent="0.2">
      <c r="A77" s="19">
        <v>16</v>
      </c>
      <c r="B77" s="19" t="s">
        <v>41</v>
      </c>
      <c r="C77" s="2">
        <v>0</v>
      </c>
      <c r="D77">
        <f>SUMIFS('[2]PP PRD'!$Q:$Q,'[2]PP PRD'!$G:$G,A:A,'[2]PP PRD'!$H:$H,B:B,'[2]PP PRD'!$D:$D,$H$2)</f>
        <v>0</v>
      </c>
      <c r="E77">
        <f>SUMIFS('[2]PP BOTTOM SEAL'!$L:$L,'[2]PP BOTTOM SEAL'!$I:$I,A77,'[2]PP BOTTOM SEAL'!$H:$H,B77,'[2]PP BOTTOM SEAL'!$D:$D,$F$1)</f>
        <v>0</v>
      </c>
      <c r="F77">
        <f>SUMIFS('[2]PP SIDE SEAL'!$L:$L,'[2]PP SIDE SEAL'!$I:$I,A77,'[2]PP SIDE SEAL'!$H:$H,B77,'[2]PP SIDE SEAL'!$D:$D,$F$1)</f>
        <v>0</v>
      </c>
      <c r="G77">
        <f t="shared" ref="G77" si="5">+C77-E77</f>
        <v>0</v>
      </c>
      <c r="L77" s="19">
        <v>16</v>
      </c>
      <c r="M77" s="19" t="s">
        <v>41</v>
      </c>
    </row>
    <row r="78" spans="1:14" x14ac:dyDescent="0.2">
      <c r="A78" s="19">
        <v>20</v>
      </c>
      <c r="B78" s="19">
        <v>6</v>
      </c>
      <c r="C78" s="2">
        <v>-800</v>
      </c>
      <c r="D78">
        <f>SUMIFS('[2]PP PRD'!$Q:$Q,'[2]PP PRD'!$G:$G,A:A,'[2]PP PRD'!$H:$H,B:B,'[2]PP PRD'!$D:$D,$H$2)</f>
        <v>0</v>
      </c>
      <c r="E78">
        <f>SUMIFS('[2]PP BOTTOM SEAL'!$L:$L,'[2]PP BOTTOM SEAL'!$I:$I,A78,'[2]PP BOTTOM SEAL'!$H:$H,B78,'[2]PP BOTTOM SEAL'!$D:$D,$F$1)</f>
        <v>200</v>
      </c>
      <c r="F78">
        <f>SUMIFS('[2]PP SIDE SEAL'!$L:$L,'[2]PP SIDE SEAL'!$I:$I,A78,'[2]PP SIDE SEAL'!$H:$H,B78,'[2]PP SIDE SEAL'!$D:$D,$F$1)</f>
        <v>0</v>
      </c>
      <c r="G78">
        <f t="shared" ref="G78:G79" si="6">+C78-E78</f>
        <v>-1000</v>
      </c>
      <c r="L78" s="19">
        <v>20</v>
      </c>
      <c r="M78" s="19">
        <v>6</v>
      </c>
    </row>
    <row r="79" spans="1:14" x14ac:dyDescent="0.2">
      <c r="A79" s="19">
        <v>10</v>
      </c>
      <c r="B79" s="19">
        <v>8</v>
      </c>
      <c r="C79" s="2">
        <v>-444.4</v>
      </c>
      <c r="D79">
        <f>SUMIFS('[2]PP PRD'!$Q:$Q,'[2]PP PRD'!$G:$G,A:A,'[2]PP PRD'!$H:$H,B:B,'[2]PP PRD'!$D:$D,$H$2)</f>
        <v>0</v>
      </c>
      <c r="E79">
        <f>SUMIFS('[2]PP BOTTOM SEAL'!$L:$L,'[2]PP BOTTOM SEAL'!$I:$I,A79,'[2]PP BOTTOM SEAL'!$H:$H,B79,'[2]PP BOTTOM SEAL'!$D:$D,$F$1)</f>
        <v>111.1</v>
      </c>
      <c r="F79">
        <f>SUMIFS('[2]PP SIDE SEAL'!$L:$L,'[2]PP SIDE SEAL'!$I:$I,A79,'[2]PP SIDE SEAL'!$H:$H,B79,'[2]PP SIDE SEAL'!$D:$D,$F$1)</f>
        <v>0</v>
      </c>
      <c r="G79">
        <f t="shared" si="6"/>
        <v>-555.5</v>
      </c>
      <c r="L79" s="19">
        <v>10</v>
      </c>
      <c r="M79" s="19">
        <v>8</v>
      </c>
    </row>
  </sheetData>
  <autoFilter ref="A2:G79" xr:uid="{3A25F164-7339-45C5-A0D2-7062B5323BA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5807-330B-4D1F-814F-DCC29A743341}">
  <dimension ref="A1:T814"/>
  <sheetViews>
    <sheetView workbookViewId="0">
      <pane ySplit="1" topLeftCell="A431" activePane="bottomLeft" state="frozen"/>
      <selection pane="bottomLeft" activeCell="B431" sqref="B431"/>
    </sheetView>
  </sheetViews>
  <sheetFormatPr defaultRowHeight="12.75" x14ac:dyDescent="0.2"/>
  <cols>
    <col min="1" max="1" width="18.42578125" bestFit="1" customWidth="1"/>
    <col min="2" max="2" width="37.42578125" bestFit="1" customWidth="1"/>
    <col min="3" max="3" width="14.5703125" bestFit="1" customWidth="1"/>
    <col min="4" max="4" width="16.140625" customWidth="1"/>
    <col min="5" max="5" width="13.5703125" bestFit="1" customWidth="1"/>
    <col min="6" max="6" width="11.28515625" bestFit="1" customWidth="1"/>
    <col min="7" max="7" width="9.28515625" bestFit="1" customWidth="1"/>
    <col min="8" max="8" width="15.28515625" bestFit="1" customWidth="1"/>
    <col min="9" max="9" width="9.85546875" bestFit="1" customWidth="1"/>
    <col min="10" max="10" width="11.140625" style="32" bestFit="1" customWidth="1"/>
    <col min="11" max="11" width="12.42578125" bestFit="1" customWidth="1"/>
    <col min="12" max="12" width="14.28515625" bestFit="1" customWidth="1"/>
    <col min="13" max="13" width="11.140625" bestFit="1" customWidth="1"/>
    <col min="14" max="14" width="19.28515625" bestFit="1" customWidth="1"/>
    <col min="15" max="15" width="21" bestFit="1" customWidth="1"/>
    <col min="16" max="16" width="9.28515625" bestFit="1" customWidth="1"/>
    <col min="17" max="17" width="11.7109375" bestFit="1" customWidth="1"/>
    <col min="18" max="18" width="12.85546875" style="32" bestFit="1" customWidth="1"/>
    <col min="19" max="19" width="14" bestFit="1" customWidth="1"/>
    <col min="20" max="20" width="11.85546875" bestFit="1" customWidth="1"/>
    <col min="21" max="16384" width="9.140625" style="68"/>
  </cols>
  <sheetData>
    <row r="1" spans="1:20" ht="21.75" thickBot="1" x14ac:dyDescent="0.5">
      <c r="A1" s="30" t="s">
        <v>0</v>
      </c>
      <c r="B1" s="25" t="s">
        <v>2</v>
      </c>
      <c r="C1" s="25" t="s">
        <v>46</v>
      </c>
      <c r="D1" s="25" t="s">
        <v>566</v>
      </c>
      <c r="E1" s="25" t="s">
        <v>56</v>
      </c>
      <c r="F1" s="25" t="s">
        <v>4</v>
      </c>
      <c r="G1" s="26" t="s">
        <v>47</v>
      </c>
      <c r="H1" s="27" t="s">
        <v>48</v>
      </c>
      <c r="I1" s="28" t="s">
        <v>49</v>
      </c>
      <c r="J1" s="28" t="s">
        <v>45</v>
      </c>
      <c r="K1" s="25" t="s">
        <v>50</v>
      </c>
      <c r="L1" s="29" t="s">
        <v>9</v>
      </c>
      <c r="M1" s="29" t="s">
        <v>10</v>
      </c>
      <c r="N1" s="29" t="s">
        <v>11</v>
      </c>
      <c r="O1" s="27" t="s">
        <v>51</v>
      </c>
      <c r="P1" s="27" t="s">
        <v>1</v>
      </c>
      <c r="Q1" s="25" t="s">
        <v>52</v>
      </c>
      <c r="R1" s="28" t="s">
        <v>53</v>
      </c>
      <c r="S1" s="25" t="s">
        <v>57</v>
      </c>
      <c r="T1" s="64" t="s">
        <v>54</v>
      </c>
    </row>
    <row r="2" spans="1:20" x14ac:dyDescent="0.2">
      <c r="A2" s="41" t="str">
        <f>CONCATENATE(E2,"/",F2)</f>
        <v>19/12</v>
      </c>
      <c r="B2" s="18" t="s">
        <v>163</v>
      </c>
      <c r="C2" s="18" t="s">
        <v>173</v>
      </c>
      <c r="D2" s="18" t="s">
        <v>173</v>
      </c>
      <c r="E2" s="19">
        <v>19</v>
      </c>
      <c r="F2" s="19" t="s">
        <v>14</v>
      </c>
      <c r="G2" s="2"/>
      <c r="H2" s="44" t="s">
        <v>222</v>
      </c>
      <c r="I2" s="2"/>
      <c r="J2" s="43">
        <v>45904</v>
      </c>
      <c r="K2" s="2">
        <v>1</v>
      </c>
      <c r="L2" s="2">
        <v>43</v>
      </c>
      <c r="M2" s="2">
        <v>2.2000000000000002</v>
      </c>
      <c r="N2" s="2">
        <f>+L2-M2</f>
        <v>40.799999999999997</v>
      </c>
      <c r="O2" s="2"/>
      <c r="P2" s="2"/>
      <c r="Q2" s="2"/>
      <c r="R2" s="38"/>
      <c r="S2" s="2"/>
      <c r="T2" s="65"/>
    </row>
    <row r="3" spans="1:20" x14ac:dyDescent="0.2">
      <c r="A3" s="41" t="str">
        <f t="shared" ref="A3:A83" si="0">CONCATENATE(E3,"/",F3)</f>
        <v>18/7</v>
      </c>
      <c r="B3" s="18" t="s">
        <v>163</v>
      </c>
      <c r="C3" s="18" t="s">
        <v>173</v>
      </c>
      <c r="D3" s="18" t="s">
        <v>173</v>
      </c>
      <c r="E3" s="19">
        <v>18</v>
      </c>
      <c r="F3" s="19" t="s">
        <v>19</v>
      </c>
      <c r="G3" s="2"/>
      <c r="H3" s="44" t="s">
        <v>222</v>
      </c>
      <c r="I3" s="2"/>
      <c r="J3" s="43">
        <v>45904</v>
      </c>
      <c r="K3" s="2">
        <v>4</v>
      </c>
      <c r="L3" s="2">
        <v>244</v>
      </c>
      <c r="M3" s="2">
        <v>8.4</v>
      </c>
      <c r="N3" s="2">
        <v>235.6</v>
      </c>
      <c r="O3" s="2"/>
      <c r="P3" s="2"/>
      <c r="Q3" s="2"/>
      <c r="R3" s="38"/>
      <c r="S3" s="2"/>
      <c r="T3" s="65"/>
    </row>
    <row r="4" spans="1:20" x14ac:dyDescent="0.2">
      <c r="A4" s="41" t="str">
        <f t="shared" si="0"/>
        <v>18/7</v>
      </c>
      <c r="B4" s="18" t="s">
        <v>163</v>
      </c>
      <c r="C4" s="18" t="s">
        <v>173</v>
      </c>
      <c r="D4" s="18" t="s">
        <v>173</v>
      </c>
      <c r="E4" s="19">
        <v>18</v>
      </c>
      <c r="F4" s="19" t="s">
        <v>19</v>
      </c>
      <c r="G4" s="2"/>
      <c r="H4" s="44" t="s">
        <v>222</v>
      </c>
      <c r="I4" s="2"/>
      <c r="J4" s="43">
        <v>45904</v>
      </c>
      <c r="K4" s="2">
        <v>2</v>
      </c>
      <c r="L4" s="2">
        <v>105.6</v>
      </c>
      <c r="M4" s="2">
        <v>4.3000000000000007</v>
      </c>
      <c r="N4" s="2">
        <f t="shared" ref="N4:N28" si="1">+L4-M4</f>
        <v>101.3</v>
      </c>
      <c r="O4" s="2"/>
      <c r="P4" s="2"/>
      <c r="Q4" s="2"/>
      <c r="R4" s="38"/>
      <c r="S4" s="2"/>
      <c r="T4" s="65"/>
    </row>
    <row r="5" spans="1:20" x14ac:dyDescent="0.2">
      <c r="A5" s="41" t="str">
        <f t="shared" si="0"/>
        <v>19/7</v>
      </c>
      <c r="B5" s="18" t="s">
        <v>163</v>
      </c>
      <c r="C5" s="18" t="s">
        <v>173</v>
      </c>
      <c r="D5" s="18" t="s">
        <v>173</v>
      </c>
      <c r="E5" s="19">
        <v>19</v>
      </c>
      <c r="F5" s="19" t="s">
        <v>19</v>
      </c>
      <c r="G5" s="2"/>
      <c r="H5" s="44" t="s">
        <v>222</v>
      </c>
      <c r="I5" s="2"/>
      <c r="J5" s="43">
        <v>45904</v>
      </c>
      <c r="K5" s="2">
        <v>3</v>
      </c>
      <c r="L5" s="2">
        <v>175.2</v>
      </c>
      <c r="M5" s="2">
        <v>6.6000000000000005</v>
      </c>
      <c r="N5" s="2">
        <f t="shared" si="1"/>
        <v>168.6</v>
      </c>
      <c r="O5" s="2"/>
      <c r="P5" s="2"/>
      <c r="Q5" s="2"/>
      <c r="R5" s="38"/>
      <c r="S5" s="2"/>
      <c r="T5" s="65"/>
    </row>
    <row r="6" spans="1:20" x14ac:dyDescent="0.2">
      <c r="A6" s="41" t="str">
        <f t="shared" si="0"/>
        <v>8/15-16</v>
      </c>
      <c r="B6" s="18" t="s">
        <v>213</v>
      </c>
      <c r="C6" s="18" t="s">
        <v>211</v>
      </c>
      <c r="D6" s="18" t="s">
        <v>173</v>
      </c>
      <c r="E6" s="19">
        <v>8</v>
      </c>
      <c r="F6" s="19" t="s">
        <v>200</v>
      </c>
      <c r="G6" s="2"/>
      <c r="H6" s="44" t="s">
        <v>222</v>
      </c>
      <c r="I6" s="2"/>
      <c r="J6" s="43">
        <v>45904</v>
      </c>
      <c r="K6" s="2">
        <v>3</v>
      </c>
      <c r="L6" s="2">
        <v>104.79999999999998</v>
      </c>
      <c r="M6" s="2">
        <v>3</v>
      </c>
      <c r="N6" s="2">
        <f t="shared" si="1"/>
        <v>101.79999999999998</v>
      </c>
      <c r="O6" s="2"/>
      <c r="P6" s="2"/>
      <c r="Q6" s="2"/>
      <c r="R6" s="38"/>
      <c r="S6" s="2"/>
      <c r="T6" s="65"/>
    </row>
    <row r="7" spans="1:20" x14ac:dyDescent="0.2">
      <c r="A7" s="41" t="str">
        <f t="shared" si="0"/>
        <v>7/20</v>
      </c>
      <c r="B7" s="18" t="s">
        <v>214</v>
      </c>
      <c r="C7" s="18" t="s">
        <v>211</v>
      </c>
      <c r="D7" s="18" t="s">
        <v>173</v>
      </c>
      <c r="E7" s="19">
        <v>7</v>
      </c>
      <c r="F7" s="19">
        <v>20</v>
      </c>
      <c r="G7" s="2"/>
      <c r="H7" s="44" t="s">
        <v>222</v>
      </c>
      <c r="I7" s="2"/>
      <c r="J7" s="43">
        <v>45904</v>
      </c>
      <c r="K7" s="2">
        <v>3</v>
      </c>
      <c r="L7" s="2">
        <v>108.4</v>
      </c>
      <c r="M7" s="2">
        <v>2.7</v>
      </c>
      <c r="N7" s="2">
        <f t="shared" si="1"/>
        <v>105.7</v>
      </c>
      <c r="O7" s="2"/>
      <c r="P7" s="2"/>
      <c r="Q7" s="2"/>
      <c r="R7" s="38"/>
      <c r="S7" s="2"/>
      <c r="T7" s="65"/>
    </row>
    <row r="8" spans="1:20" x14ac:dyDescent="0.2">
      <c r="A8" s="41" t="str">
        <f t="shared" si="0"/>
        <v>7/20</v>
      </c>
      <c r="B8" s="18" t="s">
        <v>214</v>
      </c>
      <c r="C8" s="18" t="s">
        <v>211</v>
      </c>
      <c r="D8" s="18" t="s">
        <v>173</v>
      </c>
      <c r="E8" s="19">
        <v>7</v>
      </c>
      <c r="F8" s="19">
        <v>20</v>
      </c>
      <c r="G8" s="2"/>
      <c r="H8" s="44" t="s">
        <v>222</v>
      </c>
      <c r="I8" s="2"/>
      <c r="J8" s="43">
        <v>45904</v>
      </c>
      <c r="K8" s="2">
        <v>2</v>
      </c>
      <c r="L8" s="2">
        <v>101.2</v>
      </c>
      <c r="M8" s="2">
        <v>1.9</v>
      </c>
      <c r="N8" s="2">
        <f t="shared" si="1"/>
        <v>99.3</v>
      </c>
      <c r="O8" s="2"/>
      <c r="P8" s="2"/>
      <c r="Q8" s="2"/>
      <c r="R8" s="38"/>
      <c r="S8" s="2"/>
      <c r="T8" s="65"/>
    </row>
    <row r="9" spans="1:20" x14ac:dyDescent="0.2">
      <c r="A9" s="41" t="str">
        <f t="shared" si="0"/>
        <v>5/9</v>
      </c>
      <c r="B9" s="18" t="s">
        <v>215</v>
      </c>
      <c r="C9" s="18" t="s">
        <v>212</v>
      </c>
      <c r="D9" s="18" t="s">
        <v>173</v>
      </c>
      <c r="E9" s="19">
        <v>5</v>
      </c>
      <c r="F9" s="19">
        <v>9</v>
      </c>
      <c r="G9" s="2"/>
      <c r="H9" s="44" t="s">
        <v>222</v>
      </c>
      <c r="I9" s="2"/>
      <c r="J9" s="43">
        <v>45904</v>
      </c>
      <c r="K9" s="2">
        <v>4</v>
      </c>
      <c r="L9" s="2">
        <v>115.60000000000001</v>
      </c>
      <c r="M9" s="2">
        <v>2.5</v>
      </c>
      <c r="N9" s="2">
        <f t="shared" si="1"/>
        <v>113.10000000000001</v>
      </c>
      <c r="O9" s="2"/>
      <c r="P9" s="2"/>
      <c r="Q9" s="2"/>
      <c r="R9" s="38"/>
      <c r="S9" s="2"/>
      <c r="T9" s="65"/>
    </row>
    <row r="10" spans="1:20" x14ac:dyDescent="0.2">
      <c r="A10" s="41" t="str">
        <f t="shared" si="0"/>
        <v>30/12-13</v>
      </c>
      <c r="B10" s="18" t="s">
        <v>216</v>
      </c>
      <c r="C10" s="18" t="s">
        <v>173</v>
      </c>
      <c r="D10" s="18" t="s">
        <v>173</v>
      </c>
      <c r="E10" s="19">
        <v>30</v>
      </c>
      <c r="F10" s="19" t="s">
        <v>201</v>
      </c>
      <c r="G10" s="2"/>
      <c r="H10" s="44" t="s">
        <v>222</v>
      </c>
      <c r="I10" s="2"/>
      <c r="J10" s="43">
        <v>45904</v>
      </c>
      <c r="K10" s="2">
        <v>3</v>
      </c>
      <c r="L10" s="2">
        <v>293.2</v>
      </c>
      <c r="M10" s="2">
        <v>9.8999999999999986</v>
      </c>
      <c r="N10" s="2">
        <f t="shared" si="1"/>
        <v>283.3</v>
      </c>
      <c r="O10" s="2"/>
      <c r="P10" s="2"/>
      <c r="Q10" s="2"/>
      <c r="R10" s="38"/>
      <c r="S10" s="2"/>
      <c r="T10" s="65"/>
    </row>
    <row r="11" spans="1:20" x14ac:dyDescent="0.2">
      <c r="A11" s="41" t="str">
        <f t="shared" si="0"/>
        <v>23-23.5/70 GRAM</v>
      </c>
      <c r="B11" s="18" t="s">
        <v>217</v>
      </c>
      <c r="C11" s="18" t="s">
        <v>173</v>
      </c>
      <c r="D11" s="18" t="s">
        <v>173</v>
      </c>
      <c r="E11" s="19" t="s">
        <v>202</v>
      </c>
      <c r="F11" s="19" t="s">
        <v>203</v>
      </c>
      <c r="G11" s="2"/>
      <c r="H11" s="44" t="s">
        <v>222</v>
      </c>
      <c r="I11" s="2"/>
      <c r="J11" s="43">
        <v>45904</v>
      </c>
      <c r="K11" s="2">
        <v>2</v>
      </c>
      <c r="L11" s="2">
        <v>202.2</v>
      </c>
      <c r="M11" s="2">
        <v>5.6</v>
      </c>
      <c r="N11" s="2">
        <f t="shared" si="1"/>
        <v>196.6</v>
      </c>
      <c r="O11" s="2"/>
      <c r="P11" s="2"/>
      <c r="Q11" s="2"/>
      <c r="R11" s="38"/>
      <c r="S11" s="2"/>
      <c r="T11" s="65"/>
    </row>
    <row r="12" spans="1:20" x14ac:dyDescent="0.2">
      <c r="A12" s="41" t="str">
        <f t="shared" si="0"/>
        <v>23-23.5/70 GRAM</v>
      </c>
      <c r="B12" s="18" t="s">
        <v>217</v>
      </c>
      <c r="C12" s="18" t="s">
        <v>173</v>
      </c>
      <c r="D12" s="18" t="s">
        <v>173</v>
      </c>
      <c r="E12" s="19" t="s">
        <v>202</v>
      </c>
      <c r="F12" s="19" t="s">
        <v>203</v>
      </c>
      <c r="G12" s="2"/>
      <c r="H12" s="44" t="s">
        <v>222</v>
      </c>
      <c r="I12" s="2"/>
      <c r="J12" s="43">
        <v>45904</v>
      </c>
      <c r="K12" s="2">
        <v>4</v>
      </c>
      <c r="L12" s="2">
        <v>421.4</v>
      </c>
      <c r="M12" s="2">
        <v>11.2</v>
      </c>
      <c r="N12" s="2">
        <f t="shared" si="1"/>
        <v>410.2</v>
      </c>
      <c r="O12" s="2"/>
      <c r="P12" s="2"/>
      <c r="Q12" s="2"/>
      <c r="R12" s="38"/>
      <c r="S12" s="2"/>
      <c r="T12" s="65"/>
    </row>
    <row r="13" spans="1:20" x14ac:dyDescent="0.2">
      <c r="A13" s="41" t="str">
        <f t="shared" si="0"/>
        <v>/</v>
      </c>
      <c r="B13" s="18" t="s">
        <v>260</v>
      </c>
      <c r="C13" s="18"/>
      <c r="D13" s="18" t="s">
        <v>173</v>
      </c>
      <c r="E13" s="19"/>
      <c r="F13" s="19"/>
      <c r="G13" s="2"/>
      <c r="H13" s="44" t="s">
        <v>222</v>
      </c>
      <c r="I13" s="2"/>
      <c r="J13" s="43">
        <v>45904</v>
      </c>
      <c r="K13" s="2">
        <v>1</v>
      </c>
      <c r="L13" s="2">
        <v>75.8</v>
      </c>
      <c r="M13" s="2">
        <v>2.8</v>
      </c>
      <c r="N13" s="2">
        <f t="shared" si="1"/>
        <v>73</v>
      </c>
      <c r="O13" s="2"/>
      <c r="P13" s="2"/>
      <c r="Q13" s="2"/>
      <c r="R13" s="38"/>
      <c r="S13" s="2"/>
      <c r="T13" s="65"/>
    </row>
    <row r="14" spans="1:20" x14ac:dyDescent="0.2">
      <c r="A14" s="41" t="str">
        <f t="shared" si="0"/>
        <v>20" شیٹ/7-7.5/14-15</v>
      </c>
      <c r="B14" s="18" t="s">
        <v>218</v>
      </c>
      <c r="C14" s="18" t="s">
        <v>211</v>
      </c>
      <c r="D14" s="18" t="s">
        <v>173</v>
      </c>
      <c r="E14" s="19" t="s">
        <v>204</v>
      </c>
      <c r="F14" s="19" t="s">
        <v>205</v>
      </c>
      <c r="G14" s="2"/>
      <c r="H14" s="44" t="s">
        <v>222</v>
      </c>
      <c r="I14" s="2"/>
      <c r="J14" s="43">
        <v>45904</v>
      </c>
      <c r="K14" s="2">
        <v>4</v>
      </c>
      <c r="L14" s="2">
        <v>299.8</v>
      </c>
      <c r="M14" s="2">
        <v>9.3000000000000007</v>
      </c>
      <c r="N14" s="2">
        <f t="shared" si="1"/>
        <v>290.5</v>
      </c>
      <c r="O14" s="2"/>
      <c r="P14" s="2"/>
      <c r="Q14" s="2"/>
      <c r="R14" s="38"/>
      <c r="S14" s="2"/>
      <c r="T14" s="65"/>
    </row>
    <row r="15" spans="1:20" x14ac:dyDescent="0.2">
      <c r="A15" s="41" t="str">
        <f t="shared" si="0"/>
        <v>20 شیٹ/7-7.5/14-15</v>
      </c>
      <c r="B15" s="18" t="s">
        <v>219</v>
      </c>
      <c r="C15" s="18" t="s">
        <v>211</v>
      </c>
      <c r="D15" s="18" t="s">
        <v>173</v>
      </c>
      <c r="E15" s="19" t="s">
        <v>206</v>
      </c>
      <c r="F15" s="19" t="s">
        <v>205</v>
      </c>
      <c r="G15" s="2"/>
      <c r="H15" s="44" t="s">
        <v>222</v>
      </c>
      <c r="I15" s="2"/>
      <c r="J15" s="43">
        <v>45904</v>
      </c>
      <c r="K15" s="2">
        <v>2</v>
      </c>
      <c r="L15" s="2">
        <v>102.4</v>
      </c>
      <c r="M15" s="2">
        <v>3.8</v>
      </c>
      <c r="N15" s="2">
        <f t="shared" si="1"/>
        <v>98.600000000000009</v>
      </c>
      <c r="O15" s="2"/>
      <c r="P15" s="2"/>
      <c r="Q15" s="2"/>
      <c r="R15" s="38"/>
      <c r="S15" s="2"/>
      <c r="T15" s="65"/>
    </row>
    <row r="16" spans="1:20" x14ac:dyDescent="0.2">
      <c r="A16" s="41" t="str">
        <f t="shared" si="0"/>
        <v>19/7</v>
      </c>
      <c r="B16" s="18" t="s">
        <v>163</v>
      </c>
      <c r="C16" s="18" t="s">
        <v>173</v>
      </c>
      <c r="D16" s="18" t="s">
        <v>173</v>
      </c>
      <c r="E16" s="19">
        <v>19</v>
      </c>
      <c r="F16" s="19" t="s">
        <v>19</v>
      </c>
      <c r="G16" s="2"/>
      <c r="H16" s="44" t="s">
        <v>222</v>
      </c>
      <c r="I16" s="2"/>
      <c r="J16" s="43">
        <v>45905</v>
      </c>
      <c r="K16" s="2">
        <v>2</v>
      </c>
      <c r="L16" s="2">
        <v>106.2</v>
      </c>
      <c r="M16" s="2">
        <v>4.4000000000000004</v>
      </c>
      <c r="N16" s="2">
        <f t="shared" si="1"/>
        <v>101.8</v>
      </c>
      <c r="O16" s="2"/>
      <c r="P16" s="2"/>
      <c r="Q16" s="2"/>
      <c r="R16" s="38"/>
      <c r="S16" s="2"/>
      <c r="T16" s="65"/>
    </row>
    <row r="17" spans="1:20" x14ac:dyDescent="0.2">
      <c r="A17" s="41" t="str">
        <f t="shared" si="0"/>
        <v>13/8-8.5</v>
      </c>
      <c r="B17" s="18" t="s">
        <v>220</v>
      </c>
      <c r="C17" s="18" t="s">
        <v>173</v>
      </c>
      <c r="D17" s="18" t="s">
        <v>173</v>
      </c>
      <c r="E17" s="19">
        <v>13</v>
      </c>
      <c r="F17" s="19" t="s">
        <v>207</v>
      </c>
      <c r="G17" s="2"/>
      <c r="H17" s="44" t="s">
        <v>222</v>
      </c>
      <c r="I17" s="2"/>
      <c r="J17" s="43">
        <v>45905</v>
      </c>
      <c r="K17" s="2">
        <v>1</v>
      </c>
      <c r="L17" s="2">
        <v>59.2</v>
      </c>
      <c r="M17" s="2">
        <v>1.7</v>
      </c>
      <c r="N17" s="2">
        <f t="shared" si="1"/>
        <v>57.5</v>
      </c>
      <c r="O17" s="2"/>
      <c r="P17" s="2"/>
      <c r="Q17" s="2"/>
      <c r="R17" s="38"/>
      <c r="S17" s="2"/>
      <c r="T17" s="65"/>
    </row>
    <row r="18" spans="1:20" x14ac:dyDescent="0.2">
      <c r="A18" s="41" t="str">
        <f t="shared" si="0"/>
        <v>13/8-8.5</v>
      </c>
      <c r="B18" s="18" t="s">
        <v>220</v>
      </c>
      <c r="C18" s="18" t="s">
        <v>173</v>
      </c>
      <c r="D18" s="18" t="s">
        <v>173</v>
      </c>
      <c r="E18" s="19">
        <v>13</v>
      </c>
      <c r="F18" s="19" t="s">
        <v>207</v>
      </c>
      <c r="G18" s="2"/>
      <c r="H18" s="44" t="s">
        <v>222</v>
      </c>
      <c r="I18" s="2"/>
      <c r="J18" s="43">
        <v>45905</v>
      </c>
      <c r="K18" s="2">
        <v>2</v>
      </c>
      <c r="L18" s="2">
        <v>108.2</v>
      </c>
      <c r="M18" s="2">
        <v>3.5</v>
      </c>
      <c r="N18" s="2">
        <f t="shared" si="1"/>
        <v>104.7</v>
      </c>
      <c r="O18" s="2"/>
      <c r="P18" s="2"/>
      <c r="Q18" s="2"/>
      <c r="R18" s="38"/>
      <c r="S18" s="2"/>
      <c r="T18" s="65"/>
    </row>
    <row r="19" spans="1:20" x14ac:dyDescent="0.2">
      <c r="A19" s="41" t="str">
        <f t="shared" si="0"/>
        <v>13/8-8.5</v>
      </c>
      <c r="B19" s="18" t="s">
        <v>163</v>
      </c>
      <c r="C19" s="18" t="s">
        <v>173</v>
      </c>
      <c r="D19" s="18" t="s">
        <v>173</v>
      </c>
      <c r="E19" s="19">
        <v>13</v>
      </c>
      <c r="F19" s="19" t="s">
        <v>207</v>
      </c>
      <c r="G19" s="2"/>
      <c r="H19" s="44" t="s">
        <v>222</v>
      </c>
      <c r="I19" s="2"/>
      <c r="J19" s="43">
        <v>45905</v>
      </c>
      <c r="K19" s="2">
        <v>1</v>
      </c>
      <c r="L19" s="2">
        <v>62</v>
      </c>
      <c r="M19" s="2">
        <v>1.7</v>
      </c>
      <c r="N19" s="2">
        <f t="shared" si="1"/>
        <v>60.3</v>
      </c>
      <c r="O19" s="2"/>
      <c r="P19" s="2"/>
      <c r="Q19" s="2"/>
      <c r="R19" s="38"/>
      <c r="S19" s="2"/>
      <c r="T19" s="65"/>
    </row>
    <row r="20" spans="1:20" x14ac:dyDescent="0.2">
      <c r="A20" s="41" t="str">
        <f t="shared" si="0"/>
        <v>16/14</v>
      </c>
      <c r="B20" s="18" t="s">
        <v>89</v>
      </c>
      <c r="C20" s="18" t="s">
        <v>173</v>
      </c>
      <c r="D20" s="18" t="s">
        <v>173</v>
      </c>
      <c r="E20" s="19">
        <v>16</v>
      </c>
      <c r="F20" s="19" t="s">
        <v>12</v>
      </c>
      <c r="G20" s="2"/>
      <c r="H20" s="44" t="s">
        <v>222</v>
      </c>
      <c r="I20" s="2"/>
      <c r="J20" s="43">
        <v>45905</v>
      </c>
      <c r="K20" s="2">
        <v>1</v>
      </c>
      <c r="L20" s="2">
        <v>45.4</v>
      </c>
      <c r="M20" s="2">
        <v>2</v>
      </c>
      <c r="N20" s="2">
        <f t="shared" si="1"/>
        <v>43.4</v>
      </c>
      <c r="O20" s="2"/>
      <c r="P20" s="2"/>
      <c r="Q20" s="2"/>
      <c r="R20" s="38"/>
      <c r="S20" s="2"/>
      <c r="T20" s="65"/>
    </row>
    <row r="21" spans="1:20" x14ac:dyDescent="0.2">
      <c r="A21" s="41" t="str">
        <f t="shared" si="0"/>
        <v>5/9</v>
      </c>
      <c r="B21" s="18" t="s">
        <v>215</v>
      </c>
      <c r="C21" s="18" t="s">
        <v>212</v>
      </c>
      <c r="D21" s="18" t="s">
        <v>173</v>
      </c>
      <c r="E21" s="19">
        <v>5</v>
      </c>
      <c r="F21" s="19">
        <v>9</v>
      </c>
      <c r="G21" s="2"/>
      <c r="H21" s="44" t="s">
        <v>222</v>
      </c>
      <c r="I21" s="2"/>
      <c r="J21" s="43">
        <v>45905</v>
      </c>
      <c r="K21" s="2">
        <v>5</v>
      </c>
      <c r="L21" s="2">
        <v>139.69999999999999</v>
      </c>
      <c r="M21" s="2">
        <v>3.5</v>
      </c>
      <c r="N21" s="2">
        <f t="shared" si="1"/>
        <v>136.19999999999999</v>
      </c>
      <c r="O21" s="2"/>
      <c r="P21" s="2"/>
      <c r="Q21" s="2"/>
      <c r="R21" s="38"/>
      <c r="S21" s="2"/>
      <c r="T21" s="65"/>
    </row>
    <row r="22" spans="1:20" x14ac:dyDescent="0.2">
      <c r="A22" s="41" t="str">
        <f t="shared" si="0"/>
        <v>23-23.5/70 GRAM</v>
      </c>
      <c r="B22" s="18" t="s">
        <v>217</v>
      </c>
      <c r="C22" s="18" t="s">
        <v>173</v>
      </c>
      <c r="D22" s="18" t="s">
        <v>173</v>
      </c>
      <c r="E22" s="19" t="s">
        <v>202</v>
      </c>
      <c r="F22" s="19" t="s">
        <v>203</v>
      </c>
      <c r="G22" s="2"/>
      <c r="H22" s="44" t="s">
        <v>222</v>
      </c>
      <c r="I22" s="2"/>
      <c r="J22" s="43">
        <v>45905</v>
      </c>
      <c r="K22" s="2">
        <v>3</v>
      </c>
      <c r="L22" s="2">
        <v>353.6</v>
      </c>
      <c r="M22" s="2">
        <v>8.3999999999999986</v>
      </c>
      <c r="N22" s="2">
        <f t="shared" si="1"/>
        <v>345.20000000000005</v>
      </c>
      <c r="O22" s="2"/>
      <c r="P22" s="2"/>
      <c r="Q22" s="2"/>
      <c r="R22" s="38"/>
      <c r="S22" s="2"/>
      <c r="T22" s="65"/>
    </row>
    <row r="23" spans="1:20" x14ac:dyDescent="0.2">
      <c r="A23" s="41" t="str">
        <f t="shared" si="0"/>
        <v>23-23.5/70 GRAM</v>
      </c>
      <c r="B23" s="18" t="s">
        <v>217</v>
      </c>
      <c r="C23" s="18" t="s">
        <v>173</v>
      </c>
      <c r="D23" s="18" t="s">
        <v>173</v>
      </c>
      <c r="E23" s="19" t="s">
        <v>202</v>
      </c>
      <c r="F23" s="19" t="s">
        <v>203</v>
      </c>
      <c r="G23" s="2"/>
      <c r="H23" s="44" t="s">
        <v>222</v>
      </c>
      <c r="I23" s="2"/>
      <c r="J23" s="43">
        <v>45905</v>
      </c>
      <c r="K23" s="2">
        <v>3</v>
      </c>
      <c r="L23" s="2">
        <v>362</v>
      </c>
      <c r="M23" s="2">
        <v>8.3999999999999986</v>
      </c>
      <c r="N23" s="2">
        <f t="shared" si="1"/>
        <v>353.6</v>
      </c>
      <c r="O23" s="2"/>
      <c r="P23" s="2"/>
      <c r="Q23" s="2"/>
      <c r="R23" s="38"/>
      <c r="S23" s="2"/>
      <c r="T23" s="65"/>
    </row>
    <row r="24" spans="1:20" x14ac:dyDescent="0.2">
      <c r="A24" s="41" t="str">
        <f t="shared" si="0"/>
        <v>20 شیٹ/7-7.5/14-15</v>
      </c>
      <c r="B24" s="18" t="s">
        <v>219</v>
      </c>
      <c r="C24" s="18" t="s">
        <v>211</v>
      </c>
      <c r="D24" s="18" t="s">
        <v>173</v>
      </c>
      <c r="E24" s="19" t="s">
        <v>206</v>
      </c>
      <c r="F24" s="19" t="s">
        <v>205</v>
      </c>
      <c r="G24" s="2"/>
      <c r="H24" s="44" t="s">
        <v>222</v>
      </c>
      <c r="I24" s="2"/>
      <c r="J24" s="43">
        <v>45905</v>
      </c>
      <c r="K24" s="2">
        <v>2</v>
      </c>
      <c r="L24" s="2">
        <v>118</v>
      </c>
      <c r="M24" s="2">
        <v>4</v>
      </c>
      <c r="N24" s="2">
        <f t="shared" si="1"/>
        <v>114</v>
      </c>
      <c r="O24" s="2"/>
      <c r="P24" s="2"/>
      <c r="Q24" s="2"/>
      <c r="R24" s="38"/>
      <c r="S24" s="2"/>
      <c r="T24" s="65"/>
    </row>
    <row r="25" spans="1:20" x14ac:dyDescent="0.2">
      <c r="A25" s="41" t="str">
        <f t="shared" si="0"/>
        <v>20 شیٹ/6-6.5/12-13</v>
      </c>
      <c r="B25" s="18" t="s">
        <v>219</v>
      </c>
      <c r="C25" s="18" t="s">
        <v>211</v>
      </c>
      <c r="D25" s="18" t="s">
        <v>173</v>
      </c>
      <c r="E25" s="19" t="s">
        <v>206</v>
      </c>
      <c r="F25" s="19" t="s">
        <v>208</v>
      </c>
      <c r="G25" s="2"/>
      <c r="H25" s="44" t="s">
        <v>222</v>
      </c>
      <c r="I25" s="2"/>
      <c r="J25" s="43">
        <v>45905</v>
      </c>
      <c r="K25" s="2">
        <v>4</v>
      </c>
      <c r="L25" s="2">
        <v>220.39999999999998</v>
      </c>
      <c r="M25" s="2">
        <v>8</v>
      </c>
      <c r="N25" s="2">
        <f t="shared" si="1"/>
        <v>212.39999999999998</v>
      </c>
      <c r="O25" s="2"/>
      <c r="P25" s="2"/>
      <c r="Q25" s="2"/>
      <c r="R25" s="38"/>
      <c r="S25" s="2"/>
      <c r="T25" s="65"/>
    </row>
    <row r="26" spans="1:20" x14ac:dyDescent="0.2">
      <c r="A26" s="41" t="str">
        <f t="shared" si="0"/>
        <v>432 MM/17-18</v>
      </c>
      <c r="B26" s="18" t="s">
        <v>221</v>
      </c>
      <c r="C26" s="18" t="s">
        <v>211</v>
      </c>
      <c r="D26" s="18" t="s">
        <v>173</v>
      </c>
      <c r="E26" s="19" t="s">
        <v>209</v>
      </c>
      <c r="F26" s="19" t="s">
        <v>223</v>
      </c>
      <c r="G26" s="2"/>
      <c r="H26" s="44" t="s">
        <v>222</v>
      </c>
      <c r="I26" s="2"/>
      <c r="J26" s="43">
        <v>45905</v>
      </c>
      <c r="K26" s="2">
        <v>4</v>
      </c>
      <c r="L26" s="2">
        <v>245.8</v>
      </c>
      <c r="M26" s="2">
        <v>8</v>
      </c>
      <c r="N26" s="2">
        <f t="shared" si="1"/>
        <v>237.8</v>
      </c>
      <c r="O26" s="2"/>
      <c r="P26" s="2"/>
      <c r="Q26" s="2"/>
      <c r="R26" s="38"/>
      <c r="S26" s="2"/>
      <c r="T26" s="65"/>
    </row>
    <row r="27" spans="1:20" x14ac:dyDescent="0.2">
      <c r="A27" s="41" t="str">
        <f t="shared" si="0"/>
        <v>428 MM/17-18</v>
      </c>
      <c r="B27" s="18" t="s">
        <v>221</v>
      </c>
      <c r="C27" s="18" t="s">
        <v>211</v>
      </c>
      <c r="D27" s="18" t="s">
        <v>173</v>
      </c>
      <c r="E27" s="19" t="s">
        <v>210</v>
      </c>
      <c r="F27" s="19" t="s">
        <v>223</v>
      </c>
      <c r="G27" s="2"/>
      <c r="H27" s="44" t="s">
        <v>222</v>
      </c>
      <c r="I27" s="2"/>
      <c r="J27" s="43">
        <v>45905</v>
      </c>
      <c r="K27" s="2">
        <v>2</v>
      </c>
      <c r="L27" s="2">
        <v>132.6</v>
      </c>
      <c r="M27" s="2">
        <v>4</v>
      </c>
      <c r="N27" s="2">
        <f t="shared" si="1"/>
        <v>128.6</v>
      </c>
      <c r="O27" s="2"/>
      <c r="P27" s="2"/>
      <c r="Q27" s="2"/>
      <c r="R27" s="38"/>
      <c r="S27" s="2"/>
      <c r="T27" s="65"/>
    </row>
    <row r="28" spans="1:20" x14ac:dyDescent="0.2">
      <c r="A28" s="41" t="str">
        <f t="shared" si="0"/>
        <v>23-23.5/70 GRAM</v>
      </c>
      <c r="B28" s="18" t="s">
        <v>217</v>
      </c>
      <c r="C28" s="18" t="s">
        <v>173</v>
      </c>
      <c r="D28" s="18" t="s">
        <v>173</v>
      </c>
      <c r="E28" s="19" t="s">
        <v>202</v>
      </c>
      <c r="F28" s="19" t="s">
        <v>203</v>
      </c>
      <c r="G28" s="2"/>
      <c r="H28" s="44" t="s">
        <v>222</v>
      </c>
      <c r="I28" s="2"/>
      <c r="J28" s="43">
        <v>45905</v>
      </c>
      <c r="K28" s="2">
        <v>2</v>
      </c>
      <c r="L28" s="2">
        <v>278.39999999999998</v>
      </c>
      <c r="M28" s="2">
        <v>5.6</v>
      </c>
      <c r="N28" s="2">
        <f t="shared" si="1"/>
        <v>272.79999999999995</v>
      </c>
      <c r="O28" s="2"/>
      <c r="P28" s="2"/>
      <c r="Q28" s="2"/>
      <c r="R28" s="38"/>
      <c r="S28" s="2"/>
      <c r="T28" s="65"/>
    </row>
    <row r="29" spans="1:20" x14ac:dyDescent="0.2">
      <c r="A29" s="41" t="str">
        <f t="shared" ref="A29:A70" si="2">CONCATENATE(E29,"/",F29)</f>
        <v>15/12</v>
      </c>
      <c r="B29" s="18" t="s">
        <v>163</v>
      </c>
      <c r="C29" s="18" t="s">
        <v>173</v>
      </c>
      <c r="D29" s="18" t="s">
        <v>173</v>
      </c>
      <c r="E29" s="19">
        <v>15</v>
      </c>
      <c r="F29" s="19" t="s">
        <v>14</v>
      </c>
      <c r="G29" s="2"/>
      <c r="H29" s="44" t="s">
        <v>222</v>
      </c>
      <c r="I29" s="2"/>
      <c r="J29" s="43">
        <v>45903</v>
      </c>
      <c r="K29" s="2">
        <v>3</v>
      </c>
      <c r="L29" s="2">
        <v>216.60000000000002</v>
      </c>
      <c r="M29" s="2">
        <v>5.0999999999999996</v>
      </c>
      <c r="N29" s="2">
        <f t="shared" ref="N29:N47" si="3">+L29-M29</f>
        <v>211.50000000000003</v>
      </c>
      <c r="O29" s="2"/>
      <c r="P29" s="2"/>
      <c r="Q29" s="2"/>
      <c r="R29" s="38"/>
      <c r="S29" s="2"/>
      <c r="T29" s="65"/>
    </row>
    <row r="30" spans="1:20" x14ac:dyDescent="0.2">
      <c r="A30" s="41" t="str">
        <f t="shared" si="2"/>
        <v>15/12</v>
      </c>
      <c r="B30" s="18" t="s">
        <v>163</v>
      </c>
      <c r="C30" s="18" t="s">
        <v>173</v>
      </c>
      <c r="D30" s="18" t="s">
        <v>173</v>
      </c>
      <c r="E30" s="19">
        <v>15</v>
      </c>
      <c r="F30" s="19" t="s">
        <v>14</v>
      </c>
      <c r="G30" s="2"/>
      <c r="H30" s="44" t="s">
        <v>222</v>
      </c>
      <c r="I30" s="2"/>
      <c r="J30" s="43">
        <v>45903</v>
      </c>
      <c r="K30" s="2">
        <v>2</v>
      </c>
      <c r="L30" s="2">
        <v>126.4</v>
      </c>
      <c r="M30" s="2">
        <v>3.4</v>
      </c>
      <c r="N30" s="2">
        <f t="shared" si="3"/>
        <v>123</v>
      </c>
      <c r="O30" s="2"/>
      <c r="P30" s="2"/>
      <c r="Q30" s="2"/>
      <c r="R30" s="38"/>
      <c r="S30" s="2"/>
      <c r="T30" s="65"/>
    </row>
    <row r="31" spans="1:20" x14ac:dyDescent="0.2">
      <c r="A31" s="41" t="str">
        <f t="shared" si="2"/>
        <v>15/12</v>
      </c>
      <c r="B31" s="18" t="s">
        <v>163</v>
      </c>
      <c r="C31" s="18" t="s">
        <v>173</v>
      </c>
      <c r="D31" s="18" t="s">
        <v>173</v>
      </c>
      <c r="E31" s="19">
        <v>15</v>
      </c>
      <c r="F31" s="19" t="s">
        <v>14</v>
      </c>
      <c r="G31" s="2"/>
      <c r="H31" s="44" t="s">
        <v>222</v>
      </c>
      <c r="I31" s="2"/>
      <c r="J31" s="43">
        <v>45903</v>
      </c>
      <c r="K31" s="2">
        <v>4</v>
      </c>
      <c r="L31" s="2">
        <v>195.60000000000002</v>
      </c>
      <c r="M31" s="2">
        <v>7.6</v>
      </c>
      <c r="N31" s="2">
        <f t="shared" si="3"/>
        <v>188.00000000000003</v>
      </c>
      <c r="O31" s="2"/>
      <c r="P31" s="2"/>
      <c r="Q31" s="2"/>
      <c r="R31" s="38"/>
      <c r="S31" s="2"/>
      <c r="T31" s="65"/>
    </row>
    <row r="32" spans="1:20" x14ac:dyDescent="0.2">
      <c r="A32" s="41" t="str">
        <f t="shared" si="2"/>
        <v>19/12</v>
      </c>
      <c r="B32" s="18" t="s">
        <v>163</v>
      </c>
      <c r="C32" s="18" t="s">
        <v>173</v>
      </c>
      <c r="D32" s="18" t="s">
        <v>173</v>
      </c>
      <c r="E32" s="19">
        <v>19</v>
      </c>
      <c r="F32" s="19" t="s">
        <v>14</v>
      </c>
      <c r="G32" s="2"/>
      <c r="H32" s="44" t="s">
        <v>222</v>
      </c>
      <c r="I32" s="2"/>
      <c r="J32" s="43">
        <v>45903</v>
      </c>
      <c r="K32" s="2">
        <v>2</v>
      </c>
      <c r="L32" s="2">
        <v>75.199999999999989</v>
      </c>
      <c r="M32" s="2">
        <v>5</v>
      </c>
      <c r="N32" s="2">
        <f t="shared" si="3"/>
        <v>70.199999999999989</v>
      </c>
      <c r="O32" s="2"/>
      <c r="P32" s="2"/>
      <c r="Q32" s="2"/>
      <c r="R32" s="38"/>
      <c r="S32" s="2"/>
      <c r="T32" s="65"/>
    </row>
    <row r="33" spans="1:20" x14ac:dyDescent="0.2">
      <c r="A33" s="41" t="str">
        <f t="shared" si="2"/>
        <v>19/12</v>
      </c>
      <c r="B33" s="18" t="s">
        <v>163</v>
      </c>
      <c r="C33" s="18" t="s">
        <v>173</v>
      </c>
      <c r="D33" s="18" t="s">
        <v>173</v>
      </c>
      <c r="E33" s="19">
        <v>19</v>
      </c>
      <c r="F33" s="19" t="s">
        <v>14</v>
      </c>
      <c r="G33" s="2"/>
      <c r="H33" s="44" t="s">
        <v>222</v>
      </c>
      <c r="I33" s="2"/>
      <c r="J33" s="43">
        <v>45903</v>
      </c>
      <c r="K33" s="2">
        <v>1</v>
      </c>
      <c r="L33" s="2">
        <v>37.799999999999997</v>
      </c>
      <c r="M33" s="2">
        <v>2.5</v>
      </c>
      <c r="N33" s="2">
        <f t="shared" si="3"/>
        <v>35.299999999999997</v>
      </c>
      <c r="O33" s="2"/>
      <c r="P33" s="2"/>
      <c r="Q33" s="2"/>
      <c r="R33" s="38"/>
      <c r="S33" s="2"/>
      <c r="T33" s="65"/>
    </row>
    <row r="34" spans="1:20" x14ac:dyDescent="0.2">
      <c r="A34" s="41" t="str">
        <f t="shared" si="2"/>
        <v>16/13.5-14</v>
      </c>
      <c r="B34" s="18" t="s">
        <v>231</v>
      </c>
      <c r="C34" s="18" t="s">
        <v>211</v>
      </c>
      <c r="D34" s="18" t="s">
        <v>173</v>
      </c>
      <c r="E34" s="19">
        <v>16</v>
      </c>
      <c r="F34" s="19" t="s">
        <v>255</v>
      </c>
      <c r="G34" s="2"/>
      <c r="H34" s="44" t="s">
        <v>222</v>
      </c>
      <c r="I34" s="2"/>
      <c r="J34" s="43">
        <v>45903</v>
      </c>
      <c r="K34" s="2">
        <v>1</v>
      </c>
      <c r="L34" s="2">
        <v>100.2</v>
      </c>
      <c r="M34" s="2">
        <v>1.9</v>
      </c>
      <c r="N34" s="2">
        <f t="shared" si="3"/>
        <v>98.3</v>
      </c>
      <c r="O34" s="2"/>
      <c r="P34" s="2"/>
      <c r="Q34" s="2"/>
      <c r="R34" s="38"/>
      <c r="S34" s="2"/>
      <c r="T34" s="65"/>
    </row>
    <row r="35" spans="1:20" x14ac:dyDescent="0.2">
      <c r="A35" s="41" t="str">
        <f t="shared" si="2"/>
        <v>18.5/15-16</v>
      </c>
      <c r="B35" s="18" t="s">
        <v>231</v>
      </c>
      <c r="C35" s="18" t="s">
        <v>211</v>
      </c>
      <c r="D35" s="18" t="s">
        <v>173</v>
      </c>
      <c r="E35" s="19">
        <v>18.5</v>
      </c>
      <c r="F35" s="19" t="s">
        <v>200</v>
      </c>
      <c r="G35" s="2"/>
      <c r="H35" s="44" t="s">
        <v>222</v>
      </c>
      <c r="I35" s="2"/>
      <c r="J35" s="43">
        <v>45903</v>
      </c>
      <c r="K35" s="2">
        <v>3</v>
      </c>
      <c r="L35" s="2">
        <v>202.8</v>
      </c>
      <c r="M35" s="2">
        <v>6.3000000000000007</v>
      </c>
      <c r="N35" s="2">
        <f t="shared" si="3"/>
        <v>196.5</v>
      </c>
      <c r="O35" s="2"/>
      <c r="P35" s="2"/>
      <c r="Q35" s="2"/>
      <c r="R35" s="38"/>
      <c r="S35" s="2"/>
      <c r="T35" s="65"/>
    </row>
    <row r="36" spans="1:20" x14ac:dyDescent="0.2">
      <c r="A36" s="41" t="str">
        <f t="shared" si="2"/>
        <v>18.5/15-16</v>
      </c>
      <c r="B36" s="18" t="s">
        <v>231</v>
      </c>
      <c r="C36" s="18" t="s">
        <v>211</v>
      </c>
      <c r="D36" s="18" t="s">
        <v>173</v>
      </c>
      <c r="E36" s="19">
        <v>18.5</v>
      </c>
      <c r="F36" s="19" t="s">
        <v>200</v>
      </c>
      <c r="G36" s="2"/>
      <c r="H36" s="44" t="s">
        <v>222</v>
      </c>
      <c r="I36" s="2"/>
      <c r="J36" s="43">
        <v>45903</v>
      </c>
      <c r="K36" s="2">
        <v>2</v>
      </c>
      <c r="L36" s="2">
        <v>125.4</v>
      </c>
      <c r="M36" s="2">
        <v>4.3000000000000007</v>
      </c>
      <c r="N36" s="2">
        <f t="shared" si="3"/>
        <v>121.10000000000001</v>
      </c>
      <c r="O36" s="2"/>
      <c r="P36" s="2"/>
      <c r="Q36" s="2"/>
      <c r="R36" s="38"/>
      <c r="S36" s="2"/>
      <c r="T36" s="65"/>
    </row>
    <row r="37" spans="1:20" x14ac:dyDescent="0.2">
      <c r="A37" s="41" t="str">
        <f t="shared" si="2"/>
        <v>14.5/12.5-13</v>
      </c>
      <c r="B37" s="18" t="s">
        <v>231</v>
      </c>
      <c r="C37" s="18" t="s">
        <v>211</v>
      </c>
      <c r="D37" s="18" t="s">
        <v>173</v>
      </c>
      <c r="E37" s="19">
        <v>14.5</v>
      </c>
      <c r="F37" s="19" t="s">
        <v>227</v>
      </c>
      <c r="G37" s="2"/>
      <c r="H37" s="44" t="s">
        <v>222</v>
      </c>
      <c r="I37" s="2"/>
      <c r="J37" s="43">
        <v>45903</v>
      </c>
      <c r="K37" s="2">
        <v>4</v>
      </c>
      <c r="L37" s="2">
        <v>224.60000000000002</v>
      </c>
      <c r="M37" s="2">
        <v>7.4999999999999991</v>
      </c>
      <c r="N37" s="2">
        <f t="shared" si="3"/>
        <v>217.10000000000002</v>
      </c>
      <c r="O37" s="2"/>
      <c r="P37" s="2"/>
      <c r="Q37" s="2"/>
      <c r="R37" s="38"/>
      <c r="S37" s="2"/>
      <c r="T37" s="65"/>
    </row>
    <row r="38" spans="1:20" x14ac:dyDescent="0.2">
      <c r="A38" s="41" t="str">
        <f t="shared" si="2"/>
        <v>14/13-14</v>
      </c>
      <c r="B38" s="18" t="s">
        <v>231</v>
      </c>
      <c r="C38" s="18" t="s">
        <v>211</v>
      </c>
      <c r="D38" s="18" t="s">
        <v>173</v>
      </c>
      <c r="E38" s="19">
        <v>14</v>
      </c>
      <c r="F38" s="19" t="s">
        <v>228</v>
      </c>
      <c r="G38" s="2"/>
      <c r="H38" s="44" t="s">
        <v>222</v>
      </c>
      <c r="I38" s="2"/>
      <c r="J38" s="43">
        <v>45903</v>
      </c>
      <c r="K38" s="2">
        <v>2</v>
      </c>
      <c r="L38" s="2">
        <v>104</v>
      </c>
      <c r="M38" s="2">
        <v>3.5</v>
      </c>
      <c r="N38" s="2">
        <f t="shared" si="3"/>
        <v>100.5</v>
      </c>
      <c r="O38" s="2"/>
      <c r="P38" s="2"/>
      <c r="Q38" s="2"/>
      <c r="R38" s="38"/>
      <c r="S38" s="2"/>
      <c r="T38" s="65"/>
    </row>
    <row r="39" spans="1:20" x14ac:dyDescent="0.2">
      <c r="A39" s="41" t="str">
        <f t="shared" si="2"/>
        <v>13/12.5-13</v>
      </c>
      <c r="B39" s="18" t="s">
        <v>231</v>
      </c>
      <c r="C39" s="18" t="s">
        <v>211</v>
      </c>
      <c r="D39" s="18" t="s">
        <v>173</v>
      </c>
      <c r="E39" s="19">
        <v>13</v>
      </c>
      <c r="F39" s="19" t="s">
        <v>227</v>
      </c>
      <c r="G39" s="2"/>
      <c r="H39" s="44" t="s">
        <v>222</v>
      </c>
      <c r="I39" s="2"/>
      <c r="J39" s="43">
        <v>45903</v>
      </c>
      <c r="K39" s="2">
        <v>2</v>
      </c>
      <c r="L39" s="2">
        <v>107.8</v>
      </c>
      <c r="M39" s="2">
        <v>3.5</v>
      </c>
      <c r="N39" s="2">
        <f t="shared" si="3"/>
        <v>104.3</v>
      </c>
      <c r="O39" s="2"/>
      <c r="P39" s="2"/>
      <c r="Q39" s="2"/>
      <c r="R39" s="38"/>
      <c r="S39" s="2"/>
      <c r="T39" s="65"/>
    </row>
    <row r="40" spans="1:20" x14ac:dyDescent="0.2">
      <c r="A40" s="41" t="str">
        <f t="shared" si="2"/>
        <v>17/7-7.5</v>
      </c>
      <c r="B40" s="18" t="s">
        <v>163</v>
      </c>
      <c r="C40" s="18" t="s">
        <v>173</v>
      </c>
      <c r="D40" s="18" t="s">
        <v>173</v>
      </c>
      <c r="E40" s="19">
        <v>17</v>
      </c>
      <c r="F40" s="19" t="s">
        <v>224</v>
      </c>
      <c r="G40" s="2"/>
      <c r="H40" s="44" t="s">
        <v>222</v>
      </c>
      <c r="I40" s="2"/>
      <c r="J40" s="43">
        <v>45903</v>
      </c>
      <c r="K40" s="2">
        <v>7</v>
      </c>
      <c r="L40" s="2">
        <v>444.00000000000006</v>
      </c>
      <c r="M40" s="2">
        <v>14</v>
      </c>
      <c r="N40" s="2">
        <f t="shared" si="3"/>
        <v>430.00000000000006</v>
      </c>
      <c r="O40" s="2"/>
      <c r="P40" s="2"/>
      <c r="Q40" s="2"/>
      <c r="R40" s="38"/>
      <c r="S40" s="2"/>
      <c r="T40" s="65"/>
    </row>
    <row r="41" spans="1:20" x14ac:dyDescent="0.2">
      <c r="A41" s="41" t="str">
        <f t="shared" si="2"/>
        <v>17/7-7.5</v>
      </c>
      <c r="B41" s="18" t="s">
        <v>163</v>
      </c>
      <c r="C41" s="18" t="s">
        <v>173</v>
      </c>
      <c r="D41" s="18" t="s">
        <v>173</v>
      </c>
      <c r="E41" s="19">
        <v>17</v>
      </c>
      <c r="F41" s="19" t="s">
        <v>224</v>
      </c>
      <c r="G41" s="2"/>
      <c r="H41" s="44" t="s">
        <v>222</v>
      </c>
      <c r="I41" s="2"/>
      <c r="J41" s="43">
        <v>45903</v>
      </c>
      <c r="K41" s="2">
        <v>3</v>
      </c>
      <c r="L41" s="2">
        <v>158.80000000000001</v>
      </c>
      <c r="M41" s="2">
        <v>6</v>
      </c>
      <c r="N41" s="2">
        <f t="shared" si="3"/>
        <v>152.80000000000001</v>
      </c>
      <c r="O41" s="2"/>
      <c r="P41" s="2"/>
      <c r="Q41" s="2"/>
      <c r="R41" s="38"/>
      <c r="S41" s="2"/>
      <c r="T41" s="65"/>
    </row>
    <row r="42" spans="1:20" x14ac:dyDescent="0.2">
      <c r="A42" s="41" t="str">
        <f t="shared" si="2"/>
        <v>30/12-13</v>
      </c>
      <c r="B42" s="18" t="s">
        <v>216</v>
      </c>
      <c r="C42" s="18" t="s">
        <v>173</v>
      </c>
      <c r="D42" s="18" t="s">
        <v>173</v>
      </c>
      <c r="E42" s="19">
        <v>30</v>
      </c>
      <c r="F42" s="19" t="s">
        <v>201</v>
      </c>
      <c r="G42" s="2"/>
      <c r="H42" s="44" t="s">
        <v>222</v>
      </c>
      <c r="I42" s="2"/>
      <c r="J42" s="43">
        <v>45903</v>
      </c>
      <c r="K42" s="2">
        <v>1</v>
      </c>
      <c r="L42" s="2">
        <v>106.4</v>
      </c>
      <c r="M42" s="2">
        <v>3.2</v>
      </c>
      <c r="N42" s="2">
        <f t="shared" si="3"/>
        <v>103.2</v>
      </c>
      <c r="O42" s="2"/>
      <c r="P42" s="2"/>
      <c r="Q42" s="2"/>
      <c r="R42" s="38"/>
      <c r="S42" s="2"/>
      <c r="T42" s="65"/>
    </row>
    <row r="43" spans="1:20" x14ac:dyDescent="0.2">
      <c r="A43" s="41" t="str">
        <f t="shared" si="2"/>
        <v>19/7.7.5</v>
      </c>
      <c r="B43" s="18" t="s">
        <v>163</v>
      </c>
      <c r="C43" s="18" t="s">
        <v>173</v>
      </c>
      <c r="D43" s="18" t="s">
        <v>173</v>
      </c>
      <c r="E43" s="19">
        <v>19</v>
      </c>
      <c r="F43" s="19" t="s">
        <v>226</v>
      </c>
      <c r="G43" s="2"/>
      <c r="H43" s="44" t="s">
        <v>222</v>
      </c>
      <c r="I43" s="2"/>
      <c r="J43" s="43">
        <v>45903</v>
      </c>
      <c r="K43" s="2">
        <v>4</v>
      </c>
      <c r="L43" s="2">
        <f>95.6+87.8</f>
        <v>183.39999999999998</v>
      </c>
      <c r="M43" s="2">
        <v>4.4000000000000004</v>
      </c>
      <c r="N43" s="2">
        <f t="shared" si="3"/>
        <v>178.99999999999997</v>
      </c>
      <c r="O43" s="2"/>
      <c r="P43" s="2"/>
      <c r="Q43" s="2"/>
      <c r="R43" s="38"/>
      <c r="S43" s="2"/>
      <c r="T43" s="65"/>
    </row>
    <row r="44" spans="1:20" x14ac:dyDescent="0.2">
      <c r="A44" s="41" t="str">
        <f t="shared" si="2"/>
        <v>14.25/13-14/26-28</v>
      </c>
      <c r="B44" s="18" t="s">
        <v>257</v>
      </c>
      <c r="C44" s="18" t="s">
        <v>258</v>
      </c>
      <c r="D44" s="18" t="s">
        <v>173</v>
      </c>
      <c r="E44" s="19">
        <v>14.25</v>
      </c>
      <c r="F44" s="19" t="s">
        <v>256</v>
      </c>
      <c r="G44" s="2"/>
      <c r="H44" s="44" t="s">
        <v>222</v>
      </c>
      <c r="I44" s="2"/>
      <c r="J44" s="43">
        <v>45903</v>
      </c>
      <c r="K44" s="2">
        <v>6</v>
      </c>
      <c r="L44" s="2">
        <v>321.2</v>
      </c>
      <c r="M44" s="2">
        <v>10.8</v>
      </c>
      <c r="N44" s="2">
        <f t="shared" si="3"/>
        <v>310.39999999999998</v>
      </c>
      <c r="O44" s="2"/>
      <c r="P44" s="2"/>
      <c r="Q44" s="2"/>
      <c r="R44" s="38"/>
      <c r="S44" s="2"/>
      <c r="T44" s="65"/>
    </row>
    <row r="45" spans="1:20" x14ac:dyDescent="0.2">
      <c r="A45" s="41" t="str">
        <f t="shared" si="2"/>
        <v>14.25/13-14/26-28</v>
      </c>
      <c r="B45" s="18" t="s">
        <v>257</v>
      </c>
      <c r="C45" s="18" t="s">
        <v>259</v>
      </c>
      <c r="D45" s="18" t="s">
        <v>173</v>
      </c>
      <c r="E45" s="19">
        <v>14.25</v>
      </c>
      <c r="F45" s="19" t="s">
        <v>256</v>
      </c>
      <c r="G45" s="2"/>
      <c r="H45" s="44" t="s">
        <v>222</v>
      </c>
      <c r="I45" s="2"/>
      <c r="J45" s="43">
        <v>45903</v>
      </c>
      <c r="K45" s="2">
        <v>10</v>
      </c>
      <c r="L45" s="2">
        <v>465.00000000000006</v>
      </c>
      <c r="M45" s="2">
        <v>18</v>
      </c>
      <c r="N45" s="2">
        <f t="shared" si="3"/>
        <v>447.00000000000006</v>
      </c>
      <c r="O45" s="2"/>
      <c r="P45" s="2"/>
      <c r="Q45" s="2"/>
      <c r="R45" s="38"/>
      <c r="S45" s="2"/>
      <c r="T45" s="65"/>
    </row>
    <row r="46" spans="1:20" x14ac:dyDescent="0.2">
      <c r="A46" s="41" t="str">
        <f t="shared" si="2"/>
        <v>30/</v>
      </c>
      <c r="B46" s="18" t="s">
        <v>260</v>
      </c>
      <c r="C46" s="18"/>
      <c r="D46" s="18" t="s">
        <v>173</v>
      </c>
      <c r="E46" s="19">
        <v>30</v>
      </c>
      <c r="F46" s="19"/>
      <c r="G46" s="2"/>
      <c r="H46" s="44" t="s">
        <v>222</v>
      </c>
      <c r="I46" s="2"/>
      <c r="J46" s="43">
        <v>45903</v>
      </c>
      <c r="K46" s="2">
        <v>1</v>
      </c>
      <c r="L46" s="2">
        <v>78.599999999999994</v>
      </c>
      <c r="M46" s="2">
        <v>3.8</v>
      </c>
      <c r="N46" s="2">
        <f t="shared" si="3"/>
        <v>74.8</v>
      </c>
      <c r="O46" s="2"/>
      <c r="P46" s="2"/>
      <c r="Q46" s="2"/>
      <c r="R46" s="38"/>
      <c r="S46" s="2"/>
      <c r="T46" s="65"/>
    </row>
    <row r="47" spans="1:20" x14ac:dyDescent="0.2">
      <c r="A47" s="41" t="str">
        <f t="shared" si="2"/>
        <v>19.5/14-15</v>
      </c>
      <c r="B47" s="18" t="s">
        <v>229</v>
      </c>
      <c r="C47" s="18" t="s">
        <v>230</v>
      </c>
      <c r="D47" s="18" t="s">
        <v>173</v>
      </c>
      <c r="E47" s="19">
        <v>19.5</v>
      </c>
      <c r="F47" s="19" t="s">
        <v>225</v>
      </c>
      <c r="G47" s="2"/>
      <c r="H47" s="44" t="s">
        <v>222</v>
      </c>
      <c r="I47" s="2"/>
      <c r="J47" s="43">
        <v>45903</v>
      </c>
      <c r="K47" s="2">
        <v>10</v>
      </c>
      <c r="L47" s="2">
        <v>538.39999999999986</v>
      </c>
      <c r="M47" s="2">
        <v>24</v>
      </c>
      <c r="N47" s="2">
        <f t="shared" si="3"/>
        <v>514.39999999999986</v>
      </c>
      <c r="O47" s="2"/>
      <c r="P47" s="2"/>
      <c r="Q47" s="2"/>
      <c r="R47" s="38"/>
      <c r="S47" s="2"/>
      <c r="T47" s="65"/>
    </row>
    <row r="48" spans="1:20" x14ac:dyDescent="0.2">
      <c r="A48" s="41" t="str">
        <f t="shared" si="2"/>
        <v>11/18</v>
      </c>
      <c r="B48" s="18" t="s">
        <v>269</v>
      </c>
      <c r="C48" s="18" t="s">
        <v>173</v>
      </c>
      <c r="D48" s="18" t="s">
        <v>173</v>
      </c>
      <c r="E48" s="19">
        <v>11</v>
      </c>
      <c r="F48" s="19" t="s">
        <v>22</v>
      </c>
      <c r="G48" s="2"/>
      <c r="H48" s="44" t="s">
        <v>222</v>
      </c>
      <c r="I48" s="2"/>
      <c r="J48" s="43">
        <v>45902</v>
      </c>
      <c r="K48" s="2">
        <v>1</v>
      </c>
      <c r="L48" s="2">
        <v>47.8</v>
      </c>
      <c r="M48" s="2">
        <v>1.5</v>
      </c>
      <c r="N48" s="2">
        <f t="shared" ref="N48:N70" si="4">+L48-M48</f>
        <v>46.3</v>
      </c>
      <c r="O48" s="2"/>
      <c r="P48" s="2"/>
      <c r="Q48" s="2"/>
      <c r="R48" s="38"/>
      <c r="S48" s="2"/>
      <c r="T48" s="65"/>
    </row>
    <row r="49" spans="1:20" x14ac:dyDescent="0.2">
      <c r="A49" s="41" t="str">
        <f t="shared" si="2"/>
        <v>7/7.5-8</v>
      </c>
      <c r="B49" s="18" t="s">
        <v>270</v>
      </c>
      <c r="C49" s="18" t="s">
        <v>173</v>
      </c>
      <c r="D49" s="18" t="s">
        <v>173</v>
      </c>
      <c r="E49" s="19">
        <v>7</v>
      </c>
      <c r="F49" s="19" t="s">
        <v>264</v>
      </c>
      <c r="G49" s="2"/>
      <c r="H49" s="44" t="s">
        <v>222</v>
      </c>
      <c r="I49" s="2"/>
      <c r="J49" s="43">
        <v>45902</v>
      </c>
      <c r="K49" s="2">
        <v>2</v>
      </c>
      <c r="L49" s="2">
        <v>101.80000000000001</v>
      </c>
      <c r="M49" s="2">
        <v>1.8</v>
      </c>
      <c r="N49" s="2">
        <f t="shared" si="4"/>
        <v>100.00000000000001</v>
      </c>
      <c r="O49" s="2"/>
      <c r="P49" s="2"/>
      <c r="Q49" s="2"/>
      <c r="R49" s="38"/>
      <c r="S49" s="2"/>
      <c r="T49" s="65"/>
    </row>
    <row r="50" spans="1:20" x14ac:dyDescent="0.2">
      <c r="A50" s="41" t="str">
        <f t="shared" si="2"/>
        <v>18/12-13</v>
      </c>
      <c r="B50" s="18" t="s">
        <v>271</v>
      </c>
      <c r="C50" s="18" t="s">
        <v>211</v>
      </c>
      <c r="D50" s="18" t="s">
        <v>173</v>
      </c>
      <c r="E50" s="19">
        <v>18</v>
      </c>
      <c r="F50" s="19" t="s">
        <v>201</v>
      </c>
      <c r="G50" s="2"/>
      <c r="H50" s="44" t="s">
        <v>222</v>
      </c>
      <c r="I50" s="2"/>
      <c r="J50" s="43">
        <v>45902</v>
      </c>
      <c r="K50" s="2">
        <v>2</v>
      </c>
      <c r="L50" s="2">
        <v>95.4</v>
      </c>
      <c r="M50" s="2">
        <v>4</v>
      </c>
      <c r="N50" s="2">
        <f t="shared" si="4"/>
        <v>91.4</v>
      </c>
      <c r="O50" s="2"/>
      <c r="P50" s="2"/>
      <c r="Q50" s="2"/>
      <c r="R50" s="38"/>
      <c r="S50" s="2"/>
      <c r="T50" s="65"/>
    </row>
    <row r="51" spans="1:20" x14ac:dyDescent="0.2">
      <c r="A51" s="41" t="str">
        <f t="shared" si="2"/>
        <v>6.5/7.5-8</v>
      </c>
      <c r="B51" s="18" t="s">
        <v>270</v>
      </c>
      <c r="C51" s="18" t="s">
        <v>173</v>
      </c>
      <c r="D51" s="18" t="s">
        <v>173</v>
      </c>
      <c r="E51" s="19">
        <v>6.5</v>
      </c>
      <c r="F51" s="19" t="s">
        <v>264</v>
      </c>
      <c r="G51" s="2"/>
      <c r="H51" s="44" t="s">
        <v>222</v>
      </c>
      <c r="I51" s="2"/>
      <c r="J51" s="43">
        <v>45902</v>
      </c>
      <c r="K51" s="2">
        <v>3</v>
      </c>
      <c r="L51" s="2">
        <v>124.20000000000002</v>
      </c>
      <c r="M51" s="2">
        <v>2.4000000000000004</v>
      </c>
      <c r="N51" s="2">
        <f t="shared" si="4"/>
        <v>121.80000000000001</v>
      </c>
      <c r="O51" s="2"/>
      <c r="P51" s="2"/>
      <c r="Q51" s="2"/>
      <c r="R51" s="38"/>
      <c r="S51" s="2"/>
      <c r="T51" s="65"/>
    </row>
    <row r="52" spans="1:20" x14ac:dyDescent="0.2">
      <c r="A52" s="41" t="str">
        <f t="shared" si="2"/>
        <v>15/12</v>
      </c>
      <c r="B52" s="18" t="s">
        <v>163</v>
      </c>
      <c r="C52" s="18" t="s">
        <v>173</v>
      </c>
      <c r="D52" s="18" t="s">
        <v>173</v>
      </c>
      <c r="E52" s="19">
        <v>15</v>
      </c>
      <c r="F52" s="19" t="s">
        <v>14</v>
      </c>
      <c r="G52" s="2"/>
      <c r="H52" s="44" t="s">
        <v>222</v>
      </c>
      <c r="I52" s="2"/>
      <c r="J52" s="43">
        <v>45902</v>
      </c>
      <c r="K52" s="2">
        <v>1</v>
      </c>
      <c r="L52" s="2">
        <v>73.400000000000006</v>
      </c>
      <c r="M52" s="2">
        <v>1.8</v>
      </c>
      <c r="N52" s="2">
        <f t="shared" si="4"/>
        <v>71.600000000000009</v>
      </c>
      <c r="O52" s="2"/>
      <c r="P52" s="2"/>
      <c r="Q52" s="2"/>
      <c r="R52" s="38"/>
      <c r="S52" s="2"/>
      <c r="T52" s="65"/>
    </row>
    <row r="53" spans="1:20" x14ac:dyDescent="0.2">
      <c r="A53" s="41" t="str">
        <f t="shared" si="2"/>
        <v>15/24-25</v>
      </c>
      <c r="B53" s="18" t="s">
        <v>272</v>
      </c>
      <c r="C53" s="18" t="s">
        <v>211</v>
      </c>
      <c r="D53" s="18" t="s">
        <v>173</v>
      </c>
      <c r="E53" s="19">
        <v>15</v>
      </c>
      <c r="F53" s="19" t="s">
        <v>265</v>
      </c>
      <c r="G53" s="2"/>
      <c r="H53" s="44" t="s">
        <v>222</v>
      </c>
      <c r="I53" s="2"/>
      <c r="J53" s="43">
        <v>45902</v>
      </c>
      <c r="K53" s="2">
        <v>2</v>
      </c>
      <c r="L53" s="2">
        <v>133.6</v>
      </c>
      <c r="M53" s="2">
        <v>3.4</v>
      </c>
      <c r="N53" s="2">
        <f t="shared" si="4"/>
        <v>130.19999999999999</v>
      </c>
      <c r="O53" s="2"/>
      <c r="P53" s="2"/>
      <c r="Q53" s="2"/>
      <c r="R53" s="38"/>
      <c r="S53" s="2"/>
      <c r="T53" s="65"/>
    </row>
    <row r="54" spans="1:20" x14ac:dyDescent="0.2">
      <c r="A54" s="41" t="str">
        <f t="shared" si="2"/>
        <v>18/12-13</v>
      </c>
      <c r="B54" s="18" t="s">
        <v>273</v>
      </c>
      <c r="C54" s="18" t="s">
        <v>211</v>
      </c>
      <c r="D54" s="18" t="s">
        <v>173</v>
      </c>
      <c r="E54" s="19">
        <v>18</v>
      </c>
      <c r="F54" s="19" t="s">
        <v>201</v>
      </c>
      <c r="G54" s="2"/>
      <c r="H54" s="44" t="s">
        <v>222</v>
      </c>
      <c r="I54" s="2"/>
      <c r="J54" s="43">
        <v>45902</v>
      </c>
      <c r="K54" s="2">
        <v>2</v>
      </c>
      <c r="L54" s="2">
        <v>106.1</v>
      </c>
      <c r="M54" s="2">
        <v>4.2</v>
      </c>
      <c r="N54" s="2">
        <f t="shared" si="4"/>
        <v>101.89999999999999</v>
      </c>
      <c r="O54" s="2"/>
      <c r="P54" s="2"/>
      <c r="Q54" s="2"/>
      <c r="R54" s="38"/>
      <c r="S54" s="2"/>
      <c r="T54" s="65"/>
    </row>
    <row r="55" spans="1:20" x14ac:dyDescent="0.2">
      <c r="A55" s="41" t="str">
        <f t="shared" si="2"/>
        <v>18/12-13</v>
      </c>
      <c r="B55" s="18" t="s">
        <v>271</v>
      </c>
      <c r="C55" s="18" t="s">
        <v>211</v>
      </c>
      <c r="D55" s="18" t="s">
        <v>173</v>
      </c>
      <c r="E55" s="19">
        <v>18</v>
      </c>
      <c r="F55" s="19" t="s">
        <v>201</v>
      </c>
      <c r="G55" s="2"/>
      <c r="H55" s="44" t="s">
        <v>222</v>
      </c>
      <c r="I55" s="2"/>
      <c r="J55" s="43">
        <v>45902</v>
      </c>
      <c r="K55" s="2">
        <v>4</v>
      </c>
      <c r="L55" s="2">
        <v>197</v>
      </c>
      <c r="M55" s="2">
        <v>9</v>
      </c>
      <c r="N55" s="2">
        <f t="shared" si="4"/>
        <v>188</v>
      </c>
      <c r="O55" s="2"/>
      <c r="P55" s="2"/>
      <c r="Q55" s="2"/>
      <c r="R55" s="38"/>
      <c r="S55" s="2"/>
      <c r="T55" s="65"/>
    </row>
    <row r="56" spans="1:20" x14ac:dyDescent="0.2">
      <c r="A56" s="41" t="str">
        <f t="shared" si="2"/>
        <v>18/12-13</v>
      </c>
      <c r="B56" s="18" t="s">
        <v>271</v>
      </c>
      <c r="C56" s="18" t="s">
        <v>211</v>
      </c>
      <c r="D56" s="18" t="s">
        <v>173</v>
      </c>
      <c r="E56" s="19">
        <v>18</v>
      </c>
      <c r="F56" s="19" t="s">
        <v>201</v>
      </c>
      <c r="G56" s="2"/>
      <c r="H56" s="44" t="s">
        <v>222</v>
      </c>
      <c r="I56" s="2"/>
      <c r="J56" s="43">
        <v>45902</v>
      </c>
      <c r="K56" s="2">
        <v>2</v>
      </c>
      <c r="L56" s="2">
        <v>88.8</v>
      </c>
      <c r="M56" s="2">
        <v>2.2000000000000002</v>
      </c>
      <c r="N56" s="2">
        <f t="shared" si="4"/>
        <v>86.6</v>
      </c>
      <c r="O56" s="2"/>
      <c r="P56" s="2"/>
      <c r="Q56" s="2"/>
      <c r="R56" s="38"/>
      <c r="S56" s="2"/>
      <c r="T56" s="65"/>
    </row>
    <row r="57" spans="1:20" x14ac:dyDescent="0.2">
      <c r="A57" s="41" t="str">
        <f t="shared" si="2"/>
        <v>16/12-13</v>
      </c>
      <c r="B57" s="18" t="s">
        <v>271</v>
      </c>
      <c r="C57" s="18" t="s">
        <v>211</v>
      </c>
      <c r="D57" s="18" t="s">
        <v>173</v>
      </c>
      <c r="E57" s="19">
        <v>16</v>
      </c>
      <c r="F57" s="19" t="s">
        <v>201</v>
      </c>
      <c r="G57" s="2"/>
      <c r="H57" s="44" t="s">
        <v>222</v>
      </c>
      <c r="I57" s="2"/>
      <c r="J57" s="43">
        <v>45902</v>
      </c>
      <c r="K57" s="2">
        <v>2</v>
      </c>
      <c r="L57" s="2">
        <v>88.800000000000011</v>
      </c>
      <c r="M57" s="2">
        <v>3.8</v>
      </c>
      <c r="N57" s="2">
        <f t="shared" si="4"/>
        <v>85.000000000000014</v>
      </c>
      <c r="O57" s="2"/>
      <c r="P57" s="2"/>
      <c r="Q57" s="2"/>
      <c r="R57" s="38"/>
      <c r="S57" s="2"/>
      <c r="T57" s="65"/>
    </row>
    <row r="58" spans="1:20" x14ac:dyDescent="0.2">
      <c r="A58" s="41" t="str">
        <f t="shared" si="2"/>
        <v>16/13.5-14</v>
      </c>
      <c r="B58" s="18" t="s">
        <v>231</v>
      </c>
      <c r="C58" s="18" t="s">
        <v>211</v>
      </c>
      <c r="D58" s="18" t="s">
        <v>173</v>
      </c>
      <c r="E58" s="19">
        <v>16</v>
      </c>
      <c r="F58" s="19" t="s">
        <v>255</v>
      </c>
      <c r="G58" s="2"/>
      <c r="H58" s="44" t="s">
        <v>222</v>
      </c>
      <c r="I58" s="2"/>
      <c r="J58" s="43">
        <v>45902</v>
      </c>
      <c r="K58" s="2">
        <v>1</v>
      </c>
      <c r="L58" s="2">
        <v>90</v>
      </c>
      <c r="M58" s="2">
        <v>4.2</v>
      </c>
      <c r="N58" s="2">
        <f t="shared" si="4"/>
        <v>85.8</v>
      </c>
      <c r="O58" s="2"/>
      <c r="P58" s="2"/>
      <c r="Q58" s="2"/>
      <c r="R58" s="38"/>
      <c r="S58" s="2"/>
      <c r="T58" s="65"/>
    </row>
    <row r="59" spans="1:20" x14ac:dyDescent="0.2">
      <c r="A59" s="41" t="str">
        <f t="shared" si="2"/>
        <v>16/8</v>
      </c>
      <c r="B59" s="18" t="s">
        <v>274</v>
      </c>
      <c r="C59" s="18" t="s">
        <v>173</v>
      </c>
      <c r="D59" s="18" t="s">
        <v>173</v>
      </c>
      <c r="E59" s="19">
        <v>16</v>
      </c>
      <c r="F59" s="19">
        <v>8</v>
      </c>
      <c r="G59" s="2"/>
      <c r="H59" s="44" t="s">
        <v>222</v>
      </c>
      <c r="I59" s="2"/>
      <c r="J59" s="43">
        <v>45902</v>
      </c>
      <c r="K59" s="2">
        <v>7</v>
      </c>
      <c r="L59" s="2">
        <v>338.49</v>
      </c>
      <c r="M59" s="2">
        <v>13.61</v>
      </c>
      <c r="N59" s="2">
        <f t="shared" si="4"/>
        <v>324.88</v>
      </c>
      <c r="O59" s="2"/>
      <c r="P59" s="2"/>
      <c r="Q59" s="2"/>
      <c r="R59" s="38"/>
      <c r="S59" s="2"/>
      <c r="T59" s="65"/>
    </row>
    <row r="60" spans="1:20" x14ac:dyDescent="0.2">
      <c r="A60" s="41" t="str">
        <f t="shared" si="2"/>
        <v>16/8</v>
      </c>
      <c r="B60" s="18" t="s">
        <v>163</v>
      </c>
      <c r="C60" s="18" t="s">
        <v>173</v>
      </c>
      <c r="D60" s="18" t="s">
        <v>173</v>
      </c>
      <c r="E60" s="19">
        <v>16</v>
      </c>
      <c r="F60" s="19" t="s">
        <v>18</v>
      </c>
      <c r="G60" s="2"/>
      <c r="H60" s="44" t="s">
        <v>222</v>
      </c>
      <c r="I60" s="2"/>
      <c r="J60" s="43">
        <v>45902</v>
      </c>
      <c r="K60" s="2">
        <v>5</v>
      </c>
      <c r="L60" s="2">
        <v>208.60000000000002</v>
      </c>
      <c r="M60" s="2">
        <v>9.9</v>
      </c>
      <c r="N60" s="2">
        <f t="shared" si="4"/>
        <v>198.70000000000002</v>
      </c>
      <c r="O60" s="2"/>
      <c r="P60" s="2"/>
      <c r="Q60" s="2"/>
      <c r="R60" s="38"/>
      <c r="S60" s="2"/>
      <c r="T60" s="65"/>
    </row>
    <row r="61" spans="1:20" x14ac:dyDescent="0.2">
      <c r="A61" s="41" t="str">
        <f t="shared" si="2"/>
        <v>17/7-7.5</v>
      </c>
      <c r="B61" s="18" t="s">
        <v>163</v>
      </c>
      <c r="C61" s="18" t="s">
        <v>173</v>
      </c>
      <c r="D61" s="18" t="s">
        <v>173</v>
      </c>
      <c r="E61" s="19">
        <v>17</v>
      </c>
      <c r="F61" s="19" t="s">
        <v>224</v>
      </c>
      <c r="G61" s="2"/>
      <c r="H61" s="44" t="s">
        <v>222</v>
      </c>
      <c r="I61" s="2"/>
      <c r="J61" s="43">
        <v>45902</v>
      </c>
      <c r="K61" s="2">
        <v>1</v>
      </c>
      <c r="L61" s="2">
        <v>46.8</v>
      </c>
      <c r="M61" s="2">
        <v>2</v>
      </c>
      <c r="N61" s="2">
        <f t="shared" si="4"/>
        <v>44.8</v>
      </c>
      <c r="O61" s="2"/>
      <c r="P61" s="2"/>
      <c r="Q61" s="2"/>
      <c r="R61" s="38"/>
      <c r="S61" s="2"/>
      <c r="T61" s="65"/>
    </row>
    <row r="62" spans="1:20" x14ac:dyDescent="0.2">
      <c r="A62" s="41" t="str">
        <f t="shared" si="2"/>
        <v>19/12</v>
      </c>
      <c r="B62" s="18" t="s">
        <v>163</v>
      </c>
      <c r="C62" s="18" t="s">
        <v>173</v>
      </c>
      <c r="D62" s="18" t="s">
        <v>173</v>
      </c>
      <c r="E62" s="19">
        <v>19</v>
      </c>
      <c r="F62" s="19" t="s">
        <v>14</v>
      </c>
      <c r="G62" s="2"/>
      <c r="H62" s="44" t="s">
        <v>222</v>
      </c>
      <c r="I62" s="2"/>
      <c r="J62" s="43">
        <v>45902</v>
      </c>
      <c r="K62" s="2">
        <v>2</v>
      </c>
      <c r="L62" s="2">
        <v>107.80000000000001</v>
      </c>
      <c r="M62" s="2">
        <v>4.4000000000000004</v>
      </c>
      <c r="N62" s="2">
        <f t="shared" si="4"/>
        <v>103.4</v>
      </c>
      <c r="O62" s="2"/>
      <c r="P62" s="2"/>
      <c r="Q62" s="2"/>
      <c r="R62" s="38"/>
      <c r="S62" s="2"/>
      <c r="T62" s="65"/>
    </row>
    <row r="63" spans="1:20" x14ac:dyDescent="0.2">
      <c r="A63" s="41" t="str">
        <f t="shared" si="2"/>
        <v>17/8</v>
      </c>
      <c r="B63" s="18" t="s">
        <v>163</v>
      </c>
      <c r="C63" s="18" t="s">
        <v>173</v>
      </c>
      <c r="D63" s="18" t="s">
        <v>173</v>
      </c>
      <c r="E63" s="19">
        <v>17</v>
      </c>
      <c r="F63" s="19" t="s">
        <v>18</v>
      </c>
      <c r="G63" s="2"/>
      <c r="H63" s="44" t="s">
        <v>222</v>
      </c>
      <c r="I63" s="2"/>
      <c r="J63" s="43">
        <v>45902</v>
      </c>
      <c r="K63" s="2">
        <v>2</v>
      </c>
      <c r="L63" s="2">
        <v>105.2</v>
      </c>
      <c r="M63" s="2">
        <v>4.4000000000000004</v>
      </c>
      <c r="N63" s="2">
        <f t="shared" si="4"/>
        <v>100.8</v>
      </c>
      <c r="O63" s="2"/>
      <c r="P63" s="2"/>
      <c r="Q63" s="2"/>
      <c r="R63" s="38"/>
      <c r="S63" s="2"/>
      <c r="T63" s="65"/>
    </row>
    <row r="64" spans="1:20" x14ac:dyDescent="0.2">
      <c r="A64" s="41" t="str">
        <f t="shared" si="2"/>
        <v>27.5/4/8</v>
      </c>
      <c r="B64" s="18" t="s">
        <v>163</v>
      </c>
      <c r="C64" s="18" t="s">
        <v>173</v>
      </c>
      <c r="D64" s="18" t="s">
        <v>173</v>
      </c>
      <c r="E64" s="19">
        <v>27.5</v>
      </c>
      <c r="F64" s="19" t="s">
        <v>266</v>
      </c>
      <c r="G64" s="2"/>
      <c r="H64" s="44" t="s">
        <v>222</v>
      </c>
      <c r="I64" s="2"/>
      <c r="J64" s="43">
        <v>45902</v>
      </c>
      <c r="K64" s="2">
        <v>2</v>
      </c>
      <c r="L64" s="2">
        <v>141.19999999999999</v>
      </c>
      <c r="M64" s="2">
        <v>6.8</v>
      </c>
      <c r="N64" s="2">
        <f t="shared" si="4"/>
        <v>134.39999999999998</v>
      </c>
      <c r="O64" s="2"/>
      <c r="P64" s="2"/>
      <c r="Q64" s="2"/>
      <c r="R64" s="38"/>
      <c r="S64" s="2"/>
      <c r="T64" s="65"/>
    </row>
    <row r="65" spans="1:20" x14ac:dyDescent="0.2">
      <c r="A65" s="41" t="str">
        <f t="shared" si="2"/>
        <v>23-23.5/70 G+-1</v>
      </c>
      <c r="B65" s="18" t="s">
        <v>217</v>
      </c>
      <c r="C65" s="18" t="s">
        <v>173</v>
      </c>
      <c r="D65" s="18" t="s">
        <v>173</v>
      </c>
      <c r="E65" s="19" t="s">
        <v>202</v>
      </c>
      <c r="F65" s="19" t="s">
        <v>267</v>
      </c>
      <c r="G65" s="2"/>
      <c r="H65" s="44" t="s">
        <v>222</v>
      </c>
      <c r="I65" s="2"/>
      <c r="J65" s="43">
        <v>45902</v>
      </c>
      <c r="K65" s="2">
        <v>3</v>
      </c>
      <c r="L65" s="2">
        <v>322</v>
      </c>
      <c r="M65" s="2">
        <v>6.8999999999999995</v>
      </c>
      <c r="N65" s="2">
        <f t="shared" si="4"/>
        <v>315.10000000000002</v>
      </c>
      <c r="O65" s="2"/>
      <c r="P65" s="2"/>
      <c r="Q65" s="2"/>
      <c r="R65" s="38"/>
      <c r="S65" s="2"/>
      <c r="T65" s="65"/>
    </row>
    <row r="66" spans="1:20" x14ac:dyDescent="0.2">
      <c r="A66" s="41" t="str">
        <f t="shared" si="2"/>
        <v>27/4/8</v>
      </c>
      <c r="B66" s="18" t="s">
        <v>163</v>
      </c>
      <c r="C66" s="18" t="s">
        <v>173</v>
      </c>
      <c r="D66" s="18" t="s">
        <v>173</v>
      </c>
      <c r="E66" s="19">
        <v>27</v>
      </c>
      <c r="F66" s="19" t="s">
        <v>266</v>
      </c>
      <c r="G66" s="2"/>
      <c r="H66" s="44" t="s">
        <v>222</v>
      </c>
      <c r="I66" s="2"/>
      <c r="J66" s="43">
        <v>45902</v>
      </c>
      <c r="K66" s="2">
        <v>2</v>
      </c>
      <c r="L66" s="2">
        <v>154</v>
      </c>
      <c r="M66" s="2">
        <v>6.8</v>
      </c>
      <c r="N66" s="2">
        <f t="shared" si="4"/>
        <v>147.19999999999999</v>
      </c>
      <c r="O66" s="2"/>
      <c r="P66" s="2"/>
      <c r="Q66" s="2"/>
      <c r="R66" s="38"/>
      <c r="S66" s="2"/>
      <c r="T66" s="65"/>
    </row>
    <row r="67" spans="1:20" x14ac:dyDescent="0.2">
      <c r="A67" s="41" t="str">
        <f t="shared" si="2"/>
        <v>36/10-10.5</v>
      </c>
      <c r="B67" s="18" t="s">
        <v>275</v>
      </c>
      <c r="C67" s="18" t="s">
        <v>173</v>
      </c>
      <c r="D67" s="18" t="s">
        <v>173</v>
      </c>
      <c r="E67" s="19">
        <v>36</v>
      </c>
      <c r="F67" s="19" t="s">
        <v>268</v>
      </c>
      <c r="G67" s="2"/>
      <c r="H67" s="44" t="s">
        <v>222</v>
      </c>
      <c r="I67" s="2"/>
      <c r="J67" s="43">
        <v>45902</v>
      </c>
      <c r="K67" s="2">
        <v>1</v>
      </c>
      <c r="L67" s="2">
        <v>45.8</v>
      </c>
      <c r="M67" s="2">
        <v>4.5999999999999996</v>
      </c>
      <c r="N67" s="2">
        <f t="shared" si="4"/>
        <v>41.199999999999996</v>
      </c>
      <c r="O67" s="2"/>
      <c r="P67" s="2"/>
      <c r="Q67" s="2"/>
      <c r="R67" s="38"/>
      <c r="S67" s="2"/>
      <c r="T67" s="65"/>
    </row>
    <row r="68" spans="1:20" x14ac:dyDescent="0.2">
      <c r="A68" s="41" t="str">
        <f t="shared" si="2"/>
        <v>36/10-10.5</v>
      </c>
      <c r="B68" s="18" t="s">
        <v>275</v>
      </c>
      <c r="C68" s="18" t="s">
        <v>173</v>
      </c>
      <c r="D68" s="18" t="s">
        <v>173</v>
      </c>
      <c r="E68" s="19">
        <v>36</v>
      </c>
      <c r="F68" s="19" t="s">
        <v>268</v>
      </c>
      <c r="G68" s="2"/>
      <c r="H68" s="44" t="s">
        <v>222</v>
      </c>
      <c r="I68" s="2"/>
      <c r="J68" s="43">
        <v>45902</v>
      </c>
      <c r="K68" s="2">
        <v>2</v>
      </c>
      <c r="L68" s="2">
        <v>118.4</v>
      </c>
      <c r="M68" s="2">
        <v>9.1999999999999993</v>
      </c>
      <c r="N68" s="2">
        <f t="shared" si="4"/>
        <v>109.2</v>
      </c>
      <c r="O68" s="2"/>
      <c r="P68" s="2"/>
      <c r="Q68" s="2"/>
      <c r="R68" s="38"/>
      <c r="S68" s="2"/>
      <c r="T68" s="65"/>
    </row>
    <row r="69" spans="1:20" x14ac:dyDescent="0.2">
      <c r="A69" s="41" t="str">
        <f t="shared" si="2"/>
        <v>36/4/8</v>
      </c>
      <c r="B69" s="18" t="s">
        <v>163</v>
      </c>
      <c r="C69" s="18" t="s">
        <v>173</v>
      </c>
      <c r="D69" s="18" t="s">
        <v>173</v>
      </c>
      <c r="E69" s="19">
        <v>36</v>
      </c>
      <c r="F69" s="19" t="s">
        <v>266</v>
      </c>
      <c r="G69" s="2"/>
      <c r="H69" s="44" t="s">
        <v>222</v>
      </c>
      <c r="I69" s="2"/>
      <c r="J69" s="43">
        <v>45902</v>
      </c>
      <c r="K69" s="2">
        <v>4</v>
      </c>
      <c r="L69" s="2">
        <v>224</v>
      </c>
      <c r="M69" s="2">
        <v>18.399999999999999</v>
      </c>
      <c r="N69" s="2">
        <f t="shared" si="4"/>
        <v>205.6</v>
      </c>
      <c r="O69" s="2"/>
      <c r="P69" s="2"/>
      <c r="Q69" s="2"/>
      <c r="R69" s="38"/>
      <c r="S69" s="2"/>
      <c r="T69" s="65"/>
    </row>
    <row r="70" spans="1:20" x14ac:dyDescent="0.2">
      <c r="A70" s="41" t="str">
        <f t="shared" si="2"/>
        <v>37/4/8</v>
      </c>
      <c r="B70" s="18" t="s">
        <v>163</v>
      </c>
      <c r="C70" s="18" t="s">
        <v>173</v>
      </c>
      <c r="D70" s="18" t="s">
        <v>173</v>
      </c>
      <c r="E70" s="19">
        <v>37</v>
      </c>
      <c r="F70" s="19" t="s">
        <v>266</v>
      </c>
      <c r="G70" s="2"/>
      <c r="H70" s="44" t="s">
        <v>222</v>
      </c>
      <c r="I70" s="2"/>
      <c r="J70" s="43">
        <v>45902</v>
      </c>
      <c r="K70" s="2">
        <v>6</v>
      </c>
      <c r="L70" s="2">
        <v>320.59999999999997</v>
      </c>
      <c r="M70" s="2">
        <v>20.399999999999999</v>
      </c>
      <c r="N70" s="2">
        <f t="shared" si="4"/>
        <v>300.2</v>
      </c>
      <c r="O70" s="2"/>
      <c r="P70" s="2"/>
      <c r="Q70" s="2"/>
      <c r="R70" s="38"/>
      <c r="S70" s="2"/>
      <c r="T70" s="65"/>
    </row>
    <row r="71" spans="1:20" x14ac:dyDescent="0.2">
      <c r="A71" s="41" t="str">
        <f t="shared" si="0"/>
        <v>19/12</v>
      </c>
      <c r="B71" s="18" t="s">
        <v>163</v>
      </c>
      <c r="C71" s="18" t="s">
        <v>173</v>
      </c>
      <c r="D71" s="18" t="s">
        <v>173</v>
      </c>
      <c r="E71" s="19">
        <v>19</v>
      </c>
      <c r="F71" s="19" t="s">
        <v>14</v>
      </c>
      <c r="G71" s="2"/>
      <c r="H71" s="44"/>
      <c r="I71" s="2"/>
      <c r="J71" s="43"/>
      <c r="K71" s="2"/>
      <c r="L71" s="2"/>
      <c r="M71" s="2"/>
      <c r="N71" s="2"/>
      <c r="O71" s="2" t="s">
        <v>232</v>
      </c>
      <c r="P71" s="2"/>
      <c r="Q71" s="2">
        <v>720</v>
      </c>
      <c r="R71" s="38">
        <v>45904</v>
      </c>
      <c r="S71" s="2">
        <v>2</v>
      </c>
      <c r="T71" s="65">
        <v>75.199999999999989</v>
      </c>
    </row>
    <row r="72" spans="1:20" x14ac:dyDescent="0.2">
      <c r="A72" s="41" t="str">
        <f t="shared" si="0"/>
        <v>17/7-7.5</v>
      </c>
      <c r="B72" s="18" t="s">
        <v>163</v>
      </c>
      <c r="C72" s="18" t="s">
        <v>173</v>
      </c>
      <c r="D72" s="18" t="s">
        <v>173</v>
      </c>
      <c r="E72" s="19">
        <v>17</v>
      </c>
      <c r="F72" s="19" t="s">
        <v>224</v>
      </c>
      <c r="G72" s="2"/>
      <c r="H72" s="44"/>
      <c r="I72" s="2"/>
      <c r="J72" s="43"/>
      <c r="K72" s="2"/>
      <c r="L72" s="2"/>
      <c r="M72" s="2"/>
      <c r="N72" s="2"/>
      <c r="O72" s="2" t="s">
        <v>232</v>
      </c>
      <c r="P72" s="2"/>
      <c r="Q72" s="2">
        <v>720</v>
      </c>
      <c r="R72" s="38">
        <v>45904</v>
      </c>
      <c r="S72" s="2">
        <v>10</v>
      </c>
      <c r="T72" s="65">
        <v>587.40000000000009</v>
      </c>
    </row>
    <row r="73" spans="1:20" x14ac:dyDescent="0.2">
      <c r="A73" s="41" t="str">
        <f t="shared" si="0"/>
        <v>15/12</v>
      </c>
      <c r="B73" s="18" t="s">
        <v>163</v>
      </c>
      <c r="C73" s="18" t="s">
        <v>173</v>
      </c>
      <c r="D73" s="18" t="s">
        <v>173</v>
      </c>
      <c r="E73" s="19">
        <v>15</v>
      </c>
      <c r="F73" s="19" t="s">
        <v>14</v>
      </c>
      <c r="G73" s="2"/>
      <c r="H73" s="44"/>
      <c r="I73" s="2"/>
      <c r="J73" s="43"/>
      <c r="K73" s="2"/>
      <c r="L73" s="2"/>
      <c r="M73" s="2"/>
      <c r="N73" s="2"/>
      <c r="O73" s="2" t="s">
        <v>232</v>
      </c>
      <c r="P73" s="2"/>
      <c r="Q73" s="2">
        <v>720</v>
      </c>
      <c r="R73" s="38">
        <v>45904</v>
      </c>
      <c r="S73" s="2">
        <v>6</v>
      </c>
      <c r="T73" s="65">
        <v>322</v>
      </c>
    </row>
    <row r="74" spans="1:20" x14ac:dyDescent="0.2">
      <c r="A74" s="41" t="str">
        <f t="shared" si="0"/>
        <v>19.5/14-15</v>
      </c>
      <c r="B74" s="18" t="s">
        <v>229</v>
      </c>
      <c r="C74" s="18" t="s">
        <v>230</v>
      </c>
      <c r="D74" s="18" t="s">
        <v>173</v>
      </c>
      <c r="E74" s="19">
        <v>19.5</v>
      </c>
      <c r="F74" s="19" t="s">
        <v>225</v>
      </c>
      <c r="G74" s="2"/>
      <c r="H74" s="44"/>
      <c r="I74" s="2"/>
      <c r="J74" s="43"/>
      <c r="K74" s="2"/>
      <c r="L74" s="2"/>
      <c r="M74" s="2"/>
      <c r="N74" s="2"/>
      <c r="O74" s="2" t="s">
        <v>232</v>
      </c>
      <c r="P74" s="2"/>
      <c r="Q74" s="2">
        <v>720</v>
      </c>
      <c r="R74" s="38">
        <v>45904</v>
      </c>
      <c r="S74" s="2">
        <v>10</v>
      </c>
      <c r="T74" s="65">
        <v>515.4</v>
      </c>
    </row>
    <row r="75" spans="1:20" x14ac:dyDescent="0.2">
      <c r="A75" s="41" t="str">
        <f t="shared" si="0"/>
        <v>19/12</v>
      </c>
      <c r="B75" s="18" t="s">
        <v>163</v>
      </c>
      <c r="C75" s="18" t="s">
        <v>173</v>
      </c>
      <c r="D75" s="18" t="s">
        <v>173</v>
      </c>
      <c r="E75" s="19">
        <v>19</v>
      </c>
      <c r="F75" s="19" t="s">
        <v>14</v>
      </c>
      <c r="G75" s="2"/>
      <c r="H75" s="44"/>
      <c r="I75" s="2"/>
      <c r="J75" s="43"/>
      <c r="K75" s="2"/>
      <c r="L75" s="2"/>
      <c r="M75" s="2"/>
      <c r="N75" s="2"/>
      <c r="O75" s="2" t="s">
        <v>232</v>
      </c>
      <c r="P75" s="2"/>
      <c r="Q75" s="2">
        <v>721</v>
      </c>
      <c r="R75" s="38">
        <v>45904</v>
      </c>
      <c r="S75" s="2">
        <v>2</v>
      </c>
      <c r="T75" s="65">
        <v>80.8</v>
      </c>
    </row>
    <row r="76" spans="1:20" x14ac:dyDescent="0.2">
      <c r="A76" s="41" t="str">
        <f t="shared" si="0"/>
        <v>19/7.7.5</v>
      </c>
      <c r="B76" s="18" t="s">
        <v>163</v>
      </c>
      <c r="C76" s="18" t="s">
        <v>173</v>
      </c>
      <c r="D76" s="18" t="s">
        <v>173</v>
      </c>
      <c r="E76" s="19">
        <v>19</v>
      </c>
      <c r="F76" s="19" t="s">
        <v>226</v>
      </c>
      <c r="G76" s="2"/>
      <c r="H76" s="44"/>
      <c r="I76" s="2"/>
      <c r="J76" s="43"/>
      <c r="K76" s="2"/>
      <c r="L76" s="2"/>
      <c r="M76" s="2"/>
      <c r="N76" s="2"/>
      <c r="O76" s="2" t="s">
        <v>232</v>
      </c>
      <c r="P76" s="2"/>
      <c r="Q76" s="2">
        <v>721</v>
      </c>
      <c r="R76" s="38">
        <v>45904</v>
      </c>
      <c r="S76" s="2">
        <v>4</v>
      </c>
      <c r="T76" s="65">
        <v>183.4</v>
      </c>
    </row>
    <row r="77" spans="1:20" x14ac:dyDescent="0.2">
      <c r="A77" s="41" t="str">
        <f t="shared" si="0"/>
        <v>15/12</v>
      </c>
      <c r="B77" s="18" t="s">
        <v>163</v>
      </c>
      <c r="C77" s="18" t="s">
        <v>173</v>
      </c>
      <c r="D77" s="18" t="s">
        <v>173</v>
      </c>
      <c r="E77" s="19">
        <v>15</v>
      </c>
      <c r="F77" s="19" t="s">
        <v>14</v>
      </c>
      <c r="G77" s="2"/>
      <c r="H77" s="44"/>
      <c r="I77" s="2"/>
      <c r="J77" s="43"/>
      <c r="K77" s="2"/>
      <c r="L77" s="2"/>
      <c r="M77" s="2"/>
      <c r="N77" s="2"/>
      <c r="O77" s="2" t="s">
        <v>232</v>
      </c>
      <c r="P77" s="2"/>
      <c r="Q77" s="2">
        <v>721</v>
      </c>
      <c r="R77" s="38">
        <v>45904</v>
      </c>
      <c r="S77" s="2">
        <v>4</v>
      </c>
      <c r="T77" s="65">
        <v>290</v>
      </c>
    </row>
    <row r="78" spans="1:20" x14ac:dyDescent="0.2">
      <c r="A78" s="41" t="str">
        <f t="shared" si="0"/>
        <v>18.5/15-16</v>
      </c>
      <c r="B78" s="18" t="s">
        <v>231</v>
      </c>
      <c r="C78" s="18" t="s">
        <v>211</v>
      </c>
      <c r="D78" s="18" t="s">
        <v>173</v>
      </c>
      <c r="E78" s="19">
        <v>18.5</v>
      </c>
      <c r="F78" s="19" t="s">
        <v>200</v>
      </c>
      <c r="G78" s="2"/>
      <c r="H78" s="44"/>
      <c r="I78" s="2"/>
      <c r="J78" s="43"/>
      <c r="K78" s="2"/>
      <c r="L78" s="2"/>
      <c r="M78" s="2"/>
      <c r="N78" s="2"/>
      <c r="O78" s="2" t="s">
        <v>232</v>
      </c>
      <c r="P78" s="2"/>
      <c r="Q78" s="2">
        <v>721</v>
      </c>
      <c r="R78" s="38">
        <v>45904</v>
      </c>
      <c r="S78" s="2">
        <v>3</v>
      </c>
      <c r="T78" s="65">
        <v>202.8</v>
      </c>
    </row>
    <row r="79" spans="1:20" x14ac:dyDescent="0.2">
      <c r="A79" s="41" t="str">
        <f t="shared" si="0"/>
        <v>14.5/12.5-13</v>
      </c>
      <c r="B79" s="18" t="s">
        <v>231</v>
      </c>
      <c r="C79" s="18" t="s">
        <v>211</v>
      </c>
      <c r="D79" s="18" t="s">
        <v>173</v>
      </c>
      <c r="E79" s="19">
        <v>14.5</v>
      </c>
      <c r="F79" s="19" t="s">
        <v>227</v>
      </c>
      <c r="G79" s="2"/>
      <c r="H79" s="44"/>
      <c r="I79" s="2"/>
      <c r="J79" s="43"/>
      <c r="K79" s="2"/>
      <c r="L79" s="2"/>
      <c r="M79" s="2"/>
      <c r="N79" s="2"/>
      <c r="O79" s="2" t="s">
        <v>232</v>
      </c>
      <c r="P79" s="2"/>
      <c r="Q79" s="2">
        <v>722</v>
      </c>
      <c r="R79" s="38">
        <v>45904</v>
      </c>
      <c r="S79" s="2">
        <v>4</v>
      </c>
      <c r="T79" s="65">
        <v>224.60000000000002</v>
      </c>
    </row>
    <row r="80" spans="1:20" x14ac:dyDescent="0.2">
      <c r="A80" s="41" t="str">
        <f t="shared" si="0"/>
        <v>13/12.5-13</v>
      </c>
      <c r="B80" s="18" t="s">
        <v>231</v>
      </c>
      <c r="C80" s="18" t="s">
        <v>211</v>
      </c>
      <c r="D80" s="18" t="s">
        <v>173</v>
      </c>
      <c r="E80" s="19">
        <v>13</v>
      </c>
      <c r="F80" s="19" t="s">
        <v>227</v>
      </c>
      <c r="G80" s="2"/>
      <c r="H80" s="44"/>
      <c r="I80" s="2"/>
      <c r="J80" s="43"/>
      <c r="K80" s="2"/>
      <c r="L80" s="2"/>
      <c r="M80" s="2"/>
      <c r="N80" s="2"/>
      <c r="O80" s="2" t="s">
        <v>186</v>
      </c>
      <c r="P80" s="2" t="s">
        <v>701</v>
      </c>
      <c r="Q80" s="2">
        <v>722</v>
      </c>
      <c r="R80" s="38">
        <v>45904</v>
      </c>
      <c r="S80" s="11">
        <v>2</v>
      </c>
      <c r="T80" s="70">
        <v>107.8</v>
      </c>
    </row>
    <row r="81" spans="1:20" x14ac:dyDescent="0.2">
      <c r="A81" s="41" t="str">
        <f t="shared" si="0"/>
        <v>14/13-14</v>
      </c>
      <c r="B81" s="18" t="s">
        <v>231</v>
      </c>
      <c r="C81" s="18" t="s">
        <v>211</v>
      </c>
      <c r="D81" s="18" t="s">
        <v>173</v>
      </c>
      <c r="E81" s="19">
        <v>14</v>
      </c>
      <c r="F81" s="19" t="s">
        <v>228</v>
      </c>
      <c r="G81" s="2"/>
      <c r="H81" s="44"/>
      <c r="I81" s="2"/>
      <c r="J81" s="43"/>
      <c r="K81" s="2"/>
      <c r="L81" s="2"/>
      <c r="M81" s="2"/>
      <c r="N81" s="2"/>
      <c r="O81" s="2" t="s">
        <v>232</v>
      </c>
      <c r="P81" s="2"/>
      <c r="Q81" s="2">
        <v>722</v>
      </c>
      <c r="R81" s="38">
        <v>45904</v>
      </c>
      <c r="S81" s="2">
        <v>2</v>
      </c>
      <c r="T81" s="65">
        <v>104</v>
      </c>
    </row>
    <row r="82" spans="1:20" x14ac:dyDescent="0.2">
      <c r="A82" s="41" t="str">
        <f t="shared" si="0"/>
        <v>18.5/15-16</v>
      </c>
      <c r="B82" s="18" t="s">
        <v>231</v>
      </c>
      <c r="C82" s="18" t="s">
        <v>211</v>
      </c>
      <c r="D82" s="18" t="s">
        <v>173</v>
      </c>
      <c r="E82" s="19">
        <v>18.5</v>
      </c>
      <c r="F82" s="19" t="s">
        <v>200</v>
      </c>
      <c r="G82" s="2"/>
      <c r="H82" s="44"/>
      <c r="I82" s="2"/>
      <c r="J82" s="43"/>
      <c r="K82" s="2"/>
      <c r="L82" s="2"/>
      <c r="M82" s="2"/>
      <c r="N82" s="2"/>
      <c r="O82" s="2" t="s">
        <v>232</v>
      </c>
      <c r="P82" s="2"/>
      <c r="Q82" s="2">
        <v>722</v>
      </c>
      <c r="R82" s="38">
        <v>45904</v>
      </c>
      <c r="S82" s="2">
        <v>2</v>
      </c>
      <c r="T82" s="65">
        <v>125.4</v>
      </c>
    </row>
    <row r="83" spans="1:20" x14ac:dyDescent="0.2">
      <c r="A83" s="41" t="str">
        <f t="shared" si="0"/>
        <v>5/9</v>
      </c>
      <c r="B83" s="18" t="s">
        <v>215</v>
      </c>
      <c r="C83" s="18" t="s">
        <v>212</v>
      </c>
      <c r="D83" s="18" t="s">
        <v>173</v>
      </c>
      <c r="E83" s="19">
        <v>5</v>
      </c>
      <c r="F83" s="19">
        <v>9</v>
      </c>
      <c r="G83" s="2"/>
      <c r="H83" s="44"/>
      <c r="I83" s="2"/>
      <c r="J83" s="43"/>
      <c r="K83" s="2"/>
      <c r="L83" s="2"/>
      <c r="M83" s="2"/>
      <c r="N83" s="2"/>
      <c r="O83" s="2" t="s">
        <v>233</v>
      </c>
      <c r="P83" s="2"/>
      <c r="Q83" s="2">
        <v>2291</v>
      </c>
      <c r="R83" s="38">
        <v>45905</v>
      </c>
      <c r="S83" s="2">
        <v>9</v>
      </c>
      <c r="T83" s="65">
        <f>299.4-44.1</f>
        <v>255.29999999999998</v>
      </c>
    </row>
    <row r="84" spans="1:20" x14ac:dyDescent="0.2">
      <c r="A84" s="41" t="str">
        <f t="shared" ref="A84:A129" si="5">CONCATENATE(E84,"/",F84)</f>
        <v>18/7</v>
      </c>
      <c r="B84" s="18" t="s">
        <v>163</v>
      </c>
      <c r="C84" s="18" t="s">
        <v>173</v>
      </c>
      <c r="D84" s="18" t="s">
        <v>173</v>
      </c>
      <c r="E84" s="19">
        <v>18</v>
      </c>
      <c r="F84" s="19" t="s">
        <v>19</v>
      </c>
      <c r="G84" s="2"/>
      <c r="H84" s="44"/>
      <c r="I84" s="2"/>
      <c r="J84" s="43"/>
      <c r="K84" s="2"/>
      <c r="L84" s="2"/>
      <c r="M84" s="2"/>
      <c r="N84" s="2"/>
      <c r="O84" s="2" t="s">
        <v>186</v>
      </c>
      <c r="P84" s="2" t="s">
        <v>500</v>
      </c>
      <c r="Q84" s="2">
        <v>723</v>
      </c>
      <c r="R84" s="43">
        <v>45905</v>
      </c>
      <c r="S84" s="2">
        <v>6</v>
      </c>
      <c r="T84" s="65">
        <v>349.6</v>
      </c>
    </row>
    <row r="85" spans="1:20" x14ac:dyDescent="0.2">
      <c r="A85" s="41" t="str">
        <f t="shared" si="5"/>
        <v>7/20</v>
      </c>
      <c r="B85" s="18" t="s">
        <v>214</v>
      </c>
      <c r="C85" s="18" t="s">
        <v>211</v>
      </c>
      <c r="D85" s="18" t="s">
        <v>173</v>
      </c>
      <c r="E85" s="19">
        <v>7</v>
      </c>
      <c r="F85" s="19">
        <v>20</v>
      </c>
      <c r="G85" s="2"/>
      <c r="H85" s="44"/>
      <c r="I85" s="2"/>
      <c r="J85" s="43"/>
      <c r="K85" s="2"/>
      <c r="L85" s="2"/>
      <c r="M85" s="2"/>
      <c r="N85" s="2"/>
      <c r="O85" s="2" t="s">
        <v>186</v>
      </c>
      <c r="P85" s="2" t="s">
        <v>501</v>
      </c>
      <c r="Q85" s="2">
        <v>723</v>
      </c>
      <c r="R85" s="43">
        <v>45905</v>
      </c>
      <c r="S85" s="2">
        <v>2</v>
      </c>
      <c r="T85" s="65">
        <v>101</v>
      </c>
    </row>
    <row r="86" spans="1:20" x14ac:dyDescent="0.2">
      <c r="A86" s="41" t="str">
        <f t="shared" si="5"/>
        <v>7/20</v>
      </c>
      <c r="B86" s="18" t="s">
        <v>214</v>
      </c>
      <c r="C86" s="18" t="s">
        <v>211</v>
      </c>
      <c r="D86" s="18" t="s">
        <v>173</v>
      </c>
      <c r="E86" s="19">
        <v>7</v>
      </c>
      <c r="F86" s="19">
        <v>20</v>
      </c>
      <c r="G86" s="2"/>
      <c r="H86" s="44"/>
      <c r="I86" s="2"/>
      <c r="J86" s="43"/>
      <c r="K86" s="2"/>
      <c r="L86" s="2"/>
      <c r="M86" s="2"/>
      <c r="N86" s="2"/>
      <c r="O86" s="2" t="s">
        <v>186</v>
      </c>
      <c r="P86" s="2" t="s">
        <v>502</v>
      </c>
      <c r="Q86" s="2">
        <v>723</v>
      </c>
      <c r="R86" s="43">
        <v>45905</v>
      </c>
      <c r="S86" s="2">
        <v>3</v>
      </c>
      <c r="T86" s="65">
        <v>108.4</v>
      </c>
    </row>
    <row r="87" spans="1:20" x14ac:dyDescent="0.2">
      <c r="A87" s="41" t="str">
        <f t="shared" si="5"/>
        <v>8/15-16</v>
      </c>
      <c r="B87" s="18" t="s">
        <v>213</v>
      </c>
      <c r="C87" s="18" t="s">
        <v>211</v>
      </c>
      <c r="D87" s="18" t="s">
        <v>173</v>
      </c>
      <c r="E87" s="19">
        <v>8</v>
      </c>
      <c r="F87" s="19" t="s">
        <v>200</v>
      </c>
      <c r="G87" s="2"/>
      <c r="H87" s="44"/>
      <c r="I87" s="2"/>
      <c r="J87" s="43"/>
      <c r="K87" s="2"/>
      <c r="L87" s="2"/>
      <c r="M87" s="2"/>
      <c r="N87" s="2"/>
      <c r="O87" s="2" t="s">
        <v>186</v>
      </c>
      <c r="P87" s="2" t="s">
        <v>503</v>
      </c>
      <c r="Q87" s="2">
        <v>723</v>
      </c>
      <c r="R87" s="43">
        <v>45905</v>
      </c>
      <c r="S87" s="2">
        <v>3</v>
      </c>
      <c r="T87" s="65">
        <v>104.79999999999998</v>
      </c>
    </row>
    <row r="88" spans="1:20" x14ac:dyDescent="0.2">
      <c r="A88" s="41" t="str">
        <f t="shared" si="5"/>
        <v>20 شیٹ/7-7.5/14-15</v>
      </c>
      <c r="B88" s="18" t="s">
        <v>219</v>
      </c>
      <c r="C88" s="18" t="s">
        <v>211</v>
      </c>
      <c r="D88" s="18" t="s">
        <v>173</v>
      </c>
      <c r="E88" s="19" t="s">
        <v>206</v>
      </c>
      <c r="F88" s="19" t="s">
        <v>205</v>
      </c>
      <c r="G88" s="2"/>
      <c r="H88" s="44"/>
      <c r="I88" s="2"/>
      <c r="J88" s="43"/>
      <c r="K88" s="2"/>
      <c r="L88" s="2"/>
      <c r="M88" s="2"/>
      <c r="N88" s="2"/>
      <c r="O88" s="2" t="s">
        <v>186</v>
      </c>
      <c r="P88" s="2" t="s">
        <v>504</v>
      </c>
      <c r="Q88" s="2">
        <v>724</v>
      </c>
      <c r="R88" s="43">
        <v>45905</v>
      </c>
      <c r="S88" s="2">
        <v>4</v>
      </c>
      <c r="T88" s="65">
        <v>220.4</v>
      </c>
    </row>
    <row r="89" spans="1:20" x14ac:dyDescent="0.2">
      <c r="A89" s="41" t="str">
        <f t="shared" si="5"/>
        <v>20" شیٹ/7-7.5/14-15</v>
      </c>
      <c r="B89" s="18" t="s">
        <v>218</v>
      </c>
      <c r="C89" s="18" t="s">
        <v>211</v>
      </c>
      <c r="D89" s="18" t="s">
        <v>173</v>
      </c>
      <c r="E89" s="19" t="s">
        <v>204</v>
      </c>
      <c r="F89" s="19" t="s">
        <v>205</v>
      </c>
      <c r="G89" s="2"/>
      <c r="H89" s="44"/>
      <c r="I89" s="2"/>
      <c r="J89" s="43"/>
      <c r="K89" s="2"/>
      <c r="L89" s="2"/>
      <c r="M89" s="2"/>
      <c r="N89" s="2"/>
      <c r="O89" s="2" t="s">
        <v>186</v>
      </c>
      <c r="P89" s="2" t="s">
        <v>505</v>
      </c>
      <c r="Q89" s="2">
        <v>724</v>
      </c>
      <c r="R89" s="43">
        <v>45905</v>
      </c>
      <c r="S89" s="2">
        <v>4</v>
      </c>
      <c r="T89" s="65">
        <v>299.8</v>
      </c>
    </row>
    <row r="90" spans="1:20" x14ac:dyDescent="0.2">
      <c r="A90" s="41" t="str">
        <f t="shared" si="5"/>
        <v>16/10-10.5</v>
      </c>
      <c r="B90" s="18" t="s">
        <v>220</v>
      </c>
      <c r="C90" s="18" t="s">
        <v>173</v>
      </c>
      <c r="D90" s="18" t="s">
        <v>173</v>
      </c>
      <c r="E90" s="18">
        <v>16</v>
      </c>
      <c r="F90" s="19" t="s">
        <v>268</v>
      </c>
      <c r="G90" s="2"/>
      <c r="H90" s="44" t="s">
        <v>222</v>
      </c>
      <c r="I90" s="2" t="s">
        <v>528</v>
      </c>
      <c r="J90" s="43">
        <v>45908</v>
      </c>
      <c r="K90" s="2">
        <v>2</v>
      </c>
      <c r="L90" s="2">
        <v>145</v>
      </c>
      <c r="M90" s="2">
        <v>2.8</v>
      </c>
      <c r="N90" s="2">
        <f>+L90-M90</f>
        <v>142.19999999999999</v>
      </c>
      <c r="O90" s="2"/>
      <c r="P90" s="2"/>
      <c r="Q90" s="2"/>
      <c r="R90" s="38"/>
      <c r="S90" s="2"/>
      <c r="T90" s="65"/>
    </row>
    <row r="91" spans="1:20" x14ac:dyDescent="0.2">
      <c r="A91" s="41" t="str">
        <f t="shared" si="5"/>
        <v>16/8-8.5</v>
      </c>
      <c r="B91" s="18" t="s">
        <v>524</v>
      </c>
      <c r="C91" s="18" t="s">
        <v>173</v>
      </c>
      <c r="D91" s="18" t="s">
        <v>173</v>
      </c>
      <c r="E91" s="18">
        <v>16</v>
      </c>
      <c r="F91" s="19" t="s">
        <v>207</v>
      </c>
      <c r="G91" s="2"/>
      <c r="H91" s="44" t="s">
        <v>222</v>
      </c>
      <c r="I91" s="2" t="s">
        <v>529</v>
      </c>
      <c r="J91" s="43">
        <v>45908</v>
      </c>
      <c r="K91" s="2">
        <v>4</v>
      </c>
      <c r="L91" s="2">
        <v>269.2</v>
      </c>
      <c r="M91" s="2">
        <v>8</v>
      </c>
      <c r="N91" s="2">
        <f t="shared" ref="N91:N118" si="6">+L91-M91</f>
        <v>261.2</v>
      </c>
      <c r="O91" s="2"/>
      <c r="P91" s="2"/>
      <c r="Q91" s="2"/>
      <c r="R91" s="38"/>
      <c r="S91" s="2"/>
      <c r="T91" s="65"/>
    </row>
    <row r="92" spans="1:20" x14ac:dyDescent="0.2">
      <c r="A92" s="41" t="str">
        <f t="shared" si="5"/>
        <v>16/10-10.5</v>
      </c>
      <c r="B92" s="18" t="s">
        <v>220</v>
      </c>
      <c r="C92" s="18" t="s">
        <v>525</v>
      </c>
      <c r="D92" s="18" t="s">
        <v>173</v>
      </c>
      <c r="E92" s="18">
        <v>16</v>
      </c>
      <c r="F92" s="19" t="s">
        <v>268</v>
      </c>
      <c r="G92" s="2"/>
      <c r="H92" s="44" t="s">
        <v>222</v>
      </c>
      <c r="I92" s="2" t="s">
        <v>530</v>
      </c>
      <c r="J92" s="43">
        <v>45908</v>
      </c>
      <c r="K92" s="2">
        <v>2</v>
      </c>
      <c r="L92" s="2">
        <v>156.80000000000001</v>
      </c>
      <c r="M92" s="2">
        <v>3.8</v>
      </c>
      <c r="N92" s="2">
        <f t="shared" si="6"/>
        <v>153</v>
      </c>
      <c r="O92" s="2"/>
      <c r="P92" s="2"/>
      <c r="Q92" s="2"/>
      <c r="R92" s="38"/>
      <c r="S92" s="2"/>
      <c r="T92" s="65"/>
    </row>
    <row r="93" spans="1:20" x14ac:dyDescent="0.2">
      <c r="A93" s="41" t="str">
        <f t="shared" si="5"/>
        <v>16/10-10.5</v>
      </c>
      <c r="B93" s="18" t="s">
        <v>220</v>
      </c>
      <c r="C93" s="18" t="s">
        <v>526</v>
      </c>
      <c r="D93" s="18" t="s">
        <v>173</v>
      </c>
      <c r="E93" s="18">
        <v>16</v>
      </c>
      <c r="F93" s="19" t="s">
        <v>268</v>
      </c>
      <c r="G93" s="2"/>
      <c r="H93" s="44" t="s">
        <v>222</v>
      </c>
      <c r="I93" s="2" t="s">
        <v>531</v>
      </c>
      <c r="J93" s="43">
        <v>45908</v>
      </c>
      <c r="K93" s="2">
        <v>1</v>
      </c>
      <c r="L93" s="2">
        <v>81</v>
      </c>
      <c r="M93" s="2">
        <v>2</v>
      </c>
      <c r="N93" s="2">
        <f t="shared" si="6"/>
        <v>79</v>
      </c>
      <c r="O93" s="2"/>
      <c r="P93" s="2"/>
      <c r="Q93" s="2"/>
      <c r="R93" s="38"/>
      <c r="S93" s="2"/>
      <c r="T93" s="65"/>
    </row>
    <row r="94" spans="1:20" x14ac:dyDescent="0.2">
      <c r="A94" s="41" t="str">
        <f t="shared" si="5"/>
        <v>16/10-10.5</v>
      </c>
      <c r="B94" s="18" t="s">
        <v>220</v>
      </c>
      <c r="C94" s="18" t="s">
        <v>526</v>
      </c>
      <c r="D94" s="18" t="s">
        <v>173</v>
      </c>
      <c r="E94" s="18">
        <v>16</v>
      </c>
      <c r="F94" s="19" t="s">
        <v>268</v>
      </c>
      <c r="G94" s="2"/>
      <c r="H94" s="44" t="s">
        <v>222</v>
      </c>
      <c r="I94" s="2" t="s">
        <v>531</v>
      </c>
      <c r="J94" s="43">
        <v>45908</v>
      </c>
      <c r="K94" s="2">
        <v>1</v>
      </c>
      <c r="L94" s="2">
        <v>75.2</v>
      </c>
      <c r="M94" s="2">
        <v>1.6</v>
      </c>
      <c r="N94" s="2">
        <f t="shared" si="6"/>
        <v>73.600000000000009</v>
      </c>
      <c r="O94" s="2"/>
      <c r="P94" s="2"/>
      <c r="Q94" s="2"/>
      <c r="R94" s="38"/>
      <c r="S94" s="2"/>
      <c r="T94" s="65"/>
    </row>
    <row r="95" spans="1:20" x14ac:dyDescent="0.2">
      <c r="A95" s="41" t="str">
        <f t="shared" si="5"/>
        <v>16/10-10.5</v>
      </c>
      <c r="B95" s="18" t="s">
        <v>220</v>
      </c>
      <c r="C95" s="18" t="s">
        <v>526</v>
      </c>
      <c r="D95" s="18" t="s">
        <v>173</v>
      </c>
      <c r="E95" s="18">
        <v>16</v>
      </c>
      <c r="F95" s="19" t="s">
        <v>268</v>
      </c>
      <c r="G95" s="2"/>
      <c r="H95" s="44" t="s">
        <v>222</v>
      </c>
      <c r="I95" s="2" t="s">
        <v>532</v>
      </c>
      <c r="J95" s="43">
        <v>45908</v>
      </c>
      <c r="K95" s="2">
        <v>4</v>
      </c>
      <c r="L95" s="2">
        <v>321.62</v>
      </c>
      <c r="M95" s="2">
        <v>8</v>
      </c>
      <c r="N95" s="2">
        <f t="shared" si="6"/>
        <v>313.62</v>
      </c>
      <c r="O95" s="2"/>
      <c r="P95" s="2"/>
      <c r="Q95" s="2"/>
      <c r="R95" s="38"/>
      <c r="S95" s="2"/>
      <c r="T95" s="65"/>
    </row>
    <row r="96" spans="1:20" x14ac:dyDescent="0.2">
      <c r="A96" s="41" t="str">
        <f t="shared" si="5"/>
        <v>23-23.5/70 GRAM</v>
      </c>
      <c r="B96" s="18" t="s">
        <v>217</v>
      </c>
      <c r="C96" s="18" t="s">
        <v>173</v>
      </c>
      <c r="D96" s="18" t="s">
        <v>173</v>
      </c>
      <c r="E96" s="18" t="s">
        <v>202</v>
      </c>
      <c r="F96" s="19" t="s">
        <v>203</v>
      </c>
      <c r="G96" s="2"/>
      <c r="H96" s="44" t="s">
        <v>222</v>
      </c>
      <c r="I96" s="2" t="s">
        <v>533</v>
      </c>
      <c r="J96" s="43">
        <v>45908</v>
      </c>
      <c r="K96" s="2">
        <v>3</v>
      </c>
      <c r="L96" s="2">
        <v>277.60000000000002</v>
      </c>
      <c r="M96" s="2">
        <v>8.3999999999999986</v>
      </c>
      <c r="N96" s="2">
        <f t="shared" si="6"/>
        <v>269.20000000000005</v>
      </c>
      <c r="O96" s="2"/>
      <c r="P96" s="2"/>
      <c r="Q96" s="2"/>
      <c r="R96" s="38"/>
      <c r="S96" s="2"/>
      <c r="T96" s="65"/>
    </row>
    <row r="97" spans="1:20" x14ac:dyDescent="0.2">
      <c r="A97" s="41" t="str">
        <f t="shared" si="5"/>
        <v>22/12.5-13</v>
      </c>
      <c r="B97" s="18" t="s">
        <v>172</v>
      </c>
      <c r="C97" s="18" t="s">
        <v>173</v>
      </c>
      <c r="D97" s="18" t="s">
        <v>173</v>
      </c>
      <c r="E97" s="18">
        <v>22</v>
      </c>
      <c r="F97" s="19" t="s">
        <v>227</v>
      </c>
      <c r="G97" s="2"/>
      <c r="H97" s="44" t="s">
        <v>222</v>
      </c>
      <c r="I97" s="2" t="s">
        <v>534</v>
      </c>
      <c r="J97" s="43">
        <v>45908</v>
      </c>
      <c r="K97" s="2">
        <v>2</v>
      </c>
      <c r="L97" s="2">
        <v>179.8</v>
      </c>
      <c r="M97" s="2">
        <v>5.4</v>
      </c>
      <c r="N97" s="2">
        <f t="shared" si="6"/>
        <v>174.4</v>
      </c>
      <c r="O97" s="2"/>
      <c r="P97" s="2"/>
      <c r="Q97" s="2"/>
      <c r="R97" s="38"/>
      <c r="S97" s="2"/>
      <c r="T97" s="65"/>
    </row>
    <row r="98" spans="1:20" x14ac:dyDescent="0.2">
      <c r="A98" s="41" t="str">
        <f t="shared" si="5"/>
        <v>21/14-14.5</v>
      </c>
      <c r="B98" s="18" t="s">
        <v>172</v>
      </c>
      <c r="C98" s="18" t="s">
        <v>173</v>
      </c>
      <c r="D98" s="18" t="s">
        <v>173</v>
      </c>
      <c r="E98" s="18">
        <v>21</v>
      </c>
      <c r="F98" s="19" t="s">
        <v>527</v>
      </c>
      <c r="G98" s="2"/>
      <c r="H98" s="44" t="s">
        <v>222</v>
      </c>
      <c r="I98" s="2" t="s">
        <v>535</v>
      </c>
      <c r="J98" s="43">
        <v>45908</v>
      </c>
      <c r="K98" s="2">
        <v>1</v>
      </c>
      <c r="L98" s="2">
        <v>89.6</v>
      </c>
      <c r="M98" s="2">
        <v>2.6</v>
      </c>
      <c r="N98" s="2">
        <f t="shared" si="6"/>
        <v>87</v>
      </c>
      <c r="O98" s="2"/>
      <c r="P98" s="2"/>
      <c r="Q98" s="2"/>
      <c r="R98" s="38"/>
      <c r="S98" s="2"/>
      <c r="T98" s="65"/>
    </row>
    <row r="99" spans="1:20" x14ac:dyDescent="0.2">
      <c r="A99" s="41" t="str">
        <f t="shared" si="5"/>
        <v>22/12.5-13</v>
      </c>
      <c r="B99" s="18" t="s">
        <v>172</v>
      </c>
      <c r="C99" s="18" t="s">
        <v>173</v>
      </c>
      <c r="D99" s="18" t="s">
        <v>173</v>
      </c>
      <c r="E99" s="18">
        <v>22</v>
      </c>
      <c r="F99" s="19" t="s">
        <v>227</v>
      </c>
      <c r="G99" s="2"/>
      <c r="H99" s="44" t="s">
        <v>222</v>
      </c>
      <c r="I99" s="2" t="s">
        <v>536</v>
      </c>
      <c r="J99" s="43">
        <v>45908</v>
      </c>
      <c r="K99" s="2">
        <v>2</v>
      </c>
      <c r="L99" s="2">
        <v>185.6</v>
      </c>
      <c r="M99" s="2">
        <v>5.2</v>
      </c>
      <c r="N99" s="2">
        <f t="shared" si="6"/>
        <v>180.4</v>
      </c>
      <c r="O99" s="2"/>
      <c r="P99" s="2"/>
      <c r="Q99" s="2"/>
      <c r="R99" s="38"/>
      <c r="S99" s="2"/>
      <c r="T99" s="65"/>
    </row>
    <row r="100" spans="1:20" x14ac:dyDescent="0.2">
      <c r="A100" s="41" t="str">
        <f t="shared" si="5"/>
        <v>11/8-8.5</v>
      </c>
      <c r="B100" s="18" t="s">
        <v>220</v>
      </c>
      <c r="C100" s="18" t="s">
        <v>173</v>
      </c>
      <c r="D100" s="18" t="s">
        <v>173</v>
      </c>
      <c r="E100" s="18">
        <v>11</v>
      </c>
      <c r="F100" s="19" t="s">
        <v>207</v>
      </c>
      <c r="G100" s="2"/>
      <c r="H100" s="44" t="s">
        <v>222</v>
      </c>
      <c r="I100" s="2" t="s">
        <v>555</v>
      </c>
      <c r="J100" s="43">
        <v>45909</v>
      </c>
      <c r="K100" s="2">
        <v>1</v>
      </c>
      <c r="L100" s="2">
        <v>55</v>
      </c>
      <c r="M100" s="2">
        <v>1.3</v>
      </c>
      <c r="N100" s="2">
        <f t="shared" si="6"/>
        <v>53.7</v>
      </c>
      <c r="O100" s="2"/>
      <c r="P100" s="2"/>
      <c r="Q100" s="2"/>
      <c r="R100" s="38"/>
      <c r="S100" s="2"/>
      <c r="T100" s="65"/>
    </row>
    <row r="101" spans="1:20" x14ac:dyDescent="0.2">
      <c r="A101" s="41" t="str">
        <f t="shared" si="5"/>
        <v>11/8-8.5</v>
      </c>
      <c r="B101" s="18" t="s">
        <v>220</v>
      </c>
      <c r="C101" s="18" t="s">
        <v>173</v>
      </c>
      <c r="D101" s="18" t="s">
        <v>173</v>
      </c>
      <c r="E101" s="18">
        <v>11</v>
      </c>
      <c r="F101" s="19" t="s">
        <v>207</v>
      </c>
      <c r="G101" s="2"/>
      <c r="H101" s="44" t="s">
        <v>222</v>
      </c>
      <c r="I101" s="2" t="s">
        <v>555</v>
      </c>
      <c r="J101" s="43">
        <v>45909</v>
      </c>
      <c r="K101" s="2">
        <v>3</v>
      </c>
      <c r="L101" s="2">
        <v>188.8</v>
      </c>
      <c r="M101" s="2">
        <v>3.9000000000000004</v>
      </c>
      <c r="N101" s="2">
        <f t="shared" si="6"/>
        <v>184.9</v>
      </c>
      <c r="O101" s="2"/>
      <c r="P101" s="2"/>
      <c r="Q101" s="2"/>
      <c r="R101" s="38"/>
      <c r="S101" s="2"/>
      <c r="T101" s="65"/>
    </row>
    <row r="102" spans="1:20" x14ac:dyDescent="0.2">
      <c r="A102" s="41" t="str">
        <f t="shared" si="5"/>
        <v>16/8-8.5</v>
      </c>
      <c r="B102" s="18" t="s">
        <v>524</v>
      </c>
      <c r="C102" s="18" t="s">
        <v>173</v>
      </c>
      <c r="D102" s="18" t="s">
        <v>173</v>
      </c>
      <c r="E102" s="18">
        <v>16</v>
      </c>
      <c r="F102" s="19" t="s">
        <v>207</v>
      </c>
      <c r="G102" s="2"/>
      <c r="H102" s="44" t="s">
        <v>222</v>
      </c>
      <c r="I102" s="2" t="s">
        <v>529</v>
      </c>
      <c r="J102" s="43">
        <v>45909</v>
      </c>
      <c r="K102" s="2">
        <v>4</v>
      </c>
      <c r="L102" s="2">
        <v>260</v>
      </c>
      <c r="M102" s="2">
        <v>7.9</v>
      </c>
      <c r="N102" s="2">
        <f t="shared" si="6"/>
        <v>252.1</v>
      </c>
      <c r="O102" s="2"/>
      <c r="P102" s="2"/>
      <c r="Q102" s="2"/>
      <c r="R102" s="38"/>
      <c r="S102" s="2"/>
      <c r="T102" s="65"/>
    </row>
    <row r="103" spans="1:20" x14ac:dyDescent="0.2">
      <c r="A103" s="41" t="str">
        <f t="shared" si="5"/>
        <v>15/8-8.5</v>
      </c>
      <c r="B103" s="18" t="s">
        <v>163</v>
      </c>
      <c r="C103" s="18" t="s">
        <v>173</v>
      </c>
      <c r="D103" s="18" t="s">
        <v>173</v>
      </c>
      <c r="E103" s="18">
        <v>15</v>
      </c>
      <c r="F103" s="19" t="s">
        <v>207</v>
      </c>
      <c r="G103" s="2"/>
      <c r="H103" s="44" t="s">
        <v>222</v>
      </c>
      <c r="I103" s="2" t="s">
        <v>556</v>
      </c>
      <c r="J103" s="43">
        <v>45909</v>
      </c>
      <c r="K103" s="2">
        <v>1</v>
      </c>
      <c r="L103" s="2">
        <v>69.8</v>
      </c>
      <c r="M103" s="2">
        <v>1.8</v>
      </c>
      <c r="N103" s="2">
        <f t="shared" si="6"/>
        <v>68</v>
      </c>
      <c r="O103" s="2"/>
      <c r="P103" s="2"/>
      <c r="Q103" s="2"/>
      <c r="R103" s="38"/>
      <c r="S103" s="2"/>
      <c r="T103" s="65"/>
    </row>
    <row r="104" spans="1:20" x14ac:dyDescent="0.2">
      <c r="A104" s="41" t="str">
        <f t="shared" si="5"/>
        <v>16/10-10.5</v>
      </c>
      <c r="B104" s="18" t="s">
        <v>220</v>
      </c>
      <c r="C104" s="18" t="s">
        <v>526</v>
      </c>
      <c r="D104" s="18" t="s">
        <v>173</v>
      </c>
      <c r="E104" s="18">
        <v>16</v>
      </c>
      <c r="F104" s="19" t="s">
        <v>268</v>
      </c>
      <c r="G104" s="2"/>
      <c r="H104" s="44" t="s">
        <v>222</v>
      </c>
      <c r="I104" s="2" t="s">
        <v>532</v>
      </c>
      <c r="J104" s="43">
        <v>45909</v>
      </c>
      <c r="K104" s="2">
        <v>1</v>
      </c>
      <c r="L104" s="2">
        <v>63</v>
      </c>
      <c r="M104" s="2">
        <v>2.2000000000000002</v>
      </c>
      <c r="N104" s="2">
        <f t="shared" si="6"/>
        <v>60.8</v>
      </c>
      <c r="O104" s="2"/>
      <c r="P104" s="2"/>
      <c r="Q104" s="2"/>
      <c r="R104" s="38"/>
      <c r="S104" s="2"/>
      <c r="T104" s="65"/>
    </row>
    <row r="105" spans="1:20" x14ac:dyDescent="0.2">
      <c r="A105" s="41" t="str">
        <f t="shared" si="5"/>
        <v>16/10-10.5</v>
      </c>
      <c r="B105" s="18" t="s">
        <v>220</v>
      </c>
      <c r="C105" s="18" t="s">
        <v>526</v>
      </c>
      <c r="D105" s="18" t="s">
        <v>173</v>
      </c>
      <c r="E105" s="18">
        <v>16</v>
      </c>
      <c r="F105" s="19" t="s">
        <v>268</v>
      </c>
      <c r="G105" s="2"/>
      <c r="H105" s="44" t="s">
        <v>222</v>
      </c>
      <c r="I105" s="2" t="s">
        <v>557</v>
      </c>
      <c r="J105" s="43">
        <v>45909</v>
      </c>
      <c r="K105" s="2">
        <v>1</v>
      </c>
      <c r="L105" s="2">
        <v>71.599999999999994</v>
      </c>
      <c r="M105" s="2">
        <v>2.2000000000000002</v>
      </c>
      <c r="N105" s="2">
        <f t="shared" si="6"/>
        <v>69.399999999999991</v>
      </c>
      <c r="O105" s="2"/>
      <c r="P105" s="2"/>
      <c r="Q105" s="2"/>
      <c r="R105" s="38"/>
      <c r="S105" s="2"/>
      <c r="T105" s="65"/>
    </row>
    <row r="106" spans="1:20" x14ac:dyDescent="0.2">
      <c r="A106" s="41" t="str">
        <f t="shared" si="5"/>
        <v>16/10-10.5</v>
      </c>
      <c r="B106" s="18" t="s">
        <v>220</v>
      </c>
      <c r="C106" s="18" t="s">
        <v>526</v>
      </c>
      <c r="D106" s="18" t="s">
        <v>173</v>
      </c>
      <c r="E106" s="18">
        <v>16</v>
      </c>
      <c r="F106" s="19" t="s">
        <v>268</v>
      </c>
      <c r="G106" s="2"/>
      <c r="H106" s="44" t="s">
        <v>222</v>
      </c>
      <c r="I106" s="2" t="s">
        <v>558</v>
      </c>
      <c r="J106" s="43">
        <v>45909</v>
      </c>
      <c r="K106" s="2">
        <v>3</v>
      </c>
      <c r="L106" s="2">
        <v>252</v>
      </c>
      <c r="M106" s="2">
        <v>6</v>
      </c>
      <c r="N106" s="2">
        <f t="shared" si="6"/>
        <v>246</v>
      </c>
      <c r="O106" s="2"/>
      <c r="P106" s="2"/>
      <c r="Q106" s="2"/>
      <c r="R106" s="38"/>
      <c r="S106" s="2"/>
      <c r="T106" s="65"/>
    </row>
    <row r="107" spans="1:20" x14ac:dyDescent="0.2">
      <c r="A107" s="41" t="str">
        <f t="shared" si="5"/>
        <v>16/10-10.5</v>
      </c>
      <c r="B107" s="18" t="s">
        <v>220</v>
      </c>
      <c r="C107" s="18" t="s">
        <v>526</v>
      </c>
      <c r="D107" s="18" t="s">
        <v>173</v>
      </c>
      <c r="E107" s="18">
        <v>16</v>
      </c>
      <c r="F107" s="19" t="s">
        <v>268</v>
      </c>
      <c r="G107" s="2"/>
      <c r="H107" s="44" t="s">
        <v>222</v>
      </c>
      <c r="I107" s="2" t="s">
        <v>559</v>
      </c>
      <c r="J107" s="43">
        <v>45909</v>
      </c>
      <c r="K107" s="2">
        <v>1</v>
      </c>
      <c r="L107" s="2">
        <v>46.6</v>
      </c>
      <c r="M107" s="2">
        <v>2</v>
      </c>
      <c r="N107" s="2">
        <f t="shared" si="6"/>
        <v>44.6</v>
      </c>
      <c r="O107" s="2"/>
      <c r="P107" s="2"/>
      <c r="Q107" s="2"/>
      <c r="R107" s="38"/>
      <c r="S107" s="2"/>
      <c r="T107" s="65"/>
    </row>
    <row r="108" spans="1:20" x14ac:dyDescent="0.2">
      <c r="A108" s="41" t="str">
        <f t="shared" si="5"/>
        <v>16/10-10.5</v>
      </c>
      <c r="B108" s="18" t="s">
        <v>220</v>
      </c>
      <c r="C108" s="18" t="s">
        <v>526</v>
      </c>
      <c r="D108" s="18" t="s">
        <v>173</v>
      </c>
      <c r="E108" s="18">
        <v>16</v>
      </c>
      <c r="F108" s="19" t="s">
        <v>268</v>
      </c>
      <c r="G108" s="2"/>
      <c r="H108" s="44" t="s">
        <v>222</v>
      </c>
      <c r="I108" s="2" t="s">
        <v>559</v>
      </c>
      <c r="J108" s="43">
        <v>45909</v>
      </c>
      <c r="K108" s="2">
        <v>1</v>
      </c>
      <c r="L108" s="2">
        <v>88.2</v>
      </c>
      <c r="M108" s="2">
        <v>2</v>
      </c>
      <c r="N108" s="2">
        <f t="shared" si="6"/>
        <v>86.2</v>
      </c>
      <c r="O108" s="2"/>
      <c r="P108" s="2"/>
      <c r="Q108" s="2"/>
      <c r="R108" s="38"/>
      <c r="S108" s="2"/>
      <c r="T108" s="65"/>
    </row>
    <row r="109" spans="1:20" x14ac:dyDescent="0.2">
      <c r="A109" s="41" t="str">
        <f t="shared" si="5"/>
        <v>15/10-10.5</v>
      </c>
      <c r="B109" s="18" t="s">
        <v>220</v>
      </c>
      <c r="C109" s="18" t="s">
        <v>526</v>
      </c>
      <c r="D109" s="18" t="s">
        <v>173</v>
      </c>
      <c r="E109" s="18">
        <v>15</v>
      </c>
      <c r="F109" s="19" t="s">
        <v>268</v>
      </c>
      <c r="G109" s="2"/>
      <c r="H109" s="44" t="s">
        <v>222</v>
      </c>
      <c r="I109" s="2" t="s">
        <v>560</v>
      </c>
      <c r="J109" s="43">
        <v>45909</v>
      </c>
      <c r="K109" s="2">
        <v>3</v>
      </c>
      <c r="L109" s="2">
        <v>243.2</v>
      </c>
      <c r="M109" s="2">
        <v>5.5</v>
      </c>
      <c r="N109" s="2">
        <f t="shared" si="6"/>
        <v>237.7</v>
      </c>
      <c r="O109" s="2"/>
      <c r="P109" s="2"/>
      <c r="Q109" s="2"/>
      <c r="R109" s="38"/>
      <c r="S109" s="2"/>
      <c r="T109" s="65"/>
    </row>
    <row r="110" spans="1:20" x14ac:dyDescent="0.2">
      <c r="A110" s="41" t="str">
        <f t="shared" si="5"/>
        <v>22/12.5-13</v>
      </c>
      <c r="B110" s="18" t="s">
        <v>172</v>
      </c>
      <c r="C110" s="18" t="s">
        <v>173</v>
      </c>
      <c r="D110" s="18" t="s">
        <v>173</v>
      </c>
      <c r="E110" s="18">
        <v>22</v>
      </c>
      <c r="F110" s="19" t="s">
        <v>227</v>
      </c>
      <c r="G110" s="2"/>
      <c r="H110" s="44" t="s">
        <v>222</v>
      </c>
      <c r="I110" s="2" t="s">
        <v>534</v>
      </c>
      <c r="J110" s="43">
        <v>45909</v>
      </c>
      <c r="K110" s="2">
        <v>1</v>
      </c>
      <c r="L110" s="2">
        <v>56.4</v>
      </c>
      <c r="M110" s="2">
        <v>2.8</v>
      </c>
      <c r="N110" s="2">
        <f t="shared" si="6"/>
        <v>53.6</v>
      </c>
      <c r="O110" s="2"/>
      <c r="P110" s="2"/>
      <c r="Q110" s="2"/>
      <c r="R110" s="38"/>
      <c r="S110" s="2"/>
      <c r="T110" s="65"/>
    </row>
    <row r="111" spans="1:20" x14ac:dyDescent="0.2">
      <c r="A111" s="41" t="str">
        <f t="shared" si="5"/>
        <v>22/8.5-9</v>
      </c>
      <c r="B111" s="18" t="s">
        <v>172</v>
      </c>
      <c r="C111" s="18" t="s">
        <v>173</v>
      </c>
      <c r="D111" s="18" t="s">
        <v>173</v>
      </c>
      <c r="E111" s="18">
        <v>22</v>
      </c>
      <c r="F111" s="19" t="s">
        <v>171</v>
      </c>
      <c r="G111" s="2"/>
      <c r="H111" s="44" t="s">
        <v>222</v>
      </c>
      <c r="I111" s="2" t="s">
        <v>561</v>
      </c>
      <c r="J111" s="43">
        <v>45909</v>
      </c>
      <c r="K111" s="2">
        <v>2</v>
      </c>
      <c r="L111" s="2">
        <v>113.8</v>
      </c>
      <c r="M111" s="2">
        <v>4.4000000000000004</v>
      </c>
      <c r="N111" s="2">
        <f t="shared" si="6"/>
        <v>109.39999999999999</v>
      </c>
      <c r="O111" s="2"/>
      <c r="P111" s="2"/>
      <c r="Q111" s="2"/>
      <c r="R111" s="38"/>
      <c r="S111" s="2"/>
      <c r="T111" s="65"/>
    </row>
    <row r="112" spans="1:20" x14ac:dyDescent="0.2">
      <c r="A112" s="41" t="str">
        <f t="shared" si="5"/>
        <v>26.5/7</v>
      </c>
      <c r="B112" s="18" t="s">
        <v>163</v>
      </c>
      <c r="C112" s="18" t="s">
        <v>173</v>
      </c>
      <c r="D112" s="18" t="s">
        <v>173</v>
      </c>
      <c r="E112" s="18">
        <v>26.5</v>
      </c>
      <c r="F112" s="19" t="s">
        <v>19</v>
      </c>
      <c r="G112" s="2"/>
      <c r="H112" s="44" t="s">
        <v>222</v>
      </c>
      <c r="I112" s="2" t="s">
        <v>562</v>
      </c>
      <c r="J112" s="43">
        <v>45909</v>
      </c>
      <c r="K112" s="2">
        <v>2</v>
      </c>
      <c r="L112" s="2">
        <v>127.6</v>
      </c>
      <c r="M112" s="2">
        <v>6.6</v>
      </c>
      <c r="N112" s="2">
        <f t="shared" si="6"/>
        <v>121</v>
      </c>
      <c r="O112" s="2"/>
      <c r="P112" s="2"/>
      <c r="Q112" s="2"/>
      <c r="R112" s="38"/>
      <c r="S112" s="2"/>
      <c r="T112" s="65"/>
    </row>
    <row r="113" spans="1:20" x14ac:dyDescent="0.2">
      <c r="A113" s="41" t="str">
        <f t="shared" si="5"/>
        <v>26/8.5-9</v>
      </c>
      <c r="B113" s="18" t="s">
        <v>172</v>
      </c>
      <c r="C113" s="18" t="s">
        <v>173</v>
      </c>
      <c r="D113" s="18" t="s">
        <v>173</v>
      </c>
      <c r="E113" s="18">
        <v>26</v>
      </c>
      <c r="F113" s="19" t="s">
        <v>171</v>
      </c>
      <c r="G113" s="2"/>
      <c r="H113" s="44" t="s">
        <v>222</v>
      </c>
      <c r="I113" s="2" t="s">
        <v>563</v>
      </c>
      <c r="J113" s="43">
        <v>45909</v>
      </c>
      <c r="K113" s="2">
        <v>1</v>
      </c>
      <c r="L113" s="2">
        <v>67.8</v>
      </c>
      <c r="M113" s="2">
        <v>3.4</v>
      </c>
      <c r="N113" s="2">
        <f t="shared" si="6"/>
        <v>64.399999999999991</v>
      </c>
      <c r="O113" s="2"/>
      <c r="P113" s="2"/>
      <c r="Q113" s="2"/>
      <c r="R113" s="38"/>
      <c r="S113" s="2"/>
      <c r="T113" s="65"/>
    </row>
    <row r="114" spans="1:20" x14ac:dyDescent="0.2">
      <c r="A114" s="41" t="str">
        <f t="shared" si="5"/>
        <v>26/8.5-9</v>
      </c>
      <c r="B114" s="18" t="s">
        <v>172</v>
      </c>
      <c r="C114" s="18" t="s">
        <v>173</v>
      </c>
      <c r="D114" s="18" t="s">
        <v>173</v>
      </c>
      <c r="E114" s="18">
        <v>26</v>
      </c>
      <c r="F114" s="19" t="s">
        <v>171</v>
      </c>
      <c r="G114" s="2"/>
      <c r="H114" s="44" t="s">
        <v>222</v>
      </c>
      <c r="I114" s="2" t="s">
        <v>563</v>
      </c>
      <c r="J114" s="43">
        <v>45909</v>
      </c>
      <c r="K114" s="2">
        <v>3</v>
      </c>
      <c r="L114" s="2">
        <v>177.60000000000002</v>
      </c>
      <c r="M114" s="2">
        <v>6.4</v>
      </c>
      <c r="N114" s="2">
        <f t="shared" si="6"/>
        <v>171.20000000000002</v>
      </c>
      <c r="O114" s="2"/>
      <c r="P114" s="2"/>
      <c r="Q114" s="2"/>
      <c r="R114" s="38"/>
      <c r="S114" s="2"/>
      <c r="T114" s="65"/>
    </row>
    <row r="115" spans="1:20" x14ac:dyDescent="0.2">
      <c r="A115" s="41" t="str">
        <f t="shared" si="5"/>
        <v>24/7</v>
      </c>
      <c r="B115" s="18" t="s">
        <v>163</v>
      </c>
      <c r="C115" s="18" t="s">
        <v>173</v>
      </c>
      <c r="D115" s="18" t="s">
        <v>173</v>
      </c>
      <c r="E115" s="18">
        <v>24</v>
      </c>
      <c r="F115" s="19" t="s">
        <v>19</v>
      </c>
      <c r="G115" s="2"/>
      <c r="H115" s="44" t="s">
        <v>222</v>
      </c>
      <c r="I115" s="2" t="s">
        <v>564</v>
      </c>
      <c r="J115" s="43">
        <v>45909</v>
      </c>
      <c r="K115" s="2">
        <v>2</v>
      </c>
      <c r="L115" s="2">
        <v>125.4</v>
      </c>
      <c r="M115" s="2">
        <v>5.6</v>
      </c>
      <c r="N115" s="2">
        <f t="shared" si="6"/>
        <v>119.80000000000001</v>
      </c>
      <c r="O115" s="2"/>
      <c r="P115" s="2"/>
      <c r="Q115" s="2"/>
      <c r="R115" s="38"/>
      <c r="S115" s="2"/>
      <c r="T115" s="65"/>
    </row>
    <row r="116" spans="1:20" x14ac:dyDescent="0.2">
      <c r="A116" s="41" t="str">
        <f t="shared" si="5"/>
        <v>23-23.5/70 GRAM</v>
      </c>
      <c r="B116" s="18" t="s">
        <v>217</v>
      </c>
      <c r="C116" s="18" t="s">
        <v>173</v>
      </c>
      <c r="D116" s="18" t="s">
        <v>173</v>
      </c>
      <c r="E116" s="18" t="s">
        <v>202</v>
      </c>
      <c r="F116" s="19" t="s">
        <v>203</v>
      </c>
      <c r="G116" s="2"/>
      <c r="H116" s="44" t="s">
        <v>222</v>
      </c>
      <c r="I116" s="2" t="s">
        <v>533</v>
      </c>
      <c r="J116" s="43">
        <v>45909</v>
      </c>
      <c r="K116" s="2">
        <v>1</v>
      </c>
      <c r="L116" s="2">
        <v>80.2</v>
      </c>
      <c r="M116" s="2">
        <v>2.6</v>
      </c>
      <c r="N116" s="2">
        <f t="shared" si="6"/>
        <v>77.600000000000009</v>
      </c>
      <c r="O116" s="2"/>
      <c r="P116" s="2"/>
      <c r="Q116" s="2"/>
      <c r="R116" s="38"/>
      <c r="S116" s="2"/>
      <c r="T116" s="65"/>
    </row>
    <row r="117" spans="1:20" x14ac:dyDescent="0.2">
      <c r="A117" s="41" t="str">
        <f t="shared" si="5"/>
        <v>/</v>
      </c>
      <c r="B117" s="18" t="s">
        <v>260</v>
      </c>
      <c r="C117" s="18"/>
      <c r="D117" s="18" t="s">
        <v>173</v>
      </c>
      <c r="E117" s="19"/>
      <c r="F117" s="19"/>
      <c r="G117" s="2"/>
      <c r="H117" s="44" t="s">
        <v>222</v>
      </c>
      <c r="I117" s="2" t="s">
        <v>565</v>
      </c>
      <c r="J117" s="43">
        <v>45909</v>
      </c>
      <c r="K117" s="2">
        <v>1</v>
      </c>
      <c r="L117" s="2">
        <v>80.599999999999994</v>
      </c>
      <c r="M117" s="2">
        <v>3.4</v>
      </c>
      <c r="N117" s="2">
        <f t="shared" si="6"/>
        <v>77.199999999999989</v>
      </c>
      <c r="O117" s="2"/>
      <c r="P117" s="2"/>
      <c r="Q117" s="2"/>
      <c r="R117" s="38"/>
      <c r="S117" s="2"/>
      <c r="T117" s="65"/>
    </row>
    <row r="118" spans="1:20" x14ac:dyDescent="0.2">
      <c r="A118" s="41" t="str">
        <f t="shared" si="5"/>
        <v>23-23.5/70 GRAM</v>
      </c>
      <c r="B118" s="18" t="s">
        <v>217</v>
      </c>
      <c r="C118" s="18" t="s">
        <v>173</v>
      </c>
      <c r="D118" s="18" t="s">
        <v>173</v>
      </c>
      <c r="E118" s="18" t="s">
        <v>202</v>
      </c>
      <c r="F118" s="19" t="s">
        <v>203</v>
      </c>
      <c r="G118" s="2"/>
      <c r="H118" s="44" t="s">
        <v>222</v>
      </c>
      <c r="I118" s="2" t="s">
        <v>533</v>
      </c>
      <c r="J118" s="43">
        <v>45909</v>
      </c>
      <c r="K118" s="2">
        <v>4</v>
      </c>
      <c r="L118" s="2">
        <v>363.4</v>
      </c>
      <c r="M118" s="2">
        <v>11.2</v>
      </c>
      <c r="N118" s="2">
        <f t="shared" si="6"/>
        <v>352.2</v>
      </c>
      <c r="O118" s="2"/>
      <c r="P118" s="2"/>
      <c r="Q118" s="2"/>
      <c r="R118" s="38"/>
      <c r="S118" s="2"/>
      <c r="T118" s="65"/>
    </row>
    <row r="119" spans="1:20" x14ac:dyDescent="0.2">
      <c r="A119" s="41" t="str">
        <f t="shared" si="5"/>
        <v>432 MM/17-18</v>
      </c>
      <c r="B119" s="18" t="s">
        <v>221</v>
      </c>
      <c r="C119" s="18" t="s">
        <v>211</v>
      </c>
      <c r="D119" s="18" t="s">
        <v>173</v>
      </c>
      <c r="E119" s="18" t="s">
        <v>209</v>
      </c>
      <c r="F119" s="19" t="s">
        <v>223</v>
      </c>
      <c r="G119" s="2"/>
      <c r="H119" s="44"/>
      <c r="I119" s="2"/>
      <c r="J119" s="43"/>
      <c r="K119" s="2"/>
      <c r="L119" s="2"/>
      <c r="M119" s="2"/>
      <c r="N119" s="2"/>
      <c r="O119" s="2" t="s">
        <v>186</v>
      </c>
      <c r="P119" s="2" t="s">
        <v>567</v>
      </c>
      <c r="Q119" s="2"/>
      <c r="R119" s="38">
        <v>45908</v>
      </c>
      <c r="S119" s="2">
        <v>4</v>
      </c>
      <c r="T119" s="65">
        <v>237.8</v>
      </c>
    </row>
    <row r="120" spans="1:20" x14ac:dyDescent="0.2">
      <c r="A120" s="41" t="str">
        <f t="shared" si="5"/>
        <v>428 MM/17-18</v>
      </c>
      <c r="B120" s="18" t="s">
        <v>221</v>
      </c>
      <c r="C120" s="18" t="s">
        <v>211</v>
      </c>
      <c r="D120" s="18" t="s">
        <v>173</v>
      </c>
      <c r="E120" s="18" t="s">
        <v>210</v>
      </c>
      <c r="F120" s="19" t="s">
        <v>223</v>
      </c>
      <c r="G120" s="2"/>
      <c r="H120" s="44"/>
      <c r="I120" s="2"/>
      <c r="J120" s="43"/>
      <c r="K120" s="2"/>
      <c r="L120" s="2"/>
      <c r="M120" s="2"/>
      <c r="N120" s="2"/>
      <c r="O120" s="2" t="s">
        <v>186</v>
      </c>
      <c r="P120" s="2" t="s">
        <v>568</v>
      </c>
      <c r="Q120" s="2"/>
      <c r="R120" s="38">
        <v>45908</v>
      </c>
      <c r="S120" s="2">
        <v>2</v>
      </c>
      <c r="T120" s="65">
        <v>128.4</v>
      </c>
    </row>
    <row r="121" spans="1:20" x14ac:dyDescent="0.2">
      <c r="A121" s="41" t="str">
        <f t="shared" si="5"/>
        <v>20 شیٹ/6-6.5/12-13</v>
      </c>
      <c r="B121" s="18" t="s">
        <v>219</v>
      </c>
      <c r="C121" s="18" t="s">
        <v>211</v>
      </c>
      <c r="D121" s="18" t="s">
        <v>173</v>
      </c>
      <c r="E121" s="18" t="s">
        <v>206</v>
      </c>
      <c r="F121" s="19" t="s">
        <v>208</v>
      </c>
      <c r="G121" s="2"/>
      <c r="H121" s="44"/>
      <c r="I121" s="2"/>
      <c r="J121" s="43"/>
      <c r="K121" s="2"/>
      <c r="L121" s="2"/>
      <c r="M121" s="2"/>
      <c r="N121" s="2"/>
      <c r="O121" s="2" t="s">
        <v>186</v>
      </c>
      <c r="P121" s="2" t="s">
        <v>569</v>
      </c>
      <c r="Q121" s="2"/>
      <c r="R121" s="38">
        <v>45908</v>
      </c>
      <c r="S121" s="2">
        <v>4</v>
      </c>
      <c r="T121" s="65">
        <v>212.4</v>
      </c>
    </row>
    <row r="122" spans="1:20" x14ac:dyDescent="0.2">
      <c r="A122" s="41" t="str">
        <f t="shared" si="5"/>
        <v>19/7</v>
      </c>
      <c r="B122" s="18" t="s">
        <v>163</v>
      </c>
      <c r="C122" s="18" t="s">
        <v>173</v>
      </c>
      <c r="D122" s="18" t="s">
        <v>173</v>
      </c>
      <c r="E122" s="18">
        <v>19</v>
      </c>
      <c r="F122" s="19" t="s">
        <v>19</v>
      </c>
      <c r="G122" s="2"/>
      <c r="H122" s="44"/>
      <c r="I122" s="2"/>
      <c r="J122" s="43"/>
      <c r="K122" s="2"/>
      <c r="L122" s="2"/>
      <c r="M122" s="2"/>
      <c r="N122" s="2"/>
      <c r="O122" s="2" t="s">
        <v>186</v>
      </c>
      <c r="P122" s="2" t="s">
        <v>570</v>
      </c>
      <c r="Q122" s="2"/>
      <c r="R122" s="38">
        <v>45908</v>
      </c>
      <c r="S122" s="2">
        <v>5</v>
      </c>
      <c r="T122" s="65">
        <v>270.39999999999998</v>
      </c>
    </row>
    <row r="123" spans="1:20" x14ac:dyDescent="0.2">
      <c r="A123" s="41" t="str">
        <f t="shared" si="5"/>
        <v>22/12.5-13</v>
      </c>
      <c r="B123" s="18" t="s">
        <v>172</v>
      </c>
      <c r="C123" s="18" t="s">
        <v>173</v>
      </c>
      <c r="D123" s="18" t="s">
        <v>173</v>
      </c>
      <c r="E123" s="18">
        <v>22</v>
      </c>
      <c r="F123" s="19" t="s">
        <v>227</v>
      </c>
      <c r="G123" s="2"/>
      <c r="H123" s="44"/>
      <c r="I123" s="2"/>
      <c r="J123" s="43"/>
      <c r="K123" s="2"/>
      <c r="L123" s="2"/>
      <c r="M123" s="2"/>
      <c r="N123" s="2"/>
      <c r="O123" s="2" t="s">
        <v>186</v>
      </c>
      <c r="P123" s="2" t="s">
        <v>536</v>
      </c>
      <c r="Q123" s="2"/>
      <c r="R123" s="38">
        <v>45908</v>
      </c>
      <c r="S123" s="2">
        <v>2</v>
      </c>
      <c r="T123" s="65">
        <v>185.6</v>
      </c>
    </row>
    <row r="124" spans="1:20" x14ac:dyDescent="0.2">
      <c r="A124" s="41" t="str">
        <f t="shared" si="5"/>
        <v>21/14-14.5</v>
      </c>
      <c r="B124" s="18" t="s">
        <v>172</v>
      </c>
      <c r="C124" s="18" t="s">
        <v>173</v>
      </c>
      <c r="D124" s="18" t="s">
        <v>173</v>
      </c>
      <c r="E124" s="18">
        <v>21</v>
      </c>
      <c r="F124" s="19" t="s">
        <v>527</v>
      </c>
      <c r="G124" s="2"/>
      <c r="H124" s="44"/>
      <c r="I124" s="2"/>
      <c r="J124" s="43"/>
      <c r="K124" s="2"/>
      <c r="L124" s="2"/>
      <c r="M124" s="2"/>
      <c r="N124" s="2"/>
      <c r="O124" s="2" t="s">
        <v>186</v>
      </c>
      <c r="P124" s="2" t="s">
        <v>535</v>
      </c>
      <c r="Q124" s="2"/>
      <c r="R124" s="38">
        <v>45908</v>
      </c>
      <c r="S124" s="2">
        <v>1</v>
      </c>
      <c r="T124" s="65">
        <v>89.6</v>
      </c>
    </row>
    <row r="125" spans="1:20" x14ac:dyDescent="0.2">
      <c r="A125" s="41" t="str">
        <f t="shared" si="5"/>
        <v>16/10-10.5</v>
      </c>
      <c r="B125" s="18" t="s">
        <v>220</v>
      </c>
      <c r="C125" s="18" t="s">
        <v>526</v>
      </c>
      <c r="D125" s="18" t="s">
        <v>173</v>
      </c>
      <c r="E125" s="18">
        <v>16</v>
      </c>
      <c r="F125" s="19" t="s">
        <v>268</v>
      </c>
      <c r="G125" s="2"/>
      <c r="H125" s="44"/>
      <c r="I125" s="2"/>
      <c r="J125" s="43"/>
      <c r="K125" s="2"/>
      <c r="L125" s="2"/>
      <c r="M125" s="2"/>
      <c r="N125" s="2"/>
      <c r="O125" s="2" t="s">
        <v>186</v>
      </c>
      <c r="P125" s="2" t="s">
        <v>532</v>
      </c>
      <c r="Q125" s="2"/>
      <c r="R125" s="38">
        <v>45908</v>
      </c>
      <c r="S125" s="2">
        <v>8</v>
      </c>
      <c r="T125" s="65">
        <v>586.70000000000005</v>
      </c>
    </row>
    <row r="126" spans="1:20" x14ac:dyDescent="0.2">
      <c r="A126" s="41" t="str">
        <f t="shared" si="5"/>
        <v>22/12.5-13</v>
      </c>
      <c r="B126" s="18" t="s">
        <v>172</v>
      </c>
      <c r="C126" s="18" t="s">
        <v>173</v>
      </c>
      <c r="D126" s="18" t="s">
        <v>173</v>
      </c>
      <c r="E126" s="18">
        <v>22</v>
      </c>
      <c r="F126" s="19" t="s">
        <v>227</v>
      </c>
      <c r="G126" s="2"/>
      <c r="H126" s="44"/>
      <c r="I126" s="2"/>
      <c r="J126" s="43"/>
      <c r="K126" s="2"/>
      <c r="L126" s="2"/>
      <c r="M126" s="2"/>
      <c r="N126" s="2"/>
      <c r="O126" s="2" t="s">
        <v>186</v>
      </c>
      <c r="P126" s="2" t="s">
        <v>534</v>
      </c>
      <c r="Q126" s="2"/>
      <c r="R126" s="38">
        <v>45908</v>
      </c>
      <c r="S126" s="2">
        <v>3</v>
      </c>
      <c r="T126" s="65">
        <v>236.20000000000002</v>
      </c>
    </row>
    <row r="127" spans="1:20" x14ac:dyDescent="0.2">
      <c r="A127" s="41" t="str">
        <f t="shared" si="5"/>
        <v>16/10-10.5</v>
      </c>
      <c r="B127" s="18" t="s">
        <v>220</v>
      </c>
      <c r="C127" s="18" t="s">
        <v>173</v>
      </c>
      <c r="D127" s="18" t="s">
        <v>173</v>
      </c>
      <c r="E127" s="18">
        <v>16</v>
      </c>
      <c r="F127" s="19" t="s">
        <v>268</v>
      </c>
      <c r="G127" s="2"/>
      <c r="H127" s="44"/>
      <c r="I127" s="2"/>
      <c r="J127" s="43"/>
      <c r="K127" s="2"/>
      <c r="L127" s="2"/>
      <c r="M127" s="2"/>
      <c r="N127" s="2"/>
      <c r="O127" s="2" t="s">
        <v>186</v>
      </c>
      <c r="P127" s="2" t="s">
        <v>528</v>
      </c>
      <c r="Q127" s="2"/>
      <c r="R127" s="38">
        <v>45908</v>
      </c>
      <c r="S127" s="2">
        <v>2</v>
      </c>
      <c r="T127" s="65">
        <v>141.80000000000001</v>
      </c>
    </row>
    <row r="128" spans="1:20" x14ac:dyDescent="0.2">
      <c r="A128" s="41" t="str">
        <f t="shared" si="5"/>
        <v>16/10-10.5</v>
      </c>
      <c r="B128" s="18" t="s">
        <v>220</v>
      </c>
      <c r="C128" s="18" t="s">
        <v>526</v>
      </c>
      <c r="D128" s="18" t="s">
        <v>173</v>
      </c>
      <c r="E128" s="18">
        <v>16</v>
      </c>
      <c r="F128" s="19" t="s">
        <v>268</v>
      </c>
      <c r="G128" s="2"/>
      <c r="H128" s="44"/>
      <c r="I128" s="2"/>
      <c r="J128" s="43"/>
      <c r="K128" s="2"/>
      <c r="L128" s="2"/>
      <c r="M128" s="2"/>
      <c r="N128" s="2"/>
      <c r="O128" s="2" t="s">
        <v>186</v>
      </c>
      <c r="P128" s="2" t="s">
        <v>531</v>
      </c>
      <c r="Q128" s="2"/>
      <c r="R128" s="38">
        <v>45908</v>
      </c>
      <c r="S128" s="2">
        <v>2</v>
      </c>
      <c r="T128" s="65">
        <v>152.6</v>
      </c>
    </row>
    <row r="129" spans="1:20" x14ac:dyDescent="0.2">
      <c r="A129" s="41" t="str">
        <f t="shared" si="5"/>
        <v>16/10-10.5</v>
      </c>
      <c r="B129" s="18" t="s">
        <v>220</v>
      </c>
      <c r="C129" s="18" t="s">
        <v>525</v>
      </c>
      <c r="D129" s="18" t="s">
        <v>173</v>
      </c>
      <c r="E129" s="18">
        <v>16</v>
      </c>
      <c r="F129" s="19" t="s">
        <v>268</v>
      </c>
      <c r="G129" s="2"/>
      <c r="H129" s="44"/>
      <c r="I129" s="2"/>
      <c r="J129" s="43"/>
      <c r="K129" s="2"/>
      <c r="L129" s="2"/>
      <c r="M129" s="2"/>
      <c r="N129" s="2"/>
      <c r="O129" s="2" t="s">
        <v>186</v>
      </c>
      <c r="P129" s="2" t="s">
        <v>530</v>
      </c>
      <c r="Q129" s="2"/>
      <c r="R129" s="38">
        <v>45908</v>
      </c>
      <c r="S129" s="2">
        <v>2</v>
      </c>
      <c r="T129" s="65">
        <v>153</v>
      </c>
    </row>
    <row r="130" spans="1:20" x14ac:dyDescent="0.2">
      <c r="A130" s="45" t="str">
        <f t="shared" ref="A130" si="7">CONCATENATE(E130,"/",F130)</f>
        <v>11/8-8.5</v>
      </c>
      <c r="B130" s="60" t="s">
        <v>220</v>
      </c>
      <c r="C130" s="60" t="s">
        <v>173</v>
      </c>
      <c r="D130" s="18" t="s">
        <v>173</v>
      </c>
      <c r="E130" s="37">
        <v>11</v>
      </c>
      <c r="F130" s="37" t="s">
        <v>207</v>
      </c>
      <c r="G130" s="39"/>
      <c r="H130" s="61" t="s">
        <v>222</v>
      </c>
      <c r="I130" s="39" t="s">
        <v>555</v>
      </c>
      <c r="J130" s="62">
        <v>45910</v>
      </c>
      <c r="K130" s="39">
        <v>2</v>
      </c>
      <c r="L130" s="39">
        <v>82.4</v>
      </c>
      <c r="M130" s="39">
        <v>2.6</v>
      </c>
      <c r="N130" s="2">
        <f t="shared" ref="N130:N175" si="8">+L130-M130</f>
        <v>79.800000000000011</v>
      </c>
      <c r="O130" s="39"/>
      <c r="P130" s="39"/>
      <c r="Q130" s="39"/>
      <c r="R130" s="46"/>
      <c r="S130" s="39"/>
      <c r="T130" s="66"/>
    </row>
    <row r="131" spans="1:20" x14ac:dyDescent="0.2">
      <c r="A131" s="49" t="str">
        <f t="shared" ref="A131:A194" si="9">CONCATENATE(E131,"/",F131)</f>
        <v>9/8.5-9</v>
      </c>
      <c r="B131" s="19" t="s">
        <v>172</v>
      </c>
      <c r="C131" s="19" t="s">
        <v>173</v>
      </c>
      <c r="D131" s="18" t="s">
        <v>173</v>
      </c>
      <c r="E131" s="19">
        <v>9</v>
      </c>
      <c r="F131" s="19" t="s">
        <v>171</v>
      </c>
      <c r="G131" s="2"/>
      <c r="H131" s="61" t="s">
        <v>222</v>
      </c>
      <c r="I131" s="2" t="s">
        <v>645</v>
      </c>
      <c r="J131" s="38">
        <v>45910</v>
      </c>
      <c r="K131" s="2">
        <v>2</v>
      </c>
      <c r="L131" s="2">
        <v>110.4</v>
      </c>
      <c r="M131" s="2">
        <v>2.2000000000000002</v>
      </c>
      <c r="N131" s="2">
        <f t="shared" si="8"/>
        <v>108.2</v>
      </c>
      <c r="O131" s="2"/>
      <c r="P131" s="2"/>
      <c r="Q131" s="2"/>
      <c r="R131" s="38"/>
      <c r="S131" s="2"/>
      <c r="T131" s="65"/>
    </row>
    <row r="132" spans="1:20" x14ac:dyDescent="0.2">
      <c r="A132" s="49" t="str">
        <f t="shared" si="9"/>
        <v>9/8.5-9</v>
      </c>
      <c r="B132" s="19" t="s">
        <v>172</v>
      </c>
      <c r="C132" s="19" t="s">
        <v>173</v>
      </c>
      <c r="D132" s="18" t="s">
        <v>173</v>
      </c>
      <c r="E132" s="19">
        <v>9</v>
      </c>
      <c r="F132" s="19" t="s">
        <v>171</v>
      </c>
      <c r="G132" s="2"/>
      <c r="H132" s="61" t="s">
        <v>222</v>
      </c>
      <c r="I132" s="2" t="s">
        <v>645</v>
      </c>
      <c r="J132" s="38">
        <v>45910</v>
      </c>
      <c r="K132" s="2">
        <v>4</v>
      </c>
      <c r="L132" s="2">
        <v>193.2</v>
      </c>
      <c r="M132" s="2">
        <v>4.4000000000000004</v>
      </c>
      <c r="N132" s="2">
        <f t="shared" si="8"/>
        <v>188.79999999999998</v>
      </c>
      <c r="O132" s="2"/>
      <c r="P132" s="2"/>
      <c r="Q132" s="2"/>
      <c r="R132" s="38"/>
      <c r="S132" s="2"/>
      <c r="T132" s="65"/>
    </row>
    <row r="133" spans="1:20" x14ac:dyDescent="0.2">
      <c r="A133" s="49" t="str">
        <f t="shared" si="9"/>
        <v>8/12-12.5</v>
      </c>
      <c r="B133" s="19" t="s">
        <v>638</v>
      </c>
      <c r="C133" s="19" t="s">
        <v>173</v>
      </c>
      <c r="D133" s="18" t="s">
        <v>173</v>
      </c>
      <c r="E133" s="19">
        <v>8</v>
      </c>
      <c r="F133" s="19" t="s">
        <v>639</v>
      </c>
      <c r="G133" s="2"/>
      <c r="H133" s="61" t="s">
        <v>222</v>
      </c>
      <c r="I133" s="2" t="s">
        <v>646</v>
      </c>
      <c r="J133" s="38">
        <v>45910</v>
      </c>
      <c r="K133" s="2">
        <v>2</v>
      </c>
      <c r="L133" s="2">
        <v>109.4</v>
      </c>
      <c r="M133" s="2">
        <v>2</v>
      </c>
      <c r="N133" s="2">
        <f t="shared" si="8"/>
        <v>107.4</v>
      </c>
      <c r="O133" s="2"/>
      <c r="P133" s="2"/>
      <c r="Q133" s="2"/>
      <c r="R133" s="38"/>
      <c r="S133" s="2"/>
      <c r="T133" s="65"/>
    </row>
    <row r="134" spans="1:20" x14ac:dyDescent="0.2">
      <c r="A134" s="49" t="str">
        <f t="shared" si="9"/>
        <v>8/12-12.5</v>
      </c>
      <c r="B134" s="19" t="s">
        <v>638</v>
      </c>
      <c r="C134" s="19" t="s">
        <v>173</v>
      </c>
      <c r="D134" s="18" t="s">
        <v>173</v>
      </c>
      <c r="E134" s="19">
        <v>8</v>
      </c>
      <c r="F134" s="19" t="s">
        <v>639</v>
      </c>
      <c r="G134" s="2"/>
      <c r="H134" s="61" t="s">
        <v>222</v>
      </c>
      <c r="I134" s="2" t="s">
        <v>647</v>
      </c>
      <c r="J134" s="38">
        <v>45910</v>
      </c>
      <c r="K134" s="2">
        <v>2</v>
      </c>
      <c r="L134" s="2">
        <v>104.4</v>
      </c>
      <c r="M134" s="2">
        <v>2</v>
      </c>
      <c r="N134" s="2">
        <f t="shared" si="8"/>
        <v>102.4</v>
      </c>
      <c r="O134" s="2"/>
      <c r="P134" s="2"/>
      <c r="Q134" s="2"/>
      <c r="R134" s="38"/>
      <c r="S134" s="2"/>
      <c r="T134" s="65"/>
    </row>
    <row r="135" spans="1:20" x14ac:dyDescent="0.2">
      <c r="A135" s="49" t="str">
        <f t="shared" si="9"/>
        <v>8/12-12.5</v>
      </c>
      <c r="B135" s="19" t="s">
        <v>638</v>
      </c>
      <c r="C135" s="19" t="s">
        <v>173</v>
      </c>
      <c r="D135" s="18" t="s">
        <v>173</v>
      </c>
      <c r="E135" s="19">
        <v>8</v>
      </c>
      <c r="F135" s="19" t="s">
        <v>639</v>
      </c>
      <c r="G135" s="2"/>
      <c r="H135" s="61" t="s">
        <v>222</v>
      </c>
      <c r="I135" s="2" t="s">
        <v>648</v>
      </c>
      <c r="J135" s="38">
        <v>45910</v>
      </c>
      <c r="K135" s="2">
        <v>1</v>
      </c>
      <c r="L135" s="2">
        <v>45.2</v>
      </c>
      <c r="M135" s="2">
        <v>1</v>
      </c>
      <c r="N135" s="2">
        <f t="shared" si="8"/>
        <v>44.2</v>
      </c>
      <c r="O135" s="2"/>
      <c r="P135" s="2"/>
      <c r="Q135" s="2"/>
      <c r="R135" s="38"/>
      <c r="S135" s="2"/>
      <c r="T135" s="65"/>
    </row>
    <row r="136" spans="1:20" x14ac:dyDescent="0.2">
      <c r="A136" s="49" t="str">
        <f t="shared" si="9"/>
        <v>8/12-12.5</v>
      </c>
      <c r="B136" s="19" t="s">
        <v>638</v>
      </c>
      <c r="C136" s="19" t="s">
        <v>173</v>
      </c>
      <c r="D136" s="18" t="s">
        <v>173</v>
      </c>
      <c r="E136" s="19">
        <v>8</v>
      </c>
      <c r="F136" s="19" t="s">
        <v>639</v>
      </c>
      <c r="G136" s="2"/>
      <c r="H136" s="61" t="s">
        <v>222</v>
      </c>
      <c r="I136" s="2" t="s">
        <v>649</v>
      </c>
      <c r="J136" s="38">
        <v>45910</v>
      </c>
      <c r="K136" s="2">
        <v>2</v>
      </c>
      <c r="L136" s="2">
        <v>92.6</v>
      </c>
      <c r="M136" s="2">
        <v>2</v>
      </c>
      <c r="N136" s="2">
        <f t="shared" si="8"/>
        <v>90.6</v>
      </c>
      <c r="O136" s="2"/>
      <c r="P136" s="2"/>
      <c r="Q136" s="2"/>
      <c r="R136" s="38"/>
      <c r="S136" s="2"/>
      <c r="T136" s="65"/>
    </row>
    <row r="137" spans="1:20" x14ac:dyDescent="0.2">
      <c r="A137" s="49" t="str">
        <f t="shared" si="9"/>
        <v>15/10-10.5</v>
      </c>
      <c r="B137" s="19" t="s">
        <v>220</v>
      </c>
      <c r="C137" s="19" t="s">
        <v>526</v>
      </c>
      <c r="D137" s="18" t="s">
        <v>173</v>
      </c>
      <c r="E137" s="19">
        <v>15</v>
      </c>
      <c r="F137" s="19" t="s">
        <v>268</v>
      </c>
      <c r="G137" s="2"/>
      <c r="H137" s="61" t="s">
        <v>222</v>
      </c>
      <c r="I137" s="2" t="s">
        <v>560</v>
      </c>
      <c r="J137" s="38">
        <v>45910</v>
      </c>
      <c r="K137" s="2">
        <v>3</v>
      </c>
      <c r="L137" s="2">
        <v>228.2</v>
      </c>
      <c r="M137" s="2">
        <v>5.6999999999999993</v>
      </c>
      <c r="N137" s="2">
        <f t="shared" si="8"/>
        <v>222.5</v>
      </c>
      <c r="O137" s="2"/>
      <c r="P137" s="2"/>
      <c r="Q137" s="2"/>
      <c r="R137" s="38"/>
      <c r="S137" s="2"/>
      <c r="T137" s="65"/>
    </row>
    <row r="138" spans="1:20" x14ac:dyDescent="0.2">
      <c r="A138" s="49" t="str">
        <f t="shared" si="9"/>
        <v>15/10-10.5</v>
      </c>
      <c r="B138" s="19" t="s">
        <v>220</v>
      </c>
      <c r="C138" s="19" t="s">
        <v>526</v>
      </c>
      <c r="D138" s="18" t="s">
        <v>173</v>
      </c>
      <c r="E138" s="19">
        <v>15</v>
      </c>
      <c r="F138" s="19" t="s">
        <v>268</v>
      </c>
      <c r="G138" s="2"/>
      <c r="H138" s="61" t="s">
        <v>222</v>
      </c>
      <c r="I138" s="2" t="s">
        <v>650</v>
      </c>
      <c r="J138" s="38">
        <v>45910</v>
      </c>
      <c r="K138" s="2">
        <v>2</v>
      </c>
      <c r="L138" s="2">
        <v>173.4</v>
      </c>
      <c r="M138" s="2">
        <v>3.8</v>
      </c>
      <c r="N138" s="2">
        <f t="shared" si="8"/>
        <v>169.6</v>
      </c>
      <c r="O138" s="2"/>
      <c r="P138" s="2"/>
      <c r="Q138" s="2"/>
      <c r="R138" s="38"/>
      <c r="S138" s="2"/>
      <c r="T138" s="65"/>
    </row>
    <row r="139" spans="1:20" x14ac:dyDescent="0.2">
      <c r="A139" s="49" t="str">
        <f t="shared" si="9"/>
        <v>15/10-10.5</v>
      </c>
      <c r="B139" s="19" t="s">
        <v>220</v>
      </c>
      <c r="C139" s="19" t="s">
        <v>526</v>
      </c>
      <c r="D139" s="18" t="s">
        <v>173</v>
      </c>
      <c r="E139" s="19">
        <v>15</v>
      </c>
      <c r="F139" s="19" t="s">
        <v>268</v>
      </c>
      <c r="G139" s="2"/>
      <c r="H139" s="61" t="s">
        <v>222</v>
      </c>
      <c r="I139" s="2" t="s">
        <v>650</v>
      </c>
      <c r="J139" s="38">
        <v>45910</v>
      </c>
      <c r="K139" s="2">
        <v>4</v>
      </c>
      <c r="L139" s="2">
        <v>191.20000000000002</v>
      </c>
      <c r="M139" s="2">
        <v>7.8</v>
      </c>
      <c r="N139" s="2">
        <f t="shared" si="8"/>
        <v>183.4</v>
      </c>
      <c r="O139" s="2"/>
      <c r="P139" s="2"/>
      <c r="Q139" s="2"/>
      <c r="R139" s="38"/>
      <c r="S139" s="2"/>
      <c r="T139" s="65"/>
    </row>
    <row r="140" spans="1:20" x14ac:dyDescent="0.2">
      <c r="A140" s="49" t="str">
        <f t="shared" si="9"/>
        <v>18/10-10.5</v>
      </c>
      <c r="B140" s="19" t="s">
        <v>220</v>
      </c>
      <c r="C140" s="19" t="s">
        <v>526</v>
      </c>
      <c r="D140" s="18" t="s">
        <v>173</v>
      </c>
      <c r="E140" s="19">
        <v>18</v>
      </c>
      <c r="F140" s="19" t="s">
        <v>268</v>
      </c>
      <c r="G140" s="2"/>
      <c r="H140" s="61" t="s">
        <v>222</v>
      </c>
      <c r="I140" s="2" t="s">
        <v>651</v>
      </c>
      <c r="J140" s="38">
        <v>45910</v>
      </c>
      <c r="K140" s="2">
        <v>2</v>
      </c>
      <c r="L140" s="2">
        <v>115</v>
      </c>
      <c r="M140" s="2">
        <v>2.8</v>
      </c>
      <c r="N140" s="2">
        <f t="shared" si="8"/>
        <v>112.2</v>
      </c>
      <c r="O140" s="2"/>
      <c r="P140" s="2"/>
      <c r="Q140" s="2"/>
      <c r="R140" s="38"/>
      <c r="S140" s="2"/>
      <c r="T140" s="65"/>
    </row>
    <row r="141" spans="1:20" x14ac:dyDescent="0.2">
      <c r="A141" s="49" t="str">
        <f t="shared" si="9"/>
        <v>18/10-10.5</v>
      </c>
      <c r="B141" s="19" t="s">
        <v>220</v>
      </c>
      <c r="C141" s="19" t="s">
        <v>526</v>
      </c>
      <c r="D141" s="18" t="s">
        <v>173</v>
      </c>
      <c r="E141" s="19">
        <v>18</v>
      </c>
      <c r="F141" s="19" t="s">
        <v>268</v>
      </c>
      <c r="G141" s="2"/>
      <c r="H141" s="61" t="s">
        <v>222</v>
      </c>
      <c r="I141" s="2" t="s">
        <v>652</v>
      </c>
      <c r="J141" s="38">
        <v>45910</v>
      </c>
      <c r="K141" s="2">
        <v>2</v>
      </c>
      <c r="L141" s="2">
        <v>101</v>
      </c>
      <c r="M141" s="2">
        <v>4.4000000000000004</v>
      </c>
      <c r="N141" s="2">
        <f t="shared" si="8"/>
        <v>96.6</v>
      </c>
      <c r="O141" s="2"/>
      <c r="P141" s="2"/>
      <c r="Q141" s="2"/>
      <c r="R141" s="38"/>
      <c r="S141" s="2"/>
      <c r="T141" s="65"/>
    </row>
    <row r="142" spans="1:20" x14ac:dyDescent="0.2">
      <c r="A142" s="49" t="str">
        <f t="shared" si="9"/>
        <v>24/7</v>
      </c>
      <c r="B142" s="19" t="s">
        <v>163</v>
      </c>
      <c r="C142" s="19" t="s">
        <v>173</v>
      </c>
      <c r="D142" s="18" t="s">
        <v>173</v>
      </c>
      <c r="E142" s="19">
        <v>24</v>
      </c>
      <c r="F142" s="19" t="s">
        <v>19</v>
      </c>
      <c r="G142" s="2"/>
      <c r="H142" s="61" t="s">
        <v>222</v>
      </c>
      <c r="I142" s="2" t="s">
        <v>564</v>
      </c>
      <c r="J142" s="38">
        <v>45910</v>
      </c>
      <c r="K142" s="2">
        <v>1</v>
      </c>
      <c r="L142" s="2">
        <v>44.4</v>
      </c>
      <c r="M142" s="2">
        <v>2.8</v>
      </c>
      <c r="N142" s="2">
        <f t="shared" si="8"/>
        <v>41.6</v>
      </c>
      <c r="O142" s="2"/>
      <c r="P142" s="2"/>
      <c r="Q142" s="2"/>
      <c r="R142" s="38"/>
      <c r="S142" s="2"/>
      <c r="T142" s="65"/>
    </row>
    <row r="143" spans="1:20" x14ac:dyDescent="0.2">
      <c r="A143" s="49" t="str">
        <f t="shared" si="9"/>
        <v>23/8-8.5</v>
      </c>
      <c r="B143" s="19" t="s">
        <v>163</v>
      </c>
      <c r="C143" s="19" t="s">
        <v>173</v>
      </c>
      <c r="D143" s="18" t="s">
        <v>173</v>
      </c>
      <c r="E143" s="19">
        <v>23</v>
      </c>
      <c r="F143" s="19" t="s">
        <v>207</v>
      </c>
      <c r="G143" s="2"/>
      <c r="H143" s="61" t="s">
        <v>222</v>
      </c>
      <c r="I143" s="2" t="s">
        <v>653</v>
      </c>
      <c r="J143" s="38">
        <v>45910</v>
      </c>
      <c r="K143" s="2">
        <v>3</v>
      </c>
      <c r="L143" s="2">
        <v>159.60000000000002</v>
      </c>
      <c r="M143" s="2">
        <v>8.3999999999999986</v>
      </c>
      <c r="N143" s="2">
        <f t="shared" si="8"/>
        <v>151.20000000000002</v>
      </c>
      <c r="O143" s="2"/>
      <c r="P143" s="2"/>
      <c r="Q143" s="2"/>
      <c r="R143" s="38"/>
      <c r="S143" s="2"/>
      <c r="T143" s="65"/>
    </row>
    <row r="144" spans="1:20" x14ac:dyDescent="0.2">
      <c r="A144" s="49" t="str">
        <f t="shared" si="9"/>
        <v>28/12</v>
      </c>
      <c r="B144" s="19" t="s">
        <v>163</v>
      </c>
      <c r="C144" s="19" t="s">
        <v>173</v>
      </c>
      <c r="D144" s="18" t="s">
        <v>173</v>
      </c>
      <c r="E144" s="19">
        <v>28</v>
      </c>
      <c r="F144" s="19" t="s">
        <v>14</v>
      </c>
      <c r="G144" s="2"/>
      <c r="H144" s="61" t="s">
        <v>222</v>
      </c>
      <c r="I144" s="2" t="s">
        <v>654</v>
      </c>
      <c r="J144" s="38">
        <v>45910</v>
      </c>
      <c r="K144" s="2">
        <v>1</v>
      </c>
      <c r="L144" s="2">
        <v>67.599999999999994</v>
      </c>
      <c r="M144" s="2">
        <v>3.8</v>
      </c>
      <c r="N144" s="2">
        <f t="shared" si="8"/>
        <v>63.8</v>
      </c>
      <c r="O144" s="2"/>
      <c r="P144" s="2"/>
      <c r="Q144" s="2"/>
      <c r="R144" s="38"/>
      <c r="S144" s="2"/>
      <c r="T144" s="65"/>
    </row>
    <row r="145" spans="1:20" x14ac:dyDescent="0.2">
      <c r="A145" s="49" t="str">
        <f t="shared" si="9"/>
        <v>28/12</v>
      </c>
      <c r="B145" s="19" t="s">
        <v>163</v>
      </c>
      <c r="C145" s="19" t="s">
        <v>173</v>
      </c>
      <c r="D145" s="18" t="s">
        <v>173</v>
      </c>
      <c r="E145" s="19">
        <v>28</v>
      </c>
      <c r="F145" s="19" t="s">
        <v>14</v>
      </c>
      <c r="G145" s="2"/>
      <c r="H145" s="61" t="s">
        <v>222</v>
      </c>
      <c r="I145" s="2" t="s">
        <v>655</v>
      </c>
      <c r="J145" s="38">
        <v>45910</v>
      </c>
      <c r="K145" s="2">
        <v>2</v>
      </c>
      <c r="L145" s="2">
        <v>117.8</v>
      </c>
      <c r="M145" s="2">
        <v>7.1999999999999993</v>
      </c>
      <c r="N145" s="2">
        <f t="shared" si="8"/>
        <v>110.6</v>
      </c>
      <c r="O145" s="2"/>
      <c r="P145" s="2"/>
      <c r="Q145" s="2"/>
      <c r="R145" s="38"/>
      <c r="S145" s="2"/>
      <c r="T145" s="65"/>
    </row>
    <row r="146" spans="1:20" x14ac:dyDescent="0.2">
      <c r="A146" s="49" t="str">
        <f t="shared" si="9"/>
        <v>19/12</v>
      </c>
      <c r="B146" s="19" t="s">
        <v>163</v>
      </c>
      <c r="C146" s="19" t="s">
        <v>173</v>
      </c>
      <c r="D146" s="18" t="s">
        <v>173</v>
      </c>
      <c r="E146" s="19">
        <v>19</v>
      </c>
      <c r="F146" s="19" t="s">
        <v>14</v>
      </c>
      <c r="G146" s="2"/>
      <c r="H146" s="61" t="s">
        <v>222</v>
      </c>
      <c r="I146" s="2" t="s">
        <v>656</v>
      </c>
      <c r="J146" s="38">
        <v>45910</v>
      </c>
      <c r="K146" s="2">
        <v>1</v>
      </c>
      <c r="L146" s="2">
        <v>57.8</v>
      </c>
      <c r="M146" s="2">
        <v>1.6</v>
      </c>
      <c r="N146" s="2">
        <f t="shared" si="8"/>
        <v>56.199999999999996</v>
      </c>
      <c r="O146" s="2"/>
      <c r="P146" s="2"/>
      <c r="Q146" s="2"/>
      <c r="R146" s="38"/>
      <c r="S146" s="2"/>
      <c r="T146" s="65"/>
    </row>
    <row r="147" spans="1:20" x14ac:dyDescent="0.2">
      <c r="A147" s="49" t="str">
        <f t="shared" si="9"/>
        <v>15/10.5-11</v>
      </c>
      <c r="B147" s="19" t="s">
        <v>163</v>
      </c>
      <c r="C147" s="19" t="s">
        <v>173</v>
      </c>
      <c r="D147" s="18" t="s">
        <v>173</v>
      </c>
      <c r="E147" s="19">
        <v>15</v>
      </c>
      <c r="F147" s="19" t="s">
        <v>640</v>
      </c>
      <c r="G147" s="2"/>
      <c r="H147" s="61" t="s">
        <v>222</v>
      </c>
      <c r="I147" s="2" t="s">
        <v>657</v>
      </c>
      <c r="J147" s="38">
        <v>45910</v>
      </c>
      <c r="K147" s="2">
        <v>4</v>
      </c>
      <c r="L147" s="2">
        <v>205.2</v>
      </c>
      <c r="M147" s="2">
        <v>7</v>
      </c>
      <c r="N147" s="2">
        <f t="shared" si="8"/>
        <v>198.2</v>
      </c>
      <c r="O147" s="2"/>
      <c r="P147" s="2"/>
      <c r="Q147" s="2"/>
      <c r="R147" s="38"/>
      <c r="S147" s="2"/>
      <c r="T147" s="65"/>
    </row>
    <row r="148" spans="1:20" x14ac:dyDescent="0.2">
      <c r="A148" s="49" t="str">
        <f t="shared" si="9"/>
        <v>23-23.5/70 GRAM</v>
      </c>
      <c r="B148" s="19" t="s">
        <v>217</v>
      </c>
      <c r="C148" s="19" t="s">
        <v>173</v>
      </c>
      <c r="D148" s="18" t="s">
        <v>173</v>
      </c>
      <c r="E148" s="19" t="s">
        <v>202</v>
      </c>
      <c r="F148" s="19" t="s">
        <v>203</v>
      </c>
      <c r="G148" s="19"/>
      <c r="H148" s="61" t="s">
        <v>222</v>
      </c>
      <c r="I148" s="2" t="s">
        <v>533</v>
      </c>
      <c r="J148" s="38">
        <v>45910</v>
      </c>
      <c r="K148" s="2">
        <v>4</v>
      </c>
      <c r="L148" s="2">
        <v>472.8</v>
      </c>
      <c r="M148" s="2">
        <v>11.2</v>
      </c>
      <c r="N148" s="2">
        <f t="shared" si="8"/>
        <v>461.6</v>
      </c>
      <c r="O148" s="2"/>
      <c r="P148" s="2"/>
      <c r="Q148" s="2"/>
      <c r="R148" s="38"/>
      <c r="S148" s="2"/>
      <c r="T148" s="65"/>
    </row>
    <row r="149" spans="1:20" x14ac:dyDescent="0.2">
      <c r="A149" s="49" t="str">
        <f t="shared" si="9"/>
        <v>22/7.5-8</v>
      </c>
      <c r="B149" s="19" t="s">
        <v>641</v>
      </c>
      <c r="C149" s="19" t="s">
        <v>173</v>
      </c>
      <c r="D149" s="18" t="s">
        <v>173</v>
      </c>
      <c r="E149" s="19">
        <v>22</v>
      </c>
      <c r="F149" s="19" t="s">
        <v>264</v>
      </c>
      <c r="G149" s="2"/>
      <c r="H149" s="61" t="s">
        <v>222</v>
      </c>
      <c r="I149" s="2" t="s">
        <v>658</v>
      </c>
      <c r="J149" s="38">
        <v>45910</v>
      </c>
      <c r="K149" s="2">
        <v>3</v>
      </c>
      <c r="L149" s="2">
        <v>148.20000000000002</v>
      </c>
      <c r="M149" s="2">
        <v>6.8999999999999995</v>
      </c>
      <c r="N149" s="2">
        <f t="shared" si="8"/>
        <v>141.30000000000001</v>
      </c>
      <c r="O149" s="2"/>
      <c r="P149" s="2"/>
      <c r="Q149" s="2"/>
      <c r="R149" s="38"/>
      <c r="S149" s="2"/>
      <c r="T149" s="65"/>
    </row>
    <row r="150" spans="1:20" x14ac:dyDescent="0.2">
      <c r="A150" s="49" t="str">
        <f t="shared" si="9"/>
        <v>22/7.5-8</v>
      </c>
      <c r="B150" s="19" t="s">
        <v>641</v>
      </c>
      <c r="C150" s="19" t="s">
        <v>173</v>
      </c>
      <c r="D150" s="18" t="s">
        <v>173</v>
      </c>
      <c r="E150" s="19">
        <v>22</v>
      </c>
      <c r="F150" s="19" t="s">
        <v>264</v>
      </c>
      <c r="G150" s="2"/>
      <c r="H150" s="61" t="s">
        <v>222</v>
      </c>
      <c r="I150" s="2" t="s">
        <v>658</v>
      </c>
      <c r="J150" s="38">
        <v>45910</v>
      </c>
      <c r="K150" s="2">
        <v>3</v>
      </c>
      <c r="L150" s="2">
        <v>168.8</v>
      </c>
      <c r="M150" s="2">
        <v>7.8000000000000007</v>
      </c>
      <c r="N150" s="2">
        <f t="shared" si="8"/>
        <v>161</v>
      </c>
      <c r="O150" s="2"/>
      <c r="P150" s="2"/>
      <c r="Q150" s="2"/>
      <c r="R150" s="38"/>
      <c r="S150" s="2"/>
      <c r="T150" s="65"/>
    </row>
    <row r="151" spans="1:20" x14ac:dyDescent="0.2">
      <c r="A151" s="49" t="str">
        <f t="shared" si="9"/>
        <v>22/7.5-8</v>
      </c>
      <c r="B151" s="19" t="s">
        <v>641</v>
      </c>
      <c r="C151" s="19" t="s">
        <v>173</v>
      </c>
      <c r="D151" s="18" t="s">
        <v>173</v>
      </c>
      <c r="E151" s="19">
        <v>22</v>
      </c>
      <c r="F151" s="19" t="s">
        <v>264</v>
      </c>
      <c r="G151" s="2"/>
      <c r="H151" s="61" t="s">
        <v>222</v>
      </c>
      <c r="I151" s="2" t="s">
        <v>659</v>
      </c>
      <c r="J151" s="38">
        <v>45910</v>
      </c>
      <c r="K151" s="2">
        <v>3</v>
      </c>
      <c r="L151" s="2">
        <v>199.3</v>
      </c>
      <c r="M151" s="2">
        <v>7.8000000000000007</v>
      </c>
      <c r="N151" s="2">
        <f t="shared" si="8"/>
        <v>191.5</v>
      </c>
      <c r="O151" s="2"/>
      <c r="P151" s="2"/>
      <c r="Q151" s="2"/>
      <c r="R151" s="38"/>
      <c r="S151" s="2"/>
      <c r="T151" s="65"/>
    </row>
    <row r="152" spans="1:20" x14ac:dyDescent="0.2">
      <c r="A152" s="49" t="str">
        <f t="shared" si="9"/>
        <v>16/14-14.5</v>
      </c>
      <c r="B152" s="19" t="s">
        <v>172</v>
      </c>
      <c r="C152" s="19" t="s">
        <v>173</v>
      </c>
      <c r="D152" s="18" t="s">
        <v>173</v>
      </c>
      <c r="E152" s="19">
        <v>16</v>
      </c>
      <c r="F152" s="19" t="s">
        <v>527</v>
      </c>
      <c r="G152" s="2"/>
      <c r="H152" s="61" t="s">
        <v>222</v>
      </c>
      <c r="I152" s="2" t="s">
        <v>660</v>
      </c>
      <c r="J152" s="38">
        <v>45910</v>
      </c>
      <c r="K152" s="2">
        <v>2</v>
      </c>
      <c r="L152" s="2">
        <v>136.4</v>
      </c>
      <c r="M152" s="2">
        <v>4</v>
      </c>
      <c r="N152" s="2">
        <f t="shared" si="8"/>
        <v>132.4</v>
      </c>
      <c r="O152" s="2"/>
      <c r="P152" s="2"/>
      <c r="Q152" s="2"/>
      <c r="R152" s="38"/>
      <c r="S152" s="2"/>
      <c r="T152" s="65"/>
    </row>
    <row r="153" spans="1:20" x14ac:dyDescent="0.2">
      <c r="A153" s="49" t="str">
        <f t="shared" si="9"/>
        <v>16/12.5-13</v>
      </c>
      <c r="B153" s="19" t="s">
        <v>172</v>
      </c>
      <c r="C153" s="19" t="s">
        <v>173</v>
      </c>
      <c r="D153" s="18" t="s">
        <v>173</v>
      </c>
      <c r="E153" s="19">
        <v>16</v>
      </c>
      <c r="F153" s="19" t="s">
        <v>227</v>
      </c>
      <c r="G153" s="2"/>
      <c r="H153" s="61" t="s">
        <v>222</v>
      </c>
      <c r="I153" s="2" t="s">
        <v>661</v>
      </c>
      <c r="J153" s="38">
        <v>45910</v>
      </c>
      <c r="K153" s="2">
        <v>1</v>
      </c>
      <c r="L153" s="2">
        <v>65</v>
      </c>
      <c r="M153" s="2">
        <v>2</v>
      </c>
      <c r="N153" s="2">
        <f t="shared" si="8"/>
        <v>63</v>
      </c>
      <c r="O153" s="2"/>
      <c r="P153" s="2"/>
      <c r="Q153" s="2"/>
      <c r="R153" s="38"/>
      <c r="S153" s="2"/>
      <c r="T153" s="65"/>
    </row>
    <row r="154" spans="1:20" x14ac:dyDescent="0.2">
      <c r="A154" s="49" t="str">
        <f t="shared" si="9"/>
        <v>9/8.5-9</v>
      </c>
      <c r="B154" s="19" t="s">
        <v>172</v>
      </c>
      <c r="C154" s="19" t="s">
        <v>173</v>
      </c>
      <c r="D154" s="18" t="s">
        <v>173</v>
      </c>
      <c r="E154" s="19">
        <v>9</v>
      </c>
      <c r="F154" s="19" t="s">
        <v>171</v>
      </c>
      <c r="G154" s="2"/>
      <c r="H154" s="61" t="s">
        <v>222</v>
      </c>
      <c r="I154" s="2" t="s">
        <v>645</v>
      </c>
      <c r="J154" s="38">
        <v>45911</v>
      </c>
      <c r="K154" s="2">
        <v>2</v>
      </c>
      <c r="L154" s="2">
        <v>96.199999999999989</v>
      </c>
      <c r="M154" s="2">
        <v>2.2000000000000002</v>
      </c>
      <c r="N154" s="2">
        <f t="shared" si="8"/>
        <v>93.999999999999986</v>
      </c>
      <c r="O154" s="2"/>
      <c r="P154" s="2"/>
      <c r="Q154" s="2"/>
      <c r="R154" s="38"/>
      <c r="S154" s="2"/>
      <c r="T154" s="65"/>
    </row>
    <row r="155" spans="1:20" x14ac:dyDescent="0.2">
      <c r="A155" s="49" t="str">
        <f t="shared" si="9"/>
        <v>12/8.5-9</v>
      </c>
      <c r="B155" s="19" t="s">
        <v>172</v>
      </c>
      <c r="C155" s="19" t="s">
        <v>173</v>
      </c>
      <c r="D155" s="18" t="s">
        <v>173</v>
      </c>
      <c r="E155" s="19">
        <v>12</v>
      </c>
      <c r="F155" s="19" t="s">
        <v>171</v>
      </c>
      <c r="G155" s="2"/>
      <c r="H155" s="61" t="s">
        <v>222</v>
      </c>
      <c r="I155" s="2" t="s">
        <v>662</v>
      </c>
      <c r="J155" s="38">
        <v>45911</v>
      </c>
      <c r="K155" s="2">
        <v>2</v>
      </c>
      <c r="L155" s="2">
        <v>116.4</v>
      </c>
      <c r="M155" s="2">
        <v>2.9</v>
      </c>
      <c r="N155" s="2">
        <f t="shared" si="8"/>
        <v>113.5</v>
      </c>
      <c r="O155" s="2"/>
      <c r="P155" s="2"/>
      <c r="Q155" s="2"/>
      <c r="R155" s="38"/>
      <c r="S155" s="2"/>
      <c r="T155" s="65"/>
    </row>
    <row r="156" spans="1:20" x14ac:dyDescent="0.2">
      <c r="A156" s="49" t="str">
        <f t="shared" si="9"/>
        <v>12/8.5-9</v>
      </c>
      <c r="B156" s="19" t="s">
        <v>172</v>
      </c>
      <c r="C156" s="19" t="s">
        <v>173</v>
      </c>
      <c r="D156" s="18" t="s">
        <v>173</v>
      </c>
      <c r="E156" s="19">
        <v>12</v>
      </c>
      <c r="F156" s="19" t="s">
        <v>171</v>
      </c>
      <c r="G156" s="2"/>
      <c r="H156" s="61" t="s">
        <v>222</v>
      </c>
      <c r="I156" s="2" t="s">
        <v>662</v>
      </c>
      <c r="J156" s="38">
        <v>45911</v>
      </c>
      <c r="K156" s="2">
        <v>1</v>
      </c>
      <c r="L156" s="2">
        <v>56</v>
      </c>
      <c r="M156" s="2">
        <v>1.5</v>
      </c>
      <c r="N156" s="2">
        <f t="shared" si="8"/>
        <v>54.5</v>
      </c>
      <c r="O156" s="2"/>
      <c r="P156" s="2"/>
      <c r="Q156" s="2"/>
      <c r="R156" s="38"/>
      <c r="S156" s="2"/>
      <c r="T156" s="65"/>
    </row>
    <row r="157" spans="1:20" x14ac:dyDescent="0.2">
      <c r="A157" s="49" t="str">
        <f t="shared" si="9"/>
        <v>10/5</v>
      </c>
      <c r="B157" s="19" t="s">
        <v>164</v>
      </c>
      <c r="C157" s="19" t="s">
        <v>173</v>
      </c>
      <c r="D157" s="18" t="s">
        <v>173</v>
      </c>
      <c r="E157" s="19">
        <v>10</v>
      </c>
      <c r="F157" s="19" t="s">
        <v>40</v>
      </c>
      <c r="G157" s="2"/>
      <c r="H157" s="61" t="s">
        <v>222</v>
      </c>
      <c r="I157" s="2" t="s">
        <v>663</v>
      </c>
      <c r="J157" s="38">
        <v>45911</v>
      </c>
      <c r="K157" s="2">
        <v>4</v>
      </c>
      <c r="L157" s="2">
        <v>110.39999999999999</v>
      </c>
      <c r="M157" s="2">
        <v>5.2</v>
      </c>
      <c r="N157" s="2">
        <f t="shared" si="8"/>
        <v>105.19999999999999</v>
      </c>
      <c r="O157" s="2"/>
      <c r="P157" s="2"/>
      <c r="Q157" s="2"/>
      <c r="R157" s="38"/>
      <c r="S157" s="2"/>
      <c r="T157" s="65"/>
    </row>
    <row r="158" spans="1:20" x14ac:dyDescent="0.2">
      <c r="A158" s="49" t="str">
        <f t="shared" si="9"/>
        <v>5.5/8-8.5</v>
      </c>
      <c r="B158" s="19" t="s">
        <v>220</v>
      </c>
      <c r="C158" s="19" t="s">
        <v>173</v>
      </c>
      <c r="D158" s="18" t="s">
        <v>173</v>
      </c>
      <c r="E158" s="19">
        <v>5.5</v>
      </c>
      <c r="F158" s="19" t="s">
        <v>207</v>
      </c>
      <c r="G158" s="2"/>
      <c r="H158" s="61" t="s">
        <v>222</v>
      </c>
      <c r="I158" s="2" t="s">
        <v>664</v>
      </c>
      <c r="J158" s="38">
        <v>45911</v>
      </c>
      <c r="K158" s="2">
        <v>1</v>
      </c>
      <c r="L158" s="2">
        <v>37.4</v>
      </c>
      <c r="M158" s="2">
        <v>0.7</v>
      </c>
      <c r="N158" s="2">
        <f t="shared" si="8"/>
        <v>36.699999999999996</v>
      </c>
      <c r="O158" s="2"/>
      <c r="P158" s="2"/>
      <c r="Q158" s="2"/>
      <c r="R158" s="38"/>
      <c r="S158" s="2"/>
      <c r="T158" s="65"/>
    </row>
    <row r="159" spans="1:20" x14ac:dyDescent="0.2">
      <c r="A159" s="49" t="str">
        <f t="shared" si="9"/>
        <v>8/12-12.5</v>
      </c>
      <c r="B159" s="19" t="s">
        <v>638</v>
      </c>
      <c r="C159" s="19" t="s">
        <v>173</v>
      </c>
      <c r="D159" s="18" t="s">
        <v>173</v>
      </c>
      <c r="E159" s="19">
        <v>8</v>
      </c>
      <c r="F159" s="19" t="s">
        <v>639</v>
      </c>
      <c r="G159" s="2"/>
      <c r="H159" s="61" t="s">
        <v>222</v>
      </c>
      <c r="I159" s="2" t="s">
        <v>648</v>
      </c>
      <c r="J159" s="38">
        <v>45911</v>
      </c>
      <c r="K159" s="2">
        <v>1</v>
      </c>
      <c r="L159" s="2">
        <v>36.6</v>
      </c>
      <c r="M159" s="2">
        <v>1</v>
      </c>
      <c r="N159" s="2">
        <f t="shared" si="8"/>
        <v>35.6</v>
      </c>
      <c r="O159" s="2"/>
      <c r="P159" s="2"/>
      <c r="Q159" s="2"/>
      <c r="R159" s="38"/>
      <c r="S159" s="2"/>
      <c r="T159" s="65"/>
    </row>
    <row r="160" spans="1:20" x14ac:dyDescent="0.2">
      <c r="A160" s="49" t="str">
        <f t="shared" si="9"/>
        <v>8/8.5-9</v>
      </c>
      <c r="B160" s="19" t="s">
        <v>172</v>
      </c>
      <c r="C160" s="19" t="s">
        <v>173</v>
      </c>
      <c r="D160" s="18" t="s">
        <v>173</v>
      </c>
      <c r="E160" s="19">
        <v>8</v>
      </c>
      <c r="F160" s="19" t="s">
        <v>171</v>
      </c>
      <c r="G160" s="2"/>
      <c r="H160" s="61" t="s">
        <v>222</v>
      </c>
      <c r="I160" s="2" t="s">
        <v>665</v>
      </c>
      <c r="J160" s="38">
        <v>45911</v>
      </c>
      <c r="K160" s="2">
        <v>3</v>
      </c>
      <c r="L160" s="2">
        <v>128.4</v>
      </c>
      <c r="M160" s="2">
        <v>3</v>
      </c>
      <c r="N160" s="2">
        <f t="shared" si="8"/>
        <v>125.4</v>
      </c>
      <c r="O160" s="2"/>
      <c r="P160" s="2"/>
      <c r="Q160" s="2"/>
      <c r="R160" s="38"/>
      <c r="S160" s="2"/>
      <c r="T160" s="65"/>
    </row>
    <row r="161" spans="1:20" x14ac:dyDescent="0.2">
      <c r="A161" s="49" t="str">
        <f t="shared" si="9"/>
        <v>8/7</v>
      </c>
      <c r="B161" s="19" t="s">
        <v>164</v>
      </c>
      <c r="C161" s="19" t="s">
        <v>173</v>
      </c>
      <c r="D161" s="18" t="s">
        <v>173</v>
      </c>
      <c r="E161" s="19">
        <v>8</v>
      </c>
      <c r="F161" s="19" t="s">
        <v>19</v>
      </c>
      <c r="G161" s="2"/>
      <c r="H161" s="61" t="s">
        <v>222</v>
      </c>
      <c r="I161" s="2" t="s">
        <v>666</v>
      </c>
      <c r="J161" s="38">
        <v>45911</v>
      </c>
      <c r="K161" s="2">
        <v>3</v>
      </c>
      <c r="L161" s="2">
        <v>112.6</v>
      </c>
      <c r="M161" s="2">
        <v>3</v>
      </c>
      <c r="N161" s="2">
        <f t="shared" si="8"/>
        <v>109.6</v>
      </c>
      <c r="O161" s="2"/>
      <c r="P161" s="2"/>
      <c r="Q161" s="2"/>
      <c r="R161" s="38"/>
      <c r="S161" s="2"/>
      <c r="T161" s="65"/>
    </row>
    <row r="162" spans="1:20" x14ac:dyDescent="0.2">
      <c r="A162" s="49" t="str">
        <f t="shared" si="9"/>
        <v>8/5</v>
      </c>
      <c r="B162" s="19" t="s">
        <v>164</v>
      </c>
      <c r="C162" s="19" t="s">
        <v>173</v>
      </c>
      <c r="D162" s="18" t="s">
        <v>173</v>
      </c>
      <c r="E162" s="19">
        <v>8</v>
      </c>
      <c r="F162" s="19" t="s">
        <v>40</v>
      </c>
      <c r="G162" s="2"/>
      <c r="H162" s="61" t="s">
        <v>222</v>
      </c>
      <c r="I162" s="2" t="s">
        <v>667</v>
      </c>
      <c r="J162" s="38">
        <v>45911</v>
      </c>
      <c r="K162" s="2">
        <v>3</v>
      </c>
      <c r="L162" s="2">
        <v>79.2</v>
      </c>
      <c r="M162" s="2">
        <v>3</v>
      </c>
      <c r="N162" s="2">
        <f t="shared" si="8"/>
        <v>76.2</v>
      </c>
      <c r="O162" s="2"/>
      <c r="P162" s="2"/>
      <c r="Q162" s="2"/>
      <c r="R162" s="38"/>
      <c r="S162" s="2"/>
      <c r="T162" s="65"/>
    </row>
    <row r="163" spans="1:20" x14ac:dyDescent="0.2">
      <c r="A163" s="49" t="str">
        <f t="shared" si="9"/>
        <v>12/8-8.5</v>
      </c>
      <c r="B163" s="19" t="s">
        <v>220</v>
      </c>
      <c r="C163" s="19" t="s">
        <v>526</v>
      </c>
      <c r="D163" s="18" t="s">
        <v>173</v>
      </c>
      <c r="E163" s="19">
        <v>12</v>
      </c>
      <c r="F163" s="19" t="s">
        <v>207</v>
      </c>
      <c r="G163" s="2"/>
      <c r="H163" s="61" t="s">
        <v>222</v>
      </c>
      <c r="I163" s="2" t="s">
        <v>668</v>
      </c>
      <c r="J163" s="38">
        <v>45911</v>
      </c>
      <c r="K163" s="2">
        <v>4</v>
      </c>
      <c r="L163" s="2">
        <v>211.6</v>
      </c>
      <c r="M163" s="2">
        <v>6</v>
      </c>
      <c r="N163" s="2">
        <f t="shared" si="8"/>
        <v>205.6</v>
      </c>
      <c r="O163" s="2"/>
      <c r="P163" s="2"/>
      <c r="Q163" s="2"/>
      <c r="R163" s="38"/>
      <c r="S163" s="2"/>
      <c r="T163" s="65"/>
    </row>
    <row r="164" spans="1:20" x14ac:dyDescent="0.2">
      <c r="A164" s="49" t="str">
        <f t="shared" si="9"/>
        <v>12/10-10.5</v>
      </c>
      <c r="B164" s="19" t="s">
        <v>220</v>
      </c>
      <c r="C164" s="19" t="s">
        <v>526</v>
      </c>
      <c r="D164" s="18" t="s">
        <v>173</v>
      </c>
      <c r="E164" s="19">
        <v>12</v>
      </c>
      <c r="F164" s="19" t="s">
        <v>268</v>
      </c>
      <c r="G164" s="2"/>
      <c r="H164" s="61" t="s">
        <v>222</v>
      </c>
      <c r="I164" s="2" t="s">
        <v>669</v>
      </c>
      <c r="J164" s="38">
        <v>45911</v>
      </c>
      <c r="K164" s="2">
        <v>2</v>
      </c>
      <c r="L164" s="2">
        <v>121.19999999999999</v>
      </c>
      <c r="M164" s="2">
        <v>3</v>
      </c>
      <c r="N164" s="2">
        <f t="shared" si="8"/>
        <v>118.19999999999999</v>
      </c>
      <c r="O164" s="2"/>
      <c r="P164" s="2"/>
      <c r="Q164" s="2"/>
      <c r="R164" s="38"/>
      <c r="S164" s="2"/>
      <c r="T164" s="65"/>
    </row>
    <row r="165" spans="1:20" x14ac:dyDescent="0.2">
      <c r="A165" s="49" t="str">
        <f t="shared" si="9"/>
        <v>12/10-10.5</v>
      </c>
      <c r="B165" s="19" t="s">
        <v>220</v>
      </c>
      <c r="C165" s="19" t="s">
        <v>526</v>
      </c>
      <c r="D165" s="18" t="s">
        <v>173</v>
      </c>
      <c r="E165" s="19">
        <v>12</v>
      </c>
      <c r="F165" s="19" t="s">
        <v>268</v>
      </c>
      <c r="G165" s="2"/>
      <c r="H165" s="61" t="s">
        <v>222</v>
      </c>
      <c r="I165" s="2" t="s">
        <v>669</v>
      </c>
      <c r="J165" s="38">
        <v>45911</v>
      </c>
      <c r="K165" s="2">
        <v>2</v>
      </c>
      <c r="L165" s="2">
        <v>98.4</v>
      </c>
      <c r="M165" s="2">
        <v>3</v>
      </c>
      <c r="N165" s="2">
        <f t="shared" si="8"/>
        <v>95.4</v>
      </c>
      <c r="O165" s="2"/>
      <c r="P165" s="2"/>
      <c r="Q165" s="2"/>
      <c r="R165" s="38"/>
      <c r="S165" s="2"/>
      <c r="T165" s="65"/>
    </row>
    <row r="166" spans="1:20" x14ac:dyDescent="0.2">
      <c r="A166" s="49" t="str">
        <f t="shared" si="9"/>
        <v>11/8-8.5</v>
      </c>
      <c r="B166" s="19" t="s">
        <v>220</v>
      </c>
      <c r="C166" s="19" t="s">
        <v>526</v>
      </c>
      <c r="D166" s="18" t="s">
        <v>173</v>
      </c>
      <c r="E166" s="19">
        <v>11</v>
      </c>
      <c r="F166" s="19" t="s">
        <v>207</v>
      </c>
      <c r="G166" s="2"/>
      <c r="H166" s="61" t="s">
        <v>222</v>
      </c>
      <c r="I166" s="2" t="s">
        <v>670</v>
      </c>
      <c r="J166" s="38">
        <v>45911</v>
      </c>
      <c r="K166" s="2">
        <v>4</v>
      </c>
      <c r="L166" s="2">
        <v>205.63</v>
      </c>
      <c r="M166" s="2">
        <v>5.2</v>
      </c>
      <c r="N166" s="2">
        <f t="shared" si="8"/>
        <v>200.43</v>
      </c>
      <c r="O166" s="2"/>
      <c r="P166" s="2"/>
      <c r="Q166" s="2"/>
      <c r="R166" s="38"/>
      <c r="S166" s="2"/>
      <c r="T166" s="65"/>
    </row>
    <row r="167" spans="1:20" x14ac:dyDescent="0.2">
      <c r="A167" s="49" t="str">
        <f t="shared" si="9"/>
        <v>15/10.5-11</v>
      </c>
      <c r="B167" s="19" t="s">
        <v>163</v>
      </c>
      <c r="C167" s="19" t="s">
        <v>173</v>
      </c>
      <c r="D167" s="18" t="s">
        <v>173</v>
      </c>
      <c r="E167" s="19">
        <v>15</v>
      </c>
      <c r="F167" s="19" t="s">
        <v>640</v>
      </c>
      <c r="G167" s="2"/>
      <c r="H167" s="61" t="s">
        <v>222</v>
      </c>
      <c r="I167" s="2" t="s">
        <v>657</v>
      </c>
      <c r="J167" s="38">
        <v>45911</v>
      </c>
      <c r="K167" s="2">
        <v>5</v>
      </c>
      <c r="L167" s="2">
        <v>264.3</v>
      </c>
      <c r="M167" s="2">
        <v>9.2000000000000011</v>
      </c>
      <c r="N167" s="2">
        <f t="shared" si="8"/>
        <v>255.10000000000002</v>
      </c>
      <c r="O167" s="2"/>
      <c r="P167" s="2"/>
      <c r="Q167" s="2"/>
      <c r="R167" s="38"/>
      <c r="S167" s="2"/>
      <c r="T167" s="65"/>
    </row>
    <row r="168" spans="1:20" x14ac:dyDescent="0.2">
      <c r="A168" s="49" t="str">
        <f t="shared" si="9"/>
        <v>15/7.7.5</v>
      </c>
      <c r="B168" s="19" t="s">
        <v>163</v>
      </c>
      <c r="C168" s="19" t="s">
        <v>173</v>
      </c>
      <c r="D168" s="18" t="s">
        <v>173</v>
      </c>
      <c r="E168" s="19">
        <v>15</v>
      </c>
      <c r="F168" s="19" t="s">
        <v>226</v>
      </c>
      <c r="G168" s="2"/>
      <c r="H168" s="61" t="s">
        <v>222</v>
      </c>
      <c r="I168" s="2" t="s">
        <v>671</v>
      </c>
      <c r="J168" s="38">
        <v>45911</v>
      </c>
      <c r="K168" s="2">
        <v>1</v>
      </c>
      <c r="L168" s="2">
        <v>39.799999999999997</v>
      </c>
      <c r="M168" s="2">
        <v>1.7</v>
      </c>
      <c r="N168" s="2">
        <f t="shared" si="8"/>
        <v>38.099999999999994</v>
      </c>
      <c r="O168" s="2"/>
      <c r="P168" s="2"/>
      <c r="Q168" s="2"/>
      <c r="R168" s="38"/>
      <c r="S168" s="2"/>
      <c r="T168" s="65"/>
    </row>
    <row r="169" spans="1:20" x14ac:dyDescent="0.2">
      <c r="A169" s="49" t="str">
        <f t="shared" si="9"/>
        <v>17/12</v>
      </c>
      <c r="B169" s="19" t="s">
        <v>163</v>
      </c>
      <c r="C169" s="19" t="s">
        <v>173</v>
      </c>
      <c r="D169" s="18" t="s">
        <v>173</v>
      </c>
      <c r="E169" s="19">
        <v>17</v>
      </c>
      <c r="F169" s="19" t="s">
        <v>14</v>
      </c>
      <c r="G169" s="2"/>
      <c r="H169" s="61" t="s">
        <v>222</v>
      </c>
      <c r="I169" s="2" t="s">
        <v>672</v>
      </c>
      <c r="J169" s="38">
        <v>45911</v>
      </c>
      <c r="K169" s="2">
        <v>4</v>
      </c>
      <c r="L169" s="2">
        <v>194.4</v>
      </c>
      <c r="M169" s="2">
        <v>5.8500000000000005</v>
      </c>
      <c r="N169" s="2">
        <f t="shared" si="8"/>
        <v>188.55</v>
      </c>
      <c r="O169" s="2"/>
      <c r="P169" s="2"/>
      <c r="Q169" s="2"/>
      <c r="R169" s="38"/>
      <c r="S169" s="2"/>
      <c r="T169" s="65"/>
    </row>
    <row r="170" spans="1:20" x14ac:dyDescent="0.2">
      <c r="A170" s="49" t="str">
        <f t="shared" si="9"/>
        <v>16/12.5-13</v>
      </c>
      <c r="B170" s="19" t="s">
        <v>172</v>
      </c>
      <c r="C170" s="19" t="s">
        <v>173</v>
      </c>
      <c r="D170" s="18" t="s">
        <v>173</v>
      </c>
      <c r="E170" s="19">
        <v>16</v>
      </c>
      <c r="F170" s="19" t="s">
        <v>227</v>
      </c>
      <c r="G170" s="2"/>
      <c r="H170" s="61" t="s">
        <v>222</v>
      </c>
      <c r="I170" s="2" t="s">
        <v>661</v>
      </c>
      <c r="J170" s="38">
        <v>45911</v>
      </c>
      <c r="K170" s="2">
        <v>1</v>
      </c>
      <c r="L170" s="2">
        <v>65.400000000000006</v>
      </c>
      <c r="M170" s="2">
        <v>2</v>
      </c>
      <c r="N170" s="2">
        <f t="shared" si="8"/>
        <v>63.400000000000006</v>
      </c>
      <c r="O170" s="2"/>
      <c r="P170" s="2"/>
      <c r="Q170" s="2"/>
      <c r="R170" s="38"/>
      <c r="S170" s="2"/>
      <c r="T170" s="65"/>
    </row>
    <row r="171" spans="1:20" x14ac:dyDescent="0.2">
      <c r="A171" s="49" t="str">
        <f t="shared" si="9"/>
        <v>20/6-6.5</v>
      </c>
      <c r="B171" s="19" t="s">
        <v>642</v>
      </c>
      <c r="C171" s="19" t="s">
        <v>173</v>
      </c>
      <c r="D171" s="18" t="s">
        <v>173</v>
      </c>
      <c r="E171" s="19">
        <v>20</v>
      </c>
      <c r="F171" s="19" t="s">
        <v>578</v>
      </c>
      <c r="G171" s="2"/>
      <c r="H171" s="61" t="s">
        <v>222</v>
      </c>
      <c r="I171" s="2" t="s">
        <v>673</v>
      </c>
      <c r="J171" s="38">
        <v>45911</v>
      </c>
      <c r="K171" s="2">
        <v>5</v>
      </c>
      <c r="L171" s="2">
        <v>224.4</v>
      </c>
      <c r="M171" s="2">
        <v>11.6</v>
      </c>
      <c r="N171" s="2">
        <f t="shared" si="8"/>
        <v>212.8</v>
      </c>
      <c r="O171" s="2"/>
      <c r="P171" s="2"/>
      <c r="Q171" s="2"/>
      <c r="R171" s="38"/>
      <c r="S171" s="2"/>
      <c r="T171" s="65"/>
    </row>
    <row r="172" spans="1:20" x14ac:dyDescent="0.2">
      <c r="A172" s="49" t="str">
        <f t="shared" si="9"/>
        <v>24/7</v>
      </c>
      <c r="B172" s="19" t="s">
        <v>163</v>
      </c>
      <c r="C172" s="19" t="s">
        <v>173</v>
      </c>
      <c r="D172" s="18" t="s">
        <v>173</v>
      </c>
      <c r="E172" s="19">
        <v>24</v>
      </c>
      <c r="F172" s="19" t="s">
        <v>19</v>
      </c>
      <c r="G172" s="2"/>
      <c r="H172" s="61" t="s">
        <v>222</v>
      </c>
      <c r="I172" s="2" t="s">
        <v>564</v>
      </c>
      <c r="J172" s="38">
        <v>45911</v>
      </c>
      <c r="K172" s="2">
        <v>2</v>
      </c>
      <c r="L172" s="2">
        <v>142.80000000000001</v>
      </c>
      <c r="M172" s="2">
        <v>5.8</v>
      </c>
      <c r="N172" s="2">
        <f t="shared" si="8"/>
        <v>137</v>
      </c>
      <c r="O172" s="2"/>
      <c r="P172" s="2"/>
      <c r="Q172" s="2"/>
      <c r="R172" s="38"/>
      <c r="S172" s="2"/>
      <c r="T172" s="65"/>
    </row>
    <row r="173" spans="1:20" x14ac:dyDescent="0.2">
      <c r="A173" s="49" t="str">
        <f t="shared" si="9"/>
        <v>24/5.5-6</v>
      </c>
      <c r="B173" s="19" t="s">
        <v>643</v>
      </c>
      <c r="C173" s="19" t="s">
        <v>173</v>
      </c>
      <c r="D173" s="18" t="s">
        <v>173</v>
      </c>
      <c r="E173" s="19">
        <v>24</v>
      </c>
      <c r="F173" s="19" t="s">
        <v>5</v>
      </c>
      <c r="G173" s="5"/>
      <c r="H173" s="61" t="s">
        <v>222</v>
      </c>
      <c r="I173" s="5" t="s">
        <v>674</v>
      </c>
      <c r="J173" s="63">
        <v>45911</v>
      </c>
      <c r="K173" s="5">
        <v>5</v>
      </c>
      <c r="L173" s="5">
        <v>209.2</v>
      </c>
      <c r="M173" s="5">
        <v>14</v>
      </c>
      <c r="N173" s="2">
        <f t="shared" si="8"/>
        <v>195.2</v>
      </c>
      <c r="O173" s="5"/>
      <c r="P173" s="5"/>
      <c r="Q173" s="5"/>
      <c r="R173" s="63"/>
      <c r="S173" s="5"/>
      <c r="T173" s="67"/>
    </row>
    <row r="174" spans="1:20" x14ac:dyDescent="0.2">
      <c r="A174" s="49" t="str">
        <f t="shared" si="9"/>
        <v>22/6-6.5</v>
      </c>
      <c r="B174" s="19" t="s">
        <v>642</v>
      </c>
      <c r="C174" s="19" t="s">
        <v>173</v>
      </c>
      <c r="D174" s="18" t="s">
        <v>173</v>
      </c>
      <c r="E174" s="19">
        <v>22</v>
      </c>
      <c r="F174" s="19" t="s">
        <v>578</v>
      </c>
      <c r="G174" s="5"/>
      <c r="H174" s="61" t="s">
        <v>222</v>
      </c>
      <c r="I174" s="5" t="s">
        <v>675</v>
      </c>
      <c r="J174" s="63">
        <v>45911</v>
      </c>
      <c r="K174" s="5">
        <v>7</v>
      </c>
      <c r="L174" s="5">
        <v>270.2</v>
      </c>
      <c r="M174" s="5">
        <v>20.2</v>
      </c>
      <c r="N174" s="2">
        <f t="shared" si="8"/>
        <v>250</v>
      </c>
      <c r="O174" s="5"/>
      <c r="P174" s="5"/>
      <c r="Q174" s="5"/>
      <c r="R174" s="63"/>
      <c r="S174" s="5"/>
      <c r="T174" s="67"/>
    </row>
    <row r="175" spans="1:20" x14ac:dyDescent="0.2">
      <c r="A175" s="49" t="str">
        <f t="shared" si="9"/>
        <v>20+5.5+5.5/7.5-8/15-16</v>
      </c>
      <c r="B175" s="19" t="s">
        <v>89</v>
      </c>
      <c r="C175" s="19" t="s">
        <v>173</v>
      </c>
      <c r="D175" s="18" t="s">
        <v>173</v>
      </c>
      <c r="E175" s="19" t="s">
        <v>325</v>
      </c>
      <c r="F175" s="19" t="s">
        <v>644</v>
      </c>
      <c r="G175" s="5"/>
      <c r="H175" s="61" t="s">
        <v>222</v>
      </c>
      <c r="I175" s="5" t="s">
        <v>676</v>
      </c>
      <c r="J175" s="63">
        <v>45911</v>
      </c>
      <c r="K175" s="5">
        <v>4</v>
      </c>
      <c r="L175" s="5">
        <v>229.20000000000002</v>
      </c>
      <c r="M175" s="5">
        <v>9.6</v>
      </c>
      <c r="N175" s="2">
        <f t="shared" si="8"/>
        <v>219.60000000000002</v>
      </c>
      <c r="O175" s="5"/>
      <c r="P175" s="5"/>
      <c r="Q175" s="5"/>
      <c r="R175" s="63"/>
      <c r="S175" s="5"/>
      <c r="T175" s="67"/>
    </row>
    <row r="176" spans="1:20" x14ac:dyDescent="0.2">
      <c r="A176" s="49" t="str">
        <f t="shared" si="9"/>
        <v>8/12-12.5</v>
      </c>
      <c r="B176" s="19" t="s">
        <v>638</v>
      </c>
      <c r="C176" s="19" t="s">
        <v>173</v>
      </c>
      <c r="D176" s="18" t="s">
        <v>173</v>
      </c>
      <c r="E176" s="19">
        <v>8</v>
      </c>
      <c r="F176" s="19" t="s">
        <v>639</v>
      </c>
      <c r="G176" s="5"/>
      <c r="H176" s="5"/>
      <c r="I176" s="5"/>
      <c r="J176" s="63"/>
      <c r="K176" s="5"/>
      <c r="L176" s="5"/>
      <c r="M176" s="5"/>
      <c r="N176" s="5"/>
      <c r="O176" s="5" t="s">
        <v>186</v>
      </c>
      <c r="P176" s="5" t="s">
        <v>647</v>
      </c>
      <c r="Q176" s="5">
        <v>731</v>
      </c>
      <c r="R176" s="63">
        <v>45911</v>
      </c>
      <c r="S176" s="69">
        <v>2</v>
      </c>
      <c r="T176" s="69">
        <v>104.2</v>
      </c>
    </row>
    <row r="177" spans="1:20" x14ac:dyDescent="0.2">
      <c r="A177" s="49" t="str">
        <f t="shared" si="9"/>
        <v>23/8-8.5</v>
      </c>
      <c r="B177" s="19" t="s">
        <v>163</v>
      </c>
      <c r="C177" s="19" t="s">
        <v>173</v>
      </c>
      <c r="D177" s="18" t="s">
        <v>173</v>
      </c>
      <c r="E177" s="19">
        <v>23</v>
      </c>
      <c r="F177" s="19" t="s">
        <v>207</v>
      </c>
      <c r="G177" s="5"/>
      <c r="H177" s="5"/>
      <c r="I177" s="5"/>
      <c r="J177" s="63"/>
      <c r="K177" s="5"/>
      <c r="L177" s="5"/>
      <c r="M177" s="5"/>
      <c r="N177" s="5"/>
      <c r="O177" s="5" t="s">
        <v>186</v>
      </c>
      <c r="P177" s="5" t="s">
        <v>653</v>
      </c>
      <c r="Q177" s="5">
        <v>731</v>
      </c>
      <c r="R177" s="63">
        <v>45911</v>
      </c>
      <c r="S177" s="69">
        <v>3</v>
      </c>
      <c r="T177" s="69">
        <v>159.60000000000002</v>
      </c>
    </row>
    <row r="178" spans="1:20" x14ac:dyDescent="0.2">
      <c r="A178" s="49" t="str">
        <f t="shared" si="9"/>
        <v>8/12-12.5</v>
      </c>
      <c r="B178" s="19" t="s">
        <v>638</v>
      </c>
      <c r="C178" s="19" t="s">
        <v>173</v>
      </c>
      <c r="D178" s="18" t="s">
        <v>173</v>
      </c>
      <c r="E178" s="19">
        <v>8</v>
      </c>
      <c r="F178" s="19" t="s">
        <v>639</v>
      </c>
      <c r="G178" s="5"/>
      <c r="H178" s="5"/>
      <c r="I178" s="5"/>
      <c r="J178" s="63"/>
      <c r="K178" s="5"/>
      <c r="L178" s="5"/>
      <c r="M178" s="5"/>
      <c r="N178" s="5"/>
      <c r="O178" s="5" t="s">
        <v>186</v>
      </c>
      <c r="P178" s="5" t="s">
        <v>649</v>
      </c>
      <c r="Q178" s="5">
        <v>731</v>
      </c>
      <c r="R178" s="63">
        <v>45911</v>
      </c>
      <c r="S178" s="69">
        <v>2</v>
      </c>
      <c r="T178" s="69">
        <v>92.6</v>
      </c>
    </row>
    <row r="179" spans="1:20" x14ac:dyDescent="0.2">
      <c r="A179" s="49" t="str">
        <f t="shared" si="9"/>
        <v>8/12-12.5</v>
      </c>
      <c r="B179" s="19" t="s">
        <v>638</v>
      </c>
      <c r="C179" s="19" t="s">
        <v>173</v>
      </c>
      <c r="D179" s="18" t="s">
        <v>173</v>
      </c>
      <c r="E179" s="19">
        <v>8</v>
      </c>
      <c r="F179" s="19" t="s">
        <v>639</v>
      </c>
      <c r="G179" s="5"/>
      <c r="H179" s="5"/>
      <c r="I179" s="5"/>
      <c r="J179" s="63"/>
      <c r="K179" s="5"/>
      <c r="L179" s="5"/>
      <c r="M179" s="5"/>
      <c r="N179" s="5"/>
      <c r="O179" s="5" t="s">
        <v>186</v>
      </c>
      <c r="P179" s="5" t="s">
        <v>648</v>
      </c>
      <c r="Q179" s="5">
        <v>731</v>
      </c>
      <c r="R179" s="63">
        <v>45911</v>
      </c>
      <c r="S179" s="69">
        <v>3</v>
      </c>
      <c r="T179" s="69">
        <v>124</v>
      </c>
    </row>
    <row r="180" spans="1:20" x14ac:dyDescent="0.2">
      <c r="A180" s="49" t="str">
        <f t="shared" si="9"/>
        <v>19/12</v>
      </c>
      <c r="B180" s="19" t="s">
        <v>163</v>
      </c>
      <c r="C180" s="19" t="s">
        <v>173</v>
      </c>
      <c r="D180" s="18" t="s">
        <v>173</v>
      </c>
      <c r="E180" s="19">
        <v>19</v>
      </c>
      <c r="F180" s="19" t="s">
        <v>14</v>
      </c>
      <c r="G180" s="5"/>
      <c r="H180" s="5"/>
      <c r="I180" s="5"/>
      <c r="J180" s="63"/>
      <c r="K180" s="5"/>
      <c r="L180" s="5"/>
      <c r="M180" s="5"/>
      <c r="N180" s="5"/>
      <c r="O180" s="5" t="s">
        <v>186</v>
      </c>
      <c r="P180" s="5" t="s">
        <v>656</v>
      </c>
      <c r="Q180" s="5">
        <v>732</v>
      </c>
      <c r="R180" s="63">
        <v>45911</v>
      </c>
      <c r="S180" s="69">
        <v>1</v>
      </c>
      <c r="T180" s="69">
        <v>57.8</v>
      </c>
    </row>
    <row r="181" spans="1:20" x14ac:dyDescent="0.2">
      <c r="A181" s="49" t="str">
        <f t="shared" si="9"/>
        <v>8/12-12.5</v>
      </c>
      <c r="B181" s="19" t="s">
        <v>638</v>
      </c>
      <c r="C181" s="19" t="s">
        <v>173</v>
      </c>
      <c r="D181" s="18" t="s">
        <v>173</v>
      </c>
      <c r="E181" s="19">
        <v>8</v>
      </c>
      <c r="F181" s="19" t="s">
        <v>639</v>
      </c>
      <c r="G181" s="5"/>
      <c r="H181" s="5"/>
      <c r="I181" s="5"/>
      <c r="J181" s="63"/>
      <c r="K181" s="5"/>
      <c r="L181" s="5"/>
      <c r="M181" s="5"/>
      <c r="N181" s="5"/>
      <c r="O181" s="5" t="s">
        <v>186</v>
      </c>
      <c r="P181" s="5" t="s">
        <v>646</v>
      </c>
      <c r="Q181" s="5">
        <v>732</v>
      </c>
      <c r="R181" s="63">
        <v>45911</v>
      </c>
      <c r="S181" s="69">
        <v>2</v>
      </c>
      <c r="T181" s="69">
        <v>109.4</v>
      </c>
    </row>
    <row r="182" spans="1:20" x14ac:dyDescent="0.2">
      <c r="A182" s="49" t="str">
        <f t="shared" si="9"/>
        <v>16/14-14.5</v>
      </c>
      <c r="B182" s="19" t="s">
        <v>172</v>
      </c>
      <c r="C182" s="19" t="s">
        <v>173</v>
      </c>
      <c r="D182" s="18" t="s">
        <v>173</v>
      </c>
      <c r="E182" s="19">
        <v>16</v>
      </c>
      <c r="F182" s="19" t="s">
        <v>527</v>
      </c>
      <c r="G182" s="5"/>
      <c r="H182" s="5"/>
      <c r="I182" s="5"/>
      <c r="J182" s="63"/>
      <c r="K182" s="5"/>
      <c r="L182" s="5"/>
      <c r="M182" s="5"/>
      <c r="N182" s="5"/>
      <c r="O182" s="5" t="s">
        <v>186</v>
      </c>
      <c r="P182" s="5" t="s">
        <v>660</v>
      </c>
      <c r="Q182" s="5">
        <v>732</v>
      </c>
      <c r="R182" s="63">
        <v>45911</v>
      </c>
      <c r="S182" s="69">
        <v>2</v>
      </c>
      <c r="T182" s="69">
        <v>136.4</v>
      </c>
    </row>
    <row r="183" spans="1:20" x14ac:dyDescent="0.2">
      <c r="A183" s="49" t="str">
        <f t="shared" si="9"/>
        <v>16/12.5-13</v>
      </c>
      <c r="B183" s="19" t="s">
        <v>172</v>
      </c>
      <c r="C183" s="19" t="s">
        <v>173</v>
      </c>
      <c r="D183" s="18" t="s">
        <v>173</v>
      </c>
      <c r="E183" s="19">
        <v>16</v>
      </c>
      <c r="F183" s="19" t="s">
        <v>227</v>
      </c>
      <c r="G183" s="5"/>
      <c r="H183" s="5"/>
      <c r="I183" s="5"/>
      <c r="J183" s="63"/>
      <c r="K183" s="5"/>
      <c r="L183" s="5"/>
      <c r="M183" s="5"/>
      <c r="N183" s="5"/>
      <c r="O183" s="5" t="s">
        <v>186</v>
      </c>
      <c r="P183" s="5" t="s">
        <v>661</v>
      </c>
      <c r="Q183" s="5">
        <v>732</v>
      </c>
      <c r="R183" s="63">
        <v>45911</v>
      </c>
      <c r="S183" s="69">
        <v>2</v>
      </c>
      <c r="T183" s="69">
        <v>130.4</v>
      </c>
    </row>
    <row r="184" spans="1:20" x14ac:dyDescent="0.2">
      <c r="A184" s="49" t="str">
        <f t="shared" si="9"/>
        <v>28/12</v>
      </c>
      <c r="B184" s="19" t="s">
        <v>163</v>
      </c>
      <c r="C184" s="19" t="s">
        <v>173</v>
      </c>
      <c r="D184" s="18" t="s">
        <v>173</v>
      </c>
      <c r="E184" s="19">
        <v>28</v>
      </c>
      <c r="F184" s="19" t="s">
        <v>14</v>
      </c>
      <c r="G184" s="5"/>
      <c r="H184" s="5"/>
      <c r="I184" s="5"/>
      <c r="J184" s="63"/>
      <c r="K184" s="5"/>
      <c r="L184" s="5"/>
      <c r="M184" s="5"/>
      <c r="N184" s="5"/>
      <c r="O184" s="5" t="s">
        <v>186</v>
      </c>
      <c r="P184" s="5" t="s">
        <v>654</v>
      </c>
      <c r="Q184" s="5">
        <v>733</v>
      </c>
      <c r="R184" s="63">
        <v>45911</v>
      </c>
      <c r="S184" s="69">
        <v>1</v>
      </c>
      <c r="T184" s="69">
        <v>67.599999999999994</v>
      </c>
    </row>
    <row r="185" spans="1:20" x14ac:dyDescent="0.2">
      <c r="A185" s="49" t="str">
        <f t="shared" si="9"/>
        <v>28/12</v>
      </c>
      <c r="B185" s="19" t="s">
        <v>163</v>
      </c>
      <c r="C185" s="19" t="s">
        <v>173</v>
      </c>
      <c r="D185" s="18" t="s">
        <v>173</v>
      </c>
      <c r="E185" s="19">
        <v>28</v>
      </c>
      <c r="F185" s="19" t="s">
        <v>14</v>
      </c>
      <c r="G185" s="5"/>
      <c r="H185" s="5"/>
      <c r="I185" s="5"/>
      <c r="J185" s="63"/>
      <c r="K185" s="5"/>
      <c r="L185" s="5"/>
      <c r="M185" s="5"/>
      <c r="N185" s="5"/>
      <c r="O185" s="5" t="s">
        <v>186</v>
      </c>
      <c r="P185" s="5" t="s">
        <v>655</v>
      </c>
      <c r="Q185" s="5">
        <v>733</v>
      </c>
      <c r="R185" s="63">
        <v>45911</v>
      </c>
      <c r="S185" s="69">
        <v>2</v>
      </c>
      <c r="T185" s="69">
        <v>117.8</v>
      </c>
    </row>
    <row r="186" spans="1:20" x14ac:dyDescent="0.2">
      <c r="A186" s="49" t="str">
        <f t="shared" si="9"/>
        <v>11/8-8.5</v>
      </c>
      <c r="B186" s="19" t="s">
        <v>220</v>
      </c>
      <c r="C186" s="19" t="s">
        <v>173</v>
      </c>
      <c r="D186" s="18" t="s">
        <v>173</v>
      </c>
      <c r="E186" s="19">
        <v>11</v>
      </c>
      <c r="F186" s="19" t="s">
        <v>207</v>
      </c>
      <c r="G186" s="5"/>
      <c r="H186" s="5"/>
      <c r="I186" s="5"/>
      <c r="J186" s="63"/>
      <c r="K186" s="5"/>
      <c r="L186" s="5"/>
      <c r="M186" s="5"/>
      <c r="N186" s="5"/>
      <c r="O186" s="5" t="s">
        <v>186</v>
      </c>
      <c r="P186" s="5" t="s">
        <v>555</v>
      </c>
      <c r="Q186" s="5">
        <v>733</v>
      </c>
      <c r="R186" s="63">
        <v>45911</v>
      </c>
      <c r="S186" s="69">
        <v>6</v>
      </c>
      <c r="T186" s="69">
        <v>318.39999999999998</v>
      </c>
    </row>
    <row r="187" spans="1:20" x14ac:dyDescent="0.2">
      <c r="A187" s="49" t="str">
        <f t="shared" si="9"/>
        <v>15/10-10.5</v>
      </c>
      <c r="B187" s="19" t="s">
        <v>220</v>
      </c>
      <c r="C187" s="19" t="s">
        <v>526</v>
      </c>
      <c r="D187" s="18" t="s">
        <v>173</v>
      </c>
      <c r="E187" s="19">
        <v>15</v>
      </c>
      <c r="F187" s="19" t="s">
        <v>268</v>
      </c>
      <c r="G187" s="5"/>
      <c r="H187" s="5"/>
      <c r="I187" s="5"/>
      <c r="J187" s="63"/>
      <c r="K187" s="5"/>
      <c r="L187" s="5"/>
      <c r="M187" s="5"/>
      <c r="N187" s="5"/>
      <c r="O187" s="5" t="s">
        <v>186</v>
      </c>
      <c r="P187" s="5" t="s">
        <v>560</v>
      </c>
      <c r="Q187" s="5">
        <v>733</v>
      </c>
      <c r="R187" s="63">
        <v>45911</v>
      </c>
      <c r="S187" s="69">
        <v>6</v>
      </c>
      <c r="T187" s="69">
        <v>460.9</v>
      </c>
    </row>
    <row r="188" spans="1:20" x14ac:dyDescent="0.2">
      <c r="A188" s="49" t="str">
        <f t="shared" si="9"/>
        <v>15/10-10.5</v>
      </c>
      <c r="B188" s="19" t="s">
        <v>220</v>
      </c>
      <c r="C188" s="19" t="s">
        <v>526</v>
      </c>
      <c r="D188" s="18" t="s">
        <v>173</v>
      </c>
      <c r="E188" s="19">
        <v>15</v>
      </c>
      <c r="F188" s="19" t="s">
        <v>268</v>
      </c>
      <c r="G188" s="5"/>
      <c r="H188" s="5"/>
      <c r="I188" s="5"/>
      <c r="J188" s="63"/>
      <c r="K188" s="5"/>
      <c r="L188" s="5"/>
      <c r="M188" s="5"/>
      <c r="N188" s="5"/>
      <c r="O188" s="5" t="s">
        <v>186</v>
      </c>
      <c r="P188" s="5" t="s">
        <v>650</v>
      </c>
      <c r="Q188" s="5">
        <v>734</v>
      </c>
      <c r="R188" s="63">
        <v>45911</v>
      </c>
      <c r="S188" s="69">
        <v>6</v>
      </c>
      <c r="T188" s="69">
        <v>353.1</v>
      </c>
    </row>
    <row r="189" spans="1:20" x14ac:dyDescent="0.2">
      <c r="A189" s="49" t="str">
        <f t="shared" si="9"/>
        <v>18/10-10.5</v>
      </c>
      <c r="B189" s="19" t="s">
        <v>220</v>
      </c>
      <c r="C189" s="19" t="s">
        <v>526</v>
      </c>
      <c r="D189" s="18" t="s">
        <v>173</v>
      </c>
      <c r="E189" s="19">
        <v>18</v>
      </c>
      <c r="F189" s="19" t="s">
        <v>268</v>
      </c>
      <c r="G189" s="5"/>
      <c r="H189" s="5"/>
      <c r="I189" s="5"/>
      <c r="J189" s="63"/>
      <c r="K189" s="5"/>
      <c r="L189" s="5"/>
      <c r="M189" s="5"/>
      <c r="N189" s="5"/>
      <c r="O189" s="5" t="s">
        <v>186</v>
      </c>
      <c r="P189" s="5" t="s">
        <v>652</v>
      </c>
      <c r="Q189" s="5">
        <v>734</v>
      </c>
      <c r="R189" s="63">
        <v>45911</v>
      </c>
      <c r="S189" s="69">
        <v>2</v>
      </c>
      <c r="T189" s="69">
        <v>96.6</v>
      </c>
    </row>
    <row r="190" spans="1:20" x14ac:dyDescent="0.2">
      <c r="A190" s="49" t="str">
        <f t="shared" si="9"/>
        <v>18/10-10.5</v>
      </c>
      <c r="B190" s="19" t="s">
        <v>220</v>
      </c>
      <c r="C190" s="19" t="s">
        <v>526</v>
      </c>
      <c r="D190" s="18" t="s">
        <v>173</v>
      </c>
      <c r="E190" s="19">
        <v>18</v>
      </c>
      <c r="F190" s="19" t="s">
        <v>268</v>
      </c>
      <c r="G190" s="5"/>
      <c r="H190" s="5"/>
      <c r="I190" s="5"/>
      <c r="J190" s="63"/>
      <c r="K190" s="5"/>
      <c r="L190" s="5"/>
      <c r="M190" s="5"/>
      <c r="N190" s="5"/>
      <c r="O190" s="5" t="s">
        <v>186</v>
      </c>
      <c r="P190" s="5" t="s">
        <v>651</v>
      </c>
      <c r="Q190" s="5">
        <v>734</v>
      </c>
      <c r="R190" s="63">
        <v>45911</v>
      </c>
      <c r="S190" s="69">
        <v>2</v>
      </c>
      <c r="T190" s="69">
        <v>112.2</v>
      </c>
    </row>
    <row r="191" spans="1:20" x14ac:dyDescent="0.2">
      <c r="A191" s="49" t="str">
        <f t="shared" si="9"/>
        <v>12/8-8.5</v>
      </c>
      <c r="B191" s="19" t="s">
        <v>220</v>
      </c>
      <c r="C191" s="19" t="s">
        <v>526</v>
      </c>
      <c r="D191" s="18" t="s">
        <v>173</v>
      </c>
      <c r="E191" s="19">
        <v>12</v>
      </c>
      <c r="F191" s="19" t="s">
        <v>207</v>
      </c>
      <c r="G191" s="5"/>
      <c r="H191" s="5"/>
      <c r="I191" s="5"/>
      <c r="J191" s="63"/>
      <c r="K191" s="5"/>
      <c r="L191" s="5"/>
      <c r="M191" s="5"/>
      <c r="N191" s="5"/>
      <c r="O191" s="5" t="s">
        <v>186</v>
      </c>
      <c r="P191" s="5" t="s">
        <v>668</v>
      </c>
      <c r="Q191" s="5">
        <v>734</v>
      </c>
      <c r="R191" s="63">
        <v>45911</v>
      </c>
      <c r="S191" s="69">
        <v>4</v>
      </c>
      <c r="T191" s="69">
        <v>205.4</v>
      </c>
    </row>
    <row r="192" spans="1:20" x14ac:dyDescent="0.2">
      <c r="A192" s="49" t="str">
        <f t="shared" si="9"/>
        <v>20/6-6.5</v>
      </c>
      <c r="B192" s="19" t="s">
        <v>642</v>
      </c>
      <c r="C192" s="19" t="s">
        <v>173</v>
      </c>
      <c r="D192" s="18" t="s">
        <v>173</v>
      </c>
      <c r="E192" s="19">
        <v>20</v>
      </c>
      <c r="F192" s="19" t="s">
        <v>578</v>
      </c>
      <c r="G192" s="5"/>
      <c r="H192" s="5"/>
      <c r="I192" s="5"/>
      <c r="J192" s="63"/>
      <c r="K192" s="5"/>
      <c r="L192" s="5"/>
      <c r="M192" s="5"/>
      <c r="N192" s="5"/>
      <c r="O192" s="5" t="s">
        <v>186</v>
      </c>
      <c r="P192" s="5" t="s">
        <v>673</v>
      </c>
      <c r="Q192" s="5">
        <v>735</v>
      </c>
      <c r="R192" s="63">
        <v>45911</v>
      </c>
      <c r="S192" s="69">
        <v>5</v>
      </c>
      <c r="T192" s="69">
        <v>212.6</v>
      </c>
    </row>
    <row r="193" spans="1:20" x14ac:dyDescent="0.2">
      <c r="A193" s="49" t="str">
        <f t="shared" si="9"/>
        <v>24/7</v>
      </c>
      <c r="B193" s="19" t="s">
        <v>163</v>
      </c>
      <c r="C193" s="19" t="s">
        <v>173</v>
      </c>
      <c r="D193" s="18" t="s">
        <v>173</v>
      </c>
      <c r="E193" s="19">
        <v>24</v>
      </c>
      <c r="F193" s="19" t="s">
        <v>19</v>
      </c>
      <c r="G193" s="5"/>
      <c r="H193" s="5"/>
      <c r="I193" s="5"/>
      <c r="J193" s="63"/>
      <c r="K193" s="5"/>
      <c r="L193" s="5"/>
      <c r="M193" s="5"/>
      <c r="N193" s="5"/>
      <c r="O193" s="5" t="s">
        <v>186</v>
      </c>
      <c r="P193" s="5" t="s">
        <v>564</v>
      </c>
      <c r="Q193" s="5">
        <v>735</v>
      </c>
      <c r="R193" s="63">
        <v>45911</v>
      </c>
      <c r="S193" s="69">
        <v>5</v>
      </c>
      <c r="T193" s="69">
        <v>298.39999999999998</v>
      </c>
    </row>
    <row r="194" spans="1:20" x14ac:dyDescent="0.2">
      <c r="A194" s="49" t="str">
        <f t="shared" si="9"/>
        <v>16/14</v>
      </c>
      <c r="B194" s="19" t="s">
        <v>89</v>
      </c>
      <c r="C194" s="19" t="s">
        <v>173</v>
      </c>
      <c r="D194" s="18" t="s">
        <v>173</v>
      </c>
      <c r="E194" s="19">
        <v>16</v>
      </c>
      <c r="F194" s="19" t="s">
        <v>12</v>
      </c>
      <c r="G194" s="5"/>
      <c r="H194" s="5"/>
      <c r="I194" s="5"/>
      <c r="J194" s="63"/>
      <c r="K194" s="5"/>
      <c r="L194" s="5"/>
      <c r="M194" s="5"/>
      <c r="N194" s="5"/>
      <c r="O194" s="5" t="s">
        <v>186</v>
      </c>
      <c r="P194" s="5" t="s">
        <v>677</v>
      </c>
      <c r="Q194" s="5">
        <v>735</v>
      </c>
      <c r="R194" s="63">
        <v>45911</v>
      </c>
      <c r="S194" s="69">
        <v>1</v>
      </c>
      <c r="T194" s="69">
        <v>43.4</v>
      </c>
    </row>
    <row r="195" spans="1:20" x14ac:dyDescent="0.2">
      <c r="A195" s="49" t="str">
        <f t="shared" ref="A195:A258" si="10">CONCATENATE(E195,"/",F195)</f>
        <v>13/8-8.5</v>
      </c>
      <c r="B195" s="19" t="s">
        <v>220</v>
      </c>
      <c r="C195" s="19" t="s">
        <v>173</v>
      </c>
      <c r="D195" s="18" t="s">
        <v>173</v>
      </c>
      <c r="E195" s="19">
        <v>13</v>
      </c>
      <c r="F195" s="19" t="s">
        <v>207</v>
      </c>
      <c r="G195" s="5"/>
      <c r="H195" s="5"/>
      <c r="I195" s="5"/>
      <c r="J195" s="63"/>
      <c r="K195" s="5"/>
      <c r="L195" s="5"/>
      <c r="M195" s="5"/>
      <c r="N195" s="5"/>
      <c r="O195" s="5" t="s">
        <v>186</v>
      </c>
      <c r="P195" s="5" t="s">
        <v>678</v>
      </c>
      <c r="Q195" s="5">
        <v>735</v>
      </c>
      <c r="R195" s="63">
        <v>45911</v>
      </c>
      <c r="S195" s="69">
        <v>3</v>
      </c>
      <c r="T195" s="69">
        <v>162.19999999999999</v>
      </c>
    </row>
    <row r="196" spans="1:20" x14ac:dyDescent="0.2">
      <c r="A196" s="49" t="str">
        <f t="shared" si="10"/>
        <v>15/8-8.5</v>
      </c>
      <c r="B196" s="19" t="s">
        <v>163</v>
      </c>
      <c r="C196" s="19" t="s">
        <v>173</v>
      </c>
      <c r="D196" s="18" t="s">
        <v>173</v>
      </c>
      <c r="E196" s="19">
        <v>15</v>
      </c>
      <c r="F196" s="19" t="s">
        <v>207</v>
      </c>
      <c r="G196" s="5"/>
      <c r="H196" s="5"/>
      <c r="I196" s="5"/>
      <c r="J196" s="63"/>
      <c r="K196" s="5"/>
      <c r="L196" s="5"/>
      <c r="M196" s="5"/>
      <c r="N196" s="5"/>
      <c r="O196" s="5" t="s">
        <v>186</v>
      </c>
      <c r="P196" s="5" t="s">
        <v>556</v>
      </c>
      <c r="Q196" s="5">
        <v>736</v>
      </c>
      <c r="R196" s="63">
        <v>45911</v>
      </c>
      <c r="S196" s="69">
        <v>1</v>
      </c>
      <c r="T196" s="69">
        <v>68</v>
      </c>
    </row>
    <row r="197" spans="1:20" x14ac:dyDescent="0.2">
      <c r="A197" s="49" t="str">
        <f t="shared" si="10"/>
        <v>26.5/7</v>
      </c>
      <c r="B197" s="19" t="s">
        <v>163</v>
      </c>
      <c r="C197" s="19" t="s">
        <v>173</v>
      </c>
      <c r="D197" s="18" t="s">
        <v>173</v>
      </c>
      <c r="E197" s="19">
        <v>26.5</v>
      </c>
      <c r="F197" s="19" t="s">
        <v>19</v>
      </c>
      <c r="G197" s="5"/>
      <c r="H197" s="5"/>
      <c r="I197" s="5"/>
      <c r="J197" s="63"/>
      <c r="K197" s="5"/>
      <c r="L197" s="5"/>
      <c r="M197" s="5"/>
      <c r="N197" s="5"/>
      <c r="O197" s="5" t="s">
        <v>186</v>
      </c>
      <c r="P197" s="5" t="s">
        <v>562</v>
      </c>
      <c r="Q197" s="5">
        <v>736</v>
      </c>
      <c r="R197" s="63">
        <v>45911</v>
      </c>
      <c r="S197" s="69">
        <v>2</v>
      </c>
      <c r="T197" s="69">
        <v>121</v>
      </c>
    </row>
    <row r="198" spans="1:20" x14ac:dyDescent="0.2">
      <c r="A198" s="49" t="str">
        <f t="shared" si="10"/>
        <v>13/12.5-13</v>
      </c>
      <c r="B198" s="19" t="s">
        <v>172</v>
      </c>
      <c r="C198" s="19" t="s">
        <v>173</v>
      </c>
      <c r="D198" s="18" t="s">
        <v>173</v>
      </c>
      <c r="E198" s="19">
        <v>13</v>
      </c>
      <c r="F198" s="19" t="s">
        <v>227</v>
      </c>
      <c r="G198" s="5"/>
      <c r="H198" s="5"/>
      <c r="I198" s="5"/>
      <c r="J198" s="63"/>
      <c r="K198" s="5"/>
      <c r="L198" s="5"/>
      <c r="M198" s="5"/>
      <c r="N198" s="5"/>
      <c r="O198" s="2" t="s">
        <v>186</v>
      </c>
      <c r="P198" s="2" t="s">
        <v>679</v>
      </c>
      <c r="Q198" s="2">
        <v>736</v>
      </c>
      <c r="R198" s="38">
        <v>45911</v>
      </c>
      <c r="S198" s="71">
        <v>10</v>
      </c>
      <c r="T198" s="71">
        <v>393.8</v>
      </c>
    </row>
    <row r="199" spans="1:20" x14ac:dyDescent="0.2">
      <c r="A199" s="49" t="str">
        <f t="shared" si="10"/>
        <v>8/8.5-9</v>
      </c>
      <c r="B199" s="19" t="s">
        <v>172</v>
      </c>
      <c r="C199" s="19" t="s">
        <v>173</v>
      </c>
      <c r="D199" s="18" t="s">
        <v>173</v>
      </c>
      <c r="E199" s="19">
        <v>8</v>
      </c>
      <c r="F199" s="19" t="s">
        <v>171</v>
      </c>
      <c r="G199" s="5"/>
      <c r="H199" s="5"/>
      <c r="I199" s="5"/>
      <c r="J199" s="63"/>
      <c r="K199" s="5"/>
      <c r="L199" s="5"/>
      <c r="M199" s="5"/>
      <c r="N199" s="5"/>
      <c r="O199" s="5" t="s">
        <v>186</v>
      </c>
      <c r="P199" s="5" t="s">
        <v>665</v>
      </c>
      <c r="Q199" s="5">
        <v>736</v>
      </c>
      <c r="R199" s="63">
        <v>45911</v>
      </c>
      <c r="S199" s="69">
        <v>3</v>
      </c>
      <c r="T199" s="69">
        <v>125.4</v>
      </c>
    </row>
    <row r="200" spans="1:20" x14ac:dyDescent="0.2">
      <c r="A200" s="49" t="str">
        <f t="shared" si="10"/>
        <v>8/12-12.5</v>
      </c>
      <c r="B200" s="19" t="s">
        <v>638</v>
      </c>
      <c r="C200" s="19" t="s">
        <v>173</v>
      </c>
      <c r="D200" s="18" t="s">
        <v>173</v>
      </c>
      <c r="E200" s="19">
        <v>8</v>
      </c>
      <c r="F200" s="19" t="s">
        <v>639</v>
      </c>
      <c r="G200" s="5"/>
      <c r="H200" s="5" t="s">
        <v>702</v>
      </c>
      <c r="I200" s="5"/>
      <c r="J200" s="63"/>
      <c r="K200" s="5">
        <v>1</v>
      </c>
      <c r="L200" s="5">
        <v>42</v>
      </c>
      <c r="M200" s="5"/>
      <c r="N200" s="5"/>
      <c r="O200" s="5"/>
      <c r="P200" s="5"/>
      <c r="Q200" s="5"/>
      <c r="R200" s="63"/>
      <c r="S200" s="5"/>
      <c r="T200" s="67"/>
    </row>
    <row r="201" spans="1:20" x14ac:dyDescent="0.2">
      <c r="A201" s="49" t="str">
        <f t="shared" si="10"/>
        <v>5.5/8-8.5</v>
      </c>
      <c r="B201" s="19" t="s" cm="1">
        <v>220</v>
      </c>
      <c r="C201" s="19" t="s">
        <v>173</v>
      </c>
      <c r="D201" s="18" t="s">
        <v>173</v>
      </c>
      <c r="E201" s="19">
        <v>5.5</v>
      </c>
      <c r="F201" s="19" t="s">
        <v>207</v>
      </c>
      <c r="H201" s="5" t="s">
        <v>222</v>
      </c>
      <c r="I201" s="5" t="s">
        <v>664</v>
      </c>
      <c r="J201" s="63">
        <v>45912</v>
      </c>
      <c r="K201" s="5">
        <v>4</v>
      </c>
      <c r="L201" s="5">
        <v>142.20000000000002</v>
      </c>
      <c r="M201" s="5">
        <v>2.8</v>
      </c>
      <c r="N201" s="5">
        <f>+L201-M201</f>
        <v>139.4</v>
      </c>
      <c r="O201" s="5"/>
      <c r="P201" s="5"/>
      <c r="Q201" s="5"/>
      <c r="R201" s="63"/>
      <c r="S201" s="5"/>
      <c r="T201" s="67"/>
    </row>
    <row r="202" spans="1:20" x14ac:dyDescent="0.2">
      <c r="A202" s="49" t="str">
        <f t="shared" si="10"/>
        <v>5/5.5-6</v>
      </c>
      <c r="B202" s="19" t="s" cm="1">
        <v>89</v>
      </c>
      <c r="C202" s="19" t="s">
        <v>173</v>
      </c>
      <c r="D202" s="18" t="s">
        <v>173</v>
      </c>
      <c r="E202" s="19">
        <v>5</v>
      </c>
      <c r="F202" s="19" t="s">
        <v>5</v>
      </c>
      <c r="H202" s="5" t="s">
        <v>222</v>
      </c>
      <c r="I202" s="5" t="s">
        <v>748</v>
      </c>
      <c r="J202" s="63">
        <v>45912</v>
      </c>
      <c r="K202" s="5">
        <v>2</v>
      </c>
      <c r="L202" s="5">
        <v>59.6</v>
      </c>
      <c r="M202" s="5">
        <v>1.4</v>
      </c>
      <c r="N202" s="5">
        <f t="shared" ref="N202:N220" si="11">+L202-M202</f>
        <v>58.2</v>
      </c>
      <c r="O202" s="5"/>
      <c r="P202" s="5"/>
      <c r="Q202" s="5"/>
      <c r="R202" s="63"/>
      <c r="S202" s="5"/>
      <c r="T202" s="67"/>
    </row>
    <row r="203" spans="1:20" x14ac:dyDescent="0.2">
      <c r="A203" s="49" t="str">
        <f t="shared" si="10"/>
        <v>10/8-8.5</v>
      </c>
      <c r="B203" s="19" t="s" cm="1">
        <v>220</v>
      </c>
      <c r="C203" s="19" t="s">
        <v>173</v>
      </c>
      <c r="D203" s="18" t="s">
        <v>173</v>
      </c>
      <c r="E203" s="19">
        <v>10</v>
      </c>
      <c r="F203" s="19" t="s">
        <v>207</v>
      </c>
      <c r="H203" s="5" t="s">
        <v>222</v>
      </c>
      <c r="I203" s="5" t="s">
        <v>749</v>
      </c>
      <c r="J203" s="63">
        <v>45912</v>
      </c>
      <c r="K203" s="5">
        <v>1</v>
      </c>
      <c r="L203" s="5">
        <v>41</v>
      </c>
      <c r="M203" s="5">
        <v>1.2</v>
      </c>
      <c r="N203" s="5">
        <f t="shared" si="11"/>
        <v>39.799999999999997</v>
      </c>
      <c r="O203" s="5"/>
      <c r="P203" s="5"/>
      <c r="Q203" s="5"/>
      <c r="R203" s="63"/>
      <c r="S203" s="5"/>
      <c r="T203" s="67"/>
    </row>
    <row r="204" spans="1:20" x14ac:dyDescent="0.2">
      <c r="A204" s="49" t="str">
        <f t="shared" si="10"/>
        <v>/</v>
      </c>
      <c r="B204" s="19" t="s">
        <v>260</v>
      </c>
      <c r="C204" s="19"/>
      <c r="D204" s="18" t="s">
        <v>173</v>
      </c>
      <c r="E204" s="19"/>
      <c r="F204" s="19"/>
      <c r="H204" s="5" t="s">
        <v>222</v>
      </c>
      <c r="I204" s="5" t="s">
        <v>565</v>
      </c>
      <c r="J204" s="63">
        <v>45912</v>
      </c>
      <c r="K204" s="5">
        <v>1</v>
      </c>
      <c r="L204" s="5">
        <v>55.4</v>
      </c>
      <c r="M204" s="5">
        <v>2.8</v>
      </c>
      <c r="N204" s="5">
        <f t="shared" si="11"/>
        <v>52.6</v>
      </c>
      <c r="O204" s="5"/>
      <c r="P204" s="5"/>
      <c r="Q204" s="5"/>
      <c r="R204" s="63"/>
      <c r="S204" s="5"/>
      <c r="T204" s="67"/>
    </row>
    <row r="205" spans="1:20" x14ac:dyDescent="0.2">
      <c r="A205" s="49" t="str">
        <f t="shared" si="10"/>
        <v>8/5</v>
      </c>
      <c r="B205" s="19" t="s">
        <v>164</v>
      </c>
      <c r="C205" s="19" t="s">
        <v>173</v>
      </c>
      <c r="D205" s="18" t="s">
        <v>173</v>
      </c>
      <c r="E205" s="19">
        <v>8</v>
      </c>
      <c r="F205" s="19" t="s">
        <v>40</v>
      </c>
      <c r="H205" s="5" t="s">
        <v>222</v>
      </c>
      <c r="I205" s="5" t="s">
        <v>667</v>
      </c>
      <c r="J205" s="63">
        <v>45912</v>
      </c>
      <c r="K205" s="5">
        <v>1</v>
      </c>
      <c r="L205" s="5">
        <v>31.8</v>
      </c>
      <c r="M205" s="5">
        <v>1</v>
      </c>
      <c r="N205" s="5">
        <f t="shared" si="11"/>
        <v>30.8</v>
      </c>
      <c r="O205" s="5"/>
      <c r="P205" s="5"/>
      <c r="Q205" s="5"/>
      <c r="R205" s="63"/>
      <c r="S205" s="5"/>
      <c r="T205" s="67"/>
    </row>
    <row r="206" spans="1:20" x14ac:dyDescent="0.2">
      <c r="A206" s="49" t="str">
        <f t="shared" si="10"/>
        <v>14/5.5-6</v>
      </c>
      <c r="B206" s="19" t="s">
        <v>723</v>
      </c>
      <c r="C206" s="19" t="s">
        <v>173</v>
      </c>
      <c r="D206" s="18" t="s">
        <v>173</v>
      </c>
      <c r="E206" s="19">
        <v>14</v>
      </c>
      <c r="F206" s="19" t="s">
        <v>5</v>
      </c>
      <c r="H206" s="5" t="s">
        <v>222</v>
      </c>
      <c r="I206" s="5" t="s">
        <v>738</v>
      </c>
      <c r="J206" s="63">
        <v>45912</v>
      </c>
      <c r="K206" s="5">
        <v>4</v>
      </c>
      <c r="L206" s="5">
        <v>130.4</v>
      </c>
      <c r="M206" s="5">
        <v>5.3</v>
      </c>
      <c r="N206" s="5">
        <f t="shared" si="11"/>
        <v>125.10000000000001</v>
      </c>
      <c r="O206" s="5"/>
      <c r="P206" s="5"/>
      <c r="Q206" s="5"/>
      <c r="R206" s="63"/>
      <c r="S206" s="5"/>
      <c r="T206" s="67"/>
    </row>
    <row r="207" spans="1:20" x14ac:dyDescent="0.2">
      <c r="A207" s="49" t="str">
        <f t="shared" si="10"/>
        <v>14/7.5-8</v>
      </c>
      <c r="B207" s="19" t="s">
        <v>724</v>
      </c>
      <c r="C207" s="19" t="s">
        <v>173</v>
      </c>
      <c r="D207" s="18" t="s">
        <v>173</v>
      </c>
      <c r="E207" s="19">
        <v>14</v>
      </c>
      <c r="F207" s="19" t="s">
        <v>264</v>
      </c>
      <c r="H207" s="5" t="s">
        <v>222</v>
      </c>
      <c r="I207" s="5" t="s">
        <v>739</v>
      </c>
      <c r="J207" s="63">
        <v>45912</v>
      </c>
      <c r="K207" s="5">
        <v>1</v>
      </c>
      <c r="L207" s="5">
        <v>67</v>
      </c>
      <c r="M207" s="5">
        <v>1.8</v>
      </c>
      <c r="N207" s="5">
        <f t="shared" si="11"/>
        <v>65.2</v>
      </c>
      <c r="O207" s="5"/>
      <c r="P207" s="5"/>
      <c r="Q207" s="5"/>
      <c r="R207" s="63"/>
      <c r="S207" s="5"/>
      <c r="T207" s="67"/>
    </row>
    <row r="208" spans="1:20" x14ac:dyDescent="0.2">
      <c r="A208" s="49" t="str">
        <f t="shared" si="10"/>
        <v>4/10</v>
      </c>
      <c r="B208" s="19" t="s">
        <v>164</v>
      </c>
      <c r="C208" s="19" t="s">
        <v>173</v>
      </c>
      <c r="D208" s="18" t="s">
        <v>173</v>
      </c>
      <c r="E208" s="19">
        <v>4</v>
      </c>
      <c r="F208" s="19">
        <v>10</v>
      </c>
      <c r="H208" s="5" t="s">
        <v>222</v>
      </c>
      <c r="I208" s="5" t="s">
        <v>740</v>
      </c>
      <c r="J208" s="63">
        <v>45912</v>
      </c>
      <c r="K208" s="5">
        <v>3</v>
      </c>
      <c r="L208" s="5">
        <v>148.60000000000002</v>
      </c>
      <c r="M208" s="5">
        <v>4.8000000000000007</v>
      </c>
      <c r="N208" s="5">
        <f t="shared" si="11"/>
        <v>143.80000000000001</v>
      </c>
      <c r="O208" s="5"/>
      <c r="P208" s="5"/>
      <c r="Q208" s="5"/>
      <c r="R208" s="63"/>
      <c r="S208" s="5"/>
      <c r="T208" s="67"/>
    </row>
    <row r="209" spans="1:20" x14ac:dyDescent="0.2">
      <c r="A209" s="49" t="str">
        <f t="shared" si="10"/>
        <v>15/6-6.5</v>
      </c>
      <c r="B209" s="19" t="s">
        <v>725</v>
      </c>
      <c r="C209" s="19" t="s">
        <v>173</v>
      </c>
      <c r="D209" s="18" t="s">
        <v>173</v>
      </c>
      <c r="E209" s="19">
        <v>15</v>
      </c>
      <c r="F209" s="19" t="s">
        <v>578</v>
      </c>
      <c r="H209" s="5" t="s">
        <v>222</v>
      </c>
      <c r="I209" s="5" t="s">
        <v>741</v>
      </c>
      <c r="J209" s="63">
        <v>45912</v>
      </c>
      <c r="K209" s="5">
        <v>3</v>
      </c>
      <c r="L209" s="5">
        <v>100.80000000000001</v>
      </c>
      <c r="M209" s="5">
        <v>5.0999999999999996</v>
      </c>
      <c r="N209" s="5">
        <f t="shared" si="11"/>
        <v>95.700000000000017</v>
      </c>
      <c r="O209" s="5"/>
      <c r="P209" s="5"/>
      <c r="Q209" s="5"/>
      <c r="R209" s="63"/>
      <c r="S209" s="5"/>
      <c r="T209" s="67"/>
    </row>
    <row r="210" spans="1:20" x14ac:dyDescent="0.2">
      <c r="A210" s="49" t="str">
        <f t="shared" si="10"/>
        <v>7/10-10.5</v>
      </c>
      <c r="B210" s="19" t="s">
        <v>726</v>
      </c>
      <c r="C210" s="19" t="s">
        <v>525</v>
      </c>
      <c r="D210" s="18" t="s">
        <v>173</v>
      </c>
      <c r="E210" s="19">
        <v>7</v>
      </c>
      <c r="F210" s="19" t="s">
        <v>268</v>
      </c>
      <c r="H210" s="5" t="s">
        <v>222</v>
      </c>
      <c r="I210" s="5" t="s">
        <v>742</v>
      </c>
      <c r="J210" s="63">
        <v>45912</v>
      </c>
      <c r="K210" s="5">
        <v>2</v>
      </c>
      <c r="L210" s="5">
        <v>108.6</v>
      </c>
      <c r="M210" s="5">
        <v>1.9</v>
      </c>
      <c r="N210" s="5">
        <f t="shared" si="11"/>
        <v>106.69999999999999</v>
      </c>
      <c r="O210" s="5"/>
      <c r="P210" s="5"/>
      <c r="Q210" s="5"/>
      <c r="R210" s="63"/>
      <c r="S210" s="5"/>
      <c r="T210" s="67"/>
    </row>
    <row r="211" spans="1:20" x14ac:dyDescent="0.2">
      <c r="A211" s="49" t="str">
        <f t="shared" si="10"/>
        <v>29" شیٹ/7.5-8/15-16</v>
      </c>
      <c r="B211" s="19" t="s">
        <v>727</v>
      </c>
      <c r="C211" s="19" t="s">
        <v>728</v>
      </c>
      <c r="D211" s="18" t="s">
        <v>173</v>
      </c>
      <c r="E211" s="19" t="s">
        <v>729</v>
      </c>
      <c r="F211" s="19" t="s">
        <v>644</v>
      </c>
      <c r="H211" s="5" t="s">
        <v>222</v>
      </c>
      <c r="I211" s="5" t="s">
        <v>743</v>
      </c>
      <c r="J211" s="63">
        <v>45912</v>
      </c>
      <c r="K211" s="5">
        <v>4</v>
      </c>
      <c r="L211" s="5">
        <v>347.4</v>
      </c>
      <c r="M211" s="5">
        <v>15.2</v>
      </c>
      <c r="N211" s="5">
        <f t="shared" si="11"/>
        <v>332.2</v>
      </c>
      <c r="O211" s="5"/>
      <c r="P211" s="5"/>
      <c r="Q211" s="5"/>
      <c r="R211" s="63"/>
      <c r="S211" s="5"/>
      <c r="T211" s="67"/>
    </row>
    <row r="212" spans="1:20" x14ac:dyDescent="0.2">
      <c r="A212" s="49" t="str">
        <f t="shared" si="10"/>
        <v>14+4+4/6-6.5/12-13</v>
      </c>
      <c r="B212" s="19" t="s">
        <v>730</v>
      </c>
      <c r="C212" s="19" t="s">
        <v>731</v>
      </c>
      <c r="D212" s="18" t="s">
        <v>173</v>
      </c>
      <c r="E212" s="19" t="s">
        <v>732</v>
      </c>
      <c r="F212" s="19" t="s">
        <v>208</v>
      </c>
      <c r="H212" s="5" t="s">
        <v>222</v>
      </c>
      <c r="I212" s="5" t="s">
        <v>744</v>
      </c>
      <c r="J212" s="63">
        <v>45912</v>
      </c>
      <c r="K212" s="5">
        <v>2</v>
      </c>
      <c r="L212" s="5">
        <v>115.2</v>
      </c>
      <c r="M212" s="5">
        <v>3.4</v>
      </c>
      <c r="N212" s="5">
        <f t="shared" si="11"/>
        <v>111.8</v>
      </c>
      <c r="O212" s="5"/>
      <c r="P212" s="5"/>
      <c r="Q212" s="5"/>
      <c r="R212" s="63"/>
      <c r="S212" s="5"/>
      <c r="T212" s="67"/>
    </row>
    <row r="213" spans="1:20" x14ac:dyDescent="0.2">
      <c r="A213" s="49" t="str">
        <f t="shared" si="10"/>
        <v>22/12</v>
      </c>
      <c r="B213" s="19" t="s">
        <v>260</v>
      </c>
      <c r="C213" s="19"/>
      <c r="D213" s="18" t="s">
        <v>173</v>
      </c>
      <c r="E213" s="19" t="s">
        <v>36</v>
      </c>
      <c r="F213" s="19" t="s">
        <v>14</v>
      </c>
      <c r="H213" s="5" t="s">
        <v>222</v>
      </c>
      <c r="I213" s="5" t="s">
        <v>565</v>
      </c>
      <c r="J213" s="63">
        <v>45912</v>
      </c>
      <c r="K213" s="5">
        <v>1</v>
      </c>
      <c r="L213" s="5">
        <v>52</v>
      </c>
      <c r="M213" s="5">
        <v>2.6</v>
      </c>
      <c r="N213" s="5">
        <f t="shared" si="11"/>
        <v>49.4</v>
      </c>
      <c r="O213" s="5"/>
      <c r="P213" s="5"/>
      <c r="Q213" s="5"/>
      <c r="R213" s="63"/>
      <c r="S213" s="5"/>
      <c r="T213" s="67"/>
    </row>
    <row r="214" spans="1:20" x14ac:dyDescent="0.2">
      <c r="A214" s="49" t="str">
        <f t="shared" si="10"/>
        <v>17/12</v>
      </c>
      <c r="B214" s="19" t="s">
        <v>163</v>
      </c>
      <c r="C214" s="19" t="s">
        <v>173</v>
      </c>
      <c r="D214" s="18" t="s">
        <v>173</v>
      </c>
      <c r="E214" s="19">
        <v>17</v>
      </c>
      <c r="F214" s="19" t="s">
        <v>14</v>
      </c>
      <c r="H214" s="5" t="s">
        <v>222</v>
      </c>
      <c r="I214" s="5" t="s">
        <v>672</v>
      </c>
      <c r="J214" s="63">
        <v>45912</v>
      </c>
      <c r="K214" s="5">
        <v>3</v>
      </c>
      <c r="L214" s="5">
        <v>236.20000000000002</v>
      </c>
      <c r="M214" s="5">
        <v>6</v>
      </c>
      <c r="N214" s="5">
        <f t="shared" si="11"/>
        <v>230.20000000000002</v>
      </c>
      <c r="O214" s="5"/>
      <c r="P214" s="5"/>
      <c r="Q214" s="5"/>
      <c r="R214" s="63"/>
      <c r="S214" s="5"/>
      <c r="T214" s="67"/>
    </row>
    <row r="215" spans="1:20" x14ac:dyDescent="0.2">
      <c r="A215" s="49" t="str">
        <f t="shared" si="10"/>
        <v>19/12</v>
      </c>
      <c r="B215" s="19" t="s">
        <v>163</v>
      </c>
      <c r="C215" s="19" t="s">
        <v>173</v>
      </c>
      <c r="D215" s="18" t="s">
        <v>173</v>
      </c>
      <c r="E215" s="19">
        <v>19</v>
      </c>
      <c r="F215" s="19" t="s">
        <v>14</v>
      </c>
      <c r="H215" s="5" t="s">
        <v>222</v>
      </c>
      <c r="I215" s="5" t="s">
        <v>745</v>
      </c>
      <c r="J215" s="63">
        <v>45912</v>
      </c>
      <c r="K215" s="5">
        <v>1</v>
      </c>
      <c r="L215" s="5">
        <v>66.599999999999994</v>
      </c>
      <c r="M215" s="5">
        <v>2.2000000000000002</v>
      </c>
      <c r="N215" s="5">
        <f t="shared" si="11"/>
        <v>64.399999999999991</v>
      </c>
      <c r="O215" s="5"/>
      <c r="P215" s="5"/>
      <c r="Q215" s="5"/>
      <c r="R215" s="63"/>
      <c r="S215" s="5"/>
      <c r="T215" s="67"/>
    </row>
    <row r="216" spans="1:20" x14ac:dyDescent="0.2">
      <c r="A216" s="49" t="str">
        <f t="shared" si="10"/>
        <v>19/12</v>
      </c>
      <c r="B216" s="19" t="s">
        <v>163</v>
      </c>
      <c r="C216" s="19" t="s">
        <v>173</v>
      </c>
      <c r="D216" s="18" t="s">
        <v>173</v>
      </c>
      <c r="E216" s="19">
        <v>19</v>
      </c>
      <c r="F216" s="19" t="s">
        <v>14</v>
      </c>
      <c r="H216" s="5" t="s">
        <v>222</v>
      </c>
      <c r="I216" s="5" t="s">
        <v>745</v>
      </c>
      <c r="J216" s="63">
        <v>45912</v>
      </c>
      <c r="K216" s="5">
        <v>5</v>
      </c>
      <c r="L216" s="5">
        <v>345.1</v>
      </c>
      <c r="M216" s="5">
        <v>11.100000000000001</v>
      </c>
      <c r="N216" s="5">
        <f t="shared" si="11"/>
        <v>334</v>
      </c>
      <c r="O216" s="5"/>
      <c r="P216" s="5"/>
      <c r="Q216" s="5"/>
      <c r="R216" s="63"/>
      <c r="S216" s="5"/>
      <c r="T216" s="67"/>
    </row>
    <row r="217" spans="1:20" x14ac:dyDescent="0.2">
      <c r="A217" s="49" t="str">
        <f t="shared" si="10"/>
        <v>18/13-13.5</v>
      </c>
      <c r="B217" s="19" t="s">
        <v>733</v>
      </c>
      <c r="C217" s="19" t="s">
        <v>173</v>
      </c>
      <c r="D217" s="18" t="s">
        <v>173</v>
      </c>
      <c r="E217" s="19">
        <v>18</v>
      </c>
      <c r="F217" s="19" t="s">
        <v>734</v>
      </c>
      <c r="H217" s="5" t="s">
        <v>222</v>
      </c>
      <c r="I217" s="5" t="s">
        <v>746</v>
      </c>
      <c r="J217" s="63">
        <v>45912</v>
      </c>
      <c r="K217" s="5">
        <v>2</v>
      </c>
      <c r="L217" s="5">
        <v>109.6</v>
      </c>
      <c r="M217" s="5">
        <v>4</v>
      </c>
      <c r="N217" s="5">
        <f t="shared" si="11"/>
        <v>105.6</v>
      </c>
      <c r="O217" s="5"/>
      <c r="P217" s="5"/>
      <c r="Q217" s="5"/>
      <c r="R217" s="63"/>
      <c r="S217" s="5"/>
      <c r="T217" s="67"/>
    </row>
    <row r="218" spans="1:20" x14ac:dyDescent="0.2">
      <c r="A218" s="49" t="str">
        <f t="shared" si="10"/>
        <v>20+5.5+5.5/7.5-8/15-16</v>
      </c>
      <c r="B218" s="19" t="s">
        <v>89</v>
      </c>
      <c r="C218" s="19" t="s">
        <v>173</v>
      </c>
      <c r="D218" s="18" t="s">
        <v>173</v>
      </c>
      <c r="E218" s="19" t="s">
        <v>325</v>
      </c>
      <c r="F218" s="19" t="s">
        <v>644</v>
      </c>
      <c r="H218" s="5" t="s">
        <v>222</v>
      </c>
      <c r="I218" s="5" t="s">
        <v>676</v>
      </c>
      <c r="J218" s="63">
        <v>45912</v>
      </c>
      <c r="K218" s="5">
        <v>2</v>
      </c>
      <c r="L218" s="5">
        <v>83.8</v>
      </c>
      <c r="M218" s="5">
        <v>4.8</v>
      </c>
      <c r="N218" s="5">
        <f t="shared" si="11"/>
        <v>79</v>
      </c>
      <c r="O218" s="5"/>
      <c r="P218" s="5"/>
      <c r="Q218" s="5"/>
      <c r="R218" s="63"/>
      <c r="S218" s="5"/>
      <c r="T218" s="67"/>
    </row>
    <row r="219" spans="1:20" x14ac:dyDescent="0.2">
      <c r="A219" s="49" t="str">
        <f t="shared" si="10"/>
        <v>28-28.5/95±1</v>
      </c>
      <c r="B219" s="19" t="s">
        <v>735</v>
      </c>
      <c r="C219" s="19" t="s">
        <v>173</v>
      </c>
      <c r="D219" s="18" t="s">
        <v>173</v>
      </c>
      <c r="E219" s="19" t="s">
        <v>736</v>
      </c>
      <c r="F219" s="19" t="s">
        <v>737</v>
      </c>
      <c r="H219" s="5" t="s">
        <v>222</v>
      </c>
      <c r="I219" s="5" t="s">
        <v>747</v>
      </c>
      <c r="J219" s="63">
        <v>45912</v>
      </c>
      <c r="K219" s="5">
        <v>6</v>
      </c>
      <c r="L219" s="5">
        <v>576.6</v>
      </c>
      <c r="M219" s="5">
        <v>20.399999999999999</v>
      </c>
      <c r="N219" s="5">
        <f t="shared" si="11"/>
        <v>556.20000000000005</v>
      </c>
      <c r="O219" s="5"/>
      <c r="P219" s="5"/>
      <c r="Q219" s="5"/>
      <c r="R219" s="63"/>
      <c r="S219" s="5"/>
      <c r="T219" s="67"/>
    </row>
    <row r="220" spans="1:20" x14ac:dyDescent="0.2">
      <c r="A220" s="49" t="str">
        <f t="shared" si="10"/>
        <v>28-28.5/95±1</v>
      </c>
      <c r="B220" s="19" t="s">
        <v>735</v>
      </c>
      <c r="C220" s="19" t="s">
        <v>173</v>
      </c>
      <c r="D220" s="18" t="s">
        <v>173</v>
      </c>
      <c r="E220" s="19" t="s">
        <v>736</v>
      </c>
      <c r="F220" s="19" t="s">
        <v>737</v>
      </c>
      <c r="H220" s="5" t="s">
        <v>222</v>
      </c>
      <c r="I220" s="5" t="s">
        <v>747</v>
      </c>
      <c r="J220" s="63">
        <v>45912</v>
      </c>
      <c r="K220" s="5">
        <v>8</v>
      </c>
      <c r="L220" s="5">
        <v>855.79999999999984</v>
      </c>
      <c r="M220" s="5">
        <v>27.2</v>
      </c>
      <c r="N220" s="5">
        <f t="shared" si="11"/>
        <v>828.5999999999998</v>
      </c>
      <c r="O220" s="5"/>
      <c r="P220" s="5"/>
      <c r="Q220" s="5"/>
      <c r="R220" s="63"/>
      <c r="S220" s="5"/>
      <c r="T220" s="67"/>
    </row>
    <row r="221" spans="1:20" x14ac:dyDescent="0.2">
      <c r="A221" s="49" t="str">
        <f t="shared" si="10"/>
        <v>8.5-9/26</v>
      </c>
      <c r="B221" s="19" t="s">
        <v>172</v>
      </c>
      <c r="C221" s="19" t="s">
        <v>173</v>
      </c>
      <c r="D221" s="18" t="s">
        <v>173</v>
      </c>
      <c r="E221" s="19" t="s">
        <v>171</v>
      </c>
      <c r="F221" s="19">
        <v>26</v>
      </c>
      <c r="G221" s="5"/>
      <c r="H221" s="5" t="s">
        <v>186</v>
      </c>
      <c r="I221" s="5" t="s">
        <v>751</v>
      </c>
      <c r="J221" s="63">
        <v>45910</v>
      </c>
      <c r="K221" s="5">
        <v>2</v>
      </c>
      <c r="L221" s="5">
        <v>115.5</v>
      </c>
      <c r="M221" s="5"/>
      <c r="N221" s="5">
        <v>115.5</v>
      </c>
      <c r="O221" s="5"/>
      <c r="P221" s="5"/>
      <c r="Q221" s="5"/>
      <c r="R221" s="63"/>
      <c r="S221" s="5"/>
      <c r="T221" s="67"/>
    </row>
    <row r="222" spans="1:20" x14ac:dyDescent="0.2">
      <c r="A222" s="49" t="str">
        <f t="shared" si="10"/>
        <v>7-7.5/6</v>
      </c>
      <c r="B222" s="19" t="s">
        <v>750</v>
      </c>
      <c r="C222" s="19" t="s">
        <v>173</v>
      </c>
      <c r="D222" s="18" t="s">
        <v>173</v>
      </c>
      <c r="E222" s="19" t="s">
        <v>224</v>
      </c>
      <c r="F222" s="19">
        <v>6</v>
      </c>
      <c r="G222" s="5"/>
      <c r="H222" s="5" t="s">
        <v>752</v>
      </c>
      <c r="I222" s="5"/>
      <c r="J222" s="63">
        <v>45912</v>
      </c>
      <c r="K222" s="5">
        <v>1</v>
      </c>
      <c r="L222" s="5">
        <v>42.8</v>
      </c>
      <c r="M222" s="5"/>
      <c r="N222" s="5">
        <v>42.8</v>
      </c>
      <c r="O222" s="5"/>
      <c r="P222" s="5"/>
      <c r="Q222" s="5"/>
      <c r="R222" s="63"/>
      <c r="S222" s="5"/>
      <c r="T222" s="67"/>
    </row>
    <row r="223" spans="1:20" x14ac:dyDescent="0.2">
      <c r="A223" s="49" t="str">
        <f t="shared" si="10"/>
        <v>9/8.5-9</v>
      </c>
      <c r="B223" s="19" t="s">
        <v>172</v>
      </c>
      <c r="C223" s="19" t="s">
        <v>173</v>
      </c>
      <c r="D223" s="18" t="s">
        <v>173</v>
      </c>
      <c r="E223" s="19">
        <v>9</v>
      </c>
      <c r="F223" s="19" t="s">
        <v>171</v>
      </c>
      <c r="H223" s="5"/>
      <c r="I223" s="5"/>
      <c r="J223" s="63"/>
      <c r="K223" s="5"/>
      <c r="L223" s="5"/>
      <c r="M223" s="5"/>
      <c r="N223" s="5"/>
      <c r="O223" s="5" t="s">
        <v>186</v>
      </c>
      <c r="P223" s="5" t="s">
        <v>645</v>
      </c>
      <c r="Q223" s="5">
        <v>737</v>
      </c>
      <c r="R223" s="63">
        <v>45912</v>
      </c>
      <c r="S223" s="5">
        <v>8</v>
      </c>
      <c r="T223" s="67">
        <v>399.8</v>
      </c>
    </row>
    <row r="224" spans="1:20" x14ac:dyDescent="0.2">
      <c r="A224" s="49" t="str">
        <f t="shared" si="10"/>
        <v>10/5</v>
      </c>
      <c r="B224" s="19" t="s">
        <v>164</v>
      </c>
      <c r="C224" s="19" t="s">
        <v>173</v>
      </c>
      <c r="D224" s="18" t="s">
        <v>173</v>
      </c>
      <c r="E224" s="19">
        <v>10</v>
      </c>
      <c r="F224" s="19" t="s">
        <v>40</v>
      </c>
      <c r="H224" s="5"/>
      <c r="I224" s="5"/>
      <c r="J224" s="63"/>
      <c r="K224" s="5"/>
      <c r="L224" s="5"/>
      <c r="M224" s="5"/>
      <c r="N224" s="5"/>
      <c r="O224" s="5" t="s">
        <v>186</v>
      </c>
      <c r="P224" s="5" t="s">
        <v>663</v>
      </c>
      <c r="Q224" s="5">
        <v>737</v>
      </c>
      <c r="R224" s="63">
        <v>45912</v>
      </c>
      <c r="S224" s="5">
        <v>4</v>
      </c>
      <c r="T224" s="67">
        <v>110.39999999999999</v>
      </c>
    </row>
    <row r="225" spans="1:20" x14ac:dyDescent="0.2">
      <c r="A225" s="49" t="str">
        <f t="shared" si="10"/>
        <v>8/7</v>
      </c>
      <c r="B225" s="19" t="s">
        <v>164</v>
      </c>
      <c r="C225" s="19" t="s">
        <v>173</v>
      </c>
      <c r="D225" s="18" t="s">
        <v>173</v>
      </c>
      <c r="E225" s="19">
        <v>8</v>
      </c>
      <c r="F225" s="19" t="s">
        <v>19</v>
      </c>
      <c r="H225" s="5"/>
      <c r="I225" s="5"/>
      <c r="J225" s="63"/>
      <c r="K225" s="5"/>
      <c r="L225" s="5"/>
      <c r="M225" s="5"/>
      <c r="N225" s="5"/>
      <c r="O225" s="5" t="s">
        <v>186</v>
      </c>
      <c r="P225" s="5" t="s">
        <v>666</v>
      </c>
      <c r="Q225" s="5">
        <v>737</v>
      </c>
      <c r="R225" s="63">
        <v>45912</v>
      </c>
      <c r="S225" s="5">
        <v>3</v>
      </c>
      <c r="T225" s="67">
        <v>112.6</v>
      </c>
    </row>
    <row r="226" spans="1:20" x14ac:dyDescent="0.2">
      <c r="A226" s="49" t="str">
        <f t="shared" si="10"/>
        <v>15/7.7.5</v>
      </c>
      <c r="B226" s="19" t="s">
        <v>163</v>
      </c>
      <c r="C226" s="19" t="s">
        <v>173</v>
      </c>
      <c r="D226" s="18" t="s">
        <v>173</v>
      </c>
      <c r="E226" s="19">
        <v>15</v>
      </c>
      <c r="F226" s="19" t="s">
        <v>226</v>
      </c>
      <c r="H226" s="5"/>
      <c r="I226" s="5"/>
      <c r="J226" s="63"/>
      <c r="K226" s="5"/>
      <c r="L226" s="5"/>
      <c r="M226" s="5"/>
      <c r="N226" s="5"/>
      <c r="O226" s="5" t="s">
        <v>186</v>
      </c>
      <c r="P226" s="5" t="s">
        <v>671</v>
      </c>
      <c r="Q226" s="5">
        <v>737</v>
      </c>
      <c r="R226" s="63">
        <v>45912</v>
      </c>
      <c r="S226" s="5">
        <v>1</v>
      </c>
      <c r="T226" s="67">
        <v>39.799999999999997</v>
      </c>
    </row>
    <row r="227" spans="1:20" x14ac:dyDescent="0.2">
      <c r="A227" s="49" t="str">
        <f t="shared" si="10"/>
        <v>20+5.5+5.5/7.5-8/15-16</v>
      </c>
      <c r="B227" s="19" t="s">
        <v>89</v>
      </c>
      <c r="C227" s="19" t="s">
        <v>173</v>
      </c>
      <c r="D227" s="18" t="s">
        <v>173</v>
      </c>
      <c r="E227" s="19" t="s">
        <v>325</v>
      </c>
      <c r="F227" s="19" t="s">
        <v>644</v>
      </c>
      <c r="H227" s="5"/>
      <c r="I227" s="5"/>
      <c r="J227" s="63"/>
      <c r="K227" s="5"/>
      <c r="L227" s="5"/>
      <c r="M227" s="5"/>
      <c r="N227" s="5"/>
      <c r="O227" s="5" t="s">
        <v>186</v>
      </c>
      <c r="P227" s="5" t="s">
        <v>676</v>
      </c>
      <c r="Q227" s="5">
        <v>738</v>
      </c>
      <c r="R227" s="63">
        <v>45912</v>
      </c>
      <c r="S227" s="5">
        <v>8</v>
      </c>
      <c r="T227" s="67">
        <v>401.6</v>
      </c>
    </row>
    <row r="228" spans="1:20" x14ac:dyDescent="0.2">
      <c r="A228" s="49" t="str">
        <f t="shared" si="10"/>
        <v>24/5.5-6</v>
      </c>
      <c r="B228" s="19" t="s">
        <v>643</v>
      </c>
      <c r="C228" s="19" t="s">
        <v>173</v>
      </c>
      <c r="D228" s="18" t="s">
        <v>173</v>
      </c>
      <c r="E228" s="19">
        <v>24</v>
      </c>
      <c r="F228" s="19" t="s">
        <v>5</v>
      </c>
      <c r="H228" s="5"/>
      <c r="I228" s="5"/>
      <c r="J228" s="63"/>
      <c r="K228" s="5"/>
      <c r="L228" s="5"/>
      <c r="M228" s="5"/>
      <c r="N228" s="5"/>
      <c r="O228" s="5" t="s">
        <v>186</v>
      </c>
      <c r="P228" s="5" t="s">
        <v>674</v>
      </c>
      <c r="Q228" s="5">
        <v>738</v>
      </c>
      <c r="R228" s="63">
        <v>45912</v>
      </c>
      <c r="S228" s="5">
        <v>5</v>
      </c>
      <c r="T228" s="67">
        <v>195.2</v>
      </c>
    </row>
    <row r="229" spans="1:20" x14ac:dyDescent="0.2">
      <c r="A229" s="49" t="str">
        <f t="shared" si="10"/>
        <v>11/8-8.5</v>
      </c>
      <c r="B229" s="19" t="s">
        <v>220</v>
      </c>
      <c r="C229" s="19" t="s">
        <v>526</v>
      </c>
      <c r="D229" s="18" t="s">
        <v>173</v>
      </c>
      <c r="E229" s="19">
        <v>11</v>
      </c>
      <c r="F229" s="19" t="s">
        <v>207</v>
      </c>
      <c r="H229" s="5"/>
      <c r="I229" s="5"/>
      <c r="J229" s="63"/>
      <c r="K229" s="5"/>
      <c r="L229" s="5"/>
      <c r="M229" s="5"/>
      <c r="N229" s="5"/>
      <c r="O229" s="5" t="s">
        <v>186</v>
      </c>
      <c r="P229" s="5" t="s">
        <v>670</v>
      </c>
      <c r="Q229" s="5">
        <v>738</v>
      </c>
      <c r="R229" s="63">
        <v>45912</v>
      </c>
      <c r="S229" s="5">
        <v>4</v>
      </c>
      <c r="T229" s="67">
        <v>200.9</v>
      </c>
    </row>
    <row r="230" spans="1:20" x14ac:dyDescent="0.2">
      <c r="A230" s="49" t="str">
        <f t="shared" si="10"/>
        <v>22/6-6.5</v>
      </c>
      <c r="B230" s="19" t="s">
        <v>642</v>
      </c>
      <c r="C230" s="19" t="s">
        <v>173</v>
      </c>
      <c r="D230" s="18" t="s">
        <v>173</v>
      </c>
      <c r="E230" s="19">
        <v>22</v>
      </c>
      <c r="F230" s="19" t="s">
        <v>578</v>
      </c>
      <c r="H230" s="5"/>
      <c r="I230" s="5"/>
      <c r="J230" s="63"/>
      <c r="K230" s="5"/>
      <c r="L230" s="5"/>
      <c r="M230" s="5"/>
      <c r="N230" s="5"/>
      <c r="O230" s="5" t="s">
        <v>186</v>
      </c>
      <c r="P230" s="5" t="s">
        <v>675</v>
      </c>
      <c r="Q230" s="5">
        <v>738</v>
      </c>
      <c r="R230" s="63">
        <v>45912</v>
      </c>
      <c r="S230" s="5">
        <v>7</v>
      </c>
      <c r="T230" s="67">
        <v>252.6</v>
      </c>
    </row>
    <row r="231" spans="1:20" x14ac:dyDescent="0.2">
      <c r="A231" s="49" t="str">
        <f t="shared" si="10"/>
        <v>12/8.5-9</v>
      </c>
      <c r="B231" s="19" t="s">
        <v>172</v>
      </c>
      <c r="C231" s="19" t="s">
        <v>173</v>
      </c>
      <c r="D231" s="18" t="s">
        <v>173</v>
      </c>
      <c r="E231" s="19">
        <v>12</v>
      </c>
      <c r="F231" s="19" t="s">
        <v>171</v>
      </c>
      <c r="H231" s="5"/>
      <c r="I231" s="5"/>
      <c r="J231" s="63"/>
      <c r="K231" s="5"/>
      <c r="L231" s="5"/>
      <c r="M231" s="5"/>
      <c r="N231" s="5"/>
      <c r="O231" s="5" t="s">
        <v>186</v>
      </c>
      <c r="P231" s="5" t="s">
        <v>662</v>
      </c>
      <c r="Q231" s="5">
        <v>739</v>
      </c>
      <c r="R231" s="63">
        <v>45912</v>
      </c>
      <c r="S231" s="5">
        <v>3</v>
      </c>
      <c r="T231" s="67">
        <v>168</v>
      </c>
    </row>
    <row r="232" spans="1:20" x14ac:dyDescent="0.2">
      <c r="A232" s="49" t="str">
        <f t="shared" si="10"/>
        <v>15/10.5-11</v>
      </c>
      <c r="B232" s="19" t="s">
        <v>163</v>
      </c>
      <c r="C232" s="19" t="s">
        <v>173</v>
      </c>
      <c r="D232" s="18" t="s">
        <v>173</v>
      </c>
      <c r="E232" s="19">
        <v>15</v>
      </c>
      <c r="F232" s="19" t="s">
        <v>640</v>
      </c>
      <c r="H232" s="5"/>
      <c r="I232" s="5"/>
      <c r="J232" s="63"/>
      <c r="K232" s="5"/>
      <c r="L232" s="5"/>
      <c r="M232" s="5"/>
      <c r="N232" s="5"/>
      <c r="O232" s="5" t="s">
        <v>186</v>
      </c>
      <c r="P232" s="5" t="s">
        <v>657</v>
      </c>
      <c r="Q232" s="5">
        <v>739</v>
      </c>
      <c r="R232" s="63">
        <v>45912</v>
      </c>
      <c r="S232" s="5">
        <v>10</v>
      </c>
      <c r="T232" s="67">
        <v>510.4</v>
      </c>
    </row>
    <row r="233" spans="1:20" x14ac:dyDescent="0.2">
      <c r="A233" s="49" t="str">
        <f t="shared" si="10"/>
        <v>12/10-10.5</v>
      </c>
      <c r="B233" s="19" t="s">
        <v>220</v>
      </c>
      <c r="C233" s="19" t="s">
        <v>526</v>
      </c>
      <c r="D233" s="18" t="s">
        <v>173</v>
      </c>
      <c r="E233" s="19">
        <v>12</v>
      </c>
      <c r="F233" s="19" t="s">
        <v>268</v>
      </c>
      <c r="H233" s="5"/>
      <c r="I233" s="5"/>
      <c r="J233" s="63"/>
      <c r="K233" s="5"/>
      <c r="L233" s="5"/>
      <c r="M233" s="5"/>
      <c r="N233" s="5"/>
      <c r="O233" s="5" t="s">
        <v>186</v>
      </c>
      <c r="P233" s="5" t="s">
        <v>669</v>
      </c>
      <c r="Q233" s="5">
        <v>739</v>
      </c>
      <c r="R233" s="63">
        <v>45912</v>
      </c>
      <c r="S233" s="5">
        <v>4</v>
      </c>
      <c r="T233" s="67">
        <v>213.6</v>
      </c>
    </row>
    <row r="234" spans="1:20" x14ac:dyDescent="0.2">
      <c r="A234" s="49" t="str">
        <f t="shared" si="10"/>
        <v>14/5.5-6</v>
      </c>
      <c r="B234" s="19" t="s">
        <v>723</v>
      </c>
      <c r="C234" s="19" t="s">
        <v>173</v>
      </c>
      <c r="D234" s="18" t="s">
        <v>173</v>
      </c>
      <c r="E234" s="19">
        <v>14</v>
      </c>
      <c r="F234" s="19" t="s">
        <v>5</v>
      </c>
      <c r="H234" s="5"/>
      <c r="I234" s="5"/>
      <c r="J234" s="63"/>
      <c r="K234" s="5"/>
      <c r="L234" s="5"/>
      <c r="M234" s="5"/>
      <c r="N234" s="5"/>
      <c r="O234" s="5" t="s">
        <v>186</v>
      </c>
      <c r="P234" s="5" t="s">
        <v>738</v>
      </c>
      <c r="Q234" s="5">
        <v>739</v>
      </c>
      <c r="R234" s="63">
        <v>45912</v>
      </c>
      <c r="S234" s="5">
        <v>4</v>
      </c>
      <c r="T234" s="67">
        <v>123.5</v>
      </c>
    </row>
    <row r="235" spans="1:20" x14ac:dyDescent="0.2">
      <c r="A235" s="49" t="str">
        <f t="shared" si="10"/>
        <v>10/8-8.5</v>
      </c>
      <c r="B235" s="19" t="s">
        <v>220</v>
      </c>
      <c r="C235" s="19" t="s">
        <v>173</v>
      </c>
      <c r="D235" s="18" t="s">
        <v>173</v>
      </c>
      <c r="E235" s="19">
        <v>10</v>
      </c>
      <c r="F235" s="19" t="s">
        <v>207</v>
      </c>
      <c r="G235" s="5"/>
      <c r="H235" s="5" t="s">
        <v>222</v>
      </c>
      <c r="I235" s="5" t="s">
        <v>749</v>
      </c>
      <c r="J235" s="63">
        <v>45913</v>
      </c>
      <c r="K235" s="5" t="s">
        <v>40</v>
      </c>
      <c r="L235" s="5">
        <v>142</v>
      </c>
      <c r="M235" s="5">
        <v>6</v>
      </c>
      <c r="N235" s="5">
        <v>136</v>
      </c>
      <c r="O235" s="5"/>
      <c r="P235" s="5"/>
      <c r="Q235" s="5"/>
      <c r="R235" s="63"/>
      <c r="S235" s="5"/>
      <c r="T235" s="67"/>
    </row>
    <row r="236" spans="1:20" x14ac:dyDescent="0.2">
      <c r="A236" s="49" t="str">
        <f t="shared" si="10"/>
        <v>10/8-8.5</v>
      </c>
      <c r="B236" s="19" t="s">
        <v>220</v>
      </c>
      <c r="C236" s="19" t="s">
        <v>173</v>
      </c>
      <c r="D236" s="18" t="s">
        <v>173</v>
      </c>
      <c r="E236" s="19">
        <v>10</v>
      </c>
      <c r="F236" s="19" t="s">
        <v>207</v>
      </c>
      <c r="G236" s="5"/>
      <c r="H236" s="5" t="s">
        <v>222</v>
      </c>
      <c r="I236" s="5" t="s">
        <v>749</v>
      </c>
      <c r="J236" s="63">
        <v>45913</v>
      </c>
      <c r="K236" s="5" t="s">
        <v>27</v>
      </c>
      <c r="L236" s="5">
        <v>125.2</v>
      </c>
      <c r="M236" s="5">
        <v>3.5999999999999996</v>
      </c>
      <c r="N236" s="5">
        <v>121.60000000000001</v>
      </c>
      <c r="O236" s="5"/>
      <c r="P236" s="5"/>
      <c r="Q236" s="5"/>
      <c r="R236" s="63"/>
      <c r="S236" s="5"/>
      <c r="T236" s="67"/>
    </row>
    <row r="237" spans="1:20" x14ac:dyDescent="0.2">
      <c r="A237" s="49" t="str">
        <f t="shared" si="10"/>
        <v>9/14-15</v>
      </c>
      <c r="B237" s="19" t="s">
        <v>767</v>
      </c>
      <c r="C237" s="19" t="s">
        <v>173</v>
      </c>
      <c r="D237" s="18" t="s">
        <v>173</v>
      </c>
      <c r="E237" s="19">
        <v>9</v>
      </c>
      <c r="F237" s="19" t="s">
        <v>225</v>
      </c>
      <c r="G237" s="5"/>
      <c r="H237" s="5" t="s">
        <v>222</v>
      </c>
      <c r="I237" s="5" t="s">
        <v>784</v>
      </c>
      <c r="J237" s="63">
        <v>45913</v>
      </c>
      <c r="K237" s="5" t="s">
        <v>807</v>
      </c>
      <c r="L237" s="5">
        <v>63.8</v>
      </c>
      <c r="M237" s="5">
        <v>1.1000000000000001</v>
      </c>
      <c r="N237" s="5">
        <v>62.699999999999996</v>
      </c>
      <c r="O237" s="5"/>
      <c r="P237" s="5"/>
      <c r="Q237" s="5"/>
      <c r="R237" s="63"/>
      <c r="S237" s="5"/>
      <c r="T237" s="67"/>
    </row>
    <row r="238" spans="1:20" x14ac:dyDescent="0.2">
      <c r="A238" s="49" t="str">
        <f t="shared" si="10"/>
        <v>15/6-6.5</v>
      </c>
      <c r="B238" s="19" t="s">
        <v>725</v>
      </c>
      <c r="C238" s="19" t="s">
        <v>173</v>
      </c>
      <c r="D238" s="18" t="s">
        <v>173</v>
      </c>
      <c r="E238" s="19">
        <v>15</v>
      </c>
      <c r="F238" s="19" t="s">
        <v>578</v>
      </c>
      <c r="G238" s="5"/>
      <c r="H238" s="5" t="s">
        <v>222</v>
      </c>
      <c r="I238" s="5" t="s">
        <v>741</v>
      </c>
      <c r="J238" s="63">
        <v>45913</v>
      </c>
      <c r="K238" s="5" t="s">
        <v>27</v>
      </c>
      <c r="L238" s="5">
        <v>158.4</v>
      </c>
      <c r="M238" s="5">
        <v>5.25</v>
      </c>
      <c r="N238" s="5">
        <v>153.15</v>
      </c>
      <c r="O238" s="5"/>
      <c r="P238" s="5"/>
      <c r="Q238" s="5"/>
      <c r="R238" s="63"/>
      <c r="S238" s="5"/>
      <c r="T238" s="67"/>
    </row>
    <row r="239" spans="1:20" x14ac:dyDescent="0.2">
      <c r="A239" s="49" t="str">
        <f t="shared" si="10"/>
        <v>11/6-6.5</v>
      </c>
      <c r="B239" s="19" t="s">
        <v>768</v>
      </c>
      <c r="C239" s="19" t="s">
        <v>173</v>
      </c>
      <c r="D239" s="18" t="s">
        <v>173</v>
      </c>
      <c r="E239" s="19">
        <v>11</v>
      </c>
      <c r="F239" s="19" t="s">
        <v>578</v>
      </c>
      <c r="G239" s="5"/>
      <c r="H239" s="5" t="s">
        <v>222</v>
      </c>
      <c r="I239" s="5" t="s">
        <v>785</v>
      </c>
      <c r="J239" s="63">
        <v>45913</v>
      </c>
      <c r="K239" s="5" t="s">
        <v>23</v>
      </c>
      <c r="L239" s="5">
        <v>106.8</v>
      </c>
      <c r="M239" s="5">
        <v>2.7</v>
      </c>
      <c r="N239" s="5">
        <v>104.1</v>
      </c>
      <c r="O239" s="5"/>
      <c r="P239" s="5"/>
      <c r="Q239" s="5"/>
      <c r="R239" s="63"/>
      <c r="S239" s="5"/>
      <c r="T239" s="67"/>
    </row>
    <row r="240" spans="1:20" x14ac:dyDescent="0.2">
      <c r="A240" s="49" t="str">
        <f t="shared" si="10"/>
        <v>10.5/6-6.5</v>
      </c>
      <c r="B240" s="19" t="s">
        <v>768</v>
      </c>
      <c r="C240" s="19" t="s">
        <v>173</v>
      </c>
      <c r="D240" s="18" t="s">
        <v>173</v>
      </c>
      <c r="E240" s="19">
        <v>10.5</v>
      </c>
      <c r="F240" s="19" t="s">
        <v>578</v>
      </c>
      <c r="G240" s="5"/>
      <c r="H240" s="5" t="s">
        <v>222</v>
      </c>
      <c r="I240" s="5" t="s">
        <v>786</v>
      </c>
      <c r="J240" s="63">
        <v>45913</v>
      </c>
      <c r="K240" s="5" t="s">
        <v>23</v>
      </c>
      <c r="L240" s="5">
        <v>73.599999999999994</v>
      </c>
      <c r="M240" s="5">
        <v>2.6</v>
      </c>
      <c r="N240" s="5">
        <v>71</v>
      </c>
      <c r="O240" s="5"/>
      <c r="P240" s="5"/>
      <c r="Q240" s="5"/>
      <c r="R240" s="63"/>
      <c r="S240" s="5"/>
      <c r="T240" s="67"/>
    </row>
    <row r="241" spans="1:20" x14ac:dyDescent="0.2">
      <c r="A241" s="49" t="str">
        <f t="shared" si="10"/>
        <v>432 MM/-</v>
      </c>
      <c r="B241" s="19" t="s">
        <v>221</v>
      </c>
      <c r="C241" s="19" t="s">
        <v>211</v>
      </c>
      <c r="D241" s="18" t="s">
        <v>173</v>
      </c>
      <c r="E241" s="19" t="s">
        <v>209</v>
      </c>
      <c r="F241" s="19" t="s">
        <v>581</v>
      </c>
      <c r="G241" s="5"/>
      <c r="H241" s="5" t="s">
        <v>222</v>
      </c>
      <c r="I241" s="5" t="s">
        <v>787</v>
      </c>
      <c r="J241" s="63">
        <v>45913</v>
      </c>
      <c r="K241" s="5" t="s">
        <v>17</v>
      </c>
      <c r="L241" s="5">
        <v>463.4</v>
      </c>
      <c r="M241" s="5">
        <v>18.600000000000001</v>
      </c>
      <c r="N241" s="5">
        <v>444.79999999999995</v>
      </c>
      <c r="O241" s="5"/>
      <c r="P241" s="5"/>
      <c r="Q241" s="5"/>
      <c r="R241" s="63"/>
      <c r="S241" s="5"/>
      <c r="T241" s="67"/>
    </row>
    <row r="242" spans="1:20" x14ac:dyDescent="0.2">
      <c r="A242" s="49" t="str">
        <f t="shared" si="10"/>
        <v>432 MM/-</v>
      </c>
      <c r="B242" s="19" t="s">
        <v>221</v>
      </c>
      <c r="C242" s="19" t="s">
        <v>211</v>
      </c>
      <c r="D242" s="18" t="s">
        <v>173</v>
      </c>
      <c r="E242" s="19" t="s">
        <v>209</v>
      </c>
      <c r="F242" s="19" t="s">
        <v>581</v>
      </c>
      <c r="G242" s="5"/>
      <c r="H242" s="5" t="s">
        <v>222</v>
      </c>
      <c r="I242" s="5" t="s">
        <v>787</v>
      </c>
      <c r="J242" s="63">
        <v>45913</v>
      </c>
      <c r="K242" s="5" t="s">
        <v>23</v>
      </c>
      <c r="L242" s="5">
        <v>101.6</v>
      </c>
      <c r="M242" s="5">
        <v>4</v>
      </c>
      <c r="N242" s="5">
        <v>97.6</v>
      </c>
      <c r="O242" s="5"/>
      <c r="P242" s="5"/>
      <c r="Q242" s="5"/>
      <c r="R242" s="63"/>
      <c r="S242" s="5"/>
      <c r="T242" s="67"/>
    </row>
    <row r="243" spans="1:20" x14ac:dyDescent="0.2">
      <c r="A243" s="49" t="str">
        <f t="shared" si="10"/>
        <v>432 MM/-</v>
      </c>
      <c r="B243" s="19" t="s">
        <v>221</v>
      </c>
      <c r="C243" s="19" t="s">
        <v>211</v>
      </c>
      <c r="D243" s="18" t="s">
        <v>173</v>
      </c>
      <c r="E243" s="19" t="s">
        <v>209</v>
      </c>
      <c r="F243" s="19" t="s">
        <v>581</v>
      </c>
      <c r="G243" s="5"/>
      <c r="H243" s="5" t="s">
        <v>222</v>
      </c>
      <c r="I243" s="5" t="s">
        <v>788</v>
      </c>
      <c r="J243" s="63">
        <v>45913</v>
      </c>
      <c r="K243" s="5" t="s">
        <v>40</v>
      </c>
      <c r="L243" s="5">
        <v>323.20000000000005</v>
      </c>
      <c r="M243" s="5">
        <v>10</v>
      </c>
      <c r="N243" s="5">
        <v>313.20000000000005</v>
      </c>
      <c r="O243" s="5"/>
      <c r="P243" s="5"/>
      <c r="Q243" s="5"/>
      <c r="R243" s="63"/>
      <c r="S243" s="5"/>
      <c r="T243" s="67"/>
    </row>
    <row r="244" spans="1:20" x14ac:dyDescent="0.2">
      <c r="A244" s="49" t="str">
        <f t="shared" si="10"/>
        <v>19/12</v>
      </c>
      <c r="B244" s="19" t="s">
        <v>163</v>
      </c>
      <c r="C244" s="19" t="s">
        <v>173</v>
      </c>
      <c r="D244" s="18" t="s">
        <v>173</v>
      </c>
      <c r="E244" s="19">
        <v>19</v>
      </c>
      <c r="F244" s="19" t="s">
        <v>14</v>
      </c>
      <c r="G244" s="5"/>
      <c r="H244" s="5" t="s">
        <v>222</v>
      </c>
      <c r="I244" s="5" t="s">
        <v>745</v>
      </c>
      <c r="J244" s="63">
        <v>45913</v>
      </c>
      <c r="K244" s="5" t="s">
        <v>23</v>
      </c>
      <c r="L244" s="5">
        <v>120</v>
      </c>
      <c r="M244" s="5">
        <v>4.3000000000000007</v>
      </c>
      <c r="N244" s="5">
        <v>115.7</v>
      </c>
      <c r="O244" s="5"/>
      <c r="P244" s="5"/>
      <c r="Q244" s="5"/>
      <c r="R244" s="63"/>
      <c r="S244" s="5"/>
      <c r="T244" s="67"/>
    </row>
    <row r="245" spans="1:20" x14ac:dyDescent="0.2">
      <c r="A245" s="49" t="str">
        <f t="shared" si="10"/>
        <v>16/5</v>
      </c>
      <c r="B245" s="19" t="s">
        <v>164</v>
      </c>
      <c r="C245" s="19" t="s">
        <v>173</v>
      </c>
      <c r="D245" s="18" t="s">
        <v>173</v>
      </c>
      <c r="E245" s="19">
        <v>16</v>
      </c>
      <c r="F245" s="19">
        <v>5</v>
      </c>
      <c r="G245" s="5"/>
      <c r="H245" s="5" t="s">
        <v>222</v>
      </c>
      <c r="I245" s="5" t="s">
        <v>789</v>
      </c>
      <c r="J245" s="63">
        <v>45913</v>
      </c>
      <c r="K245" s="5" t="s">
        <v>40</v>
      </c>
      <c r="L245" s="5">
        <v>155.6</v>
      </c>
      <c r="M245" s="5">
        <v>10</v>
      </c>
      <c r="N245" s="5">
        <v>145.6</v>
      </c>
      <c r="O245" s="5"/>
      <c r="P245" s="5"/>
      <c r="Q245" s="5"/>
      <c r="R245" s="63"/>
      <c r="S245" s="5"/>
      <c r="T245" s="67"/>
    </row>
    <row r="246" spans="1:20" x14ac:dyDescent="0.2">
      <c r="A246" s="49" t="str">
        <f t="shared" si="10"/>
        <v>17/7</v>
      </c>
      <c r="B246" s="19" t="s">
        <v>163</v>
      </c>
      <c r="C246" s="19" t="s">
        <v>173</v>
      </c>
      <c r="D246" s="18" t="s">
        <v>173</v>
      </c>
      <c r="E246" s="19">
        <v>17</v>
      </c>
      <c r="F246" s="19" t="s">
        <v>19</v>
      </c>
      <c r="G246" s="5"/>
      <c r="H246" s="5" t="s">
        <v>222</v>
      </c>
      <c r="I246" s="5" t="s">
        <v>790</v>
      </c>
      <c r="J246" s="63">
        <v>45913</v>
      </c>
      <c r="K246" s="5" t="s">
        <v>40</v>
      </c>
      <c r="L246" s="5">
        <v>286.8</v>
      </c>
      <c r="M246" s="5">
        <v>10</v>
      </c>
      <c r="N246" s="5">
        <v>276.8</v>
      </c>
      <c r="O246" s="5"/>
      <c r="P246" s="5"/>
      <c r="Q246" s="5"/>
      <c r="R246" s="63"/>
      <c r="S246" s="5"/>
      <c r="T246" s="67"/>
    </row>
    <row r="247" spans="1:20" x14ac:dyDescent="0.2">
      <c r="A247" s="49" t="str">
        <f t="shared" si="10"/>
        <v>28-28.5/95±1</v>
      </c>
      <c r="B247" s="19" t="s">
        <v>735</v>
      </c>
      <c r="C247" s="19" t="s">
        <v>173</v>
      </c>
      <c r="D247" s="18" t="s">
        <v>173</v>
      </c>
      <c r="E247" s="19" t="s">
        <v>736</v>
      </c>
      <c r="F247" s="19" t="s">
        <v>737</v>
      </c>
      <c r="G247" s="5"/>
      <c r="H247" s="5" t="s">
        <v>222</v>
      </c>
      <c r="I247" s="5" t="s">
        <v>747</v>
      </c>
      <c r="J247" s="63">
        <v>45913</v>
      </c>
      <c r="K247" s="5" t="s">
        <v>26</v>
      </c>
      <c r="L247" s="5">
        <v>374.5</v>
      </c>
      <c r="M247" s="5">
        <v>13.6</v>
      </c>
      <c r="N247" s="5">
        <v>360.9</v>
      </c>
      <c r="O247" s="5"/>
      <c r="P247" s="5"/>
      <c r="Q247" s="5"/>
      <c r="R247" s="63"/>
      <c r="S247" s="5"/>
      <c r="T247" s="67"/>
    </row>
    <row r="248" spans="1:20" x14ac:dyDescent="0.2">
      <c r="A248" s="49" t="str">
        <f t="shared" si="10"/>
        <v>23/18-19</v>
      </c>
      <c r="B248" s="19" t="s">
        <v>769</v>
      </c>
      <c r="C248" s="19" t="s">
        <v>173</v>
      </c>
      <c r="D248" s="18" t="s">
        <v>173</v>
      </c>
      <c r="E248" s="19">
        <v>23</v>
      </c>
      <c r="F248" s="19" t="s">
        <v>770</v>
      </c>
      <c r="G248" s="5"/>
      <c r="H248" s="5" t="s">
        <v>222</v>
      </c>
      <c r="I248" s="5" t="s">
        <v>791</v>
      </c>
      <c r="J248" s="63">
        <v>45913</v>
      </c>
      <c r="K248" s="5" t="s">
        <v>27</v>
      </c>
      <c r="L248" s="5">
        <v>335.79999999999995</v>
      </c>
      <c r="M248" s="5">
        <v>6</v>
      </c>
      <c r="N248" s="5">
        <v>329.79999999999995</v>
      </c>
      <c r="O248" s="5"/>
      <c r="P248" s="5"/>
      <c r="Q248" s="5"/>
      <c r="R248" s="63"/>
      <c r="S248" s="5"/>
      <c r="T248" s="67"/>
    </row>
    <row r="249" spans="1:20" x14ac:dyDescent="0.2">
      <c r="A249" s="49" t="str">
        <f t="shared" si="10"/>
        <v>23/18-19</v>
      </c>
      <c r="B249" s="19" t="s">
        <v>769</v>
      </c>
      <c r="C249" s="19" t="s">
        <v>173</v>
      </c>
      <c r="D249" s="18" t="s">
        <v>173</v>
      </c>
      <c r="E249" s="19">
        <v>23</v>
      </c>
      <c r="F249" s="19" t="s">
        <v>770</v>
      </c>
      <c r="G249" s="5"/>
      <c r="H249" s="5" t="s">
        <v>222</v>
      </c>
      <c r="I249" s="5" t="s">
        <v>791</v>
      </c>
      <c r="J249" s="63">
        <v>45913</v>
      </c>
      <c r="K249" s="5" t="s">
        <v>40</v>
      </c>
      <c r="L249" s="5">
        <v>748.8</v>
      </c>
      <c r="M249" s="5">
        <v>9</v>
      </c>
      <c r="N249" s="5">
        <v>739.8</v>
      </c>
      <c r="O249" s="5"/>
      <c r="P249" s="5"/>
      <c r="Q249" s="5"/>
      <c r="R249" s="63"/>
      <c r="S249" s="5"/>
      <c r="T249" s="67"/>
    </row>
    <row r="250" spans="1:20" x14ac:dyDescent="0.2">
      <c r="A250" s="49" t="str">
        <f t="shared" si="10"/>
        <v>9/14-15</v>
      </c>
      <c r="B250" s="19" t="s">
        <v>767</v>
      </c>
      <c r="C250" s="19" t="s">
        <v>173</v>
      </c>
      <c r="D250" s="18" t="s">
        <v>173</v>
      </c>
      <c r="E250" s="19">
        <v>9</v>
      </c>
      <c r="F250" s="19" t="s">
        <v>225</v>
      </c>
      <c r="G250" s="5"/>
      <c r="H250" s="5" t="s">
        <v>222</v>
      </c>
      <c r="I250" s="5" t="s">
        <v>784</v>
      </c>
      <c r="J250" s="63">
        <v>45914</v>
      </c>
      <c r="K250" s="5" t="s">
        <v>807</v>
      </c>
      <c r="L250" s="5">
        <v>72.8</v>
      </c>
      <c r="M250" s="5" t="s">
        <v>808</v>
      </c>
      <c r="N250" s="5">
        <v>71.7</v>
      </c>
      <c r="O250" s="5"/>
      <c r="P250" s="5"/>
      <c r="Q250" s="5"/>
      <c r="R250" s="63"/>
      <c r="S250" s="5"/>
      <c r="T250" s="67"/>
    </row>
    <row r="251" spans="1:20" x14ac:dyDescent="0.2">
      <c r="A251" s="49" t="str">
        <f t="shared" si="10"/>
        <v>7/14-15</v>
      </c>
      <c r="B251" s="19" t="s">
        <v>767</v>
      </c>
      <c r="C251" s="19" t="s">
        <v>173</v>
      </c>
      <c r="D251" s="18" t="s">
        <v>173</v>
      </c>
      <c r="E251" s="19">
        <v>7</v>
      </c>
      <c r="F251" s="19" t="s">
        <v>225</v>
      </c>
      <c r="G251" s="5"/>
      <c r="H251" s="5" t="s">
        <v>222</v>
      </c>
      <c r="I251" s="5" t="s">
        <v>792</v>
      </c>
      <c r="J251" s="63">
        <v>45914</v>
      </c>
      <c r="K251" s="5" t="s">
        <v>23</v>
      </c>
      <c r="L251" s="5">
        <v>118.8</v>
      </c>
      <c r="M251" s="5">
        <v>1.8</v>
      </c>
      <c r="N251" s="5">
        <v>117</v>
      </c>
      <c r="O251" s="5"/>
      <c r="P251" s="5"/>
      <c r="Q251" s="5"/>
      <c r="R251" s="63"/>
      <c r="S251" s="5"/>
      <c r="T251" s="67"/>
    </row>
    <row r="252" spans="1:20" x14ac:dyDescent="0.2">
      <c r="A252" s="49" t="str">
        <f t="shared" si="10"/>
        <v>6/17-18</v>
      </c>
      <c r="B252" s="19" t="s">
        <v>771</v>
      </c>
      <c r="C252" s="19" t="s">
        <v>211</v>
      </c>
      <c r="D252" s="18" t="s">
        <v>173</v>
      </c>
      <c r="E252" s="19">
        <v>6</v>
      </c>
      <c r="F252" s="19" t="s">
        <v>223</v>
      </c>
      <c r="G252" s="5"/>
      <c r="H252" s="5" t="s">
        <v>222</v>
      </c>
      <c r="I252" s="5" t="s">
        <v>793</v>
      </c>
      <c r="J252" s="63">
        <v>45914</v>
      </c>
      <c r="K252" s="5" t="s">
        <v>27</v>
      </c>
      <c r="L252" s="5">
        <v>110</v>
      </c>
      <c r="M252" s="5">
        <v>2.4000000000000004</v>
      </c>
      <c r="N252" s="5">
        <v>107.6</v>
      </c>
      <c r="O252" s="5"/>
      <c r="P252" s="5"/>
      <c r="Q252" s="5"/>
      <c r="R252" s="63"/>
      <c r="S252" s="5"/>
      <c r="T252" s="67"/>
    </row>
    <row r="253" spans="1:20" x14ac:dyDescent="0.2">
      <c r="A253" s="49" t="str">
        <f t="shared" si="10"/>
        <v>6.5/14-14.5</v>
      </c>
      <c r="B253" s="19" t="s">
        <v>772</v>
      </c>
      <c r="C253" s="19" t="s">
        <v>211</v>
      </c>
      <c r="D253" s="18" t="s">
        <v>173</v>
      </c>
      <c r="E253" s="19">
        <v>6.5</v>
      </c>
      <c r="F253" s="19" t="s">
        <v>527</v>
      </c>
      <c r="G253" s="5"/>
      <c r="H253" s="5" t="s">
        <v>222</v>
      </c>
      <c r="I253" s="5" t="s">
        <v>794</v>
      </c>
      <c r="J253" s="63">
        <v>45914</v>
      </c>
      <c r="K253" s="5" t="s">
        <v>807</v>
      </c>
      <c r="L253" s="5">
        <v>61.8</v>
      </c>
      <c r="M253" s="5">
        <v>0.9</v>
      </c>
      <c r="N253" s="5">
        <v>60.9</v>
      </c>
      <c r="O253" s="5"/>
      <c r="P253" s="5"/>
      <c r="Q253" s="5"/>
      <c r="R253" s="63"/>
      <c r="S253" s="5"/>
      <c r="T253" s="67"/>
    </row>
    <row r="254" spans="1:20" x14ac:dyDescent="0.2">
      <c r="A254" s="49" t="str">
        <f t="shared" si="10"/>
        <v>10.5/6-6.5</v>
      </c>
      <c r="B254" s="19" t="s">
        <v>768</v>
      </c>
      <c r="C254" s="19" t="s">
        <v>173</v>
      </c>
      <c r="D254" s="18" t="s">
        <v>173</v>
      </c>
      <c r="E254" s="19">
        <v>10.5</v>
      </c>
      <c r="F254" s="19" t="s">
        <v>578</v>
      </c>
      <c r="G254" s="5"/>
      <c r="H254" s="5" t="s">
        <v>222</v>
      </c>
      <c r="I254" s="5" t="s">
        <v>786</v>
      </c>
      <c r="J254" s="63">
        <v>45914</v>
      </c>
      <c r="K254" s="5" t="s">
        <v>27</v>
      </c>
      <c r="L254" s="5">
        <v>142.4</v>
      </c>
      <c r="M254" s="5">
        <v>3.9000000000000004</v>
      </c>
      <c r="N254" s="5">
        <v>138.5</v>
      </c>
      <c r="O254" s="5"/>
      <c r="P254" s="5"/>
      <c r="Q254" s="5"/>
      <c r="R254" s="63"/>
      <c r="S254" s="5"/>
      <c r="T254" s="67"/>
    </row>
    <row r="255" spans="1:20" x14ac:dyDescent="0.2">
      <c r="A255" s="49" t="str">
        <f t="shared" si="10"/>
        <v>10/6-6.5</v>
      </c>
      <c r="B255" s="19" t="s">
        <v>768</v>
      </c>
      <c r="C255" s="19" t="s">
        <v>173</v>
      </c>
      <c r="D255" s="18" t="s">
        <v>173</v>
      </c>
      <c r="E255" s="19">
        <v>10</v>
      </c>
      <c r="F255" s="19" t="s">
        <v>578</v>
      </c>
      <c r="G255" s="5"/>
      <c r="H255" s="5" t="s">
        <v>222</v>
      </c>
      <c r="I255" s="5" t="s">
        <v>795</v>
      </c>
      <c r="J255" s="63">
        <v>45914</v>
      </c>
      <c r="K255" s="5" t="s">
        <v>807</v>
      </c>
      <c r="L255" s="5">
        <v>46.2</v>
      </c>
      <c r="M255" s="5">
        <v>1.2</v>
      </c>
      <c r="N255" s="5">
        <v>45</v>
      </c>
      <c r="O255" s="5"/>
      <c r="P255" s="5"/>
      <c r="Q255" s="5"/>
      <c r="R255" s="63"/>
      <c r="S255" s="5"/>
      <c r="T255" s="67"/>
    </row>
    <row r="256" spans="1:20" x14ac:dyDescent="0.2">
      <c r="A256" s="49" t="str">
        <f t="shared" si="10"/>
        <v>10/6-6.5</v>
      </c>
      <c r="B256" s="19" t="s">
        <v>768</v>
      </c>
      <c r="C256" s="19" t="s">
        <v>173</v>
      </c>
      <c r="D256" s="18" t="s">
        <v>173</v>
      </c>
      <c r="E256" s="19">
        <v>10</v>
      </c>
      <c r="F256" s="19" t="s">
        <v>578</v>
      </c>
      <c r="G256" s="5"/>
      <c r="H256" s="5" t="s">
        <v>222</v>
      </c>
      <c r="I256" s="5" t="s">
        <v>795</v>
      </c>
      <c r="J256" s="63">
        <v>45914</v>
      </c>
      <c r="K256" s="5" t="s">
        <v>807</v>
      </c>
      <c r="L256" s="5">
        <v>57.6</v>
      </c>
      <c r="M256" s="5">
        <v>1.2</v>
      </c>
      <c r="N256" s="5">
        <v>56.4</v>
      </c>
      <c r="O256" s="5"/>
      <c r="P256" s="5"/>
      <c r="Q256" s="5"/>
      <c r="R256" s="63"/>
      <c r="S256" s="5"/>
      <c r="T256" s="67"/>
    </row>
    <row r="257" spans="1:20" x14ac:dyDescent="0.2">
      <c r="A257" s="49" t="str">
        <f t="shared" si="10"/>
        <v>9/6-6.5</v>
      </c>
      <c r="B257" s="19" t="s">
        <v>773</v>
      </c>
      <c r="C257" s="19" t="s">
        <v>173</v>
      </c>
      <c r="D257" s="18" t="s">
        <v>173</v>
      </c>
      <c r="E257" s="19">
        <v>9</v>
      </c>
      <c r="F257" s="19" t="s">
        <v>578</v>
      </c>
      <c r="G257" s="5"/>
      <c r="H257" s="5" t="s">
        <v>222</v>
      </c>
      <c r="I257" s="5" t="s">
        <v>796</v>
      </c>
      <c r="J257" s="63">
        <v>45914</v>
      </c>
      <c r="K257" s="5" t="s">
        <v>27</v>
      </c>
      <c r="L257" s="5">
        <v>116.2</v>
      </c>
      <c r="M257" s="5">
        <v>3.3000000000000003</v>
      </c>
      <c r="N257" s="5">
        <v>112.9</v>
      </c>
      <c r="O257" s="5"/>
      <c r="P257" s="5"/>
      <c r="Q257" s="5"/>
      <c r="R257" s="63"/>
      <c r="S257" s="5"/>
      <c r="T257" s="67"/>
    </row>
    <row r="258" spans="1:20" x14ac:dyDescent="0.2">
      <c r="A258" s="49" t="str">
        <f t="shared" si="10"/>
        <v>428 MM/-</v>
      </c>
      <c r="B258" s="19" t="s">
        <v>221</v>
      </c>
      <c r="C258" s="19" t="s">
        <v>211</v>
      </c>
      <c r="D258" s="19" t="s">
        <v>173</v>
      </c>
      <c r="E258" s="19" t="s">
        <v>210</v>
      </c>
      <c r="F258" s="19" t="s">
        <v>581</v>
      </c>
      <c r="G258" s="5"/>
      <c r="H258" s="5" t="s">
        <v>222</v>
      </c>
      <c r="I258" s="5" t="s">
        <v>797</v>
      </c>
      <c r="J258" s="63">
        <v>45914</v>
      </c>
      <c r="K258" s="5" t="s">
        <v>26</v>
      </c>
      <c r="L258" s="5">
        <v>225.39999999999998</v>
      </c>
      <c r="M258" s="5">
        <v>8</v>
      </c>
      <c r="N258" s="5">
        <v>217.39999999999998</v>
      </c>
      <c r="O258" s="5"/>
      <c r="P258" s="5"/>
      <c r="Q258" s="5"/>
      <c r="R258" s="63"/>
      <c r="S258" s="5"/>
      <c r="T258" s="5"/>
    </row>
    <row r="259" spans="1:20" x14ac:dyDescent="0.2">
      <c r="A259" s="49" t="str">
        <f t="shared" ref="A259:A322" si="12">CONCATENATE(E259,"/",F259)</f>
        <v>16/13-14</v>
      </c>
      <c r="B259" s="19" t="s">
        <v>774</v>
      </c>
      <c r="C259" s="19" t="s">
        <v>211</v>
      </c>
      <c r="D259" s="19" t="s">
        <v>173</v>
      </c>
      <c r="E259" s="19">
        <v>16</v>
      </c>
      <c r="F259" s="19" t="s">
        <v>228</v>
      </c>
      <c r="G259" s="5"/>
      <c r="H259" s="5" t="s">
        <v>222</v>
      </c>
      <c r="I259" s="5" t="s">
        <v>798</v>
      </c>
      <c r="J259" s="63">
        <v>45914</v>
      </c>
      <c r="K259" s="5" t="s">
        <v>23</v>
      </c>
      <c r="L259" s="5">
        <v>118.6</v>
      </c>
      <c r="M259" s="5">
        <v>4</v>
      </c>
      <c r="N259" s="5">
        <v>114.6</v>
      </c>
      <c r="O259" s="5"/>
      <c r="P259" s="5"/>
      <c r="Q259" s="5"/>
      <c r="R259" s="63"/>
      <c r="S259" s="5"/>
      <c r="T259" s="5"/>
    </row>
    <row r="260" spans="1:20" x14ac:dyDescent="0.2">
      <c r="A260" s="49" t="str">
        <f t="shared" si="12"/>
        <v>16/13-14</v>
      </c>
      <c r="B260" s="19" t="s">
        <v>774</v>
      </c>
      <c r="C260" s="19" t="s">
        <v>211</v>
      </c>
      <c r="D260" s="19" t="s">
        <v>173</v>
      </c>
      <c r="E260" s="19">
        <v>16</v>
      </c>
      <c r="F260" s="19" t="s">
        <v>228</v>
      </c>
      <c r="G260" s="5"/>
      <c r="H260" s="5" t="s">
        <v>222</v>
      </c>
      <c r="I260" s="5" t="s">
        <v>798</v>
      </c>
      <c r="J260" s="63">
        <v>45914</v>
      </c>
      <c r="K260" s="5" t="s">
        <v>807</v>
      </c>
      <c r="L260" s="5">
        <v>52.4</v>
      </c>
      <c r="M260" s="5">
        <v>1.4</v>
      </c>
      <c r="N260" s="5">
        <v>51</v>
      </c>
      <c r="O260" s="5"/>
      <c r="P260" s="5"/>
      <c r="Q260" s="5"/>
      <c r="R260" s="63"/>
      <c r="S260" s="5"/>
      <c r="T260" s="5"/>
    </row>
    <row r="261" spans="1:20" x14ac:dyDescent="0.2">
      <c r="A261" s="49" t="str">
        <f t="shared" si="12"/>
        <v>11.5/12</v>
      </c>
      <c r="B261" s="19" t="s">
        <v>775</v>
      </c>
      <c r="C261" s="19" t="s">
        <v>211</v>
      </c>
      <c r="D261" s="19" t="s">
        <v>173</v>
      </c>
      <c r="E261" s="19">
        <v>11.5</v>
      </c>
      <c r="F261" s="19" t="s">
        <v>14</v>
      </c>
      <c r="G261" s="5"/>
      <c r="H261" s="5" t="s">
        <v>222</v>
      </c>
      <c r="I261" s="5" t="s">
        <v>799</v>
      </c>
      <c r="J261" s="63">
        <v>45914</v>
      </c>
      <c r="K261" s="5" t="s">
        <v>27</v>
      </c>
      <c r="L261" s="5">
        <v>123.6</v>
      </c>
      <c r="M261" s="5">
        <v>3.9000000000000004</v>
      </c>
      <c r="N261" s="5">
        <v>119.69999999999999</v>
      </c>
      <c r="O261" s="5"/>
      <c r="P261" s="5"/>
      <c r="Q261" s="5"/>
      <c r="R261" s="63"/>
      <c r="S261" s="5"/>
      <c r="T261" s="5"/>
    </row>
    <row r="262" spans="1:20" x14ac:dyDescent="0.2">
      <c r="A262" s="49" t="str">
        <f t="shared" si="12"/>
        <v>10.5/12</v>
      </c>
      <c r="B262" s="19" t="s">
        <v>775</v>
      </c>
      <c r="C262" s="19" t="s">
        <v>211</v>
      </c>
      <c r="D262" s="19" t="s">
        <v>173</v>
      </c>
      <c r="E262" s="19">
        <v>10.5</v>
      </c>
      <c r="F262" s="19">
        <v>12</v>
      </c>
      <c r="G262" s="5"/>
      <c r="H262" s="5" t="s">
        <v>222</v>
      </c>
      <c r="I262" s="5" t="s">
        <v>800</v>
      </c>
      <c r="J262" s="63">
        <v>45914</v>
      </c>
      <c r="K262" s="5" t="s">
        <v>23</v>
      </c>
      <c r="L262" s="5">
        <v>132.80000000000001</v>
      </c>
      <c r="M262" s="5">
        <v>2.6</v>
      </c>
      <c r="N262" s="5">
        <v>130.20000000000002</v>
      </c>
      <c r="O262" s="5"/>
      <c r="P262" s="5"/>
      <c r="Q262" s="5"/>
      <c r="R262" s="63"/>
      <c r="S262" s="5"/>
      <c r="T262" s="5"/>
    </row>
    <row r="263" spans="1:20" x14ac:dyDescent="0.2">
      <c r="A263" s="49" t="str">
        <f t="shared" si="12"/>
        <v>17/7</v>
      </c>
      <c r="B263" s="19" t="s">
        <v>163</v>
      </c>
      <c r="C263" s="19" t="s">
        <v>173</v>
      </c>
      <c r="D263" s="19" t="s">
        <v>173</v>
      </c>
      <c r="E263" s="19">
        <v>17</v>
      </c>
      <c r="F263" s="19" t="s">
        <v>19</v>
      </c>
      <c r="G263" s="5"/>
      <c r="H263" s="5" t="s">
        <v>222</v>
      </c>
      <c r="I263" s="5" t="s">
        <v>790</v>
      </c>
      <c r="J263" s="63">
        <v>45914</v>
      </c>
      <c r="K263" s="5" t="s">
        <v>27</v>
      </c>
      <c r="L263" s="5">
        <v>192.8</v>
      </c>
      <c r="M263" s="5">
        <v>6.3000000000000007</v>
      </c>
      <c r="N263" s="5">
        <v>186.5</v>
      </c>
      <c r="O263" s="5"/>
      <c r="P263" s="5"/>
      <c r="Q263" s="5"/>
      <c r="R263" s="63"/>
      <c r="S263" s="5"/>
      <c r="T263" s="5"/>
    </row>
    <row r="264" spans="1:20" x14ac:dyDescent="0.2">
      <c r="A264" s="49" t="str">
        <f t="shared" si="12"/>
        <v>17/7-7.5</v>
      </c>
      <c r="B264" s="19" t="s">
        <v>774</v>
      </c>
      <c r="C264" s="19" t="s">
        <v>173</v>
      </c>
      <c r="D264" s="19" t="s">
        <v>173</v>
      </c>
      <c r="E264" s="19">
        <v>17</v>
      </c>
      <c r="F264" s="19" t="s">
        <v>224</v>
      </c>
      <c r="G264" s="5"/>
      <c r="H264" s="5" t="s">
        <v>222</v>
      </c>
      <c r="I264" s="5" t="s">
        <v>801</v>
      </c>
      <c r="J264" s="63">
        <v>45914</v>
      </c>
      <c r="K264" s="5" t="s">
        <v>23</v>
      </c>
      <c r="L264" s="5">
        <v>109.2</v>
      </c>
      <c r="M264" s="5">
        <v>4.2</v>
      </c>
      <c r="N264" s="5">
        <v>105</v>
      </c>
      <c r="O264" s="5"/>
      <c r="P264" s="5"/>
      <c r="Q264" s="5"/>
      <c r="R264" s="63"/>
      <c r="S264" s="5"/>
      <c r="T264" s="5"/>
    </row>
    <row r="265" spans="1:20" x14ac:dyDescent="0.2">
      <c r="A265" s="49" t="str">
        <f t="shared" si="12"/>
        <v>22.5/7-7.5</v>
      </c>
      <c r="B265" s="19" t="s">
        <v>776</v>
      </c>
      <c r="C265" s="19" t="s">
        <v>173</v>
      </c>
      <c r="D265" s="19" t="s">
        <v>173</v>
      </c>
      <c r="E265" s="19">
        <v>22.5</v>
      </c>
      <c r="F265" s="19" t="s">
        <v>224</v>
      </c>
      <c r="G265" s="5"/>
      <c r="H265" s="5" t="s">
        <v>222</v>
      </c>
      <c r="I265" s="5" t="s">
        <v>802</v>
      </c>
      <c r="J265" s="63">
        <v>45914</v>
      </c>
      <c r="K265" s="5" t="s">
        <v>23</v>
      </c>
      <c r="L265" s="5">
        <v>108.8</v>
      </c>
      <c r="M265" s="5">
        <v>5.6</v>
      </c>
      <c r="N265" s="5">
        <v>103.2</v>
      </c>
      <c r="O265" s="5"/>
      <c r="P265" s="5"/>
      <c r="Q265" s="5"/>
      <c r="R265" s="63"/>
      <c r="S265" s="5"/>
      <c r="T265" s="5"/>
    </row>
    <row r="266" spans="1:20" x14ac:dyDescent="0.2">
      <c r="A266" s="49" t="str">
        <f t="shared" si="12"/>
        <v>20"شیٹ/5.5-6/11-12</v>
      </c>
      <c r="B266" s="19" t="s">
        <v>777</v>
      </c>
      <c r="C266" s="19" t="s">
        <v>173</v>
      </c>
      <c r="D266" s="19" t="s">
        <v>173</v>
      </c>
      <c r="E266" s="19" t="s">
        <v>778</v>
      </c>
      <c r="F266" s="19" t="s">
        <v>779</v>
      </c>
      <c r="G266" s="5"/>
      <c r="H266" s="5" t="s">
        <v>222</v>
      </c>
      <c r="I266" s="5" t="s">
        <v>803</v>
      </c>
      <c r="J266" s="63">
        <v>45914</v>
      </c>
      <c r="K266" s="5" t="s">
        <v>23</v>
      </c>
      <c r="L266" s="5">
        <v>116.6</v>
      </c>
      <c r="M266" s="5">
        <v>5.2</v>
      </c>
      <c r="N266" s="5">
        <v>111.39999999999999</v>
      </c>
      <c r="O266" s="5"/>
      <c r="P266" s="5"/>
      <c r="Q266" s="5"/>
      <c r="R266" s="63"/>
      <c r="S266" s="5"/>
      <c r="T266" s="5"/>
    </row>
    <row r="267" spans="1:20" x14ac:dyDescent="0.2">
      <c r="A267" s="49" t="str">
        <f t="shared" si="12"/>
        <v>20/21-22</v>
      </c>
      <c r="B267" s="19" t="s">
        <v>780</v>
      </c>
      <c r="C267" s="19" t="s">
        <v>211</v>
      </c>
      <c r="D267" s="19" t="s">
        <v>173</v>
      </c>
      <c r="E267" s="19">
        <v>20</v>
      </c>
      <c r="F267" s="19" t="s">
        <v>781</v>
      </c>
      <c r="G267" s="5"/>
      <c r="H267" s="5" t="s">
        <v>222</v>
      </c>
      <c r="I267" s="5" t="s">
        <v>804</v>
      </c>
      <c r="J267" s="63">
        <v>45914</v>
      </c>
      <c r="K267" s="5" t="s">
        <v>23</v>
      </c>
      <c r="L267" s="5">
        <v>156.4</v>
      </c>
      <c r="M267" s="5">
        <v>4</v>
      </c>
      <c r="N267" s="5">
        <v>152.4</v>
      </c>
      <c r="O267" s="5"/>
      <c r="P267" s="5"/>
      <c r="Q267" s="5"/>
      <c r="R267" s="63"/>
      <c r="S267" s="5"/>
      <c r="T267" s="5"/>
    </row>
    <row r="268" spans="1:20" x14ac:dyDescent="0.2">
      <c r="A268" s="49" t="str">
        <f t="shared" si="12"/>
        <v>25/21-22</v>
      </c>
      <c r="B268" s="19" t="s">
        <v>780</v>
      </c>
      <c r="C268" s="19" t="s">
        <v>211</v>
      </c>
      <c r="D268" s="19" t="s">
        <v>173</v>
      </c>
      <c r="E268" s="19">
        <v>25</v>
      </c>
      <c r="F268" s="19" t="s">
        <v>781</v>
      </c>
      <c r="G268" s="5"/>
      <c r="H268" s="5" t="s">
        <v>222</v>
      </c>
      <c r="I268" s="5" t="s">
        <v>805</v>
      </c>
      <c r="J268" s="63">
        <v>45914</v>
      </c>
      <c r="K268" s="5" t="s">
        <v>807</v>
      </c>
      <c r="L268" s="5">
        <v>80.599999999999994</v>
      </c>
      <c r="M268" s="5">
        <v>2.9</v>
      </c>
      <c r="N268" s="5">
        <v>77.699999999999989</v>
      </c>
      <c r="O268" s="5"/>
      <c r="P268" s="5"/>
      <c r="Q268" s="5"/>
      <c r="R268" s="63"/>
      <c r="S268" s="5"/>
      <c r="T268" s="5"/>
    </row>
    <row r="269" spans="1:20" x14ac:dyDescent="0.2">
      <c r="A269" s="49" t="str">
        <f t="shared" si="12"/>
        <v>23/18-19</v>
      </c>
      <c r="B269" s="19" t="s">
        <v>769</v>
      </c>
      <c r="C269" s="19" t="s">
        <v>173</v>
      </c>
      <c r="D269" s="19" t="s">
        <v>173</v>
      </c>
      <c r="E269" s="19">
        <v>23</v>
      </c>
      <c r="F269" s="19" t="s">
        <v>770</v>
      </c>
      <c r="G269" s="5"/>
      <c r="H269" s="5" t="s">
        <v>222</v>
      </c>
      <c r="I269" s="5" t="s">
        <v>791</v>
      </c>
      <c r="J269" s="63">
        <v>45914</v>
      </c>
      <c r="K269" s="5" t="s">
        <v>27</v>
      </c>
      <c r="L269" s="5">
        <v>425.2</v>
      </c>
      <c r="M269" s="5">
        <v>7.2</v>
      </c>
      <c r="N269" s="5">
        <v>418</v>
      </c>
      <c r="O269" s="5"/>
      <c r="P269" s="5"/>
      <c r="Q269" s="5"/>
      <c r="R269" s="63"/>
      <c r="S269" s="5"/>
      <c r="T269" s="5"/>
    </row>
    <row r="270" spans="1:20" x14ac:dyDescent="0.2">
      <c r="A270" s="49" t="str">
        <f t="shared" si="12"/>
        <v>23/18-19</v>
      </c>
      <c r="B270" s="19" t="s">
        <v>769</v>
      </c>
      <c r="C270" s="19" t="s">
        <v>173</v>
      </c>
      <c r="D270" s="19" t="s">
        <v>173</v>
      </c>
      <c r="E270" s="19">
        <v>23</v>
      </c>
      <c r="F270" s="19" t="s">
        <v>770</v>
      </c>
      <c r="G270" s="5"/>
      <c r="H270" s="5" t="s">
        <v>222</v>
      </c>
      <c r="I270" s="5" t="s">
        <v>791</v>
      </c>
      <c r="J270" s="63">
        <v>45914</v>
      </c>
      <c r="K270" s="5" t="s">
        <v>27</v>
      </c>
      <c r="L270" s="5">
        <v>428</v>
      </c>
      <c r="M270" s="5">
        <v>5.4</v>
      </c>
      <c r="N270" s="5">
        <v>422.6</v>
      </c>
      <c r="O270" s="5"/>
      <c r="P270" s="5"/>
      <c r="Q270" s="5"/>
      <c r="R270" s="63"/>
      <c r="S270" s="5"/>
      <c r="T270" s="5"/>
    </row>
    <row r="271" spans="1:20" x14ac:dyDescent="0.2">
      <c r="A271" s="49" t="str">
        <f t="shared" si="12"/>
        <v>21+4+4/12</v>
      </c>
      <c r="B271" s="19" t="s">
        <v>782</v>
      </c>
      <c r="C271" s="19" t="s">
        <v>173</v>
      </c>
      <c r="D271" s="19" t="s">
        <v>173</v>
      </c>
      <c r="E271" s="19" t="s">
        <v>783</v>
      </c>
      <c r="F271" s="19" t="s">
        <v>14</v>
      </c>
      <c r="G271" s="5"/>
      <c r="H271" s="5" t="s">
        <v>222</v>
      </c>
      <c r="I271" s="5" t="s">
        <v>806</v>
      </c>
      <c r="J271" s="63">
        <v>45914</v>
      </c>
      <c r="K271" s="5" t="s">
        <v>17</v>
      </c>
      <c r="L271" s="5">
        <v>300.5</v>
      </c>
      <c r="M271" s="5">
        <v>16.2</v>
      </c>
      <c r="N271" s="5">
        <v>284.3</v>
      </c>
      <c r="O271" s="5"/>
      <c r="P271" s="5"/>
      <c r="Q271" s="5"/>
      <c r="R271" s="63"/>
      <c r="S271" s="5"/>
      <c r="T271" s="5"/>
    </row>
    <row r="272" spans="1:20" x14ac:dyDescent="0.2">
      <c r="A272" s="49" t="str">
        <f t="shared" si="12"/>
        <v>14/7.5-8</v>
      </c>
      <c r="B272" s="19" t="s">
        <v>724</v>
      </c>
      <c r="C272" s="19" t="s">
        <v>173</v>
      </c>
      <c r="D272" s="19" t="s">
        <v>173</v>
      </c>
      <c r="E272" s="19">
        <v>14</v>
      </c>
      <c r="F272" s="19" t="s">
        <v>264</v>
      </c>
      <c r="G272" s="5"/>
      <c r="H272" s="5"/>
      <c r="I272" s="5"/>
      <c r="J272" s="63"/>
      <c r="K272" s="5"/>
      <c r="L272" s="5"/>
      <c r="M272" s="5"/>
      <c r="N272" s="5"/>
      <c r="O272" s="5" t="s">
        <v>186</v>
      </c>
      <c r="P272" s="5" t="s">
        <v>739</v>
      </c>
      <c r="Q272" s="5" t="s">
        <v>809</v>
      </c>
      <c r="R272" s="63">
        <v>45913</v>
      </c>
      <c r="S272" s="63" t="s">
        <v>26</v>
      </c>
      <c r="T272" s="5">
        <v>216.2</v>
      </c>
    </row>
    <row r="273" spans="1:20" x14ac:dyDescent="0.2">
      <c r="A273" s="49" t="str">
        <f t="shared" si="12"/>
        <v>8/5</v>
      </c>
      <c r="B273" s="19" t="s">
        <v>164</v>
      </c>
      <c r="C273" s="19" t="s">
        <v>173</v>
      </c>
      <c r="D273" s="19" t="s">
        <v>173</v>
      </c>
      <c r="E273" s="19">
        <v>8</v>
      </c>
      <c r="F273" s="19" t="s">
        <v>40</v>
      </c>
      <c r="G273" s="5"/>
      <c r="H273" s="5"/>
      <c r="I273" s="5"/>
      <c r="J273" s="63"/>
      <c r="K273" s="5"/>
      <c r="L273" s="5"/>
      <c r="M273" s="5"/>
      <c r="N273" s="5"/>
      <c r="O273" s="5" t="s">
        <v>186</v>
      </c>
      <c r="P273" s="5" t="s">
        <v>667</v>
      </c>
      <c r="Q273" s="5" t="s">
        <v>809</v>
      </c>
      <c r="R273" s="63">
        <v>45913</v>
      </c>
      <c r="S273" s="63" t="s">
        <v>26</v>
      </c>
      <c r="T273" s="5">
        <v>111</v>
      </c>
    </row>
    <row r="274" spans="1:20" x14ac:dyDescent="0.2">
      <c r="A274" s="49" t="str">
        <f t="shared" si="12"/>
        <v>7/10-10.5</v>
      </c>
      <c r="B274" s="19" t="s">
        <v>726</v>
      </c>
      <c r="C274" s="19" t="s">
        <v>525</v>
      </c>
      <c r="D274" s="19" t="s">
        <v>173</v>
      </c>
      <c r="E274" s="19">
        <v>7</v>
      </c>
      <c r="F274" s="19" t="s">
        <v>268</v>
      </c>
      <c r="G274" s="5"/>
      <c r="H274" s="5"/>
      <c r="I274" s="5"/>
      <c r="J274" s="63"/>
      <c r="K274" s="5"/>
      <c r="L274" s="5"/>
      <c r="M274" s="5"/>
      <c r="N274" s="5"/>
      <c r="O274" s="5" t="s">
        <v>186</v>
      </c>
      <c r="P274" s="5" t="s">
        <v>742</v>
      </c>
      <c r="Q274" s="5" t="s">
        <v>809</v>
      </c>
      <c r="R274" s="63">
        <v>45913</v>
      </c>
      <c r="S274" s="63" t="s">
        <v>23</v>
      </c>
      <c r="T274" s="5">
        <v>108.6</v>
      </c>
    </row>
    <row r="275" spans="1:20" x14ac:dyDescent="0.2">
      <c r="A275" s="49" t="str">
        <f t="shared" si="12"/>
        <v>15/6-6.5</v>
      </c>
      <c r="B275" s="19" t="s">
        <v>725</v>
      </c>
      <c r="C275" s="19" t="s">
        <v>173</v>
      </c>
      <c r="D275" s="19" t="s">
        <v>173</v>
      </c>
      <c r="E275" s="19">
        <v>15</v>
      </c>
      <c r="F275" s="19" t="s">
        <v>578</v>
      </c>
      <c r="G275" s="5"/>
      <c r="H275" s="5"/>
      <c r="I275" s="5"/>
      <c r="J275" s="63"/>
      <c r="K275" s="5"/>
      <c r="L275" s="5"/>
      <c r="M275" s="5"/>
      <c r="N275" s="5"/>
      <c r="O275" s="5" t="s">
        <v>186</v>
      </c>
      <c r="P275" s="5" t="s">
        <v>741</v>
      </c>
      <c r="Q275" s="5" t="s">
        <v>809</v>
      </c>
      <c r="R275" s="63">
        <v>45913</v>
      </c>
      <c r="S275" s="63" t="s">
        <v>40</v>
      </c>
      <c r="T275" s="5">
        <v>167.20000000000002</v>
      </c>
    </row>
    <row r="276" spans="1:20" x14ac:dyDescent="0.2">
      <c r="A276" s="49" t="str">
        <f t="shared" si="12"/>
        <v>14+4+4/6-6.5/12-13</v>
      </c>
      <c r="B276" s="19" t="s">
        <v>730</v>
      </c>
      <c r="C276" s="19" t="s">
        <v>731</v>
      </c>
      <c r="D276" s="19" t="s">
        <v>173</v>
      </c>
      <c r="E276" s="19" t="s">
        <v>732</v>
      </c>
      <c r="F276" s="19" t="s">
        <v>208</v>
      </c>
      <c r="G276" s="5"/>
      <c r="H276" s="5"/>
      <c r="I276" s="5"/>
      <c r="J276" s="63"/>
      <c r="K276" s="5"/>
      <c r="L276" s="5"/>
      <c r="M276" s="5"/>
      <c r="N276" s="5"/>
      <c r="O276" s="5" t="s">
        <v>186</v>
      </c>
      <c r="P276" s="5" t="s">
        <v>744</v>
      </c>
      <c r="Q276" s="5" t="s">
        <v>810</v>
      </c>
      <c r="R276" s="63">
        <v>45913</v>
      </c>
      <c r="S276" s="63" t="s">
        <v>23</v>
      </c>
      <c r="T276" s="5">
        <v>115.2</v>
      </c>
    </row>
    <row r="277" spans="1:20" x14ac:dyDescent="0.2">
      <c r="A277" s="49" t="str">
        <f t="shared" si="12"/>
        <v>19/12</v>
      </c>
      <c r="B277" s="19" t="s">
        <v>163</v>
      </c>
      <c r="C277" s="19" t="s">
        <v>173</v>
      </c>
      <c r="D277" s="19" t="s">
        <v>173</v>
      </c>
      <c r="E277" s="19">
        <v>19</v>
      </c>
      <c r="F277" s="19" t="s">
        <v>14</v>
      </c>
      <c r="G277" s="5"/>
      <c r="H277" s="5"/>
      <c r="I277" s="5"/>
      <c r="J277" s="63"/>
      <c r="K277" s="5"/>
      <c r="L277" s="5"/>
      <c r="M277" s="5"/>
      <c r="N277" s="5"/>
      <c r="O277" s="5" t="s">
        <v>186</v>
      </c>
      <c r="P277" s="5" t="s">
        <v>745</v>
      </c>
      <c r="Q277" s="5" t="s">
        <v>810</v>
      </c>
      <c r="R277" s="63">
        <v>45913</v>
      </c>
      <c r="S277" s="63" t="s">
        <v>18</v>
      </c>
      <c r="T277" s="5">
        <v>514</v>
      </c>
    </row>
    <row r="278" spans="1:20" x14ac:dyDescent="0.2">
      <c r="A278" s="49" t="str">
        <f t="shared" si="12"/>
        <v>5.5/8-8.5</v>
      </c>
      <c r="B278" s="19" t="s">
        <v>220</v>
      </c>
      <c r="C278" s="19" t="s">
        <v>173</v>
      </c>
      <c r="D278" s="19" t="s">
        <v>173</v>
      </c>
      <c r="E278" s="19">
        <v>5.5</v>
      </c>
      <c r="F278" s="19" t="s">
        <v>207</v>
      </c>
      <c r="G278" s="5"/>
      <c r="H278" s="5"/>
      <c r="I278" s="5"/>
      <c r="J278" s="63"/>
      <c r="K278" s="5"/>
      <c r="L278" s="5"/>
      <c r="M278" s="5"/>
      <c r="N278" s="5"/>
      <c r="O278" s="5" t="s">
        <v>186</v>
      </c>
      <c r="P278" s="5" t="s">
        <v>664</v>
      </c>
      <c r="Q278" s="5" t="s">
        <v>810</v>
      </c>
      <c r="R278" s="63">
        <v>45913</v>
      </c>
      <c r="S278" s="63" t="s">
        <v>40</v>
      </c>
      <c r="T278" s="5">
        <v>176.1</v>
      </c>
    </row>
    <row r="279" spans="1:20" x14ac:dyDescent="0.2">
      <c r="A279" s="49" t="str">
        <f t="shared" si="12"/>
        <v>5/5.5-6</v>
      </c>
      <c r="B279" s="19" t="s">
        <v>89</v>
      </c>
      <c r="C279" s="19" t="s">
        <v>173</v>
      </c>
      <c r="D279" s="19" t="s">
        <v>173</v>
      </c>
      <c r="E279" s="19">
        <v>5</v>
      </c>
      <c r="F279" s="19" t="s">
        <v>5</v>
      </c>
      <c r="G279" s="5"/>
      <c r="H279" s="5"/>
      <c r="I279" s="5"/>
      <c r="J279" s="63"/>
      <c r="K279" s="5"/>
      <c r="L279" s="5"/>
      <c r="M279" s="5"/>
      <c r="N279" s="5"/>
      <c r="O279" s="5" t="s">
        <v>186</v>
      </c>
      <c r="P279" s="5" t="s">
        <v>748</v>
      </c>
      <c r="Q279" s="5" t="s">
        <v>810</v>
      </c>
      <c r="R279" s="63">
        <v>45913</v>
      </c>
      <c r="S279" s="63" t="s">
        <v>23</v>
      </c>
      <c r="T279" s="5">
        <v>58.2</v>
      </c>
    </row>
    <row r="280" spans="1:20" x14ac:dyDescent="0.2">
      <c r="A280" s="49" t="str">
        <f t="shared" si="12"/>
        <v>9/6-6.5</v>
      </c>
      <c r="B280" s="19" t="s">
        <v>768</v>
      </c>
      <c r="C280" s="19" t="s">
        <v>173</v>
      </c>
      <c r="D280" s="19" t="s">
        <v>173</v>
      </c>
      <c r="E280" s="19">
        <v>9</v>
      </c>
      <c r="F280" s="19" t="s">
        <v>578</v>
      </c>
      <c r="G280" s="5"/>
      <c r="H280" s="5" t="s">
        <v>222</v>
      </c>
      <c r="I280" s="5" t="s">
        <v>914</v>
      </c>
      <c r="J280" s="63">
        <v>45915</v>
      </c>
      <c r="K280" s="5" t="s">
        <v>27</v>
      </c>
      <c r="L280" s="5">
        <v>120</v>
      </c>
      <c r="M280" s="5">
        <v>3.3000000000000003</v>
      </c>
      <c r="N280" s="5">
        <f>+L280-M280</f>
        <v>116.7</v>
      </c>
      <c r="O280" s="5"/>
      <c r="P280" s="5"/>
      <c r="Q280" s="5"/>
      <c r="R280" s="63"/>
      <c r="S280" s="5"/>
      <c r="T280" s="5"/>
    </row>
    <row r="281" spans="1:20" x14ac:dyDescent="0.2">
      <c r="A281" s="49" t="str">
        <f t="shared" si="12"/>
        <v>9/6-6.5</v>
      </c>
      <c r="B281" s="19" t="s">
        <v>768</v>
      </c>
      <c r="C281" s="19" t="s">
        <v>173</v>
      </c>
      <c r="D281" s="19" t="s">
        <v>173</v>
      </c>
      <c r="E281" s="19">
        <v>9</v>
      </c>
      <c r="F281" s="19" t="s">
        <v>578</v>
      </c>
      <c r="G281" s="5"/>
      <c r="H281" s="5"/>
      <c r="I281" s="5" t="s">
        <v>915</v>
      </c>
      <c r="J281" s="63">
        <v>45915</v>
      </c>
      <c r="K281" s="5" t="s">
        <v>23</v>
      </c>
      <c r="L281" s="5">
        <v>75.400000000000006</v>
      </c>
      <c r="M281" s="5">
        <v>2.2000000000000002</v>
      </c>
      <c r="N281" s="5">
        <f t="shared" ref="N281:N344" si="13">+L281-M281</f>
        <v>73.2</v>
      </c>
      <c r="O281" s="5"/>
      <c r="P281" s="5"/>
      <c r="Q281" s="5"/>
      <c r="R281" s="63"/>
      <c r="S281" s="5"/>
      <c r="T281" s="5"/>
    </row>
    <row r="282" spans="1:20" x14ac:dyDescent="0.2">
      <c r="A282" s="49" t="str">
        <f t="shared" si="12"/>
        <v>8/6-6.5</v>
      </c>
      <c r="B282" s="19" t="s">
        <v>768</v>
      </c>
      <c r="C282" s="19" t="s">
        <v>173</v>
      </c>
      <c r="D282" s="19" t="s">
        <v>173</v>
      </c>
      <c r="E282" s="19">
        <v>8</v>
      </c>
      <c r="F282" s="19" t="s">
        <v>578</v>
      </c>
      <c r="G282" s="5"/>
      <c r="H282" s="5"/>
      <c r="I282" s="5" t="s">
        <v>916</v>
      </c>
      <c r="J282" s="63">
        <v>45915</v>
      </c>
      <c r="K282" s="5" t="s">
        <v>26</v>
      </c>
      <c r="L282" s="5">
        <v>156</v>
      </c>
      <c r="M282" s="5">
        <v>4.5</v>
      </c>
      <c r="N282" s="5">
        <f t="shared" si="13"/>
        <v>151.5</v>
      </c>
      <c r="O282" s="5"/>
      <c r="P282" s="5"/>
      <c r="Q282" s="5"/>
      <c r="R282" s="63"/>
      <c r="S282" s="5"/>
      <c r="T282" s="5"/>
    </row>
    <row r="283" spans="1:20" x14ac:dyDescent="0.2">
      <c r="A283" s="49" t="str">
        <f t="shared" si="12"/>
        <v>10.5/12</v>
      </c>
      <c r="B283" s="19" t="s">
        <v>775</v>
      </c>
      <c r="C283" s="19" t="s">
        <v>211</v>
      </c>
      <c r="D283" s="19" t="s">
        <v>173</v>
      </c>
      <c r="E283" s="19">
        <v>10.5</v>
      </c>
      <c r="F283" s="19">
        <v>12</v>
      </c>
      <c r="G283" s="5"/>
      <c r="H283" s="5"/>
      <c r="I283" s="5" t="s">
        <v>800</v>
      </c>
      <c r="J283" s="63">
        <v>45915</v>
      </c>
      <c r="K283" s="5" t="s">
        <v>807</v>
      </c>
      <c r="L283" s="5">
        <v>54.8</v>
      </c>
      <c r="M283" s="5">
        <v>1.3</v>
      </c>
      <c r="N283" s="5">
        <f t="shared" si="13"/>
        <v>53.5</v>
      </c>
      <c r="O283" s="5"/>
      <c r="P283" s="5"/>
      <c r="Q283" s="5"/>
      <c r="R283" s="63"/>
      <c r="S283" s="5"/>
      <c r="T283" s="5"/>
    </row>
    <row r="284" spans="1:20" x14ac:dyDescent="0.2">
      <c r="A284" s="49" t="str">
        <f t="shared" si="12"/>
        <v>7/10-10.5</v>
      </c>
      <c r="B284" s="19" t="s">
        <v>726</v>
      </c>
      <c r="C284" s="19" t="s">
        <v>211</v>
      </c>
      <c r="D284" s="19" t="s">
        <v>173</v>
      </c>
      <c r="E284" s="19">
        <v>7</v>
      </c>
      <c r="F284" s="19" t="s">
        <v>268</v>
      </c>
      <c r="G284" s="5"/>
      <c r="H284" s="5"/>
      <c r="I284" s="5" t="s">
        <v>917</v>
      </c>
      <c r="J284" s="63">
        <v>45915</v>
      </c>
      <c r="K284" s="5" t="s">
        <v>23</v>
      </c>
      <c r="L284" s="5">
        <v>106.4</v>
      </c>
      <c r="M284" s="5">
        <v>1.8</v>
      </c>
      <c r="N284" s="5">
        <f t="shared" si="13"/>
        <v>104.60000000000001</v>
      </c>
      <c r="O284" s="5"/>
      <c r="P284" s="5"/>
      <c r="Q284" s="5"/>
      <c r="R284" s="63"/>
      <c r="S284" s="5"/>
      <c r="T284" s="5"/>
    </row>
    <row r="285" spans="1:20" x14ac:dyDescent="0.2">
      <c r="A285" s="49" t="str">
        <f t="shared" si="12"/>
        <v>14/7.5-8</v>
      </c>
      <c r="B285" s="19" t="s">
        <v>724</v>
      </c>
      <c r="C285" s="19" t="s">
        <v>173</v>
      </c>
      <c r="D285" s="19" t="s">
        <v>173</v>
      </c>
      <c r="E285" s="19">
        <v>14</v>
      </c>
      <c r="F285" s="19" t="s">
        <v>264</v>
      </c>
      <c r="G285" s="5"/>
      <c r="H285" s="5"/>
      <c r="I285" s="5" t="s">
        <v>739</v>
      </c>
      <c r="J285" s="63">
        <v>45915</v>
      </c>
      <c r="K285" s="5" t="s">
        <v>23</v>
      </c>
      <c r="L285" s="5">
        <v>116.6</v>
      </c>
      <c r="M285" s="5">
        <v>1.8</v>
      </c>
      <c r="N285" s="5">
        <f t="shared" si="13"/>
        <v>114.8</v>
      </c>
      <c r="O285" s="5"/>
      <c r="P285" s="5"/>
      <c r="Q285" s="5"/>
      <c r="R285" s="63"/>
      <c r="S285" s="5"/>
      <c r="T285" s="5"/>
    </row>
    <row r="286" spans="1:20" x14ac:dyDescent="0.2">
      <c r="A286" s="49" t="str">
        <f t="shared" si="12"/>
        <v>18/9-9.5</v>
      </c>
      <c r="B286" s="19" t="s">
        <v>869</v>
      </c>
      <c r="C286" s="19" t="s">
        <v>211</v>
      </c>
      <c r="D286" s="19" t="s">
        <v>173</v>
      </c>
      <c r="E286" s="19">
        <v>18</v>
      </c>
      <c r="F286" s="19" t="s">
        <v>870</v>
      </c>
      <c r="G286" s="5"/>
      <c r="H286" s="5"/>
      <c r="I286" s="5" t="s">
        <v>918</v>
      </c>
      <c r="J286" s="63">
        <v>45915</v>
      </c>
      <c r="K286" s="5" t="s">
        <v>23</v>
      </c>
      <c r="L286" s="5">
        <v>82.6</v>
      </c>
      <c r="M286" s="5">
        <v>4.4000000000000004</v>
      </c>
      <c r="N286" s="5">
        <f t="shared" si="13"/>
        <v>78.199999999999989</v>
      </c>
      <c r="O286" s="5"/>
      <c r="P286" s="5"/>
      <c r="Q286" s="5"/>
      <c r="R286" s="63"/>
      <c r="S286" s="5"/>
      <c r="T286" s="5"/>
    </row>
    <row r="287" spans="1:20" x14ac:dyDescent="0.2">
      <c r="A287" s="49" t="str">
        <f t="shared" si="12"/>
        <v>18/9-9.5</v>
      </c>
      <c r="B287" s="19" t="s">
        <v>869</v>
      </c>
      <c r="C287" s="19" t="s">
        <v>211</v>
      </c>
      <c r="D287" s="19" t="s">
        <v>173</v>
      </c>
      <c r="E287" s="19">
        <v>18</v>
      </c>
      <c r="F287" s="19" t="s">
        <v>870</v>
      </c>
      <c r="G287" s="5"/>
      <c r="H287" s="5"/>
      <c r="I287" s="5" t="s">
        <v>918</v>
      </c>
      <c r="J287" s="63">
        <v>45915</v>
      </c>
      <c r="K287" s="5" t="s">
        <v>23</v>
      </c>
      <c r="L287" s="5">
        <v>124.8</v>
      </c>
      <c r="M287" s="5">
        <v>4</v>
      </c>
      <c r="N287" s="5">
        <f t="shared" si="13"/>
        <v>120.8</v>
      </c>
      <c r="O287" s="5"/>
      <c r="P287" s="5"/>
      <c r="Q287" s="5"/>
      <c r="R287" s="63"/>
      <c r="S287" s="5"/>
      <c r="T287" s="5"/>
    </row>
    <row r="288" spans="1:20" x14ac:dyDescent="0.2">
      <c r="A288" s="49" t="str">
        <f t="shared" si="12"/>
        <v>20/15-16</v>
      </c>
      <c r="B288" s="19" t="s">
        <v>871</v>
      </c>
      <c r="C288" s="19" t="s">
        <v>211</v>
      </c>
      <c r="D288" s="19" t="s">
        <v>173</v>
      </c>
      <c r="E288" s="19">
        <v>20</v>
      </c>
      <c r="F288" s="19" t="s">
        <v>200</v>
      </c>
      <c r="G288" s="5"/>
      <c r="H288" s="5"/>
      <c r="I288" s="5" t="s">
        <v>919</v>
      </c>
      <c r="J288" s="63">
        <v>45915</v>
      </c>
      <c r="K288" s="5" t="s">
        <v>23</v>
      </c>
      <c r="L288" s="5">
        <v>114.6</v>
      </c>
      <c r="M288" s="5">
        <v>5.1999999999999993</v>
      </c>
      <c r="N288" s="5">
        <f t="shared" si="13"/>
        <v>109.39999999999999</v>
      </c>
      <c r="O288" s="5"/>
      <c r="P288" s="5"/>
      <c r="Q288" s="5"/>
      <c r="R288" s="63"/>
      <c r="S288" s="5"/>
      <c r="T288" s="5"/>
    </row>
    <row r="289" spans="1:20" x14ac:dyDescent="0.2">
      <c r="A289" s="49" t="str">
        <f t="shared" si="12"/>
        <v>20/15-16</v>
      </c>
      <c r="B289" s="19" t="s">
        <v>872</v>
      </c>
      <c r="C289" s="19" t="s">
        <v>873</v>
      </c>
      <c r="D289" s="19" t="s">
        <v>173</v>
      </c>
      <c r="E289" s="19">
        <v>20</v>
      </c>
      <c r="F289" s="19" t="s">
        <v>200</v>
      </c>
      <c r="G289" s="5"/>
      <c r="H289" s="5"/>
      <c r="I289" s="5" t="s">
        <v>920</v>
      </c>
      <c r="J289" s="63">
        <v>45915</v>
      </c>
      <c r="K289" s="5" t="s">
        <v>23</v>
      </c>
      <c r="L289" s="5">
        <v>122.6</v>
      </c>
      <c r="M289" s="5">
        <v>4.8</v>
      </c>
      <c r="N289" s="5">
        <f t="shared" si="13"/>
        <v>117.8</v>
      </c>
      <c r="O289" s="5"/>
      <c r="P289" s="5"/>
      <c r="Q289" s="5"/>
      <c r="R289" s="63"/>
      <c r="S289" s="5"/>
      <c r="T289" s="5"/>
    </row>
    <row r="290" spans="1:20" x14ac:dyDescent="0.2">
      <c r="A290" s="49" t="str">
        <f t="shared" si="12"/>
        <v>20/15-16</v>
      </c>
      <c r="B290" s="19" t="s">
        <v>872</v>
      </c>
      <c r="C290" s="19" t="s">
        <v>873</v>
      </c>
      <c r="D290" s="19" t="s">
        <v>173</v>
      </c>
      <c r="E290" s="19">
        <v>20</v>
      </c>
      <c r="F290" s="19" t="s">
        <v>200</v>
      </c>
      <c r="G290" s="5"/>
      <c r="H290" s="5"/>
      <c r="I290" s="5" t="s">
        <v>921</v>
      </c>
      <c r="J290" s="63">
        <v>45915</v>
      </c>
      <c r="K290" s="5" t="s">
        <v>807</v>
      </c>
      <c r="L290" s="5">
        <v>61.8</v>
      </c>
      <c r="M290" s="5">
        <v>2.4</v>
      </c>
      <c r="N290" s="5">
        <f t="shared" si="13"/>
        <v>59.4</v>
      </c>
      <c r="O290" s="5"/>
      <c r="P290" s="5"/>
      <c r="Q290" s="5"/>
      <c r="R290" s="63"/>
      <c r="S290" s="5"/>
      <c r="T290" s="5"/>
    </row>
    <row r="291" spans="1:20" x14ac:dyDescent="0.2">
      <c r="A291" s="49" t="str">
        <f t="shared" si="12"/>
        <v>25/21-22</v>
      </c>
      <c r="B291" s="19" t="s">
        <v>780</v>
      </c>
      <c r="C291" s="19" t="s">
        <v>211</v>
      </c>
      <c r="D291" s="19" t="s">
        <v>173</v>
      </c>
      <c r="E291" s="19">
        <v>25</v>
      </c>
      <c r="F291" s="19" t="s">
        <v>781</v>
      </c>
      <c r="G291" s="5"/>
      <c r="H291" s="5"/>
      <c r="I291" s="5" t="s">
        <v>805</v>
      </c>
      <c r="J291" s="63">
        <v>45915</v>
      </c>
      <c r="K291" s="5" t="s">
        <v>807</v>
      </c>
      <c r="L291" s="5">
        <v>85.6</v>
      </c>
      <c r="M291" s="5">
        <v>2.5</v>
      </c>
      <c r="N291" s="5">
        <f t="shared" si="13"/>
        <v>83.1</v>
      </c>
      <c r="O291" s="5"/>
      <c r="P291" s="5"/>
      <c r="Q291" s="5"/>
      <c r="R291" s="63"/>
      <c r="S291" s="5"/>
      <c r="T291" s="5"/>
    </row>
    <row r="292" spans="1:20" x14ac:dyDescent="0.2">
      <c r="A292" s="49" t="str">
        <f t="shared" si="12"/>
        <v>28-28.5/95±1</v>
      </c>
      <c r="B292" s="19" t="s">
        <v>735</v>
      </c>
      <c r="C292" s="19" t="s">
        <v>173</v>
      </c>
      <c r="D292" s="19" t="s">
        <v>173</v>
      </c>
      <c r="E292" s="19" t="s">
        <v>736</v>
      </c>
      <c r="F292" s="19" t="s">
        <v>737</v>
      </c>
      <c r="G292" s="5"/>
      <c r="H292" s="5"/>
      <c r="I292" s="5" t="s">
        <v>747</v>
      </c>
      <c r="J292" s="63">
        <v>45915</v>
      </c>
      <c r="K292" s="5" t="s">
        <v>23</v>
      </c>
      <c r="L292" s="5">
        <v>157</v>
      </c>
      <c r="M292" s="5">
        <v>6.8</v>
      </c>
      <c r="N292" s="5">
        <f t="shared" si="13"/>
        <v>150.19999999999999</v>
      </c>
      <c r="O292" s="5"/>
      <c r="P292" s="5"/>
      <c r="Q292" s="5"/>
      <c r="R292" s="63"/>
      <c r="S292" s="5"/>
      <c r="T292" s="5"/>
    </row>
    <row r="293" spans="1:20" x14ac:dyDescent="0.2">
      <c r="A293" s="49" t="str">
        <f t="shared" si="12"/>
        <v>28/14</v>
      </c>
      <c r="B293" s="19" t="s">
        <v>874</v>
      </c>
      <c r="C293" s="19" t="s">
        <v>173</v>
      </c>
      <c r="D293" s="19" t="s">
        <v>173</v>
      </c>
      <c r="E293" s="19">
        <v>28</v>
      </c>
      <c r="F293" s="19" t="s">
        <v>12</v>
      </c>
      <c r="G293" s="5"/>
      <c r="H293" s="5"/>
      <c r="I293" s="5" t="s">
        <v>922</v>
      </c>
      <c r="J293" s="63">
        <v>45915</v>
      </c>
      <c r="K293" s="5" t="s">
        <v>23</v>
      </c>
      <c r="L293" s="5">
        <v>175.2</v>
      </c>
      <c r="M293" s="5">
        <v>4.8</v>
      </c>
      <c r="N293" s="5">
        <f t="shared" si="13"/>
        <v>170.39999999999998</v>
      </c>
      <c r="O293" s="5"/>
      <c r="P293" s="5"/>
      <c r="Q293" s="5"/>
      <c r="R293" s="63"/>
      <c r="S293" s="5"/>
      <c r="T293" s="5"/>
    </row>
    <row r="294" spans="1:20" x14ac:dyDescent="0.2">
      <c r="A294" s="49" t="str">
        <f t="shared" si="12"/>
        <v>28-28.5/95±1</v>
      </c>
      <c r="B294" s="19" t="s">
        <v>735</v>
      </c>
      <c r="C294" s="19" t="s">
        <v>173</v>
      </c>
      <c r="D294" s="19" t="s">
        <v>173</v>
      </c>
      <c r="E294" s="19" t="s">
        <v>736</v>
      </c>
      <c r="F294" s="19" t="s">
        <v>737</v>
      </c>
      <c r="G294" s="5"/>
      <c r="H294" s="5"/>
      <c r="I294" s="5" t="s">
        <v>747</v>
      </c>
      <c r="J294" s="63">
        <v>45915</v>
      </c>
      <c r="K294" s="5" t="s">
        <v>26</v>
      </c>
      <c r="L294" s="5">
        <v>452.8</v>
      </c>
      <c r="M294" s="5">
        <v>14.4</v>
      </c>
      <c r="N294" s="5">
        <f t="shared" si="13"/>
        <v>438.40000000000003</v>
      </c>
      <c r="O294" s="5"/>
      <c r="P294" s="5"/>
      <c r="Q294" s="5"/>
      <c r="R294" s="63"/>
      <c r="S294" s="5"/>
      <c r="T294" s="5"/>
    </row>
    <row r="295" spans="1:20" x14ac:dyDescent="0.2">
      <c r="A295" s="49" t="str">
        <f t="shared" si="12"/>
        <v>30/10</v>
      </c>
      <c r="B295" s="19" t="s">
        <v>782</v>
      </c>
      <c r="C295" s="19" t="s">
        <v>173</v>
      </c>
      <c r="D295" s="19" t="s">
        <v>173</v>
      </c>
      <c r="E295" s="19">
        <v>30</v>
      </c>
      <c r="F295" s="19" t="s">
        <v>16</v>
      </c>
      <c r="G295" s="5"/>
      <c r="H295" s="5"/>
      <c r="I295" s="5" t="s">
        <v>923</v>
      </c>
      <c r="J295" s="63">
        <v>45915</v>
      </c>
      <c r="K295" s="5" t="s">
        <v>26</v>
      </c>
      <c r="L295" s="5">
        <v>274.40000000000003</v>
      </c>
      <c r="M295" s="5">
        <v>11.2</v>
      </c>
      <c r="N295" s="5">
        <f t="shared" si="13"/>
        <v>263.20000000000005</v>
      </c>
      <c r="O295" s="5"/>
      <c r="P295" s="5"/>
      <c r="Q295" s="5"/>
      <c r="R295" s="63"/>
      <c r="S295" s="5"/>
      <c r="T295" s="5"/>
    </row>
    <row r="296" spans="1:20" x14ac:dyDescent="0.2">
      <c r="A296" s="49" t="str">
        <f t="shared" si="12"/>
        <v>28 شیٹ/4-4.5/8-9</v>
      </c>
      <c r="B296" s="19" t="s">
        <v>875</v>
      </c>
      <c r="C296" s="19" t="s">
        <v>173</v>
      </c>
      <c r="D296" s="19" t="s">
        <v>173</v>
      </c>
      <c r="E296" s="19" t="s">
        <v>876</v>
      </c>
      <c r="F296" s="19" t="s">
        <v>877</v>
      </c>
      <c r="G296" s="5"/>
      <c r="H296" s="5"/>
      <c r="I296" s="5" t="s">
        <v>924</v>
      </c>
      <c r="J296" s="63">
        <v>45915</v>
      </c>
      <c r="K296" s="5" t="s">
        <v>23</v>
      </c>
      <c r="L296" s="5">
        <v>136.80000000000001</v>
      </c>
      <c r="M296" s="5">
        <v>6</v>
      </c>
      <c r="N296" s="5">
        <f t="shared" si="13"/>
        <v>130.80000000000001</v>
      </c>
      <c r="O296" s="5"/>
      <c r="P296" s="5"/>
      <c r="Q296" s="5"/>
      <c r="R296" s="63"/>
      <c r="S296" s="5"/>
      <c r="T296" s="5"/>
    </row>
    <row r="297" spans="1:20" x14ac:dyDescent="0.2">
      <c r="A297" s="49" t="str">
        <f t="shared" si="12"/>
        <v>32 شیٹ/4-4.5/8-9</v>
      </c>
      <c r="B297" s="19" t="s">
        <v>875</v>
      </c>
      <c r="C297" s="19" t="s">
        <v>173</v>
      </c>
      <c r="D297" s="19" t="s">
        <v>173</v>
      </c>
      <c r="E297" s="19" t="s">
        <v>878</v>
      </c>
      <c r="F297" s="19" t="s">
        <v>877</v>
      </c>
      <c r="G297" s="5"/>
      <c r="H297" s="5"/>
      <c r="I297" s="5" t="s">
        <v>925</v>
      </c>
      <c r="J297" s="63">
        <v>45915</v>
      </c>
      <c r="K297" s="5" t="s">
        <v>23</v>
      </c>
      <c r="L297" s="5">
        <v>212.39999999999998</v>
      </c>
      <c r="M297" s="5">
        <v>6.4</v>
      </c>
      <c r="N297" s="5">
        <f t="shared" si="13"/>
        <v>205.99999999999997</v>
      </c>
      <c r="O297" s="5"/>
      <c r="P297" s="5"/>
      <c r="Q297" s="5"/>
      <c r="R297" s="63"/>
      <c r="S297" s="5"/>
      <c r="T297" s="5"/>
    </row>
    <row r="298" spans="1:20" x14ac:dyDescent="0.2">
      <c r="A298" s="49" t="str">
        <f t="shared" si="12"/>
        <v>32 شیٹ/4-4.5/8-9</v>
      </c>
      <c r="B298" s="19" t="s">
        <v>879</v>
      </c>
      <c r="C298" s="19" t="s">
        <v>173</v>
      </c>
      <c r="D298" s="19" t="s">
        <v>173</v>
      </c>
      <c r="E298" s="19" t="s">
        <v>878</v>
      </c>
      <c r="F298" s="19" t="s">
        <v>877</v>
      </c>
      <c r="G298" s="5"/>
      <c r="H298" s="5"/>
      <c r="I298" s="5" t="s">
        <v>926</v>
      </c>
      <c r="J298" s="63">
        <v>45915</v>
      </c>
      <c r="K298" s="5" t="s">
        <v>23</v>
      </c>
      <c r="L298" s="5">
        <v>148</v>
      </c>
      <c r="M298" s="5">
        <v>6</v>
      </c>
      <c r="N298" s="5">
        <f t="shared" si="13"/>
        <v>142</v>
      </c>
      <c r="O298" s="5"/>
      <c r="P298" s="5"/>
      <c r="Q298" s="5"/>
      <c r="R298" s="63"/>
      <c r="S298" s="5"/>
      <c r="T298" s="5"/>
    </row>
    <row r="299" spans="1:20" x14ac:dyDescent="0.2">
      <c r="A299" s="49" t="str">
        <f t="shared" si="12"/>
        <v>34 SHEET/3.3.25/6.6.5</v>
      </c>
      <c r="B299" s="19" t="s">
        <v>163</v>
      </c>
      <c r="C299" s="19" t="s">
        <v>173</v>
      </c>
      <c r="D299" s="19" t="s">
        <v>173</v>
      </c>
      <c r="E299" s="19" t="s">
        <v>880</v>
      </c>
      <c r="F299" s="19" t="s">
        <v>881</v>
      </c>
      <c r="G299" s="5"/>
      <c r="H299" s="5"/>
      <c r="I299" s="5" t="s">
        <v>927</v>
      </c>
      <c r="J299" s="63">
        <v>45915</v>
      </c>
      <c r="K299" s="5" t="s">
        <v>20</v>
      </c>
      <c r="L299" s="5">
        <v>403.59999999999997</v>
      </c>
      <c r="M299" s="5">
        <v>16.799999999999997</v>
      </c>
      <c r="N299" s="5">
        <f t="shared" si="13"/>
        <v>386.79999999999995</v>
      </c>
      <c r="O299" s="5"/>
      <c r="P299" s="5"/>
      <c r="Q299" s="5"/>
      <c r="R299" s="63"/>
      <c r="S299" s="5"/>
      <c r="T299" s="5"/>
    </row>
    <row r="300" spans="1:20" x14ac:dyDescent="0.2">
      <c r="A300" s="49" t="str">
        <f t="shared" si="12"/>
        <v>28+5.5+5.5/28-28.5/56-57</v>
      </c>
      <c r="B300" s="19" t="s">
        <v>882</v>
      </c>
      <c r="C300" s="19" t="s">
        <v>211</v>
      </c>
      <c r="D300" s="19" t="s">
        <v>173</v>
      </c>
      <c r="E300" s="19" t="s">
        <v>883</v>
      </c>
      <c r="F300" s="19" t="s">
        <v>884</v>
      </c>
      <c r="G300" s="5"/>
      <c r="H300" s="5"/>
      <c r="I300" s="5" t="s">
        <v>928</v>
      </c>
      <c r="J300" s="63">
        <v>45915</v>
      </c>
      <c r="K300" s="5" t="s">
        <v>23</v>
      </c>
      <c r="L300" s="5">
        <v>113.2</v>
      </c>
      <c r="M300" s="5">
        <v>7.2</v>
      </c>
      <c r="N300" s="5">
        <f t="shared" si="13"/>
        <v>106</v>
      </c>
      <c r="O300" s="5"/>
      <c r="P300" s="5"/>
      <c r="Q300" s="5"/>
      <c r="R300" s="63"/>
      <c r="S300" s="5"/>
      <c r="T300" s="5"/>
    </row>
    <row r="301" spans="1:20" x14ac:dyDescent="0.2">
      <c r="A301" s="49" t="str">
        <f t="shared" si="12"/>
        <v>17/7.5-8</v>
      </c>
      <c r="B301" s="19" t="s">
        <v>885</v>
      </c>
      <c r="C301" s="19" t="s">
        <v>211</v>
      </c>
      <c r="D301" s="19" t="s">
        <v>173</v>
      </c>
      <c r="E301" s="19">
        <v>17</v>
      </c>
      <c r="F301" s="19" t="s">
        <v>264</v>
      </c>
      <c r="G301" s="5"/>
      <c r="H301" s="5"/>
      <c r="I301" s="5" t="s">
        <v>929</v>
      </c>
      <c r="J301" s="63">
        <v>45915</v>
      </c>
      <c r="K301" s="5" t="s">
        <v>23</v>
      </c>
      <c r="L301" s="5">
        <v>244.6</v>
      </c>
      <c r="M301" s="5">
        <v>3.4000000000000004</v>
      </c>
      <c r="N301" s="5">
        <f t="shared" si="13"/>
        <v>241.2</v>
      </c>
      <c r="O301" s="5"/>
      <c r="P301" s="5"/>
      <c r="Q301" s="5"/>
      <c r="R301" s="63"/>
      <c r="S301" s="5"/>
      <c r="T301" s="5"/>
    </row>
    <row r="302" spans="1:20" x14ac:dyDescent="0.2">
      <c r="A302" s="49" t="str">
        <f t="shared" si="12"/>
        <v>8/6-6.5</v>
      </c>
      <c r="B302" s="19" t="s">
        <v>768</v>
      </c>
      <c r="C302" s="19" t="s">
        <v>173</v>
      </c>
      <c r="D302" s="19" t="s">
        <v>173</v>
      </c>
      <c r="E302" s="19">
        <v>8</v>
      </c>
      <c r="F302" s="19" t="s">
        <v>578</v>
      </c>
      <c r="G302" s="5"/>
      <c r="H302" s="5"/>
      <c r="I302" s="5" t="s">
        <v>916</v>
      </c>
      <c r="J302" s="63">
        <v>45916</v>
      </c>
      <c r="K302" s="5" t="s">
        <v>807</v>
      </c>
      <c r="L302" s="5">
        <v>38.4</v>
      </c>
      <c r="M302" s="5">
        <v>1</v>
      </c>
      <c r="N302" s="5">
        <f t="shared" si="13"/>
        <v>37.4</v>
      </c>
      <c r="O302" s="5"/>
      <c r="P302" s="5"/>
      <c r="Q302" s="5"/>
      <c r="R302" s="63"/>
      <c r="S302" s="5"/>
      <c r="T302" s="5"/>
    </row>
    <row r="303" spans="1:20" x14ac:dyDescent="0.2">
      <c r="A303" s="49" t="str">
        <f t="shared" si="12"/>
        <v>15/10.5-11</v>
      </c>
      <c r="B303" s="19" t="s">
        <v>163</v>
      </c>
      <c r="C303" s="19" t="s">
        <v>173</v>
      </c>
      <c r="D303" s="19" t="s">
        <v>173</v>
      </c>
      <c r="E303" s="19">
        <v>15</v>
      </c>
      <c r="F303" s="19" t="s">
        <v>640</v>
      </c>
      <c r="G303" s="5"/>
      <c r="H303" s="5"/>
      <c r="I303" s="5" t="s">
        <v>930</v>
      </c>
      <c r="J303" s="63">
        <v>45916</v>
      </c>
      <c r="K303" s="5" t="s">
        <v>807</v>
      </c>
      <c r="L303" s="5">
        <v>33.799999999999997</v>
      </c>
      <c r="M303" s="5">
        <v>1.7</v>
      </c>
      <c r="N303" s="5">
        <f t="shared" si="13"/>
        <v>32.099999999999994</v>
      </c>
      <c r="O303" s="5"/>
      <c r="P303" s="5"/>
      <c r="Q303" s="5"/>
      <c r="R303" s="63"/>
      <c r="S303" s="5"/>
      <c r="T303" s="5"/>
    </row>
    <row r="304" spans="1:20" x14ac:dyDescent="0.2">
      <c r="A304" s="49" t="str">
        <f t="shared" si="12"/>
        <v>28-28.5/95±1</v>
      </c>
      <c r="B304" s="19" t="s">
        <v>735</v>
      </c>
      <c r="C304" s="19" t="s">
        <v>173</v>
      </c>
      <c r="D304" s="19" t="s">
        <v>173</v>
      </c>
      <c r="E304" s="19" t="s">
        <v>736</v>
      </c>
      <c r="F304" s="19" t="s">
        <v>737</v>
      </c>
      <c r="G304" s="5"/>
      <c r="H304" s="5"/>
      <c r="I304" s="5" t="s">
        <v>747</v>
      </c>
      <c r="J304" s="63">
        <v>45916</v>
      </c>
      <c r="K304" s="5" t="s">
        <v>23</v>
      </c>
      <c r="L304" s="5">
        <v>246</v>
      </c>
      <c r="M304" s="5">
        <v>5.6</v>
      </c>
      <c r="N304" s="5">
        <f t="shared" si="13"/>
        <v>240.4</v>
      </c>
      <c r="O304" s="5"/>
      <c r="P304" s="5"/>
      <c r="Q304" s="5"/>
      <c r="R304" s="63"/>
      <c r="S304" s="5"/>
      <c r="T304" s="5"/>
    </row>
    <row r="305" spans="1:20" x14ac:dyDescent="0.2">
      <c r="A305" s="49" t="str">
        <f t="shared" si="12"/>
        <v>20/11-11.5</v>
      </c>
      <c r="B305" s="19" t="s">
        <v>730</v>
      </c>
      <c r="C305" s="19" t="s">
        <v>525</v>
      </c>
      <c r="D305" s="19" t="s">
        <v>173</v>
      </c>
      <c r="E305" s="19">
        <v>20</v>
      </c>
      <c r="F305" s="19" t="s">
        <v>886</v>
      </c>
      <c r="G305" s="5"/>
      <c r="H305" s="5"/>
      <c r="I305" s="5" t="s">
        <v>931</v>
      </c>
      <c r="J305" s="63">
        <v>45916</v>
      </c>
      <c r="K305" s="5" t="s">
        <v>26</v>
      </c>
      <c r="L305" s="5">
        <v>234.79999999999998</v>
      </c>
      <c r="M305" s="5">
        <v>8.6999999999999993</v>
      </c>
      <c r="N305" s="5">
        <f t="shared" si="13"/>
        <v>226.1</v>
      </c>
      <c r="O305" s="5"/>
      <c r="P305" s="5"/>
      <c r="Q305" s="5"/>
      <c r="R305" s="63"/>
      <c r="S305" s="5"/>
      <c r="T305" s="5"/>
    </row>
    <row r="306" spans="1:20" x14ac:dyDescent="0.2">
      <c r="A306" s="49" t="str">
        <f t="shared" si="12"/>
        <v>4/80</v>
      </c>
      <c r="B306" s="19" t="s">
        <v>887</v>
      </c>
      <c r="C306" s="19" t="s">
        <v>888</v>
      </c>
      <c r="D306" s="19" t="s">
        <v>173</v>
      </c>
      <c r="E306" s="19">
        <v>4</v>
      </c>
      <c r="F306" s="19">
        <v>80</v>
      </c>
      <c r="G306" s="5"/>
      <c r="H306" s="5"/>
      <c r="I306" s="5" t="s">
        <v>932</v>
      </c>
      <c r="J306" s="63">
        <v>45916</v>
      </c>
      <c r="K306" s="5" t="s">
        <v>23</v>
      </c>
      <c r="L306" s="5">
        <v>61.8</v>
      </c>
      <c r="M306" s="5">
        <v>0.8</v>
      </c>
      <c r="N306" s="5">
        <f t="shared" si="13"/>
        <v>61</v>
      </c>
      <c r="O306" s="5"/>
      <c r="P306" s="5"/>
      <c r="Q306" s="5"/>
      <c r="R306" s="63"/>
      <c r="S306" s="5"/>
      <c r="T306" s="5"/>
    </row>
    <row r="307" spans="1:20" x14ac:dyDescent="0.2">
      <c r="A307" s="49" t="str">
        <f t="shared" si="12"/>
        <v>20/15-16</v>
      </c>
      <c r="B307" s="19" t="s">
        <v>872</v>
      </c>
      <c r="C307" s="19" t="s">
        <v>873</v>
      </c>
      <c r="D307" s="19" t="s">
        <v>173</v>
      </c>
      <c r="E307" s="19">
        <v>20</v>
      </c>
      <c r="F307" s="19" t="s">
        <v>200</v>
      </c>
      <c r="G307" s="5"/>
      <c r="H307" s="5"/>
      <c r="I307" s="5" t="s">
        <v>921</v>
      </c>
      <c r="J307" s="63">
        <v>45916</v>
      </c>
      <c r="K307" s="5" t="s">
        <v>807</v>
      </c>
      <c r="L307" s="5">
        <v>58.4</v>
      </c>
      <c r="M307" s="5">
        <v>2.4</v>
      </c>
      <c r="N307" s="5">
        <f t="shared" si="13"/>
        <v>56</v>
      </c>
      <c r="O307" s="5"/>
      <c r="P307" s="5"/>
      <c r="Q307" s="5"/>
      <c r="R307" s="63"/>
      <c r="S307" s="5"/>
      <c r="T307" s="5"/>
    </row>
    <row r="308" spans="1:20" x14ac:dyDescent="0.2">
      <c r="A308" s="49" t="str">
        <f t="shared" si="12"/>
        <v>20/15-16</v>
      </c>
      <c r="B308" s="19" t="s">
        <v>889</v>
      </c>
      <c r="C308" s="19" t="s">
        <v>211</v>
      </c>
      <c r="D308" s="19" t="s">
        <v>173</v>
      </c>
      <c r="E308" s="19">
        <v>20</v>
      </c>
      <c r="F308" s="19" t="s">
        <v>200</v>
      </c>
      <c r="G308" s="5"/>
      <c r="H308" s="5"/>
      <c r="I308" s="5" t="s">
        <v>933</v>
      </c>
      <c r="J308" s="63">
        <v>45916</v>
      </c>
      <c r="K308" s="5" t="s">
        <v>23</v>
      </c>
      <c r="L308" s="5">
        <v>127.60000000000001</v>
      </c>
      <c r="M308" s="5">
        <v>4.8</v>
      </c>
      <c r="N308" s="5">
        <f t="shared" si="13"/>
        <v>122.80000000000001</v>
      </c>
      <c r="O308" s="5"/>
      <c r="P308" s="5"/>
      <c r="Q308" s="5"/>
      <c r="R308" s="63"/>
      <c r="S308" s="5"/>
      <c r="T308" s="5"/>
    </row>
    <row r="309" spans="1:20" x14ac:dyDescent="0.2">
      <c r="A309" s="49" t="str">
        <f t="shared" si="12"/>
        <v>18/14-15</v>
      </c>
      <c r="B309" s="19" t="s">
        <v>871</v>
      </c>
      <c r="C309" s="19" t="s">
        <v>211</v>
      </c>
      <c r="D309" s="19" t="s">
        <v>173</v>
      </c>
      <c r="E309" s="19">
        <v>18</v>
      </c>
      <c r="F309" s="19" t="s">
        <v>225</v>
      </c>
      <c r="G309" s="5"/>
      <c r="H309" s="5"/>
      <c r="I309" s="5" t="s">
        <v>934</v>
      </c>
      <c r="J309" s="63">
        <v>45916</v>
      </c>
      <c r="K309" s="5" t="s">
        <v>23</v>
      </c>
      <c r="L309" s="5">
        <v>101.4</v>
      </c>
      <c r="M309" s="5">
        <v>4.2</v>
      </c>
      <c r="N309" s="5">
        <f t="shared" si="13"/>
        <v>97.2</v>
      </c>
      <c r="O309" s="5"/>
      <c r="P309" s="5"/>
      <c r="Q309" s="5"/>
      <c r="R309" s="63"/>
      <c r="S309" s="5"/>
      <c r="T309" s="5"/>
    </row>
    <row r="310" spans="1:20" x14ac:dyDescent="0.2">
      <c r="A310" s="49" t="str">
        <f t="shared" si="12"/>
        <v>8-2.5-2.5/7.5-8/15-16</v>
      </c>
      <c r="B310" s="19" t="s">
        <v>890</v>
      </c>
      <c r="C310" s="19" t="s">
        <v>211</v>
      </c>
      <c r="D310" s="19" t="s">
        <v>173</v>
      </c>
      <c r="E310" s="19" t="s">
        <v>891</v>
      </c>
      <c r="F310" s="19" t="s">
        <v>644</v>
      </c>
      <c r="G310" s="5"/>
      <c r="H310" s="5"/>
      <c r="I310" s="5" t="s">
        <v>935</v>
      </c>
      <c r="J310" s="63">
        <v>45916</v>
      </c>
      <c r="K310" s="5" t="s">
        <v>27</v>
      </c>
      <c r="L310" s="5">
        <v>119.8</v>
      </c>
      <c r="M310" s="5">
        <v>2.4000000000000004</v>
      </c>
      <c r="N310" s="5">
        <f t="shared" si="13"/>
        <v>117.39999999999999</v>
      </c>
      <c r="O310" s="5"/>
      <c r="P310" s="5"/>
      <c r="Q310" s="5"/>
      <c r="R310" s="63"/>
      <c r="S310" s="5"/>
      <c r="T310" s="5"/>
    </row>
    <row r="311" spans="1:20" x14ac:dyDescent="0.2">
      <c r="A311" s="49" t="str">
        <f t="shared" si="12"/>
        <v>8+2+2/5-5.5/10-11</v>
      </c>
      <c r="B311" s="19" t="s">
        <v>730</v>
      </c>
      <c r="C311" s="19" t="s">
        <v>211</v>
      </c>
      <c r="D311" s="19" t="s">
        <v>173</v>
      </c>
      <c r="E311" s="19" t="s">
        <v>892</v>
      </c>
      <c r="F311" s="19" t="s">
        <v>893</v>
      </c>
      <c r="G311" s="5"/>
      <c r="H311" s="5"/>
      <c r="I311" s="5" t="s">
        <v>936</v>
      </c>
      <c r="J311" s="63">
        <v>45916</v>
      </c>
      <c r="K311" s="5" t="s">
        <v>26</v>
      </c>
      <c r="L311" s="5">
        <v>125.4</v>
      </c>
      <c r="M311" s="5">
        <v>4</v>
      </c>
      <c r="N311" s="5">
        <f t="shared" si="13"/>
        <v>121.4</v>
      </c>
      <c r="O311" s="5"/>
      <c r="P311" s="5"/>
      <c r="Q311" s="5"/>
      <c r="R311" s="63"/>
      <c r="S311" s="5"/>
      <c r="T311" s="5"/>
    </row>
    <row r="312" spans="1:20" x14ac:dyDescent="0.2">
      <c r="A312" s="49" t="str">
        <f t="shared" si="12"/>
        <v>10+2.5+2.5/7.5-8/15-16</v>
      </c>
      <c r="B312" s="19" t="s">
        <v>890</v>
      </c>
      <c r="C312" s="19" t="s">
        <v>211</v>
      </c>
      <c r="D312" s="19" t="s">
        <v>173</v>
      </c>
      <c r="E312" s="19" t="s">
        <v>319</v>
      </c>
      <c r="F312" s="19" t="s">
        <v>644</v>
      </c>
      <c r="G312" s="5"/>
      <c r="H312" s="5"/>
      <c r="I312" s="5" t="s">
        <v>937</v>
      </c>
      <c r="J312" s="63">
        <v>45916</v>
      </c>
      <c r="K312" s="5" t="s">
        <v>26</v>
      </c>
      <c r="L312" s="5">
        <v>124.6</v>
      </c>
      <c r="M312" s="5">
        <v>5</v>
      </c>
      <c r="N312" s="5">
        <f t="shared" si="13"/>
        <v>119.6</v>
      </c>
      <c r="O312" s="5"/>
      <c r="P312" s="5"/>
      <c r="Q312" s="5"/>
      <c r="R312" s="63"/>
      <c r="S312" s="5"/>
      <c r="T312" s="5"/>
    </row>
    <row r="313" spans="1:20" x14ac:dyDescent="0.2">
      <c r="A313" s="49" t="str">
        <f t="shared" si="12"/>
        <v>12+3+3/6-6.5/12-13</v>
      </c>
      <c r="B313" s="19" t="s">
        <v>730</v>
      </c>
      <c r="C313" s="19" t="s">
        <v>211</v>
      </c>
      <c r="D313" s="19" t="s">
        <v>173</v>
      </c>
      <c r="E313" s="19" t="s">
        <v>322</v>
      </c>
      <c r="F313" s="19" t="s">
        <v>208</v>
      </c>
      <c r="G313" s="5"/>
      <c r="H313" s="5"/>
      <c r="I313" s="5" t="s">
        <v>938</v>
      </c>
      <c r="J313" s="63">
        <v>45916</v>
      </c>
      <c r="K313" s="5" t="s">
        <v>27</v>
      </c>
      <c r="L313" s="5">
        <v>121</v>
      </c>
      <c r="M313" s="5">
        <v>4.4000000000000004</v>
      </c>
      <c r="N313" s="5">
        <f t="shared" si="13"/>
        <v>116.6</v>
      </c>
      <c r="O313" s="5"/>
      <c r="P313" s="5"/>
      <c r="Q313" s="5"/>
      <c r="R313" s="63"/>
      <c r="S313" s="5"/>
      <c r="T313" s="5"/>
    </row>
    <row r="314" spans="1:20" x14ac:dyDescent="0.2">
      <c r="A314" s="49" t="str">
        <f t="shared" si="12"/>
        <v>22/-</v>
      </c>
      <c r="B314" s="19" t="s">
        <v>894</v>
      </c>
      <c r="C314" s="19" t="s">
        <v>173</v>
      </c>
      <c r="D314" s="19" t="s">
        <v>173</v>
      </c>
      <c r="E314" s="19">
        <v>22</v>
      </c>
      <c r="F314" s="19" t="s">
        <v>581</v>
      </c>
      <c r="G314" s="5"/>
      <c r="H314" s="5"/>
      <c r="I314" s="5" t="s">
        <v>939</v>
      </c>
      <c r="J314" s="63">
        <v>45916</v>
      </c>
      <c r="K314" s="5" t="s">
        <v>27</v>
      </c>
      <c r="L314" s="5">
        <v>156</v>
      </c>
      <c r="M314" s="5">
        <v>5.4</v>
      </c>
      <c r="N314" s="5">
        <f t="shared" si="13"/>
        <v>150.6</v>
      </c>
      <c r="O314" s="5"/>
      <c r="P314" s="5"/>
      <c r="Q314" s="5"/>
      <c r="R314" s="63"/>
      <c r="S314" s="5"/>
      <c r="T314" s="5"/>
    </row>
    <row r="315" spans="1:20" x14ac:dyDescent="0.2">
      <c r="A315" s="49" t="str">
        <f t="shared" si="12"/>
        <v>22/-</v>
      </c>
      <c r="B315" s="19" t="s">
        <v>894</v>
      </c>
      <c r="C315" s="19" t="s">
        <v>173</v>
      </c>
      <c r="D315" s="19" t="s">
        <v>173</v>
      </c>
      <c r="E315" s="19">
        <v>22</v>
      </c>
      <c r="F315" s="19" t="s">
        <v>581</v>
      </c>
      <c r="G315" s="5"/>
      <c r="H315" s="5"/>
      <c r="I315" s="5" t="s">
        <v>940</v>
      </c>
      <c r="J315" s="63">
        <v>45916</v>
      </c>
      <c r="K315" s="5" t="s">
        <v>23</v>
      </c>
      <c r="L315" s="5">
        <v>104.6</v>
      </c>
      <c r="M315" s="5">
        <v>5.8</v>
      </c>
      <c r="N315" s="5">
        <f t="shared" si="13"/>
        <v>98.8</v>
      </c>
      <c r="O315" s="5"/>
      <c r="P315" s="5"/>
      <c r="Q315" s="5"/>
      <c r="R315" s="63"/>
      <c r="S315" s="5"/>
      <c r="T315" s="5"/>
    </row>
    <row r="316" spans="1:20" x14ac:dyDescent="0.2">
      <c r="A316" s="49" t="str">
        <f t="shared" si="12"/>
        <v>22/-</v>
      </c>
      <c r="B316" s="19" t="s">
        <v>894</v>
      </c>
      <c r="C316" s="19" t="s">
        <v>173</v>
      </c>
      <c r="D316" s="19" t="s">
        <v>173</v>
      </c>
      <c r="E316" s="19">
        <v>22</v>
      </c>
      <c r="F316" s="19" t="s">
        <v>581</v>
      </c>
      <c r="G316" s="5"/>
      <c r="H316" s="5"/>
      <c r="I316" s="5" t="s">
        <v>941</v>
      </c>
      <c r="J316" s="63">
        <v>45916</v>
      </c>
      <c r="K316" s="5" t="s">
        <v>23</v>
      </c>
      <c r="L316" s="5">
        <v>112.6</v>
      </c>
      <c r="M316" s="5">
        <v>4.3499999999999996</v>
      </c>
      <c r="N316" s="5">
        <f t="shared" si="13"/>
        <v>108.25</v>
      </c>
      <c r="O316" s="5"/>
      <c r="P316" s="5"/>
      <c r="Q316" s="5"/>
      <c r="R316" s="63"/>
      <c r="S316" s="5"/>
      <c r="T316" s="5"/>
    </row>
    <row r="317" spans="1:20" x14ac:dyDescent="0.2">
      <c r="A317" s="49" t="str">
        <f t="shared" si="12"/>
        <v>22/-</v>
      </c>
      <c r="B317" s="19" t="s">
        <v>894</v>
      </c>
      <c r="C317" s="19" t="s">
        <v>173</v>
      </c>
      <c r="D317" s="19" t="s">
        <v>173</v>
      </c>
      <c r="E317" s="19">
        <v>22</v>
      </c>
      <c r="F317" s="19" t="s">
        <v>581</v>
      </c>
      <c r="G317" s="5"/>
      <c r="H317" s="5"/>
      <c r="I317" s="5" t="s">
        <v>941</v>
      </c>
      <c r="J317" s="63">
        <v>45916</v>
      </c>
      <c r="K317" s="5" t="s">
        <v>807</v>
      </c>
      <c r="L317" s="5">
        <v>37.799999999999997</v>
      </c>
      <c r="M317" s="5">
        <v>1.5</v>
      </c>
      <c r="N317" s="5">
        <f t="shared" si="13"/>
        <v>36.299999999999997</v>
      </c>
      <c r="O317" s="5"/>
      <c r="P317" s="5"/>
      <c r="Q317" s="5"/>
      <c r="R317" s="63"/>
      <c r="S317" s="5"/>
      <c r="T317" s="5"/>
    </row>
    <row r="318" spans="1:20" x14ac:dyDescent="0.2">
      <c r="A318" s="49" t="str">
        <f t="shared" si="12"/>
        <v>22/-</v>
      </c>
      <c r="B318" s="19" t="s">
        <v>894</v>
      </c>
      <c r="C318" s="19" t="s">
        <v>173</v>
      </c>
      <c r="D318" s="19" t="s">
        <v>173</v>
      </c>
      <c r="E318" s="19">
        <v>22</v>
      </c>
      <c r="F318" s="19" t="s">
        <v>581</v>
      </c>
      <c r="G318" s="5"/>
      <c r="H318" s="5"/>
      <c r="I318" s="5" t="s">
        <v>942</v>
      </c>
      <c r="J318" s="63">
        <v>45916</v>
      </c>
      <c r="K318" s="5" t="s">
        <v>18</v>
      </c>
      <c r="L318" s="5">
        <v>338.2</v>
      </c>
      <c r="M318" s="5">
        <v>14.200000000000001</v>
      </c>
      <c r="N318" s="5">
        <f t="shared" si="13"/>
        <v>324</v>
      </c>
      <c r="O318" s="5"/>
      <c r="P318" s="5"/>
      <c r="Q318" s="5"/>
      <c r="R318" s="63"/>
      <c r="S318" s="5"/>
      <c r="T318" s="5"/>
    </row>
    <row r="319" spans="1:20" x14ac:dyDescent="0.2">
      <c r="A319" s="49" t="str">
        <f t="shared" si="12"/>
        <v>17/7.5-8</v>
      </c>
      <c r="B319" s="19" t="s">
        <v>885</v>
      </c>
      <c r="C319" s="19" t="s">
        <v>211</v>
      </c>
      <c r="D319" s="19" t="s">
        <v>173</v>
      </c>
      <c r="E319" s="19">
        <v>17</v>
      </c>
      <c r="F319" s="19" t="s">
        <v>264</v>
      </c>
      <c r="G319" s="5"/>
      <c r="H319" s="5"/>
      <c r="I319" s="5" t="s">
        <v>929</v>
      </c>
      <c r="J319" s="63">
        <v>45916</v>
      </c>
      <c r="K319" s="5" t="s">
        <v>807</v>
      </c>
      <c r="L319" s="5">
        <v>130.19999999999999</v>
      </c>
      <c r="M319" s="5">
        <v>2</v>
      </c>
      <c r="N319" s="5">
        <f t="shared" si="13"/>
        <v>128.19999999999999</v>
      </c>
      <c r="O319" s="5"/>
      <c r="P319" s="5"/>
      <c r="Q319" s="5"/>
      <c r="R319" s="63"/>
      <c r="S319" s="5"/>
      <c r="T319" s="5"/>
    </row>
    <row r="320" spans="1:20" x14ac:dyDescent="0.2">
      <c r="A320" s="49" t="str">
        <f t="shared" si="12"/>
        <v>22/15.5-16</v>
      </c>
      <c r="B320" s="19" t="s">
        <v>895</v>
      </c>
      <c r="C320" s="19" t="s">
        <v>211</v>
      </c>
      <c r="D320" s="19" t="s">
        <v>173</v>
      </c>
      <c r="E320" s="19">
        <v>22</v>
      </c>
      <c r="F320" s="19" t="s">
        <v>896</v>
      </c>
      <c r="G320" s="5"/>
      <c r="H320" s="5"/>
      <c r="I320" s="5" t="s">
        <v>943</v>
      </c>
      <c r="J320" s="63">
        <v>45916</v>
      </c>
      <c r="K320" s="5" t="s">
        <v>23</v>
      </c>
      <c r="L320" s="5">
        <v>110.8</v>
      </c>
      <c r="M320" s="5">
        <v>3.6</v>
      </c>
      <c r="N320" s="5">
        <f t="shared" si="13"/>
        <v>107.2</v>
      </c>
      <c r="O320" s="5"/>
      <c r="P320" s="5"/>
      <c r="Q320" s="5"/>
      <c r="R320" s="63"/>
      <c r="S320" s="5"/>
      <c r="T320" s="5"/>
    </row>
    <row r="321" spans="1:20" x14ac:dyDescent="0.2">
      <c r="A321" s="49" t="str">
        <f t="shared" si="12"/>
        <v>22/6-6.5</v>
      </c>
      <c r="B321" s="19" t="s">
        <v>897</v>
      </c>
      <c r="C321" s="19" t="s">
        <v>211</v>
      </c>
      <c r="D321" s="19" t="s">
        <v>173</v>
      </c>
      <c r="E321" s="19">
        <v>22</v>
      </c>
      <c r="F321" s="19" t="s">
        <v>578</v>
      </c>
      <c r="G321" s="5"/>
      <c r="H321" s="5"/>
      <c r="I321" s="5" t="s">
        <v>944</v>
      </c>
      <c r="J321" s="63">
        <v>45916</v>
      </c>
      <c r="K321" s="5" t="s">
        <v>26</v>
      </c>
      <c r="L321" s="5">
        <v>206.8</v>
      </c>
      <c r="M321" s="5">
        <v>8.1999999999999993</v>
      </c>
      <c r="N321" s="5">
        <f t="shared" si="13"/>
        <v>198.60000000000002</v>
      </c>
      <c r="O321" s="5"/>
      <c r="P321" s="5"/>
      <c r="Q321" s="5"/>
      <c r="R321" s="63"/>
      <c r="S321" s="5"/>
      <c r="T321" s="5"/>
    </row>
    <row r="322" spans="1:20" x14ac:dyDescent="0.2">
      <c r="A322" s="49" t="str">
        <f t="shared" si="12"/>
        <v>26/6-6.5</v>
      </c>
      <c r="B322" s="19" t="s">
        <v>897</v>
      </c>
      <c r="C322" s="19" t="s">
        <v>211</v>
      </c>
      <c r="D322" s="19" t="s">
        <v>173</v>
      </c>
      <c r="E322" s="19">
        <v>26</v>
      </c>
      <c r="F322" s="19" t="s">
        <v>578</v>
      </c>
      <c r="G322" s="5"/>
      <c r="H322" s="5"/>
      <c r="I322" s="5" t="s">
        <v>945</v>
      </c>
      <c r="J322" s="63">
        <v>45916</v>
      </c>
      <c r="K322" s="5" t="s">
        <v>23</v>
      </c>
      <c r="L322" s="5">
        <v>107</v>
      </c>
      <c r="M322" s="5">
        <v>6.4</v>
      </c>
      <c r="N322" s="5">
        <f t="shared" si="13"/>
        <v>100.6</v>
      </c>
      <c r="O322" s="5"/>
      <c r="P322" s="5"/>
      <c r="Q322" s="5"/>
      <c r="R322" s="63"/>
      <c r="S322" s="5"/>
      <c r="T322" s="5"/>
    </row>
    <row r="323" spans="1:20" x14ac:dyDescent="0.2">
      <c r="A323" s="49" t="str">
        <f t="shared" ref="A323:A386" si="14">CONCATENATE(E323,"/",F323)</f>
        <v>23/13-14</v>
      </c>
      <c r="B323" s="19" t="s">
        <v>898</v>
      </c>
      <c r="C323" s="19" t="s">
        <v>211</v>
      </c>
      <c r="D323" s="19" t="s">
        <v>173</v>
      </c>
      <c r="E323" s="19">
        <v>23</v>
      </c>
      <c r="F323" s="19" t="s">
        <v>228</v>
      </c>
      <c r="G323" s="5"/>
      <c r="H323" s="5"/>
      <c r="I323" s="5" t="s">
        <v>946</v>
      </c>
      <c r="J323" s="63">
        <v>45916</v>
      </c>
      <c r="K323" s="5" t="s">
        <v>23</v>
      </c>
      <c r="L323" s="5">
        <v>92.4</v>
      </c>
      <c r="M323" s="5">
        <v>4</v>
      </c>
      <c r="N323" s="5">
        <f t="shared" si="13"/>
        <v>88.4</v>
      </c>
      <c r="O323" s="5"/>
      <c r="P323" s="5"/>
      <c r="Q323" s="5"/>
      <c r="R323" s="63"/>
      <c r="S323" s="5"/>
      <c r="T323" s="5"/>
    </row>
    <row r="324" spans="1:20" x14ac:dyDescent="0.2">
      <c r="A324" s="49" t="str">
        <f t="shared" si="14"/>
        <v>17/12-13</v>
      </c>
      <c r="B324" s="19" t="s">
        <v>899</v>
      </c>
      <c r="C324" s="19" t="s">
        <v>211</v>
      </c>
      <c r="D324" s="19" t="s">
        <v>173</v>
      </c>
      <c r="E324" s="19">
        <v>17</v>
      </c>
      <c r="F324" s="19" t="s">
        <v>201</v>
      </c>
      <c r="G324" s="5"/>
      <c r="H324" s="5"/>
      <c r="I324" s="5" t="s">
        <v>947</v>
      </c>
      <c r="J324" s="63">
        <v>45916</v>
      </c>
      <c r="K324" s="5" t="s">
        <v>807</v>
      </c>
      <c r="L324" s="5">
        <v>46.4</v>
      </c>
      <c r="M324" s="5">
        <v>2</v>
      </c>
      <c r="N324" s="5">
        <f t="shared" si="13"/>
        <v>44.4</v>
      </c>
      <c r="O324" s="5"/>
      <c r="P324" s="5"/>
      <c r="Q324" s="5"/>
      <c r="R324" s="63"/>
      <c r="S324" s="5"/>
      <c r="T324" s="5"/>
    </row>
    <row r="325" spans="1:20" x14ac:dyDescent="0.2">
      <c r="A325" s="49" t="str">
        <f t="shared" si="14"/>
        <v>17/12-13</v>
      </c>
      <c r="B325" s="19" t="s">
        <v>899</v>
      </c>
      <c r="C325" s="19" t="s">
        <v>211</v>
      </c>
      <c r="D325" s="19" t="s">
        <v>173</v>
      </c>
      <c r="E325" s="19">
        <v>17</v>
      </c>
      <c r="F325" s="19" t="s">
        <v>201</v>
      </c>
      <c r="G325" s="5"/>
      <c r="H325" s="5"/>
      <c r="I325" s="5" t="s">
        <v>947</v>
      </c>
      <c r="J325" s="63">
        <v>45916</v>
      </c>
      <c r="K325" s="5" t="s">
        <v>807</v>
      </c>
      <c r="L325" s="5">
        <v>49.2</v>
      </c>
      <c r="M325" s="5">
        <v>2</v>
      </c>
      <c r="N325" s="5">
        <f t="shared" si="13"/>
        <v>47.2</v>
      </c>
      <c r="O325" s="5"/>
      <c r="P325" s="5"/>
      <c r="Q325" s="5"/>
      <c r="R325" s="63"/>
      <c r="S325" s="5"/>
      <c r="T325" s="5"/>
    </row>
    <row r="326" spans="1:20" x14ac:dyDescent="0.2">
      <c r="A326" s="49" t="str">
        <f t="shared" si="14"/>
        <v>28-28.5/95±1</v>
      </c>
      <c r="B326" s="19" t="s">
        <v>735</v>
      </c>
      <c r="C326" s="19" t="s">
        <v>173</v>
      </c>
      <c r="D326" s="19" t="s">
        <v>173</v>
      </c>
      <c r="E326" s="19" t="s">
        <v>736</v>
      </c>
      <c r="F326" s="19" t="s">
        <v>737</v>
      </c>
      <c r="G326" s="5"/>
      <c r="H326" s="5"/>
      <c r="I326" s="5" t="s">
        <v>747</v>
      </c>
      <c r="J326" s="63">
        <v>45916</v>
      </c>
      <c r="K326" s="5" t="s">
        <v>40</v>
      </c>
      <c r="L326" s="5">
        <v>634</v>
      </c>
      <c r="M326" s="5">
        <v>17</v>
      </c>
      <c r="N326" s="5">
        <f t="shared" si="13"/>
        <v>617</v>
      </c>
      <c r="O326" s="5"/>
      <c r="P326" s="5"/>
      <c r="Q326" s="5"/>
      <c r="R326" s="63"/>
      <c r="S326" s="5"/>
      <c r="T326" s="5"/>
    </row>
    <row r="327" spans="1:20" x14ac:dyDescent="0.2">
      <c r="A327" s="49" t="str">
        <f t="shared" si="14"/>
        <v>9/13-14</v>
      </c>
      <c r="B327" s="19" t="s">
        <v>900</v>
      </c>
      <c r="C327" s="19" t="s">
        <v>211</v>
      </c>
      <c r="D327" s="19" t="s">
        <v>173</v>
      </c>
      <c r="E327" s="19">
        <v>9</v>
      </c>
      <c r="F327" s="19" t="s">
        <v>228</v>
      </c>
      <c r="G327" s="5"/>
      <c r="H327" s="5"/>
      <c r="I327" s="5" t="s">
        <v>948</v>
      </c>
      <c r="J327" s="63">
        <v>45917</v>
      </c>
      <c r="K327" s="5" t="s">
        <v>27</v>
      </c>
      <c r="L327" s="5">
        <v>121.4</v>
      </c>
      <c r="M327" s="5">
        <v>3.3000000000000003</v>
      </c>
      <c r="N327" s="5">
        <f t="shared" si="13"/>
        <v>118.10000000000001</v>
      </c>
      <c r="O327" s="5"/>
      <c r="P327" s="5"/>
      <c r="Q327" s="5"/>
      <c r="R327" s="63"/>
      <c r="S327" s="5"/>
      <c r="T327" s="5"/>
    </row>
    <row r="328" spans="1:20" x14ac:dyDescent="0.2">
      <c r="A328" s="49" t="str">
        <f t="shared" si="14"/>
        <v>7/12-13</v>
      </c>
      <c r="B328" s="19" t="s">
        <v>900</v>
      </c>
      <c r="C328" s="19" t="s">
        <v>211</v>
      </c>
      <c r="D328" s="19" t="s">
        <v>173</v>
      </c>
      <c r="E328" s="19">
        <v>7</v>
      </c>
      <c r="F328" s="19" t="s">
        <v>201</v>
      </c>
      <c r="G328" s="5"/>
      <c r="H328" s="5"/>
      <c r="I328" s="5" t="s">
        <v>949</v>
      </c>
      <c r="J328" s="63">
        <v>45917</v>
      </c>
      <c r="K328" s="5" t="s">
        <v>23</v>
      </c>
      <c r="L328" s="5">
        <v>105.5</v>
      </c>
      <c r="M328" s="5">
        <v>2.1</v>
      </c>
      <c r="N328" s="5">
        <f t="shared" si="13"/>
        <v>103.4</v>
      </c>
      <c r="O328" s="5"/>
      <c r="P328" s="5"/>
      <c r="Q328" s="5"/>
      <c r="R328" s="63"/>
      <c r="S328" s="5"/>
      <c r="T328" s="5"/>
    </row>
    <row r="329" spans="1:20" x14ac:dyDescent="0.2">
      <c r="A329" s="49" t="str">
        <f t="shared" si="14"/>
        <v>/</v>
      </c>
      <c r="B329" s="19" t="s">
        <v>581</v>
      </c>
      <c r="C329" s="19"/>
      <c r="D329" s="19" t="s">
        <v>173</v>
      </c>
      <c r="E329" s="19"/>
      <c r="F329" s="19"/>
      <c r="G329" s="5"/>
      <c r="H329" s="5"/>
      <c r="I329" s="5" t="s">
        <v>950</v>
      </c>
      <c r="J329" s="63">
        <v>45917</v>
      </c>
      <c r="K329" s="5" t="s">
        <v>807</v>
      </c>
      <c r="L329" s="5">
        <v>38.200000000000003</v>
      </c>
      <c r="M329" s="5">
        <v>0.9</v>
      </c>
      <c r="N329" s="5">
        <f t="shared" si="13"/>
        <v>37.300000000000004</v>
      </c>
      <c r="O329" s="5"/>
      <c r="P329" s="5"/>
      <c r="Q329" s="5"/>
      <c r="R329" s="63"/>
      <c r="S329" s="5"/>
      <c r="T329" s="5"/>
    </row>
    <row r="330" spans="1:20" x14ac:dyDescent="0.2">
      <c r="A330" s="49" t="str">
        <f t="shared" si="14"/>
        <v>4/80</v>
      </c>
      <c r="B330" s="19" t="s">
        <v>887</v>
      </c>
      <c r="C330" s="19" t="s">
        <v>888</v>
      </c>
      <c r="D330" s="19" t="s">
        <v>173</v>
      </c>
      <c r="E330" s="19">
        <v>4</v>
      </c>
      <c r="F330" s="19">
        <v>80</v>
      </c>
      <c r="G330" s="5"/>
      <c r="H330" s="5"/>
      <c r="I330" s="5" t="s">
        <v>932</v>
      </c>
      <c r="J330" s="63">
        <v>45917</v>
      </c>
      <c r="K330" s="5" t="s">
        <v>15</v>
      </c>
      <c r="L330" s="5">
        <v>311</v>
      </c>
      <c r="M330" s="5">
        <v>6.6</v>
      </c>
      <c r="N330" s="5">
        <f t="shared" si="13"/>
        <v>304.39999999999998</v>
      </c>
      <c r="O330" s="5"/>
      <c r="P330" s="5"/>
      <c r="Q330" s="5"/>
      <c r="R330" s="63"/>
      <c r="S330" s="5"/>
      <c r="T330" s="5"/>
    </row>
    <row r="331" spans="1:20" x14ac:dyDescent="0.2">
      <c r="A331" s="49" t="str">
        <f t="shared" si="14"/>
        <v>4/80</v>
      </c>
      <c r="B331" s="19" t="s">
        <v>887</v>
      </c>
      <c r="C331" s="19" t="s">
        <v>888</v>
      </c>
      <c r="D331" s="19" t="s">
        <v>173</v>
      </c>
      <c r="E331" s="19">
        <v>4</v>
      </c>
      <c r="F331" s="19">
        <v>80</v>
      </c>
      <c r="G331" s="5"/>
      <c r="H331" s="5"/>
      <c r="I331" s="5" t="s">
        <v>932</v>
      </c>
      <c r="J331" s="63">
        <v>45917</v>
      </c>
      <c r="K331" s="5">
        <v>9</v>
      </c>
      <c r="L331" s="5">
        <v>247.28999999999996</v>
      </c>
      <c r="M331" s="5">
        <v>4.5</v>
      </c>
      <c r="N331" s="5">
        <f t="shared" si="13"/>
        <v>242.78999999999996</v>
      </c>
      <c r="O331" s="5"/>
      <c r="P331" s="5"/>
      <c r="Q331" s="5"/>
      <c r="R331" s="63"/>
      <c r="S331" s="5"/>
      <c r="T331" s="5"/>
    </row>
    <row r="332" spans="1:20" x14ac:dyDescent="0.2">
      <c r="A332" s="49" t="str">
        <f t="shared" si="14"/>
        <v>13+3+3/9.5-10/19-20</v>
      </c>
      <c r="B332" s="19" t="s">
        <v>901</v>
      </c>
      <c r="C332" s="19" t="s">
        <v>211</v>
      </c>
      <c r="D332" s="19" t="s">
        <v>173</v>
      </c>
      <c r="E332" s="19" t="s">
        <v>902</v>
      </c>
      <c r="F332" s="19" t="s">
        <v>903</v>
      </c>
      <c r="G332" s="5"/>
      <c r="H332" s="5"/>
      <c r="I332" s="5" t="s">
        <v>951</v>
      </c>
      <c r="J332" s="63">
        <v>45917</v>
      </c>
      <c r="K332" s="5">
        <v>4</v>
      </c>
      <c r="L332" s="5">
        <v>131.89999999999998</v>
      </c>
      <c r="M332" s="5">
        <v>6</v>
      </c>
      <c r="N332" s="5">
        <f t="shared" si="13"/>
        <v>125.89999999999998</v>
      </c>
      <c r="O332" s="5"/>
      <c r="P332" s="5"/>
      <c r="Q332" s="5"/>
      <c r="R332" s="63"/>
      <c r="S332" s="5"/>
      <c r="T332" s="5"/>
    </row>
    <row r="333" spans="1:20" x14ac:dyDescent="0.2">
      <c r="A333" s="49" t="str">
        <f t="shared" si="14"/>
        <v>14/15</v>
      </c>
      <c r="B333" s="19" t="s">
        <v>163</v>
      </c>
      <c r="C333" s="19" t="s">
        <v>211</v>
      </c>
      <c r="D333" s="19" t="s">
        <v>173</v>
      </c>
      <c r="E333" s="19">
        <v>14</v>
      </c>
      <c r="F333" s="19" t="s">
        <v>21</v>
      </c>
      <c r="G333" s="5"/>
      <c r="H333" s="5"/>
      <c r="I333" s="5" t="s">
        <v>952</v>
      </c>
      <c r="J333" s="63">
        <v>45917</v>
      </c>
      <c r="K333" s="5">
        <v>4</v>
      </c>
      <c r="L333" s="5">
        <v>229.20000000000002</v>
      </c>
      <c r="M333" s="5">
        <v>6.5000000000000009</v>
      </c>
      <c r="N333" s="5">
        <f t="shared" si="13"/>
        <v>222.70000000000002</v>
      </c>
      <c r="O333" s="5"/>
      <c r="P333" s="5"/>
      <c r="Q333" s="5"/>
      <c r="R333" s="63"/>
      <c r="S333" s="5"/>
      <c r="T333" s="5"/>
    </row>
    <row r="334" spans="1:20" x14ac:dyDescent="0.2">
      <c r="A334" s="49" t="str">
        <f t="shared" si="14"/>
        <v>14/15</v>
      </c>
      <c r="B334" s="19" t="s">
        <v>163</v>
      </c>
      <c r="C334" s="19" t="s">
        <v>211</v>
      </c>
      <c r="D334" s="19" t="s">
        <v>173</v>
      </c>
      <c r="E334" s="19">
        <v>14</v>
      </c>
      <c r="F334" s="19" t="s">
        <v>21</v>
      </c>
      <c r="G334" s="5"/>
      <c r="H334" s="5"/>
      <c r="I334" s="5" t="s">
        <v>952</v>
      </c>
      <c r="J334" s="63">
        <v>45917</v>
      </c>
      <c r="K334" s="5">
        <v>3</v>
      </c>
      <c r="L334" s="5">
        <v>183.6</v>
      </c>
      <c r="M334" s="5">
        <v>5.2</v>
      </c>
      <c r="N334" s="5">
        <f t="shared" si="13"/>
        <v>178.4</v>
      </c>
      <c r="O334" s="5"/>
      <c r="P334" s="5"/>
      <c r="Q334" s="5"/>
      <c r="R334" s="63"/>
      <c r="S334" s="5"/>
      <c r="T334" s="5"/>
    </row>
    <row r="335" spans="1:20" x14ac:dyDescent="0.2">
      <c r="A335" s="49" t="str">
        <f t="shared" si="14"/>
        <v>8/12</v>
      </c>
      <c r="B335" s="19" t="s">
        <v>904</v>
      </c>
      <c r="C335" s="19" t="s">
        <v>905</v>
      </c>
      <c r="D335" s="19" t="s">
        <v>173</v>
      </c>
      <c r="E335" s="19">
        <v>8</v>
      </c>
      <c r="F335" s="19">
        <v>12</v>
      </c>
      <c r="G335" s="5"/>
      <c r="H335" s="5"/>
      <c r="I335" s="5" t="s">
        <v>953</v>
      </c>
      <c r="J335" s="63">
        <v>45917</v>
      </c>
      <c r="K335" s="5">
        <v>1</v>
      </c>
      <c r="L335" s="5">
        <v>30.4</v>
      </c>
      <c r="M335" s="5">
        <v>0.9</v>
      </c>
      <c r="N335" s="5">
        <f t="shared" si="13"/>
        <v>29.5</v>
      </c>
      <c r="O335" s="5"/>
      <c r="P335" s="5"/>
      <c r="Q335" s="5"/>
      <c r="R335" s="63"/>
      <c r="S335" s="5"/>
      <c r="T335" s="5"/>
    </row>
    <row r="336" spans="1:20" x14ac:dyDescent="0.2">
      <c r="A336" s="49" t="str">
        <f t="shared" si="14"/>
        <v>9/12</v>
      </c>
      <c r="B336" s="19" t="s">
        <v>904</v>
      </c>
      <c r="C336" s="19" t="s">
        <v>905</v>
      </c>
      <c r="D336" s="19" t="s">
        <v>173</v>
      </c>
      <c r="E336" s="19">
        <v>9</v>
      </c>
      <c r="F336" s="19">
        <v>12</v>
      </c>
      <c r="G336" s="5"/>
      <c r="H336" s="5"/>
      <c r="I336" s="5" t="s">
        <v>954</v>
      </c>
      <c r="J336" s="63">
        <v>45917</v>
      </c>
      <c r="K336" s="5">
        <v>4</v>
      </c>
      <c r="L336" s="5">
        <v>131.20000000000002</v>
      </c>
      <c r="M336" s="5">
        <v>4.2</v>
      </c>
      <c r="N336" s="5">
        <f t="shared" si="13"/>
        <v>127.00000000000001</v>
      </c>
      <c r="O336" s="5"/>
      <c r="P336" s="5"/>
      <c r="Q336" s="5"/>
      <c r="R336" s="63"/>
      <c r="S336" s="5"/>
      <c r="T336" s="5"/>
    </row>
    <row r="337" spans="1:20" x14ac:dyDescent="0.2">
      <c r="A337" s="49" t="str">
        <f t="shared" si="14"/>
        <v>22/-</v>
      </c>
      <c r="B337" s="19" t="s">
        <v>894</v>
      </c>
      <c r="C337" s="19" t="s">
        <v>173</v>
      </c>
      <c r="D337" s="19" t="s">
        <v>173</v>
      </c>
      <c r="E337" s="19">
        <v>22</v>
      </c>
      <c r="F337" s="19" t="s">
        <v>581</v>
      </c>
      <c r="G337" s="5"/>
      <c r="H337" s="5"/>
      <c r="I337" s="5" t="s">
        <v>942</v>
      </c>
      <c r="J337" s="63">
        <v>45917</v>
      </c>
      <c r="K337" s="5">
        <v>6</v>
      </c>
      <c r="L337" s="5">
        <v>296.60000000000002</v>
      </c>
      <c r="M337" s="5">
        <v>10.8</v>
      </c>
      <c r="N337" s="5">
        <f t="shared" si="13"/>
        <v>285.8</v>
      </c>
      <c r="O337" s="5"/>
      <c r="P337" s="5"/>
      <c r="Q337" s="5"/>
      <c r="R337" s="63"/>
      <c r="S337" s="5"/>
      <c r="T337" s="5"/>
    </row>
    <row r="338" spans="1:20" x14ac:dyDescent="0.2">
      <c r="A338" s="49" t="str">
        <f t="shared" si="14"/>
        <v>22/-</v>
      </c>
      <c r="B338" s="19" t="s">
        <v>894</v>
      </c>
      <c r="C338" s="19" t="s">
        <v>173</v>
      </c>
      <c r="D338" s="19" t="s">
        <v>173</v>
      </c>
      <c r="E338" s="19">
        <v>22</v>
      </c>
      <c r="F338" s="19" t="s">
        <v>581</v>
      </c>
      <c r="G338" s="5"/>
      <c r="H338" s="5"/>
      <c r="I338" s="5" t="s">
        <v>940</v>
      </c>
      <c r="J338" s="63">
        <v>45917</v>
      </c>
      <c r="K338" s="5">
        <v>2</v>
      </c>
      <c r="L338" s="5">
        <v>125.19999999999999</v>
      </c>
      <c r="M338" s="5">
        <v>5.6</v>
      </c>
      <c r="N338" s="5">
        <f t="shared" si="13"/>
        <v>119.6</v>
      </c>
      <c r="O338" s="5"/>
      <c r="P338" s="5"/>
      <c r="Q338" s="5"/>
      <c r="R338" s="63"/>
      <c r="S338" s="5"/>
      <c r="T338" s="5"/>
    </row>
    <row r="339" spans="1:20" x14ac:dyDescent="0.2">
      <c r="A339" s="49" t="str">
        <f t="shared" si="14"/>
        <v>22/-</v>
      </c>
      <c r="B339" s="19" t="s">
        <v>894</v>
      </c>
      <c r="C339" s="19" t="s">
        <v>173</v>
      </c>
      <c r="D339" s="19" t="s">
        <v>173</v>
      </c>
      <c r="E339" s="19">
        <v>22</v>
      </c>
      <c r="F339" s="19" t="s">
        <v>581</v>
      </c>
      <c r="G339" s="5"/>
      <c r="H339" s="5"/>
      <c r="I339" s="5" t="s">
        <v>940</v>
      </c>
      <c r="J339" s="63">
        <v>45917</v>
      </c>
      <c r="K339" s="5">
        <v>7</v>
      </c>
      <c r="L339" s="5">
        <v>345.2</v>
      </c>
      <c r="M339" s="5">
        <v>16.8</v>
      </c>
      <c r="N339" s="5">
        <f t="shared" si="13"/>
        <v>328.4</v>
      </c>
      <c r="O339" s="5"/>
      <c r="P339" s="5"/>
      <c r="Q339" s="5"/>
      <c r="R339" s="63"/>
      <c r="S339" s="5"/>
      <c r="T339" s="5"/>
    </row>
    <row r="340" spans="1:20" x14ac:dyDescent="0.2">
      <c r="A340" s="49" t="str">
        <f t="shared" si="14"/>
        <v>28-28.5/95±1</v>
      </c>
      <c r="B340" s="19" t="s">
        <v>735</v>
      </c>
      <c r="C340" s="19" t="s">
        <v>173</v>
      </c>
      <c r="D340" s="19" t="s">
        <v>173</v>
      </c>
      <c r="E340" s="19" t="s">
        <v>736</v>
      </c>
      <c r="F340" s="19" t="s">
        <v>737</v>
      </c>
      <c r="G340" s="5"/>
      <c r="H340" s="5"/>
      <c r="I340" s="5" t="s">
        <v>747</v>
      </c>
      <c r="J340" s="63">
        <v>45917</v>
      </c>
      <c r="K340" s="5">
        <v>4</v>
      </c>
      <c r="L340" s="5">
        <v>330.6</v>
      </c>
      <c r="M340" s="5">
        <v>14.2</v>
      </c>
      <c r="N340" s="5">
        <f t="shared" si="13"/>
        <v>316.40000000000003</v>
      </c>
      <c r="O340" s="5"/>
      <c r="P340" s="5"/>
      <c r="Q340" s="5"/>
      <c r="R340" s="63"/>
      <c r="S340" s="5"/>
      <c r="T340" s="5"/>
    </row>
    <row r="341" spans="1:20" x14ac:dyDescent="0.2">
      <c r="A341" s="49" t="str">
        <f t="shared" si="14"/>
        <v>28-28.5/95±1</v>
      </c>
      <c r="B341" s="19" t="s">
        <v>735</v>
      </c>
      <c r="C341" s="19" t="s">
        <v>173</v>
      </c>
      <c r="D341" s="19" t="s">
        <v>173</v>
      </c>
      <c r="E341" s="19" t="s">
        <v>736</v>
      </c>
      <c r="F341" s="19" t="s">
        <v>737</v>
      </c>
      <c r="G341" s="5"/>
      <c r="H341" s="5"/>
      <c r="I341" s="5" t="s">
        <v>747</v>
      </c>
      <c r="J341" s="63">
        <v>45917</v>
      </c>
      <c r="K341" s="5">
        <v>7</v>
      </c>
      <c r="L341" s="5">
        <v>696.19999999999993</v>
      </c>
      <c r="M341" s="5">
        <v>23.8</v>
      </c>
      <c r="N341" s="5">
        <f t="shared" si="13"/>
        <v>672.4</v>
      </c>
      <c r="O341" s="5"/>
      <c r="P341" s="5"/>
      <c r="Q341" s="5"/>
      <c r="R341" s="63"/>
      <c r="S341" s="5"/>
      <c r="T341" s="5"/>
    </row>
    <row r="342" spans="1:20" x14ac:dyDescent="0.2">
      <c r="A342" s="49" t="str">
        <f t="shared" si="14"/>
        <v>28-28.5/95±1</v>
      </c>
      <c r="B342" s="19" t="s">
        <v>735</v>
      </c>
      <c r="C342" s="19" t="s">
        <v>173</v>
      </c>
      <c r="D342" s="19" t="s">
        <v>173</v>
      </c>
      <c r="E342" s="19" t="s">
        <v>736</v>
      </c>
      <c r="F342" s="19" t="s">
        <v>737</v>
      </c>
      <c r="G342" s="5"/>
      <c r="H342" s="5"/>
      <c r="I342" s="5" t="s">
        <v>747</v>
      </c>
      <c r="J342" s="63">
        <v>45917</v>
      </c>
      <c r="K342" s="5">
        <v>12</v>
      </c>
      <c r="L342" s="5">
        <v>865.3</v>
      </c>
      <c r="M342" s="5">
        <v>56</v>
      </c>
      <c r="N342" s="5">
        <f t="shared" si="13"/>
        <v>809.3</v>
      </c>
      <c r="O342" s="5"/>
      <c r="P342" s="5"/>
      <c r="Q342" s="5"/>
      <c r="R342" s="63"/>
      <c r="S342" s="5"/>
      <c r="T342" s="5"/>
    </row>
    <row r="343" spans="1:20" x14ac:dyDescent="0.2">
      <c r="A343" s="49" t="str">
        <f t="shared" si="14"/>
        <v>7/17-18</v>
      </c>
      <c r="B343" s="19" t="s">
        <v>906</v>
      </c>
      <c r="C343" s="19" t="s">
        <v>173</v>
      </c>
      <c r="D343" s="19" t="s">
        <v>173</v>
      </c>
      <c r="E343" s="19">
        <v>7</v>
      </c>
      <c r="F343" s="19" t="s">
        <v>223</v>
      </c>
      <c r="G343" s="5"/>
      <c r="H343" s="5"/>
      <c r="I343" s="5" t="s">
        <v>955</v>
      </c>
      <c r="J343" s="63">
        <v>45918</v>
      </c>
      <c r="K343" s="5">
        <v>2</v>
      </c>
      <c r="L343" s="5">
        <v>59.400000000000006</v>
      </c>
      <c r="M343" s="5">
        <v>1.8</v>
      </c>
      <c r="N343" s="5">
        <f t="shared" si="13"/>
        <v>57.600000000000009</v>
      </c>
      <c r="O343" s="5"/>
      <c r="P343" s="5"/>
      <c r="Q343" s="5"/>
      <c r="R343" s="63"/>
      <c r="S343" s="5"/>
      <c r="T343" s="5"/>
    </row>
    <row r="344" spans="1:20" x14ac:dyDescent="0.2">
      <c r="A344" s="49" t="str">
        <f t="shared" si="14"/>
        <v>6/17-18</v>
      </c>
      <c r="B344" s="19" t="s">
        <v>906</v>
      </c>
      <c r="C344" s="19" t="s">
        <v>173</v>
      </c>
      <c r="D344" s="19" t="s">
        <v>173</v>
      </c>
      <c r="E344" s="19">
        <v>6</v>
      </c>
      <c r="F344" s="19" t="s">
        <v>223</v>
      </c>
      <c r="G344" s="5"/>
      <c r="H344" s="5"/>
      <c r="I344" s="5" t="s">
        <v>956</v>
      </c>
      <c r="J344" s="63">
        <v>45918</v>
      </c>
      <c r="K344" s="5">
        <v>3</v>
      </c>
      <c r="L344" s="5">
        <v>101.19999999999999</v>
      </c>
      <c r="M344" s="5">
        <v>2.31</v>
      </c>
      <c r="N344" s="5">
        <f t="shared" si="13"/>
        <v>98.889999999999986</v>
      </c>
      <c r="O344" s="5"/>
      <c r="P344" s="5"/>
      <c r="Q344" s="5"/>
      <c r="R344" s="63"/>
      <c r="S344" s="5"/>
      <c r="T344" s="5"/>
    </row>
    <row r="345" spans="1:20" x14ac:dyDescent="0.2">
      <c r="A345" s="49" t="str">
        <f t="shared" si="14"/>
        <v>8/17-18</v>
      </c>
      <c r="B345" s="19" t="s">
        <v>906</v>
      </c>
      <c r="C345" s="19" t="s">
        <v>173</v>
      </c>
      <c r="D345" s="19" t="s">
        <v>173</v>
      </c>
      <c r="E345" s="19">
        <v>8</v>
      </c>
      <c r="F345" s="19" t="s">
        <v>223</v>
      </c>
      <c r="G345" s="5"/>
      <c r="H345" s="5"/>
      <c r="I345" s="5" t="s">
        <v>957</v>
      </c>
      <c r="J345" s="63">
        <v>45918</v>
      </c>
      <c r="K345" s="5">
        <v>2</v>
      </c>
      <c r="L345" s="5">
        <v>108</v>
      </c>
      <c r="M345" s="5">
        <v>2</v>
      </c>
      <c r="N345" s="5">
        <f t="shared" ref="N345:N364" si="15">+L345-M345</f>
        <v>106</v>
      </c>
      <c r="O345" s="5"/>
      <c r="P345" s="5"/>
      <c r="Q345" s="5"/>
      <c r="R345" s="63"/>
      <c r="S345" s="5"/>
      <c r="T345" s="5"/>
    </row>
    <row r="346" spans="1:20" x14ac:dyDescent="0.2">
      <c r="A346" s="49" t="str">
        <f t="shared" si="14"/>
        <v>12/17-18</v>
      </c>
      <c r="B346" s="19" t="s">
        <v>906</v>
      </c>
      <c r="C346" s="19" t="s">
        <v>173</v>
      </c>
      <c r="D346" s="19" t="s">
        <v>173</v>
      </c>
      <c r="E346" s="19">
        <v>12</v>
      </c>
      <c r="F346" s="19" t="s">
        <v>223</v>
      </c>
      <c r="G346" s="5"/>
      <c r="H346" s="5"/>
      <c r="I346" s="5" t="s">
        <v>958</v>
      </c>
      <c r="J346" s="63">
        <v>45918</v>
      </c>
      <c r="K346" s="5">
        <v>2</v>
      </c>
      <c r="L346" s="5">
        <v>110</v>
      </c>
      <c r="M346" s="5">
        <v>3</v>
      </c>
      <c r="N346" s="5">
        <f t="shared" si="15"/>
        <v>107</v>
      </c>
      <c r="O346" s="5"/>
      <c r="P346" s="5"/>
      <c r="Q346" s="5"/>
      <c r="R346" s="63"/>
      <c r="S346" s="5"/>
      <c r="T346" s="5"/>
    </row>
    <row r="347" spans="1:20" x14ac:dyDescent="0.2">
      <c r="A347" s="49" t="str">
        <f t="shared" si="14"/>
        <v>4/80</v>
      </c>
      <c r="B347" s="19" t="s">
        <v>887</v>
      </c>
      <c r="C347" s="19" t="s">
        <v>888</v>
      </c>
      <c r="D347" s="19" t="s">
        <v>173</v>
      </c>
      <c r="E347" s="19">
        <v>4</v>
      </c>
      <c r="F347" s="19">
        <v>80</v>
      </c>
      <c r="G347" s="5"/>
      <c r="H347" s="5"/>
      <c r="I347" s="5" t="s">
        <v>932</v>
      </c>
      <c r="J347" s="63">
        <v>45918</v>
      </c>
      <c r="K347" s="5">
        <v>10</v>
      </c>
      <c r="L347" s="5">
        <v>256.39999999999998</v>
      </c>
      <c r="M347" s="5">
        <v>6</v>
      </c>
      <c r="N347" s="5">
        <f t="shared" si="15"/>
        <v>250.39999999999998</v>
      </c>
      <c r="O347" s="5"/>
      <c r="P347" s="5"/>
      <c r="Q347" s="5"/>
      <c r="R347" s="63"/>
      <c r="S347" s="5"/>
      <c r="T347" s="5"/>
    </row>
    <row r="348" spans="1:20" x14ac:dyDescent="0.2">
      <c r="A348" s="49" t="str">
        <f t="shared" si="14"/>
        <v>4/80</v>
      </c>
      <c r="B348" s="19" t="s">
        <v>887</v>
      </c>
      <c r="C348" s="19" t="s">
        <v>888</v>
      </c>
      <c r="D348" s="19" t="s">
        <v>173</v>
      </c>
      <c r="E348" s="19">
        <v>4</v>
      </c>
      <c r="F348" s="19">
        <v>80</v>
      </c>
      <c r="G348" s="5"/>
      <c r="H348" s="5"/>
      <c r="I348" s="5" t="s">
        <v>932</v>
      </c>
      <c r="J348" s="63">
        <v>45918</v>
      </c>
      <c r="K348" s="5">
        <v>9</v>
      </c>
      <c r="L348" s="5">
        <v>230.43</v>
      </c>
      <c r="M348" s="5">
        <v>4.21</v>
      </c>
      <c r="N348" s="5">
        <f t="shared" si="15"/>
        <v>226.22</v>
      </c>
      <c r="O348" s="5"/>
      <c r="P348" s="5"/>
      <c r="Q348" s="5"/>
      <c r="R348" s="63"/>
      <c r="S348" s="5"/>
      <c r="T348" s="5"/>
    </row>
    <row r="349" spans="1:20" x14ac:dyDescent="0.2">
      <c r="A349" s="49" t="str">
        <f t="shared" si="14"/>
        <v>22/-</v>
      </c>
      <c r="B349" s="19" t="s">
        <v>894</v>
      </c>
      <c r="C349" s="19" t="s">
        <v>173</v>
      </c>
      <c r="D349" s="19" t="s">
        <v>173</v>
      </c>
      <c r="E349" s="19">
        <v>22</v>
      </c>
      <c r="F349" s="19" t="s">
        <v>581</v>
      </c>
      <c r="G349" s="5"/>
      <c r="H349" s="5"/>
      <c r="I349" s="5" t="s">
        <v>940</v>
      </c>
      <c r="J349" s="63">
        <v>45918</v>
      </c>
      <c r="K349" s="5">
        <v>1</v>
      </c>
      <c r="L349" s="5">
        <v>48.4</v>
      </c>
      <c r="M349" s="5">
        <v>3.4</v>
      </c>
      <c r="N349" s="5">
        <f t="shared" si="15"/>
        <v>45</v>
      </c>
      <c r="O349" s="5"/>
      <c r="P349" s="5"/>
      <c r="Q349" s="5"/>
      <c r="R349" s="63"/>
      <c r="S349" s="5"/>
      <c r="T349" s="5"/>
    </row>
    <row r="350" spans="1:20" x14ac:dyDescent="0.2">
      <c r="A350" s="49" t="str">
        <f t="shared" si="14"/>
        <v>16/7</v>
      </c>
      <c r="B350" s="19" t="s">
        <v>163</v>
      </c>
      <c r="C350" s="19" t="s">
        <v>173</v>
      </c>
      <c r="D350" s="19" t="s">
        <v>173</v>
      </c>
      <c r="E350" s="19">
        <v>16</v>
      </c>
      <c r="F350" s="19" t="s">
        <v>19</v>
      </c>
      <c r="G350" s="5"/>
      <c r="H350" s="5"/>
      <c r="I350" s="5" t="s">
        <v>959</v>
      </c>
      <c r="J350" s="63">
        <v>45918</v>
      </c>
      <c r="K350" s="5">
        <v>3</v>
      </c>
      <c r="L350" s="5">
        <v>115.8</v>
      </c>
      <c r="M350" s="5">
        <v>5.6999999999999993</v>
      </c>
      <c r="N350" s="5">
        <f t="shared" si="15"/>
        <v>110.1</v>
      </c>
      <c r="O350" s="5"/>
      <c r="P350" s="5"/>
      <c r="Q350" s="5"/>
      <c r="R350" s="63"/>
      <c r="S350" s="5"/>
      <c r="T350" s="5"/>
    </row>
    <row r="351" spans="1:20" x14ac:dyDescent="0.2">
      <c r="A351" s="49" t="str">
        <f t="shared" si="14"/>
        <v>15/7</v>
      </c>
      <c r="B351" s="19" t="s">
        <v>163</v>
      </c>
      <c r="C351" s="19" t="s">
        <v>173</v>
      </c>
      <c r="D351" s="19" t="s">
        <v>173</v>
      </c>
      <c r="E351" s="19">
        <v>15</v>
      </c>
      <c r="F351" s="19" t="s">
        <v>19</v>
      </c>
      <c r="G351" s="5"/>
      <c r="H351" s="5"/>
      <c r="I351" s="5" t="s">
        <v>960</v>
      </c>
      <c r="J351" s="63">
        <v>45918</v>
      </c>
      <c r="K351" s="5">
        <v>1</v>
      </c>
      <c r="L351" s="5">
        <v>37</v>
      </c>
      <c r="M351" s="5">
        <v>1.7</v>
      </c>
      <c r="N351" s="5">
        <f t="shared" si="15"/>
        <v>35.299999999999997</v>
      </c>
      <c r="O351" s="5"/>
      <c r="P351" s="5"/>
      <c r="Q351" s="5"/>
      <c r="R351" s="63"/>
      <c r="S351" s="5"/>
      <c r="T351" s="5"/>
    </row>
    <row r="352" spans="1:20" x14ac:dyDescent="0.2">
      <c r="A352" s="49" t="str">
        <f t="shared" si="14"/>
        <v>15/7</v>
      </c>
      <c r="B352" s="19" t="s">
        <v>163</v>
      </c>
      <c r="C352" s="19" t="s">
        <v>173</v>
      </c>
      <c r="D352" s="19" t="s">
        <v>173</v>
      </c>
      <c r="E352" s="19">
        <v>15</v>
      </c>
      <c r="F352" s="19" t="s">
        <v>19</v>
      </c>
      <c r="G352" s="5"/>
      <c r="H352" s="5"/>
      <c r="I352" s="5" t="s">
        <v>960</v>
      </c>
      <c r="J352" s="63">
        <v>45918</v>
      </c>
      <c r="K352" s="5">
        <v>1</v>
      </c>
      <c r="L352" s="5">
        <v>50.6</v>
      </c>
      <c r="M352" s="5">
        <v>1.8</v>
      </c>
      <c r="N352" s="5">
        <f t="shared" si="15"/>
        <v>48.800000000000004</v>
      </c>
      <c r="O352" s="5"/>
      <c r="P352" s="5"/>
      <c r="Q352" s="5"/>
      <c r="R352" s="63"/>
      <c r="S352" s="5"/>
      <c r="T352" s="5"/>
    </row>
    <row r="353" spans="1:20" x14ac:dyDescent="0.2">
      <c r="A353" s="49" t="str">
        <f t="shared" si="14"/>
        <v>16/5.5.5</v>
      </c>
      <c r="B353" s="19" t="s">
        <v>163</v>
      </c>
      <c r="C353" s="19" t="s">
        <v>173</v>
      </c>
      <c r="D353" s="19" t="s">
        <v>173</v>
      </c>
      <c r="E353" s="19">
        <v>16</v>
      </c>
      <c r="F353" s="19" t="s">
        <v>907</v>
      </c>
      <c r="G353" s="5"/>
      <c r="H353" s="5"/>
      <c r="I353" s="5" t="s">
        <v>961</v>
      </c>
      <c r="J353" s="63">
        <v>45918</v>
      </c>
      <c r="K353" s="5">
        <v>1</v>
      </c>
      <c r="L353" s="5">
        <v>55</v>
      </c>
      <c r="M353" s="5">
        <v>2</v>
      </c>
      <c r="N353" s="5">
        <f t="shared" si="15"/>
        <v>53</v>
      </c>
      <c r="O353" s="5"/>
      <c r="P353" s="5"/>
      <c r="Q353" s="5"/>
      <c r="R353" s="63"/>
      <c r="S353" s="5"/>
      <c r="T353" s="5"/>
    </row>
    <row r="354" spans="1:20" x14ac:dyDescent="0.2">
      <c r="A354" s="49" t="str">
        <f t="shared" si="14"/>
        <v>23/8-8.5</v>
      </c>
      <c r="B354" s="19" t="s">
        <v>163</v>
      </c>
      <c r="C354" s="19" t="s">
        <v>173</v>
      </c>
      <c r="D354" s="19" t="s">
        <v>173</v>
      </c>
      <c r="E354" s="19">
        <v>23</v>
      </c>
      <c r="F354" s="19" t="s">
        <v>207</v>
      </c>
      <c r="G354" s="5"/>
      <c r="H354" s="5"/>
      <c r="I354" s="5" t="s">
        <v>962</v>
      </c>
      <c r="J354" s="63">
        <v>45918</v>
      </c>
      <c r="K354" s="5">
        <v>2</v>
      </c>
      <c r="L354" s="5">
        <v>147.80000000000001</v>
      </c>
      <c r="M354" s="5">
        <v>4.0999999999999996</v>
      </c>
      <c r="N354" s="5">
        <f t="shared" si="15"/>
        <v>143.70000000000002</v>
      </c>
      <c r="O354" s="5"/>
      <c r="P354" s="5"/>
      <c r="Q354" s="5"/>
      <c r="R354" s="63"/>
      <c r="S354" s="5"/>
      <c r="T354" s="5"/>
    </row>
    <row r="355" spans="1:20" x14ac:dyDescent="0.2">
      <c r="A355" s="49" t="str">
        <f t="shared" si="14"/>
        <v>24/7</v>
      </c>
      <c r="B355" s="19" t="s">
        <v>163</v>
      </c>
      <c r="C355" s="19" t="s">
        <v>173</v>
      </c>
      <c r="D355" s="19" t="s">
        <v>173</v>
      </c>
      <c r="E355" s="19">
        <v>24</v>
      </c>
      <c r="F355" s="19" t="s">
        <v>19</v>
      </c>
      <c r="G355" s="5"/>
      <c r="H355" s="5"/>
      <c r="I355" s="5" t="s">
        <v>963</v>
      </c>
      <c r="J355" s="63">
        <v>45918</v>
      </c>
      <c r="K355" s="5">
        <v>1</v>
      </c>
      <c r="L355" s="5">
        <v>42</v>
      </c>
      <c r="M355" s="5">
        <v>2.8</v>
      </c>
      <c r="N355" s="5">
        <f t="shared" si="15"/>
        <v>39.200000000000003</v>
      </c>
      <c r="O355" s="5"/>
      <c r="P355" s="5"/>
      <c r="Q355" s="5"/>
      <c r="R355" s="63"/>
      <c r="S355" s="5"/>
      <c r="T355" s="5"/>
    </row>
    <row r="356" spans="1:20" x14ac:dyDescent="0.2">
      <c r="A356" s="49" t="str">
        <f t="shared" si="14"/>
        <v>28-28.5/95±1</v>
      </c>
      <c r="B356" s="19" t="s">
        <v>735</v>
      </c>
      <c r="C356" s="19" t="s">
        <v>173</v>
      </c>
      <c r="D356" s="19" t="s">
        <v>173</v>
      </c>
      <c r="E356" s="19" t="s">
        <v>736</v>
      </c>
      <c r="F356" s="19" t="s">
        <v>737</v>
      </c>
      <c r="G356" s="5"/>
      <c r="H356" s="5"/>
      <c r="I356" s="5" t="s">
        <v>747</v>
      </c>
      <c r="J356" s="63">
        <v>45918</v>
      </c>
      <c r="K356" s="5">
        <v>6</v>
      </c>
      <c r="L356" s="5">
        <v>665.4</v>
      </c>
      <c r="M356" s="5">
        <v>20.399999999999999</v>
      </c>
      <c r="N356" s="5">
        <f t="shared" si="15"/>
        <v>645</v>
      </c>
      <c r="O356" s="5"/>
      <c r="P356" s="5"/>
      <c r="Q356" s="5"/>
      <c r="R356" s="63"/>
      <c r="S356" s="5"/>
      <c r="T356" s="5"/>
    </row>
    <row r="357" spans="1:20" x14ac:dyDescent="0.2">
      <c r="A357" s="49" t="str">
        <f t="shared" si="14"/>
        <v>28-28.5/95±1</v>
      </c>
      <c r="B357" s="19" t="s">
        <v>735</v>
      </c>
      <c r="C357" s="19" t="s">
        <v>173</v>
      </c>
      <c r="D357" s="19" t="s">
        <v>173</v>
      </c>
      <c r="E357" s="19" t="s">
        <v>736</v>
      </c>
      <c r="F357" s="19" t="s">
        <v>737</v>
      </c>
      <c r="G357" s="5"/>
      <c r="H357" s="5"/>
      <c r="I357" s="5" t="s">
        <v>747</v>
      </c>
      <c r="J357" s="63">
        <v>45918</v>
      </c>
      <c r="K357" s="5">
        <v>2</v>
      </c>
      <c r="L357" s="5">
        <v>200.3</v>
      </c>
      <c r="M357" s="5">
        <v>6.8</v>
      </c>
      <c r="N357" s="5">
        <f t="shared" si="15"/>
        <v>193.5</v>
      </c>
      <c r="O357" s="5"/>
      <c r="P357" s="5"/>
      <c r="Q357" s="5"/>
      <c r="R357" s="63"/>
      <c r="S357" s="5"/>
      <c r="T357" s="5"/>
    </row>
    <row r="358" spans="1:20" x14ac:dyDescent="0.2">
      <c r="A358" s="49" t="str">
        <f t="shared" si="14"/>
        <v>24-24.5/60±1</v>
      </c>
      <c r="B358" s="19" t="s">
        <v>908</v>
      </c>
      <c r="C358" s="19" t="s">
        <v>173</v>
      </c>
      <c r="D358" s="19" t="s">
        <v>173</v>
      </c>
      <c r="E358" s="19" t="s">
        <v>909</v>
      </c>
      <c r="F358" s="19" t="s">
        <v>910</v>
      </c>
      <c r="G358" s="5"/>
      <c r="H358" s="5"/>
      <c r="I358" s="5" t="s">
        <v>964</v>
      </c>
      <c r="J358" s="63">
        <v>45918</v>
      </c>
      <c r="K358" s="5">
        <v>4</v>
      </c>
      <c r="L358" s="5">
        <v>414.3</v>
      </c>
      <c r="M358" s="5">
        <v>9.7000000000000011</v>
      </c>
      <c r="N358" s="5">
        <f t="shared" si="15"/>
        <v>404.6</v>
      </c>
      <c r="O358" s="5"/>
      <c r="P358" s="5"/>
      <c r="Q358" s="5"/>
      <c r="R358" s="63"/>
      <c r="S358" s="5"/>
      <c r="T358" s="5"/>
    </row>
    <row r="359" spans="1:20" x14ac:dyDescent="0.2">
      <c r="A359" s="49" t="str">
        <f t="shared" si="14"/>
        <v>35/5-5.5</v>
      </c>
      <c r="B359" s="19" t="s">
        <v>769</v>
      </c>
      <c r="C359" s="19" t="s">
        <v>173</v>
      </c>
      <c r="D359" s="19" t="s">
        <v>173</v>
      </c>
      <c r="E359" s="19">
        <v>35</v>
      </c>
      <c r="F359" s="19" t="s">
        <v>41</v>
      </c>
      <c r="G359" s="5"/>
      <c r="H359" s="5"/>
      <c r="I359" s="5" t="s">
        <v>965</v>
      </c>
      <c r="J359" s="63">
        <v>45918</v>
      </c>
      <c r="K359" s="5">
        <v>10</v>
      </c>
      <c r="L359" s="5">
        <v>775.8</v>
      </c>
      <c r="M359" s="5">
        <v>44</v>
      </c>
      <c r="N359" s="5">
        <f t="shared" si="15"/>
        <v>731.8</v>
      </c>
      <c r="O359" s="5"/>
      <c r="P359" s="5"/>
      <c r="Q359" s="5"/>
      <c r="R359" s="63"/>
      <c r="S359" s="5"/>
      <c r="T359" s="5"/>
    </row>
    <row r="360" spans="1:20" x14ac:dyDescent="0.2">
      <c r="A360" s="49" t="str">
        <f t="shared" si="14"/>
        <v>35/5-5.5</v>
      </c>
      <c r="B360" s="19" t="s">
        <v>769</v>
      </c>
      <c r="C360" s="19" t="s">
        <v>173</v>
      </c>
      <c r="D360" s="19" t="s">
        <v>173</v>
      </c>
      <c r="E360" s="19">
        <v>35</v>
      </c>
      <c r="F360" s="19" t="s">
        <v>41</v>
      </c>
      <c r="G360" s="5"/>
      <c r="H360" s="5"/>
      <c r="I360" s="5" t="s">
        <v>965</v>
      </c>
      <c r="J360" s="63">
        <v>45918</v>
      </c>
      <c r="K360" s="5">
        <v>12</v>
      </c>
      <c r="L360" s="5">
        <v>868.1</v>
      </c>
      <c r="M360" s="5">
        <v>40.200000000000003</v>
      </c>
      <c r="N360" s="5">
        <f t="shared" si="15"/>
        <v>827.9</v>
      </c>
      <c r="O360" s="5"/>
      <c r="P360" s="5"/>
      <c r="Q360" s="5"/>
      <c r="R360" s="63"/>
      <c r="S360" s="5"/>
      <c r="T360" s="5"/>
    </row>
    <row r="361" spans="1:20" x14ac:dyDescent="0.2">
      <c r="A361" s="49" t="str">
        <f t="shared" si="14"/>
        <v>8/12</v>
      </c>
      <c r="B361" s="19" t="s">
        <v>904</v>
      </c>
      <c r="C361" s="19" t="s">
        <v>905</v>
      </c>
      <c r="D361" s="19" t="s">
        <v>173</v>
      </c>
      <c r="E361" s="19">
        <v>8</v>
      </c>
      <c r="F361" s="19">
        <v>12</v>
      </c>
      <c r="G361" s="5"/>
      <c r="H361" s="5"/>
      <c r="I361" s="5" t="s">
        <v>953</v>
      </c>
      <c r="J361" s="63">
        <v>45918</v>
      </c>
      <c r="K361" s="5">
        <v>3</v>
      </c>
      <c r="L361" s="5">
        <v>108</v>
      </c>
      <c r="M361" s="5">
        <v>2.4000000000000004</v>
      </c>
      <c r="N361" s="5">
        <f t="shared" si="15"/>
        <v>105.6</v>
      </c>
      <c r="O361" s="5"/>
      <c r="P361" s="5"/>
      <c r="Q361" s="5"/>
      <c r="R361" s="63"/>
      <c r="S361" s="5"/>
      <c r="T361" s="5"/>
    </row>
    <row r="362" spans="1:20" x14ac:dyDescent="0.2">
      <c r="A362" s="49" t="str">
        <f t="shared" si="14"/>
        <v>7/12</v>
      </c>
      <c r="B362" s="19" t="s">
        <v>904</v>
      </c>
      <c r="C362" s="19" t="s">
        <v>905</v>
      </c>
      <c r="D362" s="19" t="s">
        <v>173</v>
      </c>
      <c r="E362" s="19">
        <v>7</v>
      </c>
      <c r="F362" s="19">
        <v>12</v>
      </c>
      <c r="G362" s="5"/>
      <c r="H362" s="5"/>
      <c r="I362" s="5" t="s">
        <v>966</v>
      </c>
      <c r="J362" s="63">
        <v>45918</v>
      </c>
      <c r="K362" s="5">
        <v>4</v>
      </c>
      <c r="L362" s="5">
        <v>146.6</v>
      </c>
      <c r="M362" s="5">
        <v>4</v>
      </c>
      <c r="N362" s="5">
        <f t="shared" si="15"/>
        <v>142.6</v>
      </c>
      <c r="O362" s="5"/>
      <c r="P362" s="5"/>
      <c r="Q362" s="5"/>
      <c r="R362" s="63"/>
      <c r="S362" s="5"/>
      <c r="T362" s="5"/>
    </row>
    <row r="363" spans="1:20" x14ac:dyDescent="0.2">
      <c r="A363" s="49" t="str">
        <f t="shared" si="14"/>
        <v>6/12</v>
      </c>
      <c r="B363" s="19" t="s">
        <v>904</v>
      </c>
      <c r="C363" s="19" t="s">
        <v>905</v>
      </c>
      <c r="D363" s="19" t="s">
        <v>173</v>
      </c>
      <c r="E363" s="19">
        <v>6</v>
      </c>
      <c r="F363" s="19">
        <v>12</v>
      </c>
      <c r="G363" s="5"/>
      <c r="H363" s="5"/>
      <c r="I363" s="5" t="s">
        <v>967</v>
      </c>
      <c r="J363" s="63">
        <v>45918</v>
      </c>
      <c r="K363" s="5">
        <v>4</v>
      </c>
      <c r="L363" s="5">
        <v>131.19999999999999</v>
      </c>
      <c r="M363" s="5">
        <v>2.4</v>
      </c>
      <c r="N363" s="5">
        <f t="shared" si="15"/>
        <v>128.79999999999998</v>
      </c>
      <c r="O363" s="5"/>
      <c r="P363" s="5"/>
      <c r="Q363" s="5"/>
      <c r="R363" s="63"/>
      <c r="S363" s="5"/>
      <c r="T363" s="5"/>
    </row>
    <row r="364" spans="1:20" x14ac:dyDescent="0.2">
      <c r="A364" s="49" t="str">
        <f t="shared" si="14"/>
        <v>300 MM/48-50</v>
      </c>
      <c r="B364" s="19" t="s">
        <v>911</v>
      </c>
      <c r="C364" s="19" t="s">
        <v>525</v>
      </c>
      <c r="D364" s="19" t="s">
        <v>173</v>
      </c>
      <c r="E364" s="19" t="s">
        <v>912</v>
      </c>
      <c r="F364" s="19" t="s">
        <v>913</v>
      </c>
      <c r="G364" s="5"/>
      <c r="H364" s="5"/>
      <c r="I364" s="5" t="s">
        <v>968</v>
      </c>
      <c r="J364" s="63">
        <v>45918</v>
      </c>
      <c r="K364" s="5">
        <v>1</v>
      </c>
      <c r="L364" s="5">
        <v>115</v>
      </c>
      <c r="M364" s="5">
        <v>1.2</v>
      </c>
      <c r="N364" s="5">
        <f t="shared" si="15"/>
        <v>113.8</v>
      </c>
      <c r="O364" s="5"/>
      <c r="P364" s="5"/>
      <c r="Q364" s="5"/>
      <c r="R364" s="63"/>
      <c r="S364" s="5"/>
      <c r="T364" s="5"/>
    </row>
    <row r="365" spans="1:20" x14ac:dyDescent="0.2">
      <c r="A365" s="49" t="str">
        <f t="shared" si="14"/>
        <v>17/12</v>
      </c>
      <c r="B365" s="19" t="s">
        <v>163</v>
      </c>
      <c r="C365" s="19" t="s">
        <v>173</v>
      </c>
      <c r="D365" s="19" t="s">
        <v>173</v>
      </c>
      <c r="E365" s="19">
        <v>17</v>
      </c>
      <c r="F365" s="19" t="s">
        <v>14</v>
      </c>
      <c r="G365" s="5"/>
      <c r="H365" s="5"/>
      <c r="I365" s="5"/>
      <c r="J365" s="63"/>
      <c r="K365" s="5"/>
      <c r="L365" s="5"/>
      <c r="M365" s="5"/>
      <c r="N365" s="5"/>
      <c r="O365" s="5" t="s">
        <v>233</v>
      </c>
      <c r="P365" s="5" t="s">
        <v>672</v>
      </c>
      <c r="Q365" s="5"/>
      <c r="R365" s="63">
        <v>45915</v>
      </c>
      <c r="S365" s="5">
        <v>7</v>
      </c>
      <c r="T365" s="5">
        <v>428.6</v>
      </c>
    </row>
    <row r="366" spans="1:20" x14ac:dyDescent="0.2">
      <c r="A366" s="49" t="str">
        <f t="shared" si="14"/>
        <v>17/7</v>
      </c>
      <c r="B366" s="19" t="s">
        <v>163</v>
      </c>
      <c r="C366" s="19" t="s">
        <v>173</v>
      </c>
      <c r="D366" s="19" t="s">
        <v>173</v>
      </c>
      <c r="E366" s="19">
        <v>17</v>
      </c>
      <c r="F366" s="19" t="s">
        <v>19</v>
      </c>
      <c r="G366" s="5"/>
      <c r="H366" s="5"/>
      <c r="I366" s="5"/>
      <c r="J366" s="63"/>
      <c r="K366" s="5"/>
      <c r="L366" s="5"/>
      <c r="M366" s="5"/>
      <c r="N366" s="5"/>
      <c r="O366" s="5" t="s">
        <v>233</v>
      </c>
      <c r="P366" s="5" t="s">
        <v>790</v>
      </c>
      <c r="Q366" s="5"/>
      <c r="R366" s="63">
        <v>45915</v>
      </c>
      <c r="S366" s="5">
        <v>8</v>
      </c>
      <c r="T366" s="5">
        <v>480.40000000000003</v>
      </c>
    </row>
    <row r="367" spans="1:20" x14ac:dyDescent="0.2">
      <c r="A367" s="49" t="str">
        <f t="shared" si="14"/>
        <v>16/5</v>
      </c>
      <c r="B367" s="19" t="s">
        <v>164</v>
      </c>
      <c r="C367" s="19" t="s">
        <v>173</v>
      </c>
      <c r="D367" s="19" t="s">
        <v>173</v>
      </c>
      <c r="E367" s="19">
        <v>16</v>
      </c>
      <c r="F367" s="19">
        <v>5</v>
      </c>
      <c r="G367" s="5"/>
      <c r="H367" s="5"/>
      <c r="I367" s="5"/>
      <c r="J367" s="63"/>
      <c r="K367" s="5"/>
      <c r="L367" s="5"/>
      <c r="M367" s="5"/>
      <c r="N367" s="5"/>
      <c r="O367" s="5" t="s">
        <v>233</v>
      </c>
      <c r="P367" s="5" t="s">
        <v>789</v>
      </c>
      <c r="Q367" s="5"/>
      <c r="R367" s="63">
        <v>45915</v>
      </c>
      <c r="S367" s="5">
        <v>5</v>
      </c>
      <c r="T367" s="5">
        <v>155.6</v>
      </c>
    </row>
    <row r="368" spans="1:20" x14ac:dyDescent="0.2">
      <c r="A368" s="49" t="str">
        <f t="shared" si="14"/>
        <v>10.5/6-6.5</v>
      </c>
      <c r="B368" s="19" t="s">
        <v>768</v>
      </c>
      <c r="C368" s="19" t="s">
        <v>173</v>
      </c>
      <c r="D368" s="19" t="s">
        <v>173</v>
      </c>
      <c r="E368" s="19">
        <v>10.5</v>
      </c>
      <c r="F368" s="19" t="s">
        <v>578</v>
      </c>
      <c r="G368" s="5"/>
      <c r="H368" s="5"/>
      <c r="I368" s="5"/>
      <c r="J368" s="63"/>
      <c r="K368" s="5"/>
      <c r="L368" s="5"/>
      <c r="M368" s="5"/>
      <c r="N368" s="5"/>
      <c r="O368" s="5" t="s">
        <v>233</v>
      </c>
      <c r="P368" s="5" t="s">
        <v>786</v>
      </c>
      <c r="Q368" s="5"/>
      <c r="R368" s="63">
        <v>45915</v>
      </c>
      <c r="S368" s="5">
        <v>5</v>
      </c>
      <c r="T368" s="5">
        <v>215.99999999999997</v>
      </c>
    </row>
    <row r="369" spans="1:20" x14ac:dyDescent="0.2">
      <c r="A369" s="49" t="str">
        <f t="shared" si="14"/>
        <v>10.5/12</v>
      </c>
      <c r="B369" s="19" t="s">
        <v>775</v>
      </c>
      <c r="C369" s="19" t="s">
        <v>211</v>
      </c>
      <c r="D369" s="19" t="s">
        <v>173</v>
      </c>
      <c r="E369" s="19">
        <v>10.5</v>
      </c>
      <c r="F369" s="19">
        <v>12</v>
      </c>
      <c r="G369" s="5"/>
      <c r="H369" s="5"/>
      <c r="I369" s="5"/>
      <c r="J369" s="63"/>
      <c r="K369" s="5"/>
      <c r="L369" s="5"/>
      <c r="M369" s="5"/>
      <c r="N369" s="5"/>
      <c r="O369" s="5" t="s">
        <v>233</v>
      </c>
      <c r="P369" s="5" t="s">
        <v>800</v>
      </c>
      <c r="Q369" s="5"/>
      <c r="R369" s="63">
        <v>45915</v>
      </c>
      <c r="S369" s="5">
        <v>3</v>
      </c>
      <c r="T369" s="5">
        <v>187.60000000000002</v>
      </c>
    </row>
    <row r="370" spans="1:20" x14ac:dyDescent="0.2">
      <c r="A370" s="49" t="str">
        <f t="shared" si="14"/>
        <v>9/14-15</v>
      </c>
      <c r="B370" s="19" t="s">
        <v>767</v>
      </c>
      <c r="C370" s="19" t="s">
        <v>173</v>
      </c>
      <c r="D370" s="19" t="s">
        <v>173</v>
      </c>
      <c r="E370" s="19">
        <v>9</v>
      </c>
      <c r="F370" s="19" t="s">
        <v>225</v>
      </c>
      <c r="G370" s="5"/>
      <c r="H370" s="5"/>
      <c r="I370" s="5"/>
      <c r="J370" s="63"/>
      <c r="K370" s="5"/>
      <c r="L370" s="5"/>
      <c r="M370" s="5"/>
      <c r="N370" s="5"/>
      <c r="O370" s="5" t="s">
        <v>233</v>
      </c>
      <c r="P370" s="5" t="s">
        <v>784</v>
      </c>
      <c r="Q370" s="5"/>
      <c r="R370" s="63">
        <v>45915</v>
      </c>
      <c r="S370" s="5">
        <v>2</v>
      </c>
      <c r="T370" s="5">
        <v>136.6</v>
      </c>
    </row>
    <row r="371" spans="1:20" x14ac:dyDescent="0.2">
      <c r="A371" s="49" t="str">
        <f t="shared" si="14"/>
        <v>25/21-22</v>
      </c>
      <c r="B371" s="19" t="s">
        <v>780</v>
      </c>
      <c r="C371" s="19" t="s">
        <v>211</v>
      </c>
      <c r="D371" s="19" t="s">
        <v>173</v>
      </c>
      <c r="E371" s="19">
        <v>25</v>
      </c>
      <c r="F371" s="19" t="s">
        <v>781</v>
      </c>
      <c r="G371" s="5"/>
      <c r="H371" s="5"/>
      <c r="I371" s="5"/>
      <c r="J371" s="63"/>
      <c r="K371" s="5"/>
      <c r="L371" s="5"/>
      <c r="M371" s="5"/>
      <c r="N371" s="5"/>
      <c r="O371" s="5" t="s">
        <v>233</v>
      </c>
      <c r="P371" s="5" t="s">
        <v>805</v>
      </c>
      <c r="Q371" s="5"/>
      <c r="R371" s="63">
        <v>45915</v>
      </c>
      <c r="S371" s="5">
        <v>2</v>
      </c>
      <c r="T371" s="5">
        <v>166.2</v>
      </c>
    </row>
    <row r="372" spans="1:20" x14ac:dyDescent="0.2">
      <c r="A372" s="49" t="str">
        <f t="shared" si="14"/>
        <v>16/13-14</v>
      </c>
      <c r="B372" s="19" t="s">
        <v>774</v>
      </c>
      <c r="C372" s="19" t="s">
        <v>211</v>
      </c>
      <c r="D372" s="19" t="s">
        <v>173</v>
      </c>
      <c r="E372" s="19">
        <v>16</v>
      </c>
      <c r="F372" s="19" t="s">
        <v>228</v>
      </c>
      <c r="G372" s="5"/>
      <c r="H372" s="5"/>
      <c r="I372" s="5"/>
      <c r="J372" s="63"/>
      <c r="K372" s="5"/>
      <c r="L372" s="5"/>
      <c r="M372" s="5"/>
      <c r="N372" s="5"/>
      <c r="O372" s="5" t="s">
        <v>233</v>
      </c>
      <c r="P372" s="5" t="s">
        <v>798</v>
      </c>
      <c r="Q372" s="5"/>
      <c r="R372" s="63">
        <v>45915</v>
      </c>
      <c r="S372" s="5">
        <v>3</v>
      </c>
      <c r="T372" s="5">
        <v>170.6</v>
      </c>
    </row>
    <row r="373" spans="1:20" x14ac:dyDescent="0.2">
      <c r="A373" s="49" t="str">
        <f t="shared" si="14"/>
        <v>20"شیٹ/5.5-6/11-12</v>
      </c>
      <c r="B373" s="19" t="s">
        <v>777</v>
      </c>
      <c r="C373" s="19" t="s">
        <v>173</v>
      </c>
      <c r="D373" s="19" t="s">
        <v>173</v>
      </c>
      <c r="E373" s="19" t="s">
        <v>778</v>
      </c>
      <c r="F373" s="19" t="s">
        <v>779</v>
      </c>
      <c r="G373" s="5"/>
      <c r="H373" s="5"/>
      <c r="I373" s="5"/>
      <c r="J373" s="63"/>
      <c r="K373" s="5"/>
      <c r="L373" s="5"/>
      <c r="M373" s="5"/>
      <c r="N373" s="5"/>
      <c r="O373" s="5" t="s">
        <v>233</v>
      </c>
      <c r="P373" s="5" t="s">
        <v>803</v>
      </c>
      <c r="Q373" s="5"/>
      <c r="R373" s="63">
        <v>45915</v>
      </c>
      <c r="S373" s="5">
        <v>2</v>
      </c>
      <c r="T373" s="5">
        <v>116.6</v>
      </c>
    </row>
    <row r="374" spans="1:20" x14ac:dyDescent="0.2">
      <c r="A374" s="49" t="str">
        <f t="shared" si="14"/>
        <v>17/7-7.5</v>
      </c>
      <c r="B374" s="19" t="s">
        <v>774</v>
      </c>
      <c r="C374" s="19" t="s">
        <v>173</v>
      </c>
      <c r="D374" s="19" t="s">
        <v>173</v>
      </c>
      <c r="E374" s="19">
        <v>17</v>
      </c>
      <c r="F374" s="19" t="s">
        <v>224</v>
      </c>
      <c r="G374" s="5"/>
      <c r="H374" s="5"/>
      <c r="I374" s="5"/>
      <c r="J374" s="63"/>
      <c r="K374" s="5"/>
      <c r="L374" s="5"/>
      <c r="M374" s="5"/>
      <c r="N374" s="5"/>
      <c r="O374" s="5" t="s">
        <v>233</v>
      </c>
      <c r="P374" s="5" t="s">
        <v>801</v>
      </c>
      <c r="Q374" s="5"/>
      <c r="R374" s="63">
        <v>45915</v>
      </c>
      <c r="S374" s="5">
        <v>2</v>
      </c>
      <c r="T374" s="5">
        <v>109.2</v>
      </c>
    </row>
    <row r="375" spans="1:20" x14ac:dyDescent="0.2">
      <c r="A375" s="49" t="str">
        <f t="shared" si="14"/>
        <v>20/21-22</v>
      </c>
      <c r="B375" s="19" t="s">
        <v>780</v>
      </c>
      <c r="C375" s="19" t="s">
        <v>211</v>
      </c>
      <c r="D375" s="19" t="s">
        <v>173</v>
      </c>
      <c r="E375" s="19">
        <v>20</v>
      </c>
      <c r="F375" s="19" t="s">
        <v>781</v>
      </c>
      <c r="G375" s="5"/>
      <c r="H375" s="5"/>
      <c r="I375" s="5"/>
      <c r="J375" s="63"/>
      <c r="K375" s="5"/>
      <c r="L375" s="5"/>
      <c r="M375" s="5"/>
      <c r="N375" s="5"/>
      <c r="O375" s="5" t="s">
        <v>233</v>
      </c>
      <c r="P375" s="5" t="s">
        <v>804</v>
      </c>
      <c r="Q375" s="5"/>
      <c r="R375" s="63">
        <v>45915</v>
      </c>
      <c r="S375" s="5">
        <v>2</v>
      </c>
      <c r="T375" s="5">
        <v>156.4</v>
      </c>
    </row>
    <row r="376" spans="1:20" x14ac:dyDescent="0.2">
      <c r="A376" s="49" t="str">
        <f t="shared" si="14"/>
        <v>11.5/12</v>
      </c>
      <c r="B376" s="19" t="s">
        <v>775</v>
      </c>
      <c r="C376" s="19" t="s">
        <v>211</v>
      </c>
      <c r="D376" s="19" t="s">
        <v>173</v>
      </c>
      <c r="E376" s="19">
        <v>11.5</v>
      </c>
      <c r="F376" s="19" t="s">
        <v>14</v>
      </c>
      <c r="G376" s="5"/>
      <c r="H376" s="5"/>
      <c r="I376" s="5"/>
      <c r="J376" s="63"/>
      <c r="K376" s="5"/>
      <c r="L376" s="5"/>
      <c r="M376" s="5"/>
      <c r="N376" s="5"/>
      <c r="O376" s="5" t="s">
        <v>233</v>
      </c>
      <c r="P376" s="5" t="s">
        <v>799</v>
      </c>
      <c r="Q376" s="5"/>
      <c r="R376" s="63">
        <v>45915</v>
      </c>
      <c r="S376" s="5">
        <v>4</v>
      </c>
      <c r="T376" s="5">
        <v>167.20000000000002</v>
      </c>
    </row>
    <row r="377" spans="1:20" x14ac:dyDescent="0.2">
      <c r="A377" s="49" t="str">
        <f t="shared" si="14"/>
        <v>9/6-6.5</v>
      </c>
      <c r="B377" s="19" t="s">
        <v>773</v>
      </c>
      <c r="C377" s="19" t="s">
        <v>173</v>
      </c>
      <c r="D377" s="19" t="s">
        <v>173</v>
      </c>
      <c r="E377" s="19">
        <v>9</v>
      </c>
      <c r="F377" s="19" t="s">
        <v>578</v>
      </c>
      <c r="G377" s="5"/>
      <c r="H377" s="5"/>
      <c r="I377" s="5"/>
      <c r="J377" s="63"/>
      <c r="K377" s="5"/>
      <c r="L377" s="5"/>
      <c r="M377" s="5"/>
      <c r="N377" s="5"/>
      <c r="O377" s="5" t="s">
        <v>233</v>
      </c>
      <c r="P377" s="5" t="s">
        <v>796</v>
      </c>
      <c r="Q377" s="5"/>
      <c r="R377" s="63">
        <v>45915</v>
      </c>
      <c r="S377" s="5">
        <v>3</v>
      </c>
      <c r="T377" s="5">
        <v>116.2</v>
      </c>
    </row>
    <row r="378" spans="1:20" x14ac:dyDescent="0.2">
      <c r="A378" s="49" t="str">
        <f t="shared" si="14"/>
        <v>10/6-6.5</v>
      </c>
      <c r="B378" s="19" t="s">
        <v>768</v>
      </c>
      <c r="C378" s="19" t="s">
        <v>173</v>
      </c>
      <c r="D378" s="19" t="s">
        <v>173</v>
      </c>
      <c r="E378" s="19">
        <v>10</v>
      </c>
      <c r="F378" s="19" t="s">
        <v>578</v>
      </c>
      <c r="G378" s="5"/>
      <c r="H378" s="5"/>
      <c r="I378" s="5"/>
      <c r="J378" s="63"/>
      <c r="K378" s="5"/>
      <c r="L378" s="5"/>
      <c r="M378" s="5"/>
      <c r="N378" s="5"/>
      <c r="O378" s="5" t="s">
        <v>233</v>
      </c>
      <c r="P378" s="5" t="s">
        <v>795</v>
      </c>
      <c r="Q378" s="5"/>
      <c r="R378" s="63">
        <v>45915</v>
      </c>
      <c r="S378" s="5">
        <v>2</v>
      </c>
      <c r="T378" s="5">
        <v>103.80000000000001</v>
      </c>
    </row>
    <row r="379" spans="1:20" x14ac:dyDescent="0.2">
      <c r="A379" s="49" t="str">
        <f t="shared" si="14"/>
        <v>11/6-6.5</v>
      </c>
      <c r="B379" s="19" t="s">
        <v>768</v>
      </c>
      <c r="C379" s="19" t="s">
        <v>173</v>
      </c>
      <c r="D379" s="19" t="s">
        <v>173</v>
      </c>
      <c r="E379" s="19">
        <v>11</v>
      </c>
      <c r="F379" s="19" t="s">
        <v>578</v>
      </c>
      <c r="G379" s="5"/>
      <c r="H379" s="5"/>
      <c r="I379" s="5"/>
      <c r="J379" s="63"/>
      <c r="K379" s="5"/>
      <c r="L379" s="5"/>
      <c r="M379" s="5"/>
      <c r="N379" s="5"/>
      <c r="O379" s="5" t="s">
        <v>233</v>
      </c>
      <c r="P379" s="5" t="s">
        <v>785</v>
      </c>
      <c r="Q379" s="5"/>
      <c r="R379" s="63">
        <v>45915</v>
      </c>
      <c r="S379" s="5">
        <v>2</v>
      </c>
      <c r="T379" s="5">
        <v>106.8</v>
      </c>
    </row>
    <row r="380" spans="1:20" x14ac:dyDescent="0.2">
      <c r="A380" s="49" t="str">
        <f t="shared" si="14"/>
        <v>7/14-15</v>
      </c>
      <c r="B380" s="19" t="s">
        <v>767</v>
      </c>
      <c r="C380" s="19" t="s">
        <v>173</v>
      </c>
      <c r="D380" s="19" t="s">
        <v>173</v>
      </c>
      <c r="E380" s="19">
        <v>7</v>
      </c>
      <c r="F380" s="19" t="s">
        <v>225</v>
      </c>
      <c r="G380" s="5"/>
      <c r="H380" s="5"/>
      <c r="I380" s="5"/>
      <c r="J380" s="63"/>
      <c r="K380" s="5"/>
      <c r="L380" s="5"/>
      <c r="M380" s="5"/>
      <c r="N380" s="5"/>
      <c r="O380" s="5" t="s">
        <v>233</v>
      </c>
      <c r="P380" s="5" t="s">
        <v>792</v>
      </c>
      <c r="Q380" s="5"/>
      <c r="R380" s="63">
        <v>45915</v>
      </c>
      <c r="S380" s="5">
        <v>2</v>
      </c>
      <c r="T380" s="5">
        <v>118.8</v>
      </c>
    </row>
    <row r="381" spans="1:20" x14ac:dyDescent="0.2">
      <c r="A381" s="49" t="str">
        <f t="shared" si="14"/>
        <v>22.5/7-7.5</v>
      </c>
      <c r="B381" s="19" t="s">
        <v>776</v>
      </c>
      <c r="C381" s="19" t="s">
        <v>173</v>
      </c>
      <c r="D381" s="19" t="s">
        <v>173</v>
      </c>
      <c r="E381" s="19">
        <v>22.5</v>
      </c>
      <c r="F381" s="19" t="s">
        <v>224</v>
      </c>
      <c r="G381" s="5"/>
      <c r="H381" s="5"/>
      <c r="I381" s="5"/>
      <c r="J381" s="63"/>
      <c r="K381" s="5"/>
      <c r="L381" s="5"/>
      <c r="M381" s="5"/>
      <c r="N381" s="5"/>
      <c r="O381" s="5" t="s">
        <v>233</v>
      </c>
      <c r="P381" s="5" t="s">
        <v>802</v>
      </c>
      <c r="Q381" s="5"/>
      <c r="R381" s="63">
        <v>45915</v>
      </c>
      <c r="S381" s="5">
        <v>2</v>
      </c>
      <c r="T381" s="5">
        <v>108.8</v>
      </c>
    </row>
    <row r="382" spans="1:20" x14ac:dyDescent="0.2">
      <c r="A382" s="49" t="str">
        <f t="shared" si="14"/>
        <v>6.5/14-14.5</v>
      </c>
      <c r="B382" s="19" t="s">
        <v>772</v>
      </c>
      <c r="C382" s="19" t="s">
        <v>211</v>
      </c>
      <c r="D382" s="19" t="s">
        <v>173</v>
      </c>
      <c r="E382" s="19">
        <v>6.5</v>
      </c>
      <c r="F382" s="19" t="s">
        <v>527</v>
      </c>
      <c r="G382" s="5"/>
      <c r="H382" s="5"/>
      <c r="I382" s="5"/>
      <c r="J382" s="63"/>
      <c r="K382" s="5"/>
      <c r="L382" s="5"/>
      <c r="M382" s="5"/>
      <c r="N382" s="5"/>
      <c r="O382" s="5" t="s">
        <v>233</v>
      </c>
      <c r="P382" s="5" t="s">
        <v>794</v>
      </c>
      <c r="Q382" s="5"/>
      <c r="R382" s="63">
        <v>45915</v>
      </c>
      <c r="S382" s="5">
        <v>1</v>
      </c>
      <c r="T382" s="5">
        <v>60.9</v>
      </c>
    </row>
    <row r="383" spans="1:20" x14ac:dyDescent="0.2">
      <c r="A383" s="49" t="str">
        <f t="shared" si="14"/>
        <v>6/17-18</v>
      </c>
      <c r="B383" s="19" t="s">
        <v>771</v>
      </c>
      <c r="C383" s="19" t="s">
        <v>211</v>
      </c>
      <c r="D383" s="19" t="s">
        <v>173</v>
      </c>
      <c r="E383" s="19">
        <v>6</v>
      </c>
      <c r="F383" s="19" t="s">
        <v>223</v>
      </c>
      <c r="G383" s="5"/>
      <c r="H383" s="5"/>
      <c r="I383" s="5"/>
      <c r="J383" s="63"/>
      <c r="K383" s="5"/>
      <c r="L383" s="5"/>
      <c r="M383" s="5"/>
      <c r="N383" s="5"/>
      <c r="O383" s="5" t="s">
        <v>233</v>
      </c>
      <c r="P383" s="5" t="s">
        <v>793</v>
      </c>
      <c r="Q383" s="5"/>
      <c r="R383" s="63">
        <v>45915</v>
      </c>
      <c r="S383" s="5">
        <v>3</v>
      </c>
      <c r="T383" s="5">
        <v>107.6</v>
      </c>
    </row>
    <row r="384" spans="1:20" x14ac:dyDescent="0.2">
      <c r="A384" s="49" t="str">
        <f t="shared" si="14"/>
        <v>30/10</v>
      </c>
      <c r="B384" s="19" t="s">
        <v>782</v>
      </c>
      <c r="C384" s="19" t="s">
        <v>173</v>
      </c>
      <c r="D384" s="19" t="s">
        <v>173</v>
      </c>
      <c r="E384" s="19">
        <v>30</v>
      </c>
      <c r="F384" s="19" t="s">
        <v>16</v>
      </c>
      <c r="G384" s="5"/>
      <c r="H384" s="5"/>
      <c r="I384" s="5"/>
      <c r="J384" s="63"/>
      <c r="K384" s="5"/>
      <c r="L384" s="5"/>
      <c r="M384" s="5"/>
      <c r="N384" s="5"/>
      <c r="O384" s="5" t="s">
        <v>233</v>
      </c>
      <c r="P384" s="5" t="s">
        <v>923</v>
      </c>
      <c r="Q384" s="5"/>
      <c r="R384" s="63">
        <v>45915</v>
      </c>
      <c r="S384" s="5">
        <v>4</v>
      </c>
      <c r="T384" s="5">
        <v>259.60000000000002</v>
      </c>
    </row>
    <row r="385" spans="1:20" x14ac:dyDescent="0.2">
      <c r="A385" s="49" t="str">
        <f t="shared" si="14"/>
        <v>15/6-6.5</v>
      </c>
      <c r="B385" s="19" t="s">
        <v>725</v>
      </c>
      <c r="C385" s="19" t="s">
        <v>173</v>
      </c>
      <c r="D385" s="19" t="s">
        <v>173</v>
      </c>
      <c r="E385" s="19">
        <v>15</v>
      </c>
      <c r="F385" s="19" t="s">
        <v>578</v>
      </c>
      <c r="G385" s="5"/>
      <c r="H385" s="5"/>
      <c r="I385" s="5"/>
      <c r="J385" s="63"/>
      <c r="K385" s="5"/>
      <c r="L385" s="5"/>
      <c r="M385" s="5"/>
      <c r="N385" s="5"/>
      <c r="O385" s="5" t="s">
        <v>233</v>
      </c>
      <c r="P385" s="5" t="s">
        <v>969</v>
      </c>
      <c r="Q385" s="5"/>
      <c r="R385" s="63">
        <v>45915</v>
      </c>
      <c r="S385" s="5">
        <v>3</v>
      </c>
      <c r="T385" s="5">
        <v>161.35</v>
      </c>
    </row>
    <row r="386" spans="1:20" x14ac:dyDescent="0.2">
      <c r="A386" s="49" t="str">
        <f t="shared" si="14"/>
        <v>21+4+4/12</v>
      </c>
      <c r="B386" s="19" t="s">
        <v>782</v>
      </c>
      <c r="C386" s="19" t="s">
        <v>173</v>
      </c>
      <c r="D386" s="19" t="s">
        <v>173</v>
      </c>
      <c r="E386" s="19" t="s">
        <v>783</v>
      </c>
      <c r="F386" s="19" t="s">
        <v>14</v>
      </c>
      <c r="G386" s="5"/>
      <c r="H386" s="5"/>
      <c r="I386" s="5"/>
      <c r="J386" s="63"/>
      <c r="K386" s="5"/>
      <c r="L386" s="5"/>
      <c r="M386" s="5"/>
      <c r="N386" s="5"/>
      <c r="O386" s="5" t="s">
        <v>233</v>
      </c>
      <c r="P386" s="5" t="s">
        <v>806</v>
      </c>
      <c r="Q386" s="5"/>
      <c r="R386" s="63">
        <v>45915</v>
      </c>
      <c r="S386" s="5">
        <v>9</v>
      </c>
      <c r="T386" s="5">
        <v>284.10000000000002</v>
      </c>
    </row>
    <row r="387" spans="1:20" x14ac:dyDescent="0.2">
      <c r="A387" s="49" t="str">
        <f t="shared" ref="A387:A432" si="16">CONCATENATE(E387,"/",F387)</f>
        <v>10/8-8.5</v>
      </c>
      <c r="B387" s="19" t="s">
        <v>220</v>
      </c>
      <c r="C387" s="19" t="s">
        <v>173</v>
      </c>
      <c r="D387" s="19" t="s">
        <v>173</v>
      </c>
      <c r="E387" s="19">
        <v>10</v>
      </c>
      <c r="F387" s="19" t="s">
        <v>207</v>
      </c>
      <c r="G387" s="5"/>
      <c r="H387" s="5"/>
      <c r="I387" s="5"/>
      <c r="J387" s="63"/>
      <c r="K387" s="5"/>
      <c r="L387" s="5"/>
      <c r="M387" s="5"/>
      <c r="N387" s="5"/>
      <c r="O387" s="5" t="s">
        <v>233</v>
      </c>
      <c r="P387" s="5" t="s">
        <v>749</v>
      </c>
      <c r="Q387" s="5"/>
      <c r="R387" s="63">
        <v>45915</v>
      </c>
      <c r="S387" s="5">
        <v>7</v>
      </c>
      <c r="T387" s="5">
        <v>299.8</v>
      </c>
    </row>
    <row r="388" spans="1:20" x14ac:dyDescent="0.2">
      <c r="A388" s="49" t="str">
        <f t="shared" si="16"/>
        <v>23/18-19</v>
      </c>
      <c r="B388" s="19" t="s">
        <v>769</v>
      </c>
      <c r="C388" s="19" t="s">
        <v>173</v>
      </c>
      <c r="D388" s="19" t="s">
        <v>173</v>
      </c>
      <c r="E388" s="19">
        <v>23</v>
      </c>
      <c r="F388" s="19" t="s">
        <v>770</v>
      </c>
      <c r="G388" s="5"/>
      <c r="H388" s="5"/>
      <c r="I388" s="5"/>
      <c r="J388" s="63"/>
      <c r="K388" s="5"/>
      <c r="L388" s="5"/>
      <c r="M388" s="5"/>
      <c r="N388" s="5"/>
      <c r="O388" s="5" t="s">
        <v>233</v>
      </c>
      <c r="P388" s="5" t="s">
        <v>791</v>
      </c>
      <c r="Q388" s="5"/>
      <c r="R388" s="63">
        <v>45915</v>
      </c>
      <c r="S388" s="5">
        <v>15</v>
      </c>
      <c r="T388" s="5">
        <v>2058.4</v>
      </c>
    </row>
    <row r="389" spans="1:20" x14ac:dyDescent="0.2">
      <c r="A389" s="49" t="str">
        <f t="shared" si="16"/>
        <v>26.5/7</v>
      </c>
      <c r="B389" s="19" t="s">
        <v>163</v>
      </c>
      <c r="C389" s="19" t="s">
        <v>173</v>
      </c>
      <c r="D389" s="19" t="s">
        <v>173</v>
      </c>
      <c r="E389" s="19">
        <v>26.5</v>
      </c>
      <c r="F389" s="19" t="s">
        <v>19</v>
      </c>
      <c r="G389" s="5"/>
      <c r="H389" s="5"/>
      <c r="I389" s="5"/>
      <c r="J389" s="63"/>
      <c r="K389" s="5"/>
      <c r="L389" s="5"/>
      <c r="M389" s="5"/>
      <c r="N389" s="5"/>
      <c r="O389" s="5" t="s">
        <v>233</v>
      </c>
      <c r="P389" s="5" t="s">
        <v>562</v>
      </c>
      <c r="Q389" s="5"/>
      <c r="R389" s="63">
        <v>45915</v>
      </c>
      <c r="S389" s="5">
        <v>2</v>
      </c>
      <c r="T389" s="5">
        <v>121</v>
      </c>
    </row>
    <row r="390" spans="1:20" x14ac:dyDescent="0.2">
      <c r="A390" s="49" t="str">
        <f t="shared" si="16"/>
        <v>18/13-13.5</v>
      </c>
      <c r="B390" s="19" t="s">
        <v>733</v>
      </c>
      <c r="C390" s="19" t="s">
        <v>173</v>
      </c>
      <c r="D390" s="19" t="s">
        <v>173</v>
      </c>
      <c r="E390" s="19">
        <v>18</v>
      </c>
      <c r="F390" s="19" t="s">
        <v>734</v>
      </c>
      <c r="G390" s="5"/>
      <c r="H390" s="5"/>
      <c r="I390" s="5"/>
      <c r="J390" s="63"/>
      <c r="K390" s="5"/>
      <c r="L390" s="5"/>
      <c r="M390" s="5"/>
      <c r="N390" s="5"/>
      <c r="O390" s="5" t="s">
        <v>233</v>
      </c>
      <c r="P390" s="5" t="s">
        <v>746</v>
      </c>
      <c r="Q390" s="5"/>
      <c r="R390" s="63">
        <v>45915</v>
      </c>
      <c r="S390" s="5">
        <v>2</v>
      </c>
      <c r="T390" s="5">
        <v>105.6</v>
      </c>
    </row>
    <row r="391" spans="1:20" x14ac:dyDescent="0.2">
      <c r="A391" s="49" t="str">
        <f t="shared" si="16"/>
        <v>29" شیٹ/7.5-8/15-16</v>
      </c>
      <c r="B391" s="19" t="s">
        <v>727</v>
      </c>
      <c r="C391" s="19" t="s">
        <v>728</v>
      </c>
      <c r="D391" s="19" t="s">
        <v>173</v>
      </c>
      <c r="E391" s="19" t="s">
        <v>729</v>
      </c>
      <c r="F391" s="19" t="s">
        <v>644</v>
      </c>
      <c r="G391" s="5"/>
      <c r="H391" s="5"/>
      <c r="I391" s="5"/>
      <c r="J391" s="63"/>
      <c r="K391" s="5"/>
      <c r="L391" s="5"/>
      <c r="M391" s="5"/>
      <c r="N391" s="5"/>
      <c r="O391" s="5" t="s">
        <v>233</v>
      </c>
      <c r="P391" s="5" t="s">
        <v>743</v>
      </c>
      <c r="Q391" s="5"/>
      <c r="R391" s="63">
        <v>45916</v>
      </c>
      <c r="S391" s="5">
        <v>4</v>
      </c>
      <c r="T391" s="5">
        <v>319.32</v>
      </c>
    </row>
    <row r="392" spans="1:20" x14ac:dyDescent="0.2">
      <c r="A392" s="49" t="str">
        <f t="shared" si="16"/>
        <v>34 SHEET/3.3.25/6.6.5</v>
      </c>
      <c r="B392" s="19" t="s">
        <v>163</v>
      </c>
      <c r="C392" s="19" t="s">
        <v>173</v>
      </c>
      <c r="D392" s="19" t="s">
        <v>173</v>
      </c>
      <c r="E392" s="19" t="s">
        <v>880</v>
      </c>
      <c r="F392" s="19" t="s">
        <v>881</v>
      </c>
      <c r="G392" s="5"/>
      <c r="H392" s="5"/>
      <c r="I392" s="5"/>
      <c r="J392" s="63"/>
      <c r="K392" s="5"/>
      <c r="L392" s="5"/>
      <c r="M392" s="5"/>
      <c r="N392" s="5"/>
      <c r="O392" s="5" t="s">
        <v>233</v>
      </c>
      <c r="P392" s="5" t="s">
        <v>927</v>
      </c>
      <c r="Q392" s="5"/>
      <c r="R392" s="63">
        <v>45916</v>
      </c>
      <c r="S392" s="5">
        <v>6</v>
      </c>
      <c r="T392" s="5">
        <v>386.8</v>
      </c>
    </row>
    <row r="393" spans="1:20" x14ac:dyDescent="0.2">
      <c r="A393" s="49" t="str">
        <f t="shared" si="16"/>
        <v>18/9-9.5</v>
      </c>
      <c r="B393" s="19" t="s">
        <v>869</v>
      </c>
      <c r="C393" s="19" t="s">
        <v>211</v>
      </c>
      <c r="D393" s="19" t="s">
        <v>173</v>
      </c>
      <c r="E393" s="19">
        <v>18</v>
      </c>
      <c r="F393" s="19" t="s">
        <v>870</v>
      </c>
      <c r="G393" s="5"/>
      <c r="H393" s="5"/>
      <c r="I393" s="5"/>
      <c r="J393" s="63"/>
      <c r="K393" s="5"/>
      <c r="L393" s="5"/>
      <c r="M393" s="5"/>
      <c r="N393" s="5"/>
      <c r="O393" s="5" t="s">
        <v>233</v>
      </c>
      <c r="P393" s="5" t="s">
        <v>918</v>
      </c>
      <c r="Q393" s="5"/>
      <c r="R393" s="63">
        <v>45916</v>
      </c>
      <c r="S393" s="5">
        <v>4</v>
      </c>
      <c r="T393" s="5">
        <v>199.1</v>
      </c>
    </row>
    <row r="394" spans="1:20" x14ac:dyDescent="0.2">
      <c r="A394" s="49" t="str">
        <f t="shared" si="16"/>
        <v>17/7-7.5</v>
      </c>
      <c r="B394" s="19" t="s">
        <v>163</v>
      </c>
      <c r="C394" s="19" t="s">
        <v>173</v>
      </c>
      <c r="D394" s="19" t="s">
        <v>173</v>
      </c>
      <c r="E394" s="19">
        <v>17</v>
      </c>
      <c r="F394" s="19" t="s">
        <v>224</v>
      </c>
      <c r="G394" s="5"/>
      <c r="H394" s="5"/>
      <c r="I394" s="5"/>
      <c r="J394" s="63"/>
      <c r="K394" s="5"/>
      <c r="L394" s="5"/>
      <c r="M394" s="5"/>
      <c r="N394" s="5"/>
      <c r="O394" s="5" t="s">
        <v>233</v>
      </c>
      <c r="P394" s="5" t="s">
        <v>970</v>
      </c>
      <c r="Q394" s="5"/>
      <c r="R394" s="63">
        <v>45916</v>
      </c>
      <c r="S394" s="5">
        <v>1</v>
      </c>
      <c r="T394" s="5">
        <v>64</v>
      </c>
    </row>
    <row r="395" spans="1:20" x14ac:dyDescent="0.2">
      <c r="A395" s="49" t="str">
        <f t="shared" si="16"/>
        <v>22/7.5-8</v>
      </c>
      <c r="B395" s="19" t="s">
        <v>641</v>
      </c>
      <c r="C395" s="19" t="s">
        <v>173</v>
      </c>
      <c r="D395" s="19" t="s">
        <v>173</v>
      </c>
      <c r="E395" s="19">
        <v>22</v>
      </c>
      <c r="F395" s="19" t="s">
        <v>264</v>
      </c>
      <c r="G395" s="5"/>
      <c r="H395" s="5"/>
      <c r="I395" s="5"/>
      <c r="J395" s="63"/>
      <c r="K395" s="5"/>
      <c r="L395" s="5"/>
      <c r="M395" s="5"/>
      <c r="N395" s="5"/>
      <c r="O395" s="5" t="s">
        <v>233</v>
      </c>
      <c r="P395" s="5" t="s">
        <v>659</v>
      </c>
      <c r="Q395" s="5"/>
      <c r="R395" s="63">
        <v>45916</v>
      </c>
      <c r="S395" s="5">
        <v>3</v>
      </c>
      <c r="T395" s="5">
        <v>191</v>
      </c>
    </row>
    <row r="396" spans="1:20" x14ac:dyDescent="0.2">
      <c r="A396" s="49" t="str">
        <f t="shared" si="16"/>
        <v>15/10.5-11</v>
      </c>
      <c r="B396" s="19" t="s">
        <v>163</v>
      </c>
      <c r="C396" s="19" t="s">
        <v>173</v>
      </c>
      <c r="D396" s="19" t="s">
        <v>173</v>
      </c>
      <c r="E396" s="19">
        <v>15</v>
      </c>
      <c r="F396" s="19" t="s">
        <v>640</v>
      </c>
      <c r="G396" s="5"/>
      <c r="H396" s="5"/>
      <c r="I396" s="5"/>
      <c r="J396" s="63"/>
      <c r="K396" s="5"/>
      <c r="L396" s="5"/>
      <c r="M396" s="5"/>
      <c r="N396" s="5"/>
      <c r="O396" s="5" t="s">
        <v>233</v>
      </c>
      <c r="P396" s="5" t="s">
        <v>930</v>
      </c>
      <c r="Q396" s="5"/>
      <c r="R396" s="63">
        <v>45916</v>
      </c>
      <c r="S396" s="5">
        <v>1</v>
      </c>
      <c r="T396" s="5">
        <v>32.1</v>
      </c>
    </row>
    <row r="397" spans="1:20" x14ac:dyDescent="0.2">
      <c r="A397" s="49" t="str">
        <f t="shared" si="16"/>
        <v>8/6-6.5</v>
      </c>
      <c r="B397" s="19" t="s">
        <v>768</v>
      </c>
      <c r="C397" s="19" t="s">
        <v>173</v>
      </c>
      <c r="D397" s="19" t="s">
        <v>173</v>
      </c>
      <c r="E397" s="19">
        <v>8</v>
      </c>
      <c r="F397" s="19" t="s">
        <v>578</v>
      </c>
      <c r="G397" s="5"/>
      <c r="H397" s="5"/>
      <c r="I397" s="5"/>
      <c r="J397" s="63"/>
      <c r="K397" s="5"/>
      <c r="L397" s="5"/>
      <c r="M397" s="5"/>
      <c r="N397" s="5"/>
      <c r="O397" s="5" t="s">
        <v>233</v>
      </c>
      <c r="P397" s="5" t="s">
        <v>916</v>
      </c>
      <c r="Q397" s="5"/>
      <c r="R397" s="63">
        <v>45916</v>
      </c>
      <c r="S397" s="5">
        <v>5</v>
      </c>
      <c r="T397" s="5">
        <v>194.4</v>
      </c>
    </row>
    <row r="398" spans="1:20" x14ac:dyDescent="0.2">
      <c r="A398" s="49" t="str">
        <f t="shared" si="16"/>
        <v>22/6-6.5</v>
      </c>
      <c r="B398" s="19" t="s">
        <v>897</v>
      </c>
      <c r="C398" s="19" t="s">
        <v>211</v>
      </c>
      <c r="D398" s="19" t="s">
        <v>173</v>
      </c>
      <c r="E398" s="19">
        <v>22</v>
      </c>
      <c r="F398" s="19" t="s">
        <v>578</v>
      </c>
      <c r="G398" s="5"/>
      <c r="H398" s="5"/>
      <c r="I398" s="5"/>
      <c r="J398" s="63"/>
      <c r="K398" s="5"/>
      <c r="L398" s="5"/>
      <c r="M398" s="5"/>
      <c r="N398" s="5"/>
      <c r="O398" s="5" t="s">
        <v>233</v>
      </c>
      <c r="P398" s="5" t="s">
        <v>944</v>
      </c>
      <c r="Q398" s="5"/>
      <c r="R398" s="63">
        <v>45916</v>
      </c>
      <c r="S398" s="5">
        <v>4</v>
      </c>
      <c r="T398" s="5">
        <v>206.6</v>
      </c>
    </row>
    <row r="399" spans="1:20" x14ac:dyDescent="0.2">
      <c r="A399" s="49" t="str">
        <f t="shared" si="16"/>
        <v>22/-</v>
      </c>
      <c r="B399" s="19" t="s">
        <v>894</v>
      </c>
      <c r="C399" s="19" t="s">
        <v>173</v>
      </c>
      <c r="D399" s="19" t="s">
        <v>173</v>
      </c>
      <c r="E399" s="19">
        <v>22</v>
      </c>
      <c r="F399" s="19" t="s">
        <v>581</v>
      </c>
      <c r="G399" s="5"/>
      <c r="H399" s="5"/>
      <c r="I399" s="5"/>
      <c r="J399" s="63"/>
      <c r="K399" s="5"/>
      <c r="L399" s="5"/>
      <c r="M399" s="5"/>
      <c r="N399" s="5"/>
      <c r="O399" s="5" t="s">
        <v>233</v>
      </c>
      <c r="P399" s="5" t="s">
        <v>939</v>
      </c>
      <c r="Q399" s="5"/>
      <c r="R399" s="63">
        <v>45916</v>
      </c>
      <c r="S399" s="5">
        <v>3</v>
      </c>
      <c r="T399" s="5">
        <v>156</v>
      </c>
    </row>
    <row r="400" spans="1:20" x14ac:dyDescent="0.2">
      <c r="A400" s="49" t="str">
        <f t="shared" si="16"/>
        <v>20/15-16</v>
      </c>
      <c r="B400" s="19" t="s">
        <v>889</v>
      </c>
      <c r="C400" s="19" t="s">
        <v>211</v>
      </c>
      <c r="D400" s="19" t="s">
        <v>173</v>
      </c>
      <c r="E400" s="19">
        <v>20</v>
      </c>
      <c r="F400" s="19" t="s">
        <v>200</v>
      </c>
      <c r="G400" s="5"/>
      <c r="H400" s="5"/>
      <c r="I400" s="5"/>
      <c r="J400" s="63"/>
      <c r="K400" s="5"/>
      <c r="L400" s="5"/>
      <c r="M400" s="5"/>
      <c r="N400" s="5"/>
      <c r="O400" s="5" t="s">
        <v>233</v>
      </c>
      <c r="P400" s="5" t="s">
        <v>933</v>
      </c>
      <c r="Q400" s="5"/>
      <c r="R400" s="63">
        <v>45916</v>
      </c>
      <c r="S400" s="5">
        <v>2</v>
      </c>
      <c r="T400" s="5">
        <v>127.60000000000001</v>
      </c>
    </row>
    <row r="401" spans="1:20" x14ac:dyDescent="0.2">
      <c r="A401" s="49" t="str">
        <f t="shared" si="16"/>
        <v>7/10-10.5</v>
      </c>
      <c r="B401" s="19" t="s">
        <v>726</v>
      </c>
      <c r="C401" s="19" t="s">
        <v>211</v>
      </c>
      <c r="D401" s="19" t="s">
        <v>173</v>
      </c>
      <c r="E401" s="19">
        <v>7</v>
      </c>
      <c r="F401" s="19" t="s">
        <v>268</v>
      </c>
      <c r="G401" s="5"/>
      <c r="H401" s="5"/>
      <c r="I401" s="5"/>
      <c r="J401" s="63"/>
      <c r="K401" s="5"/>
      <c r="L401" s="5"/>
      <c r="M401" s="5"/>
      <c r="N401" s="5"/>
      <c r="O401" s="5" t="s">
        <v>233</v>
      </c>
      <c r="P401" s="5" t="s">
        <v>917</v>
      </c>
      <c r="Q401" s="5"/>
      <c r="R401" s="63">
        <v>45916</v>
      </c>
      <c r="S401" s="5">
        <v>2</v>
      </c>
      <c r="T401" s="5">
        <v>106.4</v>
      </c>
    </row>
    <row r="402" spans="1:20" x14ac:dyDescent="0.2">
      <c r="A402" s="49" t="str">
        <f t="shared" si="16"/>
        <v>20/15-16</v>
      </c>
      <c r="B402" s="19" t="s">
        <v>872</v>
      </c>
      <c r="C402" s="19" t="s">
        <v>873</v>
      </c>
      <c r="D402" s="19" t="s">
        <v>173</v>
      </c>
      <c r="E402" s="19">
        <v>20</v>
      </c>
      <c r="F402" s="19" t="s">
        <v>200</v>
      </c>
      <c r="G402" s="5"/>
      <c r="H402" s="5"/>
      <c r="I402" s="5"/>
      <c r="J402" s="63"/>
      <c r="K402" s="5"/>
      <c r="L402" s="5"/>
      <c r="M402" s="5"/>
      <c r="N402" s="5"/>
      <c r="O402" s="5" t="s">
        <v>233</v>
      </c>
      <c r="P402" s="5" t="s">
        <v>920</v>
      </c>
      <c r="Q402" s="5"/>
      <c r="R402" s="63">
        <v>45916</v>
      </c>
      <c r="S402" s="5">
        <v>2</v>
      </c>
      <c r="T402" s="5">
        <v>122.6</v>
      </c>
    </row>
    <row r="403" spans="1:20" x14ac:dyDescent="0.2">
      <c r="A403" s="49" t="str">
        <f t="shared" si="16"/>
        <v>20/15-16</v>
      </c>
      <c r="B403" s="19" t="s">
        <v>872</v>
      </c>
      <c r="C403" s="19" t="s">
        <v>873</v>
      </c>
      <c r="D403" s="19" t="s">
        <v>173</v>
      </c>
      <c r="E403" s="19">
        <v>20</v>
      </c>
      <c r="F403" s="19" t="s">
        <v>200</v>
      </c>
      <c r="G403" s="5"/>
      <c r="H403" s="5"/>
      <c r="I403" s="5"/>
      <c r="J403" s="63"/>
      <c r="K403" s="5"/>
      <c r="L403" s="5"/>
      <c r="M403" s="5"/>
      <c r="N403" s="5"/>
      <c r="O403" s="5" t="s">
        <v>233</v>
      </c>
      <c r="P403" s="5" t="s">
        <v>921</v>
      </c>
      <c r="Q403" s="5"/>
      <c r="R403" s="63">
        <v>45916</v>
      </c>
      <c r="S403" s="5">
        <v>2</v>
      </c>
      <c r="T403" s="5">
        <v>120.19999999999999</v>
      </c>
    </row>
    <row r="404" spans="1:20" x14ac:dyDescent="0.2">
      <c r="A404" s="49" t="str">
        <f t="shared" si="16"/>
        <v>7/10-10.5</v>
      </c>
      <c r="B404" s="19" t="s">
        <v>726</v>
      </c>
      <c r="C404" s="19" t="s">
        <v>211</v>
      </c>
      <c r="D404" s="19" t="s">
        <v>173</v>
      </c>
      <c r="E404" s="19">
        <v>7</v>
      </c>
      <c r="F404" s="19" t="s">
        <v>268</v>
      </c>
      <c r="G404" s="5"/>
      <c r="H404" s="5"/>
      <c r="I404" s="5"/>
      <c r="J404" s="63"/>
      <c r="K404" s="5"/>
      <c r="L404" s="5"/>
      <c r="M404" s="5"/>
      <c r="N404" s="5"/>
      <c r="O404" s="5" t="s">
        <v>233</v>
      </c>
      <c r="P404" s="5" t="s">
        <v>971</v>
      </c>
      <c r="Q404" s="5"/>
      <c r="R404" s="63">
        <v>45916</v>
      </c>
      <c r="S404" s="5">
        <v>2</v>
      </c>
      <c r="T404" s="5">
        <v>116.6</v>
      </c>
    </row>
    <row r="405" spans="1:20" x14ac:dyDescent="0.2">
      <c r="A405" s="49" t="str">
        <f t="shared" si="16"/>
        <v>32 شیٹ/4-4.5/8-9</v>
      </c>
      <c r="B405" s="19" t="s">
        <v>879</v>
      </c>
      <c r="C405" s="19" t="s">
        <v>173</v>
      </c>
      <c r="D405" s="19" t="s">
        <v>173</v>
      </c>
      <c r="E405" s="19" t="s">
        <v>878</v>
      </c>
      <c r="F405" s="19" t="s">
        <v>877</v>
      </c>
      <c r="G405" s="5"/>
      <c r="H405" s="5"/>
      <c r="I405" s="5"/>
      <c r="J405" s="63"/>
      <c r="K405" s="5"/>
      <c r="L405" s="5"/>
      <c r="M405" s="5"/>
      <c r="N405" s="5"/>
      <c r="O405" s="5" t="s">
        <v>233</v>
      </c>
      <c r="P405" s="5" t="s">
        <v>926</v>
      </c>
      <c r="Q405" s="5"/>
      <c r="R405" s="63">
        <v>45916</v>
      </c>
      <c r="S405" s="5">
        <v>2</v>
      </c>
      <c r="T405" s="5">
        <v>148</v>
      </c>
    </row>
    <row r="406" spans="1:20" x14ac:dyDescent="0.2">
      <c r="A406" s="49" t="str">
        <f t="shared" si="16"/>
        <v>22/15.5-16</v>
      </c>
      <c r="B406" s="19" t="s">
        <v>895</v>
      </c>
      <c r="C406" s="19" t="s">
        <v>211</v>
      </c>
      <c r="D406" s="19" t="s">
        <v>173</v>
      </c>
      <c r="E406" s="19">
        <v>22</v>
      </c>
      <c r="F406" s="19" t="s">
        <v>896</v>
      </c>
      <c r="G406" s="5"/>
      <c r="H406" s="5"/>
      <c r="I406" s="5"/>
      <c r="J406" s="63"/>
      <c r="K406" s="5"/>
      <c r="L406" s="5"/>
      <c r="M406" s="5"/>
      <c r="N406" s="5"/>
      <c r="O406" s="5" t="s">
        <v>233</v>
      </c>
      <c r="P406" s="5" t="s">
        <v>943</v>
      </c>
      <c r="Q406" s="5"/>
      <c r="R406" s="63">
        <v>45916</v>
      </c>
      <c r="S406" s="5">
        <v>2</v>
      </c>
      <c r="T406" s="5">
        <v>110.8</v>
      </c>
    </row>
    <row r="407" spans="1:20" x14ac:dyDescent="0.2">
      <c r="A407" s="49" t="str">
        <f t="shared" si="16"/>
        <v>28/14</v>
      </c>
      <c r="B407" s="19" t="s">
        <v>874</v>
      </c>
      <c r="C407" s="19" t="s">
        <v>173</v>
      </c>
      <c r="D407" s="19" t="s">
        <v>173</v>
      </c>
      <c r="E407" s="19">
        <v>28</v>
      </c>
      <c r="F407" s="19" t="s">
        <v>12</v>
      </c>
      <c r="G407" s="5"/>
      <c r="H407" s="5"/>
      <c r="I407" s="5"/>
      <c r="J407" s="63"/>
      <c r="K407" s="5"/>
      <c r="L407" s="5"/>
      <c r="M407" s="5"/>
      <c r="N407" s="5"/>
      <c r="O407" s="5" t="s">
        <v>233</v>
      </c>
      <c r="P407" s="5" t="s">
        <v>922</v>
      </c>
      <c r="Q407" s="5"/>
      <c r="R407" s="63">
        <v>45916</v>
      </c>
      <c r="S407" s="5">
        <v>2</v>
      </c>
      <c r="T407" s="5">
        <v>175.2</v>
      </c>
    </row>
    <row r="408" spans="1:20" x14ac:dyDescent="0.2">
      <c r="A408" s="49" t="str">
        <f t="shared" si="16"/>
        <v>28 شیٹ/4-4.5/8-9</v>
      </c>
      <c r="B408" s="19" t="s">
        <v>875</v>
      </c>
      <c r="C408" s="19" t="s">
        <v>173</v>
      </c>
      <c r="D408" s="19" t="s">
        <v>173</v>
      </c>
      <c r="E408" s="19" t="s">
        <v>876</v>
      </c>
      <c r="F408" s="19" t="s">
        <v>877</v>
      </c>
      <c r="G408" s="5"/>
      <c r="H408" s="5"/>
      <c r="I408" s="5"/>
      <c r="J408" s="63"/>
      <c r="K408" s="5"/>
      <c r="L408" s="5"/>
      <c r="M408" s="5"/>
      <c r="N408" s="5"/>
      <c r="O408" s="5" t="s">
        <v>233</v>
      </c>
      <c r="P408" s="5" t="s">
        <v>924</v>
      </c>
      <c r="Q408" s="5"/>
      <c r="R408" s="63">
        <v>45916</v>
      </c>
      <c r="S408" s="5">
        <v>2</v>
      </c>
      <c r="T408" s="5">
        <v>136.80000000000001</v>
      </c>
    </row>
    <row r="409" spans="1:20" x14ac:dyDescent="0.2">
      <c r="A409" s="49" t="str">
        <f t="shared" si="16"/>
        <v>9/6-6.5</v>
      </c>
      <c r="B409" s="19" t="s">
        <v>768</v>
      </c>
      <c r="C409" s="19" t="s">
        <v>173</v>
      </c>
      <c r="D409" s="19" t="s">
        <v>173</v>
      </c>
      <c r="E409" s="19">
        <v>9</v>
      </c>
      <c r="F409" s="19" t="s">
        <v>578</v>
      </c>
      <c r="G409" s="5"/>
      <c r="H409" s="5"/>
      <c r="I409" s="5"/>
      <c r="J409" s="63"/>
      <c r="K409" s="5"/>
      <c r="L409" s="5"/>
      <c r="M409" s="5"/>
      <c r="N409" s="5"/>
      <c r="O409" s="5" t="s">
        <v>233</v>
      </c>
      <c r="P409" s="5" t="s">
        <v>914</v>
      </c>
      <c r="Q409" s="5"/>
      <c r="R409" s="63">
        <v>45916</v>
      </c>
      <c r="S409" s="5">
        <v>3</v>
      </c>
      <c r="T409" s="5">
        <v>120</v>
      </c>
    </row>
    <row r="410" spans="1:20" x14ac:dyDescent="0.2">
      <c r="A410" s="49" t="str">
        <f t="shared" si="16"/>
        <v>9/6-6.5</v>
      </c>
      <c r="B410" s="19" t="s">
        <v>768</v>
      </c>
      <c r="C410" s="19" t="s">
        <v>173</v>
      </c>
      <c r="D410" s="19" t="s">
        <v>173</v>
      </c>
      <c r="E410" s="19">
        <v>9</v>
      </c>
      <c r="F410" s="19" t="s">
        <v>578</v>
      </c>
      <c r="G410" s="5"/>
      <c r="H410" s="5"/>
      <c r="I410" s="5"/>
      <c r="J410" s="63"/>
      <c r="K410" s="5"/>
      <c r="L410" s="5"/>
      <c r="M410" s="5"/>
      <c r="N410" s="5"/>
      <c r="O410" s="5" t="s">
        <v>233</v>
      </c>
      <c r="P410" s="5" t="s">
        <v>915</v>
      </c>
      <c r="Q410" s="5"/>
      <c r="R410" s="63">
        <v>45916</v>
      </c>
      <c r="S410" s="5">
        <v>3</v>
      </c>
      <c r="T410" s="5">
        <v>103.80000000000001</v>
      </c>
    </row>
    <row r="411" spans="1:20" x14ac:dyDescent="0.2">
      <c r="A411" s="49" t="str">
        <f t="shared" si="16"/>
        <v>20/15-16</v>
      </c>
      <c r="B411" s="19" t="s">
        <v>871</v>
      </c>
      <c r="C411" s="19" t="s">
        <v>211</v>
      </c>
      <c r="D411" s="19" t="s">
        <v>173</v>
      </c>
      <c r="E411" s="19">
        <v>20</v>
      </c>
      <c r="F411" s="19" t="s">
        <v>200</v>
      </c>
      <c r="G411" s="5"/>
      <c r="H411" s="5"/>
      <c r="I411" s="5"/>
      <c r="J411" s="63"/>
      <c r="K411" s="5"/>
      <c r="L411" s="5"/>
      <c r="M411" s="5"/>
      <c r="N411" s="5"/>
      <c r="O411" s="5" t="s">
        <v>233</v>
      </c>
      <c r="P411" s="5" t="s">
        <v>919</v>
      </c>
      <c r="Q411" s="5"/>
      <c r="R411" s="63">
        <v>45916</v>
      </c>
      <c r="S411" s="5">
        <v>2</v>
      </c>
      <c r="T411" s="5">
        <v>114.80000000000001</v>
      </c>
    </row>
    <row r="412" spans="1:20" x14ac:dyDescent="0.2">
      <c r="A412" s="49" t="str">
        <f t="shared" si="16"/>
        <v>18/14-15</v>
      </c>
      <c r="B412" s="19" t="s">
        <v>871</v>
      </c>
      <c r="C412" s="19" t="s">
        <v>211</v>
      </c>
      <c r="D412" s="19" t="s">
        <v>173</v>
      </c>
      <c r="E412" s="19">
        <v>18</v>
      </c>
      <c r="F412" s="19" t="s">
        <v>225</v>
      </c>
      <c r="G412" s="5"/>
      <c r="H412" s="5"/>
      <c r="I412" s="5"/>
      <c r="J412" s="63"/>
      <c r="K412" s="5"/>
      <c r="L412" s="5"/>
      <c r="M412" s="5"/>
      <c r="N412" s="5"/>
      <c r="O412" s="5" t="s">
        <v>233</v>
      </c>
      <c r="P412" s="5" t="s">
        <v>934</v>
      </c>
      <c r="Q412" s="5"/>
      <c r="R412" s="63">
        <v>45916</v>
      </c>
      <c r="S412" s="5">
        <v>2</v>
      </c>
      <c r="T412" s="5">
        <v>101.4</v>
      </c>
    </row>
    <row r="413" spans="1:20" x14ac:dyDescent="0.2">
      <c r="A413" s="49" t="str">
        <f t="shared" si="16"/>
        <v>32 شیٹ/4-4.5/8-9</v>
      </c>
      <c r="B413" s="19" t="s">
        <v>875</v>
      </c>
      <c r="C413" s="19" t="s">
        <v>173</v>
      </c>
      <c r="D413" s="19" t="s">
        <v>173</v>
      </c>
      <c r="E413" s="19" t="s">
        <v>878</v>
      </c>
      <c r="F413" s="19" t="s">
        <v>877</v>
      </c>
      <c r="G413" s="5"/>
      <c r="H413" s="5"/>
      <c r="I413" s="5"/>
      <c r="J413" s="63"/>
      <c r="K413" s="5"/>
      <c r="L413" s="5"/>
      <c r="M413" s="5"/>
      <c r="N413" s="5"/>
      <c r="O413" s="5" t="s">
        <v>233</v>
      </c>
      <c r="P413" s="5" t="s">
        <v>925</v>
      </c>
      <c r="Q413" s="5"/>
      <c r="R413" s="63">
        <v>45916</v>
      </c>
      <c r="S413" s="5">
        <v>2</v>
      </c>
      <c r="T413" s="5">
        <v>212.39999999999998</v>
      </c>
    </row>
    <row r="414" spans="1:20" x14ac:dyDescent="0.2">
      <c r="A414" s="49" t="str">
        <f t="shared" si="16"/>
        <v>28+5.5+5.5/28-28.5/56-57</v>
      </c>
      <c r="B414" s="19" t="s">
        <v>882</v>
      </c>
      <c r="C414" s="19" t="s">
        <v>211</v>
      </c>
      <c r="D414" s="19" t="s">
        <v>173</v>
      </c>
      <c r="E414" s="19" t="s">
        <v>883</v>
      </c>
      <c r="F414" s="19" t="s">
        <v>884</v>
      </c>
      <c r="G414" s="5"/>
      <c r="H414" s="5"/>
      <c r="I414" s="5"/>
      <c r="J414" s="63"/>
      <c r="K414" s="5"/>
      <c r="L414" s="5"/>
      <c r="M414" s="5"/>
      <c r="N414" s="5"/>
      <c r="O414" s="5" t="s">
        <v>233</v>
      </c>
      <c r="P414" s="5" t="s">
        <v>928</v>
      </c>
      <c r="Q414" s="5"/>
      <c r="R414" s="63">
        <v>45916</v>
      </c>
      <c r="S414" s="5">
        <v>2</v>
      </c>
      <c r="T414" s="5">
        <v>113.4</v>
      </c>
    </row>
    <row r="415" spans="1:20" x14ac:dyDescent="0.2">
      <c r="A415" s="49" t="str">
        <f t="shared" si="16"/>
        <v>17/7.5-8</v>
      </c>
      <c r="B415" s="19" t="s">
        <v>885</v>
      </c>
      <c r="C415" s="19" t="s">
        <v>211</v>
      </c>
      <c r="D415" s="19" t="s">
        <v>173</v>
      </c>
      <c r="E415" s="19">
        <v>17</v>
      </c>
      <c r="F415" s="19" t="s">
        <v>264</v>
      </c>
      <c r="G415" s="5"/>
      <c r="H415" s="5"/>
      <c r="I415" s="5"/>
      <c r="J415" s="63"/>
      <c r="K415" s="5"/>
      <c r="L415" s="5"/>
      <c r="M415" s="5"/>
      <c r="N415" s="5"/>
      <c r="O415" s="5" t="s">
        <v>233</v>
      </c>
      <c r="P415" s="5" t="s">
        <v>929</v>
      </c>
      <c r="Q415" s="5"/>
      <c r="R415" s="63">
        <v>45916</v>
      </c>
      <c r="S415" s="5">
        <v>3</v>
      </c>
      <c r="T415" s="5">
        <v>369</v>
      </c>
    </row>
    <row r="416" spans="1:20" x14ac:dyDescent="0.2">
      <c r="A416" s="49" t="str">
        <f t="shared" si="16"/>
        <v>20/11-11.5</v>
      </c>
      <c r="B416" s="19" t="s">
        <v>730</v>
      </c>
      <c r="C416" s="19" t="s">
        <v>525</v>
      </c>
      <c r="D416" s="19" t="s">
        <v>173</v>
      </c>
      <c r="E416" s="19">
        <v>20</v>
      </c>
      <c r="F416" s="19" t="s">
        <v>886</v>
      </c>
      <c r="G416" s="5"/>
      <c r="H416" s="5"/>
      <c r="I416" s="5"/>
      <c r="J416" s="63"/>
      <c r="K416" s="5"/>
      <c r="L416" s="5"/>
      <c r="M416" s="5"/>
      <c r="N416" s="5"/>
      <c r="O416" s="5" t="s">
        <v>233</v>
      </c>
      <c r="P416" s="5" t="s">
        <v>931</v>
      </c>
      <c r="Q416" s="5"/>
      <c r="R416" s="63">
        <v>45917</v>
      </c>
      <c r="S416" s="5">
        <v>4</v>
      </c>
      <c r="T416" s="5">
        <v>234.79999999999998</v>
      </c>
    </row>
    <row r="417" spans="1:20" x14ac:dyDescent="0.2">
      <c r="A417" s="49" t="str">
        <f t="shared" si="16"/>
        <v>8+2+2/5-5.5/10-11</v>
      </c>
      <c r="B417" s="19" t="s">
        <v>730</v>
      </c>
      <c r="C417" s="19" t="s">
        <v>211</v>
      </c>
      <c r="D417" s="19" t="s">
        <v>173</v>
      </c>
      <c r="E417" s="19" t="s">
        <v>892</v>
      </c>
      <c r="F417" s="19" t="s">
        <v>893</v>
      </c>
      <c r="G417" s="5"/>
      <c r="H417" s="5"/>
      <c r="I417" s="5"/>
      <c r="J417" s="63"/>
      <c r="K417" s="5"/>
      <c r="L417" s="5"/>
      <c r="M417" s="5"/>
      <c r="N417" s="5"/>
      <c r="O417" s="5" t="s">
        <v>233</v>
      </c>
      <c r="P417" s="5" t="s">
        <v>936</v>
      </c>
      <c r="Q417" s="5"/>
      <c r="R417" s="63">
        <v>45917</v>
      </c>
      <c r="S417" s="5">
        <v>4</v>
      </c>
      <c r="T417" s="5">
        <v>125.4</v>
      </c>
    </row>
    <row r="418" spans="1:20" x14ac:dyDescent="0.2">
      <c r="A418" s="49" t="str">
        <f t="shared" si="16"/>
        <v>23/13-14</v>
      </c>
      <c r="B418" s="19" t="s">
        <v>898</v>
      </c>
      <c r="C418" s="19" t="s">
        <v>211</v>
      </c>
      <c r="D418" s="19" t="s">
        <v>173</v>
      </c>
      <c r="E418" s="19">
        <v>23</v>
      </c>
      <c r="F418" s="19" t="s">
        <v>228</v>
      </c>
      <c r="G418" s="5"/>
      <c r="H418" s="5"/>
      <c r="I418" s="5"/>
      <c r="J418" s="63"/>
      <c r="K418" s="5"/>
      <c r="L418" s="5"/>
      <c r="M418" s="5"/>
      <c r="N418" s="5"/>
      <c r="O418" s="5" t="s">
        <v>233</v>
      </c>
      <c r="P418" s="5" t="s">
        <v>946</v>
      </c>
      <c r="Q418" s="5"/>
      <c r="R418" s="63">
        <v>45917</v>
      </c>
      <c r="S418" s="5">
        <v>2</v>
      </c>
      <c r="T418" s="5">
        <v>92.4</v>
      </c>
    </row>
    <row r="419" spans="1:20" x14ac:dyDescent="0.2">
      <c r="A419" s="49" t="str">
        <f t="shared" si="16"/>
        <v>12+3+3/6-6.5/12-13</v>
      </c>
      <c r="B419" s="19" t="s">
        <v>730</v>
      </c>
      <c r="C419" s="19" t="s">
        <v>211</v>
      </c>
      <c r="D419" s="19" t="s">
        <v>173</v>
      </c>
      <c r="E419" s="19" t="s">
        <v>322</v>
      </c>
      <c r="F419" s="19" t="s">
        <v>208</v>
      </c>
      <c r="G419" s="5"/>
      <c r="H419" s="5"/>
      <c r="I419" s="5"/>
      <c r="J419" s="63"/>
      <c r="K419" s="5"/>
      <c r="L419" s="5"/>
      <c r="M419" s="5"/>
      <c r="N419" s="5"/>
      <c r="O419" s="5" t="s">
        <v>233</v>
      </c>
      <c r="P419" s="5" t="s">
        <v>938</v>
      </c>
      <c r="Q419" s="5"/>
      <c r="R419" s="63">
        <v>45917</v>
      </c>
      <c r="S419" s="5">
        <v>3</v>
      </c>
      <c r="T419" s="5">
        <v>121</v>
      </c>
    </row>
    <row r="420" spans="1:20" x14ac:dyDescent="0.2">
      <c r="A420" s="49" t="str">
        <f t="shared" si="16"/>
        <v>26/6-6.5</v>
      </c>
      <c r="B420" s="19" t="s">
        <v>897</v>
      </c>
      <c r="C420" s="19" t="s">
        <v>211</v>
      </c>
      <c r="D420" s="19" t="s">
        <v>173</v>
      </c>
      <c r="E420" s="19">
        <v>26</v>
      </c>
      <c r="F420" s="19" t="s">
        <v>578</v>
      </c>
      <c r="G420" s="5"/>
      <c r="H420" s="5"/>
      <c r="I420" s="5"/>
      <c r="J420" s="63"/>
      <c r="K420" s="5"/>
      <c r="L420" s="5"/>
      <c r="M420" s="5"/>
      <c r="N420" s="5"/>
      <c r="O420" s="5" t="s">
        <v>233</v>
      </c>
      <c r="P420" s="5" t="s">
        <v>945</v>
      </c>
      <c r="Q420" s="5"/>
      <c r="R420" s="63">
        <v>45917</v>
      </c>
      <c r="S420" s="5">
        <v>2</v>
      </c>
      <c r="T420" s="5">
        <v>107</v>
      </c>
    </row>
    <row r="421" spans="1:20" x14ac:dyDescent="0.2">
      <c r="A421" s="49" t="str">
        <f t="shared" si="16"/>
        <v>17/12-13</v>
      </c>
      <c r="B421" s="19" t="s">
        <v>899</v>
      </c>
      <c r="C421" s="19" t="s">
        <v>211</v>
      </c>
      <c r="D421" s="19" t="s">
        <v>173</v>
      </c>
      <c r="E421" s="19">
        <v>17</v>
      </c>
      <c r="F421" s="19" t="s">
        <v>201</v>
      </c>
      <c r="G421" s="5"/>
      <c r="H421" s="5"/>
      <c r="I421" s="5"/>
      <c r="J421" s="63"/>
      <c r="K421" s="5"/>
      <c r="L421" s="5"/>
      <c r="M421" s="5"/>
      <c r="N421" s="5"/>
      <c r="O421" s="5" t="s">
        <v>233</v>
      </c>
      <c r="P421" s="5" t="s">
        <v>947</v>
      </c>
      <c r="Q421" s="5"/>
      <c r="R421" s="63">
        <v>45917</v>
      </c>
      <c r="S421" s="5">
        <v>2</v>
      </c>
      <c r="T421" s="5">
        <v>96</v>
      </c>
    </row>
    <row r="422" spans="1:20" x14ac:dyDescent="0.2">
      <c r="A422" s="49" t="str">
        <f t="shared" si="16"/>
        <v>22/-</v>
      </c>
      <c r="B422" s="19" t="s">
        <v>894</v>
      </c>
      <c r="C422" s="19" t="s">
        <v>173</v>
      </c>
      <c r="D422" s="19" t="s">
        <v>173</v>
      </c>
      <c r="E422" s="19">
        <v>22</v>
      </c>
      <c r="F422" s="19" t="s">
        <v>581</v>
      </c>
      <c r="G422" s="5"/>
      <c r="H422" s="5"/>
      <c r="I422" s="5"/>
      <c r="J422" s="63"/>
      <c r="K422" s="5"/>
      <c r="L422" s="5"/>
      <c r="M422" s="5"/>
      <c r="N422" s="5"/>
      <c r="O422" s="5" t="s">
        <v>233</v>
      </c>
      <c r="P422" s="5" t="s">
        <v>941</v>
      </c>
      <c r="Q422" s="5"/>
      <c r="R422" s="63">
        <v>45917</v>
      </c>
      <c r="S422" s="5">
        <v>3</v>
      </c>
      <c r="T422" s="5">
        <v>150.39999999999998</v>
      </c>
    </row>
    <row r="423" spans="1:20" x14ac:dyDescent="0.2">
      <c r="A423" s="49" t="str">
        <f t="shared" si="16"/>
        <v>8-2.5-2.5/7.5-8/15-16</v>
      </c>
      <c r="B423" s="19" t="s">
        <v>890</v>
      </c>
      <c r="C423" s="19" t="s">
        <v>211</v>
      </c>
      <c r="D423" s="19" t="s">
        <v>173</v>
      </c>
      <c r="E423" s="19" t="s">
        <v>891</v>
      </c>
      <c r="F423" s="19" t="s">
        <v>644</v>
      </c>
      <c r="G423" s="5"/>
      <c r="H423" s="5"/>
      <c r="I423" s="5"/>
      <c r="J423" s="63"/>
      <c r="K423" s="5"/>
      <c r="L423" s="5"/>
      <c r="M423" s="5"/>
      <c r="N423" s="5"/>
      <c r="O423" s="5" t="s">
        <v>233</v>
      </c>
      <c r="P423" s="5" t="s">
        <v>935</v>
      </c>
      <c r="Q423" s="5"/>
      <c r="R423" s="63">
        <v>45917</v>
      </c>
      <c r="S423" s="5">
        <v>3</v>
      </c>
      <c r="T423" s="5">
        <v>122.7</v>
      </c>
    </row>
    <row r="424" spans="1:20" x14ac:dyDescent="0.2">
      <c r="A424" s="49" t="str">
        <f t="shared" si="16"/>
        <v>10+2.5+2.5/7.5-8/15-16</v>
      </c>
      <c r="B424" s="19" t="s">
        <v>890</v>
      </c>
      <c r="C424" s="19" t="s">
        <v>211</v>
      </c>
      <c r="D424" s="19" t="s">
        <v>173</v>
      </c>
      <c r="E424" s="19" t="s">
        <v>319</v>
      </c>
      <c r="F424" s="19" t="s">
        <v>644</v>
      </c>
      <c r="G424" s="5"/>
      <c r="H424" s="5"/>
      <c r="I424" s="5"/>
      <c r="J424" s="63"/>
      <c r="K424" s="5"/>
      <c r="L424" s="5"/>
      <c r="M424" s="5"/>
      <c r="N424" s="5"/>
      <c r="O424" s="5" t="s">
        <v>233</v>
      </c>
      <c r="P424" s="5" t="s">
        <v>937</v>
      </c>
      <c r="Q424" s="5"/>
      <c r="R424" s="63">
        <v>45917</v>
      </c>
      <c r="S424" s="5">
        <v>4</v>
      </c>
      <c r="T424" s="5">
        <v>119.6</v>
      </c>
    </row>
    <row r="425" spans="1:20" x14ac:dyDescent="0.2">
      <c r="A425" s="49" t="str">
        <f t="shared" si="16"/>
        <v>14/15</v>
      </c>
      <c r="B425" s="19" t="s">
        <v>163</v>
      </c>
      <c r="C425" s="19" t="s">
        <v>211</v>
      </c>
      <c r="D425" s="19" t="s">
        <v>173</v>
      </c>
      <c r="E425" s="19">
        <v>14</v>
      </c>
      <c r="F425" s="19" t="s">
        <v>21</v>
      </c>
      <c r="G425" s="5"/>
      <c r="H425" s="5"/>
      <c r="I425" s="5"/>
      <c r="J425" s="63"/>
      <c r="K425" s="5"/>
      <c r="L425" s="5"/>
      <c r="M425" s="5"/>
      <c r="N425" s="5"/>
      <c r="O425" s="5" t="s">
        <v>233</v>
      </c>
      <c r="P425" s="5" t="s">
        <v>952</v>
      </c>
      <c r="Q425" s="5"/>
      <c r="R425" s="63">
        <v>45918</v>
      </c>
      <c r="S425" s="5">
        <v>7</v>
      </c>
      <c r="T425" s="5">
        <v>412.8</v>
      </c>
    </row>
    <row r="426" spans="1:20" x14ac:dyDescent="0.2">
      <c r="A426" s="49" t="str">
        <f t="shared" si="16"/>
        <v>9/13-14</v>
      </c>
      <c r="B426" s="19" t="s">
        <v>900</v>
      </c>
      <c r="C426" s="19" t="s">
        <v>211</v>
      </c>
      <c r="D426" s="19" t="s">
        <v>173</v>
      </c>
      <c r="E426" s="19">
        <v>9</v>
      </c>
      <c r="F426" s="19" t="s">
        <v>228</v>
      </c>
      <c r="G426" s="5"/>
      <c r="H426" s="5"/>
      <c r="I426" s="5"/>
      <c r="J426" s="63"/>
      <c r="K426" s="5"/>
      <c r="L426" s="5"/>
      <c r="M426" s="5"/>
      <c r="N426" s="5"/>
      <c r="O426" s="5" t="s">
        <v>233</v>
      </c>
      <c r="P426" s="5" t="s">
        <v>948</v>
      </c>
      <c r="Q426" s="5"/>
      <c r="R426" s="63">
        <v>45918</v>
      </c>
      <c r="S426" s="5">
        <v>3</v>
      </c>
      <c r="T426" s="5">
        <v>121.4</v>
      </c>
    </row>
    <row r="427" spans="1:20" x14ac:dyDescent="0.2">
      <c r="A427" s="49" t="str">
        <f t="shared" si="16"/>
        <v>7/12-13</v>
      </c>
      <c r="B427" s="19" t="s">
        <v>900</v>
      </c>
      <c r="C427" s="19" t="s">
        <v>211</v>
      </c>
      <c r="D427" s="19" t="s">
        <v>173</v>
      </c>
      <c r="E427" s="19">
        <v>7</v>
      </c>
      <c r="F427" s="19" t="s">
        <v>201</v>
      </c>
      <c r="G427" s="5"/>
      <c r="H427" s="5"/>
      <c r="I427" s="5"/>
      <c r="J427" s="63"/>
      <c r="K427" s="5"/>
      <c r="L427" s="5"/>
      <c r="M427" s="5"/>
      <c r="N427" s="5"/>
      <c r="O427" s="5" t="s">
        <v>233</v>
      </c>
      <c r="P427" s="5" t="s">
        <v>949</v>
      </c>
      <c r="Q427" s="5"/>
      <c r="R427" s="63">
        <v>45918</v>
      </c>
      <c r="S427" s="5">
        <v>2</v>
      </c>
      <c r="T427" s="5">
        <v>105.5</v>
      </c>
    </row>
    <row r="428" spans="1:20" x14ac:dyDescent="0.2">
      <c r="A428" s="49" t="str">
        <f t="shared" si="16"/>
        <v>13+3+3/9.5-10/19-20</v>
      </c>
      <c r="B428" s="19" t="s">
        <v>901</v>
      </c>
      <c r="C428" s="19" t="s">
        <v>211</v>
      </c>
      <c r="D428" s="19" t="s">
        <v>173</v>
      </c>
      <c r="E428" s="19" t="s">
        <v>902</v>
      </c>
      <c r="F428" s="19" t="s">
        <v>903</v>
      </c>
      <c r="G428" s="5"/>
      <c r="H428" s="5"/>
      <c r="I428" s="5"/>
      <c r="J428" s="63"/>
      <c r="K428" s="5"/>
      <c r="L428" s="5"/>
      <c r="M428" s="5"/>
      <c r="N428" s="5"/>
      <c r="O428" s="5" t="s">
        <v>233</v>
      </c>
      <c r="P428" s="5" t="s">
        <v>951</v>
      </c>
      <c r="Q428" s="5"/>
      <c r="R428" s="63">
        <v>45918</v>
      </c>
      <c r="S428" s="5">
        <v>4</v>
      </c>
      <c r="T428" s="5">
        <v>131.89999999999998</v>
      </c>
    </row>
    <row r="429" spans="1:20" x14ac:dyDescent="0.2">
      <c r="A429" s="49" t="str">
        <f t="shared" si="16"/>
        <v>22/-</v>
      </c>
      <c r="B429" s="19" t="s">
        <v>894</v>
      </c>
      <c r="C429" s="19" t="s">
        <v>173</v>
      </c>
      <c r="D429" s="19" t="s">
        <v>173</v>
      </c>
      <c r="E429" s="19">
        <v>22</v>
      </c>
      <c r="F429" s="19" t="s">
        <v>581</v>
      </c>
      <c r="G429" s="5"/>
      <c r="H429" s="5"/>
      <c r="I429" s="5"/>
      <c r="J429" s="63"/>
      <c r="K429" s="5"/>
      <c r="L429" s="5"/>
      <c r="M429" s="5"/>
      <c r="N429" s="5"/>
      <c r="O429" s="5" t="s">
        <v>233</v>
      </c>
      <c r="P429" s="5" t="s">
        <v>942</v>
      </c>
      <c r="Q429" s="5"/>
      <c r="R429" s="63">
        <v>45918</v>
      </c>
      <c r="S429" s="5">
        <v>14</v>
      </c>
      <c r="T429" s="5">
        <v>610.1</v>
      </c>
    </row>
    <row r="430" spans="1:20" x14ac:dyDescent="0.2">
      <c r="A430" s="49" t="str">
        <f t="shared" si="16"/>
        <v>22/-</v>
      </c>
      <c r="B430" s="19" t="s">
        <v>894</v>
      </c>
      <c r="C430" s="19" t="s">
        <v>173</v>
      </c>
      <c r="D430" s="19" t="s">
        <v>173</v>
      </c>
      <c r="E430" s="19">
        <v>22</v>
      </c>
      <c r="F430" s="19" t="s">
        <v>581</v>
      </c>
      <c r="G430" s="5"/>
      <c r="H430" s="5"/>
      <c r="I430" s="5"/>
      <c r="J430" s="63"/>
      <c r="K430" s="5"/>
      <c r="L430" s="5"/>
      <c r="M430" s="5"/>
      <c r="N430" s="5"/>
      <c r="O430" s="5" t="s">
        <v>233</v>
      </c>
      <c r="P430" s="5" t="s">
        <v>940</v>
      </c>
      <c r="Q430" s="5"/>
      <c r="R430" s="63">
        <v>45918</v>
      </c>
      <c r="S430" s="5">
        <v>12</v>
      </c>
      <c r="T430" s="5">
        <v>593.1</v>
      </c>
    </row>
    <row r="431" spans="1:20" x14ac:dyDescent="0.2">
      <c r="A431" s="49" t="str">
        <f t="shared" si="16"/>
        <v>16/7</v>
      </c>
      <c r="B431" s="19" t="s">
        <v>163</v>
      </c>
      <c r="C431" s="19" t="s">
        <v>173</v>
      </c>
      <c r="D431" s="19" t="s">
        <v>173</v>
      </c>
      <c r="E431" s="19">
        <v>16</v>
      </c>
      <c r="F431" s="19" t="s">
        <v>19</v>
      </c>
      <c r="G431" s="5"/>
      <c r="H431" s="5"/>
      <c r="I431" s="5"/>
      <c r="J431" s="63"/>
      <c r="K431" s="5"/>
      <c r="L431" s="5"/>
      <c r="M431" s="5"/>
      <c r="N431" s="5"/>
      <c r="O431" s="5" t="s">
        <v>233</v>
      </c>
      <c r="P431" s="5" t="s">
        <v>959</v>
      </c>
      <c r="Q431" s="5"/>
      <c r="R431" s="63">
        <v>45918</v>
      </c>
      <c r="S431" s="5">
        <v>3</v>
      </c>
      <c r="T431" s="5">
        <v>109.8</v>
      </c>
    </row>
    <row r="432" spans="1:20" x14ac:dyDescent="0.2">
      <c r="A432" s="49" t="str">
        <f t="shared" si="16"/>
        <v>15/7</v>
      </c>
      <c r="B432" s="19" t="s">
        <v>163</v>
      </c>
      <c r="C432" s="19" t="s">
        <v>173</v>
      </c>
      <c r="D432" s="19" t="s">
        <v>173</v>
      </c>
      <c r="E432" s="19">
        <v>15</v>
      </c>
      <c r="F432" s="19" t="s">
        <v>19</v>
      </c>
      <c r="G432" s="5"/>
      <c r="H432" s="5"/>
      <c r="I432" s="5"/>
      <c r="J432" s="63"/>
      <c r="K432" s="5"/>
      <c r="L432" s="5"/>
      <c r="M432" s="5"/>
      <c r="N432" s="5"/>
      <c r="O432" s="5" t="s">
        <v>233</v>
      </c>
      <c r="P432" s="5" t="s">
        <v>960</v>
      </c>
      <c r="Q432" s="5"/>
      <c r="R432" s="63">
        <v>45918</v>
      </c>
      <c r="S432" s="5">
        <v>2</v>
      </c>
      <c r="T432" s="5">
        <v>84.2</v>
      </c>
    </row>
    <row r="433" spans="1:6" x14ac:dyDescent="0.2">
      <c r="A433" s="41"/>
      <c r="B433" s="18"/>
      <c r="C433" s="18"/>
      <c r="D433" s="18"/>
      <c r="E433" s="18"/>
      <c r="F433" s="18"/>
    </row>
    <row r="434" spans="1:6" x14ac:dyDescent="0.2">
      <c r="A434" s="49"/>
      <c r="B434" s="19"/>
      <c r="C434" s="19"/>
      <c r="D434" s="19"/>
      <c r="E434" s="19"/>
      <c r="F434" s="19"/>
    </row>
    <row r="435" spans="1:6" x14ac:dyDescent="0.2">
      <c r="A435" s="49"/>
      <c r="B435" s="19"/>
      <c r="C435" s="19"/>
      <c r="D435" s="19"/>
      <c r="E435" s="19"/>
      <c r="F435" s="19"/>
    </row>
    <row r="436" spans="1:6" x14ac:dyDescent="0.2">
      <c r="A436" s="49"/>
      <c r="B436" s="19"/>
      <c r="C436" s="19"/>
      <c r="D436" s="19"/>
      <c r="E436" s="19"/>
      <c r="F436" s="19"/>
    </row>
    <row r="437" spans="1:6" x14ac:dyDescent="0.2">
      <c r="A437" s="49"/>
      <c r="B437" s="19"/>
      <c r="C437" s="19"/>
      <c r="D437" s="19"/>
      <c r="E437" s="19"/>
      <c r="F437" s="19"/>
    </row>
    <row r="438" spans="1:6" x14ac:dyDescent="0.2">
      <c r="A438" s="49"/>
      <c r="B438" s="19"/>
      <c r="C438" s="19"/>
      <c r="D438" s="19"/>
      <c r="E438" s="19"/>
      <c r="F438" s="19"/>
    </row>
    <row r="439" spans="1:6" x14ac:dyDescent="0.2">
      <c r="A439" s="49"/>
      <c r="B439" s="19"/>
      <c r="C439" s="19"/>
      <c r="D439" s="19"/>
      <c r="E439" s="19"/>
      <c r="F439" s="19"/>
    </row>
    <row r="440" spans="1:6" x14ac:dyDescent="0.2">
      <c r="A440" s="49"/>
      <c r="B440" s="19"/>
      <c r="C440" s="19"/>
      <c r="D440" s="19"/>
      <c r="E440" s="19"/>
      <c r="F440" s="19"/>
    </row>
    <row r="441" spans="1:6" x14ac:dyDescent="0.2">
      <c r="A441" s="49"/>
      <c r="B441" s="19"/>
      <c r="C441" s="19"/>
      <c r="D441" s="19"/>
      <c r="E441" s="19"/>
      <c r="F441" s="19"/>
    </row>
    <row r="442" spans="1:6" x14ac:dyDescent="0.2">
      <c r="A442" s="49"/>
      <c r="B442" s="19"/>
      <c r="C442" s="19"/>
      <c r="D442" s="19"/>
      <c r="E442" s="19"/>
      <c r="F442" s="19"/>
    </row>
    <row r="443" spans="1:6" x14ac:dyDescent="0.2">
      <c r="A443" s="49"/>
      <c r="B443" s="19"/>
      <c r="C443" s="19"/>
      <c r="D443" s="19"/>
      <c r="E443" s="19"/>
      <c r="F443" s="19"/>
    </row>
    <row r="444" spans="1:6" x14ac:dyDescent="0.2">
      <c r="A444" s="49"/>
      <c r="B444" s="19"/>
      <c r="C444" s="19"/>
      <c r="D444" s="19"/>
      <c r="E444" s="19"/>
      <c r="F444" s="19"/>
    </row>
    <row r="445" spans="1:6" x14ac:dyDescent="0.2">
      <c r="A445" s="49"/>
      <c r="B445" s="19"/>
      <c r="C445" s="19"/>
      <c r="D445" s="19"/>
      <c r="E445" s="19"/>
      <c r="F445" s="19"/>
    </row>
    <row r="446" spans="1:6" x14ac:dyDescent="0.2">
      <c r="A446" s="49"/>
      <c r="B446" s="19"/>
      <c r="C446" s="19"/>
      <c r="D446" s="19"/>
      <c r="E446" s="19"/>
      <c r="F446" s="19"/>
    </row>
    <row r="447" spans="1:6" x14ac:dyDescent="0.2">
      <c r="A447" s="49"/>
      <c r="B447" s="19"/>
      <c r="C447" s="19"/>
      <c r="D447" s="19"/>
      <c r="E447" s="19"/>
      <c r="F447" s="19"/>
    </row>
    <row r="448" spans="1:6" x14ac:dyDescent="0.2">
      <c r="A448" s="49"/>
      <c r="B448" s="19"/>
      <c r="C448" s="19"/>
      <c r="D448" s="19"/>
      <c r="E448" s="19"/>
      <c r="F448" s="19"/>
    </row>
    <row r="449" spans="1:6" x14ac:dyDescent="0.2">
      <c r="A449" s="49"/>
      <c r="B449" s="19"/>
      <c r="C449" s="19"/>
      <c r="D449" s="19"/>
      <c r="E449" s="19"/>
      <c r="F449" s="19"/>
    </row>
    <row r="450" spans="1:6" x14ac:dyDescent="0.2">
      <c r="A450" s="49"/>
      <c r="B450" s="19"/>
      <c r="C450" s="19"/>
      <c r="D450" s="19"/>
      <c r="E450" s="19"/>
      <c r="F450" s="19"/>
    </row>
    <row r="451" spans="1:6" x14ac:dyDescent="0.2">
      <c r="A451" s="49"/>
      <c r="B451" s="19"/>
      <c r="C451" s="19"/>
      <c r="D451" s="19"/>
      <c r="E451" s="19"/>
      <c r="F451" s="19"/>
    </row>
    <row r="452" spans="1:6" x14ac:dyDescent="0.2">
      <c r="A452" s="49"/>
      <c r="B452" s="19"/>
      <c r="C452" s="19"/>
      <c r="D452" s="19"/>
      <c r="E452" s="19"/>
      <c r="F452" s="19"/>
    </row>
    <row r="453" spans="1:6" x14ac:dyDescent="0.2">
      <c r="A453" s="49"/>
      <c r="B453" s="19"/>
      <c r="C453" s="19"/>
      <c r="D453" s="19"/>
      <c r="E453" s="19"/>
      <c r="F453" s="19"/>
    </row>
    <row r="454" spans="1:6" x14ac:dyDescent="0.2">
      <c r="A454" s="49"/>
      <c r="B454" s="19"/>
      <c r="C454" s="19"/>
      <c r="D454" s="19"/>
      <c r="E454" s="19"/>
      <c r="F454" s="19"/>
    </row>
    <row r="455" spans="1:6" x14ac:dyDescent="0.2">
      <c r="A455" s="49"/>
      <c r="B455" s="19"/>
      <c r="C455" s="19"/>
      <c r="D455" s="19"/>
      <c r="E455" s="19"/>
      <c r="F455" s="19"/>
    </row>
    <row r="456" spans="1:6" x14ac:dyDescent="0.2">
      <c r="A456" s="49"/>
      <c r="B456" s="19"/>
      <c r="C456" s="19"/>
      <c r="D456" s="19"/>
      <c r="E456" s="19"/>
      <c r="F456" s="19"/>
    </row>
    <row r="457" spans="1:6" x14ac:dyDescent="0.2">
      <c r="A457" s="49"/>
      <c r="B457" s="19"/>
      <c r="C457" s="19"/>
      <c r="D457" s="19"/>
      <c r="E457" s="19"/>
      <c r="F457" s="19"/>
    </row>
    <row r="458" spans="1:6" x14ac:dyDescent="0.2">
      <c r="A458" s="49"/>
      <c r="B458" s="19"/>
      <c r="C458" s="19"/>
      <c r="D458" s="19"/>
      <c r="E458" s="19"/>
      <c r="F458" s="19"/>
    </row>
    <row r="459" spans="1:6" x14ac:dyDescent="0.2">
      <c r="A459" s="49"/>
      <c r="B459" s="19"/>
      <c r="C459" s="19"/>
      <c r="D459" s="19"/>
      <c r="E459" s="19"/>
      <c r="F459" s="19"/>
    </row>
    <row r="460" spans="1:6" x14ac:dyDescent="0.2">
      <c r="A460" s="49"/>
      <c r="B460" s="19"/>
      <c r="C460" s="19"/>
      <c r="D460" s="19"/>
      <c r="E460" s="19"/>
      <c r="F460" s="19"/>
    </row>
    <row r="461" spans="1:6" x14ac:dyDescent="0.2">
      <c r="A461" s="49"/>
      <c r="B461" s="19"/>
      <c r="C461" s="19"/>
      <c r="D461" s="19"/>
      <c r="E461" s="19"/>
      <c r="F461" s="19"/>
    </row>
    <row r="462" spans="1:6" x14ac:dyDescent="0.2">
      <c r="A462" s="49"/>
      <c r="B462" s="19"/>
      <c r="C462" s="19"/>
      <c r="D462" s="19"/>
      <c r="E462" s="19"/>
      <c r="F462" s="19"/>
    </row>
    <row r="463" spans="1:6" x14ac:dyDescent="0.2">
      <c r="A463" s="49"/>
      <c r="B463" s="19"/>
      <c r="C463" s="19"/>
      <c r="D463" s="19"/>
      <c r="E463" s="19"/>
      <c r="F463" s="19"/>
    </row>
    <row r="464" spans="1:6" x14ac:dyDescent="0.2">
      <c r="A464" s="49"/>
      <c r="B464" s="19"/>
      <c r="C464" s="19"/>
      <c r="D464" s="19"/>
      <c r="E464" s="19"/>
      <c r="F464" s="19"/>
    </row>
    <row r="465" spans="1:6" x14ac:dyDescent="0.2">
      <c r="A465" s="49"/>
      <c r="B465" s="19"/>
      <c r="C465" s="19"/>
      <c r="D465" s="19"/>
      <c r="E465" s="19"/>
      <c r="F465" s="19"/>
    </row>
    <row r="466" spans="1:6" x14ac:dyDescent="0.2">
      <c r="A466" s="49"/>
      <c r="B466" s="19"/>
      <c r="C466" s="19"/>
      <c r="D466" s="19"/>
      <c r="E466" s="19"/>
      <c r="F466" s="19"/>
    </row>
    <row r="467" spans="1:6" x14ac:dyDescent="0.2">
      <c r="A467" s="49"/>
      <c r="B467" s="19"/>
      <c r="C467" s="19"/>
      <c r="D467" s="19"/>
      <c r="E467" s="19"/>
      <c r="F467" s="19"/>
    </row>
    <row r="468" spans="1:6" x14ac:dyDescent="0.2">
      <c r="A468" s="49"/>
      <c r="B468" s="19"/>
      <c r="C468" s="19"/>
      <c r="D468" s="19"/>
      <c r="E468" s="19"/>
      <c r="F468" s="19"/>
    </row>
    <row r="469" spans="1:6" x14ac:dyDescent="0.2">
      <c r="A469" s="49"/>
      <c r="B469" s="19"/>
      <c r="C469" s="19"/>
      <c r="D469" s="19"/>
      <c r="E469" s="19"/>
      <c r="F469" s="19"/>
    </row>
    <row r="470" spans="1:6" x14ac:dyDescent="0.2">
      <c r="A470" s="49"/>
      <c r="B470" s="19"/>
      <c r="C470" s="19"/>
      <c r="D470" s="19"/>
      <c r="E470" s="19"/>
      <c r="F470" s="19"/>
    </row>
    <row r="471" spans="1:6" x14ac:dyDescent="0.2">
      <c r="A471" s="49"/>
      <c r="B471" s="19"/>
      <c r="C471" s="19"/>
      <c r="D471" s="19"/>
      <c r="E471" s="19"/>
      <c r="F471" s="19"/>
    </row>
    <row r="472" spans="1:6" x14ac:dyDescent="0.2">
      <c r="A472" s="49"/>
      <c r="B472" s="19"/>
      <c r="C472" s="19"/>
      <c r="D472" s="19"/>
      <c r="E472" s="19"/>
      <c r="F472" s="19"/>
    </row>
    <row r="473" spans="1:6" x14ac:dyDescent="0.2">
      <c r="A473" s="49"/>
      <c r="B473" s="19"/>
      <c r="C473" s="19"/>
      <c r="D473" s="19"/>
      <c r="E473" s="19"/>
      <c r="F473" s="19"/>
    </row>
    <row r="474" spans="1:6" x14ac:dyDescent="0.2">
      <c r="A474" s="49"/>
      <c r="B474" s="19"/>
      <c r="C474" s="19"/>
      <c r="D474" s="19"/>
      <c r="E474" s="19"/>
      <c r="F474" s="19"/>
    </row>
    <row r="475" spans="1:6" x14ac:dyDescent="0.2">
      <c r="A475" s="49"/>
      <c r="B475" s="19"/>
      <c r="C475" s="19"/>
      <c r="D475" s="19"/>
      <c r="E475" s="19"/>
      <c r="F475" s="19"/>
    </row>
    <row r="476" spans="1:6" x14ac:dyDescent="0.2">
      <c r="A476" s="49"/>
      <c r="B476" s="19"/>
      <c r="C476" s="19"/>
      <c r="D476" s="19"/>
      <c r="E476" s="19"/>
      <c r="F476" s="19"/>
    </row>
    <row r="477" spans="1:6" x14ac:dyDescent="0.2">
      <c r="A477" s="49"/>
      <c r="B477" s="19"/>
      <c r="C477" s="19"/>
      <c r="D477" s="19"/>
      <c r="E477" s="19"/>
      <c r="F477" s="19"/>
    </row>
    <row r="478" spans="1:6" x14ac:dyDescent="0.2">
      <c r="A478" s="49"/>
      <c r="B478" s="19"/>
      <c r="C478" s="19"/>
      <c r="D478" s="19"/>
      <c r="E478" s="19"/>
      <c r="F478" s="19"/>
    </row>
    <row r="479" spans="1:6" x14ac:dyDescent="0.2">
      <c r="A479" s="49"/>
      <c r="B479" s="19"/>
      <c r="C479" s="19"/>
      <c r="D479" s="19"/>
      <c r="E479" s="19"/>
      <c r="F479" s="19"/>
    </row>
    <row r="480" spans="1:6" x14ac:dyDescent="0.2">
      <c r="A480" s="49"/>
      <c r="B480" s="19"/>
      <c r="C480" s="19"/>
      <c r="D480" s="19"/>
      <c r="E480" s="19"/>
      <c r="F480" s="19"/>
    </row>
    <row r="481" spans="1:6" x14ac:dyDescent="0.2">
      <c r="A481" s="49"/>
      <c r="B481" s="19"/>
      <c r="C481" s="19"/>
      <c r="D481" s="19"/>
      <c r="E481" s="19"/>
      <c r="F481" s="19"/>
    </row>
    <row r="482" spans="1:6" x14ac:dyDescent="0.2">
      <c r="A482" s="49"/>
      <c r="B482" s="19"/>
      <c r="C482" s="19"/>
      <c r="D482" s="19"/>
      <c r="E482" s="19"/>
      <c r="F482" s="19"/>
    </row>
    <row r="483" spans="1:6" x14ac:dyDescent="0.2">
      <c r="A483" s="49"/>
      <c r="B483" s="19"/>
      <c r="C483" s="19"/>
      <c r="D483" s="19"/>
      <c r="E483" s="19"/>
      <c r="F483" s="19"/>
    </row>
    <row r="484" spans="1:6" x14ac:dyDescent="0.2">
      <c r="A484" s="49"/>
      <c r="B484" s="19"/>
      <c r="C484" s="19"/>
      <c r="D484" s="19"/>
      <c r="E484" s="19"/>
      <c r="F484" s="19"/>
    </row>
    <row r="485" spans="1:6" x14ac:dyDescent="0.2">
      <c r="A485" s="49"/>
      <c r="B485" s="19"/>
      <c r="C485" s="19"/>
      <c r="D485" s="19"/>
      <c r="E485" s="19"/>
      <c r="F485" s="19"/>
    </row>
    <row r="486" spans="1:6" x14ac:dyDescent="0.2">
      <c r="A486" s="49"/>
      <c r="B486" s="19"/>
      <c r="C486" s="19"/>
      <c r="D486" s="19"/>
      <c r="E486" s="19"/>
      <c r="F486" s="19"/>
    </row>
    <row r="487" spans="1:6" x14ac:dyDescent="0.2">
      <c r="A487" s="49"/>
      <c r="B487" s="19"/>
      <c r="C487" s="19"/>
      <c r="D487" s="19"/>
      <c r="E487" s="19"/>
      <c r="F487" s="19"/>
    </row>
    <row r="488" spans="1:6" x14ac:dyDescent="0.2">
      <c r="A488" s="49"/>
      <c r="B488" s="19"/>
      <c r="C488" s="19"/>
      <c r="D488" s="19"/>
      <c r="E488" s="19"/>
      <c r="F488" s="19"/>
    </row>
    <row r="489" spans="1:6" x14ac:dyDescent="0.2">
      <c r="A489" s="49"/>
      <c r="B489" s="19"/>
      <c r="C489" s="19"/>
      <c r="D489" s="19"/>
      <c r="E489" s="19"/>
      <c r="F489" s="19"/>
    </row>
    <row r="490" spans="1:6" x14ac:dyDescent="0.2">
      <c r="A490" s="49"/>
      <c r="B490" s="19"/>
      <c r="C490" s="19"/>
      <c r="D490" s="19"/>
      <c r="E490" s="19"/>
      <c r="F490" s="19"/>
    </row>
    <row r="491" spans="1:6" x14ac:dyDescent="0.2">
      <c r="A491" s="49"/>
      <c r="B491" s="19"/>
      <c r="C491" s="19"/>
      <c r="D491" s="19"/>
      <c r="E491" s="19"/>
      <c r="F491" s="19"/>
    </row>
    <row r="492" spans="1:6" x14ac:dyDescent="0.2">
      <c r="A492" s="49"/>
      <c r="B492" s="19"/>
      <c r="C492" s="19"/>
      <c r="D492" s="19"/>
      <c r="E492" s="19"/>
      <c r="F492" s="19"/>
    </row>
    <row r="493" spans="1:6" x14ac:dyDescent="0.2">
      <c r="A493" s="49"/>
      <c r="B493" s="19"/>
      <c r="C493" s="19"/>
      <c r="D493" s="19"/>
      <c r="E493" s="19"/>
      <c r="F493" s="19"/>
    </row>
    <row r="494" spans="1:6" x14ac:dyDescent="0.2">
      <c r="A494" s="49"/>
      <c r="B494" s="19"/>
      <c r="C494" s="19"/>
      <c r="D494" s="19"/>
      <c r="E494" s="19"/>
      <c r="F494" s="19"/>
    </row>
    <row r="495" spans="1:6" x14ac:dyDescent="0.2">
      <c r="A495" s="49"/>
      <c r="B495" s="19"/>
      <c r="C495" s="19"/>
      <c r="D495" s="19"/>
      <c r="E495" s="19"/>
      <c r="F495" s="19"/>
    </row>
    <row r="496" spans="1:6" x14ac:dyDescent="0.2">
      <c r="A496" s="49"/>
      <c r="B496" s="19"/>
      <c r="C496" s="19"/>
      <c r="D496" s="19"/>
      <c r="E496" s="19"/>
      <c r="F496" s="19"/>
    </row>
    <row r="497" spans="1:6" x14ac:dyDescent="0.2">
      <c r="A497" s="49"/>
      <c r="B497" s="19"/>
      <c r="C497" s="19"/>
      <c r="D497" s="19"/>
      <c r="E497" s="19"/>
      <c r="F497" s="19"/>
    </row>
    <row r="498" spans="1:6" x14ac:dyDescent="0.2">
      <c r="A498" s="49"/>
      <c r="B498" s="19"/>
      <c r="C498" s="19"/>
      <c r="D498" s="19"/>
      <c r="E498" s="19"/>
      <c r="F498" s="19"/>
    </row>
    <row r="499" spans="1:6" x14ac:dyDescent="0.2">
      <c r="A499" s="49"/>
      <c r="B499" s="19"/>
      <c r="C499" s="19"/>
      <c r="D499" s="19"/>
      <c r="E499" s="19"/>
      <c r="F499" s="19"/>
    </row>
    <row r="500" spans="1:6" x14ac:dyDescent="0.2">
      <c r="A500" s="49"/>
      <c r="B500" s="19"/>
      <c r="C500" s="19"/>
      <c r="D500" s="19"/>
      <c r="E500" s="19"/>
      <c r="F500" s="19"/>
    </row>
    <row r="501" spans="1:6" x14ac:dyDescent="0.2">
      <c r="A501" s="49"/>
      <c r="B501" s="19"/>
      <c r="C501" s="19"/>
      <c r="D501" s="19"/>
      <c r="E501" s="19"/>
      <c r="F501" s="19"/>
    </row>
    <row r="502" spans="1:6" x14ac:dyDescent="0.2">
      <c r="A502" s="49"/>
      <c r="B502" s="19"/>
      <c r="C502" s="19"/>
      <c r="D502" s="19"/>
      <c r="E502" s="19"/>
      <c r="F502" s="19"/>
    </row>
    <row r="503" spans="1:6" x14ac:dyDescent="0.2">
      <c r="A503" s="49"/>
      <c r="B503" s="19"/>
      <c r="C503" s="19"/>
      <c r="D503" s="19"/>
      <c r="E503" s="19"/>
      <c r="F503" s="19"/>
    </row>
    <row r="504" spans="1:6" x14ac:dyDescent="0.2">
      <c r="A504" s="49"/>
      <c r="B504" s="19"/>
      <c r="C504" s="19"/>
      <c r="D504" s="19"/>
      <c r="E504" s="19"/>
      <c r="F504" s="19"/>
    </row>
    <row r="505" spans="1:6" x14ac:dyDescent="0.2">
      <c r="A505" s="49"/>
      <c r="B505" s="19"/>
      <c r="C505" s="19"/>
      <c r="D505" s="19"/>
      <c r="E505" s="19"/>
      <c r="F505" s="19"/>
    </row>
    <row r="506" spans="1:6" x14ac:dyDescent="0.2">
      <c r="A506" s="49"/>
      <c r="B506" s="19"/>
      <c r="C506" s="19"/>
      <c r="D506" s="19"/>
      <c r="E506" s="19"/>
      <c r="F506" s="19"/>
    </row>
    <row r="507" spans="1:6" x14ac:dyDescent="0.2">
      <c r="A507" s="49"/>
      <c r="B507" s="19"/>
      <c r="C507" s="19"/>
      <c r="D507" s="19"/>
      <c r="E507" s="19"/>
      <c r="F507" s="19"/>
    </row>
    <row r="508" spans="1:6" x14ac:dyDescent="0.2">
      <c r="A508" s="49"/>
      <c r="B508" s="19"/>
      <c r="C508" s="19"/>
      <c r="D508" s="19"/>
      <c r="E508" s="19"/>
      <c r="F508" s="19"/>
    </row>
    <row r="509" spans="1:6" x14ac:dyDescent="0.2">
      <c r="A509" s="49"/>
      <c r="B509" s="19"/>
      <c r="C509" s="19"/>
      <c r="D509" s="19"/>
      <c r="E509" s="19"/>
      <c r="F509" s="19"/>
    </row>
    <row r="510" spans="1:6" x14ac:dyDescent="0.2">
      <c r="A510" s="49"/>
      <c r="B510" s="19"/>
      <c r="C510" s="19"/>
      <c r="D510" s="19"/>
      <c r="E510" s="19"/>
      <c r="F510" s="19"/>
    </row>
    <row r="511" spans="1:6" x14ac:dyDescent="0.2">
      <c r="A511" s="49"/>
      <c r="B511" s="19"/>
      <c r="C511" s="19"/>
      <c r="D511" s="19"/>
      <c r="E511" s="19"/>
      <c r="F511" s="19"/>
    </row>
    <row r="512" spans="1:6" x14ac:dyDescent="0.2">
      <c r="A512" s="49"/>
      <c r="B512" s="19"/>
      <c r="C512" s="19"/>
      <c r="D512" s="19"/>
      <c r="E512" s="19"/>
      <c r="F512" s="19"/>
    </row>
    <row r="513" spans="1:6" x14ac:dyDescent="0.2">
      <c r="A513" s="49"/>
      <c r="B513" s="19"/>
      <c r="C513" s="19"/>
      <c r="D513" s="19"/>
      <c r="E513" s="19"/>
      <c r="F513" s="19"/>
    </row>
    <row r="514" spans="1:6" x14ac:dyDescent="0.2">
      <c r="A514" s="49"/>
      <c r="B514" s="19"/>
      <c r="C514" s="19"/>
      <c r="D514" s="19"/>
      <c r="E514" s="19"/>
      <c r="F514" s="19"/>
    </row>
    <row r="515" spans="1:6" x14ac:dyDescent="0.2">
      <c r="A515" s="49"/>
      <c r="B515" s="19"/>
      <c r="C515" s="19"/>
      <c r="D515" s="19"/>
      <c r="E515" s="19"/>
      <c r="F515" s="19"/>
    </row>
    <row r="516" spans="1:6" x14ac:dyDescent="0.2">
      <c r="A516" s="49"/>
      <c r="B516" s="19"/>
      <c r="C516" s="19"/>
      <c r="D516" s="19"/>
      <c r="E516" s="19"/>
      <c r="F516" s="19"/>
    </row>
    <row r="517" spans="1:6" x14ac:dyDescent="0.2">
      <c r="A517" s="49"/>
      <c r="B517" s="19"/>
      <c r="C517" s="19"/>
      <c r="D517" s="19"/>
      <c r="E517" s="19"/>
      <c r="F517" s="19"/>
    </row>
    <row r="518" spans="1:6" x14ac:dyDescent="0.2">
      <c r="A518" s="49"/>
      <c r="B518" s="19"/>
      <c r="C518" s="19"/>
      <c r="D518" s="19"/>
      <c r="E518" s="19"/>
      <c r="F518" s="19"/>
    </row>
    <row r="519" spans="1:6" x14ac:dyDescent="0.2">
      <c r="A519" s="49"/>
      <c r="B519" s="19"/>
      <c r="C519" s="19"/>
      <c r="D519" s="19"/>
      <c r="E519" s="19"/>
      <c r="F519" s="19"/>
    </row>
    <row r="520" spans="1:6" x14ac:dyDescent="0.2">
      <c r="A520" s="49"/>
      <c r="B520" s="19"/>
      <c r="C520" s="19"/>
      <c r="D520" s="19"/>
      <c r="E520" s="19"/>
      <c r="F520" s="19"/>
    </row>
    <row r="521" spans="1:6" x14ac:dyDescent="0.2">
      <c r="A521" s="49"/>
      <c r="B521" s="19"/>
      <c r="C521" s="19"/>
      <c r="D521" s="19"/>
      <c r="E521" s="19"/>
      <c r="F521" s="19"/>
    </row>
    <row r="522" spans="1:6" x14ac:dyDescent="0.2">
      <c r="A522" s="49"/>
      <c r="B522" s="19"/>
      <c r="C522" s="19"/>
      <c r="D522" s="19"/>
      <c r="E522" s="19"/>
      <c r="F522" s="19"/>
    </row>
    <row r="523" spans="1:6" x14ac:dyDescent="0.2">
      <c r="A523" s="49"/>
      <c r="B523" s="19"/>
      <c r="C523" s="19"/>
      <c r="D523" s="19"/>
      <c r="E523" s="19"/>
      <c r="F523" s="19"/>
    </row>
    <row r="524" spans="1:6" x14ac:dyDescent="0.2">
      <c r="A524" s="49"/>
      <c r="B524" s="19"/>
      <c r="C524" s="19"/>
      <c r="D524" s="19"/>
      <c r="E524" s="19"/>
      <c r="F524" s="19"/>
    </row>
    <row r="525" spans="1:6" x14ac:dyDescent="0.2">
      <c r="A525" s="49"/>
      <c r="B525" s="19"/>
      <c r="C525" s="19"/>
      <c r="D525" s="19"/>
      <c r="E525" s="19"/>
      <c r="F525" s="19"/>
    </row>
    <row r="526" spans="1:6" x14ac:dyDescent="0.2">
      <c r="A526" s="49"/>
      <c r="B526" s="19"/>
      <c r="C526" s="19"/>
      <c r="D526" s="19"/>
      <c r="E526" s="19"/>
      <c r="F526" s="19"/>
    </row>
    <row r="527" spans="1:6" x14ac:dyDescent="0.2">
      <c r="A527" s="49"/>
      <c r="B527" s="19"/>
      <c r="C527" s="19"/>
      <c r="D527" s="19"/>
      <c r="E527" s="19"/>
      <c r="F527" s="19"/>
    </row>
    <row r="528" spans="1:6" x14ac:dyDescent="0.2">
      <c r="A528" s="49"/>
      <c r="B528" s="19"/>
      <c r="C528" s="19"/>
      <c r="D528" s="19"/>
      <c r="E528" s="19"/>
      <c r="F528" s="19"/>
    </row>
    <row r="529" spans="1:6" x14ac:dyDescent="0.2">
      <c r="A529" s="49"/>
      <c r="B529" s="19"/>
      <c r="C529" s="19"/>
      <c r="D529" s="19"/>
      <c r="E529" s="19"/>
      <c r="F529" s="19"/>
    </row>
    <row r="530" spans="1:6" x14ac:dyDescent="0.2">
      <c r="A530" s="49"/>
      <c r="B530" s="19"/>
      <c r="C530" s="19"/>
      <c r="D530" s="19"/>
      <c r="E530" s="19"/>
      <c r="F530" s="19"/>
    </row>
    <row r="531" spans="1:6" x14ac:dyDescent="0.2">
      <c r="A531" s="49"/>
      <c r="B531" s="19"/>
      <c r="C531" s="19"/>
      <c r="D531" s="19"/>
      <c r="E531" s="19"/>
      <c r="F531" s="19"/>
    </row>
    <row r="532" spans="1:6" x14ac:dyDescent="0.2">
      <c r="A532" s="49"/>
      <c r="B532" s="19"/>
      <c r="C532" s="19"/>
      <c r="D532" s="19"/>
      <c r="E532" s="19"/>
      <c r="F532" s="19"/>
    </row>
    <row r="533" spans="1:6" x14ac:dyDescent="0.2">
      <c r="A533" s="49"/>
      <c r="B533" s="19"/>
      <c r="C533" s="19"/>
      <c r="D533" s="19"/>
      <c r="E533" s="19"/>
      <c r="F533" s="19"/>
    </row>
    <row r="534" spans="1:6" x14ac:dyDescent="0.2">
      <c r="A534" s="49"/>
      <c r="B534" s="19"/>
      <c r="C534" s="19"/>
      <c r="D534" s="19"/>
      <c r="E534" s="19"/>
      <c r="F534" s="19"/>
    </row>
    <row r="535" spans="1:6" x14ac:dyDescent="0.2">
      <c r="A535" s="49"/>
      <c r="B535" s="19"/>
      <c r="C535" s="19"/>
      <c r="D535" s="19"/>
      <c r="E535" s="19"/>
      <c r="F535" s="19"/>
    </row>
    <row r="536" spans="1:6" x14ac:dyDescent="0.2">
      <c r="A536" s="49"/>
      <c r="B536" s="19"/>
      <c r="C536" s="19"/>
      <c r="D536" s="19"/>
      <c r="E536" s="19"/>
      <c r="F536" s="19"/>
    </row>
    <row r="537" spans="1:6" x14ac:dyDescent="0.2">
      <c r="A537" s="49"/>
      <c r="B537" s="19"/>
      <c r="C537" s="19"/>
      <c r="D537" s="19"/>
      <c r="E537" s="19"/>
      <c r="F537" s="19"/>
    </row>
    <row r="538" spans="1:6" x14ac:dyDescent="0.2">
      <c r="A538" s="49"/>
      <c r="B538" s="19"/>
      <c r="C538" s="19"/>
      <c r="D538" s="19"/>
      <c r="E538" s="19"/>
      <c r="F538" s="19"/>
    </row>
    <row r="539" spans="1:6" x14ac:dyDescent="0.2">
      <c r="A539" s="49"/>
      <c r="B539" s="19"/>
      <c r="C539" s="19"/>
      <c r="D539" s="19"/>
      <c r="E539" s="19"/>
      <c r="F539" s="19"/>
    </row>
    <row r="540" spans="1:6" x14ac:dyDescent="0.2">
      <c r="A540" s="49"/>
      <c r="B540" s="19"/>
      <c r="C540" s="19"/>
      <c r="D540" s="19"/>
      <c r="E540" s="19"/>
      <c r="F540" s="19"/>
    </row>
    <row r="541" spans="1:6" x14ac:dyDescent="0.2">
      <c r="A541" s="49"/>
      <c r="B541" s="19"/>
      <c r="C541" s="19"/>
      <c r="D541" s="19"/>
      <c r="E541" s="19"/>
      <c r="F541" s="19"/>
    </row>
    <row r="542" spans="1:6" x14ac:dyDescent="0.2">
      <c r="A542" s="49"/>
      <c r="B542" s="19"/>
      <c r="C542" s="19"/>
      <c r="D542" s="19"/>
      <c r="E542" s="19"/>
      <c r="F542" s="19"/>
    </row>
    <row r="543" spans="1:6" x14ac:dyDescent="0.2">
      <c r="A543" s="49"/>
      <c r="B543" s="19"/>
      <c r="C543" s="19"/>
      <c r="D543" s="19"/>
      <c r="E543" s="19"/>
      <c r="F543" s="19"/>
    </row>
    <row r="544" spans="1:6" x14ac:dyDescent="0.2">
      <c r="A544" s="49"/>
      <c r="B544" s="19"/>
      <c r="C544" s="19"/>
      <c r="D544" s="19"/>
      <c r="E544" s="19"/>
      <c r="F544" s="19"/>
    </row>
    <row r="545" spans="1:6" x14ac:dyDescent="0.2">
      <c r="A545" s="49"/>
      <c r="B545" s="19"/>
      <c r="C545" s="19"/>
      <c r="D545" s="19"/>
      <c r="E545" s="19"/>
      <c r="F545" s="19"/>
    </row>
    <row r="546" spans="1:6" x14ac:dyDescent="0.2">
      <c r="A546" s="49"/>
      <c r="B546" s="19"/>
      <c r="C546" s="19"/>
      <c r="D546" s="19"/>
      <c r="E546" s="19"/>
      <c r="F546" s="19"/>
    </row>
    <row r="547" spans="1:6" x14ac:dyDescent="0.2">
      <c r="A547" s="49"/>
      <c r="B547" s="19"/>
      <c r="C547" s="19"/>
      <c r="D547" s="19"/>
      <c r="E547" s="19"/>
      <c r="F547" s="19"/>
    </row>
    <row r="548" spans="1:6" x14ac:dyDescent="0.2">
      <c r="A548" s="49"/>
      <c r="B548" s="19"/>
      <c r="C548" s="19"/>
      <c r="D548" s="19"/>
      <c r="E548" s="19"/>
      <c r="F548" s="19"/>
    </row>
    <row r="549" spans="1:6" x14ac:dyDescent="0.2">
      <c r="A549" s="49"/>
      <c r="B549" s="19"/>
      <c r="C549" s="19"/>
      <c r="D549" s="19"/>
      <c r="E549" s="19"/>
      <c r="F549" s="19"/>
    </row>
    <row r="550" spans="1:6" x14ac:dyDescent="0.2">
      <c r="A550" s="49"/>
      <c r="B550" s="19"/>
      <c r="C550" s="19"/>
      <c r="D550" s="19"/>
      <c r="E550" s="19"/>
      <c r="F550" s="19"/>
    </row>
    <row r="551" spans="1:6" x14ac:dyDescent="0.2">
      <c r="A551" s="49"/>
      <c r="B551" s="19"/>
      <c r="C551" s="19"/>
      <c r="D551" s="19"/>
      <c r="E551" s="19"/>
      <c r="F551" s="19"/>
    </row>
    <row r="552" spans="1:6" x14ac:dyDescent="0.2">
      <c r="A552" s="49"/>
      <c r="B552" s="19"/>
      <c r="C552" s="19"/>
      <c r="D552" s="19"/>
      <c r="E552" s="19"/>
      <c r="F552" s="19"/>
    </row>
    <row r="553" spans="1:6" x14ac:dyDescent="0.2">
      <c r="A553" s="49"/>
      <c r="B553" s="19"/>
      <c r="C553" s="19"/>
      <c r="D553" s="19"/>
      <c r="E553" s="19"/>
      <c r="F553" s="19"/>
    </row>
    <row r="554" spans="1:6" x14ac:dyDescent="0.2">
      <c r="A554" s="49"/>
      <c r="B554" s="19"/>
      <c r="C554" s="19"/>
      <c r="D554" s="19"/>
      <c r="E554" s="19"/>
      <c r="F554" s="19"/>
    </row>
    <row r="555" spans="1:6" x14ac:dyDescent="0.2">
      <c r="A555" s="49"/>
      <c r="B555" s="19"/>
      <c r="C555" s="19"/>
      <c r="D555" s="19"/>
      <c r="E555" s="19"/>
      <c r="F555" s="19"/>
    </row>
    <row r="556" spans="1:6" x14ac:dyDescent="0.2">
      <c r="A556" s="49"/>
      <c r="B556" s="19"/>
      <c r="C556" s="19"/>
      <c r="D556" s="19"/>
      <c r="E556" s="19"/>
      <c r="F556" s="19"/>
    </row>
    <row r="557" spans="1:6" x14ac:dyDescent="0.2">
      <c r="A557" s="49"/>
      <c r="B557" s="19"/>
      <c r="C557" s="19"/>
      <c r="D557" s="19"/>
      <c r="E557" s="19"/>
      <c r="F557" s="19"/>
    </row>
    <row r="558" spans="1:6" x14ac:dyDescent="0.2">
      <c r="A558" s="49"/>
      <c r="B558" s="19"/>
      <c r="C558" s="19"/>
      <c r="D558" s="19"/>
      <c r="E558" s="19"/>
      <c r="F558" s="19"/>
    </row>
    <row r="559" spans="1:6" x14ac:dyDescent="0.2">
      <c r="A559" s="49"/>
      <c r="B559" s="19"/>
      <c r="C559" s="19"/>
      <c r="D559" s="19"/>
      <c r="E559" s="19"/>
      <c r="F559" s="19"/>
    </row>
    <row r="560" spans="1:6" x14ac:dyDescent="0.2">
      <c r="A560" s="49"/>
      <c r="B560" s="19"/>
      <c r="C560" s="19"/>
      <c r="D560" s="19"/>
      <c r="E560" s="19"/>
      <c r="F560" s="19"/>
    </row>
    <row r="561" spans="1:6" x14ac:dyDescent="0.2">
      <c r="A561" s="49"/>
      <c r="B561" s="19"/>
      <c r="C561" s="19"/>
      <c r="D561" s="19"/>
      <c r="E561" s="19"/>
      <c r="F561" s="19"/>
    </row>
    <row r="562" spans="1:6" x14ac:dyDescent="0.2">
      <c r="A562" s="49"/>
      <c r="B562" s="19"/>
      <c r="C562" s="19"/>
      <c r="D562" s="19"/>
      <c r="E562" s="19"/>
      <c r="F562" s="19"/>
    </row>
    <row r="563" spans="1:6" x14ac:dyDescent="0.2">
      <c r="A563" s="49"/>
      <c r="B563" s="19"/>
      <c r="C563" s="19"/>
      <c r="D563" s="19"/>
      <c r="E563" s="19"/>
      <c r="F563" s="19"/>
    </row>
    <row r="564" spans="1:6" x14ac:dyDescent="0.2">
      <c r="A564" s="49"/>
      <c r="B564" s="19"/>
      <c r="C564" s="19"/>
      <c r="D564" s="19"/>
      <c r="E564" s="19"/>
      <c r="F564" s="19"/>
    </row>
    <row r="565" spans="1:6" x14ac:dyDescent="0.2">
      <c r="A565" s="49"/>
      <c r="B565" s="19"/>
      <c r="C565" s="19"/>
      <c r="D565" s="19"/>
      <c r="E565" s="19"/>
      <c r="F565" s="19"/>
    </row>
    <row r="566" spans="1:6" x14ac:dyDescent="0.2">
      <c r="A566" s="49"/>
      <c r="B566" s="19"/>
      <c r="C566" s="19"/>
      <c r="D566" s="19"/>
      <c r="E566" s="19"/>
      <c r="F566" s="19"/>
    </row>
    <row r="567" spans="1:6" x14ac:dyDescent="0.2">
      <c r="A567" s="49"/>
      <c r="B567" s="19"/>
      <c r="C567" s="19"/>
      <c r="D567" s="19"/>
      <c r="E567" s="19"/>
      <c r="F567" s="19"/>
    </row>
    <row r="568" spans="1:6" x14ac:dyDescent="0.2">
      <c r="A568" s="49"/>
      <c r="B568" s="19"/>
      <c r="C568" s="19"/>
      <c r="D568" s="19"/>
      <c r="E568" s="19"/>
      <c r="F568" s="19"/>
    </row>
    <row r="569" spans="1:6" x14ac:dyDescent="0.2">
      <c r="A569" s="49"/>
      <c r="B569" s="19"/>
      <c r="C569" s="19"/>
      <c r="D569" s="19"/>
      <c r="E569" s="19"/>
      <c r="F569" s="19"/>
    </row>
    <row r="570" spans="1:6" x14ac:dyDescent="0.2">
      <c r="A570" s="49"/>
      <c r="B570" s="19"/>
      <c r="C570" s="19"/>
      <c r="D570" s="19"/>
      <c r="E570" s="19"/>
      <c r="F570" s="19"/>
    </row>
    <row r="571" spans="1:6" x14ac:dyDescent="0.2">
      <c r="A571" s="49"/>
      <c r="B571" s="19"/>
      <c r="C571" s="19"/>
      <c r="D571" s="19"/>
      <c r="E571" s="19"/>
      <c r="F571" s="19"/>
    </row>
    <row r="572" spans="1:6" x14ac:dyDescent="0.2">
      <c r="A572" s="49"/>
      <c r="B572" s="19"/>
      <c r="C572" s="19"/>
      <c r="D572" s="19"/>
      <c r="E572" s="19"/>
      <c r="F572" s="19"/>
    </row>
    <row r="573" spans="1:6" x14ac:dyDescent="0.2">
      <c r="A573" s="49"/>
      <c r="B573" s="19"/>
      <c r="C573" s="19"/>
      <c r="D573" s="19"/>
      <c r="E573" s="19"/>
      <c r="F573" s="19"/>
    </row>
    <row r="574" spans="1:6" x14ac:dyDescent="0.2">
      <c r="A574" s="49"/>
      <c r="B574" s="19"/>
      <c r="C574" s="19"/>
      <c r="D574" s="19"/>
      <c r="E574" s="19"/>
      <c r="F574" s="19"/>
    </row>
    <row r="575" spans="1:6" x14ac:dyDescent="0.2">
      <c r="A575" s="49"/>
      <c r="B575" s="19"/>
      <c r="C575" s="19"/>
      <c r="D575" s="19"/>
      <c r="E575" s="19"/>
      <c r="F575" s="19"/>
    </row>
    <row r="576" spans="1:6" x14ac:dyDescent="0.2">
      <c r="A576" s="49"/>
      <c r="B576" s="19"/>
      <c r="C576" s="19"/>
      <c r="D576" s="19"/>
      <c r="E576" s="19"/>
      <c r="F576" s="19"/>
    </row>
    <row r="577" spans="1:6" x14ac:dyDescent="0.2">
      <c r="A577" s="49"/>
      <c r="B577" s="19"/>
      <c r="C577" s="19"/>
      <c r="D577" s="19"/>
      <c r="E577" s="19"/>
      <c r="F577" s="19"/>
    </row>
    <row r="578" spans="1:6" x14ac:dyDescent="0.2">
      <c r="A578" s="49"/>
      <c r="B578" s="19"/>
      <c r="C578" s="19"/>
      <c r="D578" s="19"/>
      <c r="E578" s="19"/>
      <c r="F578" s="19"/>
    </row>
    <row r="579" spans="1:6" x14ac:dyDescent="0.2">
      <c r="A579" s="49"/>
      <c r="B579" s="19"/>
      <c r="C579" s="19"/>
      <c r="D579" s="19"/>
      <c r="E579" s="19"/>
      <c r="F579" s="19"/>
    </row>
    <row r="580" spans="1:6" x14ac:dyDescent="0.2">
      <c r="A580" s="49"/>
      <c r="B580" s="19"/>
      <c r="C580" s="19"/>
      <c r="D580" s="19"/>
      <c r="E580" s="19"/>
      <c r="F580" s="19"/>
    </row>
    <row r="581" spans="1:6" x14ac:dyDescent="0.2">
      <c r="A581" s="49"/>
      <c r="B581" s="19"/>
      <c r="C581" s="19"/>
      <c r="D581" s="19"/>
      <c r="E581" s="19"/>
      <c r="F581" s="19"/>
    </row>
    <row r="582" spans="1:6" x14ac:dyDescent="0.2">
      <c r="A582" s="49"/>
      <c r="B582" s="19"/>
      <c r="C582" s="19"/>
      <c r="D582" s="19"/>
      <c r="E582" s="19"/>
      <c r="F582" s="19"/>
    </row>
    <row r="583" spans="1:6" x14ac:dyDescent="0.2">
      <c r="A583" s="49"/>
      <c r="B583" s="19"/>
      <c r="C583" s="19"/>
      <c r="D583" s="19"/>
      <c r="E583" s="19"/>
      <c r="F583" s="19"/>
    </row>
    <row r="584" spans="1:6" x14ac:dyDescent="0.2">
      <c r="A584" s="49"/>
      <c r="B584" s="19"/>
      <c r="C584" s="19"/>
      <c r="D584" s="19"/>
      <c r="E584" s="19"/>
      <c r="F584" s="19"/>
    </row>
    <row r="585" spans="1:6" x14ac:dyDescent="0.2">
      <c r="A585" s="49"/>
      <c r="B585" s="19"/>
      <c r="C585" s="19"/>
      <c r="D585" s="19"/>
      <c r="E585" s="19"/>
      <c r="F585" s="19"/>
    </row>
    <row r="586" spans="1:6" x14ac:dyDescent="0.2">
      <c r="A586" s="49"/>
      <c r="B586" s="19"/>
      <c r="C586" s="19"/>
      <c r="D586" s="19"/>
      <c r="E586" s="19"/>
      <c r="F586" s="19"/>
    </row>
    <row r="587" spans="1:6" x14ac:dyDescent="0.2">
      <c r="A587" s="49"/>
      <c r="B587" s="19"/>
      <c r="C587" s="19"/>
      <c r="D587" s="19"/>
      <c r="E587" s="19"/>
      <c r="F587" s="19"/>
    </row>
    <row r="588" spans="1:6" x14ac:dyDescent="0.2">
      <c r="A588" s="49"/>
      <c r="B588" s="19"/>
      <c r="C588" s="19"/>
      <c r="D588" s="19"/>
      <c r="E588" s="19"/>
      <c r="F588" s="19"/>
    </row>
    <row r="589" spans="1:6" x14ac:dyDescent="0.2">
      <c r="A589" s="49"/>
      <c r="B589" s="19"/>
      <c r="C589" s="19"/>
      <c r="D589" s="19"/>
      <c r="E589" s="19"/>
      <c r="F589" s="19"/>
    </row>
    <row r="590" spans="1:6" x14ac:dyDescent="0.2">
      <c r="A590" s="49"/>
      <c r="B590" s="19"/>
      <c r="C590" s="19"/>
      <c r="D590" s="19"/>
      <c r="E590" s="19"/>
      <c r="F590" s="19"/>
    </row>
    <row r="591" spans="1:6" x14ac:dyDescent="0.2">
      <c r="A591" s="49"/>
      <c r="B591" s="19"/>
      <c r="C591" s="19"/>
      <c r="D591" s="19"/>
      <c r="E591" s="19"/>
      <c r="F591" s="19"/>
    </row>
    <row r="592" spans="1:6" x14ac:dyDescent="0.2">
      <c r="A592" s="49"/>
      <c r="B592" s="19"/>
      <c r="C592" s="19"/>
      <c r="D592" s="19"/>
      <c r="E592" s="19"/>
      <c r="F592" s="19"/>
    </row>
    <row r="593" spans="1:6" x14ac:dyDescent="0.2">
      <c r="A593" s="49"/>
      <c r="B593" s="19"/>
      <c r="C593" s="19"/>
      <c r="D593" s="19"/>
      <c r="E593" s="19"/>
      <c r="F593" s="19"/>
    </row>
    <row r="594" spans="1:6" x14ac:dyDescent="0.2">
      <c r="A594" s="49"/>
      <c r="B594" s="19"/>
      <c r="C594" s="19"/>
      <c r="D594" s="19"/>
      <c r="E594" s="19"/>
      <c r="F594" s="19"/>
    </row>
    <row r="595" spans="1:6" x14ac:dyDescent="0.2">
      <c r="A595" s="49"/>
      <c r="B595" s="19"/>
      <c r="C595" s="19"/>
      <c r="D595" s="19"/>
      <c r="E595" s="19"/>
      <c r="F595" s="19"/>
    </row>
    <row r="596" spans="1:6" x14ac:dyDescent="0.2">
      <c r="A596" s="49"/>
      <c r="B596" s="19"/>
      <c r="C596" s="19"/>
      <c r="D596" s="19"/>
      <c r="E596" s="19"/>
      <c r="F596" s="19"/>
    </row>
    <row r="597" spans="1:6" x14ac:dyDescent="0.2">
      <c r="A597" s="49"/>
      <c r="B597" s="19"/>
      <c r="C597" s="19"/>
      <c r="D597" s="19"/>
      <c r="E597" s="19"/>
      <c r="F597" s="19"/>
    </row>
    <row r="598" spans="1:6" x14ac:dyDescent="0.2">
      <c r="A598" s="49"/>
      <c r="B598" s="19"/>
      <c r="C598" s="19"/>
      <c r="D598" s="19"/>
      <c r="E598" s="19"/>
      <c r="F598" s="19"/>
    </row>
    <row r="599" spans="1:6" x14ac:dyDescent="0.2">
      <c r="A599" s="49"/>
      <c r="B599" s="19"/>
      <c r="C599" s="19"/>
      <c r="D599" s="19"/>
      <c r="E599" s="19"/>
      <c r="F599" s="19"/>
    </row>
    <row r="600" spans="1:6" x14ac:dyDescent="0.2">
      <c r="A600" s="49"/>
      <c r="B600" s="19"/>
      <c r="C600" s="19"/>
      <c r="D600" s="19"/>
      <c r="E600" s="19"/>
      <c r="F600" s="19"/>
    </row>
    <row r="601" spans="1:6" x14ac:dyDescent="0.2">
      <c r="A601" s="49"/>
      <c r="B601" s="19"/>
      <c r="C601" s="19"/>
      <c r="D601" s="19"/>
      <c r="E601" s="19"/>
      <c r="F601" s="19"/>
    </row>
    <row r="602" spans="1:6" x14ac:dyDescent="0.2">
      <c r="A602" s="49"/>
      <c r="B602" s="19"/>
      <c r="C602" s="19"/>
      <c r="D602" s="19"/>
      <c r="E602" s="19"/>
      <c r="F602" s="19"/>
    </row>
    <row r="603" spans="1:6" x14ac:dyDescent="0.2">
      <c r="A603" s="49"/>
      <c r="B603" s="19"/>
      <c r="C603" s="19"/>
      <c r="D603" s="19"/>
      <c r="E603" s="19"/>
      <c r="F603" s="19"/>
    </row>
    <row r="604" spans="1:6" x14ac:dyDescent="0.2">
      <c r="A604" s="49"/>
      <c r="B604" s="19"/>
      <c r="C604" s="19"/>
      <c r="D604" s="19"/>
      <c r="E604" s="19"/>
      <c r="F604" s="19"/>
    </row>
    <row r="605" spans="1:6" x14ac:dyDescent="0.2">
      <c r="A605" s="49"/>
      <c r="B605" s="19"/>
      <c r="C605" s="19"/>
      <c r="D605" s="19"/>
      <c r="E605" s="19"/>
      <c r="F605" s="19"/>
    </row>
    <row r="606" spans="1:6" x14ac:dyDescent="0.2">
      <c r="A606" s="49"/>
      <c r="B606" s="19"/>
      <c r="C606" s="19"/>
      <c r="D606" s="19"/>
      <c r="E606" s="19"/>
      <c r="F606" s="19"/>
    </row>
    <row r="607" spans="1:6" x14ac:dyDescent="0.2">
      <c r="A607" s="49"/>
      <c r="B607" s="19"/>
      <c r="C607" s="19"/>
      <c r="D607" s="19"/>
      <c r="E607" s="19"/>
      <c r="F607" s="19"/>
    </row>
    <row r="608" spans="1:6" x14ac:dyDescent="0.2">
      <c r="A608" s="49"/>
      <c r="B608" s="19"/>
      <c r="C608" s="19"/>
      <c r="D608" s="19"/>
      <c r="E608" s="19"/>
      <c r="F608" s="19"/>
    </row>
    <row r="609" spans="1:6" x14ac:dyDescent="0.2">
      <c r="A609" s="49"/>
      <c r="B609" s="19"/>
      <c r="C609" s="19"/>
      <c r="D609" s="19"/>
      <c r="E609" s="19"/>
      <c r="F609" s="19"/>
    </row>
    <row r="610" spans="1:6" x14ac:dyDescent="0.2">
      <c r="A610" s="49"/>
      <c r="B610" s="19"/>
      <c r="C610" s="19"/>
      <c r="D610" s="19"/>
      <c r="E610" s="19"/>
      <c r="F610" s="19"/>
    </row>
    <row r="611" spans="1:6" x14ac:dyDescent="0.2">
      <c r="A611" s="49"/>
      <c r="B611" s="19"/>
      <c r="C611" s="19"/>
      <c r="D611" s="19"/>
      <c r="E611" s="19"/>
      <c r="F611" s="19"/>
    </row>
    <row r="612" spans="1:6" x14ac:dyDescent="0.2">
      <c r="A612" s="49"/>
      <c r="B612" s="19"/>
      <c r="C612" s="19"/>
      <c r="D612" s="19"/>
      <c r="E612" s="19"/>
      <c r="F612" s="19"/>
    </row>
    <row r="613" spans="1:6" x14ac:dyDescent="0.2">
      <c r="A613" s="49"/>
      <c r="B613" s="19"/>
      <c r="C613" s="19"/>
      <c r="D613" s="19"/>
      <c r="E613" s="19"/>
      <c r="F613" s="19"/>
    </row>
    <row r="614" spans="1:6" x14ac:dyDescent="0.2">
      <c r="A614" s="49"/>
      <c r="B614" s="19"/>
      <c r="C614" s="19"/>
      <c r="D614" s="19"/>
      <c r="E614" s="19"/>
      <c r="F614" s="19"/>
    </row>
    <row r="615" spans="1:6" x14ac:dyDescent="0.2">
      <c r="A615" s="49"/>
      <c r="B615" s="19"/>
      <c r="C615" s="19"/>
      <c r="D615" s="19"/>
      <c r="E615" s="19"/>
      <c r="F615" s="19"/>
    </row>
    <row r="616" spans="1:6" x14ac:dyDescent="0.2">
      <c r="A616" s="49"/>
      <c r="B616" s="19"/>
      <c r="C616" s="19"/>
      <c r="D616" s="19"/>
      <c r="E616" s="19"/>
      <c r="F616" s="19"/>
    </row>
    <row r="617" spans="1:6" x14ac:dyDescent="0.2">
      <c r="A617" s="49"/>
      <c r="B617" s="19"/>
      <c r="C617" s="19"/>
      <c r="D617" s="19"/>
      <c r="E617" s="19"/>
      <c r="F617" s="19"/>
    </row>
    <row r="618" spans="1:6" x14ac:dyDescent="0.2">
      <c r="A618" s="49"/>
      <c r="B618" s="19"/>
      <c r="C618" s="19"/>
      <c r="D618" s="19"/>
      <c r="E618" s="19"/>
      <c r="F618" s="19"/>
    </row>
    <row r="619" spans="1:6" x14ac:dyDescent="0.2">
      <c r="A619" s="49"/>
      <c r="B619" s="19"/>
      <c r="C619" s="19"/>
      <c r="D619" s="19"/>
      <c r="E619" s="19"/>
      <c r="F619" s="19"/>
    </row>
    <row r="620" spans="1:6" x14ac:dyDescent="0.2">
      <c r="A620" s="49"/>
      <c r="B620" s="19"/>
      <c r="C620" s="19"/>
      <c r="D620" s="19"/>
      <c r="E620" s="19"/>
      <c r="F620" s="19"/>
    </row>
    <row r="621" spans="1:6" x14ac:dyDescent="0.2">
      <c r="A621" s="49"/>
      <c r="B621" s="19"/>
      <c r="C621" s="19"/>
      <c r="D621" s="19"/>
      <c r="E621" s="19"/>
      <c r="F621" s="19"/>
    </row>
    <row r="622" spans="1:6" x14ac:dyDescent="0.2">
      <c r="A622" s="49"/>
      <c r="B622" s="19"/>
      <c r="C622" s="19"/>
      <c r="D622" s="19"/>
      <c r="E622" s="19"/>
      <c r="F622" s="19"/>
    </row>
    <row r="623" spans="1:6" x14ac:dyDescent="0.2">
      <c r="A623" s="49"/>
      <c r="B623" s="19"/>
      <c r="C623" s="19"/>
      <c r="D623" s="19"/>
      <c r="E623" s="19"/>
      <c r="F623" s="19"/>
    </row>
    <row r="624" spans="1:6" x14ac:dyDescent="0.2">
      <c r="A624" s="49"/>
      <c r="B624" s="19"/>
      <c r="C624" s="19"/>
      <c r="D624" s="19"/>
      <c r="E624" s="19"/>
      <c r="F624" s="19"/>
    </row>
    <row r="625" spans="1:6" x14ac:dyDescent="0.2">
      <c r="A625" s="49"/>
      <c r="B625" s="19"/>
      <c r="C625" s="19"/>
      <c r="D625" s="19"/>
      <c r="E625" s="19"/>
      <c r="F625" s="19"/>
    </row>
    <row r="626" spans="1:6" x14ac:dyDescent="0.2">
      <c r="A626" s="49"/>
      <c r="B626" s="19"/>
      <c r="C626" s="19"/>
      <c r="D626" s="19"/>
      <c r="E626" s="19"/>
      <c r="F626" s="19"/>
    </row>
    <row r="627" spans="1:6" x14ac:dyDescent="0.2">
      <c r="A627" s="49"/>
      <c r="B627" s="19"/>
      <c r="C627" s="19"/>
      <c r="D627" s="19"/>
      <c r="E627" s="19"/>
      <c r="F627" s="19"/>
    </row>
    <row r="628" spans="1:6" x14ac:dyDescent="0.2">
      <c r="A628" s="49"/>
      <c r="B628" s="19"/>
      <c r="C628" s="19"/>
      <c r="D628" s="19"/>
      <c r="E628" s="19"/>
      <c r="F628" s="19"/>
    </row>
    <row r="629" spans="1:6" x14ac:dyDescent="0.2">
      <c r="A629" s="49"/>
      <c r="B629" s="19"/>
      <c r="C629" s="19"/>
      <c r="D629" s="19"/>
      <c r="E629" s="19"/>
      <c r="F629" s="19"/>
    </row>
    <row r="630" spans="1:6" x14ac:dyDescent="0.2">
      <c r="A630" s="49"/>
      <c r="B630" s="19"/>
      <c r="C630" s="19"/>
      <c r="D630" s="19"/>
      <c r="E630" s="19"/>
      <c r="F630" s="19"/>
    </row>
    <row r="631" spans="1:6" x14ac:dyDescent="0.2">
      <c r="A631" s="49"/>
      <c r="B631" s="19"/>
      <c r="C631" s="19"/>
      <c r="D631" s="19"/>
      <c r="E631" s="19"/>
      <c r="F631" s="19"/>
    </row>
    <row r="632" spans="1:6" x14ac:dyDescent="0.2">
      <c r="A632" s="49"/>
      <c r="B632" s="19"/>
      <c r="C632" s="19"/>
      <c r="D632" s="19"/>
      <c r="E632" s="19"/>
      <c r="F632" s="19"/>
    </row>
    <row r="633" spans="1:6" x14ac:dyDescent="0.2">
      <c r="A633" s="49"/>
      <c r="B633" s="19"/>
      <c r="C633" s="19"/>
      <c r="D633" s="19"/>
      <c r="E633" s="19"/>
      <c r="F633" s="19"/>
    </row>
    <row r="634" spans="1:6" x14ac:dyDescent="0.2">
      <c r="A634" s="49"/>
      <c r="B634" s="19"/>
      <c r="C634" s="19"/>
      <c r="D634" s="19"/>
      <c r="E634" s="19"/>
      <c r="F634" s="19"/>
    </row>
    <row r="635" spans="1:6" x14ac:dyDescent="0.2">
      <c r="A635" s="49"/>
      <c r="B635" s="19"/>
      <c r="C635" s="19"/>
      <c r="D635" s="19"/>
      <c r="E635" s="19"/>
      <c r="F635" s="19"/>
    </row>
    <row r="636" spans="1:6" x14ac:dyDescent="0.2">
      <c r="A636" s="49"/>
      <c r="B636" s="19"/>
      <c r="C636" s="19"/>
      <c r="D636" s="19"/>
      <c r="E636" s="19"/>
      <c r="F636" s="19"/>
    </row>
    <row r="637" spans="1:6" x14ac:dyDescent="0.2">
      <c r="A637" s="49"/>
      <c r="B637" s="19"/>
      <c r="C637" s="19"/>
      <c r="D637" s="19"/>
      <c r="E637" s="19"/>
      <c r="F637" s="19"/>
    </row>
    <row r="638" spans="1:6" x14ac:dyDescent="0.2">
      <c r="A638" s="49"/>
      <c r="B638" s="19"/>
      <c r="C638" s="19"/>
      <c r="D638" s="19"/>
      <c r="E638" s="19"/>
      <c r="F638" s="19"/>
    </row>
    <row r="639" spans="1:6" x14ac:dyDescent="0.2">
      <c r="A639" s="49"/>
      <c r="B639" s="19"/>
      <c r="C639" s="19"/>
      <c r="D639" s="19"/>
      <c r="E639" s="19"/>
      <c r="F639" s="19"/>
    </row>
    <row r="640" spans="1:6" x14ac:dyDescent="0.2">
      <c r="A640" s="49"/>
      <c r="B640" s="19"/>
      <c r="C640" s="19"/>
      <c r="D640" s="19"/>
      <c r="E640" s="19"/>
      <c r="F640" s="19"/>
    </row>
    <row r="641" spans="1:6" x14ac:dyDescent="0.2">
      <c r="A641" s="49"/>
      <c r="B641" s="19"/>
      <c r="C641" s="19"/>
      <c r="D641" s="19"/>
      <c r="E641" s="19"/>
      <c r="F641" s="19"/>
    </row>
    <row r="642" spans="1:6" x14ac:dyDescent="0.2">
      <c r="A642" s="49"/>
      <c r="B642" s="19"/>
      <c r="C642" s="19"/>
      <c r="D642" s="19"/>
      <c r="E642" s="19"/>
      <c r="F642" s="19"/>
    </row>
    <row r="643" spans="1:6" x14ac:dyDescent="0.2">
      <c r="A643" s="49"/>
      <c r="B643" s="19"/>
      <c r="C643" s="19"/>
      <c r="D643" s="19"/>
      <c r="E643" s="19"/>
      <c r="F643" s="19"/>
    </row>
    <row r="644" spans="1:6" x14ac:dyDescent="0.2">
      <c r="A644" s="49"/>
      <c r="B644" s="19"/>
      <c r="C644" s="19"/>
      <c r="D644" s="19"/>
      <c r="E644" s="19"/>
      <c r="F644" s="19"/>
    </row>
    <row r="645" spans="1:6" x14ac:dyDescent="0.2">
      <c r="A645" s="49"/>
      <c r="B645" s="19"/>
      <c r="C645" s="19"/>
      <c r="D645" s="19"/>
      <c r="E645" s="19"/>
      <c r="F645" s="19"/>
    </row>
    <row r="646" spans="1:6" x14ac:dyDescent="0.2">
      <c r="A646" s="49"/>
      <c r="B646" s="19"/>
      <c r="C646" s="19"/>
      <c r="D646" s="19"/>
      <c r="E646" s="19"/>
      <c r="F646" s="19"/>
    </row>
    <row r="647" spans="1:6" x14ac:dyDescent="0.2">
      <c r="A647" s="49"/>
      <c r="B647" s="19"/>
      <c r="C647" s="19"/>
      <c r="D647" s="19"/>
      <c r="E647" s="19"/>
      <c r="F647" s="19"/>
    </row>
    <row r="648" spans="1:6" x14ac:dyDescent="0.2">
      <c r="A648" s="49"/>
      <c r="B648" s="19"/>
      <c r="C648" s="19"/>
      <c r="D648" s="19"/>
      <c r="E648" s="19"/>
      <c r="F648" s="19"/>
    </row>
    <row r="649" spans="1:6" x14ac:dyDescent="0.2">
      <c r="A649" s="49"/>
      <c r="B649" s="19"/>
      <c r="C649" s="19"/>
      <c r="D649" s="19"/>
      <c r="E649" s="19"/>
      <c r="F649" s="19"/>
    </row>
    <row r="650" spans="1:6" x14ac:dyDescent="0.2">
      <c r="A650" s="49"/>
      <c r="B650" s="19"/>
      <c r="C650" s="19"/>
      <c r="D650" s="19"/>
      <c r="E650" s="19"/>
      <c r="F650" s="19"/>
    </row>
    <row r="651" spans="1:6" x14ac:dyDescent="0.2">
      <c r="A651" s="49"/>
      <c r="B651" s="19"/>
      <c r="C651" s="19"/>
      <c r="D651" s="19"/>
      <c r="E651" s="19"/>
      <c r="F651" s="19"/>
    </row>
    <row r="652" spans="1:6" x14ac:dyDescent="0.2">
      <c r="A652" s="49"/>
      <c r="B652" s="19"/>
      <c r="C652" s="19"/>
      <c r="D652" s="19"/>
      <c r="E652" s="19"/>
      <c r="F652" s="19"/>
    </row>
    <row r="653" spans="1:6" x14ac:dyDescent="0.2">
      <c r="A653" s="49"/>
      <c r="B653" s="19"/>
      <c r="C653" s="19"/>
      <c r="D653" s="19"/>
      <c r="E653" s="19"/>
      <c r="F653" s="19"/>
    </row>
    <row r="654" spans="1:6" x14ac:dyDescent="0.2">
      <c r="A654" s="49"/>
      <c r="B654" s="19"/>
      <c r="C654" s="19"/>
      <c r="D654" s="19"/>
      <c r="E654" s="19"/>
      <c r="F654" s="19"/>
    </row>
    <row r="655" spans="1:6" x14ac:dyDescent="0.2">
      <c r="A655" s="49"/>
      <c r="B655" s="19"/>
      <c r="C655" s="19"/>
      <c r="D655" s="19"/>
      <c r="E655" s="19"/>
      <c r="F655" s="19"/>
    </row>
    <row r="656" spans="1:6" x14ac:dyDescent="0.2">
      <c r="A656" s="49"/>
      <c r="B656" s="19"/>
      <c r="C656" s="19"/>
      <c r="D656" s="19"/>
      <c r="E656" s="19"/>
      <c r="F656" s="19"/>
    </row>
    <row r="657" spans="1:6" x14ac:dyDescent="0.2">
      <c r="A657" s="49"/>
      <c r="B657" s="19"/>
      <c r="C657" s="19"/>
      <c r="D657" s="19"/>
      <c r="E657" s="19"/>
      <c r="F657" s="19"/>
    </row>
    <row r="658" spans="1:6" x14ac:dyDescent="0.2">
      <c r="A658" s="49"/>
      <c r="B658" s="19"/>
      <c r="C658" s="19"/>
      <c r="D658" s="19"/>
      <c r="E658" s="19"/>
      <c r="F658" s="19"/>
    </row>
    <row r="659" spans="1:6" x14ac:dyDescent="0.2">
      <c r="A659" s="49"/>
      <c r="B659" s="19"/>
      <c r="C659" s="19"/>
      <c r="D659" s="19"/>
      <c r="E659" s="19"/>
      <c r="F659" s="19"/>
    </row>
    <row r="660" spans="1:6" x14ac:dyDescent="0.2">
      <c r="A660" s="49"/>
      <c r="B660" s="19"/>
      <c r="C660" s="19"/>
      <c r="D660" s="19"/>
      <c r="E660" s="19"/>
      <c r="F660" s="19"/>
    </row>
    <row r="661" spans="1:6" x14ac:dyDescent="0.2">
      <c r="A661" s="49"/>
      <c r="B661" s="19"/>
      <c r="C661" s="19"/>
      <c r="D661" s="19"/>
      <c r="E661" s="19"/>
      <c r="F661" s="19"/>
    </row>
    <row r="662" spans="1:6" x14ac:dyDescent="0.2">
      <c r="A662" s="49"/>
      <c r="B662" s="19"/>
      <c r="C662" s="19"/>
      <c r="D662" s="19"/>
      <c r="E662" s="19"/>
      <c r="F662" s="19"/>
    </row>
    <row r="663" spans="1:6" x14ac:dyDescent="0.2">
      <c r="A663" s="49"/>
      <c r="B663" s="19"/>
      <c r="C663" s="19"/>
      <c r="D663" s="19"/>
      <c r="E663" s="19"/>
      <c r="F663" s="19"/>
    </row>
    <row r="664" spans="1:6" x14ac:dyDescent="0.2">
      <c r="A664" s="49"/>
      <c r="B664" s="19"/>
      <c r="C664" s="19"/>
      <c r="D664" s="19"/>
      <c r="E664" s="19"/>
      <c r="F664" s="19"/>
    </row>
    <row r="665" spans="1:6" x14ac:dyDescent="0.2">
      <c r="A665" s="49"/>
      <c r="B665" s="19"/>
      <c r="C665" s="19"/>
      <c r="D665" s="19"/>
      <c r="E665" s="19"/>
      <c r="F665" s="19"/>
    </row>
    <row r="666" spans="1:6" x14ac:dyDescent="0.2">
      <c r="A666" s="49"/>
      <c r="B666" s="19"/>
      <c r="C666" s="19"/>
      <c r="D666" s="19"/>
      <c r="E666" s="19"/>
      <c r="F666" s="19"/>
    </row>
    <row r="667" spans="1:6" x14ac:dyDescent="0.2">
      <c r="A667" s="49"/>
      <c r="B667" s="19"/>
      <c r="C667" s="19"/>
      <c r="D667" s="19"/>
      <c r="E667" s="19"/>
      <c r="F667" s="19"/>
    </row>
    <row r="668" spans="1:6" x14ac:dyDescent="0.2">
      <c r="A668" s="49"/>
      <c r="B668" s="19"/>
      <c r="C668" s="19"/>
      <c r="D668" s="19"/>
      <c r="E668" s="19"/>
      <c r="F668" s="19"/>
    </row>
    <row r="669" spans="1:6" x14ac:dyDescent="0.2">
      <c r="A669" s="49"/>
      <c r="B669" s="19"/>
      <c r="C669" s="19"/>
      <c r="D669" s="19"/>
      <c r="E669" s="19"/>
      <c r="F669" s="19"/>
    </row>
    <row r="670" spans="1:6" x14ac:dyDescent="0.2">
      <c r="A670" s="49"/>
      <c r="B670" s="19"/>
      <c r="C670" s="19"/>
      <c r="D670" s="19"/>
      <c r="E670" s="19"/>
      <c r="F670" s="19"/>
    </row>
    <row r="671" spans="1:6" x14ac:dyDescent="0.2">
      <c r="A671" s="49"/>
      <c r="B671" s="19"/>
      <c r="C671" s="19"/>
      <c r="D671" s="19"/>
      <c r="E671" s="19"/>
      <c r="F671" s="19"/>
    </row>
    <row r="672" spans="1:6" x14ac:dyDescent="0.2">
      <c r="A672" s="49"/>
      <c r="B672" s="19"/>
      <c r="C672" s="19"/>
      <c r="D672" s="19"/>
      <c r="E672" s="19"/>
      <c r="F672" s="19"/>
    </row>
    <row r="673" spans="1:6" x14ac:dyDescent="0.2">
      <c r="A673" s="49"/>
      <c r="B673" s="19"/>
      <c r="C673" s="19"/>
      <c r="D673" s="19"/>
      <c r="E673" s="19"/>
      <c r="F673" s="19"/>
    </row>
    <row r="674" spans="1:6" x14ac:dyDescent="0.2">
      <c r="A674" s="49"/>
      <c r="B674" s="19"/>
      <c r="C674" s="19"/>
      <c r="D674" s="19"/>
      <c r="E674" s="19"/>
      <c r="F674" s="19"/>
    </row>
    <row r="675" spans="1:6" x14ac:dyDescent="0.2">
      <c r="A675" s="49"/>
      <c r="B675" s="19"/>
      <c r="C675" s="19"/>
      <c r="D675" s="19"/>
      <c r="E675" s="19"/>
      <c r="F675" s="19"/>
    </row>
    <row r="676" spans="1:6" x14ac:dyDescent="0.2">
      <c r="A676" s="49"/>
      <c r="B676" s="19"/>
      <c r="C676" s="19"/>
      <c r="D676" s="19"/>
      <c r="E676" s="19"/>
      <c r="F676" s="19"/>
    </row>
    <row r="677" spans="1:6" x14ac:dyDescent="0.2">
      <c r="A677" s="49"/>
      <c r="B677" s="19"/>
      <c r="C677" s="19"/>
      <c r="D677" s="19"/>
      <c r="E677" s="19"/>
      <c r="F677" s="19"/>
    </row>
    <row r="678" spans="1:6" x14ac:dyDescent="0.2">
      <c r="A678" s="49"/>
      <c r="B678" s="19"/>
      <c r="C678" s="19"/>
      <c r="D678" s="19"/>
      <c r="E678" s="19"/>
      <c r="F678" s="19"/>
    </row>
    <row r="679" spans="1:6" x14ac:dyDescent="0.2">
      <c r="A679" s="49"/>
      <c r="B679" s="19"/>
      <c r="C679" s="19"/>
      <c r="D679" s="19"/>
      <c r="E679" s="19"/>
      <c r="F679" s="19"/>
    </row>
    <row r="680" spans="1:6" x14ac:dyDescent="0.2">
      <c r="A680" s="49"/>
      <c r="B680" s="19"/>
      <c r="C680" s="19"/>
      <c r="D680" s="19"/>
      <c r="E680" s="19"/>
      <c r="F680" s="19"/>
    </row>
    <row r="681" spans="1:6" x14ac:dyDescent="0.2">
      <c r="A681" s="49"/>
      <c r="B681" s="19"/>
      <c r="C681" s="19"/>
      <c r="D681" s="19"/>
      <c r="E681" s="19"/>
      <c r="F681" s="19"/>
    </row>
    <row r="682" spans="1:6" x14ac:dyDescent="0.2">
      <c r="A682" s="49"/>
      <c r="B682" s="19"/>
      <c r="C682" s="19"/>
      <c r="D682" s="19"/>
      <c r="E682" s="19"/>
      <c r="F682" s="19"/>
    </row>
    <row r="683" spans="1:6" x14ac:dyDescent="0.2">
      <c r="A683" s="49"/>
      <c r="B683" s="19"/>
      <c r="C683" s="19"/>
      <c r="D683" s="19"/>
      <c r="E683" s="19"/>
      <c r="F683" s="19"/>
    </row>
    <row r="684" spans="1:6" x14ac:dyDescent="0.2">
      <c r="A684" s="49"/>
      <c r="B684" s="19"/>
      <c r="C684" s="19"/>
      <c r="D684" s="19"/>
      <c r="E684" s="19"/>
      <c r="F684" s="19"/>
    </row>
    <row r="685" spans="1:6" x14ac:dyDescent="0.2">
      <c r="A685" s="49"/>
      <c r="B685" s="19"/>
      <c r="C685" s="19"/>
      <c r="D685" s="19"/>
      <c r="E685" s="19"/>
      <c r="F685" s="19"/>
    </row>
    <row r="686" spans="1:6" x14ac:dyDescent="0.2">
      <c r="A686" s="49"/>
      <c r="B686" s="19"/>
      <c r="C686" s="19"/>
      <c r="D686" s="19"/>
      <c r="E686" s="19"/>
      <c r="F686" s="19"/>
    </row>
    <row r="687" spans="1:6" x14ac:dyDescent="0.2">
      <c r="A687" s="49"/>
      <c r="B687" s="19"/>
      <c r="C687" s="19"/>
      <c r="D687" s="19"/>
      <c r="E687" s="19"/>
      <c r="F687" s="19"/>
    </row>
    <row r="688" spans="1:6" x14ac:dyDescent="0.2">
      <c r="A688" s="49"/>
      <c r="B688" s="19"/>
      <c r="C688" s="19"/>
      <c r="D688" s="19"/>
      <c r="E688" s="19"/>
      <c r="F688" s="19"/>
    </row>
    <row r="689" spans="1:6" x14ac:dyDescent="0.2">
      <c r="A689" s="49"/>
      <c r="B689" s="19"/>
      <c r="C689" s="19"/>
      <c r="D689" s="19"/>
      <c r="E689" s="19"/>
      <c r="F689" s="19"/>
    </row>
    <row r="690" spans="1:6" x14ac:dyDescent="0.2">
      <c r="A690" s="49"/>
      <c r="B690" s="19"/>
      <c r="C690" s="19"/>
      <c r="D690" s="19"/>
      <c r="E690" s="19"/>
      <c r="F690" s="19"/>
    </row>
    <row r="691" spans="1:6" x14ac:dyDescent="0.2">
      <c r="A691" s="49"/>
      <c r="B691" s="19"/>
      <c r="C691" s="19"/>
      <c r="D691" s="19"/>
      <c r="E691" s="19"/>
      <c r="F691" s="19"/>
    </row>
    <row r="692" spans="1:6" x14ac:dyDescent="0.2">
      <c r="A692" s="49"/>
      <c r="B692" s="19"/>
      <c r="C692" s="19"/>
      <c r="D692" s="19"/>
      <c r="E692" s="19"/>
      <c r="F692" s="19"/>
    </row>
    <row r="693" spans="1:6" x14ac:dyDescent="0.2">
      <c r="A693" s="49"/>
      <c r="B693" s="19"/>
      <c r="C693" s="19"/>
      <c r="D693" s="19"/>
      <c r="E693" s="19"/>
      <c r="F693" s="19"/>
    </row>
    <row r="694" spans="1:6" x14ac:dyDescent="0.2">
      <c r="A694" s="49"/>
      <c r="B694" s="19"/>
      <c r="C694" s="19"/>
      <c r="D694" s="19"/>
      <c r="E694" s="19"/>
      <c r="F694" s="19"/>
    </row>
    <row r="695" spans="1:6" x14ac:dyDescent="0.2">
      <c r="A695" s="49"/>
      <c r="B695" s="19"/>
      <c r="C695" s="19"/>
      <c r="D695" s="19"/>
      <c r="E695" s="19"/>
      <c r="F695" s="19"/>
    </row>
    <row r="696" spans="1:6" x14ac:dyDescent="0.2">
      <c r="A696" s="49"/>
      <c r="B696" s="19"/>
      <c r="C696" s="19"/>
      <c r="D696" s="19"/>
      <c r="E696" s="19"/>
      <c r="F696" s="19"/>
    </row>
    <row r="697" spans="1:6" x14ac:dyDescent="0.2">
      <c r="A697" s="49"/>
      <c r="B697" s="19"/>
      <c r="C697" s="19"/>
      <c r="D697" s="19"/>
      <c r="E697" s="19"/>
      <c r="F697" s="19"/>
    </row>
    <row r="698" spans="1:6" x14ac:dyDescent="0.2">
      <c r="A698" s="49"/>
      <c r="B698" s="19"/>
      <c r="C698" s="19"/>
      <c r="D698" s="19"/>
      <c r="E698" s="19"/>
      <c r="F698" s="19"/>
    </row>
    <row r="699" spans="1:6" x14ac:dyDescent="0.2">
      <c r="A699" s="49"/>
      <c r="B699" s="19"/>
      <c r="C699" s="19"/>
      <c r="D699" s="19"/>
      <c r="E699" s="19"/>
      <c r="F699" s="19"/>
    </row>
    <row r="700" spans="1:6" x14ac:dyDescent="0.2">
      <c r="A700" s="49"/>
      <c r="B700" s="19"/>
      <c r="C700" s="19"/>
      <c r="D700" s="19"/>
      <c r="E700" s="19"/>
      <c r="F700" s="19"/>
    </row>
    <row r="701" spans="1:6" x14ac:dyDescent="0.2">
      <c r="A701" s="49"/>
      <c r="B701" s="19"/>
      <c r="C701" s="19"/>
      <c r="D701" s="19"/>
      <c r="E701" s="19"/>
      <c r="F701" s="19"/>
    </row>
    <row r="702" spans="1:6" x14ac:dyDescent="0.2">
      <c r="A702" s="49"/>
      <c r="B702" s="19"/>
      <c r="C702" s="19"/>
      <c r="D702" s="19"/>
      <c r="E702" s="19"/>
      <c r="F702" s="19"/>
    </row>
    <row r="703" spans="1:6" x14ac:dyDescent="0.2">
      <c r="A703" s="49"/>
      <c r="B703" s="19"/>
      <c r="C703" s="19"/>
      <c r="D703" s="19"/>
      <c r="E703" s="19"/>
      <c r="F703" s="19"/>
    </row>
    <row r="704" spans="1:6" x14ac:dyDescent="0.2">
      <c r="A704" s="49"/>
      <c r="B704" s="19"/>
      <c r="C704" s="19"/>
      <c r="D704" s="19"/>
      <c r="E704" s="19"/>
      <c r="F704" s="19"/>
    </row>
    <row r="705" spans="1:6" x14ac:dyDescent="0.2">
      <c r="A705" s="49"/>
      <c r="B705" s="19"/>
      <c r="C705" s="19"/>
      <c r="D705" s="19"/>
      <c r="E705" s="19"/>
      <c r="F705" s="19"/>
    </row>
    <row r="706" spans="1:6" x14ac:dyDescent="0.2">
      <c r="A706" s="49"/>
      <c r="B706" s="19"/>
      <c r="C706" s="19"/>
      <c r="D706" s="19"/>
      <c r="E706" s="19"/>
      <c r="F706" s="19"/>
    </row>
    <row r="707" spans="1:6" x14ac:dyDescent="0.2">
      <c r="A707" s="49"/>
      <c r="B707" s="19"/>
      <c r="C707" s="19"/>
      <c r="D707" s="19"/>
      <c r="E707" s="19"/>
      <c r="F707" s="19"/>
    </row>
    <row r="708" spans="1:6" x14ac:dyDescent="0.2">
      <c r="A708" s="49"/>
      <c r="B708" s="19"/>
      <c r="C708" s="19"/>
      <c r="D708" s="19"/>
      <c r="E708" s="19"/>
      <c r="F708" s="19"/>
    </row>
    <row r="709" spans="1:6" x14ac:dyDescent="0.2">
      <c r="A709" s="49"/>
      <c r="B709" s="19"/>
      <c r="C709" s="19"/>
      <c r="D709" s="19"/>
      <c r="E709" s="19"/>
      <c r="F709" s="19"/>
    </row>
    <row r="710" spans="1:6" x14ac:dyDescent="0.2">
      <c r="A710" s="49"/>
      <c r="B710" s="19"/>
      <c r="C710" s="19"/>
      <c r="D710" s="19"/>
      <c r="E710" s="19"/>
      <c r="F710" s="19"/>
    </row>
    <row r="711" spans="1:6" x14ac:dyDescent="0.2">
      <c r="A711" s="49"/>
      <c r="B711" s="19"/>
      <c r="C711" s="19"/>
      <c r="D711" s="19"/>
      <c r="E711" s="19"/>
      <c r="F711" s="19"/>
    </row>
    <row r="712" spans="1:6" x14ac:dyDescent="0.2">
      <c r="A712" s="49"/>
      <c r="B712" s="19"/>
      <c r="C712" s="19"/>
      <c r="D712" s="19"/>
      <c r="E712" s="19"/>
      <c r="F712" s="19"/>
    </row>
    <row r="713" spans="1:6" x14ac:dyDescent="0.2">
      <c r="A713" s="49"/>
      <c r="B713" s="19"/>
      <c r="C713" s="19"/>
      <c r="D713" s="19"/>
      <c r="E713" s="19"/>
      <c r="F713" s="19"/>
    </row>
    <row r="714" spans="1:6" x14ac:dyDescent="0.2">
      <c r="A714" s="49"/>
      <c r="B714" s="19"/>
      <c r="C714" s="19"/>
      <c r="D714" s="19"/>
      <c r="E714" s="19"/>
      <c r="F714" s="19"/>
    </row>
    <row r="715" spans="1:6" x14ac:dyDescent="0.2">
      <c r="A715" s="49"/>
      <c r="B715" s="19"/>
      <c r="C715" s="19"/>
      <c r="D715" s="19"/>
      <c r="E715" s="19"/>
      <c r="F715" s="19"/>
    </row>
    <row r="716" spans="1:6" x14ac:dyDescent="0.2">
      <c r="A716" s="49"/>
      <c r="B716" s="19"/>
      <c r="C716" s="19"/>
      <c r="D716" s="19"/>
      <c r="E716" s="19"/>
      <c r="F716" s="19"/>
    </row>
    <row r="717" spans="1:6" x14ac:dyDescent="0.2">
      <c r="A717" s="49"/>
      <c r="B717" s="19"/>
      <c r="C717" s="19"/>
      <c r="D717" s="19"/>
      <c r="E717" s="19"/>
      <c r="F717" s="19"/>
    </row>
    <row r="718" spans="1:6" x14ac:dyDescent="0.2">
      <c r="A718" s="49"/>
      <c r="B718" s="19"/>
      <c r="C718" s="19"/>
      <c r="D718" s="19"/>
      <c r="E718" s="19"/>
      <c r="F718" s="19"/>
    </row>
    <row r="719" spans="1:6" x14ac:dyDescent="0.2">
      <c r="A719" s="49"/>
      <c r="B719" s="19"/>
      <c r="C719" s="19"/>
      <c r="D719" s="19"/>
      <c r="E719" s="19"/>
      <c r="F719" s="19"/>
    </row>
    <row r="720" spans="1:6" x14ac:dyDescent="0.2">
      <c r="A720" s="49"/>
      <c r="B720" s="19"/>
      <c r="C720" s="19"/>
      <c r="D720" s="19"/>
      <c r="E720" s="19"/>
      <c r="F720" s="19"/>
    </row>
    <row r="721" spans="1:6" x14ac:dyDescent="0.2">
      <c r="A721" s="49"/>
      <c r="B721" s="19"/>
      <c r="C721" s="19"/>
      <c r="D721" s="19"/>
      <c r="E721" s="19"/>
      <c r="F721" s="19"/>
    </row>
    <row r="722" spans="1:6" x14ac:dyDescent="0.2">
      <c r="A722" s="49"/>
      <c r="B722" s="19"/>
      <c r="C722" s="19"/>
      <c r="D722" s="19"/>
      <c r="E722" s="19"/>
      <c r="F722" s="19"/>
    </row>
    <row r="723" spans="1:6" x14ac:dyDescent="0.2">
      <c r="A723" s="49"/>
      <c r="B723" s="19"/>
      <c r="C723" s="19"/>
      <c r="D723" s="19"/>
      <c r="E723" s="19"/>
      <c r="F723" s="19"/>
    </row>
    <row r="724" spans="1:6" x14ac:dyDescent="0.2">
      <c r="A724" s="49"/>
      <c r="B724" s="19"/>
      <c r="C724" s="19"/>
      <c r="D724" s="19"/>
      <c r="E724" s="19"/>
      <c r="F724" s="19"/>
    </row>
    <row r="725" spans="1:6" x14ac:dyDescent="0.2">
      <c r="A725" s="49"/>
      <c r="B725" s="19"/>
      <c r="C725" s="19"/>
      <c r="D725" s="19"/>
      <c r="E725" s="19"/>
      <c r="F725" s="19"/>
    </row>
    <row r="726" spans="1:6" x14ac:dyDescent="0.2">
      <c r="A726" s="49"/>
      <c r="B726" s="19"/>
      <c r="C726" s="19"/>
      <c r="D726" s="19"/>
      <c r="E726" s="19"/>
      <c r="F726" s="19"/>
    </row>
    <row r="727" spans="1:6" x14ac:dyDescent="0.2">
      <c r="A727" s="49"/>
      <c r="B727" s="19"/>
      <c r="C727" s="19"/>
      <c r="D727" s="19"/>
      <c r="E727" s="19"/>
      <c r="F727" s="19"/>
    </row>
    <row r="728" spans="1:6" x14ac:dyDescent="0.2">
      <c r="A728" s="49"/>
      <c r="B728" s="19"/>
      <c r="C728" s="19"/>
      <c r="D728" s="19"/>
      <c r="E728" s="19"/>
      <c r="F728" s="19"/>
    </row>
    <row r="729" spans="1:6" x14ac:dyDescent="0.2">
      <c r="A729" s="49"/>
      <c r="B729" s="19"/>
      <c r="C729" s="19"/>
      <c r="D729" s="19"/>
      <c r="E729" s="19"/>
      <c r="F729" s="19"/>
    </row>
    <row r="730" spans="1:6" x14ac:dyDescent="0.2">
      <c r="A730" s="49"/>
      <c r="B730" s="19"/>
      <c r="C730" s="19"/>
      <c r="D730" s="19"/>
      <c r="E730" s="19"/>
      <c r="F730" s="19"/>
    </row>
    <row r="731" spans="1:6" x14ac:dyDescent="0.2">
      <c r="A731" s="49"/>
      <c r="B731" s="19"/>
      <c r="C731" s="19"/>
      <c r="D731" s="19"/>
      <c r="E731" s="19"/>
      <c r="F731" s="19"/>
    </row>
    <row r="732" spans="1:6" x14ac:dyDescent="0.2">
      <c r="A732" s="49"/>
      <c r="B732" s="19"/>
      <c r="C732" s="19"/>
      <c r="D732" s="19"/>
      <c r="E732" s="19"/>
      <c r="F732" s="19"/>
    </row>
    <row r="733" spans="1:6" x14ac:dyDescent="0.2">
      <c r="A733" s="49"/>
      <c r="B733" s="19"/>
      <c r="C733" s="19"/>
      <c r="D733" s="19"/>
      <c r="E733" s="19"/>
      <c r="F733" s="19"/>
    </row>
    <row r="734" spans="1:6" x14ac:dyDescent="0.2">
      <c r="A734" s="49"/>
      <c r="B734" s="19"/>
      <c r="C734" s="19"/>
      <c r="D734" s="19"/>
      <c r="E734" s="19"/>
      <c r="F734" s="19"/>
    </row>
    <row r="735" spans="1:6" x14ac:dyDescent="0.2">
      <c r="A735" s="49"/>
      <c r="B735" s="19"/>
      <c r="C735" s="19"/>
      <c r="D735" s="19"/>
      <c r="E735" s="19"/>
      <c r="F735" s="19"/>
    </row>
    <row r="736" spans="1:6" x14ac:dyDescent="0.2">
      <c r="A736" s="49"/>
      <c r="B736" s="19"/>
      <c r="C736" s="19"/>
      <c r="D736" s="19"/>
      <c r="E736" s="19"/>
      <c r="F736" s="19"/>
    </row>
    <row r="737" spans="1:6" x14ac:dyDescent="0.2">
      <c r="A737" s="49"/>
      <c r="B737" s="19"/>
      <c r="C737" s="19"/>
      <c r="D737" s="19"/>
      <c r="E737" s="19"/>
      <c r="F737" s="19"/>
    </row>
    <row r="738" spans="1:6" x14ac:dyDescent="0.2">
      <c r="A738" s="49"/>
      <c r="B738" s="19"/>
      <c r="C738" s="19"/>
      <c r="D738" s="19"/>
      <c r="E738" s="19"/>
      <c r="F738" s="19"/>
    </row>
    <row r="739" spans="1:6" x14ac:dyDescent="0.2">
      <c r="A739" s="49"/>
      <c r="B739" s="19"/>
      <c r="C739" s="19"/>
      <c r="D739" s="19"/>
      <c r="E739" s="19"/>
      <c r="F739" s="19"/>
    </row>
    <row r="740" spans="1:6" x14ac:dyDescent="0.2">
      <c r="A740" s="49"/>
      <c r="B740" s="19"/>
      <c r="C740" s="19"/>
      <c r="D740" s="19"/>
      <c r="E740" s="19"/>
      <c r="F740" s="19"/>
    </row>
    <row r="741" spans="1:6" x14ac:dyDescent="0.2">
      <c r="A741" s="49"/>
      <c r="B741" s="19"/>
      <c r="C741" s="19"/>
      <c r="D741" s="19"/>
      <c r="E741" s="19"/>
      <c r="F741" s="19"/>
    </row>
    <row r="742" spans="1:6" x14ac:dyDescent="0.2">
      <c r="A742" s="49"/>
      <c r="B742" s="19"/>
      <c r="C742" s="19"/>
      <c r="D742" s="19"/>
      <c r="E742" s="19"/>
      <c r="F742" s="19"/>
    </row>
    <row r="743" spans="1:6" x14ac:dyDescent="0.2">
      <c r="A743" s="49"/>
      <c r="B743" s="19"/>
      <c r="C743" s="19"/>
      <c r="D743" s="19"/>
      <c r="E743" s="19"/>
      <c r="F743" s="19"/>
    </row>
    <row r="744" spans="1:6" x14ac:dyDescent="0.2">
      <c r="A744" s="49"/>
      <c r="B744" s="19"/>
      <c r="C744" s="19"/>
      <c r="D744" s="19"/>
      <c r="E744" s="19"/>
      <c r="F744" s="19"/>
    </row>
    <row r="745" spans="1:6" x14ac:dyDescent="0.2">
      <c r="A745" s="49"/>
      <c r="B745" s="19"/>
      <c r="C745" s="19"/>
      <c r="D745" s="19"/>
      <c r="E745" s="19"/>
      <c r="F745" s="19"/>
    </row>
    <row r="746" spans="1:6" x14ac:dyDescent="0.2">
      <c r="A746" s="49"/>
      <c r="B746" s="19"/>
      <c r="C746" s="19"/>
      <c r="D746" s="19"/>
      <c r="E746" s="19"/>
      <c r="F746" s="19"/>
    </row>
    <row r="747" spans="1:6" x14ac:dyDescent="0.2">
      <c r="A747" s="49"/>
      <c r="B747" s="19"/>
      <c r="C747" s="19"/>
      <c r="D747" s="19"/>
      <c r="E747" s="19"/>
      <c r="F747" s="19"/>
    </row>
    <row r="748" spans="1:6" x14ac:dyDescent="0.2">
      <c r="A748" s="49"/>
      <c r="B748" s="19"/>
      <c r="C748" s="19"/>
      <c r="D748" s="19"/>
      <c r="E748" s="19"/>
      <c r="F748" s="19"/>
    </row>
    <row r="749" spans="1:6" x14ac:dyDescent="0.2">
      <c r="A749" s="49"/>
      <c r="B749" s="19"/>
      <c r="C749" s="19"/>
      <c r="D749" s="19"/>
      <c r="E749" s="19"/>
      <c r="F749" s="19"/>
    </row>
    <row r="750" spans="1:6" x14ac:dyDescent="0.2">
      <c r="A750" s="49"/>
      <c r="B750" s="19"/>
      <c r="C750" s="19"/>
      <c r="D750" s="19"/>
      <c r="E750" s="19"/>
      <c r="F750" s="19"/>
    </row>
    <row r="751" spans="1:6" x14ac:dyDescent="0.2">
      <c r="A751" s="49"/>
      <c r="B751" s="19"/>
      <c r="C751" s="19"/>
      <c r="D751" s="19"/>
      <c r="E751" s="19"/>
      <c r="F751" s="19"/>
    </row>
    <row r="752" spans="1:6" x14ac:dyDescent="0.2">
      <c r="A752" s="49"/>
      <c r="B752" s="19"/>
      <c r="C752" s="19"/>
      <c r="D752" s="19"/>
      <c r="E752" s="19"/>
      <c r="F752" s="19"/>
    </row>
    <row r="753" spans="1:6" x14ac:dyDescent="0.2">
      <c r="A753" s="49"/>
      <c r="B753" s="19"/>
      <c r="C753" s="19"/>
      <c r="D753" s="19"/>
      <c r="E753" s="19"/>
      <c r="F753" s="19"/>
    </row>
    <row r="754" spans="1:6" x14ac:dyDescent="0.2">
      <c r="A754" s="49"/>
      <c r="B754" s="19"/>
      <c r="C754" s="19"/>
      <c r="D754" s="19"/>
      <c r="E754" s="19"/>
      <c r="F754" s="19"/>
    </row>
    <row r="755" spans="1:6" x14ac:dyDescent="0.2">
      <c r="A755" s="49"/>
      <c r="B755" s="19"/>
      <c r="C755" s="19"/>
      <c r="D755" s="19"/>
      <c r="E755" s="19"/>
      <c r="F755" s="19"/>
    </row>
    <row r="756" spans="1:6" x14ac:dyDescent="0.2">
      <c r="A756" s="49"/>
      <c r="B756" s="19"/>
      <c r="C756" s="19"/>
      <c r="D756" s="19"/>
      <c r="E756" s="19"/>
      <c r="F756" s="19"/>
    </row>
    <row r="757" spans="1:6" x14ac:dyDescent="0.2">
      <c r="A757" s="49"/>
      <c r="B757" s="19"/>
      <c r="C757" s="19"/>
      <c r="D757" s="19"/>
      <c r="E757" s="19"/>
      <c r="F757" s="19"/>
    </row>
    <row r="758" spans="1:6" x14ac:dyDescent="0.2">
      <c r="A758" s="49"/>
      <c r="B758" s="19"/>
      <c r="C758" s="19"/>
      <c r="D758" s="19"/>
      <c r="E758" s="19"/>
      <c r="F758" s="19"/>
    </row>
    <row r="759" spans="1:6" x14ac:dyDescent="0.2">
      <c r="A759" s="49"/>
      <c r="B759" s="19"/>
      <c r="C759" s="19"/>
      <c r="D759" s="19"/>
      <c r="E759" s="19"/>
      <c r="F759" s="19"/>
    </row>
    <row r="760" spans="1:6" x14ac:dyDescent="0.2">
      <c r="A760" s="49"/>
      <c r="B760" s="19"/>
      <c r="C760" s="19"/>
      <c r="D760" s="19"/>
      <c r="E760" s="19"/>
      <c r="F760" s="19"/>
    </row>
    <row r="761" spans="1:6" x14ac:dyDescent="0.2">
      <c r="A761" s="49"/>
      <c r="B761" s="19"/>
      <c r="C761" s="19"/>
      <c r="D761" s="19"/>
      <c r="E761" s="19"/>
      <c r="F761" s="19"/>
    </row>
    <row r="762" spans="1:6" x14ac:dyDescent="0.2">
      <c r="A762" s="49"/>
      <c r="B762" s="19"/>
      <c r="C762" s="19"/>
      <c r="D762" s="19"/>
      <c r="E762" s="19"/>
      <c r="F762" s="19"/>
    </row>
    <row r="763" spans="1:6" x14ac:dyDescent="0.2">
      <c r="A763" s="49"/>
      <c r="B763" s="19"/>
      <c r="C763" s="19"/>
      <c r="D763" s="19"/>
      <c r="E763" s="19"/>
      <c r="F763" s="19"/>
    </row>
    <row r="764" spans="1:6" x14ac:dyDescent="0.2">
      <c r="A764" s="49"/>
      <c r="B764" s="19"/>
      <c r="C764" s="19"/>
      <c r="D764" s="19"/>
      <c r="E764" s="19"/>
      <c r="F764" s="19"/>
    </row>
    <row r="765" spans="1:6" x14ac:dyDescent="0.2">
      <c r="A765" s="49"/>
      <c r="B765" s="19"/>
      <c r="C765" s="19"/>
      <c r="D765" s="19"/>
      <c r="E765" s="19"/>
      <c r="F765" s="19"/>
    </row>
    <row r="766" spans="1:6" x14ac:dyDescent="0.2">
      <c r="A766" s="49"/>
      <c r="B766" s="19"/>
      <c r="C766" s="19"/>
      <c r="D766" s="19"/>
      <c r="E766" s="19"/>
      <c r="F766" s="19"/>
    </row>
    <row r="767" spans="1:6" x14ac:dyDescent="0.2">
      <c r="A767" s="49"/>
      <c r="B767" s="19"/>
      <c r="C767" s="19"/>
      <c r="D767" s="19"/>
      <c r="E767" s="19"/>
      <c r="F767" s="19"/>
    </row>
    <row r="768" spans="1:6" x14ac:dyDescent="0.2">
      <c r="A768" s="49"/>
      <c r="B768" s="19"/>
      <c r="C768" s="19"/>
      <c r="D768" s="19"/>
      <c r="E768" s="19"/>
      <c r="F768" s="19"/>
    </row>
    <row r="769" spans="1:6" x14ac:dyDescent="0.2">
      <c r="A769" s="49"/>
      <c r="B769" s="19"/>
      <c r="C769" s="19"/>
      <c r="D769" s="19"/>
      <c r="E769" s="19"/>
      <c r="F769" s="19"/>
    </row>
    <row r="770" spans="1:6" x14ac:dyDescent="0.2">
      <c r="A770" s="49"/>
      <c r="B770" s="19"/>
      <c r="C770" s="19"/>
      <c r="D770" s="19"/>
      <c r="E770" s="19"/>
      <c r="F770" s="19"/>
    </row>
    <row r="771" spans="1:6" x14ac:dyDescent="0.2">
      <c r="A771" s="49"/>
      <c r="B771" s="19"/>
      <c r="C771" s="19"/>
      <c r="D771" s="19"/>
      <c r="E771" s="19"/>
      <c r="F771" s="19"/>
    </row>
    <row r="772" spans="1:6" x14ac:dyDescent="0.2">
      <c r="A772" s="49"/>
      <c r="B772" s="19"/>
      <c r="C772" s="19"/>
      <c r="D772" s="19"/>
      <c r="E772" s="19"/>
      <c r="F772" s="19"/>
    </row>
    <row r="773" spans="1:6" x14ac:dyDescent="0.2">
      <c r="A773" s="49"/>
      <c r="B773" s="19"/>
      <c r="C773" s="19"/>
      <c r="D773" s="19"/>
      <c r="E773" s="19"/>
      <c r="F773" s="19"/>
    </row>
    <row r="774" spans="1:6" x14ac:dyDescent="0.2">
      <c r="A774" s="49"/>
      <c r="B774" s="19"/>
      <c r="C774" s="19"/>
      <c r="D774" s="19"/>
      <c r="E774" s="19"/>
      <c r="F774" s="19"/>
    </row>
    <row r="775" spans="1:6" x14ac:dyDescent="0.2">
      <c r="A775" s="49"/>
      <c r="B775" s="19"/>
      <c r="C775" s="19"/>
      <c r="D775" s="19"/>
      <c r="E775" s="19"/>
      <c r="F775" s="19"/>
    </row>
    <row r="776" spans="1:6" x14ac:dyDescent="0.2">
      <c r="A776" s="49"/>
      <c r="B776" s="19"/>
      <c r="C776" s="19"/>
      <c r="D776" s="19"/>
      <c r="E776" s="19"/>
      <c r="F776" s="19"/>
    </row>
    <row r="777" spans="1:6" x14ac:dyDescent="0.2">
      <c r="A777" s="49"/>
      <c r="B777" s="19"/>
      <c r="C777" s="19"/>
      <c r="D777" s="19"/>
      <c r="E777" s="19"/>
      <c r="F777" s="19"/>
    </row>
    <row r="778" spans="1:6" x14ac:dyDescent="0.2">
      <c r="A778" s="49"/>
      <c r="B778" s="19"/>
      <c r="C778" s="19"/>
      <c r="D778" s="19"/>
      <c r="E778" s="19"/>
      <c r="F778" s="19"/>
    </row>
    <row r="779" spans="1:6" x14ac:dyDescent="0.2">
      <c r="A779" s="49"/>
      <c r="B779" s="19"/>
      <c r="C779" s="19"/>
      <c r="D779" s="19"/>
      <c r="E779" s="19"/>
      <c r="F779" s="19"/>
    </row>
    <row r="780" spans="1:6" x14ac:dyDescent="0.2">
      <c r="A780" s="49"/>
      <c r="B780" s="19"/>
      <c r="C780" s="19"/>
      <c r="D780" s="19"/>
      <c r="E780" s="19"/>
      <c r="F780" s="19"/>
    </row>
    <row r="781" spans="1:6" x14ac:dyDescent="0.2">
      <c r="A781" s="49"/>
      <c r="B781" s="19"/>
      <c r="C781" s="19"/>
      <c r="D781" s="19"/>
      <c r="E781" s="19"/>
      <c r="F781" s="19"/>
    </row>
    <row r="782" spans="1:6" x14ac:dyDescent="0.2">
      <c r="A782" s="49"/>
      <c r="B782" s="19"/>
      <c r="C782" s="19"/>
      <c r="D782" s="19"/>
      <c r="E782" s="19"/>
      <c r="F782" s="19"/>
    </row>
    <row r="783" spans="1:6" x14ac:dyDescent="0.2">
      <c r="A783" s="49"/>
      <c r="B783" s="19"/>
      <c r="C783" s="19"/>
      <c r="D783" s="19"/>
      <c r="E783" s="19"/>
      <c r="F783" s="19"/>
    </row>
    <row r="784" spans="1:6" x14ac:dyDescent="0.2">
      <c r="A784" s="49"/>
      <c r="B784" s="19"/>
      <c r="C784" s="19"/>
      <c r="D784" s="19"/>
      <c r="E784" s="19"/>
      <c r="F784" s="19"/>
    </row>
    <row r="785" spans="1:6" x14ac:dyDescent="0.2">
      <c r="A785" s="49"/>
      <c r="B785" s="19"/>
      <c r="C785" s="19"/>
      <c r="D785" s="19"/>
      <c r="E785" s="19"/>
      <c r="F785" s="19"/>
    </row>
    <row r="786" spans="1:6" x14ac:dyDescent="0.2">
      <c r="A786" s="49"/>
      <c r="B786" s="19"/>
      <c r="C786" s="19"/>
      <c r="D786" s="19"/>
      <c r="E786" s="19"/>
      <c r="F786" s="19"/>
    </row>
    <row r="787" spans="1:6" x14ac:dyDescent="0.2">
      <c r="A787" s="49"/>
      <c r="B787" s="19"/>
      <c r="C787" s="19"/>
      <c r="D787" s="19"/>
      <c r="E787" s="19"/>
      <c r="F787" s="19"/>
    </row>
    <row r="788" spans="1:6" x14ac:dyDescent="0.2">
      <c r="A788" s="49"/>
      <c r="B788" s="19"/>
      <c r="C788" s="19"/>
      <c r="D788" s="19"/>
      <c r="E788" s="19"/>
      <c r="F788" s="19"/>
    </row>
    <row r="789" spans="1:6" x14ac:dyDescent="0.2">
      <c r="A789" s="49"/>
      <c r="B789" s="19"/>
      <c r="C789" s="19"/>
      <c r="D789" s="19"/>
      <c r="E789" s="19"/>
      <c r="F789" s="19"/>
    </row>
    <row r="790" spans="1:6" x14ac:dyDescent="0.2">
      <c r="A790" s="49"/>
      <c r="B790" s="19"/>
      <c r="C790" s="19"/>
      <c r="D790" s="19"/>
      <c r="E790" s="19"/>
      <c r="F790" s="19"/>
    </row>
    <row r="791" spans="1:6" x14ac:dyDescent="0.2">
      <c r="A791" s="49"/>
      <c r="B791" s="19"/>
      <c r="C791" s="19"/>
      <c r="D791" s="19"/>
      <c r="E791" s="19"/>
      <c r="F791" s="19"/>
    </row>
    <row r="792" spans="1:6" x14ac:dyDescent="0.2">
      <c r="A792" s="49"/>
      <c r="B792" s="19"/>
      <c r="C792" s="19"/>
      <c r="D792" s="19"/>
      <c r="E792" s="19"/>
      <c r="F792" s="19"/>
    </row>
    <row r="793" spans="1:6" x14ac:dyDescent="0.2">
      <c r="A793" s="49"/>
      <c r="B793" s="19"/>
      <c r="C793" s="19"/>
      <c r="D793" s="19"/>
      <c r="E793" s="19"/>
      <c r="F793" s="19"/>
    </row>
    <row r="794" spans="1:6" x14ac:dyDescent="0.2">
      <c r="A794" s="49"/>
      <c r="B794" s="19"/>
      <c r="C794" s="19"/>
      <c r="D794" s="19"/>
      <c r="E794" s="19"/>
      <c r="F794" s="19"/>
    </row>
    <row r="795" spans="1:6" x14ac:dyDescent="0.2">
      <c r="A795" s="49"/>
      <c r="B795" s="19"/>
      <c r="C795" s="19"/>
      <c r="D795" s="19"/>
      <c r="E795" s="19"/>
      <c r="F795" s="19"/>
    </row>
    <row r="796" spans="1:6" x14ac:dyDescent="0.2">
      <c r="A796" s="49"/>
      <c r="B796" s="19"/>
      <c r="C796" s="19"/>
      <c r="D796" s="19"/>
      <c r="E796" s="19"/>
      <c r="F796" s="19"/>
    </row>
    <row r="797" spans="1:6" x14ac:dyDescent="0.2">
      <c r="A797" s="49"/>
      <c r="B797" s="19"/>
      <c r="C797" s="19"/>
      <c r="D797" s="19"/>
      <c r="E797" s="19"/>
      <c r="F797" s="19"/>
    </row>
    <row r="798" spans="1:6" x14ac:dyDescent="0.2">
      <c r="A798" s="49"/>
      <c r="B798" s="19"/>
      <c r="C798" s="19"/>
      <c r="D798" s="19"/>
      <c r="E798" s="19"/>
      <c r="F798" s="19"/>
    </row>
    <row r="799" spans="1:6" x14ac:dyDescent="0.2">
      <c r="A799" s="49"/>
      <c r="B799" s="19"/>
      <c r="C799" s="19"/>
      <c r="D799" s="19"/>
      <c r="E799" s="19"/>
      <c r="F799" s="19"/>
    </row>
    <row r="800" spans="1:6" x14ac:dyDescent="0.2">
      <c r="A800" s="49"/>
      <c r="B800" s="19"/>
      <c r="C800" s="19"/>
      <c r="D800" s="19"/>
      <c r="E800" s="19"/>
      <c r="F800" s="19"/>
    </row>
    <row r="801" spans="1:6" x14ac:dyDescent="0.2">
      <c r="A801" s="49"/>
      <c r="B801" s="19"/>
      <c r="C801" s="19"/>
      <c r="D801" s="19"/>
      <c r="E801" s="19"/>
      <c r="F801" s="19"/>
    </row>
    <row r="802" spans="1:6" x14ac:dyDescent="0.2">
      <c r="A802" s="49"/>
      <c r="B802" s="19"/>
      <c r="C802" s="19"/>
      <c r="D802" s="19"/>
      <c r="E802" s="19"/>
      <c r="F802" s="19"/>
    </row>
    <row r="803" spans="1:6" x14ac:dyDescent="0.2">
      <c r="A803" s="49"/>
      <c r="B803" s="19"/>
      <c r="C803" s="19"/>
      <c r="D803" s="19"/>
      <c r="E803" s="19"/>
      <c r="F803" s="19"/>
    </row>
    <row r="804" spans="1:6" x14ac:dyDescent="0.2">
      <c r="A804" s="49"/>
      <c r="B804" s="19"/>
      <c r="C804" s="19"/>
      <c r="D804" s="19"/>
      <c r="E804" s="19"/>
      <c r="F804" s="19"/>
    </row>
    <row r="805" spans="1:6" x14ac:dyDescent="0.2">
      <c r="A805" s="49"/>
      <c r="B805" s="19"/>
      <c r="C805" s="19"/>
      <c r="D805" s="19"/>
      <c r="E805" s="19"/>
      <c r="F805" s="19"/>
    </row>
    <row r="806" spans="1:6" x14ac:dyDescent="0.2">
      <c r="A806" s="49"/>
      <c r="B806" s="19"/>
      <c r="C806" s="19"/>
      <c r="D806" s="19"/>
      <c r="E806" s="19"/>
      <c r="F806" s="19"/>
    </row>
    <row r="807" spans="1:6" x14ac:dyDescent="0.2">
      <c r="A807" s="49"/>
      <c r="B807" s="19"/>
      <c r="C807" s="19"/>
      <c r="D807" s="19"/>
      <c r="E807" s="19"/>
      <c r="F807" s="19"/>
    </row>
    <row r="808" spans="1:6" x14ac:dyDescent="0.2">
      <c r="A808" s="49"/>
      <c r="B808" s="19"/>
      <c r="C808" s="19"/>
      <c r="D808" s="19"/>
      <c r="E808" s="19"/>
      <c r="F808" s="19"/>
    </row>
    <row r="809" spans="1:6" x14ac:dyDescent="0.2">
      <c r="A809" s="49"/>
      <c r="B809" s="19"/>
      <c r="C809" s="19"/>
      <c r="D809" s="19"/>
      <c r="E809" s="19"/>
      <c r="F809" s="19"/>
    </row>
    <row r="810" spans="1:6" x14ac:dyDescent="0.2">
      <c r="A810" s="49"/>
      <c r="B810" s="19"/>
      <c r="C810" s="19"/>
      <c r="D810" s="19"/>
      <c r="E810" s="19"/>
      <c r="F810" s="19"/>
    </row>
    <row r="811" spans="1:6" x14ac:dyDescent="0.2">
      <c r="A811" s="49"/>
      <c r="B811" s="19"/>
      <c r="C811" s="19"/>
      <c r="D811" s="19"/>
      <c r="E811" s="19"/>
      <c r="F811" s="19"/>
    </row>
    <row r="812" spans="1:6" x14ac:dyDescent="0.2">
      <c r="A812" s="49"/>
      <c r="B812" s="19"/>
      <c r="C812" s="19"/>
      <c r="D812" s="19"/>
      <c r="E812" s="19"/>
      <c r="F812" s="19"/>
    </row>
    <row r="813" spans="1:6" x14ac:dyDescent="0.2">
      <c r="A813" s="49"/>
      <c r="B813" s="19"/>
      <c r="C813" s="19"/>
      <c r="D813" s="19"/>
      <c r="E813" s="19"/>
      <c r="F813" s="19"/>
    </row>
    <row r="814" spans="1:6" x14ac:dyDescent="0.2">
      <c r="A814" s="49"/>
      <c r="B814" s="19"/>
      <c r="C814" s="19"/>
      <c r="D814" s="19"/>
      <c r="E814" s="19"/>
      <c r="F814" s="19"/>
    </row>
  </sheetData>
  <autoFilter ref="A1:T234" xr:uid="{F2055807-330B-4D1F-814F-DCC29A743341}"/>
  <conditionalFormatting sqref="A1">
    <cfRule type="duplicateValues" dxfId="3" priority="3"/>
  </conditionalFormatting>
  <conditionalFormatting sqref="A2:A172">
    <cfRule type="duplicateValues" dxfId="2" priority="4"/>
  </conditionalFormatting>
  <conditionalFormatting sqref="A173:A1048576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571C8-52AA-4C95-8A0B-CF8B347B1261}">
  <dimension ref="A1:S300"/>
  <sheetViews>
    <sheetView workbookViewId="0">
      <selection activeCell="A17" sqref="A2:A91"/>
      <pivotSelection pane="bottomRight" showHeader="1" axis="axisRow" activeRow="16" previousRow="16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2.75" x14ac:dyDescent="0.2"/>
  <cols>
    <col min="1" max="1" width="19.85546875" bestFit="1" customWidth="1"/>
    <col min="2" max="2" width="14.5703125" bestFit="1" customWidth="1"/>
    <col min="3" max="3" width="17.7109375" bestFit="1" customWidth="1"/>
    <col min="4" max="4" width="15.28515625" bestFit="1" customWidth="1"/>
    <col min="5" max="5" width="37.42578125" bestFit="1" customWidth="1"/>
    <col min="6" max="6" width="9.140625" style="55" bestFit="1" customWidth="1"/>
    <col min="7" max="7" width="12.140625" style="55" bestFit="1" customWidth="1"/>
    <col min="8" max="8" width="14.28515625" style="55" bestFit="1" customWidth="1"/>
    <col min="9" max="9" width="13" style="55" bestFit="1" customWidth="1"/>
    <col min="10" max="10" width="14.7109375" style="55" bestFit="1" customWidth="1"/>
    <col min="11" max="11" width="13.42578125" style="55" bestFit="1" customWidth="1"/>
    <col min="12" max="12" width="16.5703125" bestFit="1" customWidth="1"/>
    <col min="13" max="13" width="15.28515625" bestFit="1" customWidth="1"/>
    <col min="14" max="14" width="11.140625" bestFit="1" customWidth="1"/>
    <col min="15" max="15" width="13.28515625" bestFit="1" customWidth="1"/>
    <col min="16" max="16" width="14.28515625" bestFit="1" customWidth="1"/>
    <col min="18" max="18" width="13" bestFit="1" customWidth="1"/>
    <col min="19" max="19" width="17.7109375" bestFit="1" customWidth="1"/>
  </cols>
  <sheetData>
    <row r="1" spans="1:19" ht="15.75" thickBot="1" x14ac:dyDescent="0.25">
      <c r="A1" s="50" t="s">
        <v>73</v>
      </c>
      <c r="B1" s="14" t="s">
        <v>58</v>
      </c>
      <c r="C1" s="51" t="s">
        <v>59</v>
      </c>
      <c r="D1" s="52" t="s">
        <v>60</v>
      </c>
      <c r="E1" s="51" t="s">
        <v>61</v>
      </c>
      <c r="F1" s="51" t="s">
        <v>7</v>
      </c>
      <c r="G1" s="51" t="s">
        <v>8</v>
      </c>
      <c r="H1" s="51" t="s">
        <v>62</v>
      </c>
      <c r="I1" s="51" t="s">
        <v>63</v>
      </c>
      <c r="J1" s="51" t="s">
        <v>64</v>
      </c>
      <c r="K1" s="51" t="s">
        <v>65</v>
      </c>
      <c r="L1" s="51" t="s">
        <v>66</v>
      </c>
      <c r="M1" s="51" t="s">
        <v>67</v>
      </c>
      <c r="N1" s="16" t="s">
        <v>68</v>
      </c>
      <c r="O1" s="16" t="s">
        <v>69</v>
      </c>
      <c r="P1" s="16" t="s">
        <v>70</v>
      </c>
      <c r="Q1" s="16"/>
      <c r="R1" s="16" t="s">
        <v>71</v>
      </c>
      <c r="S1" s="17" t="s">
        <v>72</v>
      </c>
    </row>
    <row r="2" spans="1:19" x14ac:dyDescent="0.2">
      <c r="A2" s="9" t="s">
        <v>199</v>
      </c>
      <c r="C2" s="5" t="str">
        <f>+A2</f>
        <v>/</v>
      </c>
      <c r="D2" s="10">
        <f>_xlfn.MAXIFS('LD F.G ROLL'!J:J,'LD F.G ROLL'!A:A,C2)</f>
        <v>45917</v>
      </c>
      <c r="E2" s="53" t="str" cm="1">
        <f t="array" ref="E2:G2">IFERROR(VLOOKUP(C2,'LD F.G ROLL'!A:T,{2,5,6},0),"-")</f>
        <v>PACKING ROLL</v>
      </c>
      <c r="F2" s="6">
        <v>0</v>
      </c>
      <c r="G2" s="6">
        <v>0</v>
      </c>
      <c r="H2" s="54">
        <f>SUMIFS('LD F.G ROLL'!K:K,'LD F.G ROLL'!A:A,Sheet2!C2)</f>
        <v>3</v>
      </c>
      <c r="I2" s="54">
        <f>SUMIFS('LD F.G ROLL'!L:L,'LD F.G ROLL'!$A:$A,Sheet2!$C2)</f>
        <v>250</v>
      </c>
      <c r="J2" s="54">
        <f>SUMIFS('LD F.G ROLL'!S:S,'LD F.G ROLL'!$A:$A,Sheet2!$C2)</f>
        <v>0</v>
      </c>
      <c r="K2" s="54">
        <f>SUMIFS('LD F.G ROLL'!T:T,'LD F.G ROLL'!$A:$A,Sheet2!$C2)</f>
        <v>0</v>
      </c>
      <c r="L2" s="6">
        <f>+H2-J2</f>
        <v>3</v>
      </c>
      <c r="M2" s="6">
        <f>+I2-K2</f>
        <v>250</v>
      </c>
      <c r="N2" t="e" cm="1">
        <f t="array" ref="N2:N300">_xlfn.XLOOKUP(P$2:P$300,'SAP CODE'!F:F,'SAP CODE'!A:A)</f>
        <v>#N/A</v>
      </c>
      <c r="O2" t="s">
        <v>199</v>
      </c>
      <c r="P2" t="str">
        <f>CONCATENATE(F2,O2,G2,)</f>
        <v>0/0</v>
      </c>
    </row>
    <row r="3" spans="1:19" x14ac:dyDescent="0.2">
      <c r="A3" s="9" t="s">
        <v>74</v>
      </c>
      <c r="C3" s="5" t="str">
        <f t="shared" ref="C3:C45" si="0">+A3</f>
        <v>(blank)</v>
      </c>
      <c r="D3" s="10">
        <f>_xlfn.MAXIFS('LD F.G ROLL'!J:J,'LD F.G ROLL'!A:A,C3)</f>
        <v>0</v>
      </c>
      <c r="E3" s="53" t="str" cm="1">
        <f t="array" ref="E3">IFERROR(VLOOKUP(C3,'LD F.G ROLL'!A:T,{2,5,6},0),"-")</f>
        <v>-</v>
      </c>
      <c r="F3" s="6"/>
      <c r="G3" s="6"/>
      <c r="H3" s="54">
        <f>SUMIFS('LD F.G ROLL'!K:K,'LD F.G ROLL'!A:A,Sheet2!C3)</f>
        <v>0</v>
      </c>
      <c r="I3" s="54">
        <f>SUMIFS('LD F.G ROLL'!L:L,'LD F.G ROLL'!$A:$A,Sheet2!$C3)</f>
        <v>0</v>
      </c>
      <c r="J3" s="54">
        <f>SUMIFS('LD F.G ROLL'!S:S,'LD F.G ROLL'!$A:$A,Sheet2!$C3)</f>
        <v>0</v>
      </c>
      <c r="K3" s="54">
        <f>SUMIFS('LD F.G ROLL'!T:T,'LD F.G ROLL'!$A:$A,Sheet2!$C3)</f>
        <v>0</v>
      </c>
      <c r="L3" s="6">
        <f t="shared" ref="L3:L45" si="1">+H3-J3</f>
        <v>0</v>
      </c>
      <c r="M3" s="6">
        <f t="shared" ref="M3:M45" si="2">+I3-K3</f>
        <v>0</v>
      </c>
      <c r="N3">
        <v>179</v>
      </c>
      <c r="O3" t="s">
        <v>199</v>
      </c>
      <c r="P3" t="str">
        <f t="shared" ref="P3:P45" si="3">CONCATENATE(F3,O3,G3,)</f>
        <v>/</v>
      </c>
    </row>
    <row r="4" spans="1:19" x14ac:dyDescent="0.2">
      <c r="A4" s="9" t="s">
        <v>234</v>
      </c>
      <c r="C4" s="5" t="str">
        <f t="shared" si="0"/>
        <v>19/12</v>
      </c>
      <c r="D4" s="10">
        <f>_xlfn.MAXIFS('LD F.G ROLL'!J:J,'LD F.G ROLL'!A:A,C4)</f>
        <v>45913</v>
      </c>
      <c r="E4" s="53" t="str" cm="1">
        <f t="array" ref="E4:G4">IFERROR(VLOOKUP(C4,'LD F.G ROLL'!A:T,{2,5,6},0),"-")</f>
        <v>Usman Amin</v>
      </c>
      <c r="F4" s="6">
        <v>19</v>
      </c>
      <c r="G4" s="6" t="str">
        <v>12</v>
      </c>
      <c r="H4" s="54">
        <f>SUMIFS('LD F.G ROLL'!K:K,'LD F.G ROLL'!A:A,Sheet2!C4)</f>
        <v>13</v>
      </c>
      <c r="I4" s="54">
        <f>SUMIFS('LD F.G ROLL'!L:L,'LD F.G ROLL'!$A:$A,Sheet2!$C4)</f>
        <v>853.30000000000007</v>
      </c>
      <c r="J4" s="54">
        <f>SUMIFS('LD F.G ROLL'!S:S,'LD F.G ROLL'!$A:$A,Sheet2!$C4)</f>
        <v>5</v>
      </c>
      <c r="K4" s="54">
        <f>SUMIFS('LD F.G ROLL'!T:T,'LD F.G ROLL'!$A:$A,Sheet2!$C4)</f>
        <v>727.8</v>
      </c>
      <c r="L4" s="6">
        <f t="shared" si="1"/>
        <v>8</v>
      </c>
      <c r="M4" s="6">
        <f t="shared" si="2"/>
        <v>125.50000000000011</v>
      </c>
      <c r="N4" t="e">
        <v>#N/A</v>
      </c>
      <c r="O4" t="s">
        <v>199</v>
      </c>
      <c r="P4" t="str">
        <f t="shared" si="3"/>
        <v>19/12</v>
      </c>
    </row>
    <row r="5" spans="1:19" x14ac:dyDescent="0.2">
      <c r="A5" s="9" t="s">
        <v>126</v>
      </c>
      <c r="C5" s="5" t="str">
        <f t="shared" si="0"/>
        <v>18/7</v>
      </c>
      <c r="D5" s="10">
        <f>_xlfn.MAXIFS('LD F.G ROLL'!J:J,'LD F.G ROLL'!A:A,C5)</f>
        <v>45904</v>
      </c>
      <c r="E5" s="53" t="str" cm="1">
        <f t="array" ref="E5:G5">IFERROR(VLOOKUP(C5,'LD F.G ROLL'!A:T,{2,5,6},0),"-")</f>
        <v>Usman Amin</v>
      </c>
      <c r="F5" s="6">
        <v>18</v>
      </c>
      <c r="G5" s="6" t="str">
        <v>7</v>
      </c>
      <c r="H5" s="54">
        <f>SUMIFS('LD F.G ROLL'!K:K,'LD F.G ROLL'!A:A,Sheet2!C5)</f>
        <v>6</v>
      </c>
      <c r="I5" s="54">
        <f>SUMIFS('LD F.G ROLL'!L:L,'LD F.G ROLL'!$A:$A,Sheet2!$C5)</f>
        <v>349.6</v>
      </c>
      <c r="J5" s="54">
        <f>SUMIFS('LD F.G ROLL'!S:S,'LD F.G ROLL'!$A:$A,Sheet2!$C5)</f>
        <v>6</v>
      </c>
      <c r="K5" s="54">
        <f>SUMIFS('LD F.G ROLL'!T:T,'LD F.G ROLL'!$A:$A,Sheet2!$C5)</f>
        <v>349.6</v>
      </c>
      <c r="L5" s="6">
        <f t="shared" si="1"/>
        <v>0</v>
      </c>
      <c r="M5" s="6">
        <f t="shared" si="2"/>
        <v>0</v>
      </c>
      <c r="N5" t="e">
        <v>#N/A</v>
      </c>
      <c r="O5" t="s">
        <v>199</v>
      </c>
      <c r="P5" t="str">
        <f t="shared" si="3"/>
        <v>18/7</v>
      </c>
    </row>
    <row r="6" spans="1:19" x14ac:dyDescent="0.2">
      <c r="A6" s="9" t="s">
        <v>180</v>
      </c>
      <c r="C6" s="5" t="str">
        <f t="shared" si="0"/>
        <v>19/7</v>
      </c>
      <c r="D6" s="10">
        <f>_xlfn.MAXIFS('LD F.G ROLL'!J:J,'LD F.G ROLL'!A:A,C6)</f>
        <v>45905</v>
      </c>
      <c r="E6" s="53" t="str" cm="1">
        <f t="array" ref="E6:G6">IFERROR(VLOOKUP(C6,'LD F.G ROLL'!A:T,{2,5,6},0),"-")</f>
        <v>Usman Amin</v>
      </c>
      <c r="F6" s="6">
        <v>19</v>
      </c>
      <c r="G6" s="6" t="str">
        <v>7</v>
      </c>
      <c r="H6" s="54">
        <f>SUMIFS('LD F.G ROLL'!K:K,'LD F.G ROLL'!A:A,Sheet2!C6)</f>
        <v>5</v>
      </c>
      <c r="I6" s="54">
        <f>SUMIFS('LD F.G ROLL'!L:L,'LD F.G ROLL'!$A:$A,Sheet2!$C6)</f>
        <v>281.39999999999998</v>
      </c>
      <c r="J6" s="54">
        <f>SUMIFS('LD F.G ROLL'!S:S,'LD F.G ROLL'!$A:$A,Sheet2!$C6)</f>
        <v>5</v>
      </c>
      <c r="K6" s="54">
        <f>SUMIFS('LD F.G ROLL'!T:T,'LD F.G ROLL'!$A:$A,Sheet2!$C6)</f>
        <v>270.39999999999998</v>
      </c>
      <c r="L6" s="6">
        <f t="shared" si="1"/>
        <v>0</v>
      </c>
      <c r="M6" s="6">
        <f t="shared" si="2"/>
        <v>11</v>
      </c>
      <c r="N6" t="e">
        <v>#N/A</v>
      </c>
      <c r="O6" t="s">
        <v>199</v>
      </c>
      <c r="P6" t="str">
        <f t="shared" si="3"/>
        <v>19/7</v>
      </c>
    </row>
    <row r="7" spans="1:19" x14ac:dyDescent="0.2">
      <c r="A7" s="9" t="s">
        <v>235</v>
      </c>
      <c r="C7" s="5" t="str">
        <f t="shared" si="0"/>
        <v>8/15-16</v>
      </c>
      <c r="D7" s="10">
        <f>_xlfn.MAXIFS('LD F.G ROLL'!J:J,'LD F.G ROLL'!A:A,C7)</f>
        <v>45904</v>
      </c>
      <c r="E7" s="53" t="str" cm="1">
        <f t="array" ref="E7:G7">IFERROR(VLOOKUP(C7,'LD F.G ROLL'!A:T,{2,5,6},0),"-")</f>
        <v>DW Organic Dairy Farms Kasur</v>
      </c>
      <c r="F7" s="6">
        <v>8</v>
      </c>
      <c r="G7" s="6" t="str">
        <v>15-16</v>
      </c>
      <c r="H7" s="54">
        <f>SUMIFS('LD F.G ROLL'!K:K,'LD F.G ROLL'!A:A,Sheet2!C7)</f>
        <v>3</v>
      </c>
      <c r="I7" s="54">
        <f>SUMIFS('LD F.G ROLL'!L:L,'LD F.G ROLL'!$A:$A,Sheet2!$C7)</f>
        <v>104.79999999999998</v>
      </c>
      <c r="J7" s="54">
        <f>SUMIFS('LD F.G ROLL'!S:S,'LD F.G ROLL'!$A:$A,Sheet2!$C7)</f>
        <v>3</v>
      </c>
      <c r="K7" s="54">
        <f>SUMIFS('LD F.G ROLL'!T:T,'LD F.G ROLL'!$A:$A,Sheet2!$C7)</f>
        <v>104.79999999999998</v>
      </c>
      <c r="L7" s="6">
        <f t="shared" si="1"/>
        <v>0</v>
      </c>
      <c r="M7" s="6">
        <f t="shared" si="2"/>
        <v>0</v>
      </c>
      <c r="N7" t="e">
        <v>#N/A</v>
      </c>
      <c r="O7" t="s">
        <v>199</v>
      </c>
      <c r="P7" t="str">
        <f t="shared" si="3"/>
        <v>8/15-16</v>
      </c>
    </row>
    <row r="8" spans="1:19" x14ac:dyDescent="0.2">
      <c r="A8" s="9" t="s">
        <v>236</v>
      </c>
      <c r="C8" s="5" t="str">
        <f t="shared" si="0"/>
        <v>7/20</v>
      </c>
      <c r="D8" s="10">
        <f>_xlfn.MAXIFS('LD F.G ROLL'!J:J,'LD F.G ROLL'!A:A,C8)</f>
        <v>45904</v>
      </c>
      <c r="E8" s="53" t="str" cm="1">
        <f t="array" ref="E8:G8">IFERROR(VLOOKUP(C8,'LD F.G ROLL'!A:T,{2,5,6},0),"-")</f>
        <v xml:space="preserve">Moazmi Plastic Sahiwal </v>
      </c>
      <c r="F8" s="6">
        <v>7</v>
      </c>
      <c r="G8" s="6">
        <v>20</v>
      </c>
      <c r="H8" s="54">
        <f>SUMIFS('LD F.G ROLL'!K:K,'LD F.G ROLL'!A:A,Sheet2!C8)</f>
        <v>5</v>
      </c>
      <c r="I8" s="54">
        <f>SUMIFS('LD F.G ROLL'!L:L,'LD F.G ROLL'!$A:$A,Sheet2!$C8)</f>
        <v>209.60000000000002</v>
      </c>
      <c r="J8" s="54">
        <f>SUMIFS('LD F.G ROLL'!S:S,'LD F.G ROLL'!$A:$A,Sheet2!$C8)</f>
        <v>5</v>
      </c>
      <c r="K8" s="54">
        <f>SUMIFS('LD F.G ROLL'!T:T,'LD F.G ROLL'!$A:$A,Sheet2!$C8)</f>
        <v>209.4</v>
      </c>
      <c r="L8" s="6">
        <f t="shared" si="1"/>
        <v>0</v>
      </c>
      <c r="M8" s="6">
        <f t="shared" si="2"/>
        <v>0.20000000000001705</v>
      </c>
      <c r="N8" t="e">
        <v>#N/A</v>
      </c>
      <c r="O8" t="s">
        <v>199</v>
      </c>
      <c r="P8" t="str">
        <f t="shared" si="3"/>
        <v>7/20</v>
      </c>
    </row>
    <row r="9" spans="1:19" x14ac:dyDescent="0.2">
      <c r="A9" s="9" t="s">
        <v>237</v>
      </c>
      <c r="C9" s="5" t="str">
        <f t="shared" si="0"/>
        <v>5/9</v>
      </c>
      <c r="D9" s="10">
        <f>_xlfn.MAXIFS('LD F.G ROLL'!J:J,'LD F.G ROLL'!A:A,C9)</f>
        <v>45905</v>
      </c>
      <c r="E9" s="53" t="str" cm="1">
        <f t="array" ref="E9:G9">IFERROR(VLOOKUP(C9,'LD F.G ROLL'!A:T,{2,5,6},0),"-")</f>
        <v>GOGA PLASTIC GJW</v>
      </c>
      <c r="F9" s="6">
        <v>5</v>
      </c>
      <c r="G9" s="6">
        <v>9</v>
      </c>
      <c r="H9" s="54">
        <f>SUMIFS('LD F.G ROLL'!K:K,'LD F.G ROLL'!A:A,Sheet2!C9)</f>
        <v>9</v>
      </c>
      <c r="I9" s="54">
        <f>SUMIFS('LD F.G ROLL'!L:L,'LD F.G ROLL'!$A:$A,Sheet2!$C9)</f>
        <v>255.3</v>
      </c>
      <c r="J9" s="54">
        <f>SUMIFS('LD F.G ROLL'!S:S,'LD F.G ROLL'!$A:$A,Sheet2!$C9)</f>
        <v>9</v>
      </c>
      <c r="K9" s="54">
        <f>SUMIFS('LD F.G ROLL'!T:T,'LD F.G ROLL'!$A:$A,Sheet2!$C9)</f>
        <v>255.29999999999998</v>
      </c>
      <c r="L9" s="6">
        <f t="shared" si="1"/>
        <v>0</v>
      </c>
      <c r="M9" s="6">
        <f t="shared" si="2"/>
        <v>0</v>
      </c>
      <c r="N9" t="e">
        <v>#N/A</v>
      </c>
      <c r="O9" t="s">
        <v>199</v>
      </c>
      <c r="P9" t="str">
        <f t="shared" si="3"/>
        <v>5/9</v>
      </c>
    </row>
    <row r="10" spans="1:19" x14ac:dyDescent="0.2">
      <c r="A10" s="9" t="s">
        <v>238</v>
      </c>
      <c r="C10" s="5" t="str">
        <f t="shared" si="0"/>
        <v>30/12-13</v>
      </c>
      <c r="D10" s="10">
        <f>_xlfn.MAXIFS('LD F.G ROLL'!J:J,'LD F.G ROLL'!A:A,C10)</f>
        <v>45904</v>
      </c>
      <c r="E10" s="53" t="str" cm="1">
        <f t="array" ref="E10:G10">IFERROR(VLOOKUP(C10,'LD F.G ROLL'!A:T,{2,5,6},0),"-")</f>
        <v>HONDA ATLAS (CARS) LTD</v>
      </c>
      <c r="F10" s="6">
        <v>30</v>
      </c>
      <c r="G10" s="6" t="str">
        <v>12-13</v>
      </c>
      <c r="H10" s="54">
        <f>SUMIFS('LD F.G ROLL'!K:K,'LD F.G ROLL'!A:A,Sheet2!C10)</f>
        <v>4</v>
      </c>
      <c r="I10" s="54">
        <f>SUMIFS('LD F.G ROLL'!L:L,'LD F.G ROLL'!$A:$A,Sheet2!$C10)</f>
        <v>399.6</v>
      </c>
      <c r="J10" s="54">
        <f>SUMIFS('LD F.G ROLL'!S:S,'LD F.G ROLL'!$A:$A,Sheet2!$C10)</f>
        <v>0</v>
      </c>
      <c r="K10" s="54">
        <f>SUMIFS('LD F.G ROLL'!T:T,'LD F.G ROLL'!$A:$A,Sheet2!$C10)</f>
        <v>0</v>
      </c>
      <c r="L10" s="6">
        <f t="shared" si="1"/>
        <v>4</v>
      </c>
      <c r="M10" s="6">
        <f t="shared" si="2"/>
        <v>399.6</v>
      </c>
      <c r="N10" t="e">
        <v>#N/A</v>
      </c>
      <c r="O10" t="s">
        <v>199</v>
      </c>
      <c r="P10" t="str">
        <f t="shared" si="3"/>
        <v>30/12-13</v>
      </c>
    </row>
    <row r="11" spans="1:19" x14ac:dyDescent="0.2">
      <c r="A11" s="9" t="s">
        <v>239</v>
      </c>
      <c r="C11" s="5" t="str">
        <f t="shared" si="0"/>
        <v>23-23.5/70 GRAM</v>
      </c>
      <c r="D11" s="10">
        <f>_xlfn.MAXIFS('LD F.G ROLL'!J:J,'LD F.G ROLL'!A:A,C11)</f>
        <v>45910</v>
      </c>
      <c r="E11" s="53" t="str" cm="1">
        <f t="array" ref="E11:G11">IFERROR(VLOOKUP(C11,'LD F.G ROLL'!A:T,{2,5,6},0),"-")</f>
        <v>MATCO FOOD</v>
      </c>
      <c r="F11" s="6" t="str">
        <v>23-23.5</v>
      </c>
      <c r="G11" s="6" t="str">
        <v>70 GRAM</v>
      </c>
      <c r="H11" s="54">
        <f>SUMIFS('LD F.G ROLL'!K:K,'LD F.G ROLL'!A:A,Sheet2!C11)</f>
        <v>26</v>
      </c>
      <c r="I11" s="54">
        <f>SUMIFS('LD F.G ROLL'!L:L,'LD F.G ROLL'!$A:$A,Sheet2!$C11)</f>
        <v>2811.6</v>
      </c>
      <c r="J11" s="54">
        <f>SUMIFS('LD F.G ROLL'!S:S,'LD F.G ROLL'!$A:$A,Sheet2!$C11)</f>
        <v>0</v>
      </c>
      <c r="K11" s="54">
        <f>SUMIFS('LD F.G ROLL'!T:T,'LD F.G ROLL'!$A:$A,Sheet2!$C11)</f>
        <v>0</v>
      </c>
      <c r="L11" s="6">
        <f t="shared" si="1"/>
        <v>26</v>
      </c>
      <c r="M11" s="6">
        <f t="shared" si="2"/>
        <v>2811.6</v>
      </c>
      <c r="N11" t="e">
        <v>#N/A</v>
      </c>
      <c r="O11" t="s">
        <v>199</v>
      </c>
      <c r="P11" t="str">
        <f t="shared" si="3"/>
        <v>23-23.5/70 GRAM</v>
      </c>
    </row>
    <row r="12" spans="1:19" x14ac:dyDescent="0.2">
      <c r="A12" s="9" t="s">
        <v>240</v>
      </c>
      <c r="C12" s="5" t="str">
        <f t="shared" si="0"/>
        <v>20" شیٹ/7-7.5/14-15</v>
      </c>
      <c r="D12" s="10">
        <f>_xlfn.MAXIFS('LD F.G ROLL'!J:J,'LD F.G ROLL'!A:A,C12)</f>
        <v>45904</v>
      </c>
      <c r="E12" s="53" t="str" cm="1">
        <f t="array" ref="E12:G12">IFERROR(VLOOKUP(C12,'LD F.G ROLL'!A:T,{2,5,6},0),"-")</f>
        <v>Khurshid Hmaidi Foam Afghanstan</v>
      </c>
      <c r="F12" s="6" t="str">
        <v>20" شیٹ</v>
      </c>
      <c r="G12" s="6" t="str">
        <v>7-7.5/14-15</v>
      </c>
      <c r="H12" s="54">
        <f>SUMIFS('LD F.G ROLL'!K:K,'LD F.G ROLL'!A:A,Sheet2!C12)</f>
        <v>4</v>
      </c>
      <c r="I12" s="54">
        <f>SUMIFS('LD F.G ROLL'!L:L,'LD F.G ROLL'!$A:$A,Sheet2!$C12)</f>
        <v>299.8</v>
      </c>
      <c r="J12" s="54">
        <f>SUMIFS('LD F.G ROLL'!S:S,'LD F.G ROLL'!$A:$A,Sheet2!$C12)</f>
        <v>4</v>
      </c>
      <c r="K12" s="54">
        <f>SUMIFS('LD F.G ROLL'!T:T,'LD F.G ROLL'!$A:$A,Sheet2!$C12)</f>
        <v>299.8</v>
      </c>
      <c r="L12" s="6">
        <f t="shared" si="1"/>
        <v>0</v>
      </c>
      <c r="M12" s="6">
        <f t="shared" si="2"/>
        <v>0</v>
      </c>
      <c r="N12" t="e">
        <v>#N/A</v>
      </c>
      <c r="O12" t="s">
        <v>199</v>
      </c>
      <c r="P12" t="str">
        <f t="shared" si="3"/>
        <v>20" شیٹ/7-7.5/14-15</v>
      </c>
    </row>
    <row r="13" spans="1:19" x14ac:dyDescent="0.2">
      <c r="A13" s="9" t="s">
        <v>241</v>
      </c>
      <c r="C13" s="5" t="str">
        <f t="shared" si="0"/>
        <v>20 شیٹ/7-7.5/14-15</v>
      </c>
      <c r="D13" s="10">
        <f>_xlfn.MAXIFS('LD F.G ROLL'!J:J,'LD F.G ROLL'!A:A,C13)</f>
        <v>45905</v>
      </c>
      <c r="E13" s="53" t="str" cm="1">
        <f t="array" ref="E13:G13">IFERROR(VLOOKUP(C13,'LD F.G ROLL'!A:T,{2,5,6},0),"-")</f>
        <v>Shafi Foam Lahore</v>
      </c>
      <c r="F13" s="6" t="str">
        <v>20 شیٹ</v>
      </c>
      <c r="G13" s="6" t="str">
        <v>7-7.5/14-15</v>
      </c>
      <c r="H13" s="54">
        <f>SUMIFS('LD F.G ROLL'!K:K,'LD F.G ROLL'!A:A,Sheet2!C13)</f>
        <v>4</v>
      </c>
      <c r="I13" s="54">
        <f>SUMIFS('LD F.G ROLL'!L:L,'LD F.G ROLL'!$A:$A,Sheet2!$C13)</f>
        <v>220.4</v>
      </c>
      <c r="J13" s="54">
        <f>SUMIFS('LD F.G ROLL'!S:S,'LD F.G ROLL'!$A:$A,Sheet2!$C13)</f>
        <v>4</v>
      </c>
      <c r="K13" s="54">
        <f>SUMIFS('LD F.G ROLL'!T:T,'LD F.G ROLL'!$A:$A,Sheet2!$C13)</f>
        <v>220.4</v>
      </c>
      <c r="L13" s="6">
        <f t="shared" si="1"/>
        <v>0</v>
      </c>
      <c r="M13" s="6">
        <f t="shared" si="2"/>
        <v>0</v>
      </c>
      <c r="N13" t="e">
        <v>#N/A</v>
      </c>
      <c r="O13" t="s">
        <v>199</v>
      </c>
      <c r="P13" t="str">
        <f t="shared" si="3"/>
        <v>20 شیٹ/7-7.5/14-15</v>
      </c>
    </row>
    <row r="14" spans="1:19" x14ac:dyDescent="0.2">
      <c r="A14" s="9" t="s">
        <v>242</v>
      </c>
      <c r="C14" s="5" t="str">
        <f t="shared" si="0"/>
        <v>13/8-8.5</v>
      </c>
      <c r="D14" s="10">
        <f>_xlfn.MAXIFS('LD F.G ROLL'!J:J,'LD F.G ROLL'!A:A,C14)</f>
        <v>45905</v>
      </c>
      <c r="E14" s="53" t="str" cm="1">
        <f t="array" ref="E14:G14">IFERROR(VLOOKUP(C14,'LD F.G ROLL'!A:T,{2,5,6},0),"-")</f>
        <v>Waqas Wollan Mills Gujranwala</v>
      </c>
      <c r="F14" s="6">
        <v>13</v>
      </c>
      <c r="G14" s="6" t="str">
        <v>8-8.5</v>
      </c>
      <c r="H14" s="54">
        <f>SUMIFS('LD F.G ROLL'!K:K,'LD F.G ROLL'!A:A,Sheet2!C14)</f>
        <v>4</v>
      </c>
      <c r="I14" s="54">
        <f>SUMIFS('LD F.G ROLL'!L:L,'LD F.G ROLL'!$A:$A,Sheet2!$C14)</f>
        <v>229.4</v>
      </c>
      <c r="J14" s="54">
        <f>SUMIFS('LD F.G ROLL'!S:S,'LD F.G ROLL'!$A:$A,Sheet2!$C14)</f>
        <v>3</v>
      </c>
      <c r="K14" s="54">
        <f>SUMIFS('LD F.G ROLL'!T:T,'LD F.G ROLL'!$A:$A,Sheet2!$C14)</f>
        <v>162.19999999999999</v>
      </c>
      <c r="L14" s="6">
        <f t="shared" si="1"/>
        <v>1</v>
      </c>
      <c r="M14" s="6">
        <f t="shared" si="2"/>
        <v>67.200000000000017</v>
      </c>
      <c r="N14" t="e">
        <v>#N/A</v>
      </c>
      <c r="O14" t="s">
        <v>199</v>
      </c>
      <c r="P14" t="str">
        <f t="shared" si="3"/>
        <v>13/8-8.5</v>
      </c>
    </row>
    <row r="15" spans="1:19" x14ac:dyDescent="0.2">
      <c r="A15" s="9" t="s">
        <v>243</v>
      </c>
      <c r="C15" s="5" t="str">
        <f t="shared" si="0"/>
        <v>16/14</v>
      </c>
      <c r="D15" s="10">
        <f>_xlfn.MAXIFS('LD F.G ROLL'!J:J,'LD F.G ROLL'!A:A,C15)</f>
        <v>45905</v>
      </c>
      <c r="E15" s="53" t="str" cm="1">
        <f t="array" ref="E15:G15">IFERROR(VLOOKUP(C15,'LD F.G ROLL'!A:T,{2,5,6},0),"-")</f>
        <v>Cakes and Bakes Lahore</v>
      </c>
      <c r="F15" s="6">
        <v>16</v>
      </c>
      <c r="G15" s="6" t="str">
        <v>14</v>
      </c>
      <c r="H15" s="54">
        <f>SUMIFS('LD F.G ROLL'!K:K,'LD F.G ROLL'!A:A,Sheet2!C15)</f>
        <v>1</v>
      </c>
      <c r="I15" s="54">
        <f>SUMIFS('LD F.G ROLL'!L:L,'LD F.G ROLL'!$A:$A,Sheet2!$C15)</f>
        <v>45.4</v>
      </c>
      <c r="J15" s="54">
        <f>SUMIFS('LD F.G ROLL'!S:S,'LD F.G ROLL'!$A:$A,Sheet2!$C15)</f>
        <v>1</v>
      </c>
      <c r="K15" s="54">
        <f>SUMIFS('LD F.G ROLL'!T:T,'LD F.G ROLL'!$A:$A,Sheet2!$C15)</f>
        <v>43.4</v>
      </c>
      <c r="L15" s="6">
        <f t="shared" si="1"/>
        <v>0</v>
      </c>
      <c r="M15" s="6">
        <f t="shared" si="2"/>
        <v>2</v>
      </c>
      <c r="N15" t="e">
        <v>#N/A</v>
      </c>
      <c r="O15" t="s">
        <v>199</v>
      </c>
      <c r="P15" t="str">
        <f t="shared" si="3"/>
        <v>16/14</v>
      </c>
    </row>
    <row r="16" spans="1:19" x14ac:dyDescent="0.2">
      <c r="A16" s="9" t="s">
        <v>244</v>
      </c>
      <c r="C16" s="5" t="str">
        <f t="shared" si="0"/>
        <v>20 شیٹ/6-6.5/12-13</v>
      </c>
      <c r="D16" s="10">
        <f>_xlfn.MAXIFS('LD F.G ROLL'!J:J,'LD F.G ROLL'!A:A,C16)</f>
        <v>45905</v>
      </c>
      <c r="E16" s="53" t="str" cm="1">
        <f t="array" ref="E16:G16">IFERROR(VLOOKUP(C16,'LD F.G ROLL'!A:T,{2,5,6},0),"-")</f>
        <v>Shafi Foam Lahore</v>
      </c>
      <c r="F16" s="6" t="str">
        <v>20 شیٹ</v>
      </c>
      <c r="G16" s="6" t="str">
        <v>6-6.5/12-13</v>
      </c>
      <c r="H16" s="54">
        <f>SUMIFS('LD F.G ROLL'!K:K,'LD F.G ROLL'!A:A,Sheet2!C16)</f>
        <v>4</v>
      </c>
      <c r="I16" s="54">
        <f>SUMIFS('LD F.G ROLL'!L:L,'LD F.G ROLL'!$A:$A,Sheet2!$C16)</f>
        <v>220.39999999999998</v>
      </c>
      <c r="J16" s="54">
        <f>SUMIFS('LD F.G ROLL'!S:S,'LD F.G ROLL'!$A:$A,Sheet2!$C16)</f>
        <v>4</v>
      </c>
      <c r="K16" s="54">
        <f>SUMIFS('LD F.G ROLL'!T:T,'LD F.G ROLL'!$A:$A,Sheet2!$C16)</f>
        <v>212.4</v>
      </c>
      <c r="L16" s="6">
        <f t="shared" si="1"/>
        <v>0</v>
      </c>
      <c r="M16" s="6">
        <f t="shared" si="2"/>
        <v>7.9999999999999716</v>
      </c>
      <c r="N16" t="e">
        <v>#N/A</v>
      </c>
      <c r="O16" t="s">
        <v>199</v>
      </c>
      <c r="P16" t="str">
        <f t="shared" si="3"/>
        <v>20 شیٹ/6-6.5/12-13</v>
      </c>
    </row>
    <row r="17" spans="1:16" x14ac:dyDescent="0.2">
      <c r="A17" s="9" t="s">
        <v>245</v>
      </c>
      <c r="C17" s="5" t="str">
        <f t="shared" si="0"/>
        <v>432 MM/17-18</v>
      </c>
      <c r="D17" s="10">
        <f>_xlfn.MAXIFS('LD F.G ROLL'!J:J,'LD F.G ROLL'!A:A,C17)</f>
        <v>45905</v>
      </c>
      <c r="E17" s="53" t="str" cm="1">
        <f t="array" ref="E17:G17">IFERROR(VLOOKUP(C17,'LD F.G ROLL'!A:T,{2,5,6},0),"-")</f>
        <v>Service Industry Gujrat</v>
      </c>
      <c r="F17" s="6" t="str">
        <v>432 MM</v>
      </c>
      <c r="G17" s="6" t="str">
        <v>17-18</v>
      </c>
      <c r="H17" s="54">
        <f>SUMIFS('LD F.G ROLL'!K:K,'LD F.G ROLL'!A:A,Sheet2!C17)</f>
        <v>4</v>
      </c>
      <c r="I17" s="54">
        <f>SUMIFS('LD F.G ROLL'!L:L,'LD F.G ROLL'!$A:$A,Sheet2!$C17)</f>
        <v>245.8</v>
      </c>
      <c r="J17" s="54">
        <f>SUMIFS('LD F.G ROLL'!S:S,'LD F.G ROLL'!$A:$A,Sheet2!$C17)</f>
        <v>4</v>
      </c>
      <c r="K17" s="54">
        <f>SUMIFS('LD F.G ROLL'!T:T,'LD F.G ROLL'!$A:$A,Sheet2!$C17)</f>
        <v>237.8</v>
      </c>
      <c r="L17" s="6">
        <f t="shared" si="1"/>
        <v>0</v>
      </c>
      <c r="M17" s="6">
        <f t="shared" si="2"/>
        <v>8</v>
      </c>
      <c r="N17" t="e">
        <v>#N/A</v>
      </c>
      <c r="O17" t="s">
        <v>199</v>
      </c>
      <c r="P17" t="str">
        <f t="shared" si="3"/>
        <v>432 MM/17-18</v>
      </c>
    </row>
    <row r="18" spans="1:16" x14ac:dyDescent="0.2">
      <c r="A18" s="9" t="s">
        <v>246</v>
      </c>
      <c r="C18" s="5" t="str">
        <f t="shared" si="0"/>
        <v>428 MM/17-18</v>
      </c>
      <c r="D18" s="10">
        <f>_xlfn.MAXIFS('LD F.G ROLL'!J:J,'LD F.G ROLL'!A:A,C18)</f>
        <v>45905</v>
      </c>
      <c r="E18" s="53" t="str" cm="1">
        <f t="array" ref="E18:G18">IFERROR(VLOOKUP(C18,'LD F.G ROLL'!A:T,{2,5,6},0),"-")</f>
        <v>Service Industry Gujrat</v>
      </c>
      <c r="F18" s="6" t="str">
        <v>428 MM</v>
      </c>
      <c r="G18" s="6" t="str">
        <v>17-18</v>
      </c>
      <c r="H18" s="54">
        <f>SUMIFS('LD F.G ROLL'!K:K,'LD F.G ROLL'!A:A,Sheet2!C18)</f>
        <v>2</v>
      </c>
      <c r="I18" s="54">
        <f>SUMIFS('LD F.G ROLL'!L:L,'LD F.G ROLL'!$A:$A,Sheet2!$C18)</f>
        <v>132.6</v>
      </c>
      <c r="J18" s="54">
        <f>SUMIFS('LD F.G ROLL'!S:S,'LD F.G ROLL'!$A:$A,Sheet2!$C18)</f>
        <v>2</v>
      </c>
      <c r="K18" s="54">
        <f>SUMIFS('LD F.G ROLL'!T:T,'LD F.G ROLL'!$A:$A,Sheet2!$C18)</f>
        <v>128.4</v>
      </c>
      <c r="L18" s="6">
        <f t="shared" si="1"/>
        <v>0</v>
      </c>
      <c r="M18" s="6">
        <f t="shared" si="2"/>
        <v>4.1999999999999886</v>
      </c>
      <c r="N18" t="e">
        <v>#N/A</v>
      </c>
      <c r="O18" t="s">
        <v>199</v>
      </c>
      <c r="P18" t="str">
        <f t="shared" si="3"/>
        <v>428 MM/17-18</v>
      </c>
    </row>
    <row r="19" spans="1:16" x14ac:dyDescent="0.2">
      <c r="A19" s="9" t="s">
        <v>247</v>
      </c>
      <c r="C19" s="5" t="str">
        <f t="shared" si="0"/>
        <v>17/7-7.5</v>
      </c>
      <c r="D19" s="10">
        <f>_xlfn.MAXIFS('LD F.G ROLL'!J:J,'LD F.G ROLL'!A:A,C19)</f>
        <v>45914</v>
      </c>
      <c r="E19" s="53" t="str" cm="1">
        <f t="array" ref="E19:G19">IFERROR(VLOOKUP(C19,'LD F.G ROLL'!A:T,{2,5,6},0),"-")</f>
        <v>Usman Amin</v>
      </c>
      <c r="F19" s="6">
        <v>17</v>
      </c>
      <c r="G19" s="6" t="str">
        <v>7-7.5</v>
      </c>
      <c r="H19" s="54">
        <f>SUMIFS('LD F.G ROLL'!K:K,'LD F.G ROLL'!A:A,Sheet2!C19)</f>
        <v>11</v>
      </c>
      <c r="I19" s="54">
        <f>SUMIFS('LD F.G ROLL'!L:L,'LD F.G ROLL'!$A:$A,Sheet2!$C19)</f>
        <v>758.80000000000007</v>
      </c>
      <c r="J19" s="54">
        <f>SUMIFS('LD F.G ROLL'!S:S,'LD F.G ROLL'!$A:$A,Sheet2!$C19)</f>
        <v>13</v>
      </c>
      <c r="K19" s="54">
        <f>SUMIFS('LD F.G ROLL'!T:T,'LD F.G ROLL'!$A:$A,Sheet2!$C19)</f>
        <v>760.60000000000014</v>
      </c>
      <c r="L19" s="6">
        <f t="shared" si="1"/>
        <v>-2</v>
      </c>
      <c r="M19" s="6">
        <f t="shared" si="2"/>
        <v>-1.8000000000000682</v>
      </c>
      <c r="N19" t="e">
        <v>#N/A</v>
      </c>
      <c r="O19" t="s">
        <v>199</v>
      </c>
      <c r="P19" t="str">
        <f t="shared" si="3"/>
        <v>17/7-7.5</v>
      </c>
    </row>
    <row r="20" spans="1:16" x14ac:dyDescent="0.2">
      <c r="A20" s="9" t="s">
        <v>248</v>
      </c>
      <c r="C20" s="5" t="str">
        <f t="shared" si="0"/>
        <v>15/12</v>
      </c>
      <c r="D20" s="10">
        <f>_xlfn.MAXIFS('LD F.G ROLL'!J:J,'LD F.G ROLL'!A:A,C20)</f>
        <v>45903</v>
      </c>
      <c r="E20" s="53" t="str" cm="1">
        <f t="array" ref="E20:G20">IFERROR(VLOOKUP(C20,'LD F.G ROLL'!A:T,{2,5,6},0),"-")</f>
        <v>Usman Amin</v>
      </c>
      <c r="F20" s="6">
        <v>15</v>
      </c>
      <c r="G20" s="6" t="str">
        <v>12</v>
      </c>
      <c r="H20" s="54">
        <f>SUMIFS('LD F.G ROLL'!K:K,'LD F.G ROLL'!A:A,Sheet2!C20)</f>
        <v>10</v>
      </c>
      <c r="I20" s="54">
        <f>SUMIFS('LD F.G ROLL'!L:L,'LD F.G ROLL'!$A:$A,Sheet2!$C20)</f>
        <v>612</v>
      </c>
      <c r="J20" s="54">
        <f>SUMIFS('LD F.G ROLL'!S:S,'LD F.G ROLL'!$A:$A,Sheet2!$C20)</f>
        <v>10</v>
      </c>
      <c r="K20" s="54">
        <f>SUMIFS('LD F.G ROLL'!T:T,'LD F.G ROLL'!$A:$A,Sheet2!$C20)</f>
        <v>612</v>
      </c>
      <c r="L20" s="6">
        <f t="shared" si="1"/>
        <v>0</v>
      </c>
      <c r="M20" s="6">
        <f t="shared" si="2"/>
        <v>0</v>
      </c>
      <c r="N20" t="e">
        <v>#N/A</v>
      </c>
      <c r="O20" t="s">
        <v>199</v>
      </c>
      <c r="P20" t="str">
        <f t="shared" si="3"/>
        <v>15/12</v>
      </c>
    </row>
    <row r="21" spans="1:16" x14ac:dyDescent="0.2">
      <c r="A21" s="9" t="s">
        <v>249</v>
      </c>
      <c r="C21" s="5" t="str">
        <f t="shared" si="0"/>
        <v>19.5/14-15</v>
      </c>
      <c r="D21" s="10">
        <f>_xlfn.MAXIFS('LD F.G ROLL'!J:J,'LD F.G ROLL'!A:A,C21)</f>
        <v>45903</v>
      </c>
      <c r="E21" s="53" t="str" cm="1">
        <f t="array" ref="E21:G21">IFERROR(VLOOKUP(C21,'LD F.G ROLL'!A:T,{2,5,6},0),"-")</f>
        <v>Irfan SB Azam Market LHR</v>
      </c>
      <c r="F21" s="6">
        <v>19.5</v>
      </c>
      <c r="G21" s="6" t="str">
        <v>14-15</v>
      </c>
      <c r="H21" s="54">
        <f>SUMIFS('LD F.G ROLL'!K:K,'LD F.G ROLL'!A:A,Sheet2!C21)</f>
        <v>10</v>
      </c>
      <c r="I21" s="54">
        <f>SUMIFS('LD F.G ROLL'!L:L,'LD F.G ROLL'!$A:$A,Sheet2!$C21)</f>
        <v>538.39999999999986</v>
      </c>
      <c r="J21" s="54">
        <f>SUMIFS('LD F.G ROLL'!S:S,'LD F.G ROLL'!$A:$A,Sheet2!$C21)</f>
        <v>10</v>
      </c>
      <c r="K21" s="54">
        <f>SUMIFS('LD F.G ROLL'!T:T,'LD F.G ROLL'!$A:$A,Sheet2!$C21)</f>
        <v>515.4</v>
      </c>
      <c r="L21" s="6">
        <f t="shared" si="1"/>
        <v>0</v>
      </c>
      <c r="M21" s="6">
        <f t="shared" si="2"/>
        <v>22.999999999999886</v>
      </c>
      <c r="N21" t="e">
        <v>#N/A</v>
      </c>
      <c r="O21" t="s">
        <v>199</v>
      </c>
      <c r="P21" t="str">
        <f t="shared" si="3"/>
        <v>19.5/14-15</v>
      </c>
    </row>
    <row r="22" spans="1:16" x14ac:dyDescent="0.2">
      <c r="A22" s="9" t="s">
        <v>250</v>
      </c>
      <c r="C22" s="5" t="str">
        <f t="shared" si="0"/>
        <v>19/7.7.5</v>
      </c>
      <c r="D22" s="10">
        <f>_xlfn.MAXIFS('LD F.G ROLL'!J:J,'LD F.G ROLL'!A:A,C22)</f>
        <v>45903</v>
      </c>
      <c r="E22" s="53" t="str" cm="1">
        <f t="array" ref="E22:G22">IFERROR(VLOOKUP(C22,'LD F.G ROLL'!A:T,{2,5,6},0),"-")</f>
        <v>Usman Amin</v>
      </c>
      <c r="F22" s="6">
        <v>19</v>
      </c>
      <c r="G22" s="6" t="str">
        <v>7.7.5</v>
      </c>
      <c r="H22" s="54">
        <f>SUMIFS('LD F.G ROLL'!K:K,'LD F.G ROLL'!A:A,Sheet2!C22)</f>
        <v>4</v>
      </c>
      <c r="I22" s="54">
        <f>SUMIFS('LD F.G ROLL'!L:L,'LD F.G ROLL'!$A:$A,Sheet2!$C22)</f>
        <v>183.39999999999998</v>
      </c>
      <c r="J22" s="54">
        <f>SUMIFS('LD F.G ROLL'!S:S,'LD F.G ROLL'!$A:$A,Sheet2!$C22)</f>
        <v>4</v>
      </c>
      <c r="K22" s="54">
        <f>SUMIFS('LD F.G ROLL'!T:T,'LD F.G ROLL'!$A:$A,Sheet2!$C22)</f>
        <v>183.4</v>
      </c>
      <c r="L22" s="6">
        <f t="shared" si="1"/>
        <v>0</v>
      </c>
      <c r="M22" s="6">
        <f t="shared" si="2"/>
        <v>0</v>
      </c>
      <c r="N22" t="e">
        <v>#N/A</v>
      </c>
      <c r="O22" t="s">
        <v>199</v>
      </c>
      <c r="P22" t="str">
        <f t="shared" si="3"/>
        <v>19/7.7.5</v>
      </c>
    </row>
    <row r="23" spans="1:16" x14ac:dyDescent="0.2">
      <c r="A23" s="9" t="s">
        <v>251</v>
      </c>
      <c r="C23" s="5" t="str">
        <f t="shared" si="0"/>
        <v>18.5/15-16</v>
      </c>
      <c r="D23" s="10">
        <f>_xlfn.MAXIFS('LD F.G ROLL'!J:J,'LD F.G ROLL'!A:A,C23)</f>
        <v>45903</v>
      </c>
      <c r="E23" s="53" t="str" cm="1">
        <f t="array" ref="E23:G23">IFERROR(VLOOKUP(C23,'LD F.G ROLL'!A:T,{2,5,6},0),"-")</f>
        <v>The Kids Mall Lahore</v>
      </c>
      <c r="F23" s="6">
        <v>18.5</v>
      </c>
      <c r="G23" s="6" t="str">
        <v>15-16</v>
      </c>
      <c r="H23" s="54">
        <f>SUMIFS('LD F.G ROLL'!K:K,'LD F.G ROLL'!A:A,Sheet2!C23)</f>
        <v>5</v>
      </c>
      <c r="I23" s="54">
        <f>SUMIFS('LD F.G ROLL'!L:L,'LD F.G ROLL'!$A:$A,Sheet2!$C23)</f>
        <v>328.20000000000005</v>
      </c>
      <c r="J23" s="54">
        <f>SUMIFS('LD F.G ROLL'!S:S,'LD F.G ROLL'!$A:$A,Sheet2!$C23)</f>
        <v>5</v>
      </c>
      <c r="K23" s="54">
        <f>SUMIFS('LD F.G ROLL'!T:T,'LD F.G ROLL'!$A:$A,Sheet2!$C23)</f>
        <v>328.20000000000005</v>
      </c>
      <c r="L23" s="6">
        <f t="shared" si="1"/>
        <v>0</v>
      </c>
      <c r="M23" s="6">
        <f t="shared" si="2"/>
        <v>0</v>
      </c>
      <c r="N23" t="e">
        <v>#N/A</v>
      </c>
      <c r="O23" t="s">
        <v>199</v>
      </c>
      <c r="P23" t="str">
        <f t="shared" si="3"/>
        <v>18.5/15-16</v>
      </c>
    </row>
    <row r="24" spans="1:16" x14ac:dyDescent="0.2">
      <c r="A24" s="9" t="s">
        <v>252</v>
      </c>
      <c r="C24" s="5" t="str">
        <f t="shared" si="0"/>
        <v>14.5/12.5-13</v>
      </c>
      <c r="D24" s="10">
        <f>_xlfn.MAXIFS('LD F.G ROLL'!J:J,'LD F.G ROLL'!A:A,C24)</f>
        <v>45903</v>
      </c>
      <c r="E24" s="53" t="str" cm="1">
        <f t="array" ref="E24:G24">IFERROR(VLOOKUP(C24,'LD F.G ROLL'!A:T,{2,5,6},0),"-")</f>
        <v>The Kids Mall Lahore</v>
      </c>
      <c r="F24" s="6">
        <v>14.5</v>
      </c>
      <c r="G24" s="6" t="str">
        <v>12.5-13</v>
      </c>
      <c r="H24" s="54">
        <f>SUMIFS('LD F.G ROLL'!K:K,'LD F.G ROLL'!A:A,Sheet2!C24)</f>
        <v>4</v>
      </c>
      <c r="I24" s="54">
        <f>SUMIFS('LD F.G ROLL'!L:L,'LD F.G ROLL'!$A:$A,Sheet2!$C24)</f>
        <v>224.60000000000002</v>
      </c>
      <c r="J24" s="54">
        <f>SUMIFS('LD F.G ROLL'!S:S,'LD F.G ROLL'!$A:$A,Sheet2!$C24)</f>
        <v>4</v>
      </c>
      <c r="K24" s="54">
        <f>SUMIFS('LD F.G ROLL'!T:T,'LD F.G ROLL'!$A:$A,Sheet2!$C24)</f>
        <v>224.60000000000002</v>
      </c>
      <c r="L24" s="6">
        <f t="shared" si="1"/>
        <v>0</v>
      </c>
      <c r="M24" s="6">
        <f t="shared" si="2"/>
        <v>0</v>
      </c>
      <c r="N24" t="e">
        <v>#N/A</v>
      </c>
      <c r="O24" t="s">
        <v>199</v>
      </c>
      <c r="P24" t="str">
        <f t="shared" si="3"/>
        <v>14.5/12.5-13</v>
      </c>
    </row>
    <row r="25" spans="1:16" x14ac:dyDescent="0.2">
      <c r="A25" s="9" t="s">
        <v>253</v>
      </c>
      <c r="C25" s="5" t="str">
        <f t="shared" si="0"/>
        <v>13/12.5-13</v>
      </c>
      <c r="D25" s="10">
        <f>_xlfn.MAXIFS('LD F.G ROLL'!J:J,'LD F.G ROLL'!A:A,C25)</f>
        <v>45903</v>
      </c>
      <c r="E25" s="53" t="str" cm="1">
        <f t="array" ref="E25:G25">IFERROR(VLOOKUP(C25,'LD F.G ROLL'!A:T,{2,5,6},0),"-")</f>
        <v>The Kids Mall Lahore</v>
      </c>
      <c r="F25" s="6">
        <v>13</v>
      </c>
      <c r="G25" s="6" t="str">
        <v>12.5-13</v>
      </c>
      <c r="H25" s="54">
        <f>SUMIFS('LD F.G ROLL'!K:K,'LD F.G ROLL'!A:A,Sheet2!C25)</f>
        <v>2</v>
      </c>
      <c r="I25" s="54">
        <f>SUMIFS('LD F.G ROLL'!L:L,'LD F.G ROLL'!$A:$A,Sheet2!$C25)</f>
        <v>107.8</v>
      </c>
      <c r="J25" s="54">
        <f>SUMIFS('LD F.G ROLL'!S:S,'LD F.G ROLL'!$A:$A,Sheet2!$C25)</f>
        <v>12</v>
      </c>
      <c r="K25" s="54">
        <f>SUMIFS('LD F.G ROLL'!T:T,'LD F.G ROLL'!$A:$A,Sheet2!$C25)</f>
        <v>501.6</v>
      </c>
      <c r="L25" s="6">
        <f t="shared" si="1"/>
        <v>-10</v>
      </c>
      <c r="M25" s="6">
        <f t="shared" si="2"/>
        <v>-393.8</v>
      </c>
      <c r="N25" t="e">
        <v>#N/A</v>
      </c>
      <c r="O25" t="s">
        <v>199</v>
      </c>
      <c r="P25" t="str">
        <f t="shared" si="3"/>
        <v>13/12.5-13</v>
      </c>
    </row>
    <row r="26" spans="1:16" x14ac:dyDescent="0.2">
      <c r="A26" s="9" t="s">
        <v>254</v>
      </c>
      <c r="C26" s="5" t="str">
        <f t="shared" si="0"/>
        <v>14/13-14</v>
      </c>
      <c r="D26" s="10">
        <f>_xlfn.MAXIFS('LD F.G ROLL'!J:J,'LD F.G ROLL'!A:A,C26)</f>
        <v>45903</v>
      </c>
      <c r="E26" s="53" t="str" cm="1">
        <f t="array" ref="E26:G26">IFERROR(VLOOKUP(C26,'LD F.G ROLL'!A:T,{2,5,6},0),"-")</f>
        <v>The Kids Mall Lahore</v>
      </c>
      <c r="F26" s="6">
        <v>14</v>
      </c>
      <c r="G26" s="6" t="str">
        <v>13-14</v>
      </c>
      <c r="H26" s="54">
        <f>SUMIFS('LD F.G ROLL'!K:K,'LD F.G ROLL'!A:A,Sheet2!C26)</f>
        <v>2</v>
      </c>
      <c r="I26" s="54">
        <f>SUMIFS('LD F.G ROLL'!L:L,'LD F.G ROLL'!$A:$A,Sheet2!$C26)</f>
        <v>104</v>
      </c>
      <c r="J26" s="54">
        <f>SUMIFS('LD F.G ROLL'!S:S,'LD F.G ROLL'!$A:$A,Sheet2!$C26)</f>
        <v>2</v>
      </c>
      <c r="K26" s="54">
        <f>SUMIFS('LD F.G ROLL'!T:T,'LD F.G ROLL'!$A:$A,Sheet2!$C26)</f>
        <v>104</v>
      </c>
      <c r="L26" s="6">
        <f t="shared" si="1"/>
        <v>0</v>
      </c>
      <c r="M26" s="6">
        <f t="shared" si="2"/>
        <v>0</v>
      </c>
      <c r="N26" t="e">
        <v>#N/A</v>
      </c>
      <c r="O26" t="s">
        <v>199</v>
      </c>
      <c r="P26" t="str">
        <f t="shared" si="3"/>
        <v>14/13-14</v>
      </c>
    </row>
    <row r="27" spans="1:16" x14ac:dyDescent="0.2">
      <c r="A27" s="9" t="s">
        <v>261</v>
      </c>
      <c r="C27" s="5" t="str">
        <f t="shared" si="0"/>
        <v>16/13.5-14</v>
      </c>
      <c r="D27" s="10">
        <f>_xlfn.MAXIFS('LD F.G ROLL'!J:J,'LD F.G ROLL'!A:A,C27)</f>
        <v>45903</v>
      </c>
      <c r="E27" s="53" t="str" cm="1">
        <f t="array" ref="E27:G27">IFERROR(VLOOKUP(C27,'LD F.G ROLL'!A:T,{2,5,6},0),"-")</f>
        <v>The Kids Mall Lahore</v>
      </c>
      <c r="F27" s="6">
        <v>16</v>
      </c>
      <c r="G27" s="6" t="str">
        <v>13.5-14</v>
      </c>
      <c r="H27" s="54">
        <f>SUMIFS('LD F.G ROLL'!K:K,'LD F.G ROLL'!A:A,Sheet2!C27)</f>
        <v>2</v>
      </c>
      <c r="I27" s="54">
        <f>SUMIFS('LD F.G ROLL'!L:L,'LD F.G ROLL'!$A:$A,Sheet2!$C27)</f>
        <v>190.2</v>
      </c>
      <c r="J27" s="54">
        <f>SUMIFS('LD F.G ROLL'!S:S,'LD F.G ROLL'!$A:$A,Sheet2!$C27)</f>
        <v>0</v>
      </c>
      <c r="K27" s="54">
        <f>SUMIFS('LD F.G ROLL'!T:T,'LD F.G ROLL'!$A:$A,Sheet2!$C27)</f>
        <v>0</v>
      </c>
      <c r="L27" s="6">
        <f t="shared" si="1"/>
        <v>2</v>
      </c>
      <c r="M27" s="6">
        <f t="shared" si="2"/>
        <v>190.2</v>
      </c>
      <c r="N27" t="e">
        <v>#N/A</v>
      </c>
      <c r="O27" t="s">
        <v>199</v>
      </c>
      <c r="P27" t="str">
        <f t="shared" si="3"/>
        <v>16/13.5-14</v>
      </c>
    </row>
    <row r="28" spans="1:16" x14ac:dyDescent="0.2">
      <c r="A28" s="9" t="s">
        <v>262</v>
      </c>
      <c r="C28" s="5" t="str">
        <f t="shared" si="0"/>
        <v>14.25/13-14/26-28</v>
      </c>
      <c r="D28" s="10">
        <f>_xlfn.MAXIFS('LD F.G ROLL'!J:J,'LD F.G ROLL'!A:A,C28)</f>
        <v>45903</v>
      </c>
      <c r="E28" s="53" t="str" cm="1">
        <f t="array" ref="E28:G28">IFERROR(VLOOKUP(C28,'LD F.G ROLL'!A:T,{2,5,6},0),"-")</f>
        <v>Jilani Poly Stock</v>
      </c>
      <c r="F28" s="6">
        <v>14.25</v>
      </c>
      <c r="G28" s="6" t="str">
        <v>13-14/26-28</v>
      </c>
      <c r="H28" s="54">
        <f>SUMIFS('LD F.G ROLL'!K:K,'LD F.G ROLL'!A:A,Sheet2!C28)</f>
        <v>16</v>
      </c>
      <c r="I28" s="54">
        <f>SUMIFS('LD F.G ROLL'!L:L,'LD F.G ROLL'!$A:$A,Sheet2!$C28)</f>
        <v>786.2</v>
      </c>
      <c r="J28" s="54">
        <f>SUMIFS('LD F.G ROLL'!S:S,'LD F.G ROLL'!$A:$A,Sheet2!$C28)</f>
        <v>0</v>
      </c>
      <c r="K28" s="54">
        <f>SUMIFS('LD F.G ROLL'!T:T,'LD F.G ROLL'!$A:$A,Sheet2!$C28)</f>
        <v>0</v>
      </c>
      <c r="L28" s="6">
        <f t="shared" si="1"/>
        <v>16</v>
      </c>
      <c r="M28" s="6">
        <f t="shared" si="2"/>
        <v>786.2</v>
      </c>
      <c r="N28" t="e">
        <v>#N/A</v>
      </c>
      <c r="O28" t="s">
        <v>199</v>
      </c>
      <c r="P28" t="str">
        <f t="shared" si="3"/>
        <v>14.25/13-14/26-28</v>
      </c>
    </row>
    <row r="29" spans="1:16" x14ac:dyDescent="0.2">
      <c r="A29" s="9" t="s">
        <v>263</v>
      </c>
      <c r="C29" s="5" t="str">
        <f t="shared" si="0"/>
        <v>30/</v>
      </c>
      <c r="D29" s="10">
        <f>_xlfn.MAXIFS('LD F.G ROLL'!J:J,'LD F.G ROLL'!A:A,C29)</f>
        <v>45903</v>
      </c>
      <c r="E29" s="53" t="str" cm="1">
        <f t="array" ref="E29:G29">IFERROR(VLOOKUP(C29,'LD F.G ROLL'!A:T,{2,5,6},0),"-")</f>
        <v>PACKING ROLL</v>
      </c>
      <c r="F29" s="6">
        <v>30</v>
      </c>
      <c r="G29" s="6">
        <v>0</v>
      </c>
      <c r="H29" s="54">
        <f>SUMIFS('LD F.G ROLL'!K:K,'LD F.G ROLL'!A:A,Sheet2!C29)</f>
        <v>1</v>
      </c>
      <c r="I29" s="54">
        <f>SUMIFS('LD F.G ROLL'!L:L,'LD F.G ROLL'!$A:$A,Sheet2!$C29)</f>
        <v>78.599999999999994</v>
      </c>
      <c r="J29" s="54">
        <f>SUMIFS('LD F.G ROLL'!S:S,'LD F.G ROLL'!$A:$A,Sheet2!$C29)</f>
        <v>0</v>
      </c>
      <c r="K29" s="54">
        <f>SUMIFS('LD F.G ROLL'!T:T,'LD F.G ROLL'!$A:$A,Sheet2!$C29)</f>
        <v>0</v>
      </c>
      <c r="L29" s="6">
        <f t="shared" si="1"/>
        <v>1</v>
      </c>
      <c r="M29" s="6">
        <f t="shared" si="2"/>
        <v>78.599999999999994</v>
      </c>
      <c r="N29" t="e">
        <v>#N/A</v>
      </c>
      <c r="O29" t="s">
        <v>199</v>
      </c>
      <c r="P29" t="str">
        <f t="shared" si="3"/>
        <v>30/0</v>
      </c>
    </row>
    <row r="30" spans="1:16" x14ac:dyDescent="0.2">
      <c r="A30" s="9" t="s">
        <v>276</v>
      </c>
      <c r="C30" s="5" t="str">
        <f t="shared" si="0"/>
        <v>11/18</v>
      </c>
      <c r="D30" s="10">
        <f>_xlfn.MAXIFS('LD F.G ROLL'!J:J,'LD F.G ROLL'!A:A,C30)</f>
        <v>45902</v>
      </c>
      <c r="E30" s="53" t="str" cm="1">
        <f t="array" ref="E30:G30">IFERROR(VLOOKUP(C30,'LD F.G ROLL'!A:T,{2,5,6},0),"-")</f>
        <v>Chezo Cheez Lahore</v>
      </c>
      <c r="F30" s="6">
        <v>11</v>
      </c>
      <c r="G30" s="6" t="str">
        <v>18</v>
      </c>
      <c r="H30" s="54">
        <f>SUMIFS('LD F.G ROLL'!K:K,'LD F.G ROLL'!A:A,Sheet2!C30)</f>
        <v>1</v>
      </c>
      <c r="I30" s="54">
        <f>SUMIFS('LD F.G ROLL'!L:L,'LD F.G ROLL'!$A:$A,Sheet2!$C30)</f>
        <v>47.8</v>
      </c>
      <c r="J30" s="54">
        <f>SUMIFS('LD F.G ROLL'!S:S,'LD F.G ROLL'!$A:$A,Sheet2!$C30)</f>
        <v>0</v>
      </c>
      <c r="K30" s="54">
        <f>SUMIFS('LD F.G ROLL'!T:T,'LD F.G ROLL'!$A:$A,Sheet2!$C30)</f>
        <v>0</v>
      </c>
      <c r="L30" s="6">
        <f t="shared" si="1"/>
        <v>1</v>
      </c>
      <c r="M30" s="6">
        <f t="shared" si="2"/>
        <v>47.8</v>
      </c>
      <c r="N30" t="e">
        <v>#N/A</v>
      </c>
      <c r="O30" t="s">
        <v>199</v>
      </c>
      <c r="P30" t="str">
        <f t="shared" si="3"/>
        <v>11/18</v>
      </c>
    </row>
    <row r="31" spans="1:16" x14ac:dyDescent="0.2">
      <c r="A31" s="9" t="s">
        <v>277</v>
      </c>
      <c r="C31" s="5" t="str">
        <f t="shared" si="0"/>
        <v>7/7.5-8</v>
      </c>
      <c r="D31" s="10">
        <f>_xlfn.MAXIFS('LD F.G ROLL'!J:J,'LD F.G ROLL'!A:A,C31)</f>
        <v>45902</v>
      </c>
      <c r="E31" s="53" t="str" cm="1">
        <f t="array" ref="E31:G31">IFERROR(VLOOKUP(C31,'LD F.G ROLL'!A:T,{2,5,6},0),"-")</f>
        <v>Shafique Khan SB Sheikhupura</v>
      </c>
      <c r="F31" s="6">
        <v>7</v>
      </c>
      <c r="G31" s="6" t="str">
        <v>7.5-8</v>
      </c>
      <c r="H31" s="54">
        <f>SUMIFS('LD F.G ROLL'!K:K,'LD F.G ROLL'!A:A,Sheet2!C31)</f>
        <v>2</v>
      </c>
      <c r="I31" s="54">
        <f>SUMIFS('LD F.G ROLL'!L:L,'LD F.G ROLL'!$A:$A,Sheet2!$C31)</f>
        <v>101.80000000000001</v>
      </c>
      <c r="J31" s="54">
        <f>SUMIFS('LD F.G ROLL'!S:S,'LD F.G ROLL'!$A:$A,Sheet2!$C31)</f>
        <v>0</v>
      </c>
      <c r="K31" s="54">
        <f>SUMIFS('LD F.G ROLL'!T:T,'LD F.G ROLL'!$A:$A,Sheet2!$C31)</f>
        <v>0</v>
      </c>
      <c r="L31" s="6">
        <f t="shared" si="1"/>
        <v>2</v>
      </c>
      <c r="M31" s="6">
        <f t="shared" si="2"/>
        <v>101.80000000000001</v>
      </c>
      <c r="N31" t="e">
        <v>#N/A</v>
      </c>
      <c r="O31" t="s">
        <v>199</v>
      </c>
      <c r="P31" t="str">
        <f t="shared" si="3"/>
        <v>7/7.5-8</v>
      </c>
    </row>
    <row r="32" spans="1:16" x14ac:dyDescent="0.2">
      <c r="A32" s="9" t="s">
        <v>278</v>
      </c>
      <c r="C32" s="5" t="str">
        <f t="shared" si="0"/>
        <v>18/12-13</v>
      </c>
      <c r="D32" s="10">
        <f>_xlfn.MAXIFS('LD F.G ROLL'!J:J,'LD F.G ROLL'!A:A,C32)</f>
        <v>45902</v>
      </c>
      <c r="E32" s="53" t="str" cm="1">
        <f t="array" ref="E32:G32">IFERROR(VLOOKUP(C32,'LD F.G ROLL'!A:T,{2,5,6},0),"-")</f>
        <v>Umair PP Adda Crown C/O Majest Plastic LHR</v>
      </c>
      <c r="F32" s="6">
        <v>18</v>
      </c>
      <c r="G32" s="6" t="str">
        <v>12-13</v>
      </c>
      <c r="H32" s="54">
        <f>SUMIFS('LD F.G ROLL'!K:K,'LD F.G ROLL'!A:A,Sheet2!C32)</f>
        <v>10</v>
      </c>
      <c r="I32" s="54">
        <f>SUMIFS('LD F.G ROLL'!L:L,'LD F.G ROLL'!$A:$A,Sheet2!$C32)</f>
        <v>487.3</v>
      </c>
      <c r="J32" s="54">
        <f>SUMIFS('LD F.G ROLL'!S:S,'LD F.G ROLL'!$A:$A,Sheet2!$C32)</f>
        <v>0</v>
      </c>
      <c r="K32" s="54">
        <f>SUMIFS('LD F.G ROLL'!T:T,'LD F.G ROLL'!$A:$A,Sheet2!$C32)</f>
        <v>0</v>
      </c>
      <c r="L32" s="6">
        <f t="shared" si="1"/>
        <v>10</v>
      </c>
      <c r="M32" s="6">
        <f t="shared" si="2"/>
        <v>487.3</v>
      </c>
      <c r="N32" t="e">
        <v>#N/A</v>
      </c>
      <c r="O32" t="s">
        <v>199</v>
      </c>
      <c r="P32" t="str">
        <f t="shared" si="3"/>
        <v>18/12-13</v>
      </c>
    </row>
    <row r="33" spans="1:16" x14ac:dyDescent="0.2">
      <c r="A33" s="9" t="s">
        <v>279</v>
      </c>
      <c r="C33" s="5" t="str">
        <f t="shared" si="0"/>
        <v>6.5/7.5-8</v>
      </c>
      <c r="D33" s="10">
        <f>_xlfn.MAXIFS('LD F.G ROLL'!J:J,'LD F.G ROLL'!A:A,C33)</f>
        <v>45902</v>
      </c>
      <c r="E33" s="53" t="str" cm="1">
        <f t="array" ref="E33:G33">IFERROR(VLOOKUP(C33,'LD F.G ROLL'!A:T,{2,5,6},0),"-")</f>
        <v>Shafique Khan SB Sheikhupura</v>
      </c>
      <c r="F33" s="6">
        <v>6.5</v>
      </c>
      <c r="G33" s="6" t="str">
        <v>7.5-8</v>
      </c>
      <c r="H33" s="54">
        <f>SUMIFS('LD F.G ROLL'!K:K,'LD F.G ROLL'!A:A,Sheet2!C33)</f>
        <v>3</v>
      </c>
      <c r="I33" s="54">
        <f>SUMIFS('LD F.G ROLL'!L:L,'LD F.G ROLL'!$A:$A,Sheet2!$C33)</f>
        <v>124.20000000000002</v>
      </c>
      <c r="J33" s="54">
        <f>SUMIFS('LD F.G ROLL'!S:S,'LD F.G ROLL'!$A:$A,Sheet2!$C33)</f>
        <v>0</v>
      </c>
      <c r="K33" s="54">
        <f>SUMIFS('LD F.G ROLL'!T:T,'LD F.G ROLL'!$A:$A,Sheet2!$C33)</f>
        <v>0</v>
      </c>
      <c r="L33" s="6">
        <f t="shared" si="1"/>
        <v>3</v>
      </c>
      <c r="M33" s="6">
        <f t="shared" si="2"/>
        <v>124.20000000000002</v>
      </c>
      <c r="N33" t="e">
        <v>#N/A</v>
      </c>
      <c r="O33" t="s">
        <v>199</v>
      </c>
      <c r="P33" t="str">
        <f t="shared" si="3"/>
        <v>6.5/7.5-8</v>
      </c>
    </row>
    <row r="34" spans="1:16" x14ac:dyDescent="0.2">
      <c r="A34" s="9" t="s">
        <v>280</v>
      </c>
      <c r="C34" s="5" t="str">
        <f t="shared" si="0"/>
        <v>15/24-25</v>
      </c>
      <c r="D34" s="10">
        <f>_xlfn.MAXIFS('LD F.G ROLL'!J:J,'LD F.G ROLL'!A:A,C34)</f>
        <v>45902</v>
      </c>
      <c r="E34" s="53" t="str" cm="1">
        <f t="array" ref="E34:G34">IFERROR(VLOOKUP(C34,'LD F.G ROLL'!A:T,{2,5,6},0),"-")</f>
        <v>Fixit Tile Band Lahore</v>
      </c>
      <c r="F34" s="6">
        <v>15</v>
      </c>
      <c r="G34" s="6" t="str">
        <v>24-25</v>
      </c>
      <c r="H34" s="54">
        <f>SUMIFS('LD F.G ROLL'!K:K,'LD F.G ROLL'!A:A,Sheet2!C34)</f>
        <v>2</v>
      </c>
      <c r="I34" s="54">
        <f>SUMIFS('LD F.G ROLL'!L:L,'LD F.G ROLL'!$A:$A,Sheet2!$C34)</f>
        <v>133.6</v>
      </c>
      <c r="J34" s="54">
        <f>SUMIFS('LD F.G ROLL'!S:S,'LD F.G ROLL'!$A:$A,Sheet2!$C34)</f>
        <v>0</v>
      </c>
      <c r="K34" s="54">
        <f>SUMIFS('LD F.G ROLL'!T:T,'LD F.G ROLL'!$A:$A,Sheet2!$C34)</f>
        <v>0</v>
      </c>
      <c r="L34" s="6">
        <f t="shared" si="1"/>
        <v>2</v>
      </c>
      <c r="M34" s="6">
        <f t="shared" si="2"/>
        <v>133.6</v>
      </c>
      <c r="N34" t="e">
        <v>#N/A</v>
      </c>
      <c r="O34" t="s">
        <v>199</v>
      </c>
      <c r="P34" t="str">
        <f t="shared" si="3"/>
        <v>15/24-25</v>
      </c>
    </row>
    <row r="35" spans="1:16" x14ac:dyDescent="0.2">
      <c r="A35" s="9" t="s">
        <v>281</v>
      </c>
      <c r="C35" s="5" t="str">
        <f t="shared" si="0"/>
        <v>16/12-13</v>
      </c>
      <c r="D35" s="10">
        <f>_xlfn.MAXIFS('LD F.G ROLL'!J:J,'LD F.G ROLL'!A:A,C35)</f>
        <v>45902</v>
      </c>
      <c r="E35" s="53" t="str" cm="1">
        <f t="array" ref="E35:G35">IFERROR(VLOOKUP(C35,'LD F.G ROLL'!A:T,{2,5,6},0),"-")</f>
        <v>Umair PP Adda Crown C/O Majest Plastic LHR</v>
      </c>
      <c r="F35" s="6">
        <v>16</v>
      </c>
      <c r="G35" s="6" t="str">
        <v>12-13</v>
      </c>
      <c r="H35" s="54">
        <f>SUMIFS('LD F.G ROLL'!K:K,'LD F.G ROLL'!A:A,Sheet2!C35)</f>
        <v>2</v>
      </c>
      <c r="I35" s="54">
        <f>SUMIFS('LD F.G ROLL'!L:L,'LD F.G ROLL'!$A:$A,Sheet2!$C35)</f>
        <v>88.800000000000011</v>
      </c>
      <c r="J35" s="54">
        <f>SUMIFS('LD F.G ROLL'!S:S,'LD F.G ROLL'!$A:$A,Sheet2!$C35)</f>
        <v>0</v>
      </c>
      <c r="K35" s="54">
        <f>SUMIFS('LD F.G ROLL'!T:T,'LD F.G ROLL'!$A:$A,Sheet2!$C35)</f>
        <v>0</v>
      </c>
      <c r="L35" s="6">
        <f t="shared" si="1"/>
        <v>2</v>
      </c>
      <c r="M35" s="6">
        <f t="shared" si="2"/>
        <v>88.800000000000011</v>
      </c>
      <c r="N35" t="e">
        <v>#N/A</v>
      </c>
      <c r="O35" t="s">
        <v>199</v>
      </c>
      <c r="P35" t="str">
        <f t="shared" si="3"/>
        <v>16/12-13</v>
      </c>
    </row>
    <row r="36" spans="1:16" x14ac:dyDescent="0.2">
      <c r="A36" s="9" t="s">
        <v>123</v>
      </c>
      <c r="C36" s="5" t="str">
        <f t="shared" si="0"/>
        <v>16/8</v>
      </c>
      <c r="D36" s="10">
        <f>_xlfn.MAXIFS('LD F.G ROLL'!J:J,'LD F.G ROLL'!A:A,C36)</f>
        <v>45902</v>
      </c>
      <c r="E36" s="53" t="str" cm="1">
        <f t="array" ref="E36:G36">IFERROR(VLOOKUP(C36,'LD F.G ROLL'!A:T,{2,5,6},0),"-")</f>
        <v>Ibraheem Filter Industry (SMC.PVT.LTD)</v>
      </c>
      <c r="F36" s="6">
        <v>16</v>
      </c>
      <c r="G36" s="6">
        <v>8</v>
      </c>
      <c r="H36" s="54">
        <f>SUMIFS('LD F.G ROLL'!K:K,'LD F.G ROLL'!A:A,Sheet2!C36)</f>
        <v>12</v>
      </c>
      <c r="I36" s="54">
        <f>SUMIFS('LD F.G ROLL'!L:L,'LD F.G ROLL'!$A:$A,Sheet2!$C36)</f>
        <v>547.09</v>
      </c>
      <c r="J36" s="54">
        <f>SUMIFS('LD F.G ROLL'!S:S,'LD F.G ROLL'!$A:$A,Sheet2!$C36)</f>
        <v>0</v>
      </c>
      <c r="K36" s="54">
        <f>SUMIFS('LD F.G ROLL'!T:T,'LD F.G ROLL'!$A:$A,Sheet2!$C36)</f>
        <v>0</v>
      </c>
      <c r="L36" s="6">
        <f t="shared" si="1"/>
        <v>12</v>
      </c>
      <c r="M36" s="6">
        <f t="shared" si="2"/>
        <v>547.09</v>
      </c>
      <c r="N36" t="e">
        <v>#N/A</v>
      </c>
      <c r="O36" t="s">
        <v>199</v>
      </c>
      <c r="P36" t="str">
        <f t="shared" si="3"/>
        <v>16/8</v>
      </c>
    </row>
    <row r="37" spans="1:16" x14ac:dyDescent="0.2">
      <c r="A37" s="9" t="s">
        <v>282</v>
      </c>
      <c r="C37" s="5" t="str">
        <f t="shared" si="0"/>
        <v>17/8</v>
      </c>
      <c r="D37" s="10">
        <f>_xlfn.MAXIFS('LD F.G ROLL'!J:J,'LD F.G ROLL'!A:A,C37)</f>
        <v>45902</v>
      </c>
      <c r="E37" s="53" t="str" cm="1">
        <f t="array" ref="E37:G37">IFERROR(VLOOKUP(C37,'LD F.G ROLL'!A:T,{2,5,6},0),"-")</f>
        <v>Usman Amin</v>
      </c>
      <c r="F37" s="6">
        <v>17</v>
      </c>
      <c r="G37" s="6" t="str">
        <v>8</v>
      </c>
      <c r="H37" s="54">
        <f>SUMIFS('LD F.G ROLL'!K:K,'LD F.G ROLL'!A:A,Sheet2!C37)</f>
        <v>2</v>
      </c>
      <c r="I37" s="54">
        <f>SUMIFS('LD F.G ROLL'!L:L,'LD F.G ROLL'!$A:$A,Sheet2!$C37)</f>
        <v>105.2</v>
      </c>
      <c r="J37" s="54">
        <f>SUMIFS('LD F.G ROLL'!S:S,'LD F.G ROLL'!$A:$A,Sheet2!$C37)</f>
        <v>0</v>
      </c>
      <c r="K37" s="54">
        <f>SUMIFS('LD F.G ROLL'!T:T,'LD F.G ROLL'!$A:$A,Sheet2!$C37)</f>
        <v>0</v>
      </c>
      <c r="L37" s="6">
        <f t="shared" si="1"/>
        <v>2</v>
      </c>
      <c r="M37" s="6">
        <f t="shared" si="2"/>
        <v>105.2</v>
      </c>
      <c r="N37" t="e">
        <v>#N/A</v>
      </c>
      <c r="O37" t="s">
        <v>199</v>
      </c>
      <c r="P37" t="str">
        <f t="shared" si="3"/>
        <v>17/8</v>
      </c>
    </row>
    <row r="38" spans="1:16" x14ac:dyDescent="0.2">
      <c r="A38" s="9" t="s">
        <v>283</v>
      </c>
      <c r="C38" s="5" t="str">
        <f t="shared" si="0"/>
        <v>27.5/4/8</v>
      </c>
      <c r="D38" s="10">
        <f>_xlfn.MAXIFS('LD F.G ROLL'!J:J,'LD F.G ROLL'!A:A,C38)</f>
        <v>45902</v>
      </c>
      <c r="E38" s="53" t="str" cm="1">
        <f t="array" ref="E38:G38">IFERROR(VLOOKUP(C38,'LD F.G ROLL'!A:T,{2,5,6},0),"-")</f>
        <v>Usman Amin</v>
      </c>
      <c r="F38" s="6">
        <v>27.5</v>
      </c>
      <c r="G38" s="6" t="str">
        <v>4/8</v>
      </c>
      <c r="H38" s="54">
        <f>SUMIFS('LD F.G ROLL'!K:K,'LD F.G ROLL'!A:A,Sheet2!C38)</f>
        <v>2</v>
      </c>
      <c r="I38" s="54">
        <f>SUMIFS('LD F.G ROLL'!L:L,'LD F.G ROLL'!$A:$A,Sheet2!$C38)</f>
        <v>141.19999999999999</v>
      </c>
      <c r="J38" s="54">
        <f>SUMIFS('LD F.G ROLL'!S:S,'LD F.G ROLL'!$A:$A,Sheet2!$C38)</f>
        <v>0</v>
      </c>
      <c r="K38" s="54">
        <f>SUMIFS('LD F.G ROLL'!T:T,'LD F.G ROLL'!$A:$A,Sheet2!$C38)</f>
        <v>0</v>
      </c>
      <c r="L38" s="6">
        <f t="shared" si="1"/>
        <v>2</v>
      </c>
      <c r="M38" s="6">
        <f t="shared" si="2"/>
        <v>141.19999999999999</v>
      </c>
      <c r="N38" t="e">
        <v>#N/A</v>
      </c>
      <c r="O38" t="s">
        <v>199</v>
      </c>
      <c r="P38" t="str">
        <f t="shared" si="3"/>
        <v>27.5/4/8</v>
      </c>
    </row>
    <row r="39" spans="1:16" x14ac:dyDescent="0.2">
      <c r="A39" s="9" t="s">
        <v>284</v>
      </c>
      <c r="C39" s="5" t="str">
        <f t="shared" si="0"/>
        <v>23-23.5/70 G+-1</v>
      </c>
      <c r="D39" s="10">
        <f>_xlfn.MAXIFS('LD F.G ROLL'!J:J,'LD F.G ROLL'!A:A,C39)</f>
        <v>45902</v>
      </c>
      <c r="E39" s="53" t="str" cm="1">
        <f t="array" ref="E39:G39">IFERROR(VLOOKUP(C39,'LD F.G ROLL'!A:T,{2,5,6},0),"-")</f>
        <v>MATCO FOOD</v>
      </c>
      <c r="F39" s="6" t="str">
        <v>23-23.5</v>
      </c>
      <c r="G39" s="6" t="str">
        <v>70 G+-1</v>
      </c>
      <c r="H39" s="54">
        <f>SUMIFS('LD F.G ROLL'!K:K,'LD F.G ROLL'!A:A,Sheet2!C39)</f>
        <v>3</v>
      </c>
      <c r="I39" s="54">
        <f>SUMIFS('LD F.G ROLL'!L:L,'LD F.G ROLL'!$A:$A,Sheet2!$C39)</f>
        <v>322</v>
      </c>
      <c r="J39" s="54">
        <f>SUMIFS('LD F.G ROLL'!S:S,'LD F.G ROLL'!$A:$A,Sheet2!$C39)</f>
        <v>0</v>
      </c>
      <c r="K39" s="54">
        <f>SUMIFS('LD F.G ROLL'!T:T,'LD F.G ROLL'!$A:$A,Sheet2!$C39)</f>
        <v>0</v>
      </c>
      <c r="L39" s="6">
        <f t="shared" si="1"/>
        <v>3</v>
      </c>
      <c r="M39" s="6">
        <f t="shared" si="2"/>
        <v>322</v>
      </c>
      <c r="N39" t="e">
        <v>#N/A</v>
      </c>
      <c r="O39" t="s">
        <v>199</v>
      </c>
      <c r="P39" t="str">
        <f t="shared" si="3"/>
        <v>23-23.5/70 G+-1</v>
      </c>
    </row>
    <row r="40" spans="1:16" x14ac:dyDescent="0.2">
      <c r="A40" s="9" t="s">
        <v>285</v>
      </c>
      <c r="C40" s="5" t="str">
        <f t="shared" si="0"/>
        <v>27/4/8</v>
      </c>
      <c r="D40" s="10">
        <f>_xlfn.MAXIFS('LD F.G ROLL'!J:J,'LD F.G ROLL'!A:A,C40)</f>
        <v>45902</v>
      </c>
      <c r="E40" s="53" t="str" cm="1">
        <f t="array" ref="E40:G40">IFERROR(VLOOKUP(C40,'LD F.G ROLL'!A:T,{2,5,6},0),"-")</f>
        <v>Usman Amin</v>
      </c>
      <c r="F40" s="6">
        <v>27</v>
      </c>
      <c r="G40" s="6" t="str">
        <v>4/8</v>
      </c>
      <c r="H40" s="54">
        <f>SUMIFS('LD F.G ROLL'!K:K,'LD F.G ROLL'!A:A,Sheet2!C40)</f>
        <v>2</v>
      </c>
      <c r="I40" s="54">
        <f>SUMIFS('LD F.G ROLL'!L:L,'LD F.G ROLL'!$A:$A,Sheet2!$C40)</f>
        <v>154</v>
      </c>
      <c r="J40" s="54">
        <f>SUMIFS('LD F.G ROLL'!S:S,'LD F.G ROLL'!$A:$A,Sheet2!$C40)</f>
        <v>0</v>
      </c>
      <c r="K40" s="54">
        <f>SUMIFS('LD F.G ROLL'!T:T,'LD F.G ROLL'!$A:$A,Sheet2!$C40)</f>
        <v>0</v>
      </c>
      <c r="L40" s="6">
        <f t="shared" si="1"/>
        <v>2</v>
      </c>
      <c r="M40" s="6">
        <f t="shared" si="2"/>
        <v>154</v>
      </c>
      <c r="N40" t="e">
        <v>#N/A</v>
      </c>
      <c r="O40" t="s">
        <v>199</v>
      </c>
      <c r="P40" t="str">
        <f t="shared" si="3"/>
        <v>27/4/8</v>
      </c>
    </row>
    <row r="41" spans="1:16" x14ac:dyDescent="0.2">
      <c r="A41" s="9" t="s">
        <v>286</v>
      </c>
      <c r="C41" s="5" t="str">
        <f t="shared" si="0"/>
        <v>36/10-10.5</v>
      </c>
      <c r="D41" s="10">
        <f>_xlfn.MAXIFS('LD F.G ROLL'!J:J,'LD F.G ROLL'!A:A,C41)</f>
        <v>45902</v>
      </c>
      <c r="E41" s="53" t="str" cm="1">
        <f t="array" ref="E41:G41">IFERROR(VLOOKUP(C41,'LD F.G ROLL'!A:T,{2,5,6},0),"-")</f>
        <v>Wazirstan Tex Azam Market LHR</v>
      </c>
      <c r="F41" s="6">
        <v>36</v>
      </c>
      <c r="G41" s="6" t="str">
        <v>10-10.5</v>
      </c>
      <c r="H41" s="54">
        <f>SUMIFS('LD F.G ROLL'!K:K,'LD F.G ROLL'!A:A,Sheet2!C41)</f>
        <v>3</v>
      </c>
      <c r="I41" s="54">
        <f>SUMIFS('LD F.G ROLL'!L:L,'LD F.G ROLL'!$A:$A,Sheet2!$C41)</f>
        <v>164.2</v>
      </c>
      <c r="J41" s="54">
        <f>SUMIFS('LD F.G ROLL'!S:S,'LD F.G ROLL'!$A:$A,Sheet2!$C41)</f>
        <v>0</v>
      </c>
      <c r="K41" s="54">
        <f>SUMIFS('LD F.G ROLL'!T:T,'LD F.G ROLL'!$A:$A,Sheet2!$C41)</f>
        <v>0</v>
      </c>
      <c r="L41" s="6">
        <f t="shared" si="1"/>
        <v>3</v>
      </c>
      <c r="M41" s="6">
        <f t="shared" si="2"/>
        <v>164.2</v>
      </c>
      <c r="N41" t="e">
        <v>#N/A</v>
      </c>
      <c r="O41" t="s">
        <v>199</v>
      </c>
      <c r="P41" t="str">
        <f t="shared" si="3"/>
        <v>36/10-10.5</v>
      </c>
    </row>
    <row r="42" spans="1:16" x14ac:dyDescent="0.2">
      <c r="A42" s="9" t="s">
        <v>287</v>
      </c>
      <c r="C42" s="5" t="str">
        <f t="shared" si="0"/>
        <v>36/4/8</v>
      </c>
      <c r="D42" s="10">
        <f>_xlfn.MAXIFS('LD F.G ROLL'!J:J,'LD F.G ROLL'!A:A,C42)</f>
        <v>45902</v>
      </c>
      <c r="E42" s="53" t="str" cm="1">
        <f t="array" ref="E42:G42">IFERROR(VLOOKUP(C42,'LD F.G ROLL'!A:T,{2,5,6},0),"-")</f>
        <v>Usman Amin</v>
      </c>
      <c r="F42" s="6">
        <v>36</v>
      </c>
      <c r="G42" s="6" t="str">
        <v>4/8</v>
      </c>
      <c r="H42" s="54">
        <f>SUMIFS('LD F.G ROLL'!K:K,'LD F.G ROLL'!A:A,Sheet2!C42)</f>
        <v>4</v>
      </c>
      <c r="I42" s="54">
        <f>SUMIFS('LD F.G ROLL'!L:L,'LD F.G ROLL'!$A:$A,Sheet2!$C42)</f>
        <v>224</v>
      </c>
      <c r="J42" s="54">
        <f>SUMIFS('LD F.G ROLL'!S:S,'LD F.G ROLL'!$A:$A,Sheet2!$C42)</f>
        <v>0</v>
      </c>
      <c r="K42" s="54">
        <f>SUMIFS('LD F.G ROLL'!T:T,'LD F.G ROLL'!$A:$A,Sheet2!$C42)</f>
        <v>0</v>
      </c>
      <c r="L42" s="6">
        <f t="shared" si="1"/>
        <v>4</v>
      </c>
      <c r="M42" s="6">
        <f t="shared" si="2"/>
        <v>224</v>
      </c>
      <c r="N42" t="e">
        <v>#N/A</v>
      </c>
      <c r="O42" t="s">
        <v>199</v>
      </c>
      <c r="P42" t="str">
        <f t="shared" si="3"/>
        <v>36/4/8</v>
      </c>
    </row>
    <row r="43" spans="1:16" x14ac:dyDescent="0.2">
      <c r="A43" s="9" t="s">
        <v>288</v>
      </c>
      <c r="C43" s="5" t="str">
        <f t="shared" si="0"/>
        <v>37/4/8</v>
      </c>
      <c r="D43" s="10">
        <f>_xlfn.MAXIFS('LD F.G ROLL'!J:J,'LD F.G ROLL'!A:A,C43)</f>
        <v>45902</v>
      </c>
      <c r="E43" s="53" t="str" cm="1">
        <f t="array" ref="E43:G43">IFERROR(VLOOKUP(C43,'LD F.G ROLL'!A:T,{2,5,6},0),"-")</f>
        <v>Usman Amin</v>
      </c>
      <c r="F43" s="6">
        <v>37</v>
      </c>
      <c r="G43" s="6" t="str">
        <v>4/8</v>
      </c>
      <c r="H43" s="54">
        <f>SUMIFS('LD F.G ROLL'!K:K,'LD F.G ROLL'!A:A,Sheet2!C43)</f>
        <v>6</v>
      </c>
      <c r="I43" s="54">
        <f>SUMIFS('LD F.G ROLL'!L:L,'LD F.G ROLL'!$A:$A,Sheet2!$C43)</f>
        <v>320.59999999999997</v>
      </c>
      <c r="J43" s="54">
        <f>SUMIFS('LD F.G ROLL'!S:S,'LD F.G ROLL'!$A:$A,Sheet2!$C43)</f>
        <v>0</v>
      </c>
      <c r="K43" s="54">
        <f>SUMIFS('LD F.G ROLL'!T:T,'LD F.G ROLL'!$A:$A,Sheet2!$C43)</f>
        <v>0</v>
      </c>
      <c r="L43" s="6">
        <f t="shared" si="1"/>
        <v>6</v>
      </c>
      <c r="M43" s="6">
        <f t="shared" si="2"/>
        <v>320.59999999999997</v>
      </c>
      <c r="N43" t="e">
        <v>#N/A</v>
      </c>
      <c r="O43" t="s">
        <v>199</v>
      </c>
      <c r="P43" t="str">
        <f t="shared" si="3"/>
        <v>37/4/8</v>
      </c>
    </row>
    <row r="44" spans="1:16" x14ac:dyDescent="0.2">
      <c r="A44" s="9" t="s">
        <v>537</v>
      </c>
      <c r="C44" s="5" t="str">
        <f t="shared" si="0"/>
        <v>16/10-10.5</v>
      </c>
      <c r="D44" s="10">
        <f>_xlfn.MAXIFS('LD F.G ROLL'!J:J,'LD F.G ROLL'!A:A,C44)</f>
        <v>45909</v>
      </c>
      <c r="E44" s="53" t="str" cm="1">
        <f t="array" ref="E44:G44">IFERROR(VLOOKUP(C44,'LD F.G ROLL'!A:T,{2,5,6},0),"-")</f>
        <v>Waqas Wollan Mills Gujranwala</v>
      </c>
      <c r="F44" s="6">
        <v>16</v>
      </c>
      <c r="G44" s="6" t="str">
        <v>10-10.5</v>
      </c>
      <c r="H44" s="54">
        <f>SUMIFS('LD F.G ROLL'!K:K,'LD F.G ROLL'!A:A,Sheet2!C44)</f>
        <v>17</v>
      </c>
      <c r="I44" s="54">
        <f>SUMIFS('LD F.G ROLL'!L:L,'LD F.G ROLL'!$A:$A,Sheet2!$C44)</f>
        <v>1301.02</v>
      </c>
      <c r="J44" s="54">
        <f>SUMIFS('LD F.G ROLL'!S:S,'LD F.G ROLL'!$A:$A,Sheet2!$C44)</f>
        <v>14</v>
      </c>
      <c r="K44" s="54">
        <f>SUMIFS('LD F.G ROLL'!T:T,'LD F.G ROLL'!$A:$A,Sheet2!$C44)</f>
        <v>1034.0999999999999</v>
      </c>
      <c r="L44" s="6">
        <f t="shared" si="1"/>
        <v>3</v>
      </c>
      <c r="M44" s="6">
        <f t="shared" si="2"/>
        <v>266.92000000000007</v>
      </c>
      <c r="N44" t="e">
        <v>#N/A</v>
      </c>
      <c r="O44" t="s">
        <v>199</v>
      </c>
      <c r="P44" t="str">
        <f t="shared" si="3"/>
        <v>16/10-10.5</v>
      </c>
    </row>
    <row r="45" spans="1:16" x14ac:dyDescent="0.2">
      <c r="A45" s="9" t="s">
        <v>538</v>
      </c>
      <c r="C45" s="5" t="str">
        <f t="shared" si="0"/>
        <v>16/8-8.5</v>
      </c>
      <c r="D45" s="10">
        <f>_xlfn.MAXIFS('LD F.G ROLL'!J:J,'LD F.G ROLL'!A:A,C45)</f>
        <v>45909</v>
      </c>
      <c r="E45" s="53" t="str" cm="1">
        <f t="array" ref="E45:G45">IFERROR(VLOOKUP(C45,'LD F.G ROLL'!A:T,{2,5,6},0),"-")</f>
        <v>Bundu Khan Lahore</v>
      </c>
      <c r="F45" s="6">
        <v>16</v>
      </c>
      <c r="G45" s="6" t="str">
        <v>8-8.5</v>
      </c>
      <c r="H45" s="54">
        <f>SUMIFS('LD F.G ROLL'!K:K,'LD F.G ROLL'!A:A,Sheet2!C45)</f>
        <v>8</v>
      </c>
      <c r="I45" s="54">
        <f>SUMIFS('LD F.G ROLL'!L:L,'LD F.G ROLL'!$A:$A,Sheet2!$C45)</f>
        <v>529.20000000000005</v>
      </c>
      <c r="J45" s="54">
        <f>SUMIFS('LD F.G ROLL'!S:S,'LD F.G ROLL'!$A:$A,Sheet2!$C45)</f>
        <v>0</v>
      </c>
      <c r="K45" s="54">
        <f>SUMIFS('LD F.G ROLL'!T:T,'LD F.G ROLL'!$A:$A,Sheet2!$C45)</f>
        <v>0</v>
      </c>
      <c r="L45" s="6">
        <f t="shared" si="1"/>
        <v>8</v>
      </c>
      <c r="M45" s="6">
        <f t="shared" si="2"/>
        <v>529.20000000000005</v>
      </c>
      <c r="N45" t="e">
        <v>#N/A</v>
      </c>
      <c r="O45" t="s">
        <v>199</v>
      </c>
      <c r="P45" t="str">
        <f t="shared" si="3"/>
        <v>16/8-8.5</v>
      </c>
    </row>
    <row r="46" spans="1:16" x14ac:dyDescent="0.2">
      <c r="A46" s="9" t="s">
        <v>539</v>
      </c>
      <c r="C46" s="5" t="str">
        <f t="shared" ref="C46:C48" si="4">+A46</f>
        <v>22/12.5-13</v>
      </c>
      <c r="D46" s="10">
        <f>_xlfn.MAXIFS('LD F.G ROLL'!J:J,'LD F.G ROLL'!A:A,C46)</f>
        <v>45909</v>
      </c>
      <c r="E46" s="53" t="str" cm="1">
        <f t="array" ref="E46:G46">IFERROR(VLOOKUP(C46,'LD F.G ROLL'!A:T,{2,5,6},0),"-")</f>
        <v>Atlas Honda LTD (SKP)</v>
      </c>
      <c r="F46" s="6">
        <v>22</v>
      </c>
      <c r="G46" s="6" t="str">
        <v>12.5-13</v>
      </c>
      <c r="H46" s="54">
        <f>SUMIFS('LD F.G ROLL'!K:K,'LD F.G ROLL'!A:A,Sheet2!C46)</f>
        <v>5</v>
      </c>
      <c r="I46" s="54">
        <f>SUMIFS('LD F.G ROLL'!L:L,'LD F.G ROLL'!$A:$A,Sheet2!$C46)</f>
        <v>421.79999999999995</v>
      </c>
      <c r="J46" s="54">
        <f>SUMIFS('LD F.G ROLL'!S:S,'LD F.G ROLL'!$A:$A,Sheet2!$C46)</f>
        <v>5</v>
      </c>
      <c r="K46" s="54">
        <f>SUMIFS('LD F.G ROLL'!T:T,'LD F.G ROLL'!$A:$A,Sheet2!$C46)</f>
        <v>421.8</v>
      </c>
      <c r="L46" s="6">
        <f t="shared" ref="L46:L48" si="5">+H46-J46</f>
        <v>0</v>
      </c>
      <c r="M46" s="6">
        <f t="shared" ref="M46:M48" si="6">+I46-K46</f>
        <v>0</v>
      </c>
      <c r="N46" t="e">
        <v>#N/A</v>
      </c>
    </row>
    <row r="47" spans="1:16" x14ac:dyDescent="0.2">
      <c r="A47" s="9" t="s">
        <v>540</v>
      </c>
      <c r="C47" s="5" t="str">
        <f t="shared" si="4"/>
        <v>21/14-14.5</v>
      </c>
      <c r="D47" s="10">
        <f>_xlfn.MAXIFS('LD F.G ROLL'!J:J,'LD F.G ROLL'!A:A,C47)</f>
        <v>45908</v>
      </c>
      <c r="E47" s="53" t="str" cm="1">
        <f t="array" ref="E47:G47">IFERROR(VLOOKUP(C47,'LD F.G ROLL'!A:T,{2,5,6},0),"-")</f>
        <v>Atlas Honda LTD (SKP)</v>
      </c>
      <c r="F47" s="6">
        <v>21</v>
      </c>
      <c r="G47" s="6" t="str">
        <v>14-14.5</v>
      </c>
      <c r="H47" s="54">
        <f>SUMIFS('LD F.G ROLL'!K:K,'LD F.G ROLL'!A:A,Sheet2!C47)</f>
        <v>1</v>
      </c>
      <c r="I47" s="54">
        <f>SUMIFS('LD F.G ROLL'!L:L,'LD F.G ROLL'!$A:$A,Sheet2!$C47)</f>
        <v>89.6</v>
      </c>
      <c r="J47" s="54">
        <f>SUMIFS('LD F.G ROLL'!S:S,'LD F.G ROLL'!$A:$A,Sheet2!$C47)</f>
        <v>1</v>
      </c>
      <c r="K47" s="54">
        <f>SUMIFS('LD F.G ROLL'!T:T,'LD F.G ROLL'!$A:$A,Sheet2!$C47)</f>
        <v>89.6</v>
      </c>
      <c r="L47" s="6">
        <f t="shared" si="5"/>
        <v>0</v>
      </c>
      <c r="M47" s="6">
        <f t="shared" si="6"/>
        <v>0</v>
      </c>
      <c r="N47" t="e">
        <v>#N/A</v>
      </c>
    </row>
    <row r="48" spans="1:16" x14ac:dyDescent="0.2">
      <c r="A48" s="9" t="s">
        <v>571</v>
      </c>
      <c r="C48" s="5" t="str">
        <f t="shared" si="4"/>
        <v>11/8-8.5</v>
      </c>
      <c r="D48" s="10">
        <f>_xlfn.MAXIFS('LD F.G ROLL'!J:J,'LD F.G ROLL'!A:A,C48)</f>
        <v>45911</v>
      </c>
      <c r="E48" s="53" t="str" cm="1">
        <f t="array" ref="E48:G48">IFERROR(VLOOKUP(C48,'LD F.G ROLL'!A:T,{2,5,6},0),"-")</f>
        <v>Waqas Wollan Mills Gujranwala</v>
      </c>
      <c r="F48" s="6">
        <v>11</v>
      </c>
      <c r="G48" s="6" t="str">
        <v>8-8.5</v>
      </c>
      <c r="H48" s="54">
        <f>SUMIFS('LD F.G ROLL'!K:K,'LD F.G ROLL'!A:A,Sheet2!C48)</f>
        <v>10</v>
      </c>
      <c r="I48" s="54">
        <f>SUMIFS('LD F.G ROLL'!L:L,'LD F.G ROLL'!$A:$A,Sheet2!$C48)</f>
        <v>531.83000000000004</v>
      </c>
      <c r="J48" s="54">
        <f>SUMIFS('LD F.G ROLL'!S:S,'LD F.G ROLL'!$A:$A,Sheet2!$C48)</f>
        <v>10</v>
      </c>
      <c r="K48" s="54">
        <f>SUMIFS('LD F.G ROLL'!T:T,'LD F.G ROLL'!$A:$A,Sheet2!$C48)</f>
        <v>519.29999999999995</v>
      </c>
      <c r="L48" s="6">
        <f t="shared" si="5"/>
        <v>0</v>
      </c>
      <c r="M48" s="6">
        <f t="shared" si="6"/>
        <v>12.530000000000086</v>
      </c>
      <c r="N48" t="e">
        <v>#N/A</v>
      </c>
    </row>
    <row r="49" spans="1:14" x14ac:dyDescent="0.2">
      <c r="A49" s="9" t="s">
        <v>572</v>
      </c>
      <c r="C49" s="5" t="str">
        <f t="shared" ref="C49:C58" si="7">+A49</f>
        <v>15/8-8.5</v>
      </c>
      <c r="D49" s="10">
        <f>_xlfn.MAXIFS('LD F.G ROLL'!J:J,'LD F.G ROLL'!A:A,C49)</f>
        <v>45909</v>
      </c>
      <c r="E49" s="53" t="str" cm="1">
        <f t="array" ref="E49:G49">IFERROR(VLOOKUP(C49,'LD F.G ROLL'!A:T,{2,5,6},0),"-")</f>
        <v>Usman Amin</v>
      </c>
      <c r="F49" s="6">
        <v>15</v>
      </c>
      <c r="G49" s="6" t="str">
        <v>8-8.5</v>
      </c>
      <c r="H49" s="54">
        <f>SUMIFS('LD F.G ROLL'!K:K,'LD F.G ROLL'!A:A,Sheet2!C49)</f>
        <v>1</v>
      </c>
      <c r="I49" s="54">
        <f>SUMIFS('LD F.G ROLL'!L:L,'LD F.G ROLL'!$A:$A,Sheet2!$C49)</f>
        <v>69.8</v>
      </c>
      <c r="J49" s="54">
        <f>SUMIFS('LD F.G ROLL'!S:S,'LD F.G ROLL'!$A:$A,Sheet2!$C49)</f>
        <v>1</v>
      </c>
      <c r="K49" s="54">
        <f>SUMIFS('LD F.G ROLL'!T:T,'LD F.G ROLL'!$A:$A,Sheet2!$C49)</f>
        <v>68</v>
      </c>
      <c r="L49" s="6">
        <f t="shared" ref="L49:L58" si="8">+H49-J49</f>
        <v>0</v>
      </c>
      <c r="M49" s="6">
        <f t="shared" ref="M49:M58" si="9">+I49-K49</f>
        <v>1.7999999999999972</v>
      </c>
      <c r="N49" t="e">
        <v>#N/A</v>
      </c>
    </row>
    <row r="50" spans="1:14" x14ac:dyDescent="0.2">
      <c r="A50" s="9" t="s">
        <v>573</v>
      </c>
      <c r="C50" s="5" t="str">
        <f t="shared" si="7"/>
        <v>15/10-10.5</v>
      </c>
      <c r="D50" s="10">
        <f>_xlfn.MAXIFS('LD F.G ROLL'!J:J,'LD F.G ROLL'!A:A,C50)</f>
        <v>45910</v>
      </c>
      <c r="E50" s="53" t="str" cm="1">
        <f t="array" ref="E50:G50">IFERROR(VLOOKUP(C50,'LD F.G ROLL'!A:T,{2,5,6},0),"-")</f>
        <v>Waqas Wollan Mills Gujranwala</v>
      </c>
      <c r="F50" s="6">
        <v>15</v>
      </c>
      <c r="G50" s="6" t="str">
        <v>10-10.5</v>
      </c>
      <c r="H50" s="54">
        <f>SUMIFS('LD F.G ROLL'!K:K,'LD F.G ROLL'!A:A,Sheet2!C50)</f>
        <v>12</v>
      </c>
      <c r="I50" s="54">
        <f>SUMIFS('LD F.G ROLL'!L:L,'LD F.G ROLL'!$A:$A,Sheet2!$C50)</f>
        <v>836</v>
      </c>
      <c r="J50" s="54">
        <f>SUMIFS('LD F.G ROLL'!S:S,'LD F.G ROLL'!$A:$A,Sheet2!$C50)</f>
        <v>12</v>
      </c>
      <c r="K50" s="54">
        <f>SUMIFS('LD F.G ROLL'!T:T,'LD F.G ROLL'!$A:$A,Sheet2!$C50)</f>
        <v>814</v>
      </c>
      <c r="L50" s="6">
        <f t="shared" si="8"/>
        <v>0</v>
      </c>
      <c r="M50" s="6">
        <f t="shared" si="9"/>
        <v>22</v>
      </c>
      <c r="N50" t="e">
        <v>#N/A</v>
      </c>
    </row>
    <row r="51" spans="1:14" x14ac:dyDescent="0.2">
      <c r="A51" s="9" t="s">
        <v>574</v>
      </c>
      <c r="C51" s="5" t="str">
        <f t="shared" si="7"/>
        <v>22/8.5-9</v>
      </c>
      <c r="D51" s="10">
        <f>_xlfn.MAXIFS('LD F.G ROLL'!J:J,'LD F.G ROLL'!A:A,C51)</f>
        <v>45909</v>
      </c>
      <c r="E51" s="53" t="str" cm="1">
        <f t="array" ref="E51:G51">IFERROR(VLOOKUP(C51,'LD F.G ROLL'!A:T,{2,5,6},0),"-")</f>
        <v>Atlas Honda LTD (SKP)</v>
      </c>
      <c r="F51" s="6">
        <v>22</v>
      </c>
      <c r="G51" s="6" t="str">
        <v>8.5-9</v>
      </c>
      <c r="H51" s="54">
        <f>SUMIFS('LD F.G ROLL'!K:K,'LD F.G ROLL'!A:A,Sheet2!C51)</f>
        <v>2</v>
      </c>
      <c r="I51" s="54">
        <f>SUMIFS('LD F.G ROLL'!L:L,'LD F.G ROLL'!$A:$A,Sheet2!$C51)</f>
        <v>113.8</v>
      </c>
      <c r="J51" s="54">
        <f>SUMIFS('LD F.G ROLL'!S:S,'LD F.G ROLL'!$A:$A,Sheet2!$C51)</f>
        <v>0</v>
      </c>
      <c r="K51" s="54">
        <f>SUMIFS('LD F.G ROLL'!T:T,'LD F.G ROLL'!$A:$A,Sheet2!$C51)</f>
        <v>0</v>
      </c>
      <c r="L51" s="6">
        <f t="shared" si="8"/>
        <v>2</v>
      </c>
      <c r="M51" s="6">
        <f t="shared" si="9"/>
        <v>113.8</v>
      </c>
      <c r="N51" t="e">
        <v>#N/A</v>
      </c>
    </row>
    <row r="52" spans="1:14" x14ac:dyDescent="0.2">
      <c r="A52" s="9" t="s">
        <v>575</v>
      </c>
      <c r="C52" s="5" t="str">
        <f t="shared" si="7"/>
        <v>26.5/7</v>
      </c>
      <c r="D52" s="10">
        <f>_xlfn.MAXIFS('LD F.G ROLL'!J:J,'LD F.G ROLL'!A:A,C52)</f>
        <v>45909</v>
      </c>
      <c r="E52" s="53" t="str" cm="1">
        <f t="array" ref="E52:G52">IFERROR(VLOOKUP(C52,'LD F.G ROLL'!A:T,{2,5,6},0),"-")</f>
        <v>Usman Amin</v>
      </c>
      <c r="F52" s="6">
        <v>26.5</v>
      </c>
      <c r="G52" s="6" t="str">
        <v>7</v>
      </c>
      <c r="H52" s="54">
        <f>SUMIFS('LD F.G ROLL'!K:K,'LD F.G ROLL'!A:A,Sheet2!C52)</f>
        <v>2</v>
      </c>
      <c r="I52" s="54">
        <f>SUMIFS('LD F.G ROLL'!L:L,'LD F.G ROLL'!$A:$A,Sheet2!$C52)</f>
        <v>127.6</v>
      </c>
      <c r="J52" s="54">
        <f>SUMIFS('LD F.G ROLL'!S:S,'LD F.G ROLL'!$A:$A,Sheet2!$C52)</f>
        <v>4</v>
      </c>
      <c r="K52" s="54">
        <f>SUMIFS('LD F.G ROLL'!T:T,'LD F.G ROLL'!$A:$A,Sheet2!$C52)</f>
        <v>242</v>
      </c>
      <c r="L52" s="6">
        <f t="shared" si="8"/>
        <v>-2</v>
      </c>
      <c r="M52" s="6">
        <f t="shared" si="9"/>
        <v>-114.4</v>
      </c>
      <c r="N52" t="e">
        <v>#N/A</v>
      </c>
    </row>
    <row r="53" spans="1:14" x14ac:dyDescent="0.2">
      <c r="A53" s="9" t="s">
        <v>185</v>
      </c>
      <c r="C53" s="5" t="str">
        <f t="shared" si="7"/>
        <v>26/8.5-9</v>
      </c>
      <c r="D53" s="10">
        <f>_xlfn.MAXIFS('LD F.G ROLL'!J:J,'LD F.G ROLL'!A:A,C53)</f>
        <v>45909</v>
      </c>
      <c r="E53" s="53" t="str" cm="1">
        <f t="array" ref="E53:G53">IFERROR(VLOOKUP(C53,'LD F.G ROLL'!A:T,{2,5,6},0),"-")</f>
        <v>Atlas Honda LTD (SKP)</v>
      </c>
      <c r="F53" s="6">
        <v>26</v>
      </c>
      <c r="G53" s="6" t="str">
        <v>8.5-9</v>
      </c>
      <c r="H53" s="54">
        <f>SUMIFS('LD F.G ROLL'!K:K,'LD F.G ROLL'!A:A,Sheet2!C53)</f>
        <v>4</v>
      </c>
      <c r="I53" s="54">
        <f>SUMIFS('LD F.G ROLL'!L:L,'LD F.G ROLL'!$A:$A,Sheet2!$C53)</f>
        <v>245.40000000000003</v>
      </c>
      <c r="J53" s="54">
        <f>SUMIFS('LD F.G ROLL'!S:S,'LD F.G ROLL'!$A:$A,Sheet2!$C53)</f>
        <v>0</v>
      </c>
      <c r="K53" s="54">
        <f>SUMIFS('LD F.G ROLL'!T:T,'LD F.G ROLL'!$A:$A,Sheet2!$C53)</f>
        <v>0</v>
      </c>
      <c r="L53" s="6">
        <f t="shared" si="8"/>
        <v>4</v>
      </c>
      <c r="M53" s="6">
        <f t="shared" si="9"/>
        <v>245.40000000000003</v>
      </c>
      <c r="N53" t="e">
        <v>#N/A</v>
      </c>
    </row>
    <row r="54" spans="1:14" x14ac:dyDescent="0.2">
      <c r="A54" s="9" t="s">
        <v>576</v>
      </c>
      <c r="C54" s="5" t="str">
        <f t="shared" si="7"/>
        <v>24/7</v>
      </c>
      <c r="D54" s="10">
        <f>_xlfn.MAXIFS('LD F.G ROLL'!J:J,'LD F.G ROLL'!A:A,C54)</f>
        <v>45918</v>
      </c>
      <c r="E54" s="53" t="str" cm="1">
        <f t="array" ref="E54:G54">IFERROR(VLOOKUP(C54,'LD F.G ROLL'!A:T,{2,5,6},0),"-")</f>
        <v>Usman Amin</v>
      </c>
      <c r="F54" s="6">
        <v>24</v>
      </c>
      <c r="G54" s="6" t="str">
        <v>7</v>
      </c>
      <c r="H54" s="54">
        <f>SUMIFS('LD F.G ROLL'!K:K,'LD F.G ROLL'!A:A,Sheet2!C54)</f>
        <v>6</v>
      </c>
      <c r="I54" s="54">
        <f>SUMIFS('LD F.G ROLL'!L:L,'LD F.G ROLL'!$A:$A,Sheet2!$C54)</f>
        <v>354.6</v>
      </c>
      <c r="J54" s="54">
        <f>SUMIFS('LD F.G ROLL'!S:S,'LD F.G ROLL'!$A:$A,Sheet2!$C54)</f>
        <v>5</v>
      </c>
      <c r="K54" s="54">
        <f>SUMIFS('LD F.G ROLL'!T:T,'LD F.G ROLL'!$A:$A,Sheet2!$C54)</f>
        <v>298.39999999999998</v>
      </c>
      <c r="L54" s="6">
        <f t="shared" si="8"/>
        <v>1</v>
      </c>
      <c r="M54" s="6">
        <f t="shared" si="9"/>
        <v>56.200000000000045</v>
      </c>
      <c r="N54" t="e">
        <v>#N/A</v>
      </c>
    </row>
    <row r="55" spans="1:14" x14ac:dyDescent="0.2">
      <c r="A55" s="9" t="s">
        <v>680</v>
      </c>
      <c r="C55" s="5" t="str">
        <f t="shared" si="7"/>
        <v>9/8.5-9</v>
      </c>
      <c r="D55" s="10">
        <f>_xlfn.MAXIFS('LD F.G ROLL'!J:J,'LD F.G ROLL'!A:A,C55)</f>
        <v>45911</v>
      </c>
      <c r="E55" s="53" t="str" cm="1">
        <f t="array" ref="E55:G55">IFERROR(VLOOKUP(C55,'LD F.G ROLL'!A:T,{2,5,6},0),"-")</f>
        <v>Atlas Honda LTD (SKP)</v>
      </c>
      <c r="F55" s="6">
        <v>9</v>
      </c>
      <c r="G55" s="6" t="str">
        <v>8.5-9</v>
      </c>
      <c r="H55" s="54">
        <f>SUMIFS('LD F.G ROLL'!K:K,'LD F.G ROLL'!A:A,Sheet2!C55)</f>
        <v>8</v>
      </c>
      <c r="I55" s="54">
        <f>SUMIFS('LD F.G ROLL'!L:L,'LD F.G ROLL'!$A:$A,Sheet2!$C55)</f>
        <v>399.8</v>
      </c>
      <c r="J55" s="54">
        <f>SUMIFS('LD F.G ROLL'!S:S,'LD F.G ROLL'!$A:$A,Sheet2!$C55)</f>
        <v>8</v>
      </c>
      <c r="K55" s="54">
        <f>SUMIFS('LD F.G ROLL'!T:T,'LD F.G ROLL'!$A:$A,Sheet2!$C55)</f>
        <v>399.8</v>
      </c>
      <c r="L55" s="6">
        <f t="shared" si="8"/>
        <v>0</v>
      </c>
      <c r="M55" s="6">
        <f t="shared" si="9"/>
        <v>0</v>
      </c>
      <c r="N55" t="e">
        <v>#N/A</v>
      </c>
    </row>
    <row r="56" spans="1:14" x14ac:dyDescent="0.2">
      <c r="A56" s="9" t="s">
        <v>681</v>
      </c>
      <c r="C56" s="5" t="str">
        <f t="shared" si="7"/>
        <v>8/12-12.5</v>
      </c>
      <c r="D56" s="10">
        <f>_xlfn.MAXIFS('LD F.G ROLL'!J:J,'LD F.G ROLL'!A:A,C56)</f>
        <v>45911</v>
      </c>
      <c r="E56" s="53" t="str" cm="1">
        <f t="array" ref="E56:G56">IFERROR(VLOOKUP(C56,'LD F.G ROLL'!A:T,{2,5,6},0),"-")</f>
        <v>Pizza Bank And Fast Food Kamoki</v>
      </c>
      <c r="F56" s="6">
        <v>8</v>
      </c>
      <c r="G56" s="6" t="str">
        <v>12-12.5</v>
      </c>
      <c r="H56" s="54">
        <f>SUMIFS('LD F.G ROLL'!K:K,'LD F.G ROLL'!A:A,Sheet2!C56)</f>
        <v>9</v>
      </c>
      <c r="I56" s="54">
        <f>SUMIFS('LD F.G ROLL'!L:L,'LD F.G ROLL'!$A:$A,Sheet2!$C56)</f>
        <v>430.20000000000005</v>
      </c>
      <c r="J56" s="54">
        <f>SUMIFS('LD F.G ROLL'!S:S,'LD F.G ROLL'!$A:$A,Sheet2!$C56)</f>
        <v>9</v>
      </c>
      <c r="K56" s="54">
        <f>SUMIFS('LD F.G ROLL'!T:T,'LD F.G ROLL'!$A:$A,Sheet2!$C56)</f>
        <v>430.20000000000005</v>
      </c>
      <c r="L56" s="6">
        <f t="shared" si="8"/>
        <v>0</v>
      </c>
      <c r="M56" s="6">
        <f t="shared" si="9"/>
        <v>0</v>
      </c>
      <c r="N56" t="e">
        <v>#N/A</v>
      </c>
    </row>
    <row r="57" spans="1:14" x14ac:dyDescent="0.2">
      <c r="A57" s="9" t="s">
        <v>682</v>
      </c>
      <c r="C57" s="5" t="str">
        <f t="shared" si="7"/>
        <v>18/10-10.5</v>
      </c>
      <c r="D57" s="10">
        <f>_xlfn.MAXIFS('LD F.G ROLL'!J:J,'LD F.G ROLL'!A:A,C57)</f>
        <v>45910</v>
      </c>
      <c r="E57" s="53" t="str" cm="1">
        <f t="array" ref="E57:G57">IFERROR(VLOOKUP(C57,'LD F.G ROLL'!A:T,{2,5,6},0),"-")</f>
        <v>Waqas Wollan Mills Gujranwala</v>
      </c>
      <c r="F57" s="6">
        <v>18</v>
      </c>
      <c r="G57" s="6" t="str">
        <v>10-10.5</v>
      </c>
      <c r="H57" s="54">
        <f>SUMIFS('LD F.G ROLL'!K:K,'LD F.G ROLL'!A:A,Sheet2!C57)</f>
        <v>4</v>
      </c>
      <c r="I57" s="54">
        <f>SUMIFS('LD F.G ROLL'!L:L,'LD F.G ROLL'!$A:$A,Sheet2!$C57)</f>
        <v>216</v>
      </c>
      <c r="J57" s="54">
        <f>SUMIFS('LD F.G ROLL'!S:S,'LD F.G ROLL'!$A:$A,Sheet2!$C57)</f>
        <v>4</v>
      </c>
      <c r="K57" s="54">
        <f>SUMIFS('LD F.G ROLL'!T:T,'LD F.G ROLL'!$A:$A,Sheet2!$C57)</f>
        <v>208.8</v>
      </c>
      <c r="L57" s="6">
        <f t="shared" si="8"/>
        <v>0</v>
      </c>
      <c r="M57" s="6">
        <f t="shared" si="9"/>
        <v>7.1999999999999886</v>
      </c>
      <c r="N57" t="e">
        <v>#N/A</v>
      </c>
    </row>
    <row r="58" spans="1:14" x14ac:dyDescent="0.2">
      <c r="A58" s="9" t="s">
        <v>683</v>
      </c>
      <c r="C58" s="5" t="str">
        <f t="shared" si="7"/>
        <v>23/8-8.5</v>
      </c>
      <c r="D58" s="10">
        <f>_xlfn.MAXIFS('LD F.G ROLL'!J:J,'LD F.G ROLL'!A:A,C58)</f>
        <v>45918</v>
      </c>
      <c r="E58" s="53" t="str" cm="1">
        <f t="array" ref="E58:G58">IFERROR(VLOOKUP(C58,'LD F.G ROLL'!A:T,{2,5,6},0),"-")</f>
        <v>Usman Amin</v>
      </c>
      <c r="F58" s="6">
        <v>23</v>
      </c>
      <c r="G58" s="6" t="str">
        <v>8-8.5</v>
      </c>
      <c r="H58" s="54">
        <f>SUMIFS('LD F.G ROLL'!K:K,'LD F.G ROLL'!A:A,Sheet2!C58)</f>
        <v>5</v>
      </c>
      <c r="I58" s="54">
        <f>SUMIFS('LD F.G ROLL'!L:L,'LD F.G ROLL'!$A:$A,Sheet2!$C58)</f>
        <v>307.40000000000003</v>
      </c>
      <c r="J58" s="54">
        <f>SUMIFS('LD F.G ROLL'!S:S,'LD F.G ROLL'!$A:$A,Sheet2!$C58)</f>
        <v>3</v>
      </c>
      <c r="K58" s="54">
        <f>SUMIFS('LD F.G ROLL'!T:T,'LD F.G ROLL'!$A:$A,Sheet2!$C58)</f>
        <v>159.60000000000002</v>
      </c>
      <c r="L58" s="6">
        <f t="shared" si="8"/>
        <v>2</v>
      </c>
      <c r="M58" s="6">
        <f t="shared" si="9"/>
        <v>147.80000000000001</v>
      </c>
      <c r="N58" t="e">
        <v>#N/A</v>
      </c>
    </row>
    <row r="59" spans="1:14" x14ac:dyDescent="0.2">
      <c r="A59" s="9" t="s">
        <v>684</v>
      </c>
      <c r="C59" s="5" t="str">
        <f t="shared" ref="C59:C78" si="10">+A59</f>
        <v>28/12</v>
      </c>
      <c r="D59" s="10">
        <f>_xlfn.MAXIFS('LD F.G ROLL'!J:J,'LD F.G ROLL'!A:A,C59)</f>
        <v>45910</v>
      </c>
      <c r="E59" s="53" t="str" cm="1">
        <f t="array" ref="E59:G59">IFERROR(VLOOKUP(C59,'LD F.G ROLL'!A:T,{2,5,6},0),"-")</f>
        <v>Usman Amin</v>
      </c>
      <c r="F59" s="6">
        <v>28</v>
      </c>
      <c r="G59" s="6" t="str">
        <v>12</v>
      </c>
      <c r="H59" s="54">
        <f>SUMIFS('LD F.G ROLL'!K:K,'LD F.G ROLL'!A:A,Sheet2!C59)</f>
        <v>3</v>
      </c>
      <c r="I59" s="54">
        <f>SUMIFS('LD F.G ROLL'!L:L,'LD F.G ROLL'!$A:$A,Sheet2!$C59)</f>
        <v>185.39999999999998</v>
      </c>
      <c r="J59" s="54">
        <f>SUMIFS('LD F.G ROLL'!S:S,'LD F.G ROLL'!$A:$A,Sheet2!$C59)</f>
        <v>3</v>
      </c>
      <c r="K59" s="54">
        <f>SUMIFS('LD F.G ROLL'!T:T,'LD F.G ROLL'!$A:$A,Sheet2!$C59)</f>
        <v>185.39999999999998</v>
      </c>
      <c r="L59" s="6">
        <f t="shared" ref="L59:L78" si="11">+H59-J59</f>
        <v>0</v>
      </c>
      <c r="M59" s="6">
        <f t="shared" ref="M59:M78" si="12">+I59-K59</f>
        <v>0</v>
      </c>
      <c r="N59" t="e">
        <v>#N/A</v>
      </c>
    </row>
    <row r="60" spans="1:14" x14ac:dyDescent="0.2">
      <c r="A60" s="9" t="s">
        <v>685</v>
      </c>
      <c r="C60" s="5" t="str">
        <f t="shared" si="10"/>
        <v>15/10.5-11</v>
      </c>
      <c r="D60" s="10">
        <f>_xlfn.MAXIFS('LD F.G ROLL'!J:J,'LD F.G ROLL'!A:A,C60)</f>
        <v>45916</v>
      </c>
      <c r="E60" s="53" t="str" cm="1">
        <f t="array" ref="E60:G60">IFERROR(VLOOKUP(C60,'LD F.G ROLL'!A:T,{2,5,6},0),"-")</f>
        <v>Usman Amin</v>
      </c>
      <c r="F60" s="6">
        <v>15</v>
      </c>
      <c r="G60" s="6" t="str">
        <v>10.5-11</v>
      </c>
      <c r="H60" s="54">
        <f>SUMIFS('LD F.G ROLL'!K:K,'LD F.G ROLL'!A:A,Sheet2!C60)</f>
        <v>9</v>
      </c>
      <c r="I60" s="54">
        <f>SUMIFS('LD F.G ROLL'!L:L,'LD F.G ROLL'!$A:$A,Sheet2!$C60)</f>
        <v>503.3</v>
      </c>
      <c r="J60" s="54">
        <f>SUMIFS('LD F.G ROLL'!S:S,'LD F.G ROLL'!$A:$A,Sheet2!$C60)</f>
        <v>11</v>
      </c>
      <c r="K60" s="54">
        <f>SUMIFS('LD F.G ROLL'!T:T,'LD F.G ROLL'!$A:$A,Sheet2!$C60)</f>
        <v>542.5</v>
      </c>
      <c r="L60" s="6">
        <f t="shared" si="11"/>
        <v>-2</v>
      </c>
      <c r="M60" s="6">
        <f t="shared" si="12"/>
        <v>-39.199999999999989</v>
      </c>
      <c r="N60" t="e">
        <v>#N/A</v>
      </c>
    </row>
    <row r="61" spans="1:14" x14ac:dyDescent="0.2">
      <c r="A61" s="9" t="s">
        <v>686</v>
      </c>
      <c r="C61" s="5" t="str">
        <f t="shared" si="10"/>
        <v>22/7.5-8</v>
      </c>
      <c r="D61" s="10">
        <f>_xlfn.MAXIFS('LD F.G ROLL'!J:J,'LD F.G ROLL'!A:A,C61)</f>
        <v>45910</v>
      </c>
      <c r="E61" s="53" t="str" cm="1">
        <f t="array" ref="E61:G61">IFERROR(VLOOKUP(C61,'LD F.G ROLL'!A:T,{2,5,6},0),"-")</f>
        <v>Super Diamond Food Kamoki</v>
      </c>
      <c r="F61" s="6">
        <v>22</v>
      </c>
      <c r="G61" s="6" t="str">
        <v>7.5-8</v>
      </c>
      <c r="H61" s="54">
        <f>SUMIFS('LD F.G ROLL'!K:K,'LD F.G ROLL'!A:A,Sheet2!C61)</f>
        <v>9</v>
      </c>
      <c r="I61" s="54">
        <f>SUMIFS('LD F.G ROLL'!L:L,'LD F.G ROLL'!$A:$A,Sheet2!$C61)</f>
        <v>516.29999999999995</v>
      </c>
      <c r="J61" s="54">
        <f>SUMIFS('LD F.G ROLL'!S:S,'LD F.G ROLL'!$A:$A,Sheet2!$C61)</f>
        <v>3</v>
      </c>
      <c r="K61" s="54">
        <f>SUMIFS('LD F.G ROLL'!T:T,'LD F.G ROLL'!$A:$A,Sheet2!$C61)</f>
        <v>191</v>
      </c>
      <c r="L61" s="6">
        <f t="shared" si="11"/>
        <v>6</v>
      </c>
      <c r="M61" s="6">
        <f t="shared" si="12"/>
        <v>325.29999999999995</v>
      </c>
      <c r="N61" t="e">
        <v>#N/A</v>
      </c>
    </row>
    <row r="62" spans="1:14" x14ac:dyDescent="0.2">
      <c r="A62" s="9" t="s">
        <v>687</v>
      </c>
      <c r="C62" s="5" t="str">
        <f t="shared" si="10"/>
        <v>16/14-14.5</v>
      </c>
      <c r="D62" s="10">
        <f>_xlfn.MAXIFS('LD F.G ROLL'!J:J,'LD F.G ROLL'!A:A,C62)</f>
        <v>45910</v>
      </c>
      <c r="E62" s="53" t="str" cm="1">
        <f t="array" ref="E62:G62">IFERROR(VLOOKUP(C62,'LD F.G ROLL'!A:T,{2,5,6},0),"-")</f>
        <v>Atlas Honda LTD (SKP)</v>
      </c>
      <c r="F62" s="6">
        <v>16</v>
      </c>
      <c r="G62" s="6" t="str">
        <v>14-14.5</v>
      </c>
      <c r="H62" s="54">
        <f>SUMIFS('LD F.G ROLL'!K:K,'LD F.G ROLL'!A:A,Sheet2!C62)</f>
        <v>2</v>
      </c>
      <c r="I62" s="54">
        <f>SUMIFS('LD F.G ROLL'!L:L,'LD F.G ROLL'!$A:$A,Sheet2!$C62)</f>
        <v>136.4</v>
      </c>
      <c r="J62" s="54">
        <f>SUMIFS('LD F.G ROLL'!S:S,'LD F.G ROLL'!$A:$A,Sheet2!$C62)</f>
        <v>2</v>
      </c>
      <c r="K62" s="54">
        <f>SUMIFS('LD F.G ROLL'!T:T,'LD F.G ROLL'!$A:$A,Sheet2!$C62)</f>
        <v>136.4</v>
      </c>
      <c r="L62" s="6">
        <f t="shared" si="11"/>
        <v>0</v>
      </c>
      <c r="M62" s="6">
        <f t="shared" si="12"/>
        <v>0</v>
      </c>
      <c r="N62" t="e">
        <v>#N/A</v>
      </c>
    </row>
    <row r="63" spans="1:14" x14ac:dyDescent="0.2">
      <c r="A63" s="9" t="s">
        <v>688</v>
      </c>
      <c r="C63" s="5" t="str">
        <f t="shared" si="10"/>
        <v>16/12.5-13</v>
      </c>
      <c r="D63" s="10">
        <f>_xlfn.MAXIFS('LD F.G ROLL'!J:J,'LD F.G ROLL'!A:A,C63)</f>
        <v>45911</v>
      </c>
      <c r="E63" s="53" t="str" cm="1">
        <f t="array" ref="E63:G63">IFERROR(VLOOKUP(C63,'LD F.G ROLL'!A:T,{2,5,6},0),"-")</f>
        <v>Atlas Honda LTD (SKP)</v>
      </c>
      <c r="F63" s="6">
        <v>16</v>
      </c>
      <c r="G63" s="6" t="str">
        <v>12.5-13</v>
      </c>
      <c r="H63" s="54">
        <f>SUMIFS('LD F.G ROLL'!K:K,'LD F.G ROLL'!A:A,Sheet2!C63)</f>
        <v>2</v>
      </c>
      <c r="I63" s="54">
        <f>SUMIFS('LD F.G ROLL'!L:L,'LD F.G ROLL'!$A:$A,Sheet2!$C63)</f>
        <v>130.4</v>
      </c>
      <c r="J63" s="54">
        <f>SUMIFS('LD F.G ROLL'!S:S,'LD F.G ROLL'!$A:$A,Sheet2!$C63)</f>
        <v>2</v>
      </c>
      <c r="K63" s="54">
        <f>SUMIFS('LD F.G ROLL'!T:T,'LD F.G ROLL'!$A:$A,Sheet2!$C63)</f>
        <v>130.4</v>
      </c>
      <c r="L63" s="6">
        <f t="shared" si="11"/>
        <v>0</v>
      </c>
      <c r="M63" s="6">
        <f t="shared" si="12"/>
        <v>0</v>
      </c>
      <c r="N63" t="e">
        <v>#N/A</v>
      </c>
    </row>
    <row r="64" spans="1:14" x14ac:dyDescent="0.2">
      <c r="A64" s="9" t="s">
        <v>689</v>
      </c>
      <c r="C64" s="5" t="str">
        <f t="shared" si="10"/>
        <v>12/8.5-9</v>
      </c>
      <c r="D64" s="10">
        <f>_xlfn.MAXIFS('LD F.G ROLL'!J:J,'LD F.G ROLL'!A:A,C64)</f>
        <v>45911</v>
      </c>
      <c r="E64" s="53" t="str" cm="1">
        <f t="array" ref="E64:G64">IFERROR(VLOOKUP(C64,'LD F.G ROLL'!A:T,{2,5,6},0),"-")</f>
        <v>Atlas Honda LTD (SKP)</v>
      </c>
      <c r="F64" s="6">
        <v>12</v>
      </c>
      <c r="G64" s="6" t="str">
        <v>8.5-9</v>
      </c>
      <c r="H64" s="54">
        <f>SUMIFS('LD F.G ROLL'!K:K,'LD F.G ROLL'!A:A,Sheet2!C64)</f>
        <v>3</v>
      </c>
      <c r="I64" s="54">
        <f>SUMIFS('LD F.G ROLL'!L:L,'LD F.G ROLL'!$A:$A,Sheet2!$C64)</f>
        <v>172.4</v>
      </c>
      <c r="J64" s="54">
        <f>SUMIFS('LD F.G ROLL'!S:S,'LD F.G ROLL'!$A:$A,Sheet2!$C64)</f>
        <v>3</v>
      </c>
      <c r="K64" s="54">
        <f>SUMIFS('LD F.G ROLL'!T:T,'LD F.G ROLL'!$A:$A,Sheet2!$C64)</f>
        <v>168</v>
      </c>
      <c r="L64" s="6">
        <f t="shared" si="11"/>
        <v>0</v>
      </c>
      <c r="M64" s="6">
        <f t="shared" si="12"/>
        <v>4.4000000000000057</v>
      </c>
      <c r="N64" t="e">
        <v>#N/A</v>
      </c>
    </row>
    <row r="65" spans="1:14" x14ac:dyDescent="0.2">
      <c r="A65" s="9" t="s">
        <v>134</v>
      </c>
      <c r="C65" s="5" t="str">
        <f t="shared" si="10"/>
        <v>10/5</v>
      </c>
      <c r="D65" s="10">
        <f>_xlfn.MAXIFS('LD F.G ROLL'!J:J,'LD F.G ROLL'!A:A,C65)</f>
        <v>45911</v>
      </c>
      <c r="E65" s="53" t="str" cm="1">
        <f t="array" ref="E65:G65">IFERROR(VLOOKUP(C65,'LD F.G ROLL'!A:T,{2,5,6},0),"-")</f>
        <v>Usman Arif Butt Gujranwala</v>
      </c>
      <c r="F65" s="6">
        <v>10</v>
      </c>
      <c r="G65" s="6" t="str">
        <v>5</v>
      </c>
      <c r="H65" s="54">
        <f>SUMIFS('LD F.G ROLL'!K:K,'LD F.G ROLL'!A:A,Sheet2!C65)</f>
        <v>4</v>
      </c>
      <c r="I65" s="54">
        <f>SUMIFS('LD F.G ROLL'!L:L,'LD F.G ROLL'!$A:$A,Sheet2!$C65)</f>
        <v>110.39999999999999</v>
      </c>
      <c r="J65" s="54">
        <f>SUMIFS('LD F.G ROLL'!S:S,'LD F.G ROLL'!$A:$A,Sheet2!$C65)</f>
        <v>4</v>
      </c>
      <c r="K65" s="54">
        <f>SUMIFS('LD F.G ROLL'!T:T,'LD F.G ROLL'!$A:$A,Sheet2!$C65)</f>
        <v>110.39999999999999</v>
      </c>
      <c r="L65" s="6">
        <f t="shared" si="11"/>
        <v>0</v>
      </c>
      <c r="M65" s="6">
        <f t="shared" si="12"/>
        <v>0</v>
      </c>
      <c r="N65" t="e">
        <v>#N/A</v>
      </c>
    </row>
    <row r="66" spans="1:14" x14ac:dyDescent="0.2">
      <c r="A66" s="9" t="s">
        <v>690</v>
      </c>
      <c r="C66" s="5" t="str">
        <f t="shared" si="10"/>
        <v>5.5/8-8.5</v>
      </c>
      <c r="D66" s="10">
        <f>_xlfn.MAXIFS('LD F.G ROLL'!J:J,'LD F.G ROLL'!A:A,C66)</f>
        <v>45912</v>
      </c>
      <c r="E66" s="53" t="str" cm="1">
        <f t="array" ref="E66:G66">IFERROR(VLOOKUP(C66,'LD F.G ROLL'!A:T,{2,5,6},0),"-")</f>
        <v>Waqas Wollan Mills Gujranwala</v>
      </c>
      <c r="F66" s="6">
        <v>5.5</v>
      </c>
      <c r="G66" s="6" t="str">
        <v>8-8.5</v>
      </c>
      <c r="H66" s="54">
        <f>SUMIFS('LD F.G ROLL'!K:K,'LD F.G ROLL'!A:A,Sheet2!C66)</f>
        <v>5</v>
      </c>
      <c r="I66" s="54">
        <f>SUMIFS('LD F.G ROLL'!L:L,'LD F.G ROLL'!$A:$A,Sheet2!$C66)</f>
        <v>179.60000000000002</v>
      </c>
      <c r="J66" s="54">
        <f>SUMIFS('LD F.G ROLL'!S:S,'LD F.G ROLL'!$A:$A,Sheet2!$C66)</f>
        <v>0</v>
      </c>
      <c r="K66" s="54">
        <f>SUMIFS('LD F.G ROLL'!T:T,'LD F.G ROLL'!$A:$A,Sheet2!$C66)</f>
        <v>176.1</v>
      </c>
      <c r="L66" s="6">
        <f t="shared" si="11"/>
        <v>5</v>
      </c>
      <c r="M66" s="6">
        <f t="shared" si="12"/>
        <v>3.5000000000000284</v>
      </c>
      <c r="N66" t="e">
        <v>#N/A</v>
      </c>
    </row>
    <row r="67" spans="1:14" x14ac:dyDescent="0.2">
      <c r="A67" s="9" t="s">
        <v>691</v>
      </c>
      <c r="C67" s="5" t="str">
        <f t="shared" si="10"/>
        <v>8/8.5-9</v>
      </c>
      <c r="D67" s="10">
        <f>_xlfn.MAXIFS('LD F.G ROLL'!J:J,'LD F.G ROLL'!A:A,C67)</f>
        <v>45911</v>
      </c>
      <c r="E67" s="53" t="str" cm="1">
        <f t="array" ref="E67:G67">IFERROR(VLOOKUP(C67,'LD F.G ROLL'!A:T,{2,5,6},0),"-")</f>
        <v>Atlas Honda LTD (SKP)</v>
      </c>
      <c r="F67" s="6">
        <v>8</v>
      </c>
      <c r="G67" s="6" t="str">
        <v>8.5-9</v>
      </c>
      <c r="H67" s="54">
        <f>SUMIFS('LD F.G ROLL'!K:K,'LD F.G ROLL'!A:A,Sheet2!C67)</f>
        <v>3</v>
      </c>
      <c r="I67" s="54">
        <f>SUMIFS('LD F.G ROLL'!L:L,'LD F.G ROLL'!$A:$A,Sheet2!$C67)</f>
        <v>128.4</v>
      </c>
      <c r="J67" s="54">
        <f>SUMIFS('LD F.G ROLL'!S:S,'LD F.G ROLL'!$A:$A,Sheet2!$C67)</f>
        <v>3</v>
      </c>
      <c r="K67" s="54">
        <f>SUMIFS('LD F.G ROLL'!T:T,'LD F.G ROLL'!$A:$A,Sheet2!$C67)</f>
        <v>125.4</v>
      </c>
      <c r="L67" s="6">
        <f t="shared" si="11"/>
        <v>0</v>
      </c>
      <c r="M67" s="6">
        <f t="shared" si="12"/>
        <v>3</v>
      </c>
      <c r="N67" t="e">
        <v>#N/A</v>
      </c>
    </row>
    <row r="68" spans="1:14" x14ac:dyDescent="0.2">
      <c r="A68" s="9" t="s">
        <v>692</v>
      </c>
      <c r="C68" s="5" t="str">
        <f t="shared" si="10"/>
        <v>8/7</v>
      </c>
      <c r="D68" s="10">
        <f>_xlfn.MAXIFS('LD F.G ROLL'!J:J,'LD F.G ROLL'!A:A,C68)</f>
        <v>45911</v>
      </c>
      <c r="E68" s="53" t="str" cm="1">
        <f t="array" ref="E68:G68">IFERROR(VLOOKUP(C68,'LD F.G ROLL'!A:T,{2,5,6},0),"-")</f>
        <v>Usman Arif Butt Gujranwala</v>
      </c>
      <c r="F68" s="6">
        <v>8</v>
      </c>
      <c r="G68" s="6" t="str">
        <v>7</v>
      </c>
      <c r="H68" s="54">
        <f>SUMIFS('LD F.G ROLL'!K:K,'LD F.G ROLL'!A:A,Sheet2!C68)</f>
        <v>3</v>
      </c>
      <c r="I68" s="54">
        <f>SUMIFS('LD F.G ROLL'!L:L,'LD F.G ROLL'!$A:$A,Sheet2!$C68)</f>
        <v>112.6</v>
      </c>
      <c r="J68" s="54">
        <f>SUMIFS('LD F.G ROLL'!S:S,'LD F.G ROLL'!$A:$A,Sheet2!$C68)</f>
        <v>3</v>
      </c>
      <c r="K68" s="54">
        <f>SUMIFS('LD F.G ROLL'!T:T,'LD F.G ROLL'!$A:$A,Sheet2!$C68)</f>
        <v>112.6</v>
      </c>
      <c r="L68" s="6">
        <f t="shared" si="11"/>
        <v>0</v>
      </c>
      <c r="M68" s="6">
        <f t="shared" si="12"/>
        <v>0</v>
      </c>
      <c r="N68" t="e">
        <v>#N/A</v>
      </c>
    </row>
    <row r="69" spans="1:14" x14ac:dyDescent="0.2">
      <c r="A69" s="9" t="s">
        <v>99</v>
      </c>
      <c r="C69" s="5" t="str">
        <f t="shared" si="10"/>
        <v>8/5</v>
      </c>
      <c r="D69" s="10">
        <f>_xlfn.MAXIFS('LD F.G ROLL'!J:J,'LD F.G ROLL'!A:A,C69)</f>
        <v>45912</v>
      </c>
      <c r="E69" s="53" t="str" cm="1">
        <f t="array" ref="E69:G69">IFERROR(VLOOKUP(C69,'LD F.G ROLL'!A:T,{2,5,6},0),"-")</f>
        <v>Usman Arif Butt Gujranwala</v>
      </c>
      <c r="F69" s="6">
        <v>8</v>
      </c>
      <c r="G69" s="6" t="str">
        <v>5</v>
      </c>
      <c r="H69" s="54">
        <f>SUMIFS('LD F.G ROLL'!K:K,'LD F.G ROLL'!A:A,Sheet2!C69)</f>
        <v>4</v>
      </c>
      <c r="I69" s="54">
        <f>SUMIFS('LD F.G ROLL'!L:L,'LD F.G ROLL'!$A:$A,Sheet2!$C69)</f>
        <v>111</v>
      </c>
      <c r="J69" s="54">
        <f>SUMIFS('LD F.G ROLL'!S:S,'LD F.G ROLL'!$A:$A,Sheet2!$C69)</f>
        <v>0</v>
      </c>
      <c r="K69" s="54">
        <f>SUMIFS('LD F.G ROLL'!T:T,'LD F.G ROLL'!$A:$A,Sheet2!$C69)</f>
        <v>111</v>
      </c>
      <c r="L69" s="6">
        <f t="shared" si="11"/>
        <v>4</v>
      </c>
      <c r="M69" s="6">
        <f t="shared" si="12"/>
        <v>0</v>
      </c>
      <c r="N69" t="e">
        <v>#N/A</v>
      </c>
    </row>
    <row r="70" spans="1:14" x14ac:dyDescent="0.2">
      <c r="A70" s="9" t="s">
        <v>693</v>
      </c>
      <c r="C70" s="5" t="str">
        <f t="shared" si="10"/>
        <v>12/8-8.5</v>
      </c>
      <c r="D70" s="10">
        <f>_xlfn.MAXIFS('LD F.G ROLL'!J:J,'LD F.G ROLL'!A:A,C70)</f>
        <v>45911</v>
      </c>
      <c r="E70" s="53" t="str" cm="1">
        <f t="array" ref="E70:G70">IFERROR(VLOOKUP(C70,'LD F.G ROLL'!A:T,{2,5,6},0),"-")</f>
        <v>Waqas Wollan Mills Gujranwala</v>
      </c>
      <c r="F70" s="6">
        <v>12</v>
      </c>
      <c r="G70" s="6" t="str">
        <v>8-8.5</v>
      </c>
      <c r="H70" s="54">
        <f>SUMIFS('LD F.G ROLL'!K:K,'LD F.G ROLL'!A:A,Sheet2!C70)</f>
        <v>4</v>
      </c>
      <c r="I70" s="54">
        <f>SUMIFS('LD F.G ROLL'!L:L,'LD F.G ROLL'!$A:$A,Sheet2!$C70)</f>
        <v>211.6</v>
      </c>
      <c r="J70" s="54">
        <f>SUMIFS('LD F.G ROLL'!S:S,'LD F.G ROLL'!$A:$A,Sheet2!$C70)</f>
        <v>4</v>
      </c>
      <c r="K70" s="54">
        <f>SUMIFS('LD F.G ROLL'!T:T,'LD F.G ROLL'!$A:$A,Sheet2!$C70)</f>
        <v>205.4</v>
      </c>
      <c r="L70" s="6">
        <f t="shared" si="11"/>
        <v>0</v>
      </c>
      <c r="M70" s="6">
        <f t="shared" si="12"/>
        <v>6.1999999999999886</v>
      </c>
      <c r="N70" t="e">
        <v>#N/A</v>
      </c>
    </row>
    <row r="71" spans="1:14" x14ac:dyDescent="0.2">
      <c r="A71" s="9" t="s">
        <v>694</v>
      </c>
      <c r="C71" s="5" t="str">
        <f t="shared" si="10"/>
        <v>12/10-10.5</v>
      </c>
      <c r="D71" s="10">
        <f>_xlfn.MAXIFS('LD F.G ROLL'!J:J,'LD F.G ROLL'!A:A,C71)</f>
        <v>45911</v>
      </c>
      <c r="E71" s="53" t="str" cm="1">
        <f t="array" ref="E71:G71">IFERROR(VLOOKUP(C71,'LD F.G ROLL'!A:T,{2,5,6},0),"-")</f>
        <v>Waqas Wollan Mills Gujranwala</v>
      </c>
      <c r="F71" s="6">
        <v>12</v>
      </c>
      <c r="G71" s="6" t="str">
        <v>10-10.5</v>
      </c>
      <c r="H71" s="54">
        <f>SUMIFS('LD F.G ROLL'!K:K,'LD F.G ROLL'!A:A,Sheet2!C71)</f>
        <v>4</v>
      </c>
      <c r="I71" s="54">
        <f>SUMIFS('LD F.G ROLL'!L:L,'LD F.G ROLL'!$A:$A,Sheet2!$C71)</f>
        <v>219.6</v>
      </c>
      <c r="J71" s="54">
        <f>SUMIFS('LD F.G ROLL'!S:S,'LD F.G ROLL'!$A:$A,Sheet2!$C71)</f>
        <v>4</v>
      </c>
      <c r="K71" s="54">
        <f>SUMIFS('LD F.G ROLL'!T:T,'LD F.G ROLL'!$A:$A,Sheet2!$C71)</f>
        <v>213.6</v>
      </c>
      <c r="L71" s="6">
        <f t="shared" si="11"/>
        <v>0</v>
      </c>
      <c r="M71" s="6">
        <f t="shared" si="12"/>
        <v>6</v>
      </c>
      <c r="N71" t="e">
        <v>#N/A</v>
      </c>
    </row>
    <row r="72" spans="1:14" x14ac:dyDescent="0.2">
      <c r="A72" s="9" t="s">
        <v>695</v>
      </c>
      <c r="C72" s="5" t="str">
        <f t="shared" si="10"/>
        <v>15/7.7.5</v>
      </c>
      <c r="D72" s="10">
        <f>_xlfn.MAXIFS('LD F.G ROLL'!J:J,'LD F.G ROLL'!A:A,C72)</f>
        <v>45911</v>
      </c>
      <c r="E72" s="53" t="str" cm="1">
        <f t="array" ref="E72:G72">IFERROR(VLOOKUP(C72,'LD F.G ROLL'!A:T,{2,5,6},0),"-")</f>
        <v>Usman Amin</v>
      </c>
      <c r="F72" s="6">
        <v>15</v>
      </c>
      <c r="G72" s="6" t="str">
        <v>7.7.5</v>
      </c>
      <c r="H72" s="54">
        <f>SUMIFS('LD F.G ROLL'!K:K,'LD F.G ROLL'!A:A,Sheet2!C72)</f>
        <v>1</v>
      </c>
      <c r="I72" s="54">
        <f>SUMIFS('LD F.G ROLL'!L:L,'LD F.G ROLL'!$A:$A,Sheet2!$C72)</f>
        <v>39.799999999999997</v>
      </c>
      <c r="J72" s="54">
        <f>SUMIFS('LD F.G ROLL'!S:S,'LD F.G ROLL'!$A:$A,Sheet2!$C72)</f>
        <v>1</v>
      </c>
      <c r="K72" s="54">
        <f>SUMIFS('LD F.G ROLL'!T:T,'LD F.G ROLL'!$A:$A,Sheet2!$C72)</f>
        <v>39.799999999999997</v>
      </c>
      <c r="L72" s="6">
        <f t="shared" si="11"/>
        <v>0</v>
      </c>
      <c r="M72" s="6">
        <f t="shared" si="12"/>
        <v>0</v>
      </c>
      <c r="N72" t="e">
        <v>#N/A</v>
      </c>
    </row>
    <row r="73" spans="1:14" x14ac:dyDescent="0.2">
      <c r="A73" s="9" t="s">
        <v>696</v>
      </c>
      <c r="C73" s="5" t="str">
        <f t="shared" si="10"/>
        <v>17/12</v>
      </c>
      <c r="D73" s="10">
        <f>_xlfn.MAXIFS('LD F.G ROLL'!J:J,'LD F.G ROLL'!A:A,C73)</f>
        <v>45912</v>
      </c>
      <c r="E73" s="53" t="str" cm="1">
        <f t="array" ref="E73:G73">IFERROR(VLOOKUP(C73,'LD F.G ROLL'!A:T,{2,5,6},0),"-")</f>
        <v>Usman Amin</v>
      </c>
      <c r="F73" s="6">
        <v>17</v>
      </c>
      <c r="G73" s="6" t="str">
        <v>12</v>
      </c>
      <c r="H73" s="54">
        <f>SUMIFS('LD F.G ROLL'!K:K,'LD F.G ROLL'!A:A,Sheet2!C73)</f>
        <v>7</v>
      </c>
      <c r="I73" s="54">
        <f>SUMIFS('LD F.G ROLL'!L:L,'LD F.G ROLL'!$A:$A,Sheet2!$C73)</f>
        <v>430.6</v>
      </c>
      <c r="J73" s="54">
        <f>SUMIFS('LD F.G ROLL'!S:S,'LD F.G ROLL'!$A:$A,Sheet2!$C73)</f>
        <v>7</v>
      </c>
      <c r="K73" s="54">
        <f>SUMIFS('LD F.G ROLL'!T:T,'LD F.G ROLL'!$A:$A,Sheet2!$C73)</f>
        <v>428.6</v>
      </c>
      <c r="L73" s="6">
        <f t="shared" si="11"/>
        <v>0</v>
      </c>
      <c r="M73" s="6">
        <f t="shared" si="12"/>
        <v>2</v>
      </c>
      <c r="N73" t="e">
        <v>#N/A</v>
      </c>
    </row>
    <row r="74" spans="1:14" x14ac:dyDescent="0.2">
      <c r="A74" s="9" t="s">
        <v>697</v>
      </c>
      <c r="C74" s="5" t="str">
        <f t="shared" si="10"/>
        <v>20/6-6.5</v>
      </c>
      <c r="D74" s="10">
        <f>_xlfn.MAXIFS('LD F.G ROLL'!J:J,'LD F.G ROLL'!A:A,C74)</f>
        <v>45911</v>
      </c>
      <c r="E74" s="53" t="str" cm="1">
        <f t="array" ref="E74:G74">IFERROR(VLOOKUP(C74,'LD F.G ROLL'!A:T,{2,5,6},0),"-")</f>
        <v>M.K.B PESAHAR</v>
      </c>
      <c r="F74" s="6">
        <v>20</v>
      </c>
      <c r="G74" s="6" t="str">
        <v>6-6.5</v>
      </c>
      <c r="H74" s="54">
        <f>SUMIFS('LD F.G ROLL'!K:K,'LD F.G ROLL'!A:A,Sheet2!C74)</f>
        <v>5</v>
      </c>
      <c r="I74" s="54">
        <f>SUMIFS('LD F.G ROLL'!L:L,'LD F.G ROLL'!$A:$A,Sheet2!$C74)</f>
        <v>224.4</v>
      </c>
      <c r="J74" s="54">
        <f>SUMIFS('LD F.G ROLL'!S:S,'LD F.G ROLL'!$A:$A,Sheet2!$C74)</f>
        <v>5</v>
      </c>
      <c r="K74" s="54">
        <f>SUMIFS('LD F.G ROLL'!T:T,'LD F.G ROLL'!$A:$A,Sheet2!$C74)</f>
        <v>212.6</v>
      </c>
      <c r="L74" s="6">
        <f t="shared" si="11"/>
        <v>0</v>
      </c>
      <c r="M74" s="6">
        <f t="shared" si="12"/>
        <v>11.800000000000011</v>
      </c>
      <c r="N74" t="e">
        <v>#N/A</v>
      </c>
    </row>
    <row r="75" spans="1:14" x14ac:dyDescent="0.2">
      <c r="A75" s="9" t="s">
        <v>698</v>
      </c>
      <c r="C75" s="5" t="str">
        <f t="shared" si="10"/>
        <v>24/5.5-6</v>
      </c>
      <c r="D75" s="10">
        <f>_xlfn.MAXIFS('LD F.G ROLL'!J:J,'LD F.G ROLL'!A:A,C75)</f>
        <v>45911</v>
      </c>
      <c r="E75" s="53" t="str" cm="1">
        <f t="array" ref="E75:G75">IFERROR(VLOOKUP(C75,'LD F.G ROLL'!A:T,{2,5,6},0),"-")</f>
        <v>Cakes and Bakes Lahore Dairy Unit</v>
      </c>
      <c r="F75" s="6">
        <v>24</v>
      </c>
      <c r="G75" s="6" t="str">
        <v>5.5-6</v>
      </c>
      <c r="H75" s="54">
        <f>SUMIFS('LD F.G ROLL'!K:K,'LD F.G ROLL'!A:A,Sheet2!C75)</f>
        <v>5</v>
      </c>
      <c r="I75" s="54">
        <f>SUMIFS('LD F.G ROLL'!L:L,'LD F.G ROLL'!$A:$A,Sheet2!$C75)</f>
        <v>209.2</v>
      </c>
      <c r="J75" s="54">
        <f>SUMIFS('LD F.G ROLL'!S:S,'LD F.G ROLL'!$A:$A,Sheet2!$C75)</f>
        <v>5</v>
      </c>
      <c r="K75" s="54">
        <f>SUMIFS('LD F.G ROLL'!T:T,'LD F.G ROLL'!$A:$A,Sheet2!$C75)</f>
        <v>195.2</v>
      </c>
      <c r="L75" s="6">
        <f t="shared" si="11"/>
        <v>0</v>
      </c>
      <c r="M75" s="6">
        <f t="shared" si="12"/>
        <v>14</v>
      </c>
      <c r="N75" t="e">
        <v>#N/A</v>
      </c>
    </row>
    <row r="76" spans="1:14" x14ac:dyDescent="0.2">
      <c r="A76" s="9" t="s">
        <v>699</v>
      </c>
      <c r="C76" s="5" t="str">
        <f t="shared" si="10"/>
        <v>22/6-6.5</v>
      </c>
      <c r="D76" s="10">
        <f>_xlfn.MAXIFS('LD F.G ROLL'!J:J,'LD F.G ROLL'!A:A,C76)</f>
        <v>45916</v>
      </c>
      <c r="E76" s="53" t="str" cm="1">
        <f t="array" ref="E76:G76">IFERROR(VLOOKUP(C76,'LD F.G ROLL'!A:T,{2,5,6},0),"-")</f>
        <v>M.K.B PESAHAR</v>
      </c>
      <c r="F76" s="6">
        <v>22</v>
      </c>
      <c r="G76" s="6" t="str">
        <v>6-6.5</v>
      </c>
      <c r="H76" s="54">
        <f>SUMIFS('LD F.G ROLL'!K:K,'LD F.G ROLL'!A:A,Sheet2!C76)</f>
        <v>7</v>
      </c>
      <c r="I76" s="54">
        <f>SUMIFS('LD F.G ROLL'!L:L,'LD F.G ROLL'!$A:$A,Sheet2!$C76)</f>
        <v>477</v>
      </c>
      <c r="J76" s="54">
        <f>SUMIFS('LD F.G ROLL'!S:S,'LD F.G ROLL'!$A:$A,Sheet2!$C76)</f>
        <v>11</v>
      </c>
      <c r="K76" s="54">
        <f>SUMIFS('LD F.G ROLL'!T:T,'LD F.G ROLL'!$A:$A,Sheet2!$C76)</f>
        <v>459.2</v>
      </c>
      <c r="L76" s="6">
        <f t="shared" si="11"/>
        <v>-4</v>
      </c>
      <c r="M76" s="6">
        <f t="shared" si="12"/>
        <v>17.800000000000011</v>
      </c>
      <c r="N76" t="e">
        <v>#N/A</v>
      </c>
    </row>
    <row r="77" spans="1:14" x14ac:dyDescent="0.2">
      <c r="A77" s="9" t="s">
        <v>700</v>
      </c>
      <c r="C77" s="5" t="str">
        <f t="shared" si="10"/>
        <v>20+5.5+5.5/7.5-8/15-16</v>
      </c>
      <c r="D77" s="10">
        <f>_xlfn.MAXIFS('LD F.G ROLL'!J:J,'LD F.G ROLL'!A:A,C77)</f>
        <v>45912</v>
      </c>
      <c r="E77" s="53" t="str" cm="1">
        <f t="array" ref="E77:G77">IFERROR(VLOOKUP(C77,'LD F.G ROLL'!A:T,{2,5,6},0),"-")</f>
        <v>Cakes and Bakes Lahore</v>
      </c>
      <c r="F77" s="6" t="str">
        <v>20+5.5+5.5</v>
      </c>
      <c r="G77" s="6" t="str">
        <v>7.5-8/15-16</v>
      </c>
      <c r="H77" s="54">
        <f>SUMIFS('LD F.G ROLL'!K:K,'LD F.G ROLL'!A:A,Sheet2!C77)</f>
        <v>6</v>
      </c>
      <c r="I77" s="54">
        <f>SUMIFS('LD F.G ROLL'!L:L,'LD F.G ROLL'!$A:$A,Sheet2!$C77)</f>
        <v>313</v>
      </c>
      <c r="J77" s="54">
        <f>SUMIFS('LD F.G ROLL'!S:S,'LD F.G ROLL'!$A:$A,Sheet2!$C77)</f>
        <v>8</v>
      </c>
      <c r="K77" s="54">
        <f>SUMIFS('LD F.G ROLL'!T:T,'LD F.G ROLL'!$A:$A,Sheet2!$C77)</f>
        <v>401.6</v>
      </c>
      <c r="L77" s="6">
        <f t="shared" si="11"/>
        <v>-2</v>
      </c>
      <c r="M77" s="6">
        <f t="shared" si="12"/>
        <v>-88.600000000000023</v>
      </c>
      <c r="N77" t="e">
        <v>#N/A</v>
      </c>
    </row>
    <row r="78" spans="1:14" x14ac:dyDescent="0.2">
      <c r="A78" s="9" t="s">
        <v>753</v>
      </c>
      <c r="C78" s="5" t="str">
        <f t="shared" si="10"/>
        <v>5/5.5-6</v>
      </c>
      <c r="D78" s="10">
        <f>_xlfn.MAXIFS('LD F.G ROLL'!J:J,'LD F.G ROLL'!A:A,C78)</f>
        <v>45912</v>
      </c>
      <c r="E78" s="53" t="str" cm="1">
        <f t="array" ref="E78:G78">IFERROR(VLOOKUP(C78,'LD F.G ROLL'!A:T,{2,5,6},0),"-")</f>
        <v>Cakes and Bakes Lahore</v>
      </c>
      <c r="F78" s="6">
        <v>5</v>
      </c>
      <c r="G78" s="6" t="str">
        <v>5.5-6</v>
      </c>
      <c r="H78" s="54">
        <f>SUMIFS('LD F.G ROLL'!K:K,'LD F.G ROLL'!A:A,Sheet2!C78)</f>
        <v>2</v>
      </c>
      <c r="I78" s="54">
        <f>SUMIFS('LD F.G ROLL'!L:L,'LD F.G ROLL'!$A:$A,Sheet2!$C78)</f>
        <v>59.6</v>
      </c>
      <c r="J78" s="54">
        <f>SUMIFS('LD F.G ROLL'!S:S,'LD F.G ROLL'!$A:$A,Sheet2!$C78)</f>
        <v>0</v>
      </c>
      <c r="K78" s="54">
        <f>SUMIFS('LD F.G ROLL'!T:T,'LD F.G ROLL'!$A:$A,Sheet2!$C78)</f>
        <v>58.2</v>
      </c>
      <c r="L78" s="6">
        <f t="shared" si="11"/>
        <v>2</v>
      </c>
      <c r="M78" s="6">
        <f t="shared" si="12"/>
        <v>1.3999999999999986</v>
      </c>
      <c r="N78" t="e">
        <v>#N/A</v>
      </c>
    </row>
    <row r="79" spans="1:14" x14ac:dyDescent="0.2">
      <c r="A79" s="9" t="s">
        <v>754</v>
      </c>
      <c r="N79" t="e">
        <v>#N/A</v>
      </c>
    </row>
    <row r="80" spans="1:14" x14ac:dyDescent="0.2">
      <c r="A80" s="9" t="s">
        <v>755</v>
      </c>
      <c r="N80" t="e">
        <v>#N/A</v>
      </c>
    </row>
    <row r="81" spans="1:14" x14ac:dyDescent="0.2">
      <c r="A81" s="9" t="s">
        <v>756</v>
      </c>
      <c r="N81" t="e">
        <v>#N/A</v>
      </c>
    </row>
    <row r="82" spans="1:14" x14ac:dyDescent="0.2">
      <c r="A82" s="9" t="s">
        <v>757</v>
      </c>
      <c r="N82" t="e">
        <v>#N/A</v>
      </c>
    </row>
    <row r="83" spans="1:14" x14ac:dyDescent="0.2">
      <c r="A83" s="9" t="s">
        <v>758</v>
      </c>
      <c r="N83" t="e">
        <v>#N/A</v>
      </c>
    </row>
    <row r="84" spans="1:14" x14ac:dyDescent="0.2">
      <c r="A84" s="9" t="s">
        <v>759</v>
      </c>
      <c r="N84" t="e">
        <v>#N/A</v>
      </c>
    </row>
    <row r="85" spans="1:14" x14ac:dyDescent="0.2">
      <c r="A85" s="9" t="s">
        <v>760</v>
      </c>
      <c r="N85" t="e">
        <v>#N/A</v>
      </c>
    </row>
    <row r="86" spans="1:14" x14ac:dyDescent="0.2">
      <c r="A86" s="9" t="s">
        <v>761</v>
      </c>
      <c r="N86" t="e">
        <v>#N/A</v>
      </c>
    </row>
    <row r="87" spans="1:14" x14ac:dyDescent="0.2">
      <c r="A87" s="9" t="s">
        <v>762</v>
      </c>
      <c r="N87" t="e">
        <v>#N/A</v>
      </c>
    </row>
    <row r="88" spans="1:14" x14ac:dyDescent="0.2">
      <c r="A88" s="9" t="s">
        <v>763</v>
      </c>
      <c r="N88" t="e">
        <v>#N/A</v>
      </c>
    </row>
    <row r="89" spans="1:14" x14ac:dyDescent="0.2">
      <c r="A89" s="9" t="s">
        <v>764</v>
      </c>
      <c r="N89" t="e">
        <v>#N/A</v>
      </c>
    </row>
    <row r="90" spans="1:14" x14ac:dyDescent="0.2">
      <c r="A90" s="9" t="s">
        <v>765</v>
      </c>
      <c r="N90" t="e">
        <v>#N/A</v>
      </c>
    </row>
    <row r="91" spans="1:14" x14ac:dyDescent="0.2">
      <c r="A91" s="9" t="s">
        <v>766</v>
      </c>
      <c r="N91" t="e">
        <v>#N/A</v>
      </c>
    </row>
    <row r="92" spans="1:14" x14ac:dyDescent="0.2">
      <c r="A92" s="9" t="s">
        <v>75</v>
      </c>
      <c r="N92" t="e">
        <v>#N/A</v>
      </c>
    </row>
    <row r="93" spans="1:14" x14ac:dyDescent="0.2">
      <c r="N93" t="e">
        <v>#N/A</v>
      </c>
    </row>
    <row r="94" spans="1:14" x14ac:dyDescent="0.2">
      <c r="N94" t="e">
        <v>#N/A</v>
      </c>
    </row>
    <row r="95" spans="1:14" x14ac:dyDescent="0.2">
      <c r="N95" t="e">
        <v>#N/A</v>
      </c>
    </row>
    <row r="96" spans="1:14" x14ac:dyDescent="0.2">
      <c r="N96" t="e">
        <v>#N/A</v>
      </c>
    </row>
    <row r="97" spans="14:14" x14ac:dyDescent="0.2">
      <c r="N97" t="e">
        <v>#N/A</v>
      </c>
    </row>
    <row r="98" spans="14:14" x14ac:dyDescent="0.2">
      <c r="N98" t="e">
        <v>#N/A</v>
      </c>
    </row>
    <row r="99" spans="14:14" x14ac:dyDescent="0.2">
      <c r="N99" t="e">
        <v>#N/A</v>
      </c>
    </row>
    <row r="100" spans="14:14" x14ac:dyDescent="0.2">
      <c r="N100" t="e">
        <v>#N/A</v>
      </c>
    </row>
    <row r="101" spans="14:14" x14ac:dyDescent="0.2">
      <c r="N101" t="e">
        <v>#N/A</v>
      </c>
    </row>
    <row r="102" spans="14:14" x14ac:dyDescent="0.2">
      <c r="N102" t="e">
        <v>#N/A</v>
      </c>
    </row>
    <row r="103" spans="14:14" x14ac:dyDescent="0.2">
      <c r="N103" t="e">
        <v>#N/A</v>
      </c>
    </row>
    <row r="104" spans="14:14" x14ac:dyDescent="0.2">
      <c r="N104" t="e">
        <v>#N/A</v>
      </c>
    </row>
    <row r="105" spans="14:14" x14ac:dyDescent="0.2">
      <c r="N105" t="e">
        <v>#N/A</v>
      </c>
    </row>
    <row r="106" spans="14:14" x14ac:dyDescent="0.2">
      <c r="N106" t="e">
        <v>#N/A</v>
      </c>
    </row>
    <row r="107" spans="14:14" x14ac:dyDescent="0.2">
      <c r="N107" t="e">
        <v>#N/A</v>
      </c>
    </row>
    <row r="108" spans="14:14" x14ac:dyDescent="0.2">
      <c r="N108" t="e">
        <v>#N/A</v>
      </c>
    </row>
    <row r="109" spans="14:14" x14ac:dyDescent="0.2">
      <c r="N109" t="e">
        <v>#N/A</v>
      </c>
    </row>
    <row r="110" spans="14:14" x14ac:dyDescent="0.2">
      <c r="N110" t="e">
        <v>#N/A</v>
      </c>
    </row>
    <row r="111" spans="14:14" x14ac:dyDescent="0.2">
      <c r="N111" t="e">
        <v>#N/A</v>
      </c>
    </row>
    <row r="112" spans="14:14" x14ac:dyDescent="0.2">
      <c r="N112" t="e">
        <v>#N/A</v>
      </c>
    </row>
    <row r="113" spans="14:14" x14ac:dyDescent="0.2">
      <c r="N113" t="e">
        <v>#N/A</v>
      </c>
    </row>
    <row r="114" spans="14:14" x14ac:dyDescent="0.2">
      <c r="N114" t="e">
        <v>#N/A</v>
      </c>
    </row>
    <row r="115" spans="14:14" x14ac:dyDescent="0.2">
      <c r="N115" t="e">
        <v>#N/A</v>
      </c>
    </row>
    <row r="116" spans="14:14" x14ac:dyDescent="0.2">
      <c r="N116" t="e">
        <v>#N/A</v>
      </c>
    </row>
    <row r="117" spans="14:14" x14ac:dyDescent="0.2">
      <c r="N117" t="e">
        <v>#N/A</v>
      </c>
    </row>
    <row r="118" spans="14:14" x14ac:dyDescent="0.2">
      <c r="N118" t="e">
        <v>#N/A</v>
      </c>
    </row>
    <row r="119" spans="14:14" x14ac:dyDescent="0.2">
      <c r="N119" t="e">
        <v>#N/A</v>
      </c>
    </row>
    <row r="120" spans="14:14" x14ac:dyDescent="0.2">
      <c r="N120" t="e">
        <v>#N/A</v>
      </c>
    </row>
    <row r="121" spans="14:14" x14ac:dyDescent="0.2">
      <c r="N121" t="e">
        <v>#N/A</v>
      </c>
    </row>
    <row r="122" spans="14:14" x14ac:dyDescent="0.2">
      <c r="N122" t="e">
        <v>#N/A</v>
      </c>
    </row>
    <row r="123" spans="14:14" x14ac:dyDescent="0.2">
      <c r="N123" t="e">
        <v>#N/A</v>
      </c>
    </row>
    <row r="124" spans="14:14" x14ac:dyDescent="0.2">
      <c r="N124" t="e">
        <v>#N/A</v>
      </c>
    </row>
    <row r="125" spans="14:14" x14ac:dyDescent="0.2">
      <c r="N125" t="e">
        <v>#N/A</v>
      </c>
    </row>
    <row r="126" spans="14:14" x14ac:dyDescent="0.2">
      <c r="N126" t="e">
        <v>#N/A</v>
      </c>
    </row>
    <row r="127" spans="14:14" x14ac:dyDescent="0.2">
      <c r="N127" t="e">
        <v>#N/A</v>
      </c>
    </row>
    <row r="128" spans="14:14" x14ac:dyDescent="0.2">
      <c r="N128" t="e">
        <v>#N/A</v>
      </c>
    </row>
    <row r="129" spans="14:14" x14ac:dyDescent="0.2">
      <c r="N129" t="e">
        <v>#N/A</v>
      </c>
    </row>
    <row r="130" spans="14:14" x14ac:dyDescent="0.2">
      <c r="N130" t="e">
        <v>#N/A</v>
      </c>
    </row>
    <row r="131" spans="14:14" x14ac:dyDescent="0.2">
      <c r="N131" t="e">
        <v>#N/A</v>
      </c>
    </row>
    <row r="132" spans="14:14" x14ac:dyDescent="0.2">
      <c r="N132" t="e">
        <v>#N/A</v>
      </c>
    </row>
    <row r="133" spans="14:14" x14ac:dyDescent="0.2">
      <c r="N133" t="e">
        <v>#N/A</v>
      </c>
    </row>
    <row r="134" spans="14:14" x14ac:dyDescent="0.2">
      <c r="N134" t="e">
        <v>#N/A</v>
      </c>
    </row>
    <row r="135" spans="14:14" x14ac:dyDescent="0.2">
      <c r="N135" t="e">
        <v>#N/A</v>
      </c>
    </row>
    <row r="136" spans="14:14" x14ac:dyDescent="0.2">
      <c r="N136" t="e">
        <v>#N/A</v>
      </c>
    </row>
    <row r="137" spans="14:14" x14ac:dyDescent="0.2">
      <c r="N137" t="e">
        <v>#N/A</v>
      </c>
    </row>
    <row r="138" spans="14:14" x14ac:dyDescent="0.2">
      <c r="N138" t="e">
        <v>#N/A</v>
      </c>
    </row>
    <row r="139" spans="14:14" x14ac:dyDescent="0.2">
      <c r="N139" t="e">
        <v>#N/A</v>
      </c>
    </row>
    <row r="140" spans="14:14" x14ac:dyDescent="0.2">
      <c r="N140" t="e">
        <v>#N/A</v>
      </c>
    </row>
    <row r="141" spans="14:14" x14ac:dyDescent="0.2">
      <c r="N141" t="e">
        <v>#N/A</v>
      </c>
    </row>
    <row r="142" spans="14:14" x14ac:dyDescent="0.2">
      <c r="N142" t="e">
        <v>#N/A</v>
      </c>
    </row>
    <row r="143" spans="14:14" x14ac:dyDescent="0.2">
      <c r="N143" t="e">
        <v>#N/A</v>
      </c>
    </row>
    <row r="144" spans="14:14" x14ac:dyDescent="0.2">
      <c r="N144" t="e">
        <v>#N/A</v>
      </c>
    </row>
    <row r="145" spans="14:14" x14ac:dyDescent="0.2">
      <c r="N145" t="e">
        <v>#N/A</v>
      </c>
    </row>
    <row r="146" spans="14:14" x14ac:dyDescent="0.2">
      <c r="N146" t="e">
        <v>#N/A</v>
      </c>
    </row>
    <row r="147" spans="14:14" x14ac:dyDescent="0.2">
      <c r="N147" t="e">
        <v>#N/A</v>
      </c>
    </row>
    <row r="148" spans="14:14" x14ac:dyDescent="0.2">
      <c r="N148" t="e">
        <v>#N/A</v>
      </c>
    </row>
    <row r="149" spans="14:14" x14ac:dyDescent="0.2">
      <c r="N149" t="e">
        <v>#N/A</v>
      </c>
    </row>
    <row r="150" spans="14:14" x14ac:dyDescent="0.2">
      <c r="N150" t="e">
        <v>#N/A</v>
      </c>
    </row>
    <row r="151" spans="14:14" x14ac:dyDescent="0.2">
      <c r="N151" t="e">
        <v>#N/A</v>
      </c>
    </row>
    <row r="152" spans="14:14" x14ac:dyDescent="0.2">
      <c r="N152" t="e">
        <v>#N/A</v>
      </c>
    </row>
    <row r="153" spans="14:14" x14ac:dyDescent="0.2">
      <c r="N153" t="e">
        <v>#N/A</v>
      </c>
    </row>
    <row r="154" spans="14:14" x14ac:dyDescent="0.2">
      <c r="N154" t="e">
        <v>#N/A</v>
      </c>
    </row>
    <row r="155" spans="14:14" x14ac:dyDescent="0.2">
      <c r="N155" t="e">
        <v>#N/A</v>
      </c>
    </row>
    <row r="156" spans="14:14" x14ac:dyDescent="0.2">
      <c r="N156" t="e">
        <v>#N/A</v>
      </c>
    </row>
    <row r="157" spans="14:14" x14ac:dyDescent="0.2">
      <c r="N157" t="e">
        <v>#N/A</v>
      </c>
    </row>
    <row r="158" spans="14:14" x14ac:dyDescent="0.2">
      <c r="N158" t="e">
        <v>#N/A</v>
      </c>
    </row>
    <row r="159" spans="14:14" x14ac:dyDescent="0.2">
      <c r="N159" t="e">
        <v>#N/A</v>
      </c>
    </row>
    <row r="160" spans="14:14" x14ac:dyDescent="0.2">
      <c r="N160" t="e">
        <v>#N/A</v>
      </c>
    </row>
    <row r="161" spans="14:14" x14ac:dyDescent="0.2">
      <c r="N161" t="e">
        <v>#N/A</v>
      </c>
    </row>
    <row r="162" spans="14:14" x14ac:dyDescent="0.2">
      <c r="N162" t="e">
        <v>#N/A</v>
      </c>
    </row>
    <row r="163" spans="14:14" x14ac:dyDescent="0.2">
      <c r="N163" t="e">
        <v>#N/A</v>
      </c>
    </row>
    <row r="164" spans="14:14" x14ac:dyDescent="0.2">
      <c r="N164" t="e">
        <v>#N/A</v>
      </c>
    </row>
    <row r="165" spans="14:14" x14ac:dyDescent="0.2">
      <c r="N165" t="e">
        <v>#N/A</v>
      </c>
    </row>
    <row r="166" spans="14:14" x14ac:dyDescent="0.2">
      <c r="N166" t="e">
        <v>#N/A</v>
      </c>
    </row>
    <row r="167" spans="14:14" x14ac:dyDescent="0.2">
      <c r="N167" t="e">
        <v>#N/A</v>
      </c>
    </row>
    <row r="168" spans="14:14" x14ac:dyDescent="0.2">
      <c r="N168" t="e">
        <v>#N/A</v>
      </c>
    </row>
    <row r="169" spans="14:14" x14ac:dyDescent="0.2">
      <c r="N169" t="e">
        <v>#N/A</v>
      </c>
    </row>
    <row r="170" spans="14:14" x14ac:dyDescent="0.2">
      <c r="N170" t="e">
        <v>#N/A</v>
      </c>
    </row>
    <row r="171" spans="14:14" x14ac:dyDescent="0.2">
      <c r="N171" t="e">
        <v>#N/A</v>
      </c>
    </row>
    <row r="172" spans="14:14" x14ac:dyDescent="0.2">
      <c r="N172" t="e">
        <v>#N/A</v>
      </c>
    </row>
    <row r="173" spans="14:14" x14ac:dyDescent="0.2">
      <c r="N173" t="e">
        <v>#N/A</v>
      </c>
    </row>
    <row r="174" spans="14:14" x14ac:dyDescent="0.2">
      <c r="N174" t="e">
        <v>#N/A</v>
      </c>
    </row>
    <row r="175" spans="14:14" x14ac:dyDescent="0.2">
      <c r="N175" t="e">
        <v>#N/A</v>
      </c>
    </row>
    <row r="176" spans="14:14" x14ac:dyDescent="0.2">
      <c r="N176" t="e">
        <v>#N/A</v>
      </c>
    </row>
    <row r="177" spans="14:14" x14ac:dyDescent="0.2">
      <c r="N177" t="e">
        <v>#N/A</v>
      </c>
    </row>
    <row r="178" spans="14:14" x14ac:dyDescent="0.2">
      <c r="N178" t="e">
        <v>#N/A</v>
      </c>
    </row>
    <row r="179" spans="14:14" x14ac:dyDescent="0.2">
      <c r="N179" t="e">
        <v>#N/A</v>
      </c>
    </row>
    <row r="180" spans="14:14" x14ac:dyDescent="0.2">
      <c r="N180" t="e">
        <v>#N/A</v>
      </c>
    </row>
    <row r="181" spans="14:14" x14ac:dyDescent="0.2">
      <c r="N181" t="e">
        <v>#N/A</v>
      </c>
    </row>
    <row r="182" spans="14:14" x14ac:dyDescent="0.2">
      <c r="N182" t="e">
        <v>#N/A</v>
      </c>
    </row>
    <row r="183" spans="14:14" x14ac:dyDescent="0.2">
      <c r="N183" t="e">
        <v>#N/A</v>
      </c>
    </row>
    <row r="184" spans="14:14" x14ac:dyDescent="0.2">
      <c r="N184" t="e">
        <v>#N/A</v>
      </c>
    </row>
    <row r="185" spans="14:14" x14ac:dyDescent="0.2">
      <c r="N185" t="e">
        <v>#N/A</v>
      </c>
    </row>
    <row r="186" spans="14:14" x14ac:dyDescent="0.2">
      <c r="N186" t="e">
        <v>#N/A</v>
      </c>
    </row>
    <row r="187" spans="14:14" x14ac:dyDescent="0.2">
      <c r="N187" t="e">
        <v>#N/A</v>
      </c>
    </row>
    <row r="188" spans="14:14" x14ac:dyDescent="0.2">
      <c r="N188" t="e">
        <v>#N/A</v>
      </c>
    </row>
    <row r="189" spans="14:14" x14ac:dyDescent="0.2">
      <c r="N189" t="e">
        <v>#N/A</v>
      </c>
    </row>
    <row r="190" spans="14:14" x14ac:dyDescent="0.2">
      <c r="N190" t="e">
        <v>#N/A</v>
      </c>
    </row>
    <row r="191" spans="14:14" x14ac:dyDescent="0.2">
      <c r="N191" t="e">
        <v>#N/A</v>
      </c>
    </row>
    <row r="192" spans="14:14" x14ac:dyDescent="0.2">
      <c r="N192" t="e">
        <v>#N/A</v>
      </c>
    </row>
    <row r="193" spans="14:14" x14ac:dyDescent="0.2">
      <c r="N193" t="e">
        <v>#N/A</v>
      </c>
    </row>
    <row r="194" spans="14:14" x14ac:dyDescent="0.2">
      <c r="N194" t="e">
        <v>#N/A</v>
      </c>
    </row>
    <row r="195" spans="14:14" x14ac:dyDescent="0.2">
      <c r="N195" t="e">
        <v>#N/A</v>
      </c>
    </row>
    <row r="196" spans="14:14" x14ac:dyDescent="0.2">
      <c r="N196" t="e">
        <v>#N/A</v>
      </c>
    </row>
    <row r="197" spans="14:14" x14ac:dyDescent="0.2">
      <c r="N197" t="e">
        <v>#N/A</v>
      </c>
    </row>
    <row r="198" spans="14:14" x14ac:dyDescent="0.2">
      <c r="N198" t="e">
        <v>#N/A</v>
      </c>
    </row>
    <row r="199" spans="14:14" x14ac:dyDescent="0.2">
      <c r="N199" t="e">
        <v>#N/A</v>
      </c>
    </row>
    <row r="200" spans="14:14" x14ac:dyDescent="0.2">
      <c r="N200" t="e">
        <v>#N/A</v>
      </c>
    </row>
    <row r="201" spans="14:14" x14ac:dyDescent="0.2">
      <c r="N201" t="e">
        <v>#N/A</v>
      </c>
    </row>
    <row r="202" spans="14:14" x14ac:dyDescent="0.2">
      <c r="N202" t="e">
        <v>#N/A</v>
      </c>
    </row>
    <row r="203" spans="14:14" x14ac:dyDescent="0.2">
      <c r="N203" t="e">
        <v>#N/A</v>
      </c>
    </row>
    <row r="204" spans="14:14" x14ac:dyDescent="0.2">
      <c r="N204" t="e">
        <v>#N/A</v>
      </c>
    </row>
    <row r="205" spans="14:14" x14ac:dyDescent="0.2">
      <c r="N205" t="e">
        <v>#N/A</v>
      </c>
    </row>
    <row r="206" spans="14:14" x14ac:dyDescent="0.2">
      <c r="N206" t="e">
        <v>#N/A</v>
      </c>
    </row>
    <row r="207" spans="14:14" x14ac:dyDescent="0.2">
      <c r="N207" t="e">
        <v>#N/A</v>
      </c>
    </row>
    <row r="208" spans="14:14" x14ac:dyDescent="0.2">
      <c r="N208" t="e">
        <v>#N/A</v>
      </c>
    </row>
    <row r="209" spans="14:14" x14ac:dyDescent="0.2">
      <c r="N209" t="e">
        <v>#N/A</v>
      </c>
    </row>
    <row r="210" spans="14:14" x14ac:dyDescent="0.2">
      <c r="N210" t="e">
        <v>#N/A</v>
      </c>
    </row>
    <row r="211" spans="14:14" x14ac:dyDescent="0.2">
      <c r="N211" t="e">
        <v>#N/A</v>
      </c>
    </row>
    <row r="212" spans="14:14" x14ac:dyDescent="0.2">
      <c r="N212" t="e">
        <v>#N/A</v>
      </c>
    </row>
    <row r="213" spans="14:14" x14ac:dyDescent="0.2">
      <c r="N213" t="e">
        <v>#N/A</v>
      </c>
    </row>
    <row r="214" spans="14:14" x14ac:dyDescent="0.2">
      <c r="N214" t="e">
        <v>#N/A</v>
      </c>
    </row>
    <row r="215" spans="14:14" x14ac:dyDescent="0.2">
      <c r="N215" t="e">
        <v>#N/A</v>
      </c>
    </row>
    <row r="216" spans="14:14" x14ac:dyDescent="0.2">
      <c r="N216" t="e">
        <v>#N/A</v>
      </c>
    </row>
    <row r="217" spans="14:14" x14ac:dyDescent="0.2">
      <c r="N217" t="e">
        <v>#N/A</v>
      </c>
    </row>
    <row r="218" spans="14:14" x14ac:dyDescent="0.2">
      <c r="N218" t="e">
        <v>#N/A</v>
      </c>
    </row>
    <row r="219" spans="14:14" x14ac:dyDescent="0.2">
      <c r="N219" t="e">
        <v>#N/A</v>
      </c>
    </row>
    <row r="220" spans="14:14" x14ac:dyDescent="0.2">
      <c r="N220" t="e">
        <v>#N/A</v>
      </c>
    </row>
    <row r="221" spans="14:14" x14ac:dyDescent="0.2">
      <c r="N221" t="e">
        <v>#N/A</v>
      </c>
    </row>
    <row r="222" spans="14:14" x14ac:dyDescent="0.2">
      <c r="N222" t="e">
        <v>#N/A</v>
      </c>
    </row>
    <row r="223" spans="14:14" x14ac:dyDescent="0.2">
      <c r="N223" t="e">
        <v>#N/A</v>
      </c>
    </row>
    <row r="224" spans="14:14" x14ac:dyDescent="0.2">
      <c r="N224" t="e">
        <v>#N/A</v>
      </c>
    </row>
    <row r="225" spans="14:14" x14ac:dyDescent="0.2">
      <c r="N225" t="e">
        <v>#N/A</v>
      </c>
    </row>
    <row r="226" spans="14:14" x14ac:dyDescent="0.2">
      <c r="N226" t="e">
        <v>#N/A</v>
      </c>
    </row>
    <row r="227" spans="14:14" x14ac:dyDescent="0.2">
      <c r="N227" t="e">
        <v>#N/A</v>
      </c>
    </row>
    <row r="228" spans="14:14" x14ac:dyDescent="0.2">
      <c r="N228" t="e">
        <v>#N/A</v>
      </c>
    </row>
    <row r="229" spans="14:14" x14ac:dyDescent="0.2">
      <c r="N229" t="e">
        <v>#N/A</v>
      </c>
    </row>
    <row r="230" spans="14:14" x14ac:dyDescent="0.2">
      <c r="N230" t="e">
        <v>#N/A</v>
      </c>
    </row>
    <row r="231" spans="14:14" x14ac:dyDescent="0.2">
      <c r="N231" t="e">
        <v>#N/A</v>
      </c>
    </row>
    <row r="232" spans="14:14" x14ac:dyDescent="0.2">
      <c r="N232" t="e">
        <v>#N/A</v>
      </c>
    </row>
    <row r="233" spans="14:14" x14ac:dyDescent="0.2">
      <c r="N233" t="e">
        <v>#N/A</v>
      </c>
    </row>
    <row r="234" spans="14:14" x14ac:dyDescent="0.2">
      <c r="N234" t="e">
        <v>#N/A</v>
      </c>
    </row>
    <row r="235" spans="14:14" x14ac:dyDescent="0.2">
      <c r="N235" t="e">
        <v>#N/A</v>
      </c>
    </row>
    <row r="236" spans="14:14" x14ac:dyDescent="0.2">
      <c r="N236" t="e">
        <v>#N/A</v>
      </c>
    </row>
    <row r="237" spans="14:14" x14ac:dyDescent="0.2">
      <c r="N237" t="e">
        <v>#N/A</v>
      </c>
    </row>
    <row r="238" spans="14:14" x14ac:dyDescent="0.2">
      <c r="N238" t="e">
        <v>#N/A</v>
      </c>
    </row>
    <row r="239" spans="14:14" x14ac:dyDescent="0.2">
      <c r="N239" t="e">
        <v>#N/A</v>
      </c>
    </row>
    <row r="240" spans="14:14" x14ac:dyDescent="0.2">
      <c r="N240" t="e">
        <v>#N/A</v>
      </c>
    </row>
    <row r="241" spans="14:14" x14ac:dyDescent="0.2">
      <c r="N241" t="e">
        <v>#N/A</v>
      </c>
    </row>
    <row r="242" spans="14:14" x14ac:dyDescent="0.2">
      <c r="N242" t="e">
        <v>#N/A</v>
      </c>
    </row>
    <row r="243" spans="14:14" x14ac:dyDescent="0.2">
      <c r="N243" t="e">
        <v>#N/A</v>
      </c>
    </row>
    <row r="244" spans="14:14" x14ac:dyDescent="0.2">
      <c r="N244" t="e">
        <v>#N/A</v>
      </c>
    </row>
    <row r="245" spans="14:14" x14ac:dyDescent="0.2">
      <c r="N245" t="e">
        <v>#N/A</v>
      </c>
    </row>
    <row r="246" spans="14:14" x14ac:dyDescent="0.2">
      <c r="N246" t="e">
        <v>#N/A</v>
      </c>
    </row>
    <row r="247" spans="14:14" x14ac:dyDescent="0.2">
      <c r="N247" t="e">
        <v>#N/A</v>
      </c>
    </row>
    <row r="248" spans="14:14" x14ac:dyDescent="0.2">
      <c r="N248" t="e">
        <v>#N/A</v>
      </c>
    </row>
    <row r="249" spans="14:14" x14ac:dyDescent="0.2">
      <c r="N249" t="e">
        <v>#N/A</v>
      </c>
    </row>
    <row r="250" spans="14:14" x14ac:dyDescent="0.2">
      <c r="N250" t="e">
        <v>#N/A</v>
      </c>
    </row>
    <row r="251" spans="14:14" x14ac:dyDescent="0.2">
      <c r="N251" t="e">
        <v>#N/A</v>
      </c>
    </row>
    <row r="252" spans="14:14" x14ac:dyDescent="0.2">
      <c r="N252" t="e">
        <v>#N/A</v>
      </c>
    </row>
    <row r="253" spans="14:14" x14ac:dyDescent="0.2">
      <c r="N253" t="e">
        <v>#N/A</v>
      </c>
    </row>
    <row r="254" spans="14:14" x14ac:dyDescent="0.2">
      <c r="N254" t="e">
        <v>#N/A</v>
      </c>
    </row>
    <row r="255" spans="14:14" x14ac:dyDescent="0.2">
      <c r="N255" t="e">
        <v>#N/A</v>
      </c>
    </row>
    <row r="256" spans="14:14" x14ac:dyDescent="0.2">
      <c r="N256" t="e">
        <v>#N/A</v>
      </c>
    </row>
    <row r="257" spans="14:14" x14ac:dyDescent="0.2">
      <c r="N257" t="e">
        <v>#N/A</v>
      </c>
    </row>
    <row r="258" spans="14:14" x14ac:dyDescent="0.2">
      <c r="N258" t="e">
        <v>#N/A</v>
      </c>
    </row>
    <row r="259" spans="14:14" x14ac:dyDescent="0.2">
      <c r="N259" t="e">
        <v>#N/A</v>
      </c>
    </row>
    <row r="260" spans="14:14" x14ac:dyDescent="0.2">
      <c r="N260" t="e">
        <v>#N/A</v>
      </c>
    </row>
    <row r="261" spans="14:14" x14ac:dyDescent="0.2">
      <c r="N261" t="e">
        <v>#N/A</v>
      </c>
    </row>
    <row r="262" spans="14:14" x14ac:dyDescent="0.2">
      <c r="N262" t="e">
        <v>#N/A</v>
      </c>
    </row>
    <row r="263" spans="14:14" x14ac:dyDescent="0.2">
      <c r="N263" t="e">
        <v>#N/A</v>
      </c>
    </row>
    <row r="264" spans="14:14" x14ac:dyDescent="0.2">
      <c r="N264" t="e">
        <v>#N/A</v>
      </c>
    </row>
    <row r="265" spans="14:14" x14ac:dyDescent="0.2">
      <c r="N265" t="e">
        <v>#N/A</v>
      </c>
    </row>
    <row r="266" spans="14:14" x14ac:dyDescent="0.2">
      <c r="N266" t="e">
        <v>#N/A</v>
      </c>
    </row>
    <row r="267" spans="14:14" x14ac:dyDescent="0.2">
      <c r="N267" t="e">
        <v>#N/A</v>
      </c>
    </row>
    <row r="268" spans="14:14" x14ac:dyDescent="0.2">
      <c r="N268" t="e">
        <v>#N/A</v>
      </c>
    </row>
    <row r="269" spans="14:14" x14ac:dyDescent="0.2">
      <c r="N269" t="e">
        <v>#N/A</v>
      </c>
    </row>
    <row r="270" spans="14:14" x14ac:dyDescent="0.2">
      <c r="N270" t="e">
        <v>#N/A</v>
      </c>
    </row>
    <row r="271" spans="14:14" x14ac:dyDescent="0.2">
      <c r="N271" t="e">
        <v>#N/A</v>
      </c>
    </row>
    <row r="272" spans="14:14" x14ac:dyDescent="0.2">
      <c r="N272" t="e">
        <v>#N/A</v>
      </c>
    </row>
    <row r="273" spans="14:14" x14ac:dyDescent="0.2">
      <c r="N273" t="e">
        <v>#N/A</v>
      </c>
    </row>
    <row r="274" spans="14:14" x14ac:dyDescent="0.2">
      <c r="N274" t="e">
        <v>#N/A</v>
      </c>
    </row>
    <row r="275" spans="14:14" x14ac:dyDescent="0.2">
      <c r="N275" t="e">
        <v>#N/A</v>
      </c>
    </row>
    <row r="276" spans="14:14" x14ac:dyDescent="0.2">
      <c r="N276" t="e">
        <v>#N/A</v>
      </c>
    </row>
    <row r="277" spans="14:14" x14ac:dyDescent="0.2">
      <c r="N277" t="e">
        <v>#N/A</v>
      </c>
    </row>
    <row r="278" spans="14:14" x14ac:dyDescent="0.2">
      <c r="N278" t="e">
        <v>#N/A</v>
      </c>
    </row>
    <row r="279" spans="14:14" x14ac:dyDescent="0.2">
      <c r="N279" t="e">
        <v>#N/A</v>
      </c>
    </row>
    <row r="280" spans="14:14" x14ac:dyDescent="0.2">
      <c r="N280" t="e">
        <v>#N/A</v>
      </c>
    </row>
    <row r="281" spans="14:14" x14ac:dyDescent="0.2">
      <c r="N281" t="e">
        <v>#N/A</v>
      </c>
    </row>
    <row r="282" spans="14:14" x14ac:dyDescent="0.2">
      <c r="N282" t="e">
        <v>#N/A</v>
      </c>
    </row>
    <row r="283" spans="14:14" x14ac:dyDescent="0.2">
      <c r="N283" t="e">
        <v>#N/A</v>
      </c>
    </row>
    <row r="284" spans="14:14" x14ac:dyDescent="0.2">
      <c r="N284" t="e">
        <v>#N/A</v>
      </c>
    </row>
    <row r="285" spans="14:14" x14ac:dyDescent="0.2">
      <c r="N285" t="e">
        <v>#N/A</v>
      </c>
    </row>
    <row r="286" spans="14:14" x14ac:dyDescent="0.2">
      <c r="N286" t="e">
        <v>#N/A</v>
      </c>
    </row>
    <row r="287" spans="14:14" x14ac:dyDescent="0.2">
      <c r="N287" t="e">
        <v>#N/A</v>
      </c>
    </row>
    <row r="288" spans="14:14" x14ac:dyDescent="0.2">
      <c r="N288" t="e">
        <v>#N/A</v>
      </c>
    </row>
    <row r="289" spans="14:14" x14ac:dyDescent="0.2">
      <c r="N289" t="e">
        <v>#N/A</v>
      </c>
    </row>
    <row r="290" spans="14:14" x14ac:dyDescent="0.2">
      <c r="N290" t="e">
        <v>#N/A</v>
      </c>
    </row>
    <row r="291" spans="14:14" x14ac:dyDescent="0.2">
      <c r="N291" t="e">
        <v>#N/A</v>
      </c>
    </row>
    <row r="292" spans="14:14" x14ac:dyDescent="0.2">
      <c r="N292" t="e">
        <v>#N/A</v>
      </c>
    </row>
    <row r="293" spans="14:14" x14ac:dyDescent="0.2">
      <c r="N293" t="e">
        <v>#N/A</v>
      </c>
    </row>
    <row r="294" spans="14:14" x14ac:dyDescent="0.2">
      <c r="N294" t="e">
        <v>#N/A</v>
      </c>
    </row>
    <row r="295" spans="14:14" x14ac:dyDescent="0.2">
      <c r="N295" t="e">
        <v>#N/A</v>
      </c>
    </row>
    <row r="296" spans="14:14" x14ac:dyDescent="0.2">
      <c r="N296" t="e">
        <v>#N/A</v>
      </c>
    </row>
    <row r="297" spans="14:14" x14ac:dyDescent="0.2">
      <c r="N297" t="e">
        <v>#N/A</v>
      </c>
    </row>
    <row r="298" spans="14:14" x14ac:dyDescent="0.2">
      <c r="N298" t="e">
        <v>#N/A</v>
      </c>
    </row>
    <row r="299" spans="14:14" x14ac:dyDescent="0.2">
      <c r="N299" t="e">
        <v>#N/A</v>
      </c>
    </row>
    <row r="300" spans="14:14" x14ac:dyDescent="0.2">
      <c r="N300" t="e">
        <v>#N/A</v>
      </c>
    </row>
  </sheetData>
  <autoFilter ref="B1:S300" xr:uid="{186571C8-52AA-4C95-8A0B-CF8B347B1261}"/>
  <conditionalFormatting sqref="L1:M1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FD533-F033-468E-B060-F1164C168189}">
  <dimension ref="A1:F936"/>
  <sheetViews>
    <sheetView workbookViewId="0">
      <selection activeCell="C10" sqref="C10"/>
    </sheetView>
  </sheetViews>
  <sheetFormatPr defaultRowHeight="12.75" x14ac:dyDescent="0.2"/>
  <cols>
    <col min="1" max="1" width="14" bestFit="1" customWidth="1"/>
    <col min="2" max="2" width="16.140625" bestFit="1" customWidth="1"/>
    <col min="3" max="3" width="13.140625" bestFit="1" customWidth="1"/>
    <col min="4" max="4" width="8.5703125" bestFit="1" customWidth="1"/>
    <col min="5" max="5" width="1.7109375" bestFit="1" customWidth="1"/>
    <col min="6" max="6" width="13.85546875" bestFit="1" customWidth="1"/>
  </cols>
  <sheetData>
    <row r="1" spans="1:6" x14ac:dyDescent="0.2">
      <c r="A1" t="s">
        <v>70</v>
      </c>
      <c r="B1" t="s">
        <v>487</v>
      </c>
      <c r="C1" t="s">
        <v>7</v>
      </c>
      <c r="D1" t="s">
        <v>483</v>
      </c>
      <c r="F1" t="s">
        <v>488</v>
      </c>
    </row>
    <row r="2" spans="1:6" ht="12.75" customHeight="1" x14ac:dyDescent="0.2">
      <c r="A2" s="56" t="s">
        <v>330</v>
      </c>
      <c r="B2" s="56" t="s">
        <v>481</v>
      </c>
      <c r="C2">
        <v>5</v>
      </c>
      <c r="F2" t="str">
        <f>CONCATENATE(C2,E2,D2)</f>
        <v>5</v>
      </c>
    </row>
    <row r="3" spans="1:6" ht="12.75" customHeight="1" x14ac:dyDescent="0.2">
      <c r="A3" s="56" t="s">
        <v>331</v>
      </c>
      <c r="B3" s="56" t="s">
        <v>173</v>
      </c>
      <c r="C3">
        <v>24</v>
      </c>
      <c r="D3">
        <v>8</v>
      </c>
      <c r="E3" t="s">
        <v>199</v>
      </c>
      <c r="F3" t="str">
        <f t="shared" ref="F3:F66" si="0">CONCATENATE(C3,E3,D3)</f>
        <v>24/8</v>
      </c>
    </row>
    <row r="4" spans="1:6" ht="12.75" customHeight="1" x14ac:dyDescent="0.2">
      <c r="A4" s="56" t="s">
        <v>332</v>
      </c>
      <c r="B4" s="56" t="s">
        <v>173</v>
      </c>
      <c r="C4">
        <v>24</v>
      </c>
      <c r="D4">
        <v>70</v>
      </c>
      <c r="E4" t="s">
        <v>199</v>
      </c>
      <c r="F4" t="str">
        <f t="shared" si="0"/>
        <v>24/70</v>
      </c>
    </row>
    <row r="5" spans="1:6" ht="12.75" customHeight="1" x14ac:dyDescent="0.2">
      <c r="A5" s="56" t="s">
        <v>333</v>
      </c>
      <c r="B5" s="56" t="s">
        <v>482</v>
      </c>
      <c r="C5">
        <v>4</v>
      </c>
      <c r="F5" t="str">
        <f t="shared" si="0"/>
        <v>4</v>
      </c>
    </row>
    <row r="6" spans="1:6" ht="12.75" customHeight="1" x14ac:dyDescent="0.2">
      <c r="A6" s="56" t="s">
        <v>334</v>
      </c>
      <c r="B6" s="56" t="s">
        <v>482</v>
      </c>
      <c r="C6">
        <v>5</v>
      </c>
      <c r="F6" t="str">
        <f t="shared" si="0"/>
        <v>5</v>
      </c>
    </row>
    <row r="7" spans="1:6" ht="12.75" customHeight="1" x14ac:dyDescent="0.2">
      <c r="A7" s="56" t="s">
        <v>335</v>
      </c>
      <c r="B7" s="56" t="s">
        <v>482</v>
      </c>
      <c r="C7">
        <v>7</v>
      </c>
      <c r="F7" t="str">
        <f t="shared" si="0"/>
        <v>7</v>
      </c>
    </row>
    <row r="8" spans="1:6" ht="12.75" customHeight="1" x14ac:dyDescent="0.2">
      <c r="A8" s="56" t="s">
        <v>336</v>
      </c>
      <c r="B8" s="56" t="s">
        <v>482</v>
      </c>
      <c r="C8">
        <v>8</v>
      </c>
      <c r="F8" t="str">
        <f t="shared" si="0"/>
        <v>8</v>
      </c>
    </row>
    <row r="9" spans="1:6" ht="12.75" customHeight="1" x14ac:dyDescent="0.2">
      <c r="A9" s="56" t="s">
        <v>337</v>
      </c>
      <c r="B9" s="56" t="s">
        <v>482</v>
      </c>
      <c r="C9">
        <v>15</v>
      </c>
      <c r="F9" t="str">
        <f t="shared" si="0"/>
        <v>15</v>
      </c>
    </row>
    <row r="10" spans="1:6" ht="12.75" customHeight="1" x14ac:dyDescent="0.2">
      <c r="A10" s="56" t="s">
        <v>338</v>
      </c>
      <c r="B10" s="56" t="s">
        <v>482</v>
      </c>
      <c r="C10">
        <v>24</v>
      </c>
      <c r="F10" t="str">
        <f t="shared" si="0"/>
        <v>24</v>
      </c>
    </row>
    <row r="11" spans="1:6" ht="12.75" customHeight="1" x14ac:dyDescent="0.2">
      <c r="A11" s="56" t="s">
        <v>339</v>
      </c>
      <c r="B11" s="56" t="s">
        <v>482</v>
      </c>
      <c r="C11">
        <v>30</v>
      </c>
      <c r="F11" t="str">
        <f t="shared" si="0"/>
        <v>30</v>
      </c>
    </row>
    <row r="12" spans="1:6" ht="12.75" customHeight="1" x14ac:dyDescent="0.2">
      <c r="A12" s="56" t="s">
        <v>340</v>
      </c>
      <c r="B12" s="56" t="s">
        <v>482</v>
      </c>
      <c r="C12">
        <v>36</v>
      </c>
      <c r="F12" t="str">
        <f t="shared" si="0"/>
        <v>36</v>
      </c>
    </row>
    <row r="13" spans="1:6" ht="12.75" customHeight="1" x14ac:dyDescent="0.2">
      <c r="A13" s="57">
        <v>179</v>
      </c>
      <c r="B13" s="56" t="s">
        <v>314</v>
      </c>
      <c r="E13" t="s">
        <v>199</v>
      </c>
      <c r="F13" t="str">
        <f t="shared" si="0"/>
        <v>/</v>
      </c>
    </row>
    <row r="14" spans="1:6" ht="12.75" customHeight="1" x14ac:dyDescent="0.2">
      <c r="A14" s="56" t="s">
        <v>341</v>
      </c>
      <c r="B14" s="56" t="s">
        <v>315</v>
      </c>
      <c r="C14">
        <v>1.5</v>
      </c>
      <c r="D14">
        <v>5</v>
      </c>
      <c r="E14" t="s">
        <v>199</v>
      </c>
      <c r="F14" t="str">
        <f t="shared" si="0"/>
        <v>1.5/5</v>
      </c>
    </row>
    <row r="15" spans="1:6" ht="12.75" customHeight="1" x14ac:dyDescent="0.2">
      <c r="A15" s="56" t="s">
        <v>342</v>
      </c>
      <c r="B15" s="56" t="s">
        <v>315</v>
      </c>
      <c r="C15">
        <v>2.5</v>
      </c>
      <c r="D15">
        <v>5</v>
      </c>
      <c r="E15" t="s">
        <v>199</v>
      </c>
      <c r="F15" t="str">
        <f t="shared" si="0"/>
        <v>2.5/5</v>
      </c>
    </row>
    <row r="16" spans="1:6" ht="12.75" customHeight="1" x14ac:dyDescent="0.2">
      <c r="A16" s="56" t="s">
        <v>343</v>
      </c>
      <c r="B16" s="56" t="s">
        <v>315</v>
      </c>
      <c r="C16">
        <v>2</v>
      </c>
      <c r="D16">
        <v>5</v>
      </c>
      <c r="E16" t="s">
        <v>199</v>
      </c>
      <c r="F16" t="str">
        <f t="shared" si="0"/>
        <v>2/5</v>
      </c>
    </row>
    <row r="17" spans="1:6" ht="12.75" customHeight="1" x14ac:dyDescent="0.2">
      <c r="A17" s="56" t="s">
        <v>344</v>
      </c>
      <c r="B17" s="56" t="s">
        <v>315</v>
      </c>
      <c r="C17">
        <v>3.5</v>
      </c>
      <c r="D17">
        <v>5</v>
      </c>
      <c r="E17" t="s">
        <v>199</v>
      </c>
      <c r="F17" t="str">
        <f t="shared" si="0"/>
        <v>3.5/5</v>
      </c>
    </row>
    <row r="18" spans="1:6" ht="12.75" customHeight="1" x14ac:dyDescent="0.2">
      <c r="A18" s="56" t="s">
        <v>345</v>
      </c>
      <c r="B18" s="56" t="s">
        <v>315</v>
      </c>
      <c r="C18">
        <v>3</v>
      </c>
      <c r="D18">
        <v>5</v>
      </c>
      <c r="E18" t="s">
        <v>199</v>
      </c>
      <c r="F18" t="str">
        <f t="shared" si="0"/>
        <v>3/5</v>
      </c>
    </row>
    <row r="19" spans="1:6" ht="12.75" customHeight="1" x14ac:dyDescent="0.2">
      <c r="A19" s="56" t="s">
        <v>346</v>
      </c>
      <c r="B19" s="56" t="s">
        <v>315</v>
      </c>
      <c r="C19">
        <v>4</v>
      </c>
      <c r="D19">
        <v>5</v>
      </c>
      <c r="E19" t="s">
        <v>199</v>
      </c>
      <c r="F19" t="str">
        <f t="shared" si="0"/>
        <v>4/5</v>
      </c>
    </row>
    <row r="20" spans="1:6" ht="12.75" customHeight="1" x14ac:dyDescent="0.2">
      <c r="A20" s="56" t="s">
        <v>347</v>
      </c>
      <c r="B20" s="56" t="s">
        <v>315</v>
      </c>
      <c r="C20">
        <v>5</v>
      </c>
      <c r="D20">
        <v>5</v>
      </c>
      <c r="E20" t="s">
        <v>199</v>
      </c>
      <c r="F20" t="str">
        <f t="shared" si="0"/>
        <v>5/5</v>
      </c>
    </row>
    <row r="21" spans="1:6" ht="12.75" customHeight="1" x14ac:dyDescent="0.2">
      <c r="A21" s="56" t="s">
        <v>348</v>
      </c>
      <c r="B21" s="56" t="s">
        <v>315</v>
      </c>
      <c r="C21">
        <v>7</v>
      </c>
      <c r="D21">
        <v>5</v>
      </c>
      <c r="E21" t="s">
        <v>199</v>
      </c>
      <c r="F21" t="str">
        <f t="shared" si="0"/>
        <v>7/5</v>
      </c>
    </row>
    <row r="22" spans="1:6" ht="12.75" customHeight="1" x14ac:dyDescent="0.2">
      <c r="A22" s="56" t="s">
        <v>349</v>
      </c>
      <c r="B22" s="56" t="s">
        <v>315</v>
      </c>
      <c r="C22">
        <v>9</v>
      </c>
      <c r="D22">
        <v>5</v>
      </c>
      <c r="E22" t="s">
        <v>199</v>
      </c>
      <c r="F22" t="str">
        <f t="shared" si="0"/>
        <v>9/5</v>
      </c>
    </row>
    <row r="23" spans="1:6" ht="12.75" customHeight="1" x14ac:dyDescent="0.2">
      <c r="A23" s="56" t="s">
        <v>350</v>
      </c>
      <c r="B23" s="56" t="s">
        <v>315</v>
      </c>
      <c r="C23">
        <v>10</v>
      </c>
      <c r="D23">
        <v>3</v>
      </c>
      <c r="E23" t="s">
        <v>199</v>
      </c>
      <c r="F23" t="str">
        <f t="shared" si="0"/>
        <v>10/3</v>
      </c>
    </row>
    <row r="24" spans="1:6" ht="12.75" customHeight="1" x14ac:dyDescent="0.2">
      <c r="A24" s="56" t="s">
        <v>351</v>
      </c>
      <c r="B24" s="56" t="s">
        <v>315</v>
      </c>
      <c r="C24">
        <v>11</v>
      </c>
      <c r="D24">
        <v>5</v>
      </c>
      <c r="E24" t="s">
        <v>199</v>
      </c>
      <c r="F24" t="str">
        <f t="shared" si="0"/>
        <v>11/5</v>
      </c>
    </row>
    <row r="25" spans="1:6" ht="12.75" customHeight="1" x14ac:dyDescent="0.2">
      <c r="A25" s="56" t="s">
        <v>352</v>
      </c>
      <c r="B25" s="56" t="s">
        <v>315</v>
      </c>
      <c r="C25">
        <v>11</v>
      </c>
      <c r="D25">
        <v>6</v>
      </c>
      <c r="E25" t="s">
        <v>199</v>
      </c>
      <c r="F25" t="str">
        <f t="shared" si="0"/>
        <v>11/6</v>
      </c>
    </row>
    <row r="26" spans="1:6" ht="12.75" customHeight="1" x14ac:dyDescent="0.2">
      <c r="A26" s="56" t="s">
        <v>353</v>
      </c>
      <c r="B26" s="56" t="s">
        <v>315</v>
      </c>
      <c r="C26">
        <v>12</v>
      </c>
      <c r="D26">
        <v>6</v>
      </c>
      <c r="E26" t="s">
        <v>199</v>
      </c>
      <c r="F26" t="str">
        <f t="shared" si="0"/>
        <v>12/6</v>
      </c>
    </row>
    <row r="27" spans="1:6" ht="12.75" customHeight="1" x14ac:dyDescent="0.2">
      <c r="A27" s="56" t="s">
        <v>354</v>
      </c>
      <c r="B27" s="56" t="s">
        <v>315</v>
      </c>
      <c r="C27">
        <v>13</v>
      </c>
      <c r="D27">
        <v>6</v>
      </c>
      <c r="E27" t="s">
        <v>199</v>
      </c>
      <c r="F27" t="str">
        <f t="shared" si="0"/>
        <v>13/6</v>
      </c>
    </row>
    <row r="28" spans="1:6" ht="12.75" customHeight="1" x14ac:dyDescent="0.2">
      <c r="A28" s="56" t="s">
        <v>355</v>
      </c>
      <c r="B28" s="56" t="s">
        <v>315</v>
      </c>
      <c r="C28">
        <v>14</v>
      </c>
      <c r="D28">
        <v>3</v>
      </c>
      <c r="E28" t="s">
        <v>199</v>
      </c>
      <c r="F28" t="str">
        <f t="shared" si="0"/>
        <v>14/3</v>
      </c>
    </row>
    <row r="29" spans="1:6" ht="12.75" customHeight="1" x14ac:dyDescent="0.2">
      <c r="A29" s="56" t="s">
        <v>356</v>
      </c>
      <c r="B29" s="56" t="s">
        <v>315</v>
      </c>
      <c r="C29">
        <v>14</v>
      </c>
      <c r="D29">
        <v>6</v>
      </c>
      <c r="E29" t="s">
        <v>199</v>
      </c>
      <c r="F29" t="str">
        <f t="shared" si="0"/>
        <v>14/6</v>
      </c>
    </row>
    <row r="30" spans="1:6" ht="12.75" customHeight="1" x14ac:dyDescent="0.2">
      <c r="A30" s="56" t="s">
        <v>357</v>
      </c>
      <c r="B30" s="56" t="s">
        <v>315</v>
      </c>
      <c r="C30">
        <v>15</v>
      </c>
      <c r="D30">
        <v>5</v>
      </c>
      <c r="E30" t="s">
        <v>199</v>
      </c>
      <c r="F30" t="str">
        <f t="shared" si="0"/>
        <v>15/5</v>
      </c>
    </row>
    <row r="31" spans="1:6" ht="12.75" customHeight="1" x14ac:dyDescent="0.2">
      <c r="A31" s="56" t="s">
        <v>358</v>
      </c>
      <c r="B31" s="56" t="s">
        <v>315</v>
      </c>
      <c r="C31">
        <v>15</v>
      </c>
      <c r="D31">
        <v>6</v>
      </c>
      <c r="E31" t="s">
        <v>199</v>
      </c>
      <c r="F31" t="str">
        <f t="shared" si="0"/>
        <v>15/6</v>
      </c>
    </row>
    <row r="32" spans="1:6" ht="12.75" customHeight="1" x14ac:dyDescent="0.2">
      <c r="A32" s="56" t="s">
        <v>359</v>
      </c>
      <c r="B32" s="56" t="s">
        <v>315</v>
      </c>
      <c r="C32">
        <v>16</v>
      </c>
      <c r="D32">
        <v>5</v>
      </c>
      <c r="E32" t="s">
        <v>199</v>
      </c>
      <c r="F32" t="str">
        <f t="shared" si="0"/>
        <v>16/5</v>
      </c>
    </row>
    <row r="33" spans="1:6" ht="12.75" customHeight="1" x14ac:dyDescent="0.2">
      <c r="A33" s="56" t="s">
        <v>360</v>
      </c>
      <c r="B33" s="56" t="s">
        <v>315</v>
      </c>
      <c r="C33">
        <v>16</v>
      </c>
      <c r="D33">
        <v>7</v>
      </c>
      <c r="E33" t="s">
        <v>199</v>
      </c>
      <c r="F33" t="str">
        <f t="shared" si="0"/>
        <v>16/7</v>
      </c>
    </row>
    <row r="34" spans="1:6" ht="12.75" customHeight="1" x14ac:dyDescent="0.2">
      <c r="A34" s="56" t="s">
        <v>361</v>
      </c>
      <c r="B34" s="56" t="s">
        <v>315</v>
      </c>
      <c r="C34">
        <v>17</v>
      </c>
      <c r="D34">
        <v>5</v>
      </c>
      <c r="E34" t="s">
        <v>199</v>
      </c>
      <c r="F34" t="str">
        <f t="shared" si="0"/>
        <v>17/5</v>
      </c>
    </row>
    <row r="35" spans="1:6" ht="12.75" customHeight="1" x14ac:dyDescent="0.2">
      <c r="A35" s="56" t="s">
        <v>362</v>
      </c>
      <c r="B35" s="56" t="s">
        <v>315</v>
      </c>
      <c r="C35">
        <v>17</v>
      </c>
      <c r="D35">
        <v>6</v>
      </c>
      <c r="E35" t="s">
        <v>199</v>
      </c>
      <c r="F35" t="str">
        <f t="shared" si="0"/>
        <v>17/6</v>
      </c>
    </row>
    <row r="36" spans="1:6" ht="12.75" customHeight="1" x14ac:dyDescent="0.2">
      <c r="A36" s="56" t="s">
        <v>363</v>
      </c>
      <c r="B36" s="56" t="s">
        <v>315</v>
      </c>
      <c r="C36">
        <v>19</v>
      </c>
      <c r="D36">
        <v>6</v>
      </c>
      <c r="E36" t="s">
        <v>199</v>
      </c>
      <c r="F36" t="str">
        <f t="shared" si="0"/>
        <v>19/6</v>
      </c>
    </row>
    <row r="37" spans="1:6" ht="12.75" customHeight="1" x14ac:dyDescent="0.2">
      <c r="A37" s="56" t="s">
        <v>364</v>
      </c>
      <c r="B37" s="56" t="s">
        <v>315</v>
      </c>
      <c r="C37">
        <v>23</v>
      </c>
      <c r="D37">
        <v>7</v>
      </c>
      <c r="E37" t="s">
        <v>199</v>
      </c>
      <c r="F37" t="str">
        <f t="shared" si="0"/>
        <v>23/7</v>
      </c>
    </row>
    <row r="38" spans="1:6" ht="12.75" customHeight="1" x14ac:dyDescent="0.2">
      <c r="A38" s="57">
        <v>184</v>
      </c>
      <c r="B38" s="56" t="s">
        <v>316</v>
      </c>
      <c r="E38" t="s">
        <v>199</v>
      </c>
      <c r="F38" t="str">
        <f t="shared" si="0"/>
        <v>/</v>
      </c>
    </row>
    <row r="39" spans="1:6" ht="12.75" customHeight="1" x14ac:dyDescent="0.2">
      <c r="A39" s="56" t="s">
        <v>365</v>
      </c>
      <c r="B39" s="56" t="s">
        <v>313</v>
      </c>
      <c r="C39">
        <v>23</v>
      </c>
      <c r="D39">
        <v>15</v>
      </c>
      <c r="E39" t="s">
        <v>199</v>
      </c>
      <c r="F39" t="str">
        <f t="shared" si="0"/>
        <v>23/15</v>
      </c>
    </row>
    <row r="40" spans="1:6" ht="12.75" customHeight="1" x14ac:dyDescent="0.2">
      <c r="A40" s="57">
        <v>140</v>
      </c>
      <c r="B40" s="56" t="s">
        <v>317</v>
      </c>
      <c r="E40" t="s">
        <v>199</v>
      </c>
      <c r="F40" t="str">
        <f t="shared" si="0"/>
        <v>/</v>
      </c>
    </row>
    <row r="41" spans="1:6" ht="12.75" customHeight="1" x14ac:dyDescent="0.2">
      <c r="A41" s="56" t="s">
        <v>366</v>
      </c>
      <c r="B41" s="56" t="s">
        <v>484</v>
      </c>
      <c r="C41">
        <v>10</v>
      </c>
      <c r="E41" t="s">
        <v>199</v>
      </c>
      <c r="F41" t="str">
        <f t="shared" si="0"/>
        <v>10/</v>
      </c>
    </row>
    <row r="42" spans="1:6" ht="12.75" customHeight="1" x14ac:dyDescent="0.2">
      <c r="A42" s="56" t="s">
        <v>367</v>
      </c>
      <c r="B42" s="56" t="s">
        <v>484</v>
      </c>
      <c r="C42">
        <v>10.5</v>
      </c>
      <c r="F42" t="str">
        <f t="shared" si="0"/>
        <v>10.5</v>
      </c>
    </row>
    <row r="43" spans="1:6" ht="12.75" customHeight="1" x14ac:dyDescent="0.2">
      <c r="A43" s="56" t="s">
        <v>368</v>
      </c>
      <c r="B43" s="56" t="s">
        <v>484</v>
      </c>
      <c r="C43" t="s">
        <v>318</v>
      </c>
      <c r="F43" t="str">
        <f t="shared" si="0"/>
        <v>10.5+2.75+2.75</v>
      </c>
    </row>
    <row r="44" spans="1:6" ht="12.75" customHeight="1" x14ac:dyDescent="0.2">
      <c r="A44" s="56" t="s">
        <v>369</v>
      </c>
      <c r="B44" s="56" t="s">
        <v>484</v>
      </c>
      <c r="C44" t="s">
        <v>319</v>
      </c>
      <c r="F44" t="str">
        <f t="shared" si="0"/>
        <v>10+2.5+2.5</v>
      </c>
    </row>
    <row r="45" spans="1:6" ht="12.75" customHeight="1" x14ac:dyDescent="0.2">
      <c r="A45" s="56" t="s">
        <v>370</v>
      </c>
      <c r="B45" s="56" t="s">
        <v>484</v>
      </c>
      <c r="C45" t="s">
        <v>320</v>
      </c>
      <c r="F45" t="str">
        <f t="shared" si="0"/>
        <v>10+3+3</v>
      </c>
    </row>
    <row r="46" spans="1:6" ht="12.75" customHeight="1" x14ac:dyDescent="0.2">
      <c r="A46" s="56" t="s">
        <v>371</v>
      </c>
      <c r="B46" s="56" t="s">
        <v>484</v>
      </c>
      <c r="C46">
        <v>11</v>
      </c>
      <c r="F46" t="str">
        <f t="shared" si="0"/>
        <v>11</v>
      </c>
    </row>
    <row r="47" spans="1:6" ht="12.75" customHeight="1" x14ac:dyDescent="0.2">
      <c r="A47" s="56" t="s">
        <v>372</v>
      </c>
      <c r="B47" s="56" t="s">
        <v>484</v>
      </c>
      <c r="C47">
        <v>11.5</v>
      </c>
      <c r="F47" t="str">
        <f t="shared" si="0"/>
        <v>11.5</v>
      </c>
    </row>
    <row r="48" spans="1:6" ht="12.75" customHeight="1" x14ac:dyDescent="0.2">
      <c r="A48" s="56" t="s">
        <v>373</v>
      </c>
      <c r="B48" s="56" t="s">
        <v>484</v>
      </c>
      <c r="C48" t="s">
        <v>321</v>
      </c>
      <c r="F48" t="str">
        <f t="shared" si="0"/>
        <v>11+3+3</v>
      </c>
    </row>
    <row r="49" spans="1:6" ht="12.75" customHeight="1" x14ac:dyDescent="0.2">
      <c r="A49" s="56" t="s">
        <v>374</v>
      </c>
      <c r="B49" s="56" t="s">
        <v>484</v>
      </c>
      <c r="C49">
        <v>12</v>
      </c>
      <c r="F49" t="str">
        <f t="shared" si="0"/>
        <v>12</v>
      </c>
    </row>
    <row r="50" spans="1:6" ht="12.75" customHeight="1" x14ac:dyDescent="0.2">
      <c r="A50" s="56" t="s">
        <v>375</v>
      </c>
      <c r="B50" s="56" t="s">
        <v>484</v>
      </c>
      <c r="C50" t="s">
        <v>322</v>
      </c>
      <c r="F50" t="str">
        <f t="shared" si="0"/>
        <v>12+3+3</v>
      </c>
    </row>
    <row r="51" spans="1:6" ht="12.75" customHeight="1" x14ac:dyDescent="0.2">
      <c r="A51" s="56" t="s">
        <v>376</v>
      </c>
      <c r="B51" s="56" t="s">
        <v>484</v>
      </c>
      <c r="C51">
        <v>13</v>
      </c>
      <c r="F51" t="str">
        <f t="shared" si="0"/>
        <v>13</v>
      </c>
    </row>
    <row r="52" spans="1:6" ht="12.75" customHeight="1" x14ac:dyDescent="0.2">
      <c r="A52" s="56" t="s">
        <v>377</v>
      </c>
      <c r="B52" s="56" t="s">
        <v>484</v>
      </c>
      <c r="C52">
        <v>14</v>
      </c>
      <c r="F52" t="str">
        <f t="shared" si="0"/>
        <v>14</v>
      </c>
    </row>
    <row r="53" spans="1:6" ht="12.75" customHeight="1" x14ac:dyDescent="0.2">
      <c r="A53" s="56" t="s">
        <v>378</v>
      </c>
      <c r="B53" s="56" t="s">
        <v>484</v>
      </c>
      <c r="C53">
        <v>14.5</v>
      </c>
      <c r="F53" t="str">
        <f t="shared" si="0"/>
        <v>14.5</v>
      </c>
    </row>
    <row r="54" spans="1:6" ht="12.75" customHeight="1" x14ac:dyDescent="0.2">
      <c r="A54" s="56" t="s">
        <v>379</v>
      </c>
      <c r="B54" s="56" t="s">
        <v>484</v>
      </c>
      <c r="C54">
        <v>15</v>
      </c>
      <c r="F54" t="str">
        <f t="shared" si="0"/>
        <v>15</v>
      </c>
    </row>
    <row r="55" spans="1:6" ht="12.75" customHeight="1" x14ac:dyDescent="0.2">
      <c r="A55" s="56" t="s">
        <v>380</v>
      </c>
      <c r="B55" s="56" t="s">
        <v>484</v>
      </c>
      <c r="C55">
        <v>16</v>
      </c>
      <c r="F55" t="str">
        <f t="shared" si="0"/>
        <v>16</v>
      </c>
    </row>
    <row r="56" spans="1:6" ht="12.75" customHeight="1" x14ac:dyDescent="0.2">
      <c r="A56" s="56" t="s">
        <v>381</v>
      </c>
      <c r="B56" s="56" t="s">
        <v>484</v>
      </c>
      <c r="C56">
        <v>16.75</v>
      </c>
      <c r="F56" t="str">
        <f t="shared" si="0"/>
        <v>16.75</v>
      </c>
    </row>
    <row r="57" spans="1:6" ht="12.75" customHeight="1" x14ac:dyDescent="0.2">
      <c r="A57" s="56" t="s">
        <v>382</v>
      </c>
      <c r="B57" s="56" t="s">
        <v>484</v>
      </c>
      <c r="C57">
        <v>17</v>
      </c>
      <c r="F57" t="str">
        <f t="shared" si="0"/>
        <v>17</v>
      </c>
    </row>
    <row r="58" spans="1:6" ht="12.75" customHeight="1" x14ac:dyDescent="0.2">
      <c r="A58" s="56" t="s">
        <v>383</v>
      </c>
      <c r="B58" s="56" t="s">
        <v>484</v>
      </c>
      <c r="C58">
        <v>18</v>
      </c>
      <c r="F58" t="str">
        <f t="shared" si="0"/>
        <v>18</v>
      </c>
    </row>
    <row r="59" spans="1:6" ht="12.75" customHeight="1" x14ac:dyDescent="0.2">
      <c r="A59" s="56" t="s">
        <v>384</v>
      </c>
      <c r="B59" s="56" t="s">
        <v>484</v>
      </c>
      <c r="C59">
        <v>18.5</v>
      </c>
      <c r="F59" t="str">
        <f t="shared" si="0"/>
        <v>18.5</v>
      </c>
    </row>
    <row r="60" spans="1:6" ht="12.75" customHeight="1" x14ac:dyDescent="0.2">
      <c r="A60" s="56" t="s">
        <v>385</v>
      </c>
      <c r="B60" s="56" t="s">
        <v>484</v>
      </c>
      <c r="C60">
        <v>19.5</v>
      </c>
      <c r="F60" t="str">
        <f t="shared" si="0"/>
        <v>19.5</v>
      </c>
    </row>
    <row r="61" spans="1:6" ht="12.75" customHeight="1" x14ac:dyDescent="0.2">
      <c r="A61" s="56" t="s">
        <v>386</v>
      </c>
      <c r="B61" s="56" t="s">
        <v>484</v>
      </c>
      <c r="C61">
        <v>20</v>
      </c>
      <c r="F61" t="str">
        <f t="shared" si="0"/>
        <v>20</v>
      </c>
    </row>
    <row r="62" spans="1:6" ht="12.75" customHeight="1" x14ac:dyDescent="0.2">
      <c r="A62" s="56" t="s">
        <v>387</v>
      </c>
      <c r="B62" s="56" t="s">
        <v>484</v>
      </c>
      <c r="C62">
        <v>20.5</v>
      </c>
      <c r="F62" t="str">
        <f t="shared" si="0"/>
        <v>20.5</v>
      </c>
    </row>
    <row r="63" spans="1:6" ht="12.75" customHeight="1" x14ac:dyDescent="0.2">
      <c r="A63" s="56" t="s">
        <v>388</v>
      </c>
      <c r="B63" s="56" t="s">
        <v>484</v>
      </c>
      <c r="C63">
        <v>22</v>
      </c>
      <c r="F63" t="str">
        <f t="shared" si="0"/>
        <v>22</v>
      </c>
    </row>
    <row r="64" spans="1:6" ht="12.75" customHeight="1" x14ac:dyDescent="0.2">
      <c r="A64" s="56" t="s">
        <v>389</v>
      </c>
      <c r="B64" s="56" t="s">
        <v>484</v>
      </c>
      <c r="C64">
        <v>29</v>
      </c>
      <c r="F64" t="str">
        <f t="shared" si="0"/>
        <v>29</v>
      </c>
    </row>
    <row r="65" spans="1:6" ht="12.75" customHeight="1" x14ac:dyDescent="0.2">
      <c r="A65" s="56" t="s">
        <v>390</v>
      </c>
      <c r="B65" s="56" t="s">
        <v>484</v>
      </c>
      <c r="C65">
        <v>30</v>
      </c>
      <c r="F65" t="str">
        <f t="shared" si="0"/>
        <v>30</v>
      </c>
    </row>
    <row r="66" spans="1:6" ht="12.75" customHeight="1" x14ac:dyDescent="0.2">
      <c r="A66" s="56" t="s">
        <v>391</v>
      </c>
      <c r="B66" s="56" t="s">
        <v>484</v>
      </c>
      <c r="C66">
        <v>32</v>
      </c>
      <c r="F66" t="str">
        <f t="shared" si="0"/>
        <v>32</v>
      </c>
    </row>
    <row r="67" spans="1:6" ht="12.75" customHeight="1" x14ac:dyDescent="0.2">
      <c r="A67" s="56" t="s">
        <v>392</v>
      </c>
      <c r="B67" s="56" t="s">
        <v>484</v>
      </c>
      <c r="C67">
        <v>36</v>
      </c>
      <c r="F67" t="str">
        <f t="shared" ref="F67:F130" si="1">CONCATENATE(C67,E67,D67)</f>
        <v>36</v>
      </c>
    </row>
    <row r="68" spans="1:6" ht="12.75" customHeight="1" x14ac:dyDescent="0.2">
      <c r="A68" s="56" t="s">
        <v>393</v>
      </c>
      <c r="B68" s="56" t="s">
        <v>484</v>
      </c>
      <c r="C68" t="s">
        <v>323</v>
      </c>
      <c r="F68" t="str">
        <f t="shared" si="1"/>
        <v>39-MKM</v>
      </c>
    </row>
    <row r="69" spans="1:6" ht="12.75" customHeight="1" x14ac:dyDescent="0.2">
      <c r="A69" s="56" t="s">
        <v>394</v>
      </c>
      <c r="B69" s="56" t="s">
        <v>484</v>
      </c>
      <c r="C69">
        <v>40</v>
      </c>
      <c r="F69" t="str">
        <f t="shared" si="1"/>
        <v>40</v>
      </c>
    </row>
    <row r="70" spans="1:6" ht="12.75" customHeight="1" x14ac:dyDescent="0.2">
      <c r="A70" s="56" t="s">
        <v>395</v>
      </c>
      <c r="B70" s="56" t="s">
        <v>484</v>
      </c>
      <c r="C70">
        <v>6</v>
      </c>
      <c r="F70" t="str">
        <f t="shared" si="1"/>
        <v>6</v>
      </c>
    </row>
    <row r="71" spans="1:6" ht="12.75" customHeight="1" x14ac:dyDescent="0.2">
      <c r="A71" s="56" t="s">
        <v>396</v>
      </c>
      <c r="B71" s="56" t="s">
        <v>484</v>
      </c>
      <c r="C71">
        <v>7</v>
      </c>
      <c r="F71" t="str">
        <f t="shared" si="1"/>
        <v>7</v>
      </c>
    </row>
    <row r="72" spans="1:6" ht="12.75" customHeight="1" x14ac:dyDescent="0.2">
      <c r="A72" s="56" t="s">
        <v>397</v>
      </c>
      <c r="B72" s="56" t="s">
        <v>484</v>
      </c>
      <c r="C72" t="s">
        <v>324</v>
      </c>
      <c r="F72" t="str">
        <f t="shared" si="1"/>
        <v>8+2.5+2.5</v>
      </c>
    </row>
    <row r="73" spans="1:6" ht="12.75" customHeight="1" x14ac:dyDescent="0.2">
      <c r="A73" s="56" t="s">
        <v>398</v>
      </c>
      <c r="B73" s="56" t="s">
        <v>485</v>
      </c>
      <c r="C73">
        <v>6.5</v>
      </c>
      <c r="F73" t="str">
        <f t="shared" si="1"/>
        <v>6.5</v>
      </c>
    </row>
    <row r="74" spans="1:6" ht="12.75" customHeight="1" x14ac:dyDescent="0.2">
      <c r="A74" s="56" t="s">
        <v>399</v>
      </c>
      <c r="B74" s="56" t="s">
        <v>485</v>
      </c>
      <c r="C74">
        <v>10.5</v>
      </c>
      <c r="F74" t="str">
        <f t="shared" si="1"/>
        <v>10.5</v>
      </c>
    </row>
    <row r="75" spans="1:6" ht="12.75" customHeight="1" x14ac:dyDescent="0.2">
      <c r="A75" s="56" t="s">
        <v>400</v>
      </c>
      <c r="B75" s="56" t="s">
        <v>485</v>
      </c>
      <c r="C75">
        <v>10</v>
      </c>
      <c r="D75">
        <v>20</v>
      </c>
      <c r="E75" t="s">
        <v>199</v>
      </c>
      <c r="F75" t="str">
        <f t="shared" si="1"/>
        <v>10/20</v>
      </c>
    </row>
    <row r="76" spans="1:6" ht="12.75" customHeight="1" x14ac:dyDescent="0.2">
      <c r="A76" s="56" t="s">
        <v>401</v>
      </c>
      <c r="B76" s="56" t="s">
        <v>485</v>
      </c>
      <c r="C76">
        <v>11</v>
      </c>
      <c r="F76" t="str">
        <f t="shared" si="1"/>
        <v>11</v>
      </c>
    </row>
    <row r="77" spans="1:6" ht="12.75" customHeight="1" x14ac:dyDescent="0.2">
      <c r="A77" s="56" t="s">
        <v>402</v>
      </c>
      <c r="B77" s="56" t="s">
        <v>485</v>
      </c>
      <c r="C77">
        <v>11.5</v>
      </c>
      <c r="F77" t="str">
        <f t="shared" si="1"/>
        <v>11.5</v>
      </c>
    </row>
    <row r="78" spans="1:6" ht="12.75" customHeight="1" x14ac:dyDescent="0.2">
      <c r="A78" s="56" t="s">
        <v>403</v>
      </c>
      <c r="B78" s="56" t="s">
        <v>485</v>
      </c>
      <c r="C78">
        <v>12</v>
      </c>
      <c r="F78" t="str">
        <f t="shared" si="1"/>
        <v>12</v>
      </c>
    </row>
    <row r="79" spans="1:6" ht="12.75" customHeight="1" x14ac:dyDescent="0.2">
      <c r="A79" s="56" t="s">
        <v>404</v>
      </c>
      <c r="B79" s="56" t="s">
        <v>485</v>
      </c>
      <c r="C79">
        <v>13</v>
      </c>
      <c r="F79" t="str">
        <f t="shared" si="1"/>
        <v>13</v>
      </c>
    </row>
    <row r="80" spans="1:6" ht="12.75" customHeight="1" x14ac:dyDescent="0.2">
      <c r="A80" s="56" t="s">
        <v>405</v>
      </c>
      <c r="B80" s="56" t="s">
        <v>485</v>
      </c>
      <c r="C80">
        <v>14.5</v>
      </c>
      <c r="F80" t="str">
        <f t="shared" si="1"/>
        <v>14.5</v>
      </c>
    </row>
    <row r="81" spans="1:6" ht="12.75" customHeight="1" x14ac:dyDescent="0.2">
      <c r="A81" s="56" t="s">
        <v>406</v>
      </c>
      <c r="B81" s="56" t="s">
        <v>485</v>
      </c>
      <c r="C81">
        <v>14</v>
      </c>
      <c r="D81">
        <v>20</v>
      </c>
      <c r="E81" t="s">
        <v>199</v>
      </c>
      <c r="F81" t="str">
        <f t="shared" si="1"/>
        <v>14/20</v>
      </c>
    </row>
    <row r="82" spans="1:6" ht="12.75" customHeight="1" x14ac:dyDescent="0.2">
      <c r="A82" s="56" t="s">
        <v>407</v>
      </c>
      <c r="B82" s="56" t="s">
        <v>485</v>
      </c>
      <c r="C82">
        <v>15</v>
      </c>
      <c r="F82" t="str">
        <f t="shared" si="1"/>
        <v>15</v>
      </c>
    </row>
    <row r="83" spans="1:6" ht="12.75" customHeight="1" x14ac:dyDescent="0.2">
      <c r="A83" s="56" t="s">
        <v>408</v>
      </c>
      <c r="B83" s="56" t="s">
        <v>485</v>
      </c>
      <c r="C83">
        <v>15.5</v>
      </c>
      <c r="F83" t="str">
        <f t="shared" si="1"/>
        <v>15.5</v>
      </c>
    </row>
    <row r="84" spans="1:6" ht="12.75" customHeight="1" x14ac:dyDescent="0.2">
      <c r="A84" s="56" t="s">
        <v>409</v>
      </c>
      <c r="B84" s="56" t="s">
        <v>485</v>
      </c>
      <c r="C84">
        <v>16.5</v>
      </c>
      <c r="F84" t="str">
        <f t="shared" si="1"/>
        <v>16.5</v>
      </c>
    </row>
    <row r="85" spans="1:6" ht="12.75" customHeight="1" x14ac:dyDescent="0.2">
      <c r="A85" s="56" t="s">
        <v>410</v>
      </c>
      <c r="B85" s="56" t="s">
        <v>485</v>
      </c>
      <c r="C85">
        <v>16</v>
      </c>
      <c r="D85">
        <v>12</v>
      </c>
      <c r="E85" t="s">
        <v>199</v>
      </c>
      <c r="F85" t="str">
        <f t="shared" si="1"/>
        <v>16/12</v>
      </c>
    </row>
    <row r="86" spans="1:6" ht="12.75" customHeight="1" x14ac:dyDescent="0.2">
      <c r="A86" s="56" t="s">
        <v>411</v>
      </c>
      <c r="B86" s="56" t="s">
        <v>485</v>
      </c>
      <c r="C86">
        <v>16</v>
      </c>
      <c r="D86">
        <v>7</v>
      </c>
      <c r="E86" t="s">
        <v>199</v>
      </c>
      <c r="F86" t="str">
        <f t="shared" si="1"/>
        <v>16/7</v>
      </c>
    </row>
    <row r="87" spans="1:6" ht="12.75" customHeight="1" x14ac:dyDescent="0.2">
      <c r="A87" s="56" t="s">
        <v>412</v>
      </c>
      <c r="B87" s="56" t="s">
        <v>485</v>
      </c>
      <c r="C87">
        <v>17.25</v>
      </c>
      <c r="F87" t="str">
        <f t="shared" si="1"/>
        <v>17.25</v>
      </c>
    </row>
    <row r="88" spans="1:6" ht="12.75" customHeight="1" x14ac:dyDescent="0.2">
      <c r="A88" s="56" t="s">
        <v>413</v>
      </c>
      <c r="B88" s="56" t="s">
        <v>485</v>
      </c>
      <c r="C88">
        <v>17.5</v>
      </c>
      <c r="F88" t="str">
        <f t="shared" si="1"/>
        <v>17.5</v>
      </c>
    </row>
    <row r="89" spans="1:6" ht="12.75" customHeight="1" x14ac:dyDescent="0.2">
      <c r="A89" s="56" t="s">
        <v>414</v>
      </c>
      <c r="B89" s="56" t="s">
        <v>485</v>
      </c>
      <c r="C89">
        <v>17</v>
      </c>
      <c r="D89">
        <v>12</v>
      </c>
      <c r="E89" t="s">
        <v>199</v>
      </c>
      <c r="F89" t="str">
        <f t="shared" si="1"/>
        <v>17/12</v>
      </c>
    </row>
    <row r="90" spans="1:6" ht="12.75" customHeight="1" x14ac:dyDescent="0.2">
      <c r="A90" s="56" t="s">
        <v>415</v>
      </c>
      <c r="B90" s="56" t="s">
        <v>485</v>
      </c>
      <c r="C90">
        <v>18</v>
      </c>
      <c r="D90">
        <v>3</v>
      </c>
      <c r="E90" t="s">
        <v>199</v>
      </c>
      <c r="F90" t="str">
        <f t="shared" si="1"/>
        <v>18/3</v>
      </c>
    </row>
    <row r="91" spans="1:6" ht="12.75" customHeight="1" x14ac:dyDescent="0.2">
      <c r="A91" s="56" t="s">
        <v>416</v>
      </c>
      <c r="B91" s="56" t="s">
        <v>485</v>
      </c>
      <c r="C91">
        <v>18</v>
      </c>
      <c r="D91">
        <v>18</v>
      </c>
      <c r="E91" t="s">
        <v>199</v>
      </c>
      <c r="F91" t="str">
        <f t="shared" si="1"/>
        <v>18/18</v>
      </c>
    </row>
    <row r="92" spans="1:6" ht="12.75" customHeight="1" x14ac:dyDescent="0.2">
      <c r="A92" s="56" t="s">
        <v>417</v>
      </c>
      <c r="B92" s="56" t="s">
        <v>485</v>
      </c>
      <c r="C92">
        <v>19</v>
      </c>
      <c r="F92" t="str">
        <f t="shared" si="1"/>
        <v>19</v>
      </c>
    </row>
    <row r="93" spans="1:6" ht="12.75" customHeight="1" x14ac:dyDescent="0.2">
      <c r="A93" s="56" t="s">
        <v>418</v>
      </c>
      <c r="B93" s="56" t="s">
        <v>485</v>
      </c>
      <c r="C93">
        <v>19.25</v>
      </c>
      <c r="F93" t="str">
        <f t="shared" si="1"/>
        <v>19.25</v>
      </c>
    </row>
    <row r="94" spans="1:6" ht="12.75" customHeight="1" x14ac:dyDescent="0.2">
      <c r="A94" s="56" t="s">
        <v>419</v>
      </c>
      <c r="B94" s="56" t="s">
        <v>485</v>
      </c>
      <c r="C94">
        <v>2</v>
      </c>
      <c r="F94" t="str">
        <f t="shared" si="1"/>
        <v>2</v>
      </c>
    </row>
    <row r="95" spans="1:6" ht="12.75" customHeight="1" x14ac:dyDescent="0.2">
      <c r="A95" s="56" t="s">
        <v>420</v>
      </c>
      <c r="B95" s="56" t="s">
        <v>485</v>
      </c>
      <c r="C95">
        <v>20.5</v>
      </c>
      <c r="F95" t="str">
        <f t="shared" si="1"/>
        <v>20.5</v>
      </c>
    </row>
    <row r="96" spans="1:6" ht="12.75" customHeight="1" x14ac:dyDescent="0.2">
      <c r="A96" s="56" t="s">
        <v>421</v>
      </c>
      <c r="B96" s="56" t="s">
        <v>485</v>
      </c>
      <c r="C96">
        <v>20</v>
      </c>
      <c r="D96">
        <v>2</v>
      </c>
      <c r="E96" t="s">
        <v>199</v>
      </c>
      <c r="F96" t="str">
        <f t="shared" si="1"/>
        <v>20/2</v>
      </c>
    </row>
    <row r="97" spans="1:6" ht="12.75" customHeight="1" x14ac:dyDescent="0.2">
      <c r="A97" s="56" t="s">
        <v>422</v>
      </c>
      <c r="B97" s="56" t="s">
        <v>485</v>
      </c>
      <c r="C97" t="s">
        <v>325</v>
      </c>
      <c r="E97" t="s">
        <v>199</v>
      </c>
      <c r="F97" t="str">
        <f t="shared" si="1"/>
        <v>20+5.5+5.5/</v>
      </c>
    </row>
    <row r="98" spans="1:6" ht="12.75" customHeight="1" x14ac:dyDescent="0.2">
      <c r="A98" s="56" t="s">
        <v>423</v>
      </c>
      <c r="B98" s="56" t="s">
        <v>485</v>
      </c>
      <c r="C98">
        <v>21</v>
      </c>
      <c r="D98">
        <v>7</v>
      </c>
      <c r="E98" t="s">
        <v>199</v>
      </c>
      <c r="F98" t="str">
        <f t="shared" si="1"/>
        <v>21/7</v>
      </c>
    </row>
    <row r="99" spans="1:6" ht="12.75" customHeight="1" x14ac:dyDescent="0.2">
      <c r="A99" s="56" t="s">
        <v>424</v>
      </c>
      <c r="B99" s="56" t="s">
        <v>485</v>
      </c>
      <c r="C99">
        <v>22</v>
      </c>
      <c r="F99" t="str">
        <f t="shared" si="1"/>
        <v>22</v>
      </c>
    </row>
    <row r="100" spans="1:6" ht="12.75" customHeight="1" x14ac:dyDescent="0.2">
      <c r="A100" s="56" t="s">
        <v>425</v>
      </c>
      <c r="B100" s="56" t="s">
        <v>485</v>
      </c>
      <c r="C100">
        <v>23</v>
      </c>
      <c r="D100">
        <v>15</v>
      </c>
      <c r="E100" t="s">
        <v>199</v>
      </c>
      <c r="F100" t="str">
        <f t="shared" si="1"/>
        <v>23/15</v>
      </c>
    </row>
    <row r="101" spans="1:6" ht="12.75" customHeight="1" x14ac:dyDescent="0.2">
      <c r="A101" s="56" t="s">
        <v>426</v>
      </c>
      <c r="B101" s="56" t="s">
        <v>485</v>
      </c>
      <c r="C101">
        <v>23</v>
      </c>
      <c r="D101">
        <v>17</v>
      </c>
      <c r="E101" t="s">
        <v>199</v>
      </c>
      <c r="F101" t="str">
        <f t="shared" si="1"/>
        <v>23/17</v>
      </c>
    </row>
    <row r="102" spans="1:6" ht="12.75" customHeight="1" x14ac:dyDescent="0.2">
      <c r="A102" s="56" t="s">
        <v>427</v>
      </c>
      <c r="B102" s="56" t="s">
        <v>485</v>
      </c>
      <c r="C102">
        <v>24</v>
      </c>
      <c r="F102" t="str">
        <f t="shared" si="1"/>
        <v>24</v>
      </c>
    </row>
    <row r="103" spans="1:6" ht="12.75" customHeight="1" x14ac:dyDescent="0.2">
      <c r="A103" s="56" t="s">
        <v>428</v>
      </c>
      <c r="B103" s="56" t="s">
        <v>485</v>
      </c>
      <c r="C103">
        <v>24</v>
      </c>
      <c r="D103">
        <v>18</v>
      </c>
      <c r="E103" t="s">
        <v>199</v>
      </c>
      <c r="F103" t="str">
        <f t="shared" si="1"/>
        <v>24/18</v>
      </c>
    </row>
    <row r="104" spans="1:6" ht="12.75" customHeight="1" x14ac:dyDescent="0.2">
      <c r="A104" s="56" t="s">
        <v>429</v>
      </c>
      <c r="B104" s="56" t="s">
        <v>485</v>
      </c>
      <c r="C104" t="s">
        <v>326</v>
      </c>
      <c r="F104" t="str">
        <f t="shared" si="1"/>
        <v>24+8+8</v>
      </c>
    </row>
    <row r="105" spans="1:6" ht="12.75" customHeight="1" x14ac:dyDescent="0.2">
      <c r="A105" s="56" t="s">
        <v>430</v>
      </c>
      <c r="B105" s="56" t="s">
        <v>485</v>
      </c>
      <c r="C105">
        <v>25</v>
      </c>
      <c r="F105" t="str">
        <f t="shared" si="1"/>
        <v>25</v>
      </c>
    </row>
    <row r="106" spans="1:6" ht="12.75" customHeight="1" x14ac:dyDescent="0.2">
      <c r="A106" s="56" t="s">
        <v>431</v>
      </c>
      <c r="B106" s="56" t="s">
        <v>485</v>
      </c>
      <c r="C106">
        <v>26.5</v>
      </c>
      <c r="F106" t="str">
        <f t="shared" si="1"/>
        <v>26.5</v>
      </c>
    </row>
    <row r="107" spans="1:6" ht="12.75" customHeight="1" x14ac:dyDescent="0.2">
      <c r="A107" s="56" t="s">
        <v>432</v>
      </c>
      <c r="B107" s="56" t="s">
        <v>485</v>
      </c>
      <c r="C107">
        <v>26</v>
      </c>
      <c r="D107">
        <v>7</v>
      </c>
      <c r="E107" t="s">
        <v>199</v>
      </c>
      <c r="F107" t="str">
        <f t="shared" si="1"/>
        <v>26/7</v>
      </c>
    </row>
    <row r="108" spans="1:6" ht="12.75" customHeight="1" x14ac:dyDescent="0.2">
      <c r="A108" s="56" t="s">
        <v>433</v>
      </c>
      <c r="B108" s="56" t="s">
        <v>485</v>
      </c>
      <c r="C108">
        <v>26</v>
      </c>
      <c r="D108">
        <v>8</v>
      </c>
      <c r="E108" t="s">
        <v>199</v>
      </c>
      <c r="F108" t="str">
        <f t="shared" si="1"/>
        <v>26/8</v>
      </c>
    </row>
    <row r="109" spans="1:6" ht="12.75" customHeight="1" x14ac:dyDescent="0.2">
      <c r="A109" s="56" t="s">
        <v>434</v>
      </c>
      <c r="B109" s="56" t="s">
        <v>485</v>
      </c>
      <c r="C109">
        <v>27.5</v>
      </c>
      <c r="F109" t="str">
        <f t="shared" si="1"/>
        <v>27.5</v>
      </c>
    </row>
    <row r="110" spans="1:6" ht="12.75" customHeight="1" x14ac:dyDescent="0.2">
      <c r="A110" s="56" t="s">
        <v>435</v>
      </c>
      <c r="B110" s="56" t="s">
        <v>485</v>
      </c>
      <c r="C110">
        <v>27</v>
      </c>
      <c r="D110">
        <v>4</v>
      </c>
      <c r="E110" t="s">
        <v>199</v>
      </c>
      <c r="F110" t="str">
        <f t="shared" si="1"/>
        <v>27/4</v>
      </c>
    </row>
    <row r="111" spans="1:6" ht="12.75" customHeight="1" x14ac:dyDescent="0.2">
      <c r="A111" s="56" t="s">
        <v>436</v>
      </c>
      <c r="B111" s="56" t="s">
        <v>485</v>
      </c>
      <c r="C111">
        <v>28</v>
      </c>
      <c r="F111" t="str">
        <f t="shared" si="1"/>
        <v>28</v>
      </c>
    </row>
    <row r="112" spans="1:6" ht="12.75" customHeight="1" x14ac:dyDescent="0.2">
      <c r="A112" s="56" t="s">
        <v>437</v>
      </c>
      <c r="B112" s="56" t="s">
        <v>485</v>
      </c>
      <c r="C112" t="s">
        <v>327</v>
      </c>
      <c r="F112" t="str">
        <f t="shared" si="1"/>
        <v>28.50-MKM</v>
      </c>
    </row>
    <row r="113" spans="1:6" ht="12.75" customHeight="1" x14ac:dyDescent="0.2">
      <c r="A113" s="56" t="s">
        <v>438</v>
      </c>
      <c r="B113" s="56" t="s">
        <v>485</v>
      </c>
      <c r="C113">
        <v>28</v>
      </c>
      <c r="D113">
        <v>15</v>
      </c>
      <c r="E113" t="s">
        <v>199</v>
      </c>
      <c r="F113" t="str">
        <f t="shared" si="1"/>
        <v>28/15</v>
      </c>
    </row>
    <row r="114" spans="1:6" ht="12.75" customHeight="1" x14ac:dyDescent="0.2">
      <c r="A114" s="56" t="s">
        <v>439</v>
      </c>
      <c r="B114" s="56" t="s">
        <v>485</v>
      </c>
      <c r="C114">
        <v>29</v>
      </c>
      <c r="D114">
        <v>15</v>
      </c>
      <c r="E114" t="s">
        <v>199</v>
      </c>
      <c r="F114" t="str">
        <f t="shared" si="1"/>
        <v>29/15</v>
      </c>
    </row>
    <row r="115" spans="1:6" ht="12.75" customHeight="1" x14ac:dyDescent="0.2">
      <c r="A115" s="56" t="s">
        <v>440</v>
      </c>
      <c r="B115" s="56" t="s">
        <v>485</v>
      </c>
      <c r="C115">
        <v>30</v>
      </c>
      <c r="D115">
        <v>4</v>
      </c>
      <c r="E115" t="s">
        <v>199</v>
      </c>
      <c r="F115" t="str">
        <f t="shared" si="1"/>
        <v>30/4</v>
      </c>
    </row>
    <row r="116" spans="1:6" ht="12.75" customHeight="1" x14ac:dyDescent="0.2">
      <c r="A116" s="56" t="s">
        <v>441</v>
      </c>
      <c r="B116" s="56" t="s">
        <v>485</v>
      </c>
      <c r="C116" t="s">
        <v>328</v>
      </c>
      <c r="F116" t="str">
        <f t="shared" si="1"/>
        <v>30+5+5</v>
      </c>
    </row>
    <row r="117" spans="1:6" ht="12.75" customHeight="1" x14ac:dyDescent="0.2">
      <c r="A117" s="56" t="s">
        <v>442</v>
      </c>
      <c r="B117" s="56" t="s">
        <v>485</v>
      </c>
      <c r="C117" t="s">
        <v>329</v>
      </c>
      <c r="F117" t="str">
        <f t="shared" si="1"/>
        <v>31+7+7</v>
      </c>
    </row>
    <row r="118" spans="1:6" ht="12.75" customHeight="1" x14ac:dyDescent="0.2">
      <c r="A118" s="56" t="s">
        <v>443</v>
      </c>
      <c r="B118" s="56" t="s">
        <v>485</v>
      </c>
      <c r="C118">
        <v>32</v>
      </c>
      <c r="F118" t="str">
        <f t="shared" si="1"/>
        <v>32</v>
      </c>
    </row>
    <row r="119" spans="1:6" ht="12.75" customHeight="1" x14ac:dyDescent="0.2">
      <c r="A119" s="56" t="s">
        <v>444</v>
      </c>
      <c r="B119" s="56" t="s">
        <v>485</v>
      </c>
      <c r="C119">
        <v>33</v>
      </c>
      <c r="F119" t="str">
        <f t="shared" si="1"/>
        <v>33</v>
      </c>
    </row>
    <row r="120" spans="1:6" ht="12.75" customHeight="1" x14ac:dyDescent="0.2">
      <c r="A120" s="56" t="s">
        <v>445</v>
      </c>
      <c r="B120" s="56" t="s">
        <v>485</v>
      </c>
      <c r="C120">
        <v>33.5</v>
      </c>
      <c r="F120" t="str">
        <f t="shared" si="1"/>
        <v>33.5</v>
      </c>
    </row>
    <row r="121" spans="1:6" ht="12.75" customHeight="1" x14ac:dyDescent="0.2">
      <c r="A121" s="56" t="s">
        <v>446</v>
      </c>
      <c r="B121" s="56" t="s">
        <v>485</v>
      </c>
      <c r="C121">
        <v>34</v>
      </c>
      <c r="F121" t="str">
        <f t="shared" si="1"/>
        <v>34</v>
      </c>
    </row>
    <row r="122" spans="1:6" ht="12.75" customHeight="1" x14ac:dyDescent="0.2">
      <c r="A122" s="56" t="s">
        <v>447</v>
      </c>
      <c r="B122" s="56" t="s">
        <v>485</v>
      </c>
      <c r="C122">
        <v>36</v>
      </c>
      <c r="F122" t="str">
        <f t="shared" si="1"/>
        <v>36</v>
      </c>
    </row>
    <row r="123" spans="1:6" ht="12.75" customHeight="1" x14ac:dyDescent="0.2">
      <c r="A123" s="56" t="s">
        <v>448</v>
      </c>
      <c r="B123" s="56" t="s">
        <v>485</v>
      </c>
      <c r="C123">
        <v>37</v>
      </c>
      <c r="F123" t="str">
        <f t="shared" si="1"/>
        <v>37</v>
      </c>
    </row>
    <row r="124" spans="1:6" ht="12.75" customHeight="1" x14ac:dyDescent="0.2">
      <c r="A124" s="56" t="s">
        <v>449</v>
      </c>
      <c r="B124" s="56" t="s">
        <v>485</v>
      </c>
      <c r="C124">
        <v>38</v>
      </c>
      <c r="F124" t="str">
        <f t="shared" si="1"/>
        <v>38</v>
      </c>
    </row>
    <row r="125" spans="1:6" ht="12.75" customHeight="1" x14ac:dyDescent="0.2">
      <c r="A125" s="56" t="s">
        <v>450</v>
      </c>
      <c r="B125" s="56" t="s">
        <v>485</v>
      </c>
      <c r="C125">
        <v>4</v>
      </c>
      <c r="F125" t="str">
        <f t="shared" si="1"/>
        <v>4</v>
      </c>
    </row>
    <row r="126" spans="1:6" ht="12.75" customHeight="1" x14ac:dyDescent="0.2">
      <c r="A126" s="56" t="s">
        <v>451</v>
      </c>
      <c r="B126" s="56" t="s">
        <v>485</v>
      </c>
      <c r="C126">
        <v>40</v>
      </c>
      <c r="F126" t="str">
        <f t="shared" si="1"/>
        <v>40</v>
      </c>
    </row>
    <row r="127" spans="1:6" ht="12.75" customHeight="1" x14ac:dyDescent="0.2">
      <c r="A127" s="56" t="s">
        <v>452</v>
      </c>
      <c r="B127" s="56" t="s">
        <v>485</v>
      </c>
      <c r="C127">
        <v>48</v>
      </c>
      <c r="F127" t="str">
        <f t="shared" si="1"/>
        <v>48</v>
      </c>
    </row>
    <row r="128" spans="1:6" ht="12.75" customHeight="1" x14ac:dyDescent="0.2">
      <c r="A128" s="56" t="s">
        <v>453</v>
      </c>
      <c r="B128" s="56" t="s">
        <v>485</v>
      </c>
      <c r="C128">
        <v>5</v>
      </c>
      <c r="F128" t="str">
        <f t="shared" si="1"/>
        <v>5</v>
      </c>
    </row>
    <row r="129" spans="1:6" ht="12.75" customHeight="1" x14ac:dyDescent="0.2">
      <c r="A129" s="56" t="s">
        <v>454</v>
      </c>
      <c r="B129" s="56" t="s">
        <v>485</v>
      </c>
      <c r="C129">
        <v>5.5</v>
      </c>
      <c r="F129" t="str">
        <f t="shared" si="1"/>
        <v>5.5</v>
      </c>
    </row>
    <row r="130" spans="1:6" ht="12.75" customHeight="1" x14ac:dyDescent="0.2">
      <c r="A130" s="56" t="s">
        <v>455</v>
      </c>
      <c r="B130" s="56" t="s">
        <v>485</v>
      </c>
      <c r="C130">
        <v>6</v>
      </c>
      <c r="D130">
        <v>12</v>
      </c>
      <c r="E130" t="s">
        <v>199</v>
      </c>
      <c r="F130" t="str">
        <f t="shared" si="1"/>
        <v>6/12</v>
      </c>
    </row>
    <row r="131" spans="1:6" ht="12.75" customHeight="1" x14ac:dyDescent="0.2">
      <c r="A131" s="56" t="s">
        <v>456</v>
      </c>
      <c r="B131" s="56" t="s">
        <v>485</v>
      </c>
      <c r="C131">
        <v>7</v>
      </c>
      <c r="D131">
        <v>5</v>
      </c>
      <c r="E131" t="s">
        <v>199</v>
      </c>
      <c r="F131" t="str">
        <f t="shared" ref="F131:F154" si="2">CONCATENATE(C131,E131,D131)</f>
        <v>7/5</v>
      </c>
    </row>
    <row r="132" spans="1:6" ht="12.75" customHeight="1" x14ac:dyDescent="0.2">
      <c r="A132" s="56" t="s">
        <v>457</v>
      </c>
      <c r="B132" s="56" t="s">
        <v>485</v>
      </c>
      <c r="C132">
        <v>8.5</v>
      </c>
      <c r="F132" t="str">
        <f t="shared" si="2"/>
        <v>8.5</v>
      </c>
    </row>
    <row r="133" spans="1:6" ht="12.75" customHeight="1" x14ac:dyDescent="0.2">
      <c r="A133" s="56" t="s">
        <v>458</v>
      </c>
      <c r="B133" s="56" t="s">
        <v>485</v>
      </c>
      <c r="C133">
        <v>8</v>
      </c>
      <c r="D133">
        <v>6</v>
      </c>
      <c r="E133" t="s">
        <v>199</v>
      </c>
      <c r="F133" t="str">
        <f t="shared" si="2"/>
        <v>8/6</v>
      </c>
    </row>
    <row r="134" spans="1:6" ht="12.75" customHeight="1" x14ac:dyDescent="0.2">
      <c r="A134" s="56" t="s">
        <v>459</v>
      </c>
      <c r="B134" s="56" t="s">
        <v>485</v>
      </c>
      <c r="C134">
        <v>9</v>
      </c>
      <c r="F134" t="str">
        <f t="shared" si="2"/>
        <v>9</v>
      </c>
    </row>
    <row r="135" spans="1:6" ht="12.75" customHeight="1" x14ac:dyDescent="0.2">
      <c r="A135" s="56" t="s">
        <v>460</v>
      </c>
      <c r="B135" s="56" t="s">
        <v>486</v>
      </c>
      <c r="C135">
        <v>13</v>
      </c>
      <c r="F135" t="str">
        <f t="shared" si="2"/>
        <v>13</v>
      </c>
    </row>
    <row r="136" spans="1:6" ht="12.75" customHeight="1" x14ac:dyDescent="0.2">
      <c r="A136" s="56" t="s">
        <v>461</v>
      </c>
      <c r="B136" s="56" t="s">
        <v>486</v>
      </c>
      <c r="C136">
        <v>14</v>
      </c>
      <c r="F136" t="str">
        <f t="shared" si="2"/>
        <v>14</v>
      </c>
    </row>
    <row r="137" spans="1:6" ht="12.75" customHeight="1" x14ac:dyDescent="0.2">
      <c r="A137" s="56" t="s">
        <v>462</v>
      </c>
      <c r="B137" s="56" t="s">
        <v>486</v>
      </c>
      <c r="C137">
        <v>15</v>
      </c>
      <c r="F137" t="str">
        <f t="shared" si="2"/>
        <v>15</v>
      </c>
    </row>
    <row r="138" spans="1:6" ht="12.75" customHeight="1" x14ac:dyDescent="0.2">
      <c r="A138" s="56" t="s">
        <v>463</v>
      </c>
      <c r="B138" s="56" t="s">
        <v>486</v>
      </c>
      <c r="C138">
        <v>16.2</v>
      </c>
      <c r="F138" t="str">
        <f t="shared" si="2"/>
        <v>16.2</v>
      </c>
    </row>
    <row r="139" spans="1:6" ht="12.75" customHeight="1" x14ac:dyDescent="0.2">
      <c r="A139" s="56" t="s">
        <v>464</v>
      </c>
      <c r="B139" s="56" t="s">
        <v>486</v>
      </c>
      <c r="C139">
        <v>16</v>
      </c>
      <c r="D139">
        <v>5</v>
      </c>
      <c r="E139" t="s">
        <v>199</v>
      </c>
      <c r="F139" t="str">
        <f t="shared" si="2"/>
        <v>16/5</v>
      </c>
    </row>
    <row r="140" spans="1:6" ht="12.75" customHeight="1" x14ac:dyDescent="0.2">
      <c r="A140" s="56" t="s">
        <v>465</v>
      </c>
      <c r="B140" s="56" t="s">
        <v>486</v>
      </c>
      <c r="C140">
        <v>16</v>
      </c>
      <c r="D140">
        <v>6</v>
      </c>
      <c r="E140" t="s">
        <v>199</v>
      </c>
      <c r="F140" t="str">
        <f t="shared" si="2"/>
        <v>16/6</v>
      </c>
    </row>
    <row r="141" spans="1:6" ht="12.75" customHeight="1" x14ac:dyDescent="0.2">
      <c r="A141" s="56" t="s">
        <v>466</v>
      </c>
      <c r="B141" s="56" t="s">
        <v>486</v>
      </c>
      <c r="C141">
        <v>17</v>
      </c>
      <c r="F141" t="str">
        <f t="shared" si="2"/>
        <v>17</v>
      </c>
    </row>
    <row r="142" spans="1:6" ht="12.75" customHeight="1" x14ac:dyDescent="0.2">
      <c r="A142" s="56" t="s">
        <v>467</v>
      </c>
      <c r="B142" s="56" t="s">
        <v>486</v>
      </c>
      <c r="C142">
        <v>18</v>
      </c>
      <c r="F142" t="str">
        <f t="shared" si="2"/>
        <v>18</v>
      </c>
    </row>
    <row r="143" spans="1:6" ht="12.75" customHeight="1" x14ac:dyDescent="0.2">
      <c r="A143" s="56" t="s">
        <v>468</v>
      </c>
      <c r="B143" s="56" t="s">
        <v>486</v>
      </c>
      <c r="C143">
        <v>19</v>
      </c>
      <c r="F143" t="str">
        <f t="shared" si="2"/>
        <v>19</v>
      </c>
    </row>
    <row r="144" spans="1:6" ht="12.75" customHeight="1" x14ac:dyDescent="0.2">
      <c r="A144" s="56" t="s">
        <v>469</v>
      </c>
      <c r="B144" s="56" t="s">
        <v>486</v>
      </c>
      <c r="C144">
        <v>20</v>
      </c>
      <c r="F144" t="str">
        <f t="shared" si="2"/>
        <v>20</v>
      </c>
    </row>
    <row r="145" spans="1:6" ht="12.75" customHeight="1" x14ac:dyDescent="0.2">
      <c r="A145" s="56" t="s">
        <v>470</v>
      </c>
      <c r="B145" s="56" t="s">
        <v>486</v>
      </c>
      <c r="C145">
        <v>21</v>
      </c>
      <c r="D145">
        <v>7</v>
      </c>
      <c r="E145" t="s">
        <v>199</v>
      </c>
      <c r="F145" t="str">
        <f t="shared" si="2"/>
        <v>21/7</v>
      </c>
    </row>
    <row r="146" spans="1:6" ht="12.75" customHeight="1" x14ac:dyDescent="0.2">
      <c r="A146" s="56" t="s">
        <v>471</v>
      </c>
      <c r="B146" s="56" t="s">
        <v>486</v>
      </c>
      <c r="C146">
        <v>22</v>
      </c>
      <c r="D146">
        <v>5</v>
      </c>
      <c r="E146" t="s">
        <v>199</v>
      </c>
      <c r="F146" t="str">
        <f t="shared" si="2"/>
        <v>22/5</v>
      </c>
    </row>
    <row r="147" spans="1:6" ht="12.75" customHeight="1" x14ac:dyDescent="0.2">
      <c r="A147" s="56" t="s">
        <v>472</v>
      </c>
      <c r="B147" s="56" t="s">
        <v>486</v>
      </c>
      <c r="C147">
        <v>22</v>
      </c>
      <c r="D147">
        <v>6</v>
      </c>
      <c r="E147" t="s">
        <v>199</v>
      </c>
      <c r="F147" t="str">
        <f t="shared" si="2"/>
        <v>22/6</v>
      </c>
    </row>
    <row r="148" spans="1:6" ht="12.75" customHeight="1" x14ac:dyDescent="0.2">
      <c r="A148" s="56" t="s">
        <v>473</v>
      </c>
      <c r="B148" s="56" t="s">
        <v>486</v>
      </c>
      <c r="C148">
        <v>24</v>
      </c>
      <c r="F148" t="str">
        <f t="shared" si="2"/>
        <v>24</v>
      </c>
    </row>
    <row r="149" spans="1:6" ht="12.75" customHeight="1" x14ac:dyDescent="0.2">
      <c r="A149" s="56" t="s">
        <v>474</v>
      </c>
      <c r="B149" s="56" t="s">
        <v>486</v>
      </c>
      <c r="C149">
        <v>28</v>
      </c>
      <c r="F149" t="str">
        <f t="shared" si="2"/>
        <v>28</v>
      </c>
    </row>
    <row r="150" spans="1:6" ht="12.75" customHeight="1" x14ac:dyDescent="0.2">
      <c r="A150" s="56" t="s">
        <v>475</v>
      </c>
      <c r="B150" s="56" t="s">
        <v>486</v>
      </c>
      <c r="C150">
        <v>4</v>
      </c>
      <c r="D150">
        <v>6</v>
      </c>
      <c r="E150" t="s">
        <v>199</v>
      </c>
      <c r="F150" t="str">
        <f t="shared" si="2"/>
        <v>4/6</v>
      </c>
    </row>
    <row r="151" spans="1:6" ht="12.75" customHeight="1" x14ac:dyDescent="0.2">
      <c r="A151" s="56" t="s">
        <v>476</v>
      </c>
      <c r="B151" s="56" t="s">
        <v>486</v>
      </c>
      <c r="C151">
        <v>6</v>
      </c>
      <c r="F151" t="str">
        <f t="shared" si="2"/>
        <v>6</v>
      </c>
    </row>
    <row r="152" spans="1:6" ht="12.75" customHeight="1" x14ac:dyDescent="0.2">
      <c r="A152" s="56" t="s">
        <v>477</v>
      </c>
      <c r="B152" s="56" t="s">
        <v>486</v>
      </c>
      <c r="C152">
        <v>8</v>
      </c>
      <c r="F152" t="str">
        <f t="shared" si="2"/>
        <v>8</v>
      </c>
    </row>
    <row r="153" spans="1:6" ht="12.75" customHeight="1" x14ac:dyDescent="0.2">
      <c r="A153" s="56" t="s">
        <v>478</v>
      </c>
      <c r="B153" s="56" t="s">
        <v>486</v>
      </c>
      <c r="C153">
        <v>9</v>
      </c>
      <c r="F153" t="str">
        <f t="shared" si="2"/>
        <v>9</v>
      </c>
    </row>
    <row r="154" spans="1:6" ht="12.75" customHeight="1" x14ac:dyDescent="0.2">
      <c r="A154" s="56" t="s">
        <v>479</v>
      </c>
      <c r="B154" s="56" t="s">
        <v>480</v>
      </c>
      <c r="E154" t="s">
        <v>199</v>
      </c>
      <c r="F154" t="str">
        <f t="shared" si="2"/>
        <v>/</v>
      </c>
    </row>
    <row r="155" spans="1:6" x14ac:dyDescent="0.2">
      <c r="A155" s="56"/>
      <c r="B155" s="56"/>
    </row>
    <row r="156" spans="1:6" x14ac:dyDescent="0.2">
      <c r="A156" s="56"/>
      <c r="B156" s="56"/>
    </row>
    <row r="157" spans="1:6" x14ac:dyDescent="0.2">
      <c r="A157" s="56"/>
      <c r="B157" s="56"/>
    </row>
    <row r="158" spans="1:6" x14ac:dyDescent="0.2">
      <c r="A158" s="56"/>
      <c r="B158" s="56"/>
    </row>
    <row r="159" spans="1:6" x14ac:dyDescent="0.2">
      <c r="A159" s="56"/>
      <c r="B159" s="56"/>
    </row>
    <row r="160" spans="1:6" x14ac:dyDescent="0.2">
      <c r="A160" s="56"/>
      <c r="B160" s="56"/>
    </row>
    <row r="161" spans="1:2" x14ac:dyDescent="0.2">
      <c r="A161" s="56"/>
      <c r="B161" s="56"/>
    </row>
    <row r="162" spans="1:2" x14ac:dyDescent="0.2">
      <c r="A162" s="56"/>
      <c r="B162" s="56"/>
    </row>
    <row r="163" spans="1:2" x14ac:dyDescent="0.2">
      <c r="A163" s="56"/>
      <c r="B163" s="56"/>
    </row>
    <row r="164" spans="1:2" x14ac:dyDescent="0.2">
      <c r="A164" s="56"/>
      <c r="B164" s="56"/>
    </row>
    <row r="165" spans="1:2" x14ac:dyDescent="0.2">
      <c r="A165" s="56"/>
      <c r="B165" s="56"/>
    </row>
    <row r="166" spans="1:2" x14ac:dyDescent="0.2">
      <c r="A166" s="56"/>
      <c r="B166" s="56"/>
    </row>
    <row r="167" spans="1:2" x14ac:dyDescent="0.2">
      <c r="A167" s="56"/>
      <c r="B167" s="56"/>
    </row>
    <row r="168" spans="1:2" x14ac:dyDescent="0.2">
      <c r="A168" s="56"/>
      <c r="B168" s="56"/>
    </row>
    <row r="169" spans="1:2" x14ac:dyDescent="0.2">
      <c r="A169" s="56"/>
      <c r="B169" s="56"/>
    </row>
    <row r="170" spans="1:2" x14ac:dyDescent="0.2">
      <c r="A170" s="56"/>
      <c r="B170" s="56"/>
    </row>
    <row r="171" spans="1:2" x14ac:dyDescent="0.2">
      <c r="A171" s="56"/>
      <c r="B171" s="56"/>
    </row>
    <row r="172" spans="1:2" x14ac:dyDescent="0.2">
      <c r="A172" s="56"/>
      <c r="B172" s="56"/>
    </row>
    <row r="173" spans="1:2" x14ac:dyDescent="0.2">
      <c r="A173" s="56"/>
      <c r="B173" s="56"/>
    </row>
    <row r="174" spans="1:2" x14ac:dyDescent="0.2">
      <c r="A174" s="56"/>
      <c r="B174" s="56"/>
    </row>
    <row r="175" spans="1:2" x14ac:dyDescent="0.2">
      <c r="A175" s="56"/>
      <c r="B175" s="56"/>
    </row>
    <row r="176" spans="1:2" x14ac:dyDescent="0.2">
      <c r="A176" s="56"/>
      <c r="B176" s="56"/>
    </row>
    <row r="177" spans="1:2" x14ac:dyDescent="0.2">
      <c r="A177" s="56"/>
      <c r="B177" s="56"/>
    </row>
    <row r="178" spans="1:2" x14ac:dyDescent="0.2">
      <c r="A178" s="56"/>
      <c r="B178" s="56"/>
    </row>
    <row r="179" spans="1:2" x14ac:dyDescent="0.2">
      <c r="A179" s="56"/>
      <c r="B179" s="56"/>
    </row>
    <row r="180" spans="1:2" x14ac:dyDescent="0.2">
      <c r="A180" s="56"/>
      <c r="B180" s="56"/>
    </row>
    <row r="181" spans="1:2" x14ac:dyDescent="0.2">
      <c r="A181" s="56"/>
      <c r="B181" s="56"/>
    </row>
    <row r="182" spans="1:2" x14ac:dyDescent="0.2">
      <c r="A182" s="56"/>
      <c r="B182" s="56"/>
    </row>
    <row r="183" spans="1:2" x14ac:dyDescent="0.2">
      <c r="A183" s="56"/>
      <c r="B183" s="56"/>
    </row>
    <row r="184" spans="1:2" x14ac:dyDescent="0.2">
      <c r="A184" s="56"/>
      <c r="B184" s="56"/>
    </row>
    <row r="185" spans="1:2" x14ac:dyDescent="0.2">
      <c r="A185" s="56"/>
      <c r="B185" s="56"/>
    </row>
    <row r="186" spans="1:2" x14ac:dyDescent="0.2">
      <c r="A186" s="56"/>
      <c r="B186" s="56"/>
    </row>
    <row r="187" spans="1:2" x14ac:dyDescent="0.2">
      <c r="A187" s="56"/>
      <c r="B187" s="56"/>
    </row>
    <row r="188" spans="1:2" x14ac:dyDescent="0.2">
      <c r="A188" s="56"/>
      <c r="B188" s="56"/>
    </row>
    <row r="189" spans="1:2" x14ac:dyDescent="0.2">
      <c r="A189" s="56"/>
      <c r="B189" s="56"/>
    </row>
    <row r="190" spans="1:2" x14ac:dyDescent="0.2">
      <c r="A190" s="56"/>
      <c r="B190" s="56"/>
    </row>
    <row r="191" spans="1:2" x14ac:dyDescent="0.2">
      <c r="A191" s="56"/>
      <c r="B191" s="56"/>
    </row>
    <row r="192" spans="1:2" x14ac:dyDescent="0.2">
      <c r="A192" s="56"/>
      <c r="B192" s="56"/>
    </row>
    <row r="193" spans="1:2" x14ac:dyDescent="0.2">
      <c r="A193" s="56"/>
      <c r="B193" s="56"/>
    </row>
    <row r="194" spans="1:2" x14ac:dyDescent="0.2">
      <c r="A194" s="56"/>
      <c r="B194" s="56"/>
    </row>
    <row r="195" spans="1:2" x14ac:dyDescent="0.2">
      <c r="A195" s="56"/>
      <c r="B195" s="56"/>
    </row>
    <row r="196" spans="1:2" x14ac:dyDescent="0.2">
      <c r="A196" s="56"/>
      <c r="B196" s="56"/>
    </row>
    <row r="197" spans="1:2" x14ac:dyDescent="0.2">
      <c r="A197" s="56"/>
      <c r="B197" s="56"/>
    </row>
    <row r="198" spans="1:2" x14ac:dyDescent="0.2">
      <c r="A198" s="56"/>
      <c r="B198" s="56"/>
    </row>
    <row r="199" spans="1:2" x14ac:dyDescent="0.2">
      <c r="A199" s="56"/>
      <c r="B199" s="56"/>
    </row>
    <row r="200" spans="1:2" x14ac:dyDescent="0.2">
      <c r="A200" s="56"/>
      <c r="B200" s="56"/>
    </row>
    <row r="201" spans="1:2" x14ac:dyDescent="0.2">
      <c r="A201" s="56"/>
      <c r="B201" s="56"/>
    </row>
    <row r="202" spans="1:2" x14ac:dyDescent="0.2">
      <c r="A202" s="56"/>
      <c r="B202" s="56"/>
    </row>
    <row r="203" spans="1:2" x14ac:dyDescent="0.2">
      <c r="A203" s="56"/>
      <c r="B203" s="56"/>
    </row>
    <row r="204" spans="1:2" x14ac:dyDescent="0.2">
      <c r="A204" s="56"/>
      <c r="B204" s="56"/>
    </row>
    <row r="205" spans="1:2" x14ac:dyDescent="0.2">
      <c r="A205" s="56"/>
      <c r="B205" s="56"/>
    </row>
    <row r="206" spans="1:2" x14ac:dyDescent="0.2">
      <c r="A206" s="56"/>
      <c r="B206" s="56"/>
    </row>
    <row r="207" spans="1:2" x14ac:dyDescent="0.2">
      <c r="A207" s="56"/>
      <c r="B207" s="56"/>
    </row>
    <row r="208" spans="1:2" x14ac:dyDescent="0.2">
      <c r="A208" s="56"/>
      <c r="B208" s="56"/>
    </row>
    <row r="209" spans="1:2" x14ac:dyDescent="0.2">
      <c r="A209" s="56"/>
      <c r="B209" s="56"/>
    </row>
    <row r="210" spans="1:2" x14ac:dyDescent="0.2">
      <c r="A210" s="56"/>
      <c r="B210" s="56"/>
    </row>
    <row r="211" spans="1:2" x14ac:dyDescent="0.2">
      <c r="A211" s="56"/>
      <c r="B211" s="56"/>
    </row>
    <row r="212" spans="1:2" x14ac:dyDescent="0.2">
      <c r="A212" s="56"/>
      <c r="B212" s="56"/>
    </row>
    <row r="213" spans="1:2" x14ac:dyDescent="0.2">
      <c r="A213" s="56"/>
      <c r="B213" s="56"/>
    </row>
    <row r="214" spans="1:2" x14ac:dyDescent="0.2">
      <c r="A214" s="56"/>
      <c r="B214" s="56"/>
    </row>
    <row r="215" spans="1:2" x14ac:dyDescent="0.2">
      <c r="A215" s="56"/>
      <c r="B215" s="56"/>
    </row>
    <row r="216" spans="1:2" x14ac:dyDescent="0.2">
      <c r="A216" s="56"/>
      <c r="B216" s="56"/>
    </row>
    <row r="217" spans="1:2" x14ac:dyDescent="0.2">
      <c r="A217" s="56"/>
      <c r="B217" s="56"/>
    </row>
    <row r="218" spans="1:2" x14ac:dyDescent="0.2">
      <c r="A218" s="56"/>
      <c r="B218" s="56"/>
    </row>
    <row r="219" spans="1:2" x14ac:dyDescent="0.2">
      <c r="A219" s="56"/>
      <c r="B219" s="56"/>
    </row>
    <row r="220" spans="1:2" x14ac:dyDescent="0.2">
      <c r="A220" s="56"/>
      <c r="B220" s="56"/>
    </row>
    <row r="221" spans="1:2" x14ac:dyDescent="0.2">
      <c r="A221" s="56"/>
      <c r="B221" s="56"/>
    </row>
    <row r="222" spans="1:2" x14ac:dyDescent="0.2">
      <c r="A222" s="56"/>
      <c r="B222" s="56"/>
    </row>
    <row r="223" spans="1:2" x14ac:dyDescent="0.2">
      <c r="A223" s="56"/>
      <c r="B223" s="56"/>
    </row>
    <row r="224" spans="1:2" x14ac:dyDescent="0.2">
      <c r="A224" s="56"/>
      <c r="B224" s="56"/>
    </row>
    <row r="225" spans="1:2" x14ac:dyDescent="0.2">
      <c r="A225" s="56"/>
      <c r="B225" s="56"/>
    </row>
    <row r="226" spans="1:2" x14ac:dyDescent="0.2">
      <c r="A226" s="56"/>
      <c r="B226" s="56"/>
    </row>
    <row r="227" spans="1:2" x14ac:dyDescent="0.2">
      <c r="A227" s="56"/>
      <c r="B227" s="56"/>
    </row>
    <row r="228" spans="1:2" x14ac:dyDescent="0.2">
      <c r="A228" s="56"/>
      <c r="B228" s="56"/>
    </row>
    <row r="229" spans="1:2" x14ac:dyDescent="0.2">
      <c r="A229" s="56"/>
      <c r="B229" s="56"/>
    </row>
    <row r="230" spans="1:2" x14ac:dyDescent="0.2">
      <c r="A230" s="56"/>
      <c r="B230" s="56"/>
    </row>
    <row r="231" spans="1:2" x14ac:dyDescent="0.2">
      <c r="A231" s="56"/>
      <c r="B231" s="56"/>
    </row>
    <row r="232" spans="1:2" x14ac:dyDescent="0.2">
      <c r="A232" s="56"/>
      <c r="B232" s="56"/>
    </row>
    <row r="233" spans="1:2" x14ac:dyDescent="0.2">
      <c r="A233" s="56"/>
      <c r="B233" s="56"/>
    </row>
    <row r="234" spans="1:2" x14ac:dyDescent="0.2">
      <c r="A234" s="56"/>
      <c r="B234" s="56"/>
    </row>
    <row r="235" spans="1:2" x14ac:dyDescent="0.2">
      <c r="A235" s="56"/>
      <c r="B235" s="56"/>
    </row>
    <row r="236" spans="1:2" x14ac:dyDescent="0.2">
      <c r="A236" s="56"/>
      <c r="B236" s="56"/>
    </row>
    <row r="237" spans="1:2" x14ac:dyDescent="0.2">
      <c r="A237" s="56"/>
      <c r="B237" s="56"/>
    </row>
    <row r="238" spans="1:2" x14ac:dyDescent="0.2">
      <c r="A238" s="56"/>
      <c r="B238" s="56"/>
    </row>
    <row r="239" spans="1:2" x14ac:dyDescent="0.2">
      <c r="A239" s="56"/>
      <c r="B239" s="56"/>
    </row>
    <row r="240" spans="1:2" x14ac:dyDescent="0.2">
      <c r="A240" s="56"/>
      <c r="B240" s="56"/>
    </row>
    <row r="241" spans="1:2" x14ac:dyDescent="0.2">
      <c r="A241" s="56"/>
      <c r="B241" s="56"/>
    </row>
    <row r="242" spans="1:2" x14ac:dyDescent="0.2">
      <c r="A242" s="56"/>
      <c r="B242" s="56"/>
    </row>
    <row r="243" spans="1:2" x14ac:dyDescent="0.2">
      <c r="A243" s="56"/>
      <c r="B243" s="56"/>
    </row>
    <row r="244" spans="1:2" x14ac:dyDescent="0.2">
      <c r="A244" s="56"/>
      <c r="B244" s="56"/>
    </row>
    <row r="245" spans="1:2" x14ac:dyDescent="0.2">
      <c r="A245" s="56"/>
      <c r="B245" s="56"/>
    </row>
    <row r="246" spans="1:2" x14ac:dyDescent="0.2">
      <c r="A246" s="56"/>
      <c r="B246" s="56"/>
    </row>
    <row r="247" spans="1:2" x14ac:dyDescent="0.2">
      <c r="A247" s="56"/>
      <c r="B247" s="56"/>
    </row>
    <row r="248" spans="1:2" x14ac:dyDescent="0.2">
      <c r="A248" s="56"/>
      <c r="B248" s="56"/>
    </row>
    <row r="249" spans="1:2" x14ac:dyDescent="0.2">
      <c r="A249" s="56"/>
      <c r="B249" s="56"/>
    </row>
    <row r="250" spans="1:2" x14ac:dyDescent="0.2">
      <c r="A250" s="56"/>
      <c r="B250" s="56"/>
    </row>
    <row r="251" spans="1:2" x14ac:dyDescent="0.2">
      <c r="A251" s="56"/>
      <c r="B251" s="56"/>
    </row>
    <row r="252" spans="1:2" x14ac:dyDescent="0.2">
      <c r="A252" s="56"/>
      <c r="B252" s="56"/>
    </row>
    <row r="253" spans="1:2" x14ac:dyDescent="0.2">
      <c r="A253" s="56"/>
      <c r="B253" s="56"/>
    </row>
    <row r="254" spans="1:2" x14ac:dyDescent="0.2">
      <c r="A254" s="56"/>
      <c r="B254" s="56"/>
    </row>
    <row r="255" spans="1:2" x14ac:dyDescent="0.2">
      <c r="A255" s="56"/>
      <c r="B255" s="56"/>
    </row>
    <row r="256" spans="1:2" x14ac:dyDescent="0.2">
      <c r="A256" s="56"/>
      <c r="B256" s="56"/>
    </row>
    <row r="257" spans="1:2" x14ac:dyDescent="0.2">
      <c r="A257" s="56"/>
      <c r="B257" s="56"/>
    </row>
    <row r="258" spans="1:2" x14ac:dyDescent="0.2">
      <c r="A258" s="56"/>
      <c r="B258" s="56"/>
    </row>
    <row r="259" spans="1:2" x14ac:dyDescent="0.2">
      <c r="A259" s="56"/>
      <c r="B259" s="56"/>
    </row>
    <row r="260" spans="1:2" x14ac:dyDescent="0.2">
      <c r="A260" s="56"/>
      <c r="B260" s="56"/>
    </row>
    <row r="261" spans="1:2" x14ac:dyDescent="0.2">
      <c r="A261" s="56"/>
      <c r="B261" s="56"/>
    </row>
    <row r="262" spans="1:2" x14ac:dyDescent="0.2">
      <c r="A262" s="56"/>
      <c r="B262" s="56"/>
    </row>
    <row r="263" spans="1:2" x14ac:dyDescent="0.2">
      <c r="A263" s="56"/>
      <c r="B263" s="56"/>
    </row>
    <row r="264" spans="1:2" x14ac:dyDescent="0.2">
      <c r="A264" s="56"/>
      <c r="B264" s="56"/>
    </row>
    <row r="265" spans="1:2" x14ac:dyDescent="0.2">
      <c r="A265" s="56"/>
      <c r="B265" s="56"/>
    </row>
    <row r="266" spans="1:2" x14ac:dyDescent="0.2">
      <c r="A266" s="56"/>
      <c r="B266" s="56"/>
    </row>
    <row r="267" spans="1:2" x14ac:dyDescent="0.2">
      <c r="A267" s="56"/>
      <c r="B267" s="56"/>
    </row>
    <row r="268" spans="1:2" x14ac:dyDescent="0.2">
      <c r="A268" s="56"/>
      <c r="B268" s="56"/>
    </row>
    <row r="269" spans="1:2" x14ac:dyDescent="0.2">
      <c r="A269" s="56"/>
      <c r="B269" s="56"/>
    </row>
    <row r="270" spans="1:2" x14ac:dyDescent="0.2">
      <c r="A270" s="56"/>
      <c r="B270" s="56"/>
    </row>
    <row r="271" spans="1:2" x14ac:dyDescent="0.2">
      <c r="A271" s="56"/>
      <c r="B271" s="56"/>
    </row>
    <row r="272" spans="1:2" x14ac:dyDescent="0.2">
      <c r="A272" s="56"/>
      <c r="B272" s="56"/>
    </row>
    <row r="273" spans="1:2" x14ac:dyDescent="0.2">
      <c r="A273" s="56"/>
      <c r="B273" s="56"/>
    </row>
    <row r="274" spans="1:2" x14ac:dyDescent="0.2">
      <c r="A274" s="56"/>
      <c r="B274" s="56"/>
    </row>
    <row r="275" spans="1:2" x14ac:dyDescent="0.2">
      <c r="A275" s="56"/>
      <c r="B275" s="56"/>
    </row>
    <row r="276" spans="1:2" x14ac:dyDescent="0.2">
      <c r="A276" s="56"/>
      <c r="B276" s="56"/>
    </row>
    <row r="277" spans="1:2" x14ac:dyDescent="0.2">
      <c r="A277" s="56"/>
      <c r="B277" s="56"/>
    </row>
    <row r="278" spans="1:2" x14ac:dyDescent="0.2">
      <c r="A278" s="56"/>
      <c r="B278" s="56"/>
    </row>
    <row r="279" spans="1:2" x14ac:dyDescent="0.2">
      <c r="A279" s="56"/>
      <c r="B279" s="56"/>
    </row>
    <row r="280" spans="1:2" x14ac:dyDescent="0.2">
      <c r="A280" s="56"/>
      <c r="B280" s="56"/>
    </row>
    <row r="281" spans="1:2" x14ac:dyDescent="0.2">
      <c r="A281" s="56"/>
      <c r="B281" s="56"/>
    </row>
    <row r="282" spans="1:2" x14ac:dyDescent="0.2">
      <c r="A282" s="56"/>
      <c r="B282" s="56"/>
    </row>
    <row r="283" spans="1:2" x14ac:dyDescent="0.2">
      <c r="A283" s="56"/>
      <c r="B283" s="56"/>
    </row>
    <row r="284" spans="1:2" x14ac:dyDescent="0.2">
      <c r="A284" s="56"/>
      <c r="B284" s="56"/>
    </row>
    <row r="285" spans="1:2" x14ac:dyDescent="0.2">
      <c r="A285" s="56"/>
      <c r="B285" s="56"/>
    </row>
    <row r="286" spans="1:2" x14ac:dyDescent="0.2">
      <c r="A286" s="56"/>
      <c r="B286" s="56"/>
    </row>
    <row r="287" spans="1:2" x14ac:dyDescent="0.2">
      <c r="A287" s="56"/>
      <c r="B287" s="56"/>
    </row>
    <row r="288" spans="1:2" x14ac:dyDescent="0.2">
      <c r="A288" s="56"/>
      <c r="B288" s="56"/>
    </row>
    <row r="289" spans="1:2" x14ac:dyDescent="0.2">
      <c r="A289" s="56"/>
      <c r="B289" s="56"/>
    </row>
    <row r="290" spans="1:2" x14ac:dyDescent="0.2">
      <c r="A290" s="56"/>
      <c r="B290" s="56"/>
    </row>
    <row r="291" spans="1:2" x14ac:dyDescent="0.2">
      <c r="A291" s="56"/>
      <c r="B291" s="56"/>
    </row>
    <row r="292" spans="1:2" x14ac:dyDescent="0.2">
      <c r="A292" s="56"/>
      <c r="B292" s="56"/>
    </row>
    <row r="293" spans="1:2" x14ac:dyDescent="0.2">
      <c r="A293" s="56"/>
      <c r="B293" s="56"/>
    </row>
    <row r="294" spans="1:2" x14ac:dyDescent="0.2">
      <c r="A294" s="56"/>
      <c r="B294" s="56"/>
    </row>
    <row r="295" spans="1:2" x14ac:dyDescent="0.2">
      <c r="A295" s="56"/>
      <c r="B295" s="56"/>
    </row>
    <row r="296" spans="1:2" x14ac:dyDescent="0.2">
      <c r="A296" s="56"/>
      <c r="B296" s="56"/>
    </row>
    <row r="297" spans="1:2" x14ac:dyDescent="0.2">
      <c r="A297" s="56"/>
      <c r="B297" s="56"/>
    </row>
    <row r="298" spans="1:2" x14ac:dyDescent="0.2">
      <c r="A298" s="56"/>
      <c r="B298" s="56"/>
    </row>
    <row r="299" spans="1:2" x14ac:dyDescent="0.2">
      <c r="A299" s="56"/>
      <c r="B299" s="56"/>
    </row>
    <row r="300" spans="1:2" x14ac:dyDescent="0.2">
      <c r="A300" s="56"/>
      <c r="B300" s="56"/>
    </row>
    <row r="301" spans="1:2" x14ac:dyDescent="0.2">
      <c r="A301" s="56"/>
      <c r="B301" s="56"/>
    </row>
    <row r="302" spans="1:2" x14ac:dyDescent="0.2">
      <c r="A302" s="56"/>
      <c r="B302" s="56"/>
    </row>
    <row r="303" spans="1:2" x14ac:dyDescent="0.2">
      <c r="A303" s="56"/>
      <c r="B303" s="56"/>
    </row>
    <row r="304" spans="1:2" x14ac:dyDescent="0.2">
      <c r="A304" s="56"/>
      <c r="B304" s="56"/>
    </row>
    <row r="305" spans="1:2" x14ac:dyDescent="0.2">
      <c r="A305" s="56"/>
      <c r="B305" s="56"/>
    </row>
    <row r="306" spans="1:2" x14ac:dyDescent="0.2">
      <c r="A306" s="56"/>
      <c r="B306" s="56"/>
    </row>
    <row r="307" spans="1:2" x14ac:dyDescent="0.2">
      <c r="A307" s="56"/>
      <c r="B307" s="56"/>
    </row>
    <row r="308" spans="1:2" x14ac:dyDescent="0.2">
      <c r="A308" s="56"/>
      <c r="B308" s="56"/>
    </row>
    <row r="309" spans="1:2" x14ac:dyDescent="0.2">
      <c r="A309" s="56"/>
      <c r="B309" s="56"/>
    </row>
    <row r="310" spans="1:2" x14ac:dyDescent="0.2">
      <c r="A310" s="56"/>
      <c r="B310" s="56"/>
    </row>
    <row r="311" spans="1:2" x14ac:dyDescent="0.2">
      <c r="A311" s="56"/>
      <c r="B311" s="56"/>
    </row>
    <row r="312" spans="1:2" x14ac:dyDescent="0.2">
      <c r="A312" s="56"/>
      <c r="B312" s="56"/>
    </row>
    <row r="313" spans="1:2" x14ac:dyDescent="0.2">
      <c r="A313" s="56"/>
      <c r="B313" s="56"/>
    </row>
    <row r="314" spans="1:2" x14ac:dyDescent="0.2">
      <c r="A314" s="56"/>
      <c r="B314" s="56"/>
    </row>
    <row r="315" spans="1:2" x14ac:dyDescent="0.2">
      <c r="A315" s="56"/>
      <c r="B315" s="56"/>
    </row>
    <row r="316" spans="1:2" x14ac:dyDescent="0.2">
      <c r="A316" s="56"/>
      <c r="B316" s="56"/>
    </row>
    <row r="317" spans="1:2" x14ac:dyDescent="0.2">
      <c r="A317" s="56"/>
      <c r="B317" s="56"/>
    </row>
    <row r="318" spans="1:2" x14ac:dyDescent="0.2">
      <c r="A318" s="56"/>
      <c r="B318" s="56"/>
    </row>
    <row r="319" spans="1:2" x14ac:dyDescent="0.2">
      <c r="A319" s="56"/>
      <c r="B319" s="56"/>
    </row>
    <row r="320" spans="1:2" x14ac:dyDescent="0.2">
      <c r="A320" s="56"/>
      <c r="B320" s="56"/>
    </row>
    <row r="321" spans="1:2" x14ac:dyDescent="0.2">
      <c r="A321" s="56"/>
      <c r="B321" s="56"/>
    </row>
    <row r="322" spans="1:2" x14ac:dyDescent="0.2">
      <c r="A322" s="56"/>
      <c r="B322" s="56"/>
    </row>
    <row r="323" spans="1:2" x14ac:dyDescent="0.2">
      <c r="A323" s="56"/>
      <c r="B323" s="56"/>
    </row>
    <row r="324" spans="1:2" x14ac:dyDescent="0.2">
      <c r="A324" s="56"/>
      <c r="B324" s="56"/>
    </row>
    <row r="325" spans="1:2" x14ac:dyDescent="0.2">
      <c r="A325" s="56"/>
      <c r="B325" s="56"/>
    </row>
    <row r="326" spans="1:2" x14ac:dyDescent="0.2">
      <c r="A326" s="56"/>
      <c r="B326" s="56"/>
    </row>
    <row r="327" spans="1:2" x14ac:dyDescent="0.2">
      <c r="A327" s="56"/>
      <c r="B327" s="56"/>
    </row>
    <row r="328" spans="1:2" x14ac:dyDescent="0.2">
      <c r="A328" s="56"/>
      <c r="B328" s="56"/>
    </row>
    <row r="329" spans="1:2" x14ac:dyDescent="0.2">
      <c r="A329" s="56"/>
      <c r="B329" s="56"/>
    </row>
    <row r="330" spans="1:2" x14ac:dyDescent="0.2">
      <c r="A330" s="56"/>
      <c r="B330" s="56"/>
    </row>
    <row r="331" spans="1:2" x14ac:dyDescent="0.2">
      <c r="A331" s="56"/>
      <c r="B331" s="56"/>
    </row>
    <row r="332" spans="1:2" x14ac:dyDescent="0.2">
      <c r="A332" s="56"/>
      <c r="B332" s="56"/>
    </row>
    <row r="333" spans="1:2" x14ac:dyDescent="0.2">
      <c r="A333" s="56"/>
      <c r="B333" s="56"/>
    </row>
    <row r="334" spans="1:2" x14ac:dyDescent="0.2">
      <c r="A334" s="56"/>
      <c r="B334" s="56"/>
    </row>
    <row r="335" spans="1:2" x14ac:dyDescent="0.2">
      <c r="A335" s="56"/>
      <c r="B335" s="56"/>
    </row>
    <row r="336" spans="1:2" x14ac:dyDescent="0.2">
      <c r="A336" s="56"/>
      <c r="B336" s="56"/>
    </row>
    <row r="337" spans="1:2" x14ac:dyDescent="0.2">
      <c r="A337" s="56"/>
      <c r="B337" s="56"/>
    </row>
    <row r="338" spans="1:2" x14ac:dyDescent="0.2">
      <c r="A338" s="56"/>
      <c r="B338" s="56"/>
    </row>
    <row r="339" spans="1:2" x14ac:dyDescent="0.2">
      <c r="A339" s="56"/>
      <c r="B339" s="56"/>
    </row>
    <row r="340" spans="1:2" x14ac:dyDescent="0.2">
      <c r="A340" s="56"/>
      <c r="B340" s="56"/>
    </row>
    <row r="341" spans="1:2" x14ac:dyDescent="0.2">
      <c r="A341" s="56"/>
      <c r="B341" s="56"/>
    </row>
    <row r="342" spans="1:2" x14ac:dyDescent="0.2">
      <c r="A342" s="56"/>
      <c r="B342" s="56"/>
    </row>
    <row r="343" spans="1:2" x14ac:dyDescent="0.2">
      <c r="A343" s="56"/>
      <c r="B343" s="56"/>
    </row>
    <row r="344" spans="1:2" x14ac:dyDescent="0.2">
      <c r="A344" s="56"/>
      <c r="B344" s="56"/>
    </row>
    <row r="345" spans="1:2" x14ac:dyDescent="0.2">
      <c r="A345" s="56"/>
      <c r="B345" s="56"/>
    </row>
    <row r="346" spans="1:2" x14ac:dyDescent="0.2">
      <c r="A346" s="56"/>
      <c r="B346" s="56"/>
    </row>
    <row r="347" spans="1:2" x14ac:dyDescent="0.2">
      <c r="A347" s="56"/>
      <c r="B347" s="56"/>
    </row>
    <row r="348" spans="1:2" x14ac:dyDescent="0.2">
      <c r="A348" s="56"/>
      <c r="B348" s="56"/>
    </row>
    <row r="349" spans="1:2" x14ac:dyDescent="0.2">
      <c r="A349" s="56"/>
      <c r="B349" s="56"/>
    </row>
    <row r="350" spans="1:2" x14ac:dyDescent="0.2">
      <c r="A350" s="56"/>
      <c r="B350" s="56"/>
    </row>
    <row r="351" spans="1:2" x14ac:dyDescent="0.2">
      <c r="A351" s="56"/>
      <c r="B351" s="56"/>
    </row>
    <row r="352" spans="1:2" x14ac:dyDescent="0.2">
      <c r="A352" s="56"/>
      <c r="B352" s="56"/>
    </row>
    <row r="353" spans="1:2" x14ac:dyDescent="0.2">
      <c r="A353" s="56"/>
      <c r="B353" s="56"/>
    </row>
    <row r="354" spans="1:2" x14ac:dyDescent="0.2">
      <c r="A354" s="56"/>
      <c r="B354" s="56"/>
    </row>
    <row r="355" spans="1:2" x14ac:dyDescent="0.2">
      <c r="A355" s="56"/>
      <c r="B355" s="56"/>
    </row>
    <row r="356" spans="1:2" x14ac:dyDescent="0.2">
      <c r="A356" s="56"/>
      <c r="B356" s="56"/>
    </row>
    <row r="357" spans="1:2" x14ac:dyDescent="0.2">
      <c r="A357" s="56"/>
      <c r="B357" s="56"/>
    </row>
    <row r="358" spans="1:2" x14ac:dyDescent="0.2">
      <c r="A358" s="56"/>
      <c r="B358" s="56"/>
    </row>
    <row r="359" spans="1:2" x14ac:dyDescent="0.2">
      <c r="A359" s="56"/>
      <c r="B359" s="56"/>
    </row>
    <row r="360" spans="1:2" x14ac:dyDescent="0.2">
      <c r="A360" s="56"/>
      <c r="B360" s="56"/>
    </row>
    <row r="361" spans="1:2" x14ac:dyDescent="0.2">
      <c r="A361" s="56"/>
      <c r="B361" s="56"/>
    </row>
    <row r="362" spans="1:2" x14ac:dyDescent="0.2">
      <c r="A362" s="56"/>
      <c r="B362" s="56"/>
    </row>
    <row r="363" spans="1:2" x14ac:dyDescent="0.2">
      <c r="A363" s="56"/>
      <c r="B363" s="56"/>
    </row>
    <row r="364" spans="1:2" x14ac:dyDescent="0.2">
      <c r="A364" s="56"/>
      <c r="B364" s="56"/>
    </row>
    <row r="365" spans="1:2" x14ac:dyDescent="0.2">
      <c r="A365" s="56"/>
      <c r="B365" s="56"/>
    </row>
    <row r="366" spans="1:2" x14ac:dyDescent="0.2">
      <c r="A366" s="56"/>
      <c r="B366" s="56"/>
    </row>
    <row r="367" spans="1:2" x14ac:dyDescent="0.2">
      <c r="A367" s="56"/>
      <c r="B367" s="56"/>
    </row>
    <row r="368" spans="1:2" x14ac:dyDescent="0.2">
      <c r="A368" s="56"/>
      <c r="B368" s="56"/>
    </row>
    <row r="369" spans="1:2" x14ac:dyDescent="0.2">
      <c r="A369" s="56"/>
      <c r="B369" s="56"/>
    </row>
    <row r="370" spans="1:2" x14ac:dyDescent="0.2">
      <c r="A370" s="56"/>
      <c r="B370" s="56"/>
    </row>
    <row r="371" spans="1:2" x14ac:dyDescent="0.2">
      <c r="A371" s="56"/>
      <c r="B371" s="56"/>
    </row>
    <row r="372" spans="1:2" x14ac:dyDescent="0.2">
      <c r="A372" s="56"/>
      <c r="B372" s="56"/>
    </row>
    <row r="373" spans="1:2" x14ac:dyDescent="0.2">
      <c r="A373" s="56"/>
      <c r="B373" s="56"/>
    </row>
    <row r="374" spans="1:2" x14ac:dyDescent="0.2">
      <c r="A374" s="56"/>
      <c r="B374" s="56"/>
    </row>
    <row r="375" spans="1:2" x14ac:dyDescent="0.2">
      <c r="A375" s="56"/>
      <c r="B375" s="56"/>
    </row>
    <row r="376" spans="1:2" x14ac:dyDescent="0.2">
      <c r="A376" s="56"/>
      <c r="B376" s="56"/>
    </row>
    <row r="377" spans="1:2" x14ac:dyDescent="0.2">
      <c r="A377" s="56"/>
      <c r="B377" s="56"/>
    </row>
    <row r="378" spans="1:2" x14ac:dyDescent="0.2">
      <c r="A378" s="56"/>
      <c r="B378" s="56"/>
    </row>
    <row r="379" spans="1:2" x14ac:dyDescent="0.2">
      <c r="A379" s="56"/>
      <c r="B379" s="56"/>
    </row>
    <row r="380" spans="1:2" x14ac:dyDescent="0.2">
      <c r="A380" s="56"/>
      <c r="B380" s="56"/>
    </row>
    <row r="381" spans="1:2" x14ac:dyDescent="0.2">
      <c r="A381" s="56"/>
      <c r="B381" s="56"/>
    </row>
    <row r="382" spans="1:2" x14ac:dyDescent="0.2">
      <c r="A382" s="56"/>
      <c r="B382" s="56"/>
    </row>
    <row r="383" spans="1:2" x14ac:dyDescent="0.2">
      <c r="A383" s="56"/>
      <c r="B383" s="56"/>
    </row>
    <row r="384" spans="1:2" x14ac:dyDescent="0.2">
      <c r="A384" s="56"/>
      <c r="B384" s="56"/>
    </row>
    <row r="385" spans="1:2" x14ac:dyDescent="0.2">
      <c r="A385" s="56"/>
      <c r="B385" s="56"/>
    </row>
    <row r="386" spans="1:2" x14ac:dyDescent="0.2">
      <c r="A386" s="56"/>
      <c r="B386" s="56"/>
    </row>
    <row r="387" spans="1:2" x14ac:dyDescent="0.2">
      <c r="A387" s="56"/>
      <c r="B387" s="56"/>
    </row>
    <row r="388" spans="1:2" x14ac:dyDescent="0.2">
      <c r="A388" s="56"/>
      <c r="B388" s="56"/>
    </row>
    <row r="389" spans="1:2" x14ac:dyDescent="0.2">
      <c r="A389" s="56"/>
      <c r="B389" s="56"/>
    </row>
    <row r="390" spans="1:2" x14ac:dyDescent="0.2">
      <c r="A390" s="56"/>
      <c r="B390" s="56"/>
    </row>
    <row r="391" spans="1:2" x14ac:dyDescent="0.2">
      <c r="A391" s="56"/>
      <c r="B391" s="56"/>
    </row>
    <row r="392" spans="1:2" x14ac:dyDescent="0.2">
      <c r="A392" s="56"/>
      <c r="B392" s="56"/>
    </row>
    <row r="393" spans="1:2" x14ac:dyDescent="0.2">
      <c r="A393" s="56"/>
      <c r="B393" s="56"/>
    </row>
    <row r="394" spans="1:2" x14ac:dyDescent="0.2">
      <c r="A394" s="56"/>
      <c r="B394" s="56"/>
    </row>
    <row r="395" spans="1:2" x14ac:dyDescent="0.2">
      <c r="A395" s="56"/>
      <c r="B395" s="56"/>
    </row>
    <row r="396" spans="1:2" x14ac:dyDescent="0.2">
      <c r="A396" s="56"/>
      <c r="B396" s="56"/>
    </row>
    <row r="397" spans="1:2" x14ac:dyDescent="0.2">
      <c r="A397" s="56"/>
      <c r="B397" s="56"/>
    </row>
    <row r="398" spans="1:2" x14ac:dyDescent="0.2">
      <c r="A398" s="56"/>
      <c r="B398" s="56"/>
    </row>
    <row r="399" spans="1:2" x14ac:dyDescent="0.2">
      <c r="A399" s="56"/>
      <c r="B399" s="56"/>
    </row>
    <row r="400" spans="1:2" x14ac:dyDescent="0.2">
      <c r="A400" s="56"/>
      <c r="B400" s="56"/>
    </row>
    <row r="401" spans="1:2" x14ac:dyDescent="0.2">
      <c r="A401" s="56"/>
      <c r="B401" s="56"/>
    </row>
    <row r="402" spans="1:2" x14ac:dyDescent="0.2">
      <c r="A402" s="56"/>
      <c r="B402" s="56"/>
    </row>
    <row r="403" spans="1:2" x14ac:dyDescent="0.2">
      <c r="A403" s="56"/>
      <c r="B403" s="56"/>
    </row>
    <row r="404" spans="1:2" x14ac:dyDescent="0.2">
      <c r="A404" s="56"/>
      <c r="B404" s="56"/>
    </row>
    <row r="405" spans="1:2" x14ac:dyDescent="0.2">
      <c r="A405" s="56"/>
      <c r="B405" s="56"/>
    </row>
    <row r="406" spans="1:2" x14ac:dyDescent="0.2">
      <c r="A406" s="56"/>
      <c r="B406" s="56"/>
    </row>
    <row r="407" spans="1:2" x14ac:dyDescent="0.2">
      <c r="A407" s="56"/>
      <c r="B407" s="56"/>
    </row>
    <row r="408" spans="1:2" x14ac:dyDescent="0.2">
      <c r="A408" s="56"/>
      <c r="B408" s="56"/>
    </row>
    <row r="409" spans="1:2" x14ac:dyDescent="0.2">
      <c r="A409" s="56"/>
      <c r="B409" s="56"/>
    </row>
    <row r="410" spans="1:2" x14ac:dyDescent="0.2">
      <c r="A410" s="56"/>
      <c r="B410" s="56"/>
    </row>
    <row r="411" spans="1:2" x14ac:dyDescent="0.2">
      <c r="A411" s="56"/>
      <c r="B411" s="56"/>
    </row>
    <row r="412" spans="1:2" x14ac:dyDescent="0.2">
      <c r="A412" s="56"/>
      <c r="B412" s="56"/>
    </row>
    <row r="413" spans="1:2" x14ac:dyDescent="0.2">
      <c r="A413" s="56"/>
      <c r="B413" s="56"/>
    </row>
    <row r="414" spans="1:2" x14ac:dyDescent="0.2">
      <c r="A414" s="56"/>
      <c r="B414" s="56"/>
    </row>
    <row r="415" spans="1:2" x14ac:dyDescent="0.2">
      <c r="A415" s="56"/>
      <c r="B415" s="56"/>
    </row>
    <row r="416" spans="1:2" x14ac:dyDescent="0.2">
      <c r="A416" s="56"/>
      <c r="B416" s="56"/>
    </row>
    <row r="417" spans="1:2" x14ac:dyDescent="0.2">
      <c r="A417" s="56"/>
      <c r="B417" s="56"/>
    </row>
    <row r="418" spans="1:2" x14ac:dyDescent="0.2">
      <c r="A418" s="56"/>
      <c r="B418" s="56"/>
    </row>
    <row r="419" spans="1:2" x14ac:dyDescent="0.2">
      <c r="A419" s="56"/>
      <c r="B419" s="56"/>
    </row>
    <row r="420" spans="1:2" x14ac:dyDescent="0.2">
      <c r="A420" s="56"/>
      <c r="B420" s="56"/>
    </row>
    <row r="421" spans="1:2" x14ac:dyDescent="0.2">
      <c r="A421" s="56"/>
      <c r="B421" s="56"/>
    </row>
    <row r="422" spans="1:2" x14ac:dyDescent="0.2">
      <c r="A422" s="56"/>
      <c r="B422" s="56"/>
    </row>
    <row r="423" spans="1:2" x14ac:dyDescent="0.2">
      <c r="A423" s="56"/>
      <c r="B423" s="56"/>
    </row>
    <row r="424" spans="1:2" x14ac:dyDescent="0.2">
      <c r="A424" s="56"/>
      <c r="B424" s="56"/>
    </row>
    <row r="425" spans="1:2" x14ac:dyDescent="0.2">
      <c r="A425" s="56"/>
      <c r="B425" s="56"/>
    </row>
    <row r="426" spans="1:2" x14ac:dyDescent="0.2">
      <c r="A426" s="56"/>
      <c r="B426" s="56"/>
    </row>
    <row r="427" spans="1:2" x14ac:dyDescent="0.2">
      <c r="A427" s="56"/>
      <c r="B427" s="56"/>
    </row>
    <row r="428" spans="1:2" x14ac:dyDescent="0.2">
      <c r="A428" s="56"/>
      <c r="B428" s="56"/>
    </row>
    <row r="429" spans="1:2" x14ac:dyDescent="0.2">
      <c r="A429" s="56"/>
      <c r="B429" s="56"/>
    </row>
    <row r="430" spans="1:2" x14ac:dyDescent="0.2">
      <c r="A430" s="56"/>
      <c r="B430" s="56"/>
    </row>
    <row r="431" spans="1:2" x14ac:dyDescent="0.2">
      <c r="A431" s="56"/>
      <c r="B431" s="56"/>
    </row>
    <row r="432" spans="1:2" x14ac:dyDescent="0.2">
      <c r="A432" s="56"/>
      <c r="B432" s="56"/>
    </row>
    <row r="433" spans="1:2" x14ac:dyDescent="0.2">
      <c r="A433" s="56"/>
      <c r="B433" s="56"/>
    </row>
    <row r="434" spans="1:2" x14ac:dyDescent="0.2">
      <c r="A434" s="56"/>
      <c r="B434" s="56"/>
    </row>
    <row r="435" spans="1:2" x14ac:dyDescent="0.2">
      <c r="A435" s="56"/>
      <c r="B435" s="56"/>
    </row>
    <row r="436" spans="1:2" x14ac:dyDescent="0.2">
      <c r="A436" s="56"/>
      <c r="B436" s="56"/>
    </row>
    <row r="437" spans="1:2" x14ac:dyDescent="0.2">
      <c r="A437" s="56"/>
      <c r="B437" s="56"/>
    </row>
    <row r="438" spans="1:2" x14ac:dyDescent="0.2">
      <c r="A438" s="56"/>
      <c r="B438" s="56"/>
    </row>
    <row r="439" spans="1:2" x14ac:dyDescent="0.2">
      <c r="A439" s="56"/>
      <c r="B439" s="56"/>
    </row>
    <row r="440" spans="1:2" x14ac:dyDescent="0.2">
      <c r="A440" s="56"/>
      <c r="B440" s="56"/>
    </row>
    <row r="441" spans="1:2" x14ac:dyDescent="0.2">
      <c r="A441" s="56"/>
      <c r="B441" s="56"/>
    </row>
    <row r="442" spans="1:2" x14ac:dyDescent="0.2">
      <c r="A442" s="56"/>
      <c r="B442" s="56"/>
    </row>
    <row r="443" spans="1:2" x14ac:dyDescent="0.2">
      <c r="A443" s="56"/>
      <c r="B443" s="56"/>
    </row>
    <row r="444" spans="1:2" x14ac:dyDescent="0.2">
      <c r="A444" s="56"/>
      <c r="B444" s="56"/>
    </row>
    <row r="445" spans="1:2" x14ac:dyDescent="0.2">
      <c r="A445" s="56"/>
      <c r="B445" s="56"/>
    </row>
    <row r="446" spans="1:2" x14ac:dyDescent="0.2">
      <c r="A446" s="56"/>
      <c r="B446" s="56"/>
    </row>
    <row r="447" spans="1:2" x14ac:dyDescent="0.2">
      <c r="A447" s="56"/>
      <c r="B447" s="56"/>
    </row>
    <row r="448" spans="1:2" x14ac:dyDescent="0.2">
      <c r="A448" s="56"/>
      <c r="B448" s="56"/>
    </row>
    <row r="449" spans="1:2" x14ac:dyDescent="0.2">
      <c r="A449" s="56"/>
      <c r="B449" s="56"/>
    </row>
    <row r="450" spans="1:2" x14ac:dyDescent="0.2">
      <c r="A450" s="56"/>
      <c r="B450" s="56"/>
    </row>
    <row r="451" spans="1:2" x14ac:dyDescent="0.2">
      <c r="A451" s="56"/>
      <c r="B451" s="56"/>
    </row>
    <row r="452" spans="1:2" x14ac:dyDescent="0.2">
      <c r="A452" s="56"/>
      <c r="B452" s="56"/>
    </row>
    <row r="453" spans="1:2" x14ac:dyDescent="0.2">
      <c r="A453" s="56"/>
      <c r="B453" s="56"/>
    </row>
    <row r="454" spans="1:2" x14ac:dyDescent="0.2">
      <c r="A454" s="56"/>
      <c r="B454" s="56"/>
    </row>
    <row r="455" spans="1:2" x14ac:dyDescent="0.2">
      <c r="A455" s="56"/>
      <c r="B455" s="56"/>
    </row>
    <row r="456" spans="1:2" x14ac:dyDescent="0.2">
      <c r="A456" s="56"/>
      <c r="B456" s="56"/>
    </row>
    <row r="457" spans="1:2" x14ac:dyDescent="0.2">
      <c r="A457" s="56"/>
      <c r="B457" s="56"/>
    </row>
    <row r="458" spans="1:2" x14ac:dyDescent="0.2">
      <c r="A458" s="56"/>
      <c r="B458" s="56"/>
    </row>
    <row r="459" spans="1:2" x14ac:dyDescent="0.2">
      <c r="A459" s="56"/>
      <c r="B459" s="56"/>
    </row>
    <row r="460" spans="1:2" x14ac:dyDescent="0.2">
      <c r="A460" s="56"/>
      <c r="B460" s="56"/>
    </row>
    <row r="461" spans="1:2" x14ac:dyDescent="0.2">
      <c r="A461" s="56"/>
      <c r="B461" s="56"/>
    </row>
    <row r="462" spans="1:2" x14ac:dyDescent="0.2">
      <c r="A462" s="56"/>
      <c r="B462" s="56"/>
    </row>
    <row r="463" spans="1:2" x14ac:dyDescent="0.2">
      <c r="A463" s="56"/>
      <c r="B463" s="56"/>
    </row>
    <row r="464" spans="1:2" x14ac:dyDescent="0.2">
      <c r="A464" s="56"/>
      <c r="B464" s="56"/>
    </row>
    <row r="465" spans="1:2" x14ac:dyDescent="0.2">
      <c r="A465" s="56"/>
      <c r="B465" s="56"/>
    </row>
    <row r="466" spans="1:2" x14ac:dyDescent="0.2">
      <c r="A466" s="56"/>
      <c r="B466" s="56"/>
    </row>
    <row r="467" spans="1:2" x14ac:dyDescent="0.2">
      <c r="A467" s="56"/>
      <c r="B467" s="56"/>
    </row>
    <row r="468" spans="1:2" x14ac:dyDescent="0.2">
      <c r="A468" s="56"/>
      <c r="B468" s="56"/>
    </row>
    <row r="469" spans="1:2" x14ac:dyDescent="0.2">
      <c r="A469" s="56"/>
      <c r="B469" s="56"/>
    </row>
    <row r="470" spans="1:2" x14ac:dyDescent="0.2">
      <c r="A470" s="56"/>
      <c r="B470" s="56"/>
    </row>
    <row r="471" spans="1:2" x14ac:dyDescent="0.2">
      <c r="A471" s="56"/>
      <c r="B471" s="56"/>
    </row>
    <row r="472" spans="1:2" x14ac:dyDescent="0.2">
      <c r="A472" s="56"/>
      <c r="B472" s="56"/>
    </row>
    <row r="473" spans="1:2" x14ac:dyDescent="0.2">
      <c r="A473" s="56"/>
      <c r="B473" s="56"/>
    </row>
    <row r="474" spans="1:2" x14ac:dyDescent="0.2">
      <c r="A474" s="56"/>
      <c r="B474" s="56"/>
    </row>
    <row r="475" spans="1:2" x14ac:dyDescent="0.2">
      <c r="A475" s="56"/>
      <c r="B475" s="56"/>
    </row>
    <row r="476" spans="1:2" x14ac:dyDescent="0.2">
      <c r="A476" s="56"/>
      <c r="B476" s="56"/>
    </row>
    <row r="477" spans="1:2" x14ac:dyDescent="0.2">
      <c r="A477" s="56"/>
      <c r="B477" s="56"/>
    </row>
    <row r="478" spans="1:2" x14ac:dyDescent="0.2">
      <c r="A478" s="56"/>
      <c r="B478" s="56"/>
    </row>
    <row r="479" spans="1:2" x14ac:dyDescent="0.2">
      <c r="A479" s="56"/>
      <c r="B479" s="56"/>
    </row>
    <row r="480" spans="1:2" x14ac:dyDescent="0.2">
      <c r="A480" s="56"/>
      <c r="B480" s="56"/>
    </row>
    <row r="481" spans="1:2" x14ac:dyDescent="0.2">
      <c r="A481" s="56"/>
      <c r="B481" s="56"/>
    </row>
    <row r="482" spans="1:2" x14ac:dyDescent="0.2">
      <c r="A482" s="56"/>
      <c r="B482" s="56"/>
    </row>
    <row r="483" spans="1:2" x14ac:dyDescent="0.2">
      <c r="A483" s="56"/>
      <c r="B483" s="56"/>
    </row>
    <row r="484" spans="1:2" x14ac:dyDescent="0.2">
      <c r="A484" s="56"/>
      <c r="B484" s="56"/>
    </row>
    <row r="485" spans="1:2" x14ac:dyDescent="0.2">
      <c r="A485" s="56"/>
      <c r="B485" s="56"/>
    </row>
    <row r="486" spans="1:2" x14ac:dyDescent="0.2">
      <c r="A486" s="56"/>
      <c r="B486" s="56"/>
    </row>
    <row r="487" spans="1:2" x14ac:dyDescent="0.2">
      <c r="A487" s="56"/>
      <c r="B487" s="56"/>
    </row>
    <row r="488" spans="1:2" x14ac:dyDescent="0.2">
      <c r="A488" s="56"/>
      <c r="B488" s="56"/>
    </row>
    <row r="489" spans="1:2" x14ac:dyDescent="0.2">
      <c r="A489" s="56"/>
      <c r="B489" s="56"/>
    </row>
    <row r="490" spans="1:2" x14ac:dyDescent="0.2">
      <c r="A490" s="56"/>
      <c r="B490" s="56"/>
    </row>
    <row r="491" spans="1:2" x14ac:dyDescent="0.2">
      <c r="A491" s="56"/>
      <c r="B491" s="56"/>
    </row>
    <row r="492" spans="1:2" x14ac:dyDescent="0.2">
      <c r="A492" s="56"/>
      <c r="B492" s="56"/>
    </row>
    <row r="493" spans="1:2" x14ac:dyDescent="0.2">
      <c r="A493" s="56"/>
      <c r="B493" s="56"/>
    </row>
    <row r="494" spans="1:2" x14ac:dyDescent="0.2">
      <c r="A494" s="56"/>
      <c r="B494" s="56"/>
    </row>
    <row r="495" spans="1:2" x14ac:dyDescent="0.2">
      <c r="A495" s="56"/>
      <c r="B495" s="56"/>
    </row>
    <row r="496" spans="1:2" x14ac:dyDescent="0.2">
      <c r="A496" s="56"/>
      <c r="B496" s="56"/>
    </row>
    <row r="497" spans="1:2" x14ac:dyDescent="0.2">
      <c r="A497" s="56"/>
      <c r="B497" s="56"/>
    </row>
    <row r="498" spans="1:2" x14ac:dyDescent="0.2">
      <c r="A498" s="56"/>
      <c r="B498" s="56"/>
    </row>
    <row r="499" spans="1:2" x14ac:dyDescent="0.2">
      <c r="A499" s="56"/>
      <c r="B499" s="56"/>
    </row>
    <row r="500" spans="1:2" x14ac:dyDescent="0.2">
      <c r="A500" s="56"/>
      <c r="B500" s="56"/>
    </row>
    <row r="501" spans="1:2" x14ac:dyDescent="0.2">
      <c r="A501" s="56"/>
      <c r="B501" s="56"/>
    </row>
    <row r="502" spans="1:2" x14ac:dyDescent="0.2">
      <c r="A502" s="56"/>
      <c r="B502" s="56"/>
    </row>
    <row r="503" spans="1:2" x14ac:dyDescent="0.2">
      <c r="A503" s="56"/>
      <c r="B503" s="56"/>
    </row>
    <row r="504" spans="1:2" x14ac:dyDescent="0.2">
      <c r="A504" s="56"/>
      <c r="B504" s="56"/>
    </row>
    <row r="505" spans="1:2" x14ac:dyDescent="0.2">
      <c r="A505" s="56"/>
      <c r="B505" s="56"/>
    </row>
    <row r="506" spans="1:2" x14ac:dyDescent="0.2">
      <c r="A506" s="56"/>
      <c r="B506" s="56"/>
    </row>
    <row r="507" spans="1:2" x14ac:dyDescent="0.2">
      <c r="A507" s="56"/>
      <c r="B507" s="56"/>
    </row>
    <row r="508" spans="1:2" x14ac:dyDescent="0.2">
      <c r="A508" s="56"/>
      <c r="B508" s="56"/>
    </row>
    <row r="509" spans="1:2" x14ac:dyDescent="0.2">
      <c r="A509" s="56"/>
      <c r="B509" s="56"/>
    </row>
    <row r="510" spans="1:2" x14ac:dyDescent="0.2">
      <c r="A510" s="56"/>
      <c r="B510" s="56"/>
    </row>
    <row r="511" spans="1:2" x14ac:dyDescent="0.2">
      <c r="A511" s="56"/>
      <c r="B511" s="56"/>
    </row>
    <row r="512" spans="1:2" x14ac:dyDescent="0.2">
      <c r="A512" s="56"/>
      <c r="B512" s="56"/>
    </row>
    <row r="513" spans="1:2" x14ac:dyDescent="0.2">
      <c r="A513" s="56"/>
      <c r="B513" s="56"/>
    </row>
    <row r="514" spans="1:2" x14ac:dyDescent="0.2">
      <c r="A514" s="56"/>
      <c r="B514" s="56"/>
    </row>
    <row r="515" spans="1:2" x14ac:dyDescent="0.2">
      <c r="A515" s="56"/>
      <c r="B515" s="56"/>
    </row>
    <row r="516" spans="1:2" x14ac:dyDescent="0.2">
      <c r="A516" s="56"/>
      <c r="B516" s="56"/>
    </row>
    <row r="517" spans="1:2" x14ac:dyDescent="0.2">
      <c r="A517" s="56"/>
      <c r="B517" s="56"/>
    </row>
    <row r="518" spans="1:2" x14ac:dyDescent="0.2">
      <c r="A518" s="56"/>
      <c r="B518" s="56"/>
    </row>
    <row r="519" spans="1:2" x14ac:dyDescent="0.2">
      <c r="A519" s="56"/>
      <c r="B519" s="56"/>
    </row>
    <row r="520" spans="1:2" x14ac:dyDescent="0.2">
      <c r="A520" s="56"/>
      <c r="B520" s="56"/>
    </row>
    <row r="521" spans="1:2" x14ac:dyDescent="0.2">
      <c r="A521" s="56"/>
      <c r="B521" s="56"/>
    </row>
    <row r="522" spans="1:2" x14ac:dyDescent="0.2">
      <c r="A522" s="56"/>
      <c r="B522" s="56"/>
    </row>
    <row r="523" spans="1:2" x14ac:dyDescent="0.2">
      <c r="A523" s="56"/>
      <c r="B523" s="56"/>
    </row>
    <row r="524" spans="1:2" x14ac:dyDescent="0.2">
      <c r="A524" s="56"/>
      <c r="B524" s="56"/>
    </row>
    <row r="525" spans="1:2" x14ac:dyDescent="0.2">
      <c r="A525" s="56"/>
      <c r="B525" s="56"/>
    </row>
    <row r="526" spans="1:2" x14ac:dyDescent="0.2">
      <c r="A526" s="56"/>
      <c r="B526" s="56"/>
    </row>
    <row r="527" spans="1:2" x14ac:dyDescent="0.2">
      <c r="A527" s="56"/>
      <c r="B527" s="56"/>
    </row>
    <row r="528" spans="1:2" x14ac:dyDescent="0.2">
      <c r="A528" s="56"/>
      <c r="B528" s="56"/>
    </row>
    <row r="529" spans="1:2" x14ac:dyDescent="0.2">
      <c r="A529" s="56"/>
      <c r="B529" s="56"/>
    </row>
    <row r="530" spans="1:2" x14ac:dyDescent="0.2">
      <c r="A530" s="56"/>
      <c r="B530" s="56"/>
    </row>
    <row r="531" spans="1:2" x14ac:dyDescent="0.2">
      <c r="A531" s="56"/>
      <c r="B531" s="56"/>
    </row>
    <row r="532" spans="1:2" x14ac:dyDescent="0.2">
      <c r="A532" s="56"/>
      <c r="B532" s="56"/>
    </row>
    <row r="533" spans="1:2" x14ac:dyDescent="0.2">
      <c r="A533" s="56"/>
      <c r="B533" s="56"/>
    </row>
    <row r="534" spans="1:2" x14ac:dyDescent="0.2">
      <c r="A534" s="56"/>
      <c r="B534" s="56"/>
    </row>
    <row r="535" spans="1:2" x14ac:dyDescent="0.2">
      <c r="A535" s="56"/>
      <c r="B535" s="56"/>
    </row>
    <row r="536" spans="1:2" x14ac:dyDescent="0.2">
      <c r="A536" s="56"/>
      <c r="B536" s="56"/>
    </row>
    <row r="537" spans="1:2" x14ac:dyDescent="0.2">
      <c r="A537" s="56"/>
      <c r="B537" s="56"/>
    </row>
    <row r="538" spans="1:2" x14ac:dyDescent="0.2">
      <c r="A538" s="56"/>
      <c r="B538" s="56"/>
    </row>
    <row r="539" spans="1:2" x14ac:dyDescent="0.2">
      <c r="A539" s="56"/>
      <c r="B539" s="56"/>
    </row>
    <row r="540" spans="1:2" x14ac:dyDescent="0.2">
      <c r="A540" s="56"/>
      <c r="B540" s="56"/>
    </row>
    <row r="541" spans="1:2" x14ac:dyDescent="0.2">
      <c r="A541" s="56"/>
      <c r="B541" s="56"/>
    </row>
    <row r="542" spans="1:2" x14ac:dyDescent="0.2">
      <c r="A542" s="56"/>
      <c r="B542" s="56"/>
    </row>
    <row r="543" spans="1:2" x14ac:dyDescent="0.2">
      <c r="A543" s="56"/>
      <c r="B543" s="56"/>
    </row>
    <row r="544" spans="1:2" x14ac:dyDescent="0.2">
      <c r="A544" s="56"/>
      <c r="B544" s="56"/>
    </row>
    <row r="545" spans="1:2" x14ac:dyDescent="0.2">
      <c r="A545" s="56"/>
      <c r="B545" s="56"/>
    </row>
    <row r="546" spans="1:2" x14ac:dyDescent="0.2">
      <c r="A546" s="56"/>
      <c r="B546" s="56"/>
    </row>
    <row r="547" spans="1:2" x14ac:dyDescent="0.2">
      <c r="A547" s="56"/>
      <c r="B547" s="56"/>
    </row>
    <row r="548" spans="1:2" x14ac:dyDescent="0.2">
      <c r="A548" s="56"/>
      <c r="B548" s="56"/>
    </row>
    <row r="549" spans="1:2" x14ac:dyDescent="0.2">
      <c r="A549" s="56"/>
      <c r="B549" s="56"/>
    </row>
    <row r="550" spans="1:2" x14ac:dyDescent="0.2">
      <c r="A550" s="56"/>
      <c r="B550" s="56"/>
    </row>
    <row r="551" spans="1:2" x14ac:dyDescent="0.2">
      <c r="A551" s="56"/>
      <c r="B551" s="56"/>
    </row>
    <row r="552" spans="1:2" x14ac:dyDescent="0.2">
      <c r="A552" s="56"/>
      <c r="B552" s="56"/>
    </row>
    <row r="553" spans="1:2" x14ac:dyDescent="0.2">
      <c r="A553" s="56"/>
      <c r="B553" s="56"/>
    </row>
    <row r="554" spans="1:2" x14ac:dyDescent="0.2">
      <c r="A554" s="56"/>
      <c r="B554" s="56"/>
    </row>
    <row r="555" spans="1:2" x14ac:dyDescent="0.2">
      <c r="A555" s="56"/>
      <c r="B555" s="56"/>
    </row>
    <row r="556" spans="1:2" x14ac:dyDescent="0.2">
      <c r="A556" s="56"/>
      <c r="B556" s="56"/>
    </row>
    <row r="557" spans="1:2" x14ac:dyDescent="0.2">
      <c r="A557" s="56"/>
      <c r="B557" s="56"/>
    </row>
    <row r="558" spans="1:2" x14ac:dyDescent="0.2">
      <c r="A558" s="56"/>
      <c r="B558" s="56"/>
    </row>
    <row r="559" spans="1:2" x14ac:dyDescent="0.2">
      <c r="A559" s="56"/>
      <c r="B559" s="56"/>
    </row>
    <row r="560" spans="1:2" x14ac:dyDescent="0.2">
      <c r="A560" s="56"/>
      <c r="B560" s="56"/>
    </row>
    <row r="561" spans="1:2" x14ac:dyDescent="0.2">
      <c r="A561" s="56"/>
      <c r="B561" s="56"/>
    </row>
    <row r="562" spans="1:2" x14ac:dyDescent="0.2">
      <c r="A562" s="56"/>
      <c r="B562" s="56"/>
    </row>
    <row r="563" spans="1:2" x14ac:dyDescent="0.2">
      <c r="A563" s="56"/>
      <c r="B563" s="56"/>
    </row>
    <row r="564" spans="1:2" x14ac:dyDescent="0.2">
      <c r="A564" s="56"/>
      <c r="B564" s="56"/>
    </row>
    <row r="565" spans="1:2" x14ac:dyDescent="0.2">
      <c r="A565" s="56"/>
      <c r="B565" s="56"/>
    </row>
    <row r="566" spans="1:2" x14ac:dyDescent="0.2">
      <c r="A566" s="56"/>
      <c r="B566" s="56"/>
    </row>
    <row r="567" spans="1:2" x14ac:dyDescent="0.2">
      <c r="A567" s="56"/>
      <c r="B567" s="56"/>
    </row>
    <row r="568" spans="1:2" x14ac:dyDescent="0.2">
      <c r="A568" s="56"/>
      <c r="B568" s="56"/>
    </row>
    <row r="569" spans="1:2" x14ac:dyDescent="0.2">
      <c r="A569" s="56"/>
      <c r="B569" s="56"/>
    </row>
    <row r="570" spans="1:2" x14ac:dyDescent="0.2">
      <c r="A570" s="56"/>
      <c r="B570" s="56"/>
    </row>
    <row r="571" spans="1:2" x14ac:dyDescent="0.2">
      <c r="A571" s="56"/>
      <c r="B571" s="56"/>
    </row>
    <row r="572" spans="1:2" x14ac:dyDescent="0.2">
      <c r="A572" s="56"/>
      <c r="B572" s="56"/>
    </row>
    <row r="573" spans="1:2" x14ac:dyDescent="0.2">
      <c r="A573" s="56"/>
      <c r="B573" s="56"/>
    </row>
    <row r="574" spans="1:2" x14ac:dyDescent="0.2">
      <c r="A574" s="56"/>
      <c r="B574" s="56"/>
    </row>
    <row r="575" spans="1:2" x14ac:dyDescent="0.2">
      <c r="A575" s="56"/>
      <c r="B575" s="56"/>
    </row>
    <row r="576" spans="1:2" x14ac:dyDescent="0.2">
      <c r="A576" s="56"/>
      <c r="B576" s="56"/>
    </row>
    <row r="577" spans="1:2" x14ac:dyDescent="0.2">
      <c r="A577" s="56"/>
      <c r="B577" s="56"/>
    </row>
    <row r="578" spans="1:2" x14ac:dyDescent="0.2">
      <c r="A578" s="56"/>
      <c r="B578" s="56"/>
    </row>
    <row r="579" spans="1:2" x14ac:dyDescent="0.2">
      <c r="A579" s="56"/>
      <c r="B579" s="56"/>
    </row>
    <row r="580" spans="1:2" x14ac:dyDescent="0.2">
      <c r="A580" s="56"/>
      <c r="B580" s="56"/>
    </row>
    <row r="581" spans="1:2" x14ac:dyDescent="0.2">
      <c r="A581" s="56"/>
      <c r="B581" s="56"/>
    </row>
    <row r="582" spans="1:2" x14ac:dyDescent="0.2">
      <c r="A582" s="56"/>
      <c r="B582" s="56"/>
    </row>
    <row r="583" spans="1:2" x14ac:dyDescent="0.2">
      <c r="A583" s="56"/>
      <c r="B583" s="56"/>
    </row>
    <row r="584" spans="1:2" x14ac:dyDescent="0.2">
      <c r="A584" s="56"/>
      <c r="B584" s="56"/>
    </row>
    <row r="585" spans="1:2" x14ac:dyDescent="0.2">
      <c r="A585" s="56"/>
      <c r="B585" s="56"/>
    </row>
    <row r="586" spans="1:2" x14ac:dyDescent="0.2">
      <c r="A586" s="56"/>
      <c r="B586" s="56"/>
    </row>
    <row r="587" spans="1:2" x14ac:dyDescent="0.2">
      <c r="A587" s="56"/>
      <c r="B587" s="56"/>
    </row>
    <row r="588" spans="1:2" x14ac:dyDescent="0.2">
      <c r="A588" s="56"/>
      <c r="B588" s="56"/>
    </row>
    <row r="589" spans="1:2" x14ac:dyDescent="0.2">
      <c r="A589" s="56"/>
      <c r="B589" s="56"/>
    </row>
    <row r="590" spans="1:2" x14ac:dyDescent="0.2">
      <c r="A590" s="56"/>
      <c r="B590" s="56"/>
    </row>
    <row r="591" spans="1:2" x14ac:dyDescent="0.2">
      <c r="A591" s="56"/>
      <c r="B591" s="56"/>
    </row>
    <row r="592" spans="1:2" x14ac:dyDescent="0.2">
      <c r="A592" s="56"/>
      <c r="B592" s="56"/>
    </row>
    <row r="593" spans="1:2" x14ac:dyDescent="0.2">
      <c r="A593" s="56"/>
      <c r="B593" s="56"/>
    </row>
    <row r="594" spans="1:2" x14ac:dyDescent="0.2">
      <c r="A594" s="56"/>
      <c r="B594" s="56"/>
    </row>
    <row r="595" spans="1:2" x14ac:dyDescent="0.2">
      <c r="A595" s="56"/>
      <c r="B595" s="56"/>
    </row>
    <row r="596" spans="1:2" x14ac:dyDescent="0.2">
      <c r="A596" s="56"/>
      <c r="B596" s="56"/>
    </row>
    <row r="597" spans="1:2" x14ac:dyDescent="0.2">
      <c r="A597" s="56"/>
      <c r="B597" s="56"/>
    </row>
    <row r="598" spans="1:2" x14ac:dyDescent="0.2">
      <c r="A598" s="56"/>
      <c r="B598" s="56"/>
    </row>
    <row r="599" spans="1:2" x14ac:dyDescent="0.2">
      <c r="A599" s="56"/>
      <c r="B599" s="56"/>
    </row>
    <row r="600" spans="1:2" x14ac:dyDescent="0.2">
      <c r="A600" s="56"/>
      <c r="B600" s="56"/>
    </row>
    <row r="601" spans="1:2" x14ac:dyDescent="0.2">
      <c r="A601" s="56"/>
      <c r="B601" s="56"/>
    </row>
    <row r="602" spans="1:2" x14ac:dyDescent="0.2">
      <c r="A602" s="56"/>
      <c r="B602" s="56"/>
    </row>
    <row r="603" spans="1:2" x14ac:dyDescent="0.2">
      <c r="A603" s="56"/>
      <c r="B603" s="56"/>
    </row>
    <row r="604" spans="1:2" x14ac:dyDescent="0.2">
      <c r="A604" s="56"/>
      <c r="B604" s="56"/>
    </row>
    <row r="605" spans="1:2" x14ac:dyDescent="0.2">
      <c r="A605" s="56"/>
      <c r="B605" s="56"/>
    </row>
    <row r="606" spans="1:2" x14ac:dyDescent="0.2">
      <c r="A606" s="56"/>
      <c r="B606" s="56"/>
    </row>
    <row r="607" spans="1:2" x14ac:dyDescent="0.2">
      <c r="A607" s="56"/>
      <c r="B607" s="56"/>
    </row>
    <row r="608" spans="1:2" x14ac:dyDescent="0.2">
      <c r="A608" s="56"/>
      <c r="B608" s="56"/>
    </row>
    <row r="609" spans="1:2" x14ac:dyDescent="0.2">
      <c r="A609" s="56"/>
      <c r="B609" s="56"/>
    </row>
    <row r="610" spans="1:2" x14ac:dyDescent="0.2">
      <c r="A610" s="56"/>
      <c r="B610" s="56"/>
    </row>
    <row r="611" spans="1:2" x14ac:dyDescent="0.2">
      <c r="A611" s="56"/>
      <c r="B611" s="56"/>
    </row>
    <row r="612" spans="1:2" x14ac:dyDescent="0.2">
      <c r="A612" s="56"/>
      <c r="B612" s="56"/>
    </row>
    <row r="613" spans="1:2" x14ac:dyDescent="0.2">
      <c r="A613" s="56"/>
      <c r="B613" s="56"/>
    </row>
    <row r="614" spans="1:2" x14ac:dyDescent="0.2">
      <c r="A614" s="56"/>
      <c r="B614" s="56"/>
    </row>
    <row r="615" spans="1:2" x14ac:dyDescent="0.2">
      <c r="A615" s="56"/>
      <c r="B615" s="56"/>
    </row>
    <row r="616" spans="1:2" x14ac:dyDescent="0.2">
      <c r="A616" s="56"/>
      <c r="B616" s="56"/>
    </row>
    <row r="617" spans="1:2" x14ac:dyDescent="0.2">
      <c r="A617" s="56"/>
      <c r="B617" s="56"/>
    </row>
    <row r="618" spans="1:2" x14ac:dyDescent="0.2">
      <c r="A618" s="56"/>
      <c r="B618" s="56"/>
    </row>
    <row r="619" spans="1:2" x14ac:dyDescent="0.2">
      <c r="A619" s="56"/>
      <c r="B619" s="56"/>
    </row>
    <row r="620" spans="1:2" x14ac:dyDescent="0.2">
      <c r="A620" s="56"/>
      <c r="B620" s="56"/>
    </row>
    <row r="621" spans="1:2" x14ac:dyDescent="0.2">
      <c r="A621" s="56"/>
      <c r="B621" s="56"/>
    </row>
    <row r="622" spans="1:2" x14ac:dyDescent="0.2">
      <c r="A622" s="56"/>
      <c r="B622" s="56"/>
    </row>
    <row r="623" spans="1:2" x14ac:dyDescent="0.2">
      <c r="A623" s="56"/>
      <c r="B623" s="56"/>
    </row>
    <row r="624" spans="1:2" x14ac:dyDescent="0.2">
      <c r="A624" s="56"/>
      <c r="B624" s="56"/>
    </row>
    <row r="625" spans="1:2" x14ac:dyDescent="0.2">
      <c r="A625" s="56"/>
      <c r="B625" s="56"/>
    </row>
    <row r="626" spans="1:2" x14ac:dyDescent="0.2">
      <c r="A626" s="56"/>
      <c r="B626" s="56"/>
    </row>
    <row r="627" spans="1:2" x14ac:dyDescent="0.2">
      <c r="A627" s="56"/>
      <c r="B627" s="56"/>
    </row>
    <row r="628" spans="1:2" x14ac:dyDescent="0.2">
      <c r="A628" s="56"/>
      <c r="B628" s="56"/>
    </row>
    <row r="629" spans="1:2" x14ac:dyDescent="0.2">
      <c r="A629" s="56"/>
      <c r="B629" s="56"/>
    </row>
    <row r="630" spans="1:2" x14ac:dyDescent="0.2">
      <c r="A630" s="56"/>
      <c r="B630" s="56"/>
    </row>
    <row r="631" spans="1:2" x14ac:dyDescent="0.2">
      <c r="A631" s="56"/>
      <c r="B631" s="56"/>
    </row>
    <row r="632" spans="1:2" x14ac:dyDescent="0.2">
      <c r="A632" s="56"/>
      <c r="B632" s="56"/>
    </row>
    <row r="633" spans="1:2" x14ac:dyDescent="0.2">
      <c r="A633" s="56"/>
      <c r="B633" s="56"/>
    </row>
    <row r="634" spans="1:2" x14ac:dyDescent="0.2">
      <c r="A634" s="56"/>
      <c r="B634" s="56"/>
    </row>
    <row r="635" spans="1:2" x14ac:dyDescent="0.2">
      <c r="A635" s="56"/>
      <c r="B635" s="56"/>
    </row>
    <row r="636" spans="1:2" x14ac:dyDescent="0.2">
      <c r="A636" s="56"/>
      <c r="B636" s="56"/>
    </row>
    <row r="637" spans="1:2" x14ac:dyDescent="0.2">
      <c r="A637" s="56"/>
      <c r="B637" s="56"/>
    </row>
    <row r="638" spans="1:2" x14ac:dyDescent="0.2">
      <c r="A638" s="56"/>
      <c r="B638" s="56"/>
    </row>
    <row r="639" spans="1:2" x14ac:dyDescent="0.2">
      <c r="A639" s="56"/>
      <c r="B639" s="56"/>
    </row>
    <row r="640" spans="1:2" x14ac:dyDescent="0.2">
      <c r="A640" s="56"/>
      <c r="B640" s="56"/>
    </row>
    <row r="641" spans="1:2" x14ac:dyDescent="0.2">
      <c r="A641" s="56"/>
      <c r="B641" s="56"/>
    </row>
    <row r="642" spans="1:2" x14ac:dyDescent="0.2">
      <c r="A642" s="56"/>
      <c r="B642" s="56"/>
    </row>
    <row r="643" spans="1:2" x14ac:dyDescent="0.2">
      <c r="A643" s="56"/>
      <c r="B643" s="56"/>
    </row>
    <row r="644" spans="1:2" x14ac:dyDescent="0.2">
      <c r="A644" s="56"/>
      <c r="B644" s="56"/>
    </row>
    <row r="645" spans="1:2" x14ac:dyDescent="0.2">
      <c r="A645" s="56"/>
      <c r="B645" s="56"/>
    </row>
    <row r="646" spans="1:2" x14ac:dyDescent="0.2">
      <c r="A646" s="56"/>
      <c r="B646" s="56"/>
    </row>
    <row r="647" spans="1:2" x14ac:dyDescent="0.2">
      <c r="A647" s="56"/>
      <c r="B647" s="56"/>
    </row>
    <row r="648" spans="1:2" x14ac:dyDescent="0.2">
      <c r="A648" s="56"/>
      <c r="B648" s="56"/>
    </row>
    <row r="649" spans="1:2" x14ac:dyDescent="0.2">
      <c r="A649" s="56"/>
      <c r="B649" s="56"/>
    </row>
    <row r="650" spans="1:2" x14ac:dyDescent="0.2">
      <c r="A650" s="56"/>
      <c r="B650" s="56"/>
    </row>
    <row r="651" spans="1:2" x14ac:dyDescent="0.2">
      <c r="A651" s="56"/>
      <c r="B651" s="56"/>
    </row>
    <row r="652" spans="1:2" x14ac:dyDescent="0.2">
      <c r="A652" s="56"/>
      <c r="B652" s="56"/>
    </row>
    <row r="653" spans="1:2" x14ac:dyDescent="0.2">
      <c r="A653" s="56"/>
      <c r="B653" s="56"/>
    </row>
    <row r="654" spans="1:2" x14ac:dyDescent="0.2">
      <c r="A654" s="56"/>
      <c r="B654" s="56"/>
    </row>
    <row r="655" spans="1:2" x14ac:dyDescent="0.2">
      <c r="A655" s="56"/>
      <c r="B655" s="56"/>
    </row>
    <row r="656" spans="1:2" x14ac:dyDescent="0.2">
      <c r="A656" s="56"/>
      <c r="B656" s="56"/>
    </row>
    <row r="657" spans="1:2" x14ac:dyDescent="0.2">
      <c r="A657" s="56"/>
      <c r="B657" s="56"/>
    </row>
    <row r="658" spans="1:2" x14ac:dyDescent="0.2">
      <c r="A658" s="56"/>
      <c r="B658" s="56"/>
    </row>
    <row r="659" spans="1:2" x14ac:dyDescent="0.2">
      <c r="A659" s="56"/>
      <c r="B659" s="56"/>
    </row>
    <row r="660" spans="1:2" x14ac:dyDescent="0.2">
      <c r="A660" s="56"/>
      <c r="B660" s="56"/>
    </row>
    <row r="661" spans="1:2" x14ac:dyDescent="0.2">
      <c r="A661" s="56"/>
      <c r="B661" s="56"/>
    </row>
    <row r="662" spans="1:2" x14ac:dyDescent="0.2">
      <c r="A662" s="56"/>
      <c r="B662" s="56"/>
    </row>
    <row r="663" spans="1:2" x14ac:dyDescent="0.2">
      <c r="A663" s="56"/>
      <c r="B663" s="56"/>
    </row>
    <row r="664" spans="1:2" x14ac:dyDescent="0.2">
      <c r="A664" s="56"/>
      <c r="B664" s="56"/>
    </row>
    <row r="665" spans="1:2" x14ac:dyDescent="0.2">
      <c r="A665" s="56"/>
      <c r="B665" s="56"/>
    </row>
    <row r="666" spans="1:2" x14ac:dyDescent="0.2">
      <c r="A666" s="56"/>
      <c r="B666" s="56"/>
    </row>
    <row r="667" spans="1:2" x14ac:dyDescent="0.2">
      <c r="A667" s="56"/>
      <c r="B667" s="56"/>
    </row>
    <row r="668" spans="1:2" x14ac:dyDescent="0.2">
      <c r="A668" s="56"/>
      <c r="B668" s="56"/>
    </row>
    <row r="669" spans="1:2" x14ac:dyDescent="0.2">
      <c r="A669" s="56"/>
      <c r="B669" s="56"/>
    </row>
    <row r="670" spans="1:2" x14ac:dyDescent="0.2">
      <c r="A670" s="56"/>
      <c r="B670" s="56"/>
    </row>
    <row r="671" spans="1:2" x14ac:dyDescent="0.2">
      <c r="A671" s="56"/>
      <c r="B671" s="56"/>
    </row>
    <row r="672" spans="1:2" x14ac:dyDescent="0.2">
      <c r="B672" s="56"/>
    </row>
    <row r="673" spans="2:2" x14ac:dyDescent="0.2">
      <c r="B673" s="56"/>
    </row>
    <row r="674" spans="2:2" x14ac:dyDescent="0.2">
      <c r="B674" s="56"/>
    </row>
    <row r="675" spans="2:2" x14ac:dyDescent="0.2">
      <c r="B675" s="56"/>
    </row>
    <row r="676" spans="2:2" x14ac:dyDescent="0.2">
      <c r="B676" s="56"/>
    </row>
    <row r="677" spans="2:2" x14ac:dyDescent="0.2">
      <c r="B677" s="56"/>
    </row>
    <row r="678" spans="2:2" x14ac:dyDescent="0.2">
      <c r="B678" s="56"/>
    </row>
    <row r="679" spans="2:2" x14ac:dyDescent="0.2">
      <c r="B679" s="56"/>
    </row>
    <row r="680" spans="2:2" x14ac:dyDescent="0.2">
      <c r="B680" s="56"/>
    </row>
    <row r="681" spans="2:2" x14ac:dyDescent="0.2">
      <c r="B681" s="56"/>
    </row>
    <row r="682" spans="2:2" x14ac:dyDescent="0.2">
      <c r="B682" s="56"/>
    </row>
    <row r="683" spans="2:2" x14ac:dyDescent="0.2">
      <c r="B683" s="56"/>
    </row>
    <row r="684" spans="2:2" x14ac:dyDescent="0.2">
      <c r="B684" s="56"/>
    </row>
    <row r="685" spans="2:2" x14ac:dyDescent="0.2">
      <c r="B685" s="56"/>
    </row>
    <row r="686" spans="2:2" x14ac:dyDescent="0.2">
      <c r="B686" s="56"/>
    </row>
    <row r="687" spans="2:2" x14ac:dyDescent="0.2">
      <c r="B687" s="56"/>
    </row>
    <row r="688" spans="2:2" x14ac:dyDescent="0.2">
      <c r="B688" s="56"/>
    </row>
    <row r="689" spans="2:2" x14ac:dyDescent="0.2">
      <c r="B689" s="56"/>
    </row>
    <row r="690" spans="2:2" x14ac:dyDescent="0.2">
      <c r="B690" s="56"/>
    </row>
    <row r="691" spans="2:2" x14ac:dyDescent="0.2">
      <c r="B691" s="56"/>
    </row>
    <row r="692" spans="2:2" x14ac:dyDescent="0.2">
      <c r="B692" s="56"/>
    </row>
    <row r="693" spans="2:2" x14ac:dyDescent="0.2">
      <c r="B693" s="56"/>
    </row>
    <row r="694" spans="2:2" x14ac:dyDescent="0.2">
      <c r="B694" s="56"/>
    </row>
    <row r="695" spans="2:2" x14ac:dyDescent="0.2">
      <c r="B695" s="56"/>
    </row>
    <row r="696" spans="2:2" x14ac:dyDescent="0.2">
      <c r="B696" s="56"/>
    </row>
    <row r="697" spans="2:2" x14ac:dyDescent="0.2">
      <c r="B697" s="56"/>
    </row>
    <row r="698" spans="2:2" x14ac:dyDescent="0.2">
      <c r="B698" s="56"/>
    </row>
    <row r="699" spans="2:2" x14ac:dyDescent="0.2">
      <c r="B699" s="56"/>
    </row>
    <row r="700" spans="2:2" x14ac:dyDescent="0.2">
      <c r="B700" s="56"/>
    </row>
    <row r="701" spans="2:2" x14ac:dyDescent="0.2">
      <c r="B701" s="56"/>
    </row>
    <row r="702" spans="2:2" x14ac:dyDescent="0.2">
      <c r="B702" s="56"/>
    </row>
    <row r="703" spans="2:2" x14ac:dyDescent="0.2">
      <c r="B703" s="56"/>
    </row>
    <row r="704" spans="2:2" x14ac:dyDescent="0.2">
      <c r="B704" s="56"/>
    </row>
    <row r="705" spans="2:2" x14ac:dyDescent="0.2">
      <c r="B705" s="56"/>
    </row>
    <row r="706" spans="2:2" x14ac:dyDescent="0.2">
      <c r="B706" s="56"/>
    </row>
    <row r="707" spans="2:2" x14ac:dyDescent="0.2">
      <c r="B707" s="56"/>
    </row>
    <row r="708" spans="2:2" x14ac:dyDescent="0.2">
      <c r="B708" s="56"/>
    </row>
    <row r="709" spans="2:2" x14ac:dyDescent="0.2">
      <c r="B709" s="56"/>
    </row>
    <row r="710" spans="2:2" x14ac:dyDescent="0.2">
      <c r="B710" s="56"/>
    </row>
    <row r="711" spans="2:2" x14ac:dyDescent="0.2">
      <c r="B711" s="56"/>
    </row>
    <row r="712" spans="2:2" x14ac:dyDescent="0.2">
      <c r="B712" s="56"/>
    </row>
    <row r="713" spans="2:2" x14ac:dyDescent="0.2">
      <c r="B713" s="56"/>
    </row>
    <row r="714" spans="2:2" x14ac:dyDescent="0.2">
      <c r="B714" s="56"/>
    </row>
    <row r="715" spans="2:2" x14ac:dyDescent="0.2">
      <c r="B715" s="56"/>
    </row>
    <row r="716" spans="2:2" x14ac:dyDescent="0.2">
      <c r="B716" s="56"/>
    </row>
    <row r="717" spans="2:2" x14ac:dyDescent="0.2">
      <c r="B717" s="56"/>
    </row>
    <row r="718" spans="2:2" x14ac:dyDescent="0.2">
      <c r="B718" s="56"/>
    </row>
    <row r="719" spans="2:2" x14ac:dyDescent="0.2">
      <c r="B719" s="56"/>
    </row>
    <row r="720" spans="2:2" x14ac:dyDescent="0.2">
      <c r="B720" s="56"/>
    </row>
    <row r="721" spans="2:2" x14ac:dyDescent="0.2">
      <c r="B721" s="56"/>
    </row>
    <row r="722" spans="2:2" x14ac:dyDescent="0.2">
      <c r="B722" s="56"/>
    </row>
    <row r="723" spans="2:2" x14ac:dyDescent="0.2">
      <c r="B723" s="56"/>
    </row>
    <row r="724" spans="2:2" x14ac:dyDescent="0.2">
      <c r="B724" s="56"/>
    </row>
    <row r="725" spans="2:2" x14ac:dyDescent="0.2">
      <c r="B725" s="56"/>
    </row>
    <row r="726" spans="2:2" x14ac:dyDescent="0.2">
      <c r="B726" s="56"/>
    </row>
    <row r="727" spans="2:2" x14ac:dyDescent="0.2">
      <c r="B727" s="56"/>
    </row>
    <row r="728" spans="2:2" x14ac:dyDescent="0.2">
      <c r="B728" s="56"/>
    </row>
    <row r="729" spans="2:2" x14ac:dyDescent="0.2">
      <c r="B729" s="56"/>
    </row>
    <row r="730" spans="2:2" x14ac:dyDescent="0.2">
      <c r="B730" s="56"/>
    </row>
    <row r="731" spans="2:2" x14ac:dyDescent="0.2">
      <c r="B731" s="56"/>
    </row>
    <row r="732" spans="2:2" x14ac:dyDescent="0.2">
      <c r="B732" s="56"/>
    </row>
    <row r="733" spans="2:2" x14ac:dyDescent="0.2">
      <c r="B733" s="56"/>
    </row>
    <row r="734" spans="2:2" x14ac:dyDescent="0.2">
      <c r="B734" s="56"/>
    </row>
    <row r="735" spans="2:2" x14ac:dyDescent="0.2">
      <c r="B735" s="56"/>
    </row>
    <row r="736" spans="2:2" x14ac:dyDescent="0.2">
      <c r="B736" s="56"/>
    </row>
    <row r="737" spans="2:2" x14ac:dyDescent="0.2">
      <c r="B737" s="56"/>
    </row>
    <row r="738" spans="2:2" x14ac:dyDescent="0.2">
      <c r="B738" s="56"/>
    </row>
    <row r="739" spans="2:2" x14ac:dyDescent="0.2">
      <c r="B739" s="56"/>
    </row>
    <row r="740" spans="2:2" x14ac:dyDescent="0.2">
      <c r="B740" s="56"/>
    </row>
    <row r="741" spans="2:2" x14ac:dyDescent="0.2">
      <c r="B741" s="56"/>
    </row>
    <row r="742" spans="2:2" x14ac:dyDescent="0.2">
      <c r="B742" s="56"/>
    </row>
    <row r="743" spans="2:2" x14ac:dyDescent="0.2">
      <c r="B743" s="56"/>
    </row>
    <row r="744" spans="2:2" x14ac:dyDescent="0.2">
      <c r="B744" s="56"/>
    </row>
    <row r="745" spans="2:2" x14ac:dyDescent="0.2">
      <c r="B745" s="56"/>
    </row>
    <row r="746" spans="2:2" x14ac:dyDescent="0.2">
      <c r="B746" s="56"/>
    </row>
    <row r="747" spans="2:2" x14ac:dyDescent="0.2">
      <c r="B747" s="56"/>
    </row>
    <row r="748" spans="2:2" x14ac:dyDescent="0.2">
      <c r="B748" s="56"/>
    </row>
    <row r="749" spans="2:2" x14ac:dyDescent="0.2">
      <c r="B749" s="56"/>
    </row>
    <row r="750" spans="2:2" x14ac:dyDescent="0.2">
      <c r="B750" s="56"/>
    </row>
    <row r="751" spans="2:2" x14ac:dyDescent="0.2">
      <c r="B751" s="56"/>
    </row>
    <row r="752" spans="2:2" x14ac:dyDescent="0.2">
      <c r="B752" s="56"/>
    </row>
    <row r="753" spans="2:2" x14ac:dyDescent="0.2">
      <c r="B753" s="56"/>
    </row>
    <row r="754" spans="2:2" x14ac:dyDescent="0.2">
      <c r="B754" s="56"/>
    </row>
    <row r="755" spans="2:2" x14ac:dyDescent="0.2">
      <c r="B755" s="56"/>
    </row>
    <row r="756" spans="2:2" x14ac:dyDescent="0.2">
      <c r="B756" s="56"/>
    </row>
    <row r="757" spans="2:2" x14ac:dyDescent="0.2">
      <c r="B757" s="56"/>
    </row>
    <row r="758" spans="2:2" x14ac:dyDescent="0.2">
      <c r="B758" s="56"/>
    </row>
    <row r="759" spans="2:2" x14ac:dyDescent="0.2">
      <c r="B759" s="56"/>
    </row>
    <row r="760" spans="2:2" x14ac:dyDescent="0.2">
      <c r="B760" s="56"/>
    </row>
    <row r="761" spans="2:2" x14ac:dyDescent="0.2">
      <c r="B761" s="56"/>
    </row>
    <row r="762" spans="2:2" x14ac:dyDescent="0.2">
      <c r="B762" s="56"/>
    </row>
    <row r="763" spans="2:2" x14ac:dyDescent="0.2">
      <c r="B763" s="56"/>
    </row>
    <row r="764" spans="2:2" x14ac:dyDescent="0.2">
      <c r="B764" s="56"/>
    </row>
    <row r="765" spans="2:2" x14ac:dyDescent="0.2">
      <c r="B765" s="56"/>
    </row>
    <row r="766" spans="2:2" x14ac:dyDescent="0.2">
      <c r="B766" s="56"/>
    </row>
    <row r="767" spans="2:2" x14ac:dyDescent="0.2">
      <c r="B767" s="56"/>
    </row>
    <row r="768" spans="2:2" x14ac:dyDescent="0.2">
      <c r="B768" s="56"/>
    </row>
    <row r="769" spans="2:6" x14ac:dyDescent="0.2">
      <c r="B769" s="56"/>
    </row>
    <row r="770" spans="2:6" x14ac:dyDescent="0.2">
      <c r="B770" s="56"/>
    </row>
    <row r="771" spans="2:6" x14ac:dyDescent="0.2">
      <c r="B771" s="56"/>
    </row>
    <row r="772" spans="2:6" x14ac:dyDescent="0.2">
      <c r="B772" s="56"/>
      <c r="F772" t="s">
        <v>186</v>
      </c>
    </row>
    <row r="773" spans="2:6" x14ac:dyDescent="0.2">
      <c r="B773" s="56"/>
    </row>
    <row r="774" spans="2:6" x14ac:dyDescent="0.2">
      <c r="B774" s="56"/>
    </row>
    <row r="775" spans="2:6" x14ac:dyDescent="0.2">
      <c r="B775" s="56"/>
    </row>
    <row r="776" spans="2:6" x14ac:dyDescent="0.2">
      <c r="B776" s="56"/>
    </row>
    <row r="777" spans="2:6" x14ac:dyDescent="0.2">
      <c r="B777" s="56"/>
    </row>
    <row r="778" spans="2:6" x14ac:dyDescent="0.2">
      <c r="B778" s="56"/>
    </row>
    <row r="779" spans="2:6" x14ac:dyDescent="0.2">
      <c r="B779" s="56"/>
    </row>
    <row r="780" spans="2:6" x14ac:dyDescent="0.2">
      <c r="B780" s="56"/>
    </row>
    <row r="781" spans="2:6" x14ac:dyDescent="0.2">
      <c r="B781" s="56"/>
    </row>
    <row r="782" spans="2:6" x14ac:dyDescent="0.2">
      <c r="B782" s="56"/>
    </row>
    <row r="783" spans="2:6" x14ac:dyDescent="0.2">
      <c r="B783" s="56"/>
    </row>
    <row r="784" spans="2:6" x14ac:dyDescent="0.2">
      <c r="B784" s="56"/>
    </row>
    <row r="785" spans="2:2" x14ac:dyDescent="0.2">
      <c r="B785" s="56"/>
    </row>
    <row r="786" spans="2:2" x14ac:dyDescent="0.2">
      <c r="B786" s="56"/>
    </row>
    <row r="787" spans="2:2" x14ac:dyDescent="0.2">
      <c r="B787" s="56"/>
    </row>
    <row r="788" spans="2:2" x14ac:dyDescent="0.2">
      <c r="B788" s="56"/>
    </row>
    <row r="789" spans="2:2" x14ac:dyDescent="0.2">
      <c r="B789" s="56"/>
    </row>
    <row r="790" spans="2:2" x14ac:dyDescent="0.2">
      <c r="B790" s="56"/>
    </row>
    <row r="791" spans="2:2" x14ac:dyDescent="0.2">
      <c r="B791" s="56"/>
    </row>
    <row r="792" spans="2:2" x14ac:dyDescent="0.2">
      <c r="B792" s="56"/>
    </row>
    <row r="793" spans="2:2" x14ac:dyDescent="0.2">
      <c r="B793" s="56"/>
    </row>
    <row r="794" spans="2:2" x14ac:dyDescent="0.2">
      <c r="B794" s="56"/>
    </row>
    <row r="795" spans="2:2" x14ac:dyDescent="0.2">
      <c r="B795" s="56"/>
    </row>
    <row r="796" spans="2:2" x14ac:dyDescent="0.2">
      <c r="B796" s="56"/>
    </row>
    <row r="797" spans="2:2" x14ac:dyDescent="0.2">
      <c r="B797" s="56"/>
    </row>
    <row r="798" spans="2:2" x14ac:dyDescent="0.2">
      <c r="B798" s="56"/>
    </row>
    <row r="799" spans="2:2" x14ac:dyDescent="0.2">
      <c r="B799" s="56"/>
    </row>
    <row r="800" spans="2:2" x14ac:dyDescent="0.2">
      <c r="B800" s="56"/>
    </row>
    <row r="801" spans="2:2" x14ac:dyDescent="0.2">
      <c r="B801" s="56"/>
    </row>
    <row r="802" spans="2:2" x14ac:dyDescent="0.2">
      <c r="B802" s="56"/>
    </row>
    <row r="803" spans="2:2" x14ac:dyDescent="0.2">
      <c r="B803" s="56"/>
    </row>
    <row r="804" spans="2:2" x14ac:dyDescent="0.2">
      <c r="B804" s="56"/>
    </row>
    <row r="805" spans="2:2" x14ac:dyDescent="0.2">
      <c r="B805" s="56"/>
    </row>
    <row r="806" spans="2:2" x14ac:dyDescent="0.2">
      <c r="B806" s="56"/>
    </row>
    <row r="807" spans="2:2" x14ac:dyDescent="0.2">
      <c r="B807" s="56"/>
    </row>
    <row r="808" spans="2:2" x14ac:dyDescent="0.2">
      <c r="B808" s="56"/>
    </row>
    <row r="809" spans="2:2" x14ac:dyDescent="0.2">
      <c r="B809" s="56"/>
    </row>
    <row r="810" spans="2:2" x14ac:dyDescent="0.2">
      <c r="B810" s="56"/>
    </row>
    <row r="811" spans="2:2" x14ac:dyDescent="0.2">
      <c r="B811" s="56"/>
    </row>
    <row r="812" spans="2:2" x14ac:dyDescent="0.2">
      <c r="B812" s="56"/>
    </row>
    <row r="813" spans="2:2" x14ac:dyDescent="0.2">
      <c r="B813" s="56"/>
    </row>
    <row r="814" spans="2:2" x14ac:dyDescent="0.2">
      <c r="B814" s="56"/>
    </row>
    <row r="815" spans="2:2" x14ac:dyDescent="0.2">
      <c r="B815" s="56"/>
    </row>
    <row r="816" spans="2:2" x14ac:dyDescent="0.2">
      <c r="B816" s="56"/>
    </row>
    <row r="817" spans="2:2" x14ac:dyDescent="0.2">
      <c r="B817" s="56"/>
    </row>
    <row r="818" spans="2:2" x14ac:dyDescent="0.2">
      <c r="B818" s="56"/>
    </row>
    <row r="819" spans="2:2" x14ac:dyDescent="0.2">
      <c r="B819" s="56"/>
    </row>
    <row r="820" spans="2:2" x14ac:dyDescent="0.2">
      <c r="B820" s="56"/>
    </row>
    <row r="821" spans="2:2" x14ac:dyDescent="0.2">
      <c r="B821" s="56"/>
    </row>
    <row r="822" spans="2:2" x14ac:dyDescent="0.2">
      <c r="B822" s="56"/>
    </row>
    <row r="823" spans="2:2" x14ac:dyDescent="0.2">
      <c r="B823" s="56"/>
    </row>
    <row r="824" spans="2:2" x14ac:dyDescent="0.2">
      <c r="B824" s="56"/>
    </row>
    <row r="825" spans="2:2" x14ac:dyDescent="0.2">
      <c r="B825" s="56"/>
    </row>
    <row r="826" spans="2:2" x14ac:dyDescent="0.2">
      <c r="B826" s="56"/>
    </row>
    <row r="827" spans="2:2" x14ac:dyDescent="0.2">
      <c r="B827" s="56"/>
    </row>
    <row r="828" spans="2:2" x14ac:dyDescent="0.2">
      <c r="B828" s="56"/>
    </row>
    <row r="829" spans="2:2" x14ac:dyDescent="0.2">
      <c r="B829" s="56"/>
    </row>
    <row r="830" spans="2:2" x14ac:dyDescent="0.2">
      <c r="B830" s="56"/>
    </row>
    <row r="831" spans="2:2" x14ac:dyDescent="0.2">
      <c r="B831" s="56"/>
    </row>
    <row r="832" spans="2:2" x14ac:dyDescent="0.2">
      <c r="B832" s="56"/>
    </row>
    <row r="833" spans="2:2" x14ac:dyDescent="0.2">
      <c r="B833" s="56"/>
    </row>
    <row r="834" spans="2:2" x14ac:dyDescent="0.2">
      <c r="B834" s="56"/>
    </row>
    <row r="835" spans="2:2" x14ac:dyDescent="0.2">
      <c r="B835" s="56"/>
    </row>
    <row r="836" spans="2:2" x14ac:dyDescent="0.2">
      <c r="B836" s="56"/>
    </row>
    <row r="837" spans="2:2" x14ac:dyDescent="0.2">
      <c r="B837" s="56"/>
    </row>
    <row r="838" spans="2:2" x14ac:dyDescent="0.2">
      <c r="B838" s="56"/>
    </row>
    <row r="839" spans="2:2" x14ac:dyDescent="0.2">
      <c r="B839" s="56"/>
    </row>
    <row r="840" spans="2:2" x14ac:dyDescent="0.2">
      <c r="B840" s="56"/>
    </row>
    <row r="841" spans="2:2" x14ac:dyDescent="0.2">
      <c r="B841" s="56"/>
    </row>
    <row r="842" spans="2:2" x14ac:dyDescent="0.2">
      <c r="B842" s="56"/>
    </row>
    <row r="843" spans="2:2" x14ac:dyDescent="0.2">
      <c r="B843" s="56"/>
    </row>
    <row r="844" spans="2:2" x14ac:dyDescent="0.2">
      <c r="B844" s="56"/>
    </row>
    <row r="845" spans="2:2" x14ac:dyDescent="0.2">
      <c r="B845" s="56"/>
    </row>
    <row r="846" spans="2:2" x14ac:dyDescent="0.2">
      <c r="B846" s="56"/>
    </row>
    <row r="847" spans="2:2" x14ac:dyDescent="0.2">
      <c r="B847" s="56"/>
    </row>
    <row r="848" spans="2:2" x14ac:dyDescent="0.2">
      <c r="B848" s="56"/>
    </row>
    <row r="849" spans="2:2" x14ac:dyDescent="0.2">
      <c r="B849" s="56"/>
    </row>
    <row r="850" spans="2:2" x14ac:dyDescent="0.2">
      <c r="B850" s="56"/>
    </row>
    <row r="851" spans="2:2" x14ac:dyDescent="0.2">
      <c r="B851" s="56"/>
    </row>
    <row r="852" spans="2:2" x14ac:dyDescent="0.2">
      <c r="B852" s="56"/>
    </row>
    <row r="853" spans="2:2" x14ac:dyDescent="0.2">
      <c r="B853" s="56"/>
    </row>
    <row r="854" spans="2:2" x14ac:dyDescent="0.2">
      <c r="B854" s="56"/>
    </row>
    <row r="855" spans="2:2" x14ac:dyDescent="0.2">
      <c r="B855" s="56"/>
    </row>
    <row r="856" spans="2:2" x14ac:dyDescent="0.2">
      <c r="B856" s="56"/>
    </row>
    <row r="857" spans="2:2" x14ac:dyDescent="0.2">
      <c r="B857" s="56"/>
    </row>
    <row r="858" spans="2:2" x14ac:dyDescent="0.2">
      <c r="B858" s="56"/>
    </row>
    <row r="859" spans="2:2" x14ac:dyDescent="0.2">
      <c r="B859" s="56"/>
    </row>
    <row r="860" spans="2:2" x14ac:dyDescent="0.2">
      <c r="B860" s="56"/>
    </row>
    <row r="861" spans="2:2" x14ac:dyDescent="0.2">
      <c r="B861" s="56"/>
    </row>
    <row r="862" spans="2:2" x14ac:dyDescent="0.2">
      <c r="B862" s="56"/>
    </row>
    <row r="863" spans="2:2" x14ac:dyDescent="0.2">
      <c r="B863" s="56"/>
    </row>
    <row r="864" spans="2:2" x14ac:dyDescent="0.2">
      <c r="B864" s="56"/>
    </row>
    <row r="865" spans="2:2" x14ac:dyDescent="0.2">
      <c r="B865" s="56"/>
    </row>
    <row r="866" spans="2:2" x14ac:dyDescent="0.2">
      <c r="B866" s="56"/>
    </row>
    <row r="867" spans="2:2" x14ac:dyDescent="0.2">
      <c r="B867" s="56"/>
    </row>
    <row r="868" spans="2:2" x14ac:dyDescent="0.2">
      <c r="B868" s="56"/>
    </row>
    <row r="869" spans="2:2" x14ac:dyDescent="0.2">
      <c r="B869" s="56"/>
    </row>
    <row r="870" spans="2:2" x14ac:dyDescent="0.2">
      <c r="B870" s="56"/>
    </row>
    <row r="871" spans="2:2" x14ac:dyDescent="0.2">
      <c r="B871" s="56"/>
    </row>
    <row r="872" spans="2:2" x14ac:dyDescent="0.2">
      <c r="B872" s="56"/>
    </row>
    <row r="873" spans="2:2" x14ac:dyDescent="0.2">
      <c r="B873" s="56"/>
    </row>
    <row r="874" spans="2:2" x14ac:dyDescent="0.2">
      <c r="B874" s="56"/>
    </row>
    <row r="875" spans="2:2" x14ac:dyDescent="0.2">
      <c r="B875" s="56"/>
    </row>
    <row r="876" spans="2:2" x14ac:dyDescent="0.2">
      <c r="B876" s="56"/>
    </row>
    <row r="877" spans="2:2" x14ac:dyDescent="0.2">
      <c r="B877" s="56"/>
    </row>
    <row r="878" spans="2:2" x14ac:dyDescent="0.2">
      <c r="B878" s="56"/>
    </row>
    <row r="879" spans="2:2" x14ac:dyDescent="0.2">
      <c r="B879" s="56"/>
    </row>
    <row r="880" spans="2:2" x14ac:dyDescent="0.2">
      <c r="B880" s="56"/>
    </row>
    <row r="881" spans="2:2" x14ac:dyDescent="0.2">
      <c r="B881" s="56"/>
    </row>
    <row r="882" spans="2:2" x14ac:dyDescent="0.2">
      <c r="B882" s="56"/>
    </row>
    <row r="883" spans="2:2" x14ac:dyDescent="0.2">
      <c r="B883" s="56"/>
    </row>
    <row r="884" spans="2:2" x14ac:dyDescent="0.2">
      <c r="B884" s="56"/>
    </row>
    <row r="885" spans="2:2" x14ac:dyDescent="0.2">
      <c r="B885" s="56"/>
    </row>
    <row r="886" spans="2:2" x14ac:dyDescent="0.2">
      <c r="B886" s="56"/>
    </row>
    <row r="887" spans="2:2" x14ac:dyDescent="0.2">
      <c r="B887" s="56"/>
    </row>
    <row r="888" spans="2:2" x14ac:dyDescent="0.2">
      <c r="B888" s="56"/>
    </row>
    <row r="889" spans="2:2" x14ac:dyDescent="0.2">
      <c r="B889" s="56"/>
    </row>
    <row r="890" spans="2:2" x14ac:dyDescent="0.2">
      <c r="B890" s="56"/>
    </row>
    <row r="891" spans="2:2" x14ac:dyDescent="0.2">
      <c r="B891" s="56"/>
    </row>
    <row r="892" spans="2:2" x14ac:dyDescent="0.2">
      <c r="B892" s="56"/>
    </row>
    <row r="893" spans="2:2" x14ac:dyDescent="0.2">
      <c r="B893" s="56"/>
    </row>
    <row r="894" spans="2:2" x14ac:dyDescent="0.2">
      <c r="B894" s="56"/>
    </row>
    <row r="895" spans="2:2" x14ac:dyDescent="0.2">
      <c r="B895" s="56"/>
    </row>
    <row r="896" spans="2:2" x14ac:dyDescent="0.2">
      <c r="B896" s="56"/>
    </row>
    <row r="897" spans="2:2" x14ac:dyDescent="0.2">
      <c r="B897" s="56"/>
    </row>
    <row r="898" spans="2:2" x14ac:dyDescent="0.2">
      <c r="B898" s="56"/>
    </row>
    <row r="899" spans="2:2" x14ac:dyDescent="0.2">
      <c r="B899" s="56"/>
    </row>
    <row r="900" spans="2:2" x14ac:dyDescent="0.2">
      <c r="B900" s="56"/>
    </row>
    <row r="901" spans="2:2" x14ac:dyDescent="0.2">
      <c r="B901" s="56"/>
    </row>
    <row r="902" spans="2:2" x14ac:dyDescent="0.2">
      <c r="B902" s="56"/>
    </row>
    <row r="903" spans="2:2" x14ac:dyDescent="0.2">
      <c r="B903" s="56"/>
    </row>
    <row r="904" spans="2:2" x14ac:dyDescent="0.2">
      <c r="B904" s="56"/>
    </row>
    <row r="905" spans="2:2" x14ac:dyDescent="0.2">
      <c r="B905" s="56"/>
    </row>
    <row r="906" spans="2:2" x14ac:dyDescent="0.2">
      <c r="B906" s="56"/>
    </row>
    <row r="907" spans="2:2" x14ac:dyDescent="0.2">
      <c r="B907" s="56"/>
    </row>
    <row r="908" spans="2:2" x14ac:dyDescent="0.2">
      <c r="B908" s="56"/>
    </row>
    <row r="909" spans="2:2" x14ac:dyDescent="0.2">
      <c r="B909" s="56"/>
    </row>
    <row r="910" spans="2:2" x14ac:dyDescent="0.2">
      <c r="B910" s="56"/>
    </row>
    <row r="911" spans="2:2" x14ac:dyDescent="0.2">
      <c r="B911" s="56"/>
    </row>
    <row r="912" spans="2:2" x14ac:dyDescent="0.2">
      <c r="B912" s="56"/>
    </row>
    <row r="913" spans="2:2" x14ac:dyDescent="0.2">
      <c r="B913" s="56"/>
    </row>
    <row r="914" spans="2:2" x14ac:dyDescent="0.2">
      <c r="B914" s="56"/>
    </row>
    <row r="915" spans="2:2" x14ac:dyDescent="0.2">
      <c r="B915" s="56"/>
    </row>
    <row r="916" spans="2:2" x14ac:dyDescent="0.2">
      <c r="B916" s="56"/>
    </row>
    <row r="917" spans="2:2" x14ac:dyDescent="0.2">
      <c r="B917" s="56"/>
    </row>
    <row r="918" spans="2:2" x14ac:dyDescent="0.2">
      <c r="B918" s="56"/>
    </row>
    <row r="919" spans="2:2" x14ac:dyDescent="0.2">
      <c r="B919" s="56"/>
    </row>
    <row r="920" spans="2:2" x14ac:dyDescent="0.2">
      <c r="B920" s="56"/>
    </row>
    <row r="921" spans="2:2" x14ac:dyDescent="0.2">
      <c r="B921" s="56"/>
    </row>
    <row r="922" spans="2:2" x14ac:dyDescent="0.2">
      <c r="B922" s="56"/>
    </row>
    <row r="923" spans="2:2" x14ac:dyDescent="0.2">
      <c r="B923" s="56"/>
    </row>
    <row r="924" spans="2:2" x14ac:dyDescent="0.2">
      <c r="B924" s="56"/>
    </row>
    <row r="925" spans="2:2" x14ac:dyDescent="0.2">
      <c r="B925" s="56"/>
    </row>
    <row r="926" spans="2:2" x14ac:dyDescent="0.2">
      <c r="B926" s="56"/>
    </row>
    <row r="927" spans="2:2" x14ac:dyDescent="0.2">
      <c r="B927" s="56"/>
    </row>
    <row r="928" spans="2:2" x14ac:dyDescent="0.2">
      <c r="B928" s="56"/>
    </row>
    <row r="929" spans="2:2" x14ac:dyDescent="0.2">
      <c r="B929" s="56"/>
    </row>
    <row r="930" spans="2:2" x14ac:dyDescent="0.2">
      <c r="B930" s="56"/>
    </row>
    <row r="931" spans="2:2" x14ac:dyDescent="0.2">
      <c r="B931" s="56"/>
    </row>
    <row r="932" spans="2:2" x14ac:dyDescent="0.2">
      <c r="B932" s="56"/>
    </row>
    <row r="933" spans="2:2" x14ac:dyDescent="0.2">
      <c r="B933" s="56"/>
    </row>
    <row r="934" spans="2:2" x14ac:dyDescent="0.2">
      <c r="B934" s="56"/>
    </row>
    <row r="935" spans="2:2" x14ac:dyDescent="0.2">
      <c r="B935" s="56"/>
    </row>
    <row r="936" spans="2:2" x14ac:dyDescent="0.2">
      <c r="B936" s="56"/>
    </row>
  </sheetData>
  <autoFilter ref="A1:F154" xr:uid="{C76FD533-F033-468E-B060-F1164C16818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PP F.G ROLL</vt:lpstr>
      <vt:lpstr>PP ROLL STOCK</vt:lpstr>
      <vt:lpstr>Sheet3</vt:lpstr>
      <vt:lpstr>LD F.G ROLL</vt:lpstr>
      <vt:lpstr>Sheet2</vt:lpstr>
      <vt:lpstr>SAP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cp:lastPrinted>2025-09-06T06:21:26Z</cp:lastPrinted>
  <dcterms:created xsi:type="dcterms:W3CDTF">2025-09-01T06:26:54Z</dcterms:created>
  <dcterms:modified xsi:type="dcterms:W3CDTF">2025-10-04T08:20:42Z</dcterms:modified>
</cp:coreProperties>
</file>